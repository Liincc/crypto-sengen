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1F8B9B3-62FD-421E-9427-A8D7B8DF68D2}" xr6:coauthVersionLast="47" xr6:coauthVersionMax="47" xr10:uidLastSave="{00000000-0000-0000-0000-000000000000}"/>
  <bookViews>
    <workbookView xWindow="-21276" yWindow="3456" windowWidth="18696" windowHeight="12480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757" i="1"/>
  <c r="Q757" i="1" s="1"/>
  <c r="R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16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C122" i="4"/>
  <c r="C133" i="4" s="1"/>
  <c r="M3" i="6"/>
  <c r="C81" i="4"/>
  <c r="C52" i="5"/>
  <c r="C118" i="2"/>
  <c r="C116" i="2"/>
  <c r="K3" i="6"/>
  <c r="D26" i="5"/>
  <c r="C56" i="4"/>
  <c r="D136" i="2"/>
  <c r="C136" i="2"/>
  <c r="C138" i="2"/>
  <c r="C118" i="5"/>
  <c r="C122" i="5"/>
  <c r="C133" i="5" s="1"/>
  <c r="C116" i="4"/>
  <c r="C122" i="3"/>
  <c r="C133" i="3" s="1"/>
  <c r="C118" i="3"/>
  <c r="C2" i="1" l="1"/>
  <c r="D2" i="1"/>
  <c r="R756" i="1"/>
  <c r="S757" i="1"/>
  <c r="T757" i="1" s="1"/>
  <c r="D136" i="5"/>
  <c r="C136" i="5"/>
  <c r="C138" i="5" s="1"/>
  <c r="D136" i="4"/>
  <c r="C136" i="4"/>
  <c r="C138" i="4" s="1"/>
  <c r="D136" i="3"/>
  <c r="C136" i="3"/>
  <c r="C138" i="3" l="1"/>
  <c r="R755" i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R751" i="1" l="1"/>
  <c r="S752" i="1"/>
  <c r="T752" i="1" s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S743" i="1" l="1"/>
  <c r="T743" i="1" s="1"/>
  <c r="R742" i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R683" i="1" l="1"/>
  <c r="S684" i="1"/>
  <c r="T684" i="1" s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S648" i="1" l="1"/>
  <c r="T648" i="1" s="1"/>
  <c r="R647" i="1"/>
  <c r="R646" i="1" l="1"/>
  <c r="S647" i="1"/>
  <c r="T647" i="1" s="1"/>
  <c r="R645" i="1" l="1"/>
  <c r="S646" i="1"/>
  <c r="T646" i="1" s="1"/>
  <c r="S645" i="1" l="1"/>
  <c r="T645" i="1" s="1"/>
  <c r="R644" i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S606" i="1" l="1"/>
  <c r="T606" i="1" s="1"/>
  <c r="R605" i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S502" i="1" l="1"/>
  <c r="T502" i="1" s="1"/>
  <c r="R501" i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R470" i="1" l="1"/>
  <c r="S471" i="1"/>
  <c r="T471" i="1" s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R448" i="1" l="1"/>
  <c r="S449" i="1"/>
  <c r="T449" i="1" s="1"/>
  <c r="S448" i="1" l="1"/>
  <c r="T448" i="1" s="1"/>
  <c r="R447" i="1"/>
  <c r="R446" i="1" l="1"/>
  <c r="S447" i="1"/>
  <c r="T447" i="1" s="1"/>
  <c r="R445" i="1" l="1"/>
  <c r="S446" i="1"/>
  <c r="T446" i="1" s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S424" i="1" l="1"/>
  <c r="T424" i="1" s="1"/>
  <c r="R423" i="1"/>
  <c r="R422" i="1" l="1"/>
  <c r="S423" i="1"/>
  <c r="T423" i="1" s="1"/>
  <c r="S422" i="1" l="1"/>
  <c r="T422" i="1" s="1"/>
  <c r="R421" i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S372" i="1" l="1"/>
  <c r="T372" i="1" s="1"/>
  <c r="R371" i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S344" i="1" l="1"/>
  <c r="T344" i="1" s="1"/>
  <c r="R343" i="1"/>
  <c r="S343" i="1" l="1"/>
  <c r="T343" i="1" s="1"/>
  <c r="R342" i="1"/>
  <c r="R341" i="1" l="1"/>
  <c r="S342" i="1"/>
  <c r="T342" i="1" s="1"/>
  <c r="S341" i="1" l="1"/>
  <c r="T341" i="1" s="1"/>
  <c r="R340" i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S317" i="1" l="1"/>
  <c r="T317" i="1" s="1"/>
  <c r="R316" i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R246" i="1" l="1"/>
  <c r="S247" i="1"/>
  <c r="T247" i="1" s="1"/>
  <c r="S246" i="1" l="1"/>
  <c r="T246" i="1" s="1"/>
  <c r="R245" i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S173" i="1" l="1"/>
  <c r="T173" i="1" s="1"/>
  <c r="R172" i="1"/>
  <c r="S172" i="1" l="1"/>
  <c r="T172" i="1" s="1"/>
  <c r="R171" i="1"/>
  <c r="R170" i="1" l="1"/>
  <c r="S171" i="1"/>
  <c r="T171" i="1" s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S153" i="1" l="1"/>
  <c r="T153" i="1" s="1"/>
  <c r="R152" i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S148" i="1" l="1"/>
  <c r="T148" i="1" s="1"/>
  <c r="R147" i="1"/>
  <c r="S147" i="1" l="1"/>
  <c r="T147" i="1" s="1"/>
  <c r="R146" i="1"/>
  <c r="S146" i="1" l="1"/>
  <c r="T146" i="1" s="1"/>
  <c r="R145" i="1"/>
  <c r="S145" i="1" l="1"/>
  <c r="T145" i="1" s="1"/>
  <c r="R144" i="1"/>
  <c r="R143" i="1" l="1"/>
  <c r="S144" i="1"/>
  <c r="T144" i="1" s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S75" i="1" l="1"/>
  <c r="T75" i="1" s="1"/>
  <c r="R74" i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S23" i="1" l="1"/>
  <c r="T23" i="1" s="1"/>
  <c r="R22" i="1"/>
  <c r="R21" i="1" l="1"/>
  <c r="S22" i="1"/>
  <c r="T22" i="1" s="1"/>
  <c r="S21" i="1" l="1"/>
  <c r="T21" i="1" s="1"/>
  <c r="R20" i="1"/>
  <c r="R19" i="1" l="1"/>
  <c r="S20" i="1"/>
  <c r="T20" i="1" s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R13" i="1" l="1"/>
  <c r="S14" i="1"/>
  <c r="T14" i="1" s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<sst xmlns="http://schemas.openxmlformats.org/spreadsheetml/2006/main" count="6264" uniqueCount="34">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</sst>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44202</c:v>
                </c:pt>
                <c:pt idx="378">
                  <c:v>44201</c:v>
                </c:pt>
                <c:pt idx="379">
                  <c:v>44200</c:v>
                </c:pt>
                <c:pt idx="380">
                  <c:v>44199</c:v>
                </c:pt>
                <c:pt idx="381">
                  <c:v>44198</c:v>
                </c:pt>
                <c:pt idx="382">
                  <c:v>44197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44192</c:v>
                </c:pt>
                <c:pt idx="388">
                  <c:v>44191</c:v>
                </c:pt>
                <c:pt idx="389">
                  <c:v>44190</c:v>
                </c:pt>
                <c:pt idx="390">
                  <c:v>44189</c:v>
                </c:pt>
                <c:pt idx="391">
                  <c:v>44188</c:v>
                </c:pt>
                <c:pt idx="392">
                  <c:v>44187</c:v>
                </c:pt>
                <c:pt idx="393">
                  <c:v>44186</c:v>
                </c:pt>
                <c:pt idx="394">
                  <c:v>44185</c:v>
                </c:pt>
                <c:pt idx="395">
                  <c:v>44184</c:v>
                </c:pt>
                <c:pt idx="396">
                  <c:v>44183</c:v>
                </c:pt>
                <c:pt idx="397">
                  <c:v>44182</c:v>
                </c:pt>
                <c:pt idx="398">
                  <c:v>44181</c:v>
                </c:pt>
                <c:pt idx="399">
                  <c:v>44180</c:v>
                </c:pt>
                <c:pt idx="400">
                  <c:v>44179</c:v>
                </c:pt>
                <c:pt idx="401">
                  <c:v>44178</c:v>
                </c:pt>
                <c:pt idx="402">
                  <c:v>44177</c:v>
                </c:pt>
                <c:pt idx="403">
                  <c:v>44176</c:v>
                </c:pt>
                <c:pt idx="404">
                  <c:v>44175</c:v>
                </c:pt>
                <c:pt idx="405">
                  <c:v>44174</c:v>
                </c:pt>
                <c:pt idx="406">
                  <c:v>44173</c:v>
                </c:pt>
                <c:pt idx="407">
                  <c:v>44172</c:v>
                </c:pt>
                <c:pt idx="408">
                  <c:v>44171</c:v>
                </c:pt>
                <c:pt idx="409">
                  <c:v>44170</c:v>
                </c:pt>
                <c:pt idx="410">
                  <c:v>44169</c:v>
                </c:pt>
                <c:pt idx="411">
                  <c:v>44168</c:v>
                </c:pt>
                <c:pt idx="412">
                  <c:v>44167</c:v>
                </c:pt>
                <c:pt idx="413">
                  <c:v>44166</c:v>
                </c:pt>
                <c:pt idx="414">
                  <c:v>44165</c:v>
                </c:pt>
                <c:pt idx="415">
                  <c:v>44164</c:v>
                </c:pt>
                <c:pt idx="416">
                  <c:v>44163</c:v>
                </c:pt>
                <c:pt idx="417">
                  <c:v>44162</c:v>
                </c:pt>
                <c:pt idx="418">
                  <c:v>44161</c:v>
                </c:pt>
                <c:pt idx="419">
                  <c:v>44160</c:v>
                </c:pt>
                <c:pt idx="420">
                  <c:v>44159</c:v>
                </c:pt>
                <c:pt idx="421">
                  <c:v>44158</c:v>
                </c:pt>
                <c:pt idx="422">
                  <c:v>44157</c:v>
                </c:pt>
                <c:pt idx="423">
                  <c:v>44156</c:v>
                </c:pt>
                <c:pt idx="424">
                  <c:v>44155</c:v>
                </c:pt>
                <c:pt idx="425">
                  <c:v>44154</c:v>
                </c:pt>
                <c:pt idx="426">
                  <c:v>44153</c:v>
                </c:pt>
                <c:pt idx="427">
                  <c:v>44152</c:v>
                </c:pt>
                <c:pt idx="428">
                  <c:v>44151</c:v>
                </c:pt>
                <c:pt idx="429">
                  <c:v>44150</c:v>
                </c:pt>
                <c:pt idx="430">
                  <c:v>44149</c:v>
                </c:pt>
                <c:pt idx="431">
                  <c:v>44148</c:v>
                </c:pt>
                <c:pt idx="432">
                  <c:v>44147</c:v>
                </c:pt>
                <c:pt idx="433">
                  <c:v>44146</c:v>
                </c:pt>
                <c:pt idx="434">
                  <c:v>44145</c:v>
                </c:pt>
                <c:pt idx="435">
                  <c:v>44144</c:v>
                </c:pt>
                <c:pt idx="436">
                  <c:v>44143</c:v>
                </c:pt>
                <c:pt idx="437">
                  <c:v>44142</c:v>
                </c:pt>
                <c:pt idx="438">
                  <c:v>44141</c:v>
                </c:pt>
                <c:pt idx="439">
                  <c:v>44140</c:v>
                </c:pt>
                <c:pt idx="440">
                  <c:v>44139</c:v>
                </c:pt>
                <c:pt idx="441">
                  <c:v>44138</c:v>
                </c:pt>
                <c:pt idx="442">
                  <c:v>44137</c:v>
                </c:pt>
                <c:pt idx="443">
                  <c:v>44136</c:v>
                </c:pt>
                <c:pt idx="444">
                  <c:v>44135</c:v>
                </c:pt>
                <c:pt idx="445">
                  <c:v>44134</c:v>
                </c:pt>
                <c:pt idx="446">
                  <c:v>44133</c:v>
                </c:pt>
                <c:pt idx="447">
                  <c:v>44132</c:v>
                </c:pt>
                <c:pt idx="448">
                  <c:v>44131</c:v>
                </c:pt>
                <c:pt idx="449">
                  <c:v>44130</c:v>
                </c:pt>
                <c:pt idx="450">
                  <c:v>44129</c:v>
                </c:pt>
                <c:pt idx="451">
                  <c:v>44128</c:v>
                </c:pt>
                <c:pt idx="452">
                  <c:v>44127</c:v>
                </c:pt>
                <c:pt idx="453">
                  <c:v>44126</c:v>
                </c:pt>
                <c:pt idx="454">
                  <c:v>44125</c:v>
                </c:pt>
                <c:pt idx="455">
                  <c:v>44124</c:v>
                </c:pt>
                <c:pt idx="456">
                  <c:v>44123</c:v>
                </c:pt>
                <c:pt idx="457">
                  <c:v>44122</c:v>
                </c:pt>
                <c:pt idx="458">
                  <c:v>44121</c:v>
                </c:pt>
                <c:pt idx="459">
                  <c:v>44120</c:v>
                </c:pt>
                <c:pt idx="460">
                  <c:v>44119</c:v>
                </c:pt>
                <c:pt idx="461">
                  <c:v>44118</c:v>
                </c:pt>
                <c:pt idx="462">
                  <c:v>44117</c:v>
                </c:pt>
                <c:pt idx="463">
                  <c:v>44116</c:v>
                </c:pt>
                <c:pt idx="464">
                  <c:v>44115</c:v>
                </c:pt>
                <c:pt idx="465">
                  <c:v>44114</c:v>
                </c:pt>
                <c:pt idx="466">
                  <c:v>44113</c:v>
                </c:pt>
                <c:pt idx="467">
                  <c:v>44112</c:v>
                </c:pt>
                <c:pt idx="468">
                  <c:v>44111</c:v>
                </c:pt>
                <c:pt idx="469">
                  <c:v>44110</c:v>
                </c:pt>
                <c:pt idx="470">
                  <c:v>44109</c:v>
                </c:pt>
                <c:pt idx="471">
                  <c:v>44108</c:v>
                </c:pt>
                <c:pt idx="472">
                  <c:v>44107</c:v>
                </c:pt>
                <c:pt idx="473">
                  <c:v>44106</c:v>
                </c:pt>
                <c:pt idx="474">
                  <c:v>44105</c:v>
                </c:pt>
                <c:pt idx="475">
                  <c:v>44104</c:v>
                </c:pt>
                <c:pt idx="476">
                  <c:v>44103</c:v>
                </c:pt>
                <c:pt idx="477">
                  <c:v>44102</c:v>
                </c:pt>
                <c:pt idx="478">
                  <c:v>44101</c:v>
                </c:pt>
                <c:pt idx="479">
                  <c:v>44100</c:v>
                </c:pt>
                <c:pt idx="480">
                  <c:v>44099</c:v>
                </c:pt>
                <c:pt idx="481">
                  <c:v>44098</c:v>
                </c:pt>
                <c:pt idx="482">
                  <c:v>44097</c:v>
                </c:pt>
                <c:pt idx="483">
                  <c:v>44096</c:v>
                </c:pt>
                <c:pt idx="484">
                  <c:v>44095</c:v>
                </c:pt>
                <c:pt idx="485">
                  <c:v>44094</c:v>
                </c:pt>
                <c:pt idx="486">
                  <c:v>44093</c:v>
                </c:pt>
                <c:pt idx="487">
                  <c:v>44092</c:v>
                </c:pt>
                <c:pt idx="488">
                  <c:v>44091</c:v>
                </c:pt>
                <c:pt idx="489">
                  <c:v>44090</c:v>
                </c:pt>
                <c:pt idx="490">
                  <c:v>44089</c:v>
                </c:pt>
                <c:pt idx="491">
                  <c:v>44088</c:v>
                </c:pt>
                <c:pt idx="492">
                  <c:v>44087</c:v>
                </c:pt>
                <c:pt idx="493">
                  <c:v>44086</c:v>
                </c:pt>
                <c:pt idx="494">
                  <c:v>44085</c:v>
                </c:pt>
                <c:pt idx="495">
                  <c:v>44084</c:v>
                </c:pt>
                <c:pt idx="496">
                  <c:v>44083</c:v>
                </c:pt>
                <c:pt idx="497">
                  <c:v>44082</c:v>
                </c:pt>
                <c:pt idx="498">
                  <c:v>44081</c:v>
                </c:pt>
                <c:pt idx="499">
                  <c:v>44080</c:v>
                </c:pt>
                <c:pt idx="500">
                  <c:v>44079</c:v>
                </c:pt>
                <c:pt idx="501">
                  <c:v>44078</c:v>
                </c:pt>
                <c:pt idx="502">
                  <c:v>44077</c:v>
                </c:pt>
                <c:pt idx="503">
                  <c:v>44076</c:v>
                </c:pt>
                <c:pt idx="504">
                  <c:v>44075</c:v>
                </c:pt>
                <c:pt idx="505">
                  <c:v>44074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0.21560000000000001</c:v>
                </c:pt>
                <c:pt idx="1">
                  <c:v>0.21560000000000001</c:v>
                </c:pt>
                <c:pt idx="2">
                  <c:v>0.21560000000000001</c:v>
                </c:pt>
                <c:pt idx="3">
                  <c:v>0.21560000000000001</c:v>
                </c:pt>
                <c:pt idx="4">
                  <c:v>0.21560000000000001</c:v>
                </c:pt>
                <c:pt idx="5">
                  <c:v>0.21560000000000001</c:v>
                </c:pt>
                <c:pt idx="6">
                  <c:v>0.21560000000000001</c:v>
                </c:pt>
                <c:pt idx="7">
                  <c:v>0.21560000000000001</c:v>
                </c:pt>
                <c:pt idx="8">
                  <c:v>0.21560000000000001</c:v>
                </c:pt>
                <c:pt idx="9">
                  <c:v>0.21560000000000001</c:v>
                </c:pt>
                <c:pt idx="10">
                  <c:v>0.21560000000000001</c:v>
                </c:pt>
                <c:pt idx="11">
                  <c:v>0.21560000000000001</c:v>
                </c:pt>
                <c:pt idx="12">
                  <c:v>0.21560000000000001</c:v>
                </c:pt>
                <c:pt idx="13">
                  <c:v>0.21560000000000001</c:v>
                </c:pt>
                <c:pt idx="14">
                  <c:v>0.21560000000000001</c:v>
                </c:pt>
                <c:pt idx="15">
                  <c:v>0.21560000000000001</c:v>
                </c:pt>
                <c:pt idx="16">
                  <c:v>0.21560000000000001</c:v>
                </c:pt>
                <c:pt idx="17">
                  <c:v>0.21560000000000001</c:v>
                </c:pt>
                <c:pt idx="18">
                  <c:v>0.21560000000000001</c:v>
                </c:pt>
                <c:pt idx="19">
                  <c:v>0.21560000000000001</c:v>
                </c:pt>
                <c:pt idx="20">
                  <c:v>0.21560000000000001</c:v>
                </c:pt>
                <c:pt idx="21">
                  <c:v>0.21560000000000001</c:v>
                </c:pt>
                <c:pt idx="22">
                  <c:v>0.21560000000000001</c:v>
                </c:pt>
                <c:pt idx="23">
                  <c:v>0.21560000000000001</c:v>
                </c:pt>
                <c:pt idx="24">
                  <c:v>0.21560000000000001</c:v>
                </c:pt>
                <c:pt idx="25">
                  <c:v>0.21560000000000001</c:v>
                </c:pt>
                <c:pt idx="26">
                  <c:v>0.21560000000000001</c:v>
                </c:pt>
                <c:pt idx="27">
                  <c:v>0.21560000000000001</c:v>
                </c:pt>
                <c:pt idx="28">
                  <c:v>0.21560000000000001</c:v>
                </c:pt>
                <c:pt idx="29">
                  <c:v>0.21560000000000001</c:v>
                </c:pt>
                <c:pt idx="30">
                  <c:v>0.20830000000000001</c:v>
                </c:pt>
                <c:pt idx="31">
                  <c:v>0.22839999999999999</c:v>
                </c:pt>
                <c:pt idx="32">
                  <c:v>0.23200000000000001</c:v>
                </c:pt>
                <c:pt idx="33">
                  <c:v>0.24909999999999999</c:v>
                </c:pt>
                <c:pt idx="34">
                  <c:v>0.27579999999999999</c:v>
                </c:pt>
                <c:pt idx="35">
                  <c:v>0.25390000000000001</c:v>
                </c:pt>
                <c:pt idx="36">
                  <c:v>0.25659999999999999</c:v>
                </c:pt>
                <c:pt idx="37">
                  <c:v>0.30780000000000002</c:v>
                </c:pt>
                <c:pt idx="38">
                  <c:v>0.2878</c:v>
                </c:pt>
                <c:pt idx="39">
                  <c:v>0.27310000000000001</c:v>
                </c:pt>
                <c:pt idx="40">
                  <c:v>0.2601</c:v>
                </c:pt>
                <c:pt idx="41">
                  <c:v>0.29239999999999999</c:v>
                </c:pt>
                <c:pt idx="42">
                  <c:v>0.28210000000000002</c:v>
                </c:pt>
                <c:pt idx="43">
                  <c:v>0.2626</c:v>
                </c:pt>
                <c:pt idx="44">
                  <c:v>0.24929999999999999</c:v>
                </c:pt>
                <c:pt idx="45">
                  <c:v>0.27450000000000002</c:v>
                </c:pt>
                <c:pt idx="46">
                  <c:v>0.35370000000000001</c:v>
                </c:pt>
                <c:pt idx="47">
                  <c:v>0.32429999999999998</c:v>
                </c:pt>
                <c:pt idx="48">
                  <c:v>0.29980000000000001</c:v>
                </c:pt>
                <c:pt idx="49">
                  <c:v>0.2873</c:v>
                </c:pt>
                <c:pt idx="50">
                  <c:v>0.29499999999999998</c:v>
                </c:pt>
                <c:pt idx="51">
                  <c:v>0.29380000000000001</c:v>
                </c:pt>
                <c:pt idx="52">
                  <c:v>0.32050000000000001</c:v>
                </c:pt>
                <c:pt idx="53">
                  <c:v>0.2636</c:v>
                </c:pt>
                <c:pt idx="54">
                  <c:v>0.3</c:v>
                </c:pt>
                <c:pt idx="55">
                  <c:v>0.30809999999999998</c:v>
                </c:pt>
                <c:pt idx="56">
                  <c:v>0.30599999999999999</c:v>
                </c:pt>
                <c:pt idx="57">
                  <c:v>0.28339999999999999</c:v>
                </c:pt>
                <c:pt idx="58">
                  <c:v>0.29239999999999999</c:v>
                </c:pt>
                <c:pt idx="59">
                  <c:v>0.2868</c:v>
                </c:pt>
                <c:pt idx="60">
                  <c:v>0.26840000000000003</c:v>
                </c:pt>
                <c:pt idx="61">
                  <c:v>0.2492</c:v>
                </c:pt>
                <c:pt idx="62">
                  <c:v>0.2752</c:v>
                </c:pt>
                <c:pt idx="63">
                  <c:v>0.2928</c:v>
                </c:pt>
                <c:pt idx="64">
                  <c:v>0.34660000000000002</c:v>
                </c:pt>
                <c:pt idx="65">
                  <c:v>0.35909999999999997</c:v>
                </c:pt>
                <c:pt idx="66">
                  <c:v>0.34970000000000001</c:v>
                </c:pt>
                <c:pt idx="67">
                  <c:v>0.3367</c:v>
                </c:pt>
                <c:pt idx="68">
                  <c:v>0.34050000000000002</c:v>
                </c:pt>
                <c:pt idx="69">
                  <c:v>0.33260000000000001</c:v>
                </c:pt>
                <c:pt idx="70">
                  <c:v>0.38450000000000001</c:v>
                </c:pt>
                <c:pt idx="71">
                  <c:v>0.37819999999999998</c:v>
                </c:pt>
                <c:pt idx="72">
                  <c:v>0.36320000000000002</c:v>
                </c:pt>
                <c:pt idx="73">
                  <c:v>0.37080000000000002</c:v>
                </c:pt>
                <c:pt idx="74">
                  <c:v>0.37690000000000001</c:v>
                </c:pt>
                <c:pt idx="75">
                  <c:v>0.44340000000000002</c:v>
                </c:pt>
                <c:pt idx="76">
                  <c:v>0.45369999999999999</c:v>
                </c:pt>
                <c:pt idx="77">
                  <c:v>0.4461</c:v>
                </c:pt>
                <c:pt idx="78">
                  <c:v>0.4647</c:v>
                </c:pt>
                <c:pt idx="79">
                  <c:v>0.40539999999999998</c:v>
                </c:pt>
                <c:pt idx="80">
                  <c:v>0.40289999999999998</c:v>
                </c:pt>
                <c:pt idx="81">
                  <c:v>0.40799999999999997</c:v>
                </c:pt>
                <c:pt idx="82">
                  <c:v>0.37659999999999999</c:v>
                </c:pt>
                <c:pt idx="83">
                  <c:v>0.33550000000000002</c:v>
                </c:pt>
                <c:pt idx="84">
                  <c:v>0.3659</c:v>
                </c:pt>
                <c:pt idx="85">
                  <c:v>0.34</c:v>
                </c:pt>
                <c:pt idx="86">
                  <c:v>0.3281</c:v>
                </c:pt>
                <c:pt idx="87">
                  <c:v>0.33729999999999999</c:v>
                </c:pt>
                <c:pt idx="88">
                  <c:v>0.34639999999999999</c:v>
                </c:pt>
                <c:pt idx="89">
                  <c:v>0.31979999999999997</c:v>
                </c:pt>
                <c:pt idx="90">
                  <c:v>0.3301</c:v>
                </c:pt>
                <c:pt idx="91">
                  <c:v>0.31569999999999998</c:v>
                </c:pt>
                <c:pt idx="92">
                  <c:v>0.31009999999999999</c:v>
                </c:pt>
                <c:pt idx="93">
                  <c:v>0.31380000000000002</c:v>
                </c:pt>
                <c:pt idx="94">
                  <c:v>0.32550000000000001</c:v>
                </c:pt>
                <c:pt idx="95">
                  <c:v>0.31230000000000002</c:v>
                </c:pt>
                <c:pt idx="96">
                  <c:v>0.30209999999999998</c:v>
                </c:pt>
                <c:pt idx="97">
                  <c:v>0.28720000000000001</c:v>
                </c:pt>
                <c:pt idx="98">
                  <c:v>0.2742</c:v>
                </c:pt>
                <c:pt idx="99">
                  <c:v>0.27489999999999998</c:v>
                </c:pt>
                <c:pt idx="100">
                  <c:v>0.2757</c:v>
                </c:pt>
                <c:pt idx="101">
                  <c:v>0.29609999999999997</c:v>
                </c:pt>
                <c:pt idx="102">
                  <c:v>0.29880000000000001</c:v>
                </c:pt>
                <c:pt idx="103">
                  <c:v>0.30070000000000002</c:v>
                </c:pt>
                <c:pt idx="104">
                  <c:v>0.30480000000000002</c:v>
                </c:pt>
                <c:pt idx="105">
                  <c:v>0.29909999999999998</c:v>
                </c:pt>
                <c:pt idx="106">
                  <c:v>0.29299999999999998</c:v>
                </c:pt>
                <c:pt idx="107">
                  <c:v>0.28889999999999999</c:v>
                </c:pt>
                <c:pt idx="108">
                  <c:v>0.28260000000000002</c:v>
                </c:pt>
                <c:pt idx="109">
                  <c:v>0.28649999999999998</c:v>
                </c:pt>
                <c:pt idx="110">
                  <c:v>0.26790000000000003</c:v>
                </c:pt>
                <c:pt idx="111">
                  <c:v>0.2581</c:v>
                </c:pt>
                <c:pt idx="112">
                  <c:v>0.26740000000000003</c:v>
                </c:pt>
                <c:pt idx="113">
                  <c:v>0.28070000000000001</c:v>
                </c:pt>
                <c:pt idx="114">
                  <c:v>0.253</c:v>
                </c:pt>
                <c:pt idx="115">
                  <c:v>0.25159999999999999</c:v>
                </c:pt>
                <c:pt idx="116">
                  <c:v>0.25590000000000002</c:v>
                </c:pt>
                <c:pt idx="117">
                  <c:v>0.26979999999999998</c:v>
                </c:pt>
                <c:pt idx="118">
                  <c:v>0.26669999999999999</c:v>
                </c:pt>
                <c:pt idx="119">
                  <c:v>0.2306</c:v>
                </c:pt>
                <c:pt idx="120">
                  <c:v>0.28050000000000003</c:v>
                </c:pt>
                <c:pt idx="121">
                  <c:v>0.31790000000000002</c:v>
                </c:pt>
                <c:pt idx="122">
                  <c:v>0.33200000000000002</c:v>
                </c:pt>
                <c:pt idx="123">
                  <c:v>0.32840000000000003</c:v>
                </c:pt>
                <c:pt idx="124">
                  <c:v>0.35210000000000002</c:v>
                </c:pt>
                <c:pt idx="125">
                  <c:v>0.34029999999999999</c:v>
                </c:pt>
                <c:pt idx="126">
                  <c:v>0.3266</c:v>
                </c:pt>
                <c:pt idx="127">
                  <c:v>0.309</c:v>
                </c:pt>
                <c:pt idx="128">
                  <c:v>0.3286</c:v>
                </c:pt>
                <c:pt idx="129">
                  <c:v>0.30880000000000002</c:v>
                </c:pt>
                <c:pt idx="130">
                  <c:v>0.2928</c:v>
                </c:pt>
                <c:pt idx="131">
                  <c:v>0.30669999999999997</c:v>
                </c:pt>
                <c:pt idx="132">
                  <c:v>0.3034</c:v>
                </c:pt>
                <c:pt idx="133">
                  <c:v>0.30580000000000002</c:v>
                </c:pt>
                <c:pt idx="134">
                  <c:v>0.41370000000000001</c:v>
                </c:pt>
                <c:pt idx="135">
                  <c:v>0.4259</c:v>
                </c:pt>
                <c:pt idx="136">
                  <c:v>0.42399999999999999</c:v>
                </c:pt>
                <c:pt idx="137">
                  <c:v>0.4093</c:v>
                </c:pt>
                <c:pt idx="138">
                  <c:v>0.40660000000000002</c:v>
                </c:pt>
                <c:pt idx="139">
                  <c:v>0.40789999999999998</c:v>
                </c:pt>
                <c:pt idx="140">
                  <c:v>0.38969999999999999</c:v>
                </c:pt>
                <c:pt idx="141">
                  <c:v>0.3629</c:v>
                </c:pt>
                <c:pt idx="142">
                  <c:v>0.3866</c:v>
                </c:pt>
                <c:pt idx="143">
                  <c:v>0.3856</c:v>
                </c:pt>
                <c:pt idx="144">
                  <c:v>0.38600000000000001</c:v>
                </c:pt>
                <c:pt idx="145">
                  <c:v>0.36280000000000001</c:v>
                </c:pt>
                <c:pt idx="146">
                  <c:v>0.40910000000000002</c:v>
                </c:pt>
                <c:pt idx="147">
                  <c:v>0.3891</c:v>
                </c:pt>
                <c:pt idx="148">
                  <c:v>0.44359999999999999</c:v>
                </c:pt>
                <c:pt idx="149">
                  <c:v>0.4178</c:v>
                </c:pt>
                <c:pt idx="150">
                  <c:v>0.4047</c:v>
                </c:pt>
                <c:pt idx="151">
                  <c:v>0.39950000000000002</c:v>
                </c:pt>
                <c:pt idx="152">
                  <c:v>0.3674</c:v>
                </c:pt>
                <c:pt idx="153">
                  <c:v>0.33979999999999999</c:v>
                </c:pt>
                <c:pt idx="154">
                  <c:v>0.35510000000000003</c:v>
                </c:pt>
                <c:pt idx="155">
                  <c:v>0.38319999999999999</c:v>
                </c:pt>
                <c:pt idx="156">
                  <c:v>0.37269999999999998</c:v>
                </c:pt>
                <c:pt idx="157">
                  <c:v>0.36259999999999998</c:v>
                </c:pt>
                <c:pt idx="158">
                  <c:v>0.35120000000000001</c:v>
                </c:pt>
                <c:pt idx="159">
                  <c:v>0.32669999999999999</c:v>
                </c:pt>
                <c:pt idx="160">
                  <c:v>0.34620000000000001</c:v>
                </c:pt>
                <c:pt idx="161">
                  <c:v>0.32890000000000003</c:v>
                </c:pt>
                <c:pt idx="162">
                  <c:v>0.33439999999999998</c:v>
                </c:pt>
                <c:pt idx="163">
                  <c:v>0.30309999999999998</c:v>
                </c:pt>
                <c:pt idx="164">
                  <c:v>0.31030000000000002</c:v>
                </c:pt>
                <c:pt idx="165">
                  <c:v>0.31430000000000002</c:v>
                </c:pt>
                <c:pt idx="166">
                  <c:v>0.27529999999999999</c:v>
                </c:pt>
                <c:pt idx="167">
                  <c:v>0.26869999999999999</c:v>
                </c:pt>
                <c:pt idx="168">
                  <c:v>0.25159999999999999</c:v>
                </c:pt>
                <c:pt idx="169">
                  <c:v>0.24149999999999999</c:v>
                </c:pt>
                <c:pt idx="170">
                  <c:v>0.23699999999999999</c:v>
                </c:pt>
                <c:pt idx="171">
                  <c:v>0.24709999999999999</c:v>
                </c:pt>
                <c:pt idx="172">
                  <c:v>0.23669999999999999</c:v>
                </c:pt>
                <c:pt idx="173">
                  <c:v>0.2462</c:v>
                </c:pt>
                <c:pt idx="174">
                  <c:v>0.20699999999999999</c:v>
                </c:pt>
                <c:pt idx="175">
                  <c:v>0.2079</c:v>
                </c:pt>
                <c:pt idx="176">
                  <c:v>0.1958</c:v>
                </c:pt>
                <c:pt idx="177">
                  <c:v>0.2024</c:v>
                </c:pt>
                <c:pt idx="178">
                  <c:v>0.20530000000000001</c:v>
                </c:pt>
                <c:pt idx="179">
                  <c:v>0.1845</c:v>
                </c:pt>
                <c:pt idx="180">
                  <c:v>0.17899999999999999</c:v>
                </c:pt>
                <c:pt idx="181">
                  <c:v>0.17180000000000001</c:v>
                </c:pt>
                <c:pt idx="182">
                  <c:v>0.15340000000000001</c:v>
                </c:pt>
                <c:pt idx="183">
                  <c:v>0.16059999999999999</c:v>
                </c:pt>
                <c:pt idx="184">
                  <c:v>0.1749</c:v>
                </c:pt>
                <c:pt idx="185">
                  <c:v>0.17730000000000001</c:v>
                </c:pt>
                <c:pt idx="186">
                  <c:v>0.17910000000000001</c:v>
                </c:pt>
                <c:pt idx="187">
                  <c:v>0.1898</c:v>
                </c:pt>
                <c:pt idx="188">
                  <c:v>0.19159999999999999</c:v>
                </c:pt>
                <c:pt idx="189">
                  <c:v>0.191</c:v>
                </c:pt>
                <c:pt idx="190">
                  <c:v>0.1991</c:v>
                </c:pt>
                <c:pt idx="191">
                  <c:v>0.2009</c:v>
                </c:pt>
                <c:pt idx="192">
                  <c:v>0.19719999999999999</c:v>
                </c:pt>
                <c:pt idx="193">
                  <c:v>0.2</c:v>
                </c:pt>
                <c:pt idx="194">
                  <c:v>0.2031</c:v>
                </c:pt>
                <c:pt idx="195">
                  <c:v>0.22570000000000001</c:v>
                </c:pt>
                <c:pt idx="196">
                  <c:v>0.2132</c:v>
                </c:pt>
                <c:pt idx="197">
                  <c:v>0.2051</c:v>
                </c:pt>
                <c:pt idx="198">
                  <c:v>0.21490000000000001</c:v>
                </c:pt>
                <c:pt idx="199">
                  <c:v>0.2087</c:v>
                </c:pt>
                <c:pt idx="200">
                  <c:v>0.1966</c:v>
                </c:pt>
                <c:pt idx="201">
                  <c:v>0.1948</c:v>
                </c:pt>
                <c:pt idx="202">
                  <c:v>0.21199999999999999</c:v>
                </c:pt>
                <c:pt idx="203">
                  <c:v>0.223</c:v>
                </c:pt>
                <c:pt idx="204">
                  <c:v>0.19289999999999999</c:v>
                </c:pt>
                <c:pt idx="205">
                  <c:v>0.18290000000000001</c:v>
                </c:pt>
                <c:pt idx="206">
                  <c:v>0.1726</c:v>
                </c:pt>
                <c:pt idx="207">
                  <c:v>0.16819999999999999</c:v>
                </c:pt>
                <c:pt idx="208">
                  <c:v>0.1953</c:v>
                </c:pt>
                <c:pt idx="209">
                  <c:v>0.18720000000000001</c:v>
                </c:pt>
                <c:pt idx="210">
                  <c:v>0.1699</c:v>
                </c:pt>
                <c:pt idx="211">
                  <c:v>0.20380000000000001</c:v>
                </c:pt>
                <c:pt idx="212">
                  <c:v>0.25800000000000001</c:v>
                </c:pt>
                <c:pt idx="213">
                  <c:v>0.26779999999999998</c:v>
                </c:pt>
                <c:pt idx="214">
                  <c:v>0.28339999999999999</c:v>
                </c:pt>
                <c:pt idx="215">
                  <c:v>0.33710000000000001</c:v>
                </c:pt>
                <c:pt idx="216">
                  <c:v>0.31</c:v>
                </c:pt>
                <c:pt idx="217">
                  <c:v>0.32290000000000002</c:v>
                </c:pt>
                <c:pt idx="218">
                  <c:v>0.31709999999999999</c:v>
                </c:pt>
                <c:pt idx="219">
                  <c:v>0.28570000000000001</c:v>
                </c:pt>
                <c:pt idx="220">
                  <c:v>0.25879999999999997</c:v>
                </c:pt>
                <c:pt idx="221">
                  <c:v>0.27229999999999999</c:v>
                </c:pt>
                <c:pt idx="222">
                  <c:v>0.27629999999999999</c:v>
                </c:pt>
                <c:pt idx="223">
                  <c:v>0.29480000000000001</c:v>
                </c:pt>
                <c:pt idx="224">
                  <c:v>0.27560000000000001</c:v>
                </c:pt>
                <c:pt idx="225">
                  <c:v>0.2843</c:v>
                </c:pt>
                <c:pt idx="226">
                  <c:v>0.33700000000000002</c:v>
                </c:pt>
                <c:pt idx="227">
                  <c:v>0.31419999999999998</c:v>
                </c:pt>
                <c:pt idx="228">
                  <c:v>0.32569999999999999</c:v>
                </c:pt>
                <c:pt idx="229">
                  <c:v>0.37109999999999999</c:v>
                </c:pt>
                <c:pt idx="230">
                  <c:v>0.3483</c:v>
                </c:pt>
                <c:pt idx="231">
                  <c:v>0.32840000000000003</c:v>
                </c:pt>
                <c:pt idx="232">
                  <c:v>0.32969999999999999</c:v>
                </c:pt>
                <c:pt idx="233">
                  <c:v>0.31</c:v>
                </c:pt>
                <c:pt idx="234">
                  <c:v>0.27610000000000001</c:v>
                </c:pt>
                <c:pt idx="235">
                  <c:v>0.31559999999999999</c:v>
                </c:pt>
                <c:pt idx="236">
                  <c:v>0.36809999999999998</c:v>
                </c:pt>
                <c:pt idx="237">
                  <c:v>0.3785</c:v>
                </c:pt>
                <c:pt idx="238">
                  <c:v>0.29680000000000001</c:v>
                </c:pt>
                <c:pt idx="239">
                  <c:v>0.2989</c:v>
                </c:pt>
                <c:pt idx="240">
                  <c:v>0.2404</c:v>
                </c:pt>
                <c:pt idx="241">
                  <c:v>0.29149999999999998</c:v>
                </c:pt>
                <c:pt idx="242">
                  <c:v>0.3135</c:v>
                </c:pt>
                <c:pt idx="243">
                  <c:v>0.38990000000000002</c:v>
                </c:pt>
                <c:pt idx="244">
                  <c:v>0.34539999999999998</c:v>
                </c:pt>
                <c:pt idx="245">
                  <c:v>0.66679999999999995</c:v>
                </c:pt>
                <c:pt idx="246">
                  <c:v>0.65739999999999998</c:v>
                </c:pt>
                <c:pt idx="247">
                  <c:v>0.68179999999999996</c:v>
                </c:pt>
                <c:pt idx="248">
                  <c:v>0.6865</c:v>
                </c:pt>
                <c:pt idx="249">
                  <c:v>0.7732</c:v>
                </c:pt>
                <c:pt idx="250">
                  <c:v>0.70979999999999999</c:v>
                </c:pt>
                <c:pt idx="251">
                  <c:v>0.66759999999999997</c:v>
                </c:pt>
                <c:pt idx="252">
                  <c:v>0.78310000000000002</c:v>
                </c:pt>
                <c:pt idx="253">
                  <c:v>0.7349</c:v>
                </c:pt>
                <c:pt idx="254">
                  <c:v>0.86960000000000004</c:v>
                </c:pt>
                <c:pt idx="255">
                  <c:v>0.90639999999999998</c:v>
                </c:pt>
                <c:pt idx="256">
                  <c:v>0.93869999999999998</c:v>
                </c:pt>
                <c:pt idx="257">
                  <c:v>0.90129999999999999</c:v>
                </c:pt>
                <c:pt idx="258">
                  <c:v>1.0018</c:v>
                </c:pt>
                <c:pt idx="259">
                  <c:v>0.95699999999999996</c:v>
                </c:pt>
                <c:pt idx="260">
                  <c:v>0.86080000000000001</c:v>
                </c:pt>
                <c:pt idx="261">
                  <c:v>0.83240000000000003</c:v>
                </c:pt>
                <c:pt idx="262">
                  <c:v>0.84</c:v>
                </c:pt>
                <c:pt idx="263">
                  <c:v>0.86539999999999995</c:v>
                </c:pt>
                <c:pt idx="264">
                  <c:v>0.89170000000000005</c:v>
                </c:pt>
                <c:pt idx="265">
                  <c:v>0.7258</c:v>
                </c:pt>
                <c:pt idx="266">
                  <c:v>0.78339999999999999</c:v>
                </c:pt>
                <c:pt idx="267">
                  <c:v>0.76629999999999998</c:v>
                </c:pt>
                <c:pt idx="268">
                  <c:v>0.57389999999999997</c:v>
                </c:pt>
                <c:pt idx="269">
                  <c:v>0.58150000000000002</c:v>
                </c:pt>
                <c:pt idx="270">
                  <c:v>0.60429999999999995</c:v>
                </c:pt>
                <c:pt idx="271">
                  <c:v>0.65849999999999997</c:v>
                </c:pt>
                <c:pt idx="272">
                  <c:v>0.78100000000000003</c:v>
                </c:pt>
                <c:pt idx="273">
                  <c:v>0.72509999999999997</c:v>
                </c:pt>
                <c:pt idx="274">
                  <c:v>0.69969999999999999</c:v>
                </c:pt>
                <c:pt idx="275">
                  <c:v>0.76900000000000002</c:v>
                </c:pt>
                <c:pt idx="276">
                  <c:v>0.9093</c:v>
                </c:pt>
                <c:pt idx="277">
                  <c:v>0.91200000000000003</c:v>
                </c:pt>
                <c:pt idx="278">
                  <c:v>0.97499999999999998</c:v>
                </c:pt>
                <c:pt idx="279">
                  <c:v>0.84030000000000005</c:v>
                </c:pt>
                <c:pt idx="280">
                  <c:v>0.84960000000000002</c:v>
                </c:pt>
                <c:pt idx="281">
                  <c:v>0.89229999999999998</c:v>
                </c:pt>
                <c:pt idx="282">
                  <c:v>0.8226</c:v>
                </c:pt>
                <c:pt idx="283">
                  <c:v>0.8165</c:v>
                </c:pt>
                <c:pt idx="284">
                  <c:v>0.85350000000000004</c:v>
                </c:pt>
                <c:pt idx="285">
                  <c:v>0.91810000000000003</c:v>
                </c:pt>
                <c:pt idx="286">
                  <c:v>0.84160000000000001</c:v>
                </c:pt>
                <c:pt idx="287">
                  <c:v>0.83130000000000004</c:v>
                </c:pt>
                <c:pt idx="288">
                  <c:v>0.77839999999999998</c:v>
                </c:pt>
                <c:pt idx="289">
                  <c:v>0.73760000000000003</c:v>
                </c:pt>
                <c:pt idx="290">
                  <c:v>0.6321</c:v>
                </c:pt>
                <c:pt idx="291">
                  <c:v>0.69750000000000001</c:v>
                </c:pt>
                <c:pt idx="292">
                  <c:v>0.67090000000000005</c:v>
                </c:pt>
                <c:pt idx="293">
                  <c:v>0.70840000000000003</c:v>
                </c:pt>
                <c:pt idx="294">
                  <c:v>0.69359999999999999</c:v>
                </c:pt>
                <c:pt idx="295">
                  <c:v>0.61080000000000001</c:v>
                </c:pt>
                <c:pt idx="296">
                  <c:v>0.57789999999999997</c:v>
                </c:pt>
                <c:pt idx="297">
                  <c:v>0.52470000000000006</c:v>
                </c:pt>
                <c:pt idx="298">
                  <c:v>0.51980000000000004</c:v>
                </c:pt>
                <c:pt idx="299">
                  <c:v>0.45100000000000001</c:v>
                </c:pt>
                <c:pt idx="300">
                  <c:v>0.46589999999999998</c:v>
                </c:pt>
                <c:pt idx="301">
                  <c:v>0.5111</c:v>
                </c:pt>
                <c:pt idx="302">
                  <c:v>0.51439999999999997</c:v>
                </c:pt>
                <c:pt idx="303">
                  <c:v>0.56479999999999997</c:v>
                </c:pt>
                <c:pt idx="304">
                  <c:v>0.58579999999999999</c:v>
                </c:pt>
                <c:pt idx="305">
                  <c:v>0.59670000000000001</c:v>
                </c:pt>
                <c:pt idx="306">
                  <c:v>0.61119999999999997</c:v>
                </c:pt>
                <c:pt idx="307">
                  <c:v>0.57589999999999997</c:v>
                </c:pt>
                <c:pt idx="308">
                  <c:v>0.60660000000000003</c:v>
                </c:pt>
                <c:pt idx="309">
                  <c:v>0.49459999999999998</c:v>
                </c:pt>
                <c:pt idx="310">
                  <c:v>0.4859</c:v>
                </c:pt>
                <c:pt idx="311">
                  <c:v>0.51680000000000004</c:v>
                </c:pt>
                <c:pt idx="312">
                  <c:v>0.48570000000000002</c:v>
                </c:pt>
                <c:pt idx="313">
                  <c:v>0.51319999999999999</c:v>
                </c:pt>
                <c:pt idx="314">
                  <c:v>0.52010000000000001</c:v>
                </c:pt>
                <c:pt idx="315">
                  <c:v>0.56079999999999997</c:v>
                </c:pt>
                <c:pt idx="316">
                  <c:v>0.53390000000000004</c:v>
                </c:pt>
                <c:pt idx="317">
                  <c:v>0.45910000000000001</c:v>
                </c:pt>
                <c:pt idx="318">
                  <c:v>0.44879999999999998</c:v>
                </c:pt>
                <c:pt idx="319">
                  <c:v>0.43259999999999998</c:v>
                </c:pt>
                <c:pt idx="320">
                  <c:v>0.44600000000000001</c:v>
                </c:pt>
                <c:pt idx="321">
                  <c:v>0.48820000000000002</c:v>
                </c:pt>
                <c:pt idx="322">
                  <c:v>0.43540000000000001</c:v>
                </c:pt>
                <c:pt idx="323">
                  <c:v>0.43190000000000001</c:v>
                </c:pt>
                <c:pt idx="324">
                  <c:v>0.37519999999999998</c:v>
                </c:pt>
                <c:pt idx="325">
                  <c:v>0.41049999999999998</c:v>
                </c:pt>
                <c:pt idx="326">
                  <c:v>0.40239999999999998</c:v>
                </c:pt>
                <c:pt idx="327">
                  <c:v>0.39850000000000002</c:v>
                </c:pt>
                <c:pt idx="328">
                  <c:v>0.43140000000000001</c:v>
                </c:pt>
                <c:pt idx="329">
                  <c:v>0.43809999999999999</c:v>
                </c:pt>
                <c:pt idx="330">
                  <c:v>0.56710000000000005</c:v>
                </c:pt>
                <c:pt idx="331">
                  <c:v>0.59219999999999995</c:v>
                </c:pt>
                <c:pt idx="332">
                  <c:v>0.60309999999999997</c:v>
                </c:pt>
                <c:pt idx="333">
                  <c:v>0.60699999999999998</c:v>
                </c:pt>
                <c:pt idx="334">
                  <c:v>0.64200000000000002</c:v>
                </c:pt>
                <c:pt idx="335">
                  <c:v>0.61029999999999995</c:v>
                </c:pt>
                <c:pt idx="336">
                  <c:v>0.61439999999999995</c:v>
                </c:pt>
                <c:pt idx="337">
                  <c:v>0.62419999999999998</c:v>
                </c:pt>
                <c:pt idx="338">
                  <c:v>0.68710000000000004</c:v>
                </c:pt>
                <c:pt idx="339">
                  <c:v>0.78129999999999999</c:v>
                </c:pt>
                <c:pt idx="340">
                  <c:v>0.73850000000000005</c:v>
                </c:pt>
                <c:pt idx="341">
                  <c:v>0.61899999999999999</c:v>
                </c:pt>
                <c:pt idx="342">
                  <c:v>0.53420000000000001</c:v>
                </c:pt>
                <c:pt idx="343">
                  <c:v>0.53449999999999998</c:v>
                </c:pt>
                <c:pt idx="344">
                  <c:v>0.47589999999999999</c:v>
                </c:pt>
                <c:pt idx="345">
                  <c:v>0.432</c:v>
                </c:pt>
                <c:pt idx="346">
                  <c:v>0.46629999999999999</c:v>
                </c:pt>
                <c:pt idx="347">
                  <c:v>0.51019999999999999</c:v>
                </c:pt>
                <c:pt idx="348">
                  <c:v>0.44929999999999998</c:v>
                </c:pt>
                <c:pt idx="349">
                  <c:v>0.38740000000000002</c:v>
                </c:pt>
                <c:pt idx="350">
                  <c:v>0.3911</c:v>
                </c:pt>
                <c:pt idx="351">
                  <c:v>0.31469999999999998</c:v>
                </c:pt>
                <c:pt idx="352">
                  <c:v>0.3075</c:v>
                </c:pt>
                <c:pt idx="353">
                  <c:v>0.34370000000000001</c:v>
                </c:pt>
                <c:pt idx="354">
                  <c:v>0.32450000000000001</c:v>
                </c:pt>
                <c:pt idx="355">
                  <c:v>0.30840000000000001</c:v>
                </c:pt>
                <c:pt idx="356">
                  <c:v>0.30199999999999999</c:v>
                </c:pt>
                <c:pt idx="357">
                  <c:v>0.34410000000000002</c:v>
                </c:pt>
                <c:pt idx="358">
                  <c:v>0.36849999999999999</c:v>
                </c:pt>
                <c:pt idx="359">
                  <c:v>0.32040000000000002</c:v>
                </c:pt>
                <c:pt idx="360">
                  <c:v>0.33579999999999999</c:v>
                </c:pt>
                <c:pt idx="361">
                  <c:v>0.25590000000000002</c:v>
                </c:pt>
                <c:pt idx="362">
                  <c:v>0.2535</c:v>
                </c:pt>
                <c:pt idx="363">
                  <c:v>0.2792</c:v>
                </c:pt>
                <c:pt idx="364">
                  <c:v>0.2752</c:v>
                </c:pt>
                <c:pt idx="365">
                  <c:v>0.30280000000000001</c:v>
                </c:pt>
                <c:pt idx="366">
                  <c:v>0.2823</c:v>
                </c:pt>
                <c:pt idx="367">
                  <c:v>0.26989999999999997</c:v>
                </c:pt>
                <c:pt idx="368">
                  <c:v>0.22950000000000001</c:v>
                </c:pt>
                <c:pt idx="369">
                  <c:v>0.2167</c:v>
                </c:pt>
                <c:pt idx="370">
                  <c:v>0.20610000000000001</c:v>
                </c:pt>
                <c:pt idx="371">
                  <c:v>0.184</c:v>
                </c:pt>
                <c:pt idx="372">
                  <c:v>0.19209999999999999</c:v>
                </c:pt>
                <c:pt idx="373">
                  <c:v>0.2213</c:v>
                </c:pt>
                <c:pt idx="374">
                  <c:v>0.23960000000000001</c:v>
                </c:pt>
                <c:pt idx="375">
                  <c:v>0.22239999999999999</c:v>
                </c:pt>
                <c:pt idx="376">
                  <c:v>0.21529999999999999</c:v>
                </c:pt>
                <c:pt idx="377">
                  <c:v>0.22900000000000001</c:v>
                </c:pt>
                <c:pt idx="378">
                  <c:v>0.20910000000000001</c:v>
                </c:pt>
                <c:pt idx="379">
                  <c:v>0.18840000000000001</c:v>
                </c:pt>
                <c:pt idx="380">
                  <c:v>0.1804</c:v>
                </c:pt>
                <c:pt idx="381">
                  <c:v>0.1603</c:v>
                </c:pt>
                <c:pt idx="382">
                  <c:v>0.16120000000000001</c:v>
                </c:pt>
                <c:pt idx="383">
                  <c:v>0.16500000000000001</c:v>
                </c:pt>
                <c:pt idx="384">
                  <c:v>0.15670000000000001</c:v>
                </c:pt>
                <c:pt idx="385">
                  <c:v>0.15609999999999999</c:v>
                </c:pt>
                <c:pt idx="386">
                  <c:v>0.17910000000000001</c:v>
                </c:pt>
                <c:pt idx="387">
                  <c:v>0.16059999999999999</c:v>
                </c:pt>
                <c:pt idx="388">
                  <c:v>0.154</c:v>
                </c:pt>
                <c:pt idx="389">
                  <c:v>0.16719999999999999</c:v>
                </c:pt>
                <c:pt idx="390">
                  <c:v>0.1754</c:v>
                </c:pt>
                <c:pt idx="391">
                  <c:v>0.1676</c:v>
                </c:pt>
                <c:pt idx="392">
                  <c:v>0.21729999999999999</c:v>
                </c:pt>
                <c:pt idx="393">
                  <c:v>0.20480000000000001</c:v>
                </c:pt>
                <c:pt idx="394">
                  <c:v>0.21929999999999999</c:v>
                </c:pt>
                <c:pt idx="395">
                  <c:v>0.23449999999999999</c:v>
                </c:pt>
                <c:pt idx="396">
                  <c:v>0.23930000000000001</c:v>
                </c:pt>
                <c:pt idx="397">
                  <c:v>0.2301</c:v>
                </c:pt>
                <c:pt idx="398">
                  <c:v>0.2535</c:v>
                </c:pt>
                <c:pt idx="399">
                  <c:v>0.24399999999999999</c:v>
                </c:pt>
                <c:pt idx="400">
                  <c:v>0.23200000000000001</c:v>
                </c:pt>
                <c:pt idx="401">
                  <c:v>0.2172</c:v>
                </c:pt>
                <c:pt idx="402">
                  <c:v>0.21129999999999999</c:v>
                </c:pt>
                <c:pt idx="403">
                  <c:v>0.1913</c:v>
                </c:pt>
                <c:pt idx="404">
                  <c:v>0.21079999999999999</c:v>
                </c:pt>
                <c:pt idx="405">
                  <c:v>0.22739999999999999</c:v>
                </c:pt>
                <c:pt idx="406">
                  <c:v>0.2369</c:v>
                </c:pt>
                <c:pt idx="407">
                  <c:v>0.2666</c:v>
                </c:pt>
                <c:pt idx="408">
                  <c:v>0.25700000000000001</c:v>
                </c:pt>
                <c:pt idx="409">
                  <c:v>0.26879999999999998</c:v>
                </c:pt>
                <c:pt idx="410">
                  <c:v>0.2455</c:v>
                </c:pt>
                <c:pt idx="411">
                  <c:v>0.29039999999999999</c:v>
                </c:pt>
                <c:pt idx="412">
                  <c:v>0.2893</c:v>
                </c:pt>
                <c:pt idx="413">
                  <c:v>0.2319</c:v>
                </c:pt>
                <c:pt idx="414">
                  <c:v>0.24479999999999999</c:v>
                </c:pt>
                <c:pt idx="415">
                  <c:v>0.25590000000000002</c:v>
                </c:pt>
                <c:pt idx="416">
                  <c:v>0.21560000000000001</c:v>
                </c:pt>
                <c:pt idx="417">
                  <c:v>0.2157</c:v>
                </c:pt>
                <c:pt idx="418">
                  <c:v>0.22450000000000001</c:v>
                </c:pt>
                <c:pt idx="419">
                  <c:v>0.26119999999999999</c:v>
                </c:pt>
                <c:pt idx="420">
                  <c:v>0.3009</c:v>
                </c:pt>
                <c:pt idx="421">
                  <c:v>0.34320000000000001</c:v>
                </c:pt>
                <c:pt idx="422">
                  <c:v>0.3322</c:v>
                </c:pt>
                <c:pt idx="423">
                  <c:v>0.35759999999999997</c:v>
                </c:pt>
                <c:pt idx="424">
                  <c:v>0.31580000000000003</c:v>
                </c:pt>
                <c:pt idx="425">
                  <c:v>0.25729999999999997</c:v>
                </c:pt>
                <c:pt idx="426">
                  <c:v>0.22259999999999999</c:v>
                </c:pt>
                <c:pt idx="427">
                  <c:v>0.2437</c:v>
                </c:pt>
                <c:pt idx="428">
                  <c:v>0.21429999999999999</c:v>
                </c:pt>
                <c:pt idx="429">
                  <c:v>0.18290000000000001</c:v>
                </c:pt>
                <c:pt idx="430">
                  <c:v>0.16600000000000001</c:v>
                </c:pt>
                <c:pt idx="431">
                  <c:v>0.1515</c:v>
                </c:pt>
                <c:pt idx="432">
                  <c:v>0.13339999999999999</c:v>
                </c:pt>
                <c:pt idx="433">
                  <c:v>0.13320000000000001</c:v>
                </c:pt>
                <c:pt idx="434">
                  <c:v>0.1479</c:v>
                </c:pt>
                <c:pt idx="435">
                  <c:v>0.11840000000000001</c:v>
                </c:pt>
                <c:pt idx="436">
                  <c:v>0.12989999999999999</c:v>
                </c:pt>
                <c:pt idx="437">
                  <c:v>0.1178</c:v>
                </c:pt>
                <c:pt idx="438">
                  <c:v>0.1164</c:v>
                </c:pt>
                <c:pt idx="439">
                  <c:v>0.1026</c:v>
                </c:pt>
                <c:pt idx="440">
                  <c:v>9.1300000000000006E-2</c:v>
                </c:pt>
                <c:pt idx="441">
                  <c:v>0.1</c:v>
                </c:pt>
                <c:pt idx="442">
                  <c:v>0.1047</c:v>
                </c:pt>
                <c:pt idx="443">
                  <c:v>0.1114</c:v>
                </c:pt>
                <c:pt idx="444">
                  <c:v>0.111</c:v>
                </c:pt>
                <c:pt idx="445">
                  <c:v>0.1072</c:v>
                </c:pt>
                <c:pt idx="446">
                  <c:v>0.11269999999999999</c:v>
                </c:pt>
                <c:pt idx="447">
                  <c:v>0.12889999999999999</c:v>
                </c:pt>
                <c:pt idx="448">
                  <c:v>0.13320000000000001</c:v>
                </c:pt>
                <c:pt idx="449">
                  <c:v>0.1032</c:v>
                </c:pt>
                <c:pt idx="450">
                  <c:v>0.108</c:v>
                </c:pt>
                <c:pt idx="451">
                  <c:v>0.1123</c:v>
                </c:pt>
                <c:pt idx="452">
                  <c:v>0.1144</c:v>
                </c:pt>
                <c:pt idx="453">
                  <c:v>0.1163</c:v>
                </c:pt>
                <c:pt idx="454">
                  <c:v>0.113</c:v>
                </c:pt>
                <c:pt idx="455">
                  <c:v>0.1103</c:v>
                </c:pt>
                <c:pt idx="456">
                  <c:v>0.1235</c:v>
                </c:pt>
                <c:pt idx="457">
                  <c:v>0.12970000000000001</c:v>
                </c:pt>
                <c:pt idx="458">
                  <c:v>0.12520000000000001</c:v>
                </c:pt>
                <c:pt idx="459">
                  <c:v>0.1106</c:v>
                </c:pt>
                <c:pt idx="460">
                  <c:v>0.1217</c:v>
                </c:pt>
                <c:pt idx="461">
                  <c:v>0.11899999999999999</c:v>
                </c:pt>
                <c:pt idx="462">
                  <c:v>0.12959999999999999</c:v>
                </c:pt>
                <c:pt idx="463">
                  <c:v>0.1336</c:v>
                </c:pt>
                <c:pt idx="464">
                  <c:v>0.14119999999999999</c:v>
                </c:pt>
                <c:pt idx="465">
                  <c:v>0.14050000000000001</c:v>
                </c:pt>
                <c:pt idx="466">
                  <c:v>0.14319999999999999</c:v>
                </c:pt>
                <c:pt idx="467">
                  <c:v>0.1244</c:v>
                </c:pt>
                <c:pt idx="468">
                  <c:v>0.1169</c:v>
                </c:pt>
                <c:pt idx="469">
                  <c:v>0.1143</c:v>
                </c:pt>
                <c:pt idx="470">
                  <c:v>0.15210000000000001</c:v>
                </c:pt>
                <c:pt idx="471">
                  <c:v>0.15659999999999999</c:v>
                </c:pt>
                <c:pt idx="472">
                  <c:v>0.1636</c:v>
                </c:pt>
                <c:pt idx="473">
                  <c:v>0.1653</c:v>
                </c:pt>
                <c:pt idx="474">
                  <c:v>0.1837</c:v>
                </c:pt>
                <c:pt idx="475">
                  <c:v>0.19650000000000001</c:v>
                </c:pt>
                <c:pt idx="476">
                  <c:v>0.19639999999999999</c:v>
                </c:pt>
                <c:pt idx="477">
                  <c:v>0.19700000000000001</c:v>
                </c:pt>
                <c:pt idx="478">
                  <c:v>0.2069</c:v>
                </c:pt>
                <c:pt idx="479">
                  <c:v>0.2238</c:v>
                </c:pt>
                <c:pt idx="480">
                  <c:v>0.20780000000000001</c:v>
                </c:pt>
                <c:pt idx="481">
                  <c:v>0.1991</c:v>
                </c:pt>
                <c:pt idx="482">
                  <c:v>0.17530000000000001</c:v>
                </c:pt>
                <c:pt idx="483">
                  <c:v>0.21360000000000001</c:v>
                </c:pt>
                <c:pt idx="484">
                  <c:v>0.2122</c:v>
                </c:pt>
                <c:pt idx="485">
                  <c:v>0.26279999999999998</c:v>
                </c:pt>
                <c:pt idx="486">
                  <c:v>0.30780000000000002</c:v>
                </c:pt>
                <c:pt idx="487">
                  <c:v>0.2908</c:v>
                </c:pt>
                <c:pt idx="488">
                  <c:v>0.27960000000000002</c:v>
                </c:pt>
                <c:pt idx="489">
                  <c:v>0.27339999999999998</c:v>
                </c:pt>
                <c:pt idx="490">
                  <c:v>0.33179999999999998</c:v>
                </c:pt>
                <c:pt idx="491">
                  <c:v>0.43070000000000003</c:v>
                </c:pt>
                <c:pt idx="492">
                  <c:v>0.4652</c:v>
                </c:pt>
                <c:pt idx="493">
                  <c:v>0.67589999999999995</c:v>
                </c:pt>
                <c:pt idx="494">
                  <c:v>0.61819999999999997</c:v>
                </c:pt>
                <c:pt idx="495">
                  <c:v>0.61539999999999995</c:v>
                </c:pt>
                <c:pt idx="496">
                  <c:v>0.6401</c:v>
                </c:pt>
                <c:pt idx="497">
                  <c:v>0.51990000000000003</c:v>
                </c:pt>
                <c:pt idx="498">
                  <c:v>0.55640000000000001</c:v>
                </c:pt>
                <c:pt idx="499">
                  <c:v>0.62129999999999996</c:v>
                </c:pt>
                <c:pt idx="500">
                  <c:v>0.46789999999999998</c:v>
                </c:pt>
                <c:pt idx="501">
                  <c:v>0.7</c:v>
                </c:pt>
                <c:pt idx="502">
                  <c:v>0.72419999999999995</c:v>
                </c:pt>
                <c:pt idx="503">
                  <c:v>0.93659999999999999</c:v>
                </c:pt>
                <c:pt idx="504">
                  <c:v>1.0434000000000001</c:v>
                </c:pt>
                <c:pt idx="505">
                  <c:v>1.2679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B-4D9D-A5A3-1CD83E20AD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44202</c:v>
                </c:pt>
                <c:pt idx="378">
                  <c:v>44201</c:v>
                </c:pt>
                <c:pt idx="379">
                  <c:v>44200</c:v>
                </c:pt>
                <c:pt idx="380">
                  <c:v>44199</c:v>
                </c:pt>
                <c:pt idx="381">
                  <c:v>44198</c:v>
                </c:pt>
                <c:pt idx="382">
                  <c:v>44197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44192</c:v>
                </c:pt>
                <c:pt idx="388">
                  <c:v>44191</c:v>
                </c:pt>
                <c:pt idx="389">
                  <c:v>44190</c:v>
                </c:pt>
                <c:pt idx="390">
                  <c:v>44189</c:v>
                </c:pt>
                <c:pt idx="391">
                  <c:v>44188</c:v>
                </c:pt>
                <c:pt idx="392">
                  <c:v>44187</c:v>
                </c:pt>
                <c:pt idx="393">
                  <c:v>44186</c:v>
                </c:pt>
                <c:pt idx="394">
                  <c:v>44185</c:v>
                </c:pt>
                <c:pt idx="395">
                  <c:v>44184</c:v>
                </c:pt>
                <c:pt idx="396">
                  <c:v>44183</c:v>
                </c:pt>
                <c:pt idx="397">
                  <c:v>44182</c:v>
                </c:pt>
                <c:pt idx="398">
                  <c:v>44181</c:v>
                </c:pt>
                <c:pt idx="399">
                  <c:v>44180</c:v>
                </c:pt>
                <c:pt idx="400">
                  <c:v>44179</c:v>
                </c:pt>
                <c:pt idx="401">
                  <c:v>44178</c:v>
                </c:pt>
                <c:pt idx="402">
                  <c:v>44177</c:v>
                </c:pt>
                <c:pt idx="403">
                  <c:v>44176</c:v>
                </c:pt>
                <c:pt idx="404">
                  <c:v>44175</c:v>
                </c:pt>
                <c:pt idx="405">
                  <c:v>44174</c:v>
                </c:pt>
                <c:pt idx="406">
                  <c:v>44173</c:v>
                </c:pt>
                <c:pt idx="407">
                  <c:v>44172</c:v>
                </c:pt>
                <c:pt idx="408">
                  <c:v>44171</c:v>
                </c:pt>
                <c:pt idx="409">
                  <c:v>44170</c:v>
                </c:pt>
                <c:pt idx="410">
                  <c:v>44169</c:v>
                </c:pt>
                <c:pt idx="411">
                  <c:v>44168</c:v>
                </c:pt>
                <c:pt idx="412">
                  <c:v>44167</c:v>
                </c:pt>
                <c:pt idx="413">
                  <c:v>44166</c:v>
                </c:pt>
                <c:pt idx="414">
                  <c:v>44165</c:v>
                </c:pt>
                <c:pt idx="415">
                  <c:v>44164</c:v>
                </c:pt>
                <c:pt idx="416">
                  <c:v>44163</c:v>
                </c:pt>
                <c:pt idx="417">
                  <c:v>44162</c:v>
                </c:pt>
                <c:pt idx="418">
                  <c:v>44161</c:v>
                </c:pt>
                <c:pt idx="419">
                  <c:v>44160</c:v>
                </c:pt>
                <c:pt idx="420">
                  <c:v>44159</c:v>
                </c:pt>
                <c:pt idx="421">
                  <c:v>44158</c:v>
                </c:pt>
                <c:pt idx="422">
                  <c:v>44157</c:v>
                </c:pt>
                <c:pt idx="423">
                  <c:v>44156</c:v>
                </c:pt>
                <c:pt idx="424">
                  <c:v>44155</c:v>
                </c:pt>
                <c:pt idx="425">
                  <c:v>44154</c:v>
                </c:pt>
                <c:pt idx="426">
                  <c:v>44153</c:v>
                </c:pt>
                <c:pt idx="427">
                  <c:v>44152</c:v>
                </c:pt>
                <c:pt idx="428">
                  <c:v>44151</c:v>
                </c:pt>
                <c:pt idx="429">
                  <c:v>44150</c:v>
                </c:pt>
                <c:pt idx="430">
                  <c:v>44149</c:v>
                </c:pt>
                <c:pt idx="431">
                  <c:v>44148</c:v>
                </c:pt>
                <c:pt idx="432">
                  <c:v>44147</c:v>
                </c:pt>
                <c:pt idx="433">
                  <c:v>44146</c:v>
                </c:pt>
                <c:pt idx="434">
                  <c:v>44145</c:v>
                </c:pt>
                <c:pt idx="435">
                  <c:v>44144</c:v>
                </c:pt>
                <c:pt idx="436">
                  <c:v>44143</c:v>
                </c:pt>
                <c:pt idx="437">
                  <c:v>44142</c:v>
                </c:pt>
                <c:pt idx="438">
                  <c:v>44141</c:v>
                </c:pt>
                <c:pt idx="439">
                  <c:v>44140</c:v>
                </c:pt>
                <c:pt idx="440">
                  <c:v>44139</c:v>
                </c:pt>
                <c:pt idx="441">
                  <c:v>44138</c:v>
                </c:pt>
                <c:pt idx="442">
                  <c:v>44137</c:v>
                </c:pt>
                <c:pt idx="443">
                  <c:v>44136</c:v>
                </c:pt>
                <c:pt idx="444">
                  <c:v>44135</c:v>
                </c:pt>
                <c:pt idx="445">
                  <c:v>44134</c:v>
                </c:pt>
                <c:pt idx="446">
                  <c:v>44133</c:v>
                </c:pt>
                <c:pt idx="447">
                  <c:v>44132</c:v>
                </c:pt>
                <c:pt idx="448">
                  <c:v>44131</c:v>
                </c:pt>
                <c:pt idx="449">
                  <c:v>44130</c:v>
                </c:pt>
                <c:pt idx="450">
                  <c:v>44129</c:v>
                </c:pt>
                <c:pt idx="451">
                  <c:v>44128</c:v>
                </c:pt>
                <c:pt idx="452">
                  <c:v>44127</c:v>
                </c:pt>
                <c:pt idx="453">
                  <c:v>44126</c:v>
                </c:pt>
                <c:pt idx="454">
                  <c:v>44125</c:v>
                </c:pt>
                <c:pt idx="455">
                  <c:v>44124</c:v>
                </c:pt>
                <c:pt idx="456">
                  <c:v>44123</c:v>
                </c:pt>
                <c:pt idx="457">
                  <c:v>44122</c:v>
                </c:pt>
                <c:pt idx="458">
                  <c:v>44121</c:v>
                </c:pt>
                <c:pt idx="459">
                  <c:v>44120</c:v>
                </c:pt>
                <c:pt idx="460">
                  <c:v>44119</c:v>
                </c:pt>
                <c:pt idx="461">
                  <c:v>44118</c:v>
                </c:pt>
                <c:pt idx="462">
                  <c:v>44117</c:v>
                </c:pt>
                <c:pt idx="463">
                  <c:v>44116</c:v>
                </c:pt>
                <c:pt idx="464">
                  <c:v>44115</c:v>
                </c:pt>
                <c:pt idx="465">
                  <c:v>44114</c:v>
                </c:pt>
                <c:pt idx="466">
                  <c:v>44113</c:v>
                </c:pt>
                <c:pt idx="467">
                  <c:v>44112</c:v>
                </c:pt>
                <c:pt idx="468">
                  <c:v>44111</c:v>
                </c:pt>
                <c:pt idx="469">
                  <c:v>44110</c:v>
                </c:pt>
                <c:pt idx="470">
                  <c:v>44109</c:v>
                </c:pt>
                <c:pt idx="471">
                  <c:v>44108</c:v>
                </c:pt>
                <c:pt idx="472">
                  <c:v>44107</c:v>
                </c:pt>
                <c:pt idx="473">
                  <c:v>44106</c:v>
                </c:pt>
                <c:pt idx="474">
                  <c:v>44105</c:v>
                </c:pt>
                <c:pt idx="475">
                  <c:v>44104</c:v>
                </c:pt>
                <c:pt idx="476">
                  <c:v>44103</c:v>
                </c:pt>
                <c:pt idx="477">
                  <c:v>44102</c:v>
                </c:pt>
                <c:pt idx="478">
                  <c:v>44101</c:v>
                </c:pt>
                <c:pt idx="479">
                  <c:v>44100</c:v>
                </c:pt>
                <c:pt idx="480">
                  <c:v>44099</c:v>
                </c:pt>
                <c:pt idx="481">
                  <c:v>44098</c:v>
                </c:pt>
                <c:pt idx="482">
                  <c:v>44097</c:v>
                </c:pt>
                <c:pt idx="483">
                  <c:v>44096</c:v>
                </c:pt>
                <c:pt idx="484">
                  <c:v>44095</c:v>
                </c:pt>
                <c:pt idx="485">
                  <c:v>44094</c:v>
                </c:pt>
                <c:pt idx="486">
                  <c:v>44093</c:v>
                </c:pt>
                <c:pt idx="487">
                  <c:v>44092</c:v>
                </c:pt>
                <c:pt idx="488">
                  <c:v>44091</c:v>
                </c:pt>
                <c:pt idx="489">
                  <c:v>44090</c:v>
                </c:pt>
                <c:pt idx="490">
                  <c:v>44089</c:v>
                </c:pt>
                <c:pt idx="491">
                  <c:v>44088</c:v>
                </c:pt>
                <c:pt idx="492">
                  <c:v>44087</c:v>
                </c:pt>
                <c:pt idx="493">
                  <c:v>44086</c:v>
                </c:pt>
                <c:pt idx="494">
                  <c:v>44085</c:v>
                </c:pt>
                <c:pt idx="495">
                  <c:v>44084</c:v>
                </c:pt>
                <c:pt idx="496">
                  <c:v>44083</c:v>
                </c:pt>
                <c:pt idx="497">
                  <c:v>44082</c:v>
                </c:pt>
                <c:pt idx="498">
                  <c:v>44081</c:v>
                </c:pt>
                <c:pt idx="499">
                  <c:v>44080</c:v>
                </c:pt>
                <c:pt idx="500">
                  <c:v>44079</c:v>
                </c:pt>
                <c:pt idx="501">
                  <c:v>44078</c:v>
                </c:pt>
                <c:pt idx="502">
                  <c:v>44077</c:v>
                </c:pt>
                <c:pt idx="503">
                  <c:v>44076</c:v>
                </c:pt>
                <c:pt idx="504">
                  <c:v>44075</c:v>
                </c:pt>
                <c:pt idx="505">
                  <c:v>44074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-6.2825907833248218</c:v>
                </c:pt>
                <c:pt idx="1">
                  <c:v>-6.2825907833248218</c:v>
                </c:pt>
                <c:pt idx="2">
                  <c:v>-6.2825907833248218</c:v>
                </c:pt>
                <c:pt idx="3">
                  <c:v>-6.2825907833248218</c:v>
                </c:pt>
                <c:pt idx="4">
                  <c:v>-6.2825907833248218</c:v>
                </c:pt>
                <c:pt idx="5">
                  <c:v>-6.2825907833248218</c:v>
                </c:pt>
                <c:pt idx="6">
                  <c:v>-6.2825907833248218</c:v>
                </c:pt>
                <c:pt idx="7">
                  <c:v>-6.2825907833248218</c:v>
                </c:pt>
                <c:pt idx="8">
                  <c:v>-6.2825907833248218</c:v>
                </c:pt>
                <c:pt idx="9">
                  <c:v>-6.2825907833248218</c:v>
                </c:pt>
                <c:pt idx="10">
                  <c:v>-6.2825907833248218</c:v>
                </c:pt>
                <c:pt idx="11">
                  <c:v>-6.2825907833248218</c:v>
                </c:pt>
                <c:pt idx="12">
                  <c:v>-6.2825907833248218</c:v>
                </c:pt>
                <c:pt idx="13">
                  <c:v>-6.2825907833248218</c:v>
                </c:pt>
                <c:pt idx="14">
                  <c:v>-6.2825907833248218</c:v>
                </c:pt>
                <c:pt idx="15">
                  <c:v>-6.2825907833248218</c:v>
                </c:pt>
                <c:pt idx="16">
                  <c:v>-6.2825907833248218</c:v>
                </c:pt>
                <c:pt idx="17">
                  <c:v>-6.2825907833248218</c:v>
                </c:pt>
                <c:pt idx="18">
                  <c:v>-6.2825907833248218</c:v>
                </c:pt>
                <c:pt idx="19">
                  <c:v>-6.2825907833248218</c:v>
                </c:pt>
                <c:pt idx="20">
                  <c:v>-6.2825907833248218</c:v>
                </c:pt>
                <c:pt idx="21">
                  <c:v>-6.2825907833248218</c:v>
                </c:pt>
                <c:pt idx="22">
                  <c:v>-6.2825907833248218</c:v>
                </c:pt>
                <c:pt idx="23">
                  <c:v>-6.2825907833248218</c:v>
                </c:pt>
                <c:pt idx="24">
                  <c:v>-6.2825907833248218</c:v>
                </c:pt>
                <c:pt idx="25">
                  <c:v>-6.2825907833248218</c:v>
                </c:pt>
                <c:pt idx="26">
                  <c:v>-6.2825907833248218</c:v>
                </c:pt>
                <c:pt idx="27">
                  <c:v>-6.2825907833248218</c:v>
                </c:pt>
                <c:pt idx="28">
                  <c:v>-6.2825907833248218</c:v>
                </c:pt>
                <c:pt idx="29">
                  <c:v>-6.2825907833248218</c:v>
                </c:pt>
                <c:pt idx="30">
                  <c:v>-6.3370938359564013</c:v>
                </c:pt>
                <c:pt idx="31">
                  <c:v>-5.970404121410688</c:v>
                </c:pt>
                <c:pt idx="32">
                  <c:v>-5.8239411097890663</c:v>
                </c:pt>
                <c:pt idx="33">
                  <c:v>-5.4990962185349419</c:v>
                </c:pt>
                <c:pt idx="34">
                  <c:v>-4.4297152308166314</c:v>
                </c:pt>
                <c:pt idx="35">
                  <c:v>-4.7705960849075391</c:v>
                </c:pt>
                <c:pt idx="36">
                  <c:v>-4.8618173530893571</c:v>
                </c:pt>
                <c:pt idx="37">
                  <c:v>-4.2004202879202097</c:v>
                </c:pt>
                <c:pt idx="38">
                  <c:v>-4.4124757002496215</c:v>
                </c:pt>
                <c:pt idx="39">
                  <c:v>-4.4352508178457759</c:v>
                </c:pt>
                <c:pt idx="40">
                  <c:v>-4.235586609225086</c:v>
                </c:pt>
                <c:pt idx="41">
                  <c:v>-3.7710680411893716</c:v>
                </c:pt>
                <c:pt idx="42">
                  <c:v>-3.9551731281893714</c:v>
                </c:pt>
                <c:pt idx="43">
                  <c:v>-4.2660549636324108</c:v>
                </c:pt>
                <c:pt idx="44">
                  <c:v>-4.5233895912186171</c:v>
                </c:pt>
                <c:pt idx="45">
                  <c:v>-4.3348732168707915</c:v>
                </c:pt>
                <c:pt idx="46">
                  <c:v>-3.9654357895270413</c:v>
                </c:pt>
                <c:pt idx="47">
                  <c:v>-3.1912262192251921</c:v>
                </c:pt>
                <c:pt idx="48">
                  <c:v>-3.5447059189247621</c:v>
                </c:pt>
                <c:pt idx="49">
                  <c:v>-3.6113780582821917</c:v>
                </c:pt>
                <c:pt idx="50">
                  <c:v>-3.6029564448222753</c:v>
                </c:pt>
                <c:pt idx="51">
                  <c:v>-3.7280321059987465</c:v>
                </c:pt>
                <c:pt idx="52">
                  <c:v>-3.6022205543849135</c:v>
                </c:pt>
                <c:pt idx="53">
                  <c:v>-4.0109423197079117</c:v>
                </c:pt>
                <c:pt idx="54">
                  <c:v>-3.8708931494025682</c:v>
                </c:pt>
                <c:pt idx="55">
                  <c:v>-3.9708107971089897</c:v>
                </c:pt>
                <c:pt idx="56">
                  <c:v>-4.0700070813870646</c:v>
                </c:pt>
                <c:pt idx="57">
                  <c:v>-4.2471433391279279</c:v>
                </c:pt>
                <c:pt idx="58">
                  <c:v>-4.1906123764730605</c:v>
                </c:pt>
                <c:pt idx="59">
                  <c:v>-4.1079465364730599</c:v>
                </c:pt>
                <c:pt idx="60">
                  <c:v>-4.2523578976544947</c:v>
                </c:pt>
                <c:pt idx="61">
                  <c:v>-4.4017487146292851</c:v>
                </c:pt>
                <c:pt idx="62">
                  <c:v>-4.1705939343092853</c:v>
                </c:pt>
                <c:pt idx="63">
                  <c:v>-3.8695900228458706</c:v>
                </c:pt>
                <c:pt idx="64">
                  <c:v>-3.5098430240836547</c:v>
                </c:pt>
                <c:pt idx="65">
                  <c:v>-3.3842024873981025</c:v>
                </c:pt>
                <c:pt idx="66">
                  <c:v>-3.3872182580455847</c:v>
                </c:pt>
                <c:pt idx="67">
                  <c:v>-3.468513147519269</c:v>
                </c:pt>
                <c:pt idx="68">
                  <c:v>-3.452146804468422</c:v>
                </c:pt>
                <c:pt idx="69">
                  <c:v>-3.4803330233679444</c:v>
                </c:pt>
                <c:pt idx="70">
                  <c:v>-3.3115432695319975</c:v>
                </c:pt>
                <c:pt idx="71">
                  <c:v>-3.4684404539980176</c:v>
                </c:pt>
                <c:pt idx="72">
                  <c:v>-3.6099070735754824</c:v>
                </c:pt>
                <c:pt idx="73">
                  <c:v>-3.5613847749708318</c:v>
                </c:pt>
                <c:pt idx="74">
                  <c:v>-3.4823476378330236</c:v>
                </c:pt>
                <c:pt idx="75">
                  <c:v>-2.4482993028961704</c:v>
                </c:pt>
                <c:pt idx="76">
                  <c:v>-2.3311230798747284</c:v>
                </c:pt>
                <c:pt idx="77">
                  <c:v>-2.4524195668877153</c:v>
                </c:pt>
                <c:pt idx="78">
                  <c:v>-2.2668148090828373</c:v>
                </c:pt>
                <c:pt idx="79">
                  <c:v>-2.5860512203394563</c:v>
                </c:pt>
                <c:pt idx="80">
                  <c:v>-2.6651996960901645</c:v>
                </c:pt>
                <c:pt idx="81">
                  <c:v>-2.5697945644972444</c:v>
                </c:pt>
                <c:pt idx="82">
                  <c:v>-2.7164418443163649</c:v>
                </c:pt>
                <c:pt idx="83">
                  <c:v>-2.7688668200558797</c:v>
                </c:pt>
                <c:pt idx="84">
                  <c:v>-2.6308158345125721</c:v>
                </c:pt>
                <c:pt idx="85">
                  <c:v>-2.7143702279411435</c:v>
                </c:pt>
                <c:pt idx="86">
                  <c:v>-2.6112189370320529</c:v>
                </c:pt>
                <c:pt idx="87">
                  <c:v>-2.5833369227734981</c:v>
                </c:pt>
                <c:pt idx="88">
                  <c:v>-2.4988353842868505</c:v>
                </c:pt>
                <c:pt idx="89">
                  <c:v>-2.6589930815564755</c:v>
                </c:pt>
                <c:pt idx="90">
                  <c:v>-2.6015135374000966</c:v>
                </c:pt>
                <c:pt idx="91">
                  <c:v>-2.7246742249248492</c:v>
                </c:pt>
                <c:pt idx="92">
                  <c:v>-2.7797447396975761</c:v>
                </c:pt>
                <c:pt idx="93">
                  <c:v>-2.6770962636106201</c:v>
                </c:pt>
                <c:pt idx="94">
                  <c:v>-2.6159963818281424</c:v>
                </c:pt>
                <c:pt idx="95">
                  <c:v>-2.5833460392399075</c:v>
                </c:pt>
                <c:pt idx="96">
                  <c:v>-2.3891276118575551</c:v>
                </c:pt>
                <c:pt idx="97">
                  <c:v>-2.4165569459265206</c:v>
                </c:pt>
                <c:pt idx="98">
                  <c:v>-2.5143591927033802</c:v>
                </c:pt>
                <c:pt idx="99">
                  <c:v>-2.5971238151664346</c:v>
                </c:pt>
                <c:pt idx="100">
                  <c:v>-2.5472312370125882</c:v>
                </c:pt>
                <c:pt idx="101">
                  <c:v>-2.4517553193655295</c:v>
                </c:pt>
                <c:pt idx="102">
                  <c:v>-2.4419358375071214</c:v>
                </c:pt>
                <c:pt idx="103">
                  <c:v>-2.3437389258049945</c:v>
                </c:pt>
                <c:pt idx="104">
                  <c:v>-2.2192017762148311</c:v>
                </c:pt>
                <c:pt idx="105">
                  <c:v>-2.3686851329546434</c:v>
                </c:pt>
                <c:pt idx="106">
                  <c:v>-2.4579953135998038</c:v>
                </c:pt>
                <c:pt idx="107">
                  <c:v>-2.4946469070304604</c:v>
                </c:pt>
                <c:pt idx="108">
                  <c:v>-2.5330812844971273</c:v>
                </c:pt>
                <c:pt idx="109">
                  <c:v>-2.3258080526193985</c:v>
                </c:pt>
                <c:pt idx="110">
                  <c:v>-2.5043154334988773</c:v>
                </c:pt>
                <c:pt idx="111">
                  <c:v>-2.5979410205187454</c:v>
                </c:pt>
                <c:pt idx="112">
                  <c:v>-2.3418829033495143</c:v>
                </c:pt>
                <c:pt idx="113">
                  <c:v>-0.85040252108414516</c:v>
                </c:pt>
                <c:pt idx="114">
                  <c:v>-0.40907343154128845</c:v>
                </c:pt>
                <c:pt idx="115">
                  <c:v>-8.1587845398431613E-2</c:v>
                </c:pt>
                <c:pt idx="116">
                  <c:v>-6.1183677929043695E-2</c:v>
                </c:pt>
                <c:pt idx="117">
                  <c:v>-2.4061588057523762E-2</c:v>
                </c:pt>
                <c:pt idx="118">
                  <c:v>-2.9878838507973959E-2</c:v>
                </c:pt>
                <c:pt idx="119">
                  <c:v>-0.18258774089474417</c:v>
                </c:pt>
                <c:pt idx="120">
                  <c:v>0.18302316880161948</c:v>
                </c:pt>
                <c:pt idx="121">
                  <c:v>0.27262733734825695</c:v>
                </c:pt>
                <c:pt idx="122">
                  <c:v>0.34023667489542647</c:v>
                </c:pt>
                <c:pt idx="123">
                  <c:v>0.3708183557719204</c:v>
                </c:pt>
                <c:pt idx="124">
                  <c:v>0.47324024937192011</c:v>
                </c:pt>
                <c:pt idx="125">
                  <c:v>0.41918361620483741</c:v>
                </c:pt>
                <c:pt idx="126">
                  <c:v>0.19608162907908955</c:v>
                </c:pt>
                <c:pt idx="127">
                  <c:v>7.6134921482190532E-2</c:v>
                </c:pt>
                <c:pt idx="128">
                  <c:v>7.4986161704824958E-2</c:v>
                </c:pt>
                <c:pt idx="129">
                  <c:v>-0.11408802778526028</c:v>
                </c:pt>
                <c:pt idx="130">
                  <c:v>9.4397471130402366E-2</c:v>
                </c:pt>
                <c:pt idx="131">
                  <c:v>0.20847943772834052</c:v>
                </c:pt>
                <c:pt idx="132">
                  <c:v>0.24507998502563832</c:v>
                </c:pt>
                <c:pt idx="133">
                  <c:v>0.15614080575997941</c:v>
                </c:pt>
                <c:pt idx="134">
                  <c:v>0.42795077963074857</c:v>
                </c:pt>
                <c:pt idx="135">
                  <c:v>0.37015330983905509</c:v>
                </c:pt>
                <c:pt idx="136">
                  <c:v>0.28795356552532958</c:v>
                </c:pt>
                <c:pt idx="137">
                  <c:v>0.23466622430793851</c:v>
                </c:pt>
                <c:pt idx="138">
                  <c:v>0.21961469565409256</c:v>
                </c:pt>
                <c:pt idx="139">
                  <c:v>0.35555967691248164</c:v>
                </c:pt>
                <c:pt idx="140">
                  <c:v>0.20889034007015816</c:v>
                </c:pt>
                <c:pt idx="141">
                  <c:v>0.11094942143601201</c:v>
                </c:pt>
                <c:pt idx="142">
                  <c:v>0.18483021228707575</c:v>
                </c:pt>
                <c:pt idx="143">
                  <c:v>0.18240478028134519</c:v>
                </c:pt>
                <c:pt idx="144">
                  <c:v>0.21877525585781574</c:v>
                </c:pt>
                <c:pt idx="145">
                  <c:v>0.11468219978035094</c:v>
                </c:pt>
                <c:pt idx="146">
                  <c:v>0.24620221448623322</c:v>
                </c:pt>
                <c:pt idx="147">
                  <c:v>3.7907982094735206E-2</c:v>
                </c:pt>
                <c:pt idx="148">
                  <c:v>0.21343730200029878</c:v>
                </c:pt>
                <c:pt idx="149">
                  <c:v>0.185567546854145</c:v>
                </c:pt>
                <c:pt idx="150">
                  <c:v>0.16732367079414492</c:v>
                </c:pt>
                <c:pt idx="151">
                  <c:v>0.28869816513122348</c:v>
                </c:pt>
                <c:pt idx="152">
                  <c:v>0.1206790537640358</c:v>
                </c:pt>
                <c:pt idx="153">
                  <c:v>-1.0920035430021026E-2</c:v>
                </c:pt>
                <c:pt idx="154">
                  <c:v>2.8856793442072051E-2</c:v>
                </c:pt>
                <c:pt idx="155">
                  <c:v>0.369677022858236</c:v>
                </c:pt>
                <c:pt idx="156">
                  <c:v>0.53444894548413546</c:v>
                </c:pt>
                <c:pt idx="157">
                  <c:v>0.36912064940946893</c:v>
                </c:pt>
                <c:pt idx="158">
                  <c:v>0.11960095948509221</c:v>
                </c:pt>
                <c:pt idx="159">
                  <c:v>-5.0005802074062751E-2</c:v>
                </c:pt>
                <c:pt idx="160">
                  <c:v>2.8738935171200419E-2</c:v>
                </c:pt>
                <c:pt idx="161">
                  <c:v>4.6142802817934023E-2</c:v>
                </c:pt>
                <c:pt idx="162">
                  <c:v>0.13753746039605866</c:v>
                </c:pt>
                <c:pt idx="163">
                  <c:v>-2.6316861283941177E-2</c:v>
                </c:pt>
                <c:pt idx="164">
                  <c:v>6.7496777298148972E-2</c:v>
                </c:pt>
                <c:pt idx="165">
                  <c:v>0.11773974752694029</c:v>
                </c:pt>
                <c:pt idx="166">
                  <c:v>-8.4654748423060214E-2</c:v>
                </c:pt>
                <c:pt idx="167">
                  <c:v>-0.11942000342872798</c:v>
                </c:pt>
                <c:pt idx="168">
                  <c:v>-0.20267475523465805</c:v>
                </c:pt>
                <c:pt idx="169">
                  <c:v>-0.39063207458392285</c:v>
                </c:pt>
                <c:pt idx="170">
                  <c:v>-0.42414396968392271</c:v>
                </c:pt>
                <c:pt idx="171">
                  <c:v>-0.23494657324903875</c:v>
                </c:pt>
                <c:pt idx="172">
                  <c:v>-0.15580236224101693</c:v>
                </c:pt>
                <c:pt idx="173">
                  <c:v>-0.14958071235451675</c:v>
                </c:pt>
                <c:pt idx="174">
                  <c:v>-0.75600698104750341</c:v>
                </c:pt>
                <c:pt idx="175">
                  <c:v>-0.66875969856937811</c:v>
                </c:pt>
                <c:pt idx="176">
                  <c:v>-0.66875969856937811</c:v>
                </c:pt>
                <c:pt idx="177">
                  <c:v>-0.26993951208732703</c:v>
                </c:pt>
                <c:pt idx="178">
                  <c:v>-0.48787110846232717</c:v>
                </c:pt>
                <c:pt idx="179">
                  <c:v>-0.54893628096922398</c:v>
                </c:pt>
                <c:pt idx="180">
                  <c:v>-0.66500824535047398</c:v>
                </c:pt>
                <c:pt idx="181">
                  <c:v>-0.79981743799214056</c:v>
                </c:pt>
                <c:pt idx="182">
                  <c:v>-0.83370962606086108</c:v>
                </c:pt>
                <c:pt idx="183">
                  <c:v>-0.81917761133698053</c:v>
                </c:pt>
                <c:pt idx="184">
                  <c:v>-0.5760107465303137</c:v>
                </c:pt>
                <c:pt idx="185">
                  <c:v>-0.43292691341031342</c:v>
                </c:pt>
                <c:pt idx="186">
                  <c:v>-0.38146415310237713</c:v>
                </c:pt>
                <c:pt idx="187">
                  <c:v>-9.5744061084709606E-2</c:v>
                </c:pt>
                <c:pt idx="188">
                  <c:v>0.11286230458857274</c:v>
                </c:pt>
                <c:pt idx="189">
                  <c:v>2.6564990707357263E-2</c:v>
                </c:pt>
                <c:pt idx="190">
                  <c:v>7.606408139956515E-2</c:v>
                </c:pt>
                <c:pt idx="191">
                  <c:v>0.3234843233021627</c:v>
                </c:pt>
                <c:pt idx="192">
                  <c:v>0.34788047600667404</c:v>
                </c:pt>
                <c:pt idx="193">
                  <c:v>0.38683367917334088</c:v>
                </c:pt>
                <c:pt idx="194">
                  <c:v>0.31181479976701154</c:v>
                </c:pt>
                <c:pt idx="195">
                  <c:v>0.5247229304608888</c:v>
                </c:pt>
                <c:pt idx="196">
                  <c:v>0.56885769596189861</c:v>
                </c:pt>
                <c:pt idx="197">
                  <c:v>0.4580146964312321</c:v>
                </c:pt>
                <c:pt idx="198">
                  <c:v>0.46133264753434083</c:v>
                </c:pt>
                <c:pt idx="199">
                  <c:v>0.4279091351763159</c:v>
                </c:pt>
                <c:pt idx="200">
                  <c:v>0.29206500360845872</c:v>
                </c:pt>
                <c:pt idx="201">
                  <c:v>0.2254988459297354</c:v>
                </c:pt>
                <c:pt idx="202">
                  <c:v>0.34750229333941263</c:v>
                </c:pt>
                <c:pt idx="203">
                  <c:v>0.28808480310822998</c:v>
                </c:pt>
                <c:pt idx="204">
                  <c:v>-3.7791042881299163E-2</c:v>
                </c:pt>
                <c:pt idx="205">
                  <c:v>6.9340140159090943E-2</c:v>
                </c:pt>
                <c:pt idx="206">
                  <c:v>-6.3989115754545536E-2</c:v>
                </c:pt>
                <c:pt idx="207">
                  <c:v>-0.15156545052377646</c:v>
                </c:pt>
                <c:pt idx="208">
                  <c:v>5.016866044792169E-2</c:v>
                </c:pt>
                <c:pt idx="209">
                  <c:v>-1.1307405369686262E-2</c:v>
                </c:pt>
                <c:pt idx="210">
                  <c:v>-0.12086239984060042</c:v>
                </c:pt>
                <c:pt idx="211">
                  <c:v>7.7025557989353025E-2</c:v>
                </c:pt>
                <c:pt idx="212">
                  <c:v>0.28735706077172424</c:v>
                </c:pt>
                <c:pt idx="213">
                  <c:v>0.31232426452886697</c:v>
                </c:pt>
                <c:pt idx="214">
                  <c:v>0.44439062075468888</c:v>
                </c:pt>
                <c:pt idx="215">
                  <c:v>0.61212649188129464</c:v>
                </c:pt>
                <c:pt idx="216">
                  <c:v>0.46190177606117633</c:v>
                </c:pt>
                <c:pt idx="217">
                  <c:v>0.71009240332934953</c:v>
                </c:pt>
                <c:pt idx="218">
                  <c:v>0.54794456728741381</c:v>
                </c:pt>
                <c:pt idx="219">
                  <c:v>-0.41663769302180403</c:v>
                </c:pt>
                <c:pt idx="220">
                  <c:v>-0.48922726650022136</c:v>
                </c:pt>
                <c:pt idx="221">
                  <c:v>-0.49521220968575558</c:v>
                </c:pt>
                <c:pt idx="222">
                  <c:v>-0.27256991197019981</c:v>
                </c:pt>
                <c:pt idx="223">
                  <c:v>-1.5421477570199855E-2</c:v>
                </c:pt>
                <c:pt idx="224">
                  <c:v>-0.17161119041228212</c:v>
                </c:pt>
                <c:pt idx="225">
                  <c:v>-0.2444266925341364</c:v>
                </c:pt>
                <c:pt idx="226">
                  <c:v>-6.987816151621587E-2</c:v>
                </c:pt>
                <c:pt idx="227">
                  <c:v>-0.19074171925852354</c:v>
                </c:pt>
                <c:pt idx="228">
                  <c:v>-5.9701564738230815E-2</c:v>
                </c:pt>
                <c:pt idx="229">
                  <c:v>4.7681673869310902E-2</c:v>
                </c:pt>
                <c:pt idx="230">
                  <c:v>-7.1912495630688855E-2</c:v>
                </c:pt>
                <c:pt idx="231">
                  <c:v>-0.15920112194688993</c:v>
                </c:pt>
                <c:pt idx="232">
                  <c:v>-0.15920112194689026</c:v>
                </c:pt>
                <c:pt idx="233">
                  <c:v>-0.32088200543303391</c:v>
                </c:pt>
                <c:pt idx="234">
                  <c:v>-0.52753482682113284</c:v>
                </c:pt>
                <c:pt idx="235">
                  <c:v>-0.39437327137823958</c:v>
                </c:pt>
                <c:pt idx="236">
                  <c:v>-0.23943536185152853</c:v>
                </c:pt>
                <c:pt idx="237">
                  <c:v>-0.34139648922399829</c:v>
                </c:pt>
                <c:pt idx="238">
                  <c:v>-0.6500421931219944</c:v>
                </c:pt>
                <c:pt idx="239">
                  <c:v>-0.72966824482784454</c:v>
                </c:pt>
                <c:pt idx="240">
                  <c:v>-0.92694416493172793</c:v>
                </c:pt>
                <c:pt idx="241">
                  <c:v>-0.90940839279675767</c:v>
                </c:pt>
                <c:pt idx="242">
                  <c:v>-0.89450615912175746</c:v>
                </c:pt>
                <c:pt idx="243">
                  <c:v>-0.74953970656598956</c:v>
                </c:pt>
                <c:pt idx="244">
                  <c:v>-0.90890563012030445</c:v>
                </c:pt>
                <c:pt idx="245">
                  <c:v>-0.49416062052764986</c:v>
                </c:pt>
                <c:pt idx="246">
                  <c:v>-0.45149195577046591</c:v>
                </c:pt>
                <c:pt idx="247">
                  <c:v>-0.47053845073864109</c:v>
                </c:pt>
                <c:pt idx="248">
                  <c:v>-0.44556526230658111</c:v>
                </c:pt>
                <c:pt idx="249">
                  <c:v>-0.31067774310311408</c:v>
                </c:pt>
                <c:pt idx="250">
                  <c:v>-0.36905391046202868</c:v>
                </c:pt>
                <c:pt idx="251">
                  <c:v>-0.42686324859963926</c:v>
                </c:pt>
                <c:pt idx="252">
                  <c:v>9.4811847002251093E-2</c:v>
                </c:pt>
                <c:pt idx="253">
                  <c:v>-1.5881634453304448E-2</c:v>
                </c:pt>
                <c:pt idx="254">
                  <c:v>0.17563071454113569</c:v>
                </c:pt>
                <c:pt idx="255">
                  <c:v>0.20420017503296437</c:v>
                </c:pt>
                <c:pt idx="256">
                  <c:v>0.28305509871349999</c:v>
                </c:pt>
                <c:pt idx="257">
                  <c:v>0.33036204349561704</c:v>
                </c:pt>
                <c:pt idx="258">
                  <c:v>0.54606556786834437</c:v>
                </c:pt>
                <c:pt idx="259">
                  <c:v>0.88088944102239375</c:v>
                </c:pt>
                <c:pt idx="260">
                  <c:v>0.63360599186654498</c:v>
                </c:pt>
                <c:pt idx="261">
                  <c:v>0.70017796568585</c:v>
                </c:pt>
                <c:pt idx="262">
                  <c:v>0.67040240851620692</c:v>
                </c:pt>
                <c:pt idx="263">
                  <c:v>0.64629806817595181</c:v>
                </c:pt>
                <c:pt idx="264">
                  <c:v>0.65722045093914983</c:v>
                </c:pt>
                <c:pt idx="265">
                  <c:v>0.30166035015728793</c:v>
                </c:pt>
                <c:pt idx="266">
                  <c:v>0.35623480882489361</c:v>
                </c:pt>
                <c:pt idx="267">
                  <c:v>0.21154961553046728</c:v>
                </c:pt>
                <c:pt idx="268">
                  <c:v>-4.3705253398839031E-2</c:v>
                </c:pt>
                <c:pt idx="269">
                  <c:v>2.1858562055241743E-2</c:v>
                </c:pt>
                <c:pt idx="270">
                  <c:v>7.6991139985524981E-2</c:v>
                </c:pt>
                <c:pt idx="271">
                  <c:v>6.0951326522034985E-2</c:v>
                </c:pt>
                <c:pt idx="272">
                  <c:v>0.22524217212838235</c:v>
                </c:pt>
                <c:pt idx="273">
                  <c:v>0.21031111498515376</c:v>
                </c:pt>
                <c:pt idx="274">
                  <c:v>0.1187139427128109</c:v>
                </c:pt>
                <c:pt idx="275">
                  <c:v>0.2140852562830636</c:v>
                </c:pt>
                <c:pt idx="276">
                  <c:v>0.21439831978542348</c:v>
                </c:pt>
                <c:pt idx="277">
                  <c:v>0.435350764107856</c:v>
                </c:pt>
                <c:pt idx="278">
                  <c:v>0.46812567676767519</c:v>
                </c:pt>
                <c:pt idx="279">
                  <c:v>0.25141365760159345</c:v>
                </c:pt>
                <c:pt idx="280">
                  <c:v>0.2713950496334841</c:v>
                </c:pt>
                <c:pt idx="281">
                  <c:v>0.34861342615179908</c:v>
                </c:pt>
                <c:pt idx="282">
                  <c:v>0.23121992710910999</c:v>
                </c:pt>
                <c:pt idx="283">
                  <c:v>0.36636845339734514</c:v>
                </c:pt>
                <c:pt idx="284">
                  <c:v>0.40742323524110136</c:v>
                </c:pt>
                <c:pt idx="285">
                  <c:v>0.54423222070644783</c:v>
                </c:pt>
                <c:pt idx="286">
                  <c:v>0.4773283303469612</c:v>
                </c:pt>
                <c:pt idx="287">
                  <c:v>0.33521006542121667</c:v>
                </c:pt>
                <c:pt idx="288">
                  <c:v>0.26713027364471775</c:v>
                </c:pt>
                <c:pt idx="289">
                  <c:v>0.29599660026790314</c:v>
                </c:pt>
                <c:pt idx="290">
                  <c:v>0.17790831790926701</c:v>
                </c:pt>
                <c:pt idx="291">
                  <c:v>0.30328733636318</c:v>
                </c:pt>
                <c:pt idx="292">
                  <c:v>0.29785776263840125</c:v>
                </c:pt>
                <c:pt idx="293">
                  <c:v>0.36703786791478193</c:v>
                </c:pt>
                <c:pt idx="294">
                  <c:v>0.21950556307862282</c:v>
                </c:pt>
                <c:pt idx="295">
                  <c:v>3.9547403815509696E-2</c:v>
                </c:pt>
                <c:pt idx="296">
                  <c:v>-1.8057635446629108E-2</c:v>
                </c:pt>
                <c:pt idx="297">
                  <c:v>-9.9466066311079002E-2</c:v>
                </c:pt>
                <c:pt idx="298">
                  <c:v>-7.49461245277801E-2</c:v>
                </c:pt>
                <c:pt idx="299">
                  <c:v>-0.15987830650872173</c:v>
                </c:pt>
                <c:pt idx="300">
                  <c:v>-0.11999321319938831</c:v>
                </c:pt>
                <c:pt idx="301">
                  <c:v>1.4046155379376488E-2</c:v>
                </c:pt>
                <c:pt idx="302">
                  <c:v>2.5653217573126406E-2</c:v>
                </c:pt>
                <c:pt idx="303">
                  <c:v>0.16418181251933264</c:v>
                </c:pt>
                <c:pt idx="304">
                  <c:v>0.17637950587068418</c:v>
                </c:pt>
                <c:pt idx="305">
                  <c:v>0.2620692063284753</c:v>
                </c:pt>
                <c:pt idx="306">
                  <c:v>0.36667145722617123</c:v>
                </c:pt>
                <c:pt idx="307">
                  <c:v>0.46999649099381846</c:v>
                </c:pt>
                <c:pt idx="308">
                  <c:v>0.74259848410289075</c:v>
                </c:pt>
                <c:pt idx="309">
                  <c:v>0.50846358703029992</c:v>
                </c:pt>
                <c:pt idx="310">
                  <c:v>0.43571266137124626</c:v>
                </c:pt>
                <c:pt idx="311">
                  <c:v>0.59791394473471537</c:v>
                </c:pt>
                <c:pt idx="312">
                  <c:v>0.50055728209088657</c:v>
                </c:pt>
                <c:pt idx="313">
                  <c:v>0.56238880426272042</c:v>
                </c:pt>
                <c:pt idx="314">
                  <c:v>0.64309832371919329</c:v>
                </c:pt>
                <c:pt idx="315">
                  <c:v>0.75371233027621842</c:v>
                </c:pt>
                <c:pt idx="316">
                  <c:v>0.65264834418887907</c:v>
                </c:pt>
                <c:pt idx="317">
                  <c:v>0.4972791959887749</c:v>
                </c:pt>
                <c:pt idx="318">
                  <c:v>0.51051055408986479</c:v>
                </c:pt>
                <c:pt idx="319">
                  <c:v>0.51527709516404419</c:v>
                </c:pt>
                <c:pt idx="320">
                  <c:v>0.49494398434887849</c:v>
                </c:pt>
                <c:pt idx="321">
                  <c:v>0.57277537291065328</c:v>
                </c:pt>
                <c:pt idx="322">
                  <c:v>0.48664221459070184</c:v>
                </c:pt>
                <c:pt idx="323">
                  <c:v>0.51200259437440077</c:v>
                </c:pt>
                <c:pt idx="324">
                  <c:v>0.41644103069820393</c:v>
                </c:pt>
                <c:pt idx="325">
                  <c:v>0.42652105754571462</c:v>
                </c:pt>
                <c:pt idx="326">
                  <c:v>0.47876578339540798</c:v>
                </c:pt>
                <c:pt idx="327">
                  <c:v>0.46480292053225025</c:v>
                </c:pt>
                <c:pt idx="328">
                  <c:v>0.62191428859036157</c:v>
                </c:pt>
                <c:pt idx="329">
                  <c:v>0.71448591695036157</c:v>
                </c:pt>
                <c:pt idx="330">
                  <c:v>0.85666689234434457</c:v>
                </c:pt>
                <c:pt idx="331">
                  <c:v>0.57343851631527931</c:v>
                </c:pt>
                <c:pt idx="332">
                  <c:v>0.77634031007272819</c:v>
                </c:pt>
                <c:pt idx="333">
                  <c:v>0.98838138007494147</c:v>
                </c:pt>
                <c:pt idx="334">
                  <c:v>1.0547454467787318</c:v>
                </c:pt>
                <c:pt idx="335">
                  <c:v>1.1081429265139657</c:v>
                </c:pt>
                <c:pt idx="336">
                  <c:v>1.021486536840716</c:v>
                </c:pt>
                <c:pt idx="337">
                  <c:v>1.0382953131027552</c:v>
                </c:pt>
                <c:pt idx="338">
                  <c:v>1.0125308411125806</c:v>
                </c:pt>
                <c:pt idx="339">
                  <c:v>1.0740082792949333</c:v>
                </c:pt>
                <c:pt idx="340">
                  <c:v>1.0112098978344384</c:v>
                </c:pt>
                <c:pt idx="341">
                  <c:v>0.85436982248531879</c:v>
                </c:pt>
                <c:pt idx="342">
                  <c:v>0.76979645317149781</c:v>
                </c:pt>
                <c:pt idx="343">
                  <c:v>0.73872855409525029</c:v>
                </c:pt>
                <c:pt idx="344">
                  <c:v>0.68769542939525041</c:v>
                </c:pt>
                <c:pt idx="345">
                  <c:v>0.65123674586396951</c:v>
                </c:pt>
                <c:pt idx="346">
                  <c:v>0.65500125397144271</c:v>
                </c:pt>
                <c:pt idx="347">
                  <c:v>0.69482201541932009</c:v>
                </c:pt>
                <c:pt idx="348">
                  <c:v>0.54008473773883514</c:v>
                </c:pt>
                <c:pt idx="349">
                  <c:v>0.24815760131444276</c:v>
                </c:pt>
                <c:pt idx="350">
                  <c:v>0.32401331269097083</c:v>
                </c:pt>
                <c:pt idx="351">
                  <c:v>2.9371604413192871E-2</c:v>
                </c:pt>
                <c:pt idx="352">
                  <c:v>-1.5874041761581619E-2</c:v>
                </c:pt>
                <c:pt idx="353">
                  <c:v>3.1224720862098067E-2</c:v>
                </c:pt>
                <c:pt idx="354">
                  <c:v>-3.3897032439394556E-2</c:v>
                </c:pt>
                <c:pt idx="355">
                  <c:v>-0.13024280471395092</c:v>
                </c:pt>
                <c:pt idx="356">
                  <c:v>-9.1713790434983344E-2</c:v>
                </c:pt>
                <c:pt idx="357">
                  <c:v>-2.796132724926902E-2</c:v>
                </c:pt>
                <c:pt idx="358">
                  <c:v>8.3883764156064258E-2</c:v>
                </c:pt>
                <c:pt idx="359">
                  <c:v>7.1111464431535945E-2</c:v>
                </c:pt>
                <c:pt idx="360">
                  <c:v>0.13985801878678694</c:v>
                </c:pt>
                <c:pt idx="361">
                  <c:v>-0.12602721410937964</c:v>
                </c:pt>
                <c:pt idx="362">
                  <c:v>-0.13266843341697965</c:v>
                </c:pt>
                <c:pt idx="363">
                  <c:v>0.10645585162838114</c:v>
                </c:pt>
                <c:pt idx="364">
                  <c:v>-3.6258384608071931E-2</c:v>
                </c:pt>
                <c:pt idx="365">
                  <c:v>0.11433141452526148</c:v>
                </c:pt>
                <c:pt idx="366">
                  <c:v>-5.214452190403536E-2</c:v>
                </c:pt>
                <c:pt idx="367">
                  <c:v>-0.21680955490712825</c:v>
                </c:pt>
                <c:pt idx="368">
                  <c:v>-0.36962311194923336</c:v>
                </c:pt>
                <c:pt idx="369">
                  <c:v>-0.46368708934218378</c:v>
                </c:pt>
                <c:pt idx="370">
                  <c:v>-0.55782879682008646</c:v>
                </c:pt>
                <c:pt idx="371">
                  <c:v>-0.65641324398790279</c:v>
                </c:pt>
                <c:pt idx="372">
                  <c:v>-0.60765277057713341</c:v>
                </c:pt>
                <c:pt idx="373">
                  <c:v>-0.571259912448562</c:v>
                </c:pt>
                <c:pt idx="374">
                  <c:v>-0.51459982768352686</c:v>
                </c:pt>
                <c:pt idx="375">
                  <c:v>-0.55582583805355157</c:v>
                </c:pt>
                <c:pt idx="376">
                  <c:v>-0.66718472984077615</c:v>
                </c:pt>
                <c:pt idx="377">
                  <c:v>-0.53641663755305669</c:v>
                </c:pt>
                <c:pt idx="378">
                  <c:v>-0.63289873962688403</c:v>
                </c:pt>
                <c:pt idx="379">
                  <c:v>-0.80310768833010326</c:v>
                </c:pt>
                <c:pt idx="380">
                  <c:v>-0.95603386330413931</c:v>
                </c:pt>
                <c:pt idx="381">
                  <c:v>-1.0670498471530281</c:v>
                </c:pt>
                <c:pt idx="382">
                  <c:v>-1.0098928067716328</c:v>
                </c:pt>
                <c:pt idx="383">
                  <c:v>-0.98483738502969753</c:v>
                </c:pt>
                <c:pt idx="384">
                  <c:v>-1.093656084858269</c:v>
                </c:pt>
                <c:pt idx="385">
                  <c:v>-1.0965717577553278</c:v>
                </c:pt>
                <c:pt idx="386">
                  <c:v>-0.99716512063183038</c:v>
                </c:pt>
                <c:pt idx="387">
                  <c:v>-1.0806584394735887</c:v>
                </c:pt>
                <c:pt idx="388">
                  <c:v>-1.1656864871967463</c:v>
                </c:pt>
                <c:pt idx="389">
                  <c:v>-1.1081674206391705</c:v>
                </c:pt>
                <c:pt idx="390">
                  <c:v>-1.0835251009896654</c:v>
                </c:pt>
                <c:pt idx="391">
                  <c:v>-1.2131383152235362</c:v>
                </c:pt>
                <c:pt idx="392">
                  <c:v>-1.1408306657980891</c:v>
                </c:pt>
                <c:pt idx="393">
                  <c:v>-1.1712718878319872</c:v>
                </c:pt>
                <c:pt idx="394">
                  <c:v>-1.1415980154804304</c:v>
                </c:pt>
                <c:pt idx="395">
                  <c:v>-1.099544772778325</c:v>
                </c:pt>
                <c:pt idx="396">
                  <c:v>-1.0224998789300492</c:v>
                </c:pt>
                <c:pt idx="397">
                  <c:v>-1.0743738038854946</c:v>
                </c:pt>
                <c:pt idx="398">
                  <c:v>-0.97312027865997741</c:v>
                </c:pt>
                <c:pt idx="399">
                  <c:v>-0.99161302384346661</c:v>
                </c:pt>
                <c:pt idx="400">
                  <c:v>-1.0451811065571921</c:v>
                </c:pt>
                <c:pt idx="401">
                  <c:v>-1.118566958257192</c:v>
                </c:pt>
                <c:pt idx="402">
                  <c:v>-1.1432268904302259</c:v>
                </c:pt>
                <c:pt idx="403">
                  <c:v>-1.193458138757918</c:v>
                </c:pt>
                <c:pt idx="404">
                  <c:v>-1.1345433496951021</c:v>
                </c:pt>
                <c:pt idx="405">
                  <c:v>-1.105520495616775</c:v>
                </c:pt>
                <c:pt idx="406">
                  <c:v>-1.1560848569431241</c:v>
                </c:pt>
                <c:pt idx="407">
                  <c:v>-1.0759737760117518</c:v>
                </c:pt>
                <c:pt idx="408">
                  <c:v>-1.0949752562010202</c:v>
                </c:pt>
                <c:pt idx="409">
                  <c:v>-1.0960737863157259</c:v>
                </c:pt>
                <c:pt idx="410">
                  <c:v>-1.1759340385407258</c:v>
                </c:pt>
                <c:pt idx="411">
                  <c:v>-1.044746403148239</c:v>
                </c:pt>
                <c:pt idx="412">
                  <c:v>-1.1123298317377908</c:v>
                </c:pt>
                <c:pt idx="413">
                  <c:v>-1.3011321066746406</c:v>
                </c:pt>
                <c:pt idx="414">
                  <c:v>-1.1511998966289834</c:v>
                </c:pt>
                <c:pt idx="415">
                  <c:v>-1.1422389596811573</c:v>
                </c:pt>
                <c:pt idx="416">
                  <c:v>-1.2859038598874919</c:v>
                </c:pt>
                <c:pt idx="417">
                  <c:v>-1.2740114134552774</c:v>
                </c:pt>
                <c:pt idx="418">
                  <c:v>-1.2463019832650599</c:v>
                </c:pt>
                <c:pt idx="419">
                  <c:v>-1.2290538298126028</c:v>
                </c:pt>
                <c:pt idx="420">
                  <c:v>-1.1147257633595165</c:v>
                </c:pt>
                <c:pt idx="421">
                  <c:v>-0.9879520723830576</c:v>
                </c:pt>
                <c:pt idx="422">
                  <c:v>-1.0649747764795827</c:v>
                </c:pt>
                <c:pt idx="423">
                  <c:v>-1.0957931345707916</c:v>
                </c:pt>
                <c:pt idx="424">
                  <c:v>-1.2575931397699613</c:v>
                </c:pt>
                <c:pt idx="425">
                  <c:v>-1.4460893802067762</c:v>
                </c:pt>
                <c:pt idx="426">
                  <c:v>-1.5725557719924903</c:v>
                </c:pt>
                <c:pt idx="427">
                  <c:v>-1.5938667497201915</c:v>
                </c:pt>
                <c:pt idx="428">
                  <c:v>-1.8056079205377626</c:v>
                </c:pt>
                <c:pt idx="429">
                  <c:v>-1.9856755841132658</c:v>
                </c:pt>
                <c:pt idx="430">
                  <c:v>-2.0308893131028314</c:v>
                </c:pt>
                <c:pt idx="431">
                  <c:v>-2.1839068147890011</c:v>
                </c:pt>
                <c:pt idx="432">
                  <c:v>-2.2916304154843719</c:v>
                </c:pt>
                <c:pt idx="433">
                  <c:v>-2.2531067023742111</c:v>
                </c:pt>
                <c:pt idx="434">
                  <c:v>-2.0896936550523724</c:v>
                </c:pt>
                <c:pt idx="435">
                  <c:v>-2.2090491235990073</c:v>
                </c:pt>
                <c:pt idx="436">
                  <c:v>-2.1163780060475279</c:v>
                </c:pt>
                <c:pt idx="437">
                  <c:v>-2.1997745097834498</c:v>
                </c:pt>
                <c:pt idx="438">
                  <c:v>-2.1095718361227025</c:v>
                </c:pt>
                <c:pt idx="439">
                  <c:v>-2.1886850755735696</c:v>
                </c:pt>
                <c:pt idx="440">
                  <c:v>-2.2659070152871617</c:v>
                </c:pt>
                <c:pt idx="441">
                  <c:v>-2.1911198851953588</c:v>
                </c:pt>
                <c:pt idx="442">
                  <c:v>-2.129676992048783</c:v>
                </c:pt>
                <c:pt idx="443">
                  <c:v>-2.0307287055804286</c:v>
                </c:pt>
                <c:pt idx="444">
                  <c:v>-2.0586223549663933</c:v>
                </c:pt>
                <c:pt idx="445">
                  <c:v>-2.0188095582721077</c:v>
                </c:pt>
                <c:pt idx="446">
                  <c:v>-1.9838466121703531</c:v>
                </c:pt>
                <c:pt idx="447">
                  <c:v>-1.8160847408784613</c:v>
                </c:pt>
                <c:pt idx="448">
                  <c:v>-1.7865580848239155</c:v>
                </c:pt>
                <c:pt idx="449">
                  <c:v>-2.0146178674451098</c:v>
                </c:pt>
                <c:pt idx="450">
                  <c:v>-1.9679509951587939</c:v>
                </c:pt>
                <c:pt idx="451">
                  <c:v>-1.9330272952265908</c:v>
                </c:pt>
                <c:pt idx="452">
                  <c:v>-1.9274120044503196</c:v>
                </c:pt>
                <c:pt idx="453">
                  <c:v>-1.8933773442929422</c:v>
                </c:pt>
                <c:pt idx="454">
                  <c:v>-1.8619516245179422</c:v>
                </c:pt>
                <c:pt idx="455">
                  <c:v>-1.8427633040179423</c:v>
                </c:pt>
                <c:pt idx="456">
                  <c:v>-1.7948540819402952</c:v>
                </c:pt>
                <c:pt idx="457">
                  <c:v>-1.7664949654069617</c:v>
                </c:pt>
                <c:pt idx="458">
                  <c:v>-1.801088800692225</c:v>
                </c:pt>
                <c:pt idx="459">
                  <c:v>-1.882714331702807</c:v>
                </c:pt>
                <c:pt idx="460">
                  <c:v>-1.7793452625235389</c:v>
                </c:pt>
                <c:pt idx="461">
                  <c:v>-1.8979394715389233</c:v>
                </c:pt>
                <c:pt idx="462">
                  <c:v>-1.825153390190609</c:v>
                </c:pt>
                <c:pt idx="463">
                  <c:v>-1.8068442395325439</c:v>
                </c:pt>
                <c:pt idx="464">
                  <c:v>-1.7474583211809311</c:v>
                </c:pt>
                <c:pt idx="465">
                  <c:v>-1.8074360803700782</c:v>
                </c:pt>
                <c:pt idx="466">
                  <c:v>-1.6691616967903682</c:v>
                </c:pt>
                <c:pt idx="467">
                  <c:v>-1.8631460561492721</c:v>
                </c:pt>
                <c:pt idx="468">
                  <c:v>-2.1150116588724717</c:v>
                </c:pt>
                <c:pt idx="469">
                  <c:v>-2.3755265330048023</c:v>
                </c:pt>
                <c:pt idx="470">
                  <c:v>-2.1670620520121657</c:v>
                </c:pt>
                <c:pt idx="471">
                  <c:v>-2.1432179402134901</c:v>
                </c:pt>
                <c:pt idx="472">
                  <c:v>-2.0926930384555287</c:v>
                </c:pt>
                <c:pt idx="473">
                  <c:v>-2.064597570189675</c:v>
                </c:pt>
                <c:pt idx="474">
                  <c:v>-2.004989881817401</c:v>
                </c:pt>
                <c:pt idx="475">
                  <c:v>-1.9304064591302452</c:v>
                </c:pt>
                <c:pt idx="476">
                  <c:v>-2.0196499755164523</c:v>
                </c:pt>
                <c:pt idx="477">
                  <c:v>-2.0043958605523704</c:v>
                </c:pt>
                <c:pt idx="478">
                  <c:v>-1.8986536210488618</c:v>
                </c:pt>
                <c:pt idx="479">
                  <c:v>-1.8372165081293366</c:v>
                </c:pt>
                <c:pt idx="480">
                  <c:v>-1.8401763012737133</c:v>
                </c:pt>
                <c:pt idx="481">
                  <c:v>-1.9403669137402788</c:v>
                </c:pt>
                <c:pt idx="482">
                  <c:v>-2.0341520038847816</c:v>
                </c:pt>
                <c:pt idx="483">
                  <c:v>-1.8614791342997152</c:v>
                </c:pt>
                <c:pt idx="484">
                  <c:v>-1.9448310165706013</c:v>
                </c:pt>
                <c:pt idx="485">
                  <c:v>-1.6775375846123035</c:v>
                </c:pt>
                <c:pt idx="486">
                  <c:v>-1.6031370693423175</c:v>
                </c:pt>
                <c:pt idx="487">
                  <c:v>-1.7870669267031709</c:v>
                </c:pt>
                <c:pt idx="488">
                  <c:v>-1.5716736058099556</c:v>
                </c:pt>
                <c:pt idx="489">
                  <c:v>-1.5819479601591477</c:v>
                </c:pt>
                <c:pt idx="490">
                  <c:v>-1.3788498342407802</c:v>
                </c:pt>
                <c:pt idx="491">
                  <c:v>-0.96326761508241354</c:v>
                </c:pt>
                <c:pt idx="492">
                  <c:v>-0.45814147994679755</c:v>
                </c:pt>
                <c:pt idx="493">
                  <c:v>-0.1376919742543978</c:v>
                </c:pt>
                <c:pt idx="494">
                  <c:v>-0.21538498366887446</c:v>
                </c:pt>
                <c:pt idx="495">
                  <c:v>-0.30444187549070134</c:v>
                </c:pt>
                <c:pt idx="496">
                  <c:v>-0.18514541360757028</c:v>
                </c:pt>
                <c:pt idx="497">
                  <c:v>-0.26999390758058534</c:v>
                </c:pt>
                <c:pt idx="498">
                  <c:v>-0.27146357117968462</c:v>
                </c:pt>
                <c:pt idx="499">
                  <c:v>-0.28893579033863742</c:v>
                </c:pt>
                <c:pt idx="500">
                  <c:v>-0.39901901703298281</c:v>
                </c:pt>
                <c:pt idx="501">
                  <c:v>-0.31232010188287701</c:v>
                </c:pt>
                <c:pt idx="502">
                  <c:v>-0.30692128818298536</c:v>
                </c:pt>
                <c:pt idx="503">
                  <c:v>-0.20539192170701701</c:v>
                </c:pt>
                <c:pt idx="504">
                  <c:v>-0.13439744861901698</c:v>
                </c:pt>
                <c:pt idx="505">
                  <c:v>-2.0454976891757765E-2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9B-4D9D-A5A3-1CD83E20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140255"/>
        <c:axId val="1345139423"/>
      </c:lineChart>
      <c:dateAx>
        <c:axId val="13451402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139423"/>
        <c:crosses val="autoZero"/>
        <c:auto val="1"/>
        <c:lblOffset val="100"/>
        <c:baseTimeUnit val="days"/>
      </c:dateAx>
      <c:valAx>
        <c:axId val="134513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14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BC02CC-FFC3-41F5-B23C-713CAAAD804E}">
  <sheetPr codeName="Chart1"/>
  <sheetViews>
    <sheetView zoomScale="8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6983" cy="60872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DDCFC1-6054-4D30-B99B-3D6DEEB262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7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MAX(C3:C1903)</f>
        <v>1.7456</v>
      </c>
      <c r="D2" s="4">
        <f>MIN(D3:D1903)</f>
        <v>8.7999999999999995E-2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44579</v>
      </c>
      <c r="B5">
        <v>0.21560000000000001</v>
      </c>
      <c r="C5">
        <v>0.21560000000000001</v>
      </c>
      <c r="D5">
        <v>0.21560000000000001</v>
      </c>
      <c r="E5">
        <v>0.21560000000000001</v>
      </c>
      <c r="F5">
        <v>0</v>
      </c>
      <c r="G5">
        <v>0.21560000000000001</v>
      </c>
      <c r="L5" t="s">
        <v>7</v>
      </c>
      <c r="M5" t="s">
        <v>7</v>
      </c>
      <c r="N5" t="s">
        <v>7</v>
      </c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-628259078.33248222</v>
      </c>
      <c r="S5">
        <f t="shared" ref="S5" si="3">R5/100000</f>
        <v>-6282.590783324822</v>
      </c>
      <c r="T5">
        <f t="shared" ref="T5" si="4">S5/1000</f>
        <v>-6.2825907833248218</v>
      </c>
    </row>
    <row r="6" spans="1:20" x14ac:dyDescent="0.25">
      <c r="A6" s="5">
        <v>44578</v>
      </c>
      <c r="B6">
        <v>0.21560000000000001</v>
      </c>
      <c r="C6">
        <v>0.21560000000000001</v>
      </c>
      <c r="D6">
        <v>0.21560000000000001</v>
      </c>
      <c r="E6">
        <v>0.21560000000000001</v>
      </c>
      <c r="F6">
        <v>0</v>
      </c>
      <c r="G6">
        <v>0.21560000000000001</v>
      </c>
      <c r="L6" t="s">
        <v>7</v>
      </c>
      <c r="M6" t="s">
        <v>7</v>
      </c>
      <c r="N6" t="s">
        <v>7</v>
      </c>
      <c r="P6">
        <f t="shared" ref="P6" si="5">IF(C6=D6,0,((E6-D6)-(C6-E6))/(C6-D6))</f>
        <v>0</v>
      </c>
      <c r="Q6">
        <f t="shared" ref="Q6" si="6">F6*P6</f>
        <v>0</v>
      </c>
      <c r="R6">
        <f t="shared" ref="R6" si="7">R7+Q6</f>
        <v>-628259078.33248222</v>
      </c>
      <c r="S6">
        <f t="shared" ref="S6" si="8">R6/100000</f>
        <v>-6282.590783324822</v>
      </c>
      <c r="T6">
        <f t="shared" ref="T6" si="9">S6/1000</f>
        <v>-6.2825907833248218</v>
      </c>
    </row>
    <row r="7" spans="1:20" x14ac:dyDescent="0.25">
      <c r="A7" s="5">
        <v>44577</v>
      </c>
      <c r="B7">
        <v>0.21560000000000001</v>
      </c>
      <c r="C7">
        <v>0.21560000000000001</v>
      </c>
      <c r="D7">
        <v>0.21560000000000001</v>
      </c>
      <c r="E7">
        <v>0.21560000000000001</v>
      </c>
      <c r="F7">
        <v>0</v>
      </c>
      <c r="G7">
        <v>0.21560000000000001</v>
      </c>
      <c r="L7" t="s">
        <v>7</v>
      </c>
      <c r="M7" t="s">
        <v>7</v>
      </c>
      <c r="N7" t="s">
        <v>7</v>
      </c>
      <c r="P7">
        <f t="shared" ref="P7" si="10">IF(C7=D7,0,((E7-D7)-(C7-E7))/(C7-D7))</f>
        <v>0</v>
      </c>
      <c r="Q7">
        <f t="shared" ref="Q7" si="11">F7*P7</f>
        <v>0</v>
      </c>
      <c r="R7">
        <f t="shared" ref="R7" si="12">R8+Q7</f>
        <v>-628259078.33248222</v>
      </c>
      <c r="S7">
        <f t="shared" ref="S7" si="13">R7/100000</f>
        <v>-6282.590783324822</v>
      </c>
      <c r="T7">
        <f t="shared" ref="T7" si="14">S7/1000</f>
        <v>-6.2825907833248218</v>
      </c>
    </row>
    <row r="8" spans="1:20" x14ac:dyDescent="0.25">
      <c r="A8" s="5">
        <v>44576</v>
      </c>
      <c r="B8">
        <v>0.21560000000000001</v>
      </c>
      <c r="C8">
        <v>0.21560000000000001</v>
      </c>
      <c r="D8">
        <v>0.21560000000000001</v>
      </c>
      <c r="E8">
        <v>0.21560000000000001</v>
      </c>
      <c r="F8">
        <v>0</v>
      </c>
      <c r="G8">
        <v>0.21560000000000001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</v>
      </c>
      <c r="Q8">
        <f t="shared" ref="Q8" si="16">F8*P8</f>
        <v>0</v>
      </c>
      <c r="R8">
        <f t="shared" ref="R8" si="17">R9+Q8</f>
        <v>-628259078.33248222</v>
      </c>
      <c r="S8">
        <f t="shared" ref="S8" si="18">R8/100000</f>
        <v>-6282.590783324822</v>
      </c>
      <c r="T8">
        <f t="shared" ref="T8" si="19">S8/1000</f>
        <v>-6.2825907833248218</v>
      </c>
    </row>
    <row r="9" spans="1:20" x14ac:dyDescent="0.25">
      <c r="A9" s="5">
        <v>44575</v>
      </c>
      <c r="B9">
        <v>0.21560000000000001</v>
      </c>
      <c r="C9">
        <v>0.21560000000000001</v>
      </c>
      <c r="D9">
        <v>0.21560000000000001</v>
      </c>
      <c r="E9">
        <v>0.21560000000000001</v>
      </c>
      <c r="F9">
        <v>0</v>
      </c>
      <c r="G9">
        <v>0.21560000000000001</v>
      </c>
      <c r="L9" t="s">
        <v>7</v>
      </c>
      <c r="M9" t="s">
        <v>7</v>
      </c>
      <c r="N9" t="s">
        <v>7</v>
      </c>
      <c r="P9">
        <f t="shared" ref="P9" si="20">IF(C9=D9,0,((E9-D9)-(C9-E9))/(C9-D9))</f>
        <v>0</v>
      </c>
      <c r="Q9">
        <f t="shared" ref="Q9" si="21">F9*P9</f>
        <v>0</v>
      </c>
      <c r="R9">
        <f t="shared" ref="R9" si="22">R10+Q9</f>
        <v>-628259078.33248222</v>
      </c>
      <c r="S9">
        <f t="shared" ref="S9" si="23">R9/100000</f>
        <v>-6282.590783324822</v>
      </c>
      <c r="T9">
        <f t="shared" ref="T9" si="24">S9/1000</f>
        <v>-6.2825907833248218</v>
      </c>
    </row>
    <row r="10" spans="1:20" x14ac:dyDescent="0.25">
      <c r="A10" s="5">
        <v>44574</v>
      </c>
      <c r="B10">
        <v>0.21560000000000001</v>
      </c>
      <c r="C10">
        <v>0.21560000000000001</v>
      </c>
      <c r="D10">
        <v>0.21560000000000001</v>
      </c>
      <c r="E10">
        <v>0.21560000000000001</v>
      </c>
      <c r="F10">
        <v>0</v>
      </c>
      <c r="G10">
        <v>0.21560000000000001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</v>
      </c>
      <c r="Q10">
        <f t="shared" ref="Q10" si="26">F10*P10</f>
        <v>0</v>
      </c>
      <c r="R10">
        <f t="shared" ref="R10" si="27">R11+Q10</f>
        <v>-628259078.33248222</v>
      </c>
      <c r="S10">
        <f t="shared" ref="S10" si="28">R10/100000</f>
        <v>-6282.590783324822</v>
      </c>
      <c r="T10">
        <f t="shared" ref="T10" si="29">S10/1000</f>
        <v>-6.2825907833248218</v>
      </c>
    </row>
    <row r="11" spans="1:20" x14ac:dyDescent="0.25">
      <c r="A11" s="5">
        <v>44573</v>
      </c>
      <c r="B11">
        <v>0.21560000000000001</v>
      </c>
      <c r="C11">
        <v>0.21560000000000001</v>
      </c>
      <c r="D11">
        <v>0.21560000000000001</v>
      </c>
      <c r="E11">
        <v>0.21560000000000001</v>
      </c>
      <c r="F11">
        <v>0</v>
      </c>
      <c r="G11">
        <v>0.21560000000000001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0</v>
      </c>
      <c r="Q11">
        <f t="shared" ref="Q11" si="31">F11*P11</f>
        <v>0</v>
      </c>
      <c r="R11">
        <f t="shared" ref="R11" si="32">R12+Q11</f>
        <v>-628259078.33248222</v>
      </c>
      <c r="S11">
        <f t="shared" ref="S11" si="33">R11/100000</f>
        <v>-6282.590783324822</v>
      </c>
      <c r="T11">
        <f t="shared" ref="T11" si="34">S11/1000</f>
        <v>-6.2825907833248218</v>
      </c>
    </row>
    <row r="12" spans="1:20" x14ac:dyDescent="0.25">
      <c r="A12" s="5">
        <v>44572</v>
      </c>
      <c r="B12">
        <v>0.21560000000000001</v>
      </c>
      <c r="C12">
        <v>0.21560000000000001</v>
      </c>
      <c r="D12">
        <v>0.21560000000000001</v>
      </c>
      <c r="E12">
        <v>0.21560000000000001</v>
      </c>
      <c r="F12">
        <v>0</v>
      </c>
      <c r="G12">
        <v>0.21560000000000001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0</v>
      </c>
      <c r="Q12">
        <f t="shared" ref="Q12" si="36">F12*P12</f>
        <v>0</v>
      </c>
      <c r="R12">
        <f t="shared" ref="R12" si="37">R13+Q12</f>
        <v>-628259078.33248222</v>
      </c>
      <c r="S12">
        <f t="shared" ref="S12" si="38">R12/100000</f>
        <v>-6282.590783324822</v>
      </c>
      <c r="T12">
        <f t="shared" ref="T12" si="39">S12/1000</f>
        <v>-6.2825907833248218</v>
      </c>
    </row>
    <row r="13" spans="1:20" x14ac:dyDescent="0.25">
      <c r="A13" s="5">
        <v>44571</v>
      </c>
      <c r="B13">
        <v>0.21560000000000001</v>
      </c>
      <c r="C13">
        <v>0.21560000000000001</v>
      </c>
      <c r="D13">
        <v>0.21560000000000001</v>
      </c>
      <c r="E13">
        <v>0.21560000000000001</v>
      </c>
      <c r="F13">
        <v>0</v>
      </c>
      <c r="G13">
        <v>0.21560000000000001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</v>
      </c>
      <c r="Q13">
        <f t="shared" ref="Q13" si="41">F13*P13</f>
        <v>0</v>
      </c>
      <c r="R13">
        <f t="shared" ref="R13" si="42">R14+Q13</f>
        <v>-628259078.33248222</v>
      </c>
      <c r="S13">
        <f t="shared" ref="S13" si="43">R13/100000</f>
        <v>-6282.590783324822</v>
      </c>
      <c r="T13">
        <f t="shared" ref="T13" si="44">S13/1000</f>
        <v>-6.2825907833248218</v>
      </c>
    </row>
    <row r="14" spans="1:20" x14ac:dyDescent="0.25">
      <c r="A14" s="5">
        <v>44570</v>
      </c>
      <c r="B14">
        <v>0.21560000000000001</v>
      </c>
      <c r="C14">
        <v>0.21560000000000001</v>
      </c>
      <c r="D14">
        <v>0.21560000000000001</v>
      </c>
      <c r="E14">
        <v>0.21560000000000001</v>
      </c>
      <c r="F14">
        <v>0</v>
      </c>
      <c r="G14">
        <v>0.21560000000000001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</v>
      </c>
      <c r="Q14">
        <f t="shared" ref="Q14" si="46">F14*P14</f>
        <v>0</v>
      </c>
      <c r="R14">
        <f t="shared" ref="R14" si="47">R15+Q14</f>
        <v>-628259078.33248222</v>
      </c>
      <c r="S14">
        <f t="shared" ref="S14" si="48">R14/100000</f>
        <v>-6282.590783324822</v>
      </c>
      <c r="T14">
        <f t="shared" ref="T14" si="49">S14/1000</f>
        <v>-6.2825907833248218</v>
      </c>
    </row>
    <row r="15" spans="1:20" x14ac:dyDescent="0.25">
      <c r="A15" s="5">
        <v>44569</v>
      </c>
      <c r="B15">
        <v>0.21560000000000001</v>
      </c>
      <c r="C15">
        <v>0.21560000000000001</v>
      </c>
      <c r="D15">
        <v>0.21560000000000001</v>
      </c>
      <c r="E15">
        <v>0.21560000000000001</v>
      </c>
      <c r="F15">
        <v>0</v>
      </c>
      <c r="G15">
        <v>0.21560000000000001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0</v>
      </c>
      <c r="Q15">
        <f t="shared" ref="Q15" si="51">F15*P15</f>
        <v>0</v>
      </c>
      <c r="R15">
        <f t="shared" ref="R15" si="52">R16+Q15</f>
        <v>-628259078.33248222</v>
      </c>
      <c r="S15">
        <f t="shared" ref="S15" si="53">R15/100000</f>
        <v>-6282.590783324822</v>
      </c>
      <c r="T15">
        <f t="shared" ref="T15" si="54">S15/1000</f>
        <v>-6.2825907833248218</v>
      </c>
    </row>
    <row r="16" spans="1:20" x14ac:dyDescent="0.25">
      <c r="A16" s="5">
        <v>44568</v>
      </c>
      <c r="B16">
        <v>0.21560000000000001</v>
      </c>
      <c r="C16">
        <v>0.21560000000000001</v>
      </c>
      <c r="D16">
        <v>0.21560000000000001</v>
      </c>
      <c r="E16">
        <v>0.21560000000000001</v>
      </c>
      <c r="F16">
        <v>0</v>
      </c>
      <c r="G16">
        <v>0.21560000000000001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</v>
      </c>
      <c r="Q16">
        <f t="shared" ref="Q16" si="56">F16*P16</f>
        <v>0</v>
      </c>
      <c r="R16">
        <f t="shared" ref="R16" si="57">R17+Q16</f>
        <v>-628259078.33248222</v>
      </c>
      <c r="S16">
        <f t="shared" ref="S16" si="58">R16/100000</f>
        <v>-6282.590783324822</v>
      </c>
      <c r="T16">
        <f t="shared" ref="T16" si="59">S16/1000</f>
        <v>-6.2825907833248218</v>
      </c>
    </row>
    <row r="17" spans="1:20" x14ac:dyDescent="0.25">
      <c r="A17" s="5">
        <v>44567</v>
      </c>
      <c r="B17">
        <v>0.21560000000000001</v>
      </c>
      <c r="C17">
        <v>0.21560000000000001</v>
      </c>
      <c r="D17">
        <v>0.21560000000000001</v>
      </c>
      <c r="E17">
        <v>0.21560000000000001</v>
      </c>
      <c r="F17">
        <v>0</v>
      </c>
      <c r="G17">
        <v>0.21560000000000001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</v>
      </c>
      <c r="Q17">
        <f t="shared" ref="Q17" si="61">F17*P17</f>
        <v>0</v>
      </c>
      <c r="R17">
        <f t="shared" ref="R17" si="62">R18+Q17</f>
        <v>-628259078.33248222</v>
      </c>
      <c r="S17">
        <f t="shared" ref="S17" si="63">R17/100000</f>
        <v>-6282.590783324822</v>
      </c>
      <c r="T17">
        <f t="shared" ref="T17" si="64">S17/1000</f>
        <v>-6.2825907833248218</v>
      </c>
    </row>
    <row r="18" spans="1:20" x14ac:dyDescent="0.25">
      <c r="A18" s="5">
        <v>44566</v>
      </c>
      <c r="B18">
        <v>0.21560000000000001</v>
      </c>
      <c r="C18">
        <v>0.21560000000000001</v>
      </c>
      <c r="D18">
        <v>0.21560000000000001</v>
      </c>
      <c r="E18">
        <v>0.21560000000000001</v>
      </c>
      <c r="F18">
        <v>0</v>
      </c>
      <c r="G18">
        <v>0.21560000000000001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</v>
      </c>
      <c r="Q18">
        <f t="shared" ref="Q18" si="66">F18*P18</f>
        <v>0</v>
      </c>
      <c r="R18">
        <f t="shared" ref="R18" si="67">R19+Q18</f>
        <v>-628259078.33248222</v>
      </c>
      <c r="S18">
        <f t="shared" ref="S18" si="68">R18/100000</f>
        <v>-6282.590783324822</v>
      </c>
      <c r="T18">
        <f t="shared" ref="T18" si="69">S18/1000</f>
        <v>-6.2825907833248218</v>
      </c>
    </row>
    <row r="19" spans="1:20" x14ac:dyDescent="0.25">
      <c r="A19" s="5">
        <v>44565</v>
      </c>
      <c r="B19">
        <v>0.21560000000000001</v>
      </c>
      <c r="C19">
        <v>0.21560000000000001</v>
      </c>
      <c r="D19">
        <v>0.21560000000000001</v>
      </c>
      <c r="E19">
        <v>0.21560000000000001</v>
      </c>
      <c r="F19">
        <v>0</v>
      </c>
      <c r="G19">
        <v>0.21560000000000001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0</v>
      </c>
      <c r="Q19">
        <f t="shared" ref="Q19" si="71">F19*P19</f>
        <v>0</v>
      </c>
      <c r="R19">
        <f t="shared" ref="R19" si="72">R20+Q19</f>
        <v>-628259078.33248222</v>
      </c>
      <c r="S19">
        <f t="shared" ref="S19" si="73">R19/100000</f>
        <v>-6282.590783324822</v>
      </c>
      <c r="T19">
        <f t="shared" ref="T19" si="74">S19/1000</f>
        <v>-6.2825907833248218</v>
      </c>
    </row>
    <row r="20" spans="1:20" x14ac:dyDescent="0.25">
      <c r="A20" s="5">
        <v>44564</v>
      </c>
      <c r="B20">
        <v>0.21560000000000001</v>
      </c>
      <c r="C20">
        <v>0.21560000000000001</v>
      </c>
      <c r="D20">
        <v>0.21560000000000001</v>
      </c>
      <c r="E20">
        <v>0.21560000000000001</v>
      </c>
      <c r="F20">
        <v>0</v>
      </c>
      <c r="G20">
        <v>0.21560000000000001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</v>
      </c>
      <c r="Q20">
        <f t="shared" ref="Q20" si="76">F20*P20</f>
        <v>0</v>
      </c>
      <c r="R20">
        <f t="shared" ref="R20" si="77">R21+Q20</f>
        <v>-628259078.33248222</v>
      </c>
      <c r="S20">
        <f t="shared" ref="S20" si="78">R20/100000</f>
        <v>-6282.590783324822</v>
      </c>
      <c r="T20">
        <f t="shared" ref="T20" si="79">S20/1000</f>
        <v>-6.2825907833248218</v>
      </c>
    </row>
    <row r="21" spans="1:20" x14ac:dyDescent="0.25">
      <c r="A21" s="5">
        <v>44563</v>
      </c>
      <c r="B21">
        <v>0.21560000000000001</v>
      </c>
      <c r="C21">
        <v>0.21560000000000001</v>
      </c>
      <c r="D21">
        <v>0.21560000000000001</v>
      </c>
      <c r="E21">
        <v>0.21560000000000001</v>
      </c>
      <c r="F21">
        <v>0</v>
      </c>
      <c r="G21">
        <v>0.21560000000000001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</v>
      </c>
      <c r="Q21">
        <f t="shared" ref="Q21" si="81">F21*P21</f>
        <v>0</v>
      </c>
      <c r="R21">
        <f t="shared" ref="R21" si="82">R22+Q21</f>
        <v>-628259078.33248222</v>
      </c>
      <c r="S21">
        <f t="shared" ref="S21" si="83">R21/100000</f>
        <v>-6282.590783324822</v>
      </c>
      <c r="T21">
        <f t="shared" ref="T21" si="84">S21/1000</f>
        <v>-6.2825907833248218</v>
      </c>
    </row>
    <row r="22" spans="1:20" x14ac:dyDescent="0.25">
      <c r="A22" s="5">
        <v>44562</v>
      </c>
      <c r="B22">
        <v>0.21560000000000001</v>
      </c>
      <c r="C22">
        <v>0.21560000000000001</v>
      </c>
      <c r="D22">
        <v>0.21560000000000001</v>
      </c>
      <c r="E22">
        <v>0.21560000000000001</v>
      </c>
      <c r="F22">
        <v>0</v>
      </c>
      <c r="G22">
        <v>0.21560000000000001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</v>
      </c>
      <c r="Q22">
        <f t="shared" ref="Q22" si="86">F22*P22</f>
        <v>0</v>
      </c>
      <c r="R22">
        <f t="shared" ref="R22" si="87">R23+Q22</f>
        <v>-628259078.33248222</v>
      </c>
      <c r="S22">
        <f t="shared" ref="S22" si="88">R22/100000</f>
        <v>-6282.590783324822</v>
      </c>
      <c r="T22">
        <f t="shared" ref="T22" si="89">S22/1000</f>
        <v>-6.2825907833248218</v>
      </c>
    </row>
    <row r="23" spans="1:20" x14ac:dyDescent="0.25">
      <c r="A23" s="5">
        <v>44561</v>
      </c>
      <c r="B23">
        <v>0.21560000000000001</v>
      </c>
      <c r="C23">
        <v>0.21560000000000001</v>
      </c>
      <c r="D23">
        <v>0.21560000000000001</v>
      </c>
      <c r="E23">
        <v>0.21560000000000001</v>
      </c>
      <c r="F23">
        <v>0</v>
      </c>
      <c r="G23">
        <v>0.21560000000000001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</v>
      </c>
      <c r="Q23">
        <f t="shared" ref="Q23" si="91">F23*P23</f>
        <v>0</v>
      </c>
      <c r="R23">
        <f t="shared" ref="R23" si="92">R24+Q23</f>
        <v>-628259078.33248222</v>
      </c>
      <c r="S23">
        <f t="shared" ref="S23" si="93">R23/100000</f>
        <v>-6282.590783324822</v>
      </c>
      <c r="T23">
        <f t="shared" ref="T23" si="94">S23/1000</f>
        <v>-6.2825907833248218</v>
      </c>
    </row>
    <row r="24" spans="1:20" x14ac:dyDescent="0.25">
      <c r="A24" s="5">
        <v>44560</v>
      </c>
      <c r="B24">
        <v>0.21560000000000001</v>
      </c>
      <c r="C24">
        <v>0.21560000000000001</v>
      </c>
      <c r="D24">
        <v>0.21560000000000001</v>
      </c>
      <c r="E24">
        <v>0.21560000000000001</v>
      </c>
      <c r="F24">
        <v>0</v>
      </c>
      <c r="G24">
        <v>0.21560000000000001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</v>
      </c>
      <c r="Q24">
        <f t="shared" ref="Q24" si="96">F24*P24</f>
        <v>0</v>
      </c>
      <c r="R24">
        <f t="shared" ref="R24" si="97">R25+Q24</f>
        <v>-628259078.33248222</v>
      </c>
      <c r="S24">
        <f t="shared" ref="S24" si="98">R24/100000</f>
        <v>-6282.590783324822</v>
      </c>
      <c r="T24">
        <f t="shared" ref="T24" si="99">S24/1000</f>
        <v>-6.2825907833248218</v>
      </c>
    </row>
    <row r="25" spans="1:20" x14ac:dyDescent="0.25">
      <c r="A25" s="5">
        <v>44559</v>
      </c>
      <c r="B25">
        <v>0.21560000000000001</v>
      </c>
      <c r="C25">
        <v>0.21560000000000001</v>
      </c>
      <c r="D25">
        <v>0.21560000000000001</v>
      </c>
      <c r="E25">
        <v>0.21560000000000001</v>
      </c>
      <c r="F25">
        <v>0</v>
      </c>
      <c r="G25">
        <v>0.21560000000000001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</v>
      </c>
      <c r="Q25">
        <f t="shared" ref="Q25" si="101">F25*P25</f>
        <v>0</v>
      </c>
      <c r="R25">
        <f t="shared" ref="R25" si="102">R26+Q25</f>
        <v>-628259078.33248222</v>
      </c>
      <c r="S25">
        <f t="shared" ref="S25" si="103">R25/100000</f>
        <v>-6282.590783324822</v>
      </c>
      <c r="T25">
        <f t="shared" ref="T25" si="104">S25/1000</f>
        <v>-6.2825907833248218</v>
      </c>
    </row>
    <row r="26" spans="1:20" x14ac:dyDescent="0.25">
      <c r="A26" s="5">
        <v>44558</v>
      </c>
      <c r="B26">
        <v>0.21560000000000001</v>
      </c>
      <c r="C26">
        <v>0.21560000000000001</v>
      </c>
      <c r="D26">
        <v>0.21560000000000001</v>
      </c>
      <c r="E26">
        <v>0.21560000000000001</v>
      </c>
      <c r="F26">
        <v>0</v>
      </c>
      <c r="G26">
        <v>0.21560000000000001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</v>
      </c>
      <c r="Q26">
        <f t="shared" ref="Q26" si="106">F26*P26</f>
        <v>0</v>
      </c>
      <c r="R26">
        <f t="shared" ref="R26" si="107">R27+Q26</f>
        <v>-628259078.33248222</v>
      </c>
      <c r="S26">
        <f t="shared" ref="S26" si="108">R26/100000</f>
        <v>-6282.590783324822</v>
      </c>
      <c r="T26">
        <f t="shared" ref="T26" si="109">S26/1000</f>
        <v>-6.2825907833248218</v>
      </c>
    </row>
    <row r="27" spans="1:20" x14ac:dyDescent="0.25">
      <c r="A27" s="5">
        <v>44557</v>
      </c>
      <c r="B27">
        <v>0.21560000000000001</v>
      </c>
      <c r="C27">
        <v>0.21560000000000001</v>
      </c>
      <c r="D27">
        <v>0.21560000000000001</v>
      </c>
      <c r="E27">
        <v>0.21560000000000001</v>
      </c>
      <c r="F27">
        <v>0</v>
      </c>
      <c r="G27">
        <v>0.21560000000000001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0</v>
      </c>
      <c r="Q27">
        <f t="shared" ref="Q27" si="111">F27*P27</f>
        <v>0</v>
      </c>
      <c r="R27">
        <f t="shared" ref="R27" si="112">R28+Q27</f>
        <v>-628259078.33248222</v>
      </c>
      <c r="S27">
        <f t="shared" ref="S27" si="113">R27/100000</f>
        <v>-6282.590783324822</v>
      </c>
      <c r="T27">
        <f t="shared" ref="T27" si="114">S27/1000</f>
        <v>-6.2825907833248218</v>
      </c>
    </row>
    <row r="28" spans="1:20" x14ac:dyDescent="0.25">
      <c r="A28" s="5">
        <v>44556</v>
      </c>
      <c r="B28">
        <v>0.21560000000000001</v>
      </c>
      <c r="C28">
        <v>0.21560000000000001</v>
      </c>
      <c r="D28">
        <v>0.21560000000000001</v>
      </c>
      <c r="E28">
        <v>0.21560000000000001</v>
      </c>
      <c r="F28">
        <v>0</v>
      </c>
      <c r="G28">
        <v>0.21560000000000001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0</v>
      </c>
      <c r="Q28">
        <f t="shared" ref="Q28" si="116">F28*P28</f>
        <v>0</v>
      </c>
      <c r="R28">
        <f t="shared" ref="R28" si="117">R29+Q28</f>
        <v>-628259078.33248222</v>
      </c>
      <c r="S28">
        <f t="shared" ref="S28" si="118">R28/100000</f>
        <v>-6282.590783324822</v>
      </c>
      <c r="T28">
        <f t="shared" ref="T28" si="119">S28/1000</f>
        <v>-6.2825907833248218</v>
      </c>
    </row>
    <row r="29" spans="1:20" x14ac:dyDescent="0.25">
      <c r="A29" s="5">
        <v>44555</v>
      </c>
      <c r="B29">
        <v>0.21560000000000001</v>
      </c>
      <c r="C29">
        <v>0.21560000000000001</v>
      </c>
      <c r="D29">
        <v>0.21560000000000001</v>
      </c>
      <c r="E29">
        <v>0.21560000000000001</v>
      </c>
      <c r="F29">
        <v>0</v>
      </c>
      <c r="G29">
        <v>0.21560000000000001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</v>
      </c>
      <c r="Q29">
        <f t="shared" ref="Q29" si="121">F29*P29</f>
        <v>0</v>
      </c>
      <c r="R29">
        <f t="shared" ref="R29" si="122">R30+Q29</f>
        <v>-628259078.33248222</v>
      </c>
      <c r="S29">
        <f t="shared" ref="S29" si="123">R29/100000</f>
        <v>-6282.590783324822</v>
      </c>
      <c r="T29">
        <f t="shared" ref="T29" si="124">S29/1000</f>
        <v>-6.2825907833248218</v>
      </c>
    </row>
    <row r="30" spans="1:20" x14ac:dyDescent="0.25">
      <c r="A30" s="5">
        <v>44554</v>
      </c>
      <c r="B30">
        <v>0.21560000000000001</v>
      </c>
      <c r="C30">
        <v>0.21560000000000001</v>
      </c>
      <c r="D30">
        <v>0.21560000000000001</v>
      </c>
      <c r="E30">
        <v>0.21560000000000001</v>
      </c>
      <c r="F30">
        <v>0</v>
      </c>
      <c r="G30">
        <v>0.21560000000000001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</v>
      </c>
      <c r="Q30">
        <f t="shared" ref="Q30" si="126">F30*P30</f>
        <v>0</v>
      </c>
      <c r="R30">
        <f t="shared" ref="R30" si="127">R31+Q30</f>
        <v>-628259078.33248222</v>
      </c>
      <c r="S30">
        <f t="shared" ref="S30" si="128">R30/100000</f>
        <v>-6282.590783324822</v>
      </c>
      <c r="T30">
        <f t="shared" ref="T30" si="129">S30/1000</f>
        <v>-6.2825907833248218</v>
      </c>
    </row>
    <row r="31" spans="1:20" x14ac:dyDescent="0.25">
      <c r="A31" s="5">
        <v>44553</v>
      </c>
      <c r="B31">
        <v>0.21560000000000001</v>
      </c>
      <c r="C31">
        <v>0.21560000000000001</v>
      </c>
      <c r="D31">
        <v>0.21560000000000001</v>
      </c>
      <c r="E31">
        <v>0.21560000000000001</v>
      </c>
      <c r="F31">
        <v>0</v>
      </c>
      <c r="G31">
        <v>0.21560000000000001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</v>
      </c>
      <c r="Q31">
        <f t="shared" ref="Q31" si="131">F31*P31</f>
        <v>0</v>
      </c>
      <c r="R31">
        <f t="shared" ref="R31" si="132">R32+Q31</f>
        <v>-628259078.33248222</v>
      </c>
      <c r="S31">
        <f t="shared" ref="S31" si="133">R31/100000</f>
        <v>-6282.590783324822</v>
      </c>
      <c r="T31">
        <f t="shared" ref="T31" si="134">S31/1000</f>
        <v>-6.2825907833248218</v>
      </c>
    </row>
    <row r="32" spans="1:20" x14ac:dyDescent="0.25">
      <c r="A32" s="5">
        <v>44552</v>
      </c>
      <c r="B32">
        <v>0.21560000000000001</v>
      </c>
      <c r="C32">
        <v>0.21560000000000001</v>
      </c>
      <c r="D32">
        <v>0.21560000000000001</v>
      </c>
      <c r="E32">
        <v>0.21560000000000001</v>
      </c>
      <c r="F32">
        <v>0</v>
      </c>
      <c r="G32">
        <v>0.21560000000000001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0</v>
      </c>
      <c r="Q32">
        <f t="shared" ref="Q32" si="136">F32*P32</f>
        <v>0</v>
      </c>
      <c r="R32">
        <f t="shared" ref="R32" si="137">R33+Q32</f>
        <v>-628259078.33248222</v>
      </c>
      <c r="S32">
        <f t="shared" ref="S32" si="138">R32/100000</f>
        <v>-6282.590783324822</v>
      </c>
      <c r="T32">
        <f t="shared" ref="T32" si="139">S32/1000</f>
        <v>-6.2825907833248218</v>
      </c>
    </row>
    <row r="33" spans="1:20" x14ac:dyDescent="0.25">
      <c r="A33" s="5">
        <v>44551</v>
      </c>
      <c r="B33">
        <v>0.21560000000000001</v>
      </c>
      <c r="C33">
        <v>0.21560000000000001</v>
      </c>
      <c r="D33">
        <v>0.21560000000000001</v>
      </c>
      <c r="E33">
        <v>0.21560000000000001</v>
      </c>
      <c r="F33">
        <v>0</v>
      </c>
      <c r="G33">
        <v>0.21560000000000001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</v>
      </c>
      <c r="Q33">
        <f t="shared" ref="Q33" si="141">F33*P33</f>
        <v>0</v>
      </c>
      <c r="R33">
        <f t="shared" ref="R33" si="142">R34+Q33</f>
        <v>-628259078.33248222</v>
      </c>
      <c r="S33">
        <f t="shared" ref="S33" si="143">R33/100000</f>
        <v>-6282.590783324822</v>
      </c>
      <c r="T33">
        <f t="shared" ref="T33" si="144">S33/1000</f>
        <v>-6.2825907833248218</v>
      </c>
    </row>
    <row r="34" spans="1:20" x14ac:dyDescent="0.25">
      <c r="A34" s="5">
        <v>44550</v>
      </c>
      <c r="B34">
        <v>0.20830000000000001</v>
      </c>
      <c r="C34">
        <v>0.21679999999999999</v>
      </c>
      <c r="D34">
        <v>0.2054</v>
      </c>
      <c r="E34">
        <v>0.21560000000000001</v>
      </c>
      <c r="F34">
        <v>6903720</v>
      </c>
      <c r="G34">
        <v>0.21560000000000001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0.78947368421052988</v>
      </c>
      <c r="Q34">
        <f t="shared" ref="Q34" si="146">F34*P34</f>
        <v>5450305.263157919</v>
      </c>
      <c r="R34">
        <f t="shared" ref="R34" si="147">R35+Q34</f>
        <v>-628259078.33248222</v>
      </c>
      <c r="S34">
        <f t="shared" ref="S34" si="148">R34/100000</f>
        <v>-6282.590783324822</v>
      </c>
      <c r="T34">
        <f t="shared" ref="T34" si="149">S34/1000</f>
        <v>-6.2825907833248218</v>
      </c>
    </row>
    <row r="35" spans="1:20" x14ac:dyDescent="0.25">
      <c r="A35" s="5">
        <v>44549</v>
      </c>
      <c r="B35">
        <v>0.22819999999999999</v>
      </c>
      <c r="C35">
        <v>0.2346</v>
      </c>
      <c r="D35">
        <v>0.20660000000000001</v>
      </c>
      <c r="E35">
        <v>0.20830000000000001</v>
      </c>
      <c r="F35">
        <v>41737040.68</v>
      </c>
      <c r="G35">
        <v>0.20830000000000001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-0.878571428571428</v>
      </c>
      <c r="Q35">
        <f t="shared" ref="Q35" si="151">F35*P35</f>
        <v>-36668971.454571404</v>
      </c>
      <c r="R35">
        <f t="shared" ref="R35" si="152">R36+Q35</f>
        <v>-633709383.59564018</v>
      </c>
      <c r="S35">
        <f t="shared" ref="S35" si="153">R35/100000</f>
        <v>-6337.0938359564016</v>
      </c>
      <c r="T35">
        <f t="shared" ref="T35" si="154">S35/1000</f>
        <v>-6.3370938359564013</v>
      </c>
    </row>
    <row r="36" spans="1:20" x14ac:dyDescent="0.25">
      <c r="A36" s="5">
        <v>44548</v>
      </c>
      <c r="B36">
        <v>0.23250000000000001</v>
      </c>
      <c r="C36">
        <v>0.2404</v>
      </c>
      <c r="D36">
        <v>0.22559999999999999</v>
      </c>
      <c r="E36">
        <v>0.22839999999999999</v>
      </c>
      <c r="F36">
        <v>23561441</v>
      </c>
      <c r="G36">
        <v>0.22839999999999999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-0.62162162162162227</v>
      </c>
      <c r="Q36">
        <f t="shared" ref="Q36" si="156">F36*P36</f>
        <v>-14646301.162162177</v>
      </c>
      <c r="R36">
        <f t="shared" ref="R36" si="157">R37+Q36</f>
        <v>-597040412.14106882</v>
      </c>
      <c r="S36">
        <f t="shared" ref="S36" si="158">R36/100000</f>
        <v>-5970.4041214106883</v>
      </c>
      <c r="T36">
        <f t="shared" ref="T36" si="159">S36/1000</f>
        <v>-5.970404121410688</v>
      </c>
    </row>
    <row r="37" spans="1:20" x14ac:dyDescent="0.25">
      <c r="A37" s="5">
        <v>44547</v>
      </c>
      <c r="B37">
        <v>0.24909999999999999</v>
      </c>
      <c r="C37">
        <v>0.25519999999999998</v>
      </c>
      <c r="D37">
        <v>0.22489999999999999</v>
      </c>
      <c r="E37">
        <v>0.23200000000000001</v>
      </c>
      <c r="F37">
        <v>61135405</v>
      </c>
      <c r="G37">
        <v>0.23200000000000001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-0.53135313531352979</v>
      </c>
      <c r="Q37">
        <f t="shared" ref="Q37" si="161">F37*P37</f>
        <v>-32484489.125412446</v>
      </c>
      <c r="R37">
        <f t="shared" ref="R37" si="162">R38+Q37</f>
        <v>-582394110.97890663</v>
      </c>
      <c r="S37">
        <f t="shared" ref="S37" si="163">R37/100000</f>
        <v>-5823.9411097890661</v>
      </c>
      <c r="T37">
        <f t="shared" ref="T37" si="164">S37/1000</f>
        <v>-5.8239411097890663</v>
      </c>
    </row>
    <row r="38" spans="1:20" x14ac:dyDescent="0.25">
      <c r="A38" s="5">
        <v>44546</v>
      </c>
      <c r="B38">
        <v>0.27539999999999998</v>
      </c>
      <c r="C38">
        <v>0.31900000000000001</v>
      </c>
      <c r="D38">
        <v>0.248</v>
      </c>
      <c r="E38">
        <v>0.24909999999999999</v>
      </c>
      <c r="F38">
        <v>110357631</v>
      </c>
      <c r="G38">
        <v>0.24909999999999999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-0.96901408450704252</v>
      </c>
      <c r="Q38">
        <f t="shared" ref="Q38" si="166">F38*P38</f>
        <v>-106938098.77183102</v>
      </c>
      <c r="R38">
        <f t="shared" ref="R38" si="167">R39+Q38</f>
        <v>-549909621.85349417</v>
      </c>
      <c r="S38">
        <f t="shared" ref="S38" si="168">R38/100000</f>
        <v>-5499.0962185349417</v>
      </c>
      <c r="T38">
        <f t="shared" ref="T38" si="169">S38/1000</f>
        <v>-5.4990962185349419</v>
      </c>
    </row>
    <row r="39" spans="1:20" x14ac:dyDescent="0.25">
      <c r="A39" s="5">
        <v>44545</v>
      </c>
      <c r="B39">
        <v>0.25409999999999999</v>
      </c>
      <c r="C39">
        <v>0.28260000000000002</v>
      </c>
      <c r="D39">
        <v>0.24740000000000001</v>
      </c>
      <c r="E39">
        <v>0.27579999999999999</v>
      </c>
      <c r="F39">
        <v>55550954</v>
      </c>
      <c r="G39">
        <v>0.27579999999999999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0.61363636363636209</v>
      </c>
      <c r="Q39">
        <f t="shared" ref="Q39" si="171">F39*P39</f>
        <v>34088085.409090824</v>
      </c>
      <c r="R39">
        <f t="shared" ref="R39" si="172">R40+Q39</f>
        <v>-442971523.08166313</v>
      </c>
      <c r="S39">
        <f t="shared" ref="S39" si="173">R39/100000</f>
        <v>-4429.7152308166314</v>
      </c>
      <c r="T39">
        <f t="shared" ref="T39" si="174">S39/1000</f>
        <v>-4.4297152308166314</v>
      </c>
    </row>
    <row r="40" spans="1:20" x14ac:dyDescent="0.25">
      <c r="A40" s="5">
        <v>44544</v>
      </c>
      <c r="B40">
        <v>0.25700000000000001</v>
      </c>
      <c r="C40">
        <v>0.26240000000000002</v>
      </c>
      <c r="D40">
        <v>0.2404</v>
      </c>
      <c r="E40">
        <v>0.25390000000000001</v>
      </c>
      <c r="F40">
        <v>40137358</v>
      </c>
      <c r="G40">
        <v>0.25390000000000001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0.22727272727272727</v>
      </c>
      <c r="Q40">
        <f t="shared" ref="Q40" si="176">F40*P40</f>
        <v>9122126.8181818184</v>
      </c>
      <c r="R40">
        <f t="shared" ref="R40" si="177">R41+Q40</f>
        <v>-477059608.49075395</v>
      </c>
      <c r="S40">
        <f t="shared" ref="S40" si="178">R40/100000</f>
        <v>-4770.5960849075391</v>
      </c>
      <c r="T40">
        <f t="shared" ref="T40" si="179">S40/1000</f>
        <v>-4.7705960849075391</v>
      </c>
    </row>
    <row r="41" spans="1:20" x14ac:dyDescent="0.25">
      <c r="A41" s="5">
        <v>44543</v>
      </c>
      <c r="B41">
        <v>0.30819999999999997</v>
      </c>
      <c r="C41">
        <v>0.32669999999999999</v>
      </c>
      <c r="D41">
        <v>0.25280000000000002</v>
      </c>
      <c r="E41">
        <v>0.25659999999999999</v>
      </c>
      <c r="F41">
        <v>73721332</v>
      </c>
      <c r="G41">
        <v>0.25659999999999999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-0.89715832205683432</v>
      </c>
      <c r="Q41">
        <f t="shared" ref="Q41" si="181">F41*P41</f>
        <v>-66139706.516914807</v>
      </c>
      <c r="R41">
        <f t="shared" ref="R41" si="182">R42+Q41</f>
        <v>-486181735.30893576</v>
      </c>
      <c r="S41">
        <f t="shared" ref="S41" si="183">R41/100000</f>
        <v>-4861.8173530893573</v>
      </c>
      <c r="T41">
        <f t="shared" ref="T41" si="184">S41/1000</f>
        <v>-4.8618173530893571</v>
      </c>
    </row>
    <row r="42" spans="1:20" x14ac:dyDescent="0.25">
      <c r="A42" s="5">
        <v>44542</v>
      </c>
      <c r="B42">
        <v>0.28389999999999999</v>
      </c>
      <c r="C42">
        <v>0.317</v>
      </c>
      <c r="D42">
        <v>0.27450000000000002</v>
      </c>
      <c r="E42">
        <v>0.30780000000000002</v>
      </c>
      <c r="F42">
        <v>37395664</v>
      </c>
      <c r="G42">
        <v>0.30780000000000002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0.56705882352941228</v>
      </c>
      <c r="Q42">
        <f t="shared" ref="Q42" si="186">F42*P42</f>
        <v>21205541.232941195</v>
      </c>
      <c r="R42">
        <f t="shared" ref="R42" si="187">R43+Q42</f>
        <v>-420042028.79202098</v>
      </c>
      <c r="S42">
        <f t="shared" ref="S42" si="188">R42/100000</f>
        <v>-4200.4202879202094</v>
      </c>
      <c r="T42">
        <f t="shared" ref="T42" si="189">S42/1000</f>
        <v>-4.2004202879202097</v>
      </c>
    </row>
    <row r="43" spans="1:20" x14ac:dyDescent="0.25">
      <c r="A43" s="5">
        <v>44541</v>
      </c>
      <c r="B43">
        <v>0.27229999999999999</v>
      </c>
      <c r="C43">
        <v>0.2923</v>
      </c>
      <c r="D43">
        <v>0.27150000000000002</v>
      </c>
      <c r="E43">
        <v>0.2878</v>
      </c>
      <c r="F43">
        <v>4014597</v>
      </c>
      <c r="G43">
        <v>0.2878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0.56730769230769162</v>
      </c>
      <c r="Q43">
        <f t="shared" ref="Q43" si="191">F43*P43</f>
        <v>2277511.7596153817</v>
      </c>
      <c r="R43">
        <f t="shared" ref="R43" si="192">R44+Q43</f>
        <v>-441247570.02496219</v>
      </c>
      <c r="S43">
        <f t="shared" ref="S43" si="193">R43/100000</f>
        <v>-4412.4757002496217</v>
      </c>
      <c r="T43">
        <f t="shared" ref="T43" si="194">S43/1000</f>
        <v>-4.4124757002496215</v>
      </c>
    </row>
    <row r="44" spans="1:20" x14ac:dyDescent="0.25">
      <c r="A44" s="5">
        <v>44540</v>
      </c>
      <c r="B44">
        <v>0.2601</v>
      </c>
      <c r="C44">
        <v>0.29970000000000002</v>
      </c>
      <c r="D44">
        <v>0.2591</v>
      </c>
      <c r="E44">
        <v>0.27310000000000001</v>
      </c>
      <c r="F44">
        <v>64336245</v>
      </c>
      <c r="G44">
        <v>0.27310000000000001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-0.31034482758620668</v>
      </c>
      <c r="Q44">
        <f t="shared" ref="Q44" si="196">F44*P44</f>
        <v>-19966420.862068951</v>
      </c>
      <c r="R44">
        <f t="shared" ref="R44" si="197">R45+Q44</f>
        <v>-443525081.78457755</v>
      </c>
      <c r="S44">
        <f t="shared" ref="S44" si="198">R44/100000</f>
        <v>-4435.2508178457756</v>
      </c>
      <c r="T44">
        <f t="shared" ref="T44" si="199">S44/1000</f>
        <v>-4.4352508178457759</v>
      </c>
    </row>
    <row r="45" spans="1:20" x14ac:dyDescent="0.25">
      <c r="A45" s="5">
        <v>44539</v>
      </c>
      <c r="B45">
        <v>0.2923</v>
      </c>
      <c r="C45">
        <v>0.30470000000000003</v>
      </c>
      <c r="D45">
        <v>0.25990000000000002</v>
      </c>
      <c r="E45">
        <v>0.2601</v>
      </c>
      <c r="F45">
        <v>46870342</v>
      </c>
      <c r="G45">
        <v>0.2601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-0.9910714285714296</v>
      </c>
      <c r="Q45">
        <f t="shared" ref="Q45" si="201">F45*P45</f>
        <v>-46451856.803571478</v>
      </c>
      <c r="R45">
        <f t="shared" ref="R45" si="202">R46+Q45</f>
        <v>-423558660.9225086</v>
      </c>
      <c r="S45">
        <f t="shared" ref="S45" si="203">R45/100000</f>
        <v>-4235.5866092250862</v>
      </c>
      <c r="T45">
        <f t="shared" ref="T45" si="204">S45/1000</f>
        <v>-4.235586609225086</v>
      </c>
    </row>
    <row r="46" spans="1:20" x14ac:dyDescent="0.25">
      <c r="A46" s="5">
        <v>44538</v>
      </c>
      <c r="B46">
        <v>0.28260000000000002</v>
      </c>
      <c r="C46">
        <v>0.3095</v>
      </c>
      <c r="D46">
        <v>0.26150000000000001</v>
      </c>
      <c r="E46">
        <v>0.29239999999999999</v>
      </c>
      <c r="F46">
        <v>64036552</v>
      </c>
      <c r="G46">
        <v>0.29239999999999999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0.28749999999999964</v>
      </c>
      <c r="Q46">
        <f t="shared" ref="Q46" si="206">F46*P46</f>
        <v>18410508.699999977</v>
      </c>
      <c r="R46">
        <f t="shared" ref="R46" si="207">R47+Q46</f>
        <v>-377106804.11893713</v>
      </c>
      <c r="S46">
        <f t="shared" ref="S46" si="208">R46/100000</f>
        <v>-3771.0680411893713</v>
      </c>
      <c r="T46">
        <f t="shared" ref="T46" si="209">S46/1000</f>
        <v>-3.7710680411893716</v>
      </c>
    </row>
    <row r="47" spans="1:20" x14ac:dyDescent="0.25">
      <c r="A47" s="5">
        <v>44537</v>
      </c>
      <c r="B47">
        <v>0.26200000000000001</v>
      </c>
      <c r="C47">
        <v>0.28499999999999998</v>
      </c>
      <c r="D47">
        <v>0.25340000000000001</v>
      </c>
      <c r="E47">
        <v>0.28210000000000002</v>
      </c>
      <c r="F47">
        <v>38077000</v>
      </c>
      <c r="G47">
        <v>0.28210000000000002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0.81645569620253411</v>
      </c>
      <c r="Q47">
        <f t="shared" ref="Q47" si="211">F47*P47</f>
        <v>31088183.54430389</v>
      </c>
      <c r="R47">
        <f t="shared" ref="R47" si="212">R48+Q47</f>
        <v>-395517312.81893712</v>
      </c>
      <c r="S47">
        <f t="shared" ref="S47" si="213">R47/100000</f>
        <v>-3955.1731281893713</v>
      </c>
      <c r="T47">
        <f t="shared" ref="T47" si="214">S47/1000</f>
        <v>-3.9551731281893714</v>
      </c>
    </row>
    <row r="48" spans="1:20" x14ac:dyDescent="0.25">
      <c r="A48" s="5">
        <v>44536</v>
      </c>
      <c r="B48">
        <v>0.2495</v>
      </c>
      <c r="C48">
        <v>0.2747</v>
      </c>
      <c r="D48">
        <v>0.2225</v>
      </c>
      <c r="E48">
        <v>0.2626</v>
      </c>
      <c r="F48">
        <v>47974527</v>
      </c>
      <c r="G48">
        <v>0.2626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0.53639846743295017</v>
      </c>
      <c r="Q48">
        <f t="shared" ref="Q48" si="216">F48*P48</f>
        <v>25733462.758620687</v>
      </c>
      <c r="R48">
        <f t="shared" ref="R48" si="217">R49+Q48</f>
        <v>-426605496.36324102</v>
      </c>
      <c r="S48">
        <f t="shared" ref="S48" si="218">R48/100000</f>
        <v>-4266.0549636324104</v>
      </c>
      <c r="T48">
        <f t="shared" ref="T48" si="219">S48/1000</f>
        <v>-4.2660549636324108</v>
      </c>
    </row>
    <row r="49" spans="1:20" x14ac:dyDescent="0.25">
      <c r="A49" s="5">
        <v>44535</v>
      </c>
      <c r="B49">
        <v>0.2742</v>
      </c>
      <c r="C49">
        <v>0.27929999999999999</v>
      </c>
      <c r="D49">
        <v>0.2356</v>
      </c>
      <c r="E49">
        <v>0.24929999999999999</v>
      </c>
      <c r="F49">
        <v>50540893</v>
      </c>
      <c r="G49">
        <v>0.24929999999999999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-0.37299771167048085</v>
      </c>
      <c r="Q49">
        <f t="shared" ref="Q49" si="221">F49*P49</f>
        <v>-18851637.434782624</v>
      </c>
      <c r="R49">
        <f t="shared" ref="R49" si="222">R50+Q49</f>
        <v>-452338959.1218617</v>
      </c>
      <c r="S49">
        <f t="shared" ref="S49" si="223">R49/100000</f>
        <v>-4523.3895912186172</v>
      </c>
      <c r="T49">
        <f t="shared" ref="T49" si="224">S49/1000</f>
        <v>-4.5233895912186171</v>
      </c>
    </row>
    <row r="50" spans="1:20" x14ac:dyDescent="0.25">
      <c r="A50" s="5">
        <v>44534</v>
      </c>
      <c r="B50">
        <v>0.35210000000000002</v>
      </c>
      <c r="C50">
        <v>0.35959999999999998</v>
      </c>
      <c r="D50">
        <v>0.2316</v>
      </c>
      <c r="E50">
        <v>0.27450000000000002</v>
      </c>
      <c r="F50">
        <v>112056850</v>
      </c>
      <c r="G50">
        <v>0.27450000000000002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-0.32968749999999952</v>
      </c>
      <c r="Q50">
        <f t="shared" ref="Q50" si="226">F50*P50</f>
        <v>-36943742.734374948</v>
      </c>
      <c r="R50">
        <f t="shared" ref="R50" si="227">R51+Q50</f>
        <v>-433487321.68707907</v>
      </c>
      <c r="S50">
        <f t="shared" ref="S50" si="228">R50/100000</f>
        <v>-4334.8732168707911</v>
      </c>
      <c r="T50">
        <f t="shared" ref="T50" si="229">S50/1000</f>
        <v>-4.3348732168707915</v>
      </c>
    </row>
    <row r="51" spans="1:20" x14ac:dyDescent="0.25">
      <c r="A51" s="5">
        <v>44533</v>
      </c>
      <c r="B51">
        <v>0.32440000000000002</v>
      </c>
      <c r="C51">
        <v>0.42080000000000001</v>
      </c>
      <c r="D51">
        <v>0.31809999999999999</v>
      </c>
      <c r="E51">
        <v>0.35370000000000001</v>
      </c>
      <c r="F51">
        <v>252416898</v>
      </c>
      <c r="G51">
        <v>0.35370000000000001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-0.30671859785783806</v>
      </c>
      <c r="Q51">
        <f t="shared" ref="Q51" si="231">F51*P51</f>
        <v>-77420957.030184925</v>
      </c>
      <c r="R51">
        <f t="shared" ref="R51" si="232">R52+Q51</f>
        <v>-396543578.95270413</v>
      </c>
      <c r="S51">
        <f t="shared" ref="S51" si="233">R51/100000</f>
        <v>-3965.4357895270414</v>
      </c>
      <c r="T51">
        <f t="shared" ref="T51" si="234">S51/1000</f>
        <v>-3.9654357895270413</v>
      </c>
    </row>
    <row r="52" spans="1:20" x14ac:dyDescent="0.25">
      <c r="A52" s="5">
        <v>44532</v>
      </c>
      <c r="B52">
        <v>0.30030000000000001</v>
      </c>
      <c r="C52">
        <v>0.3377</v>
      </c>
      <c r="D52">
        <v>0.29110000000000003</v>
      </c>
      <c r="E52">
        <v>0.32429999999999998</v>
      </c>
      <c r="F52">
        <v>83192697</v>
      </c>
      <c r="G52">
        <v>0.32429999999999998</v>
      </c>
      <c r="L52" t="s">
        <v>8</v>
      </c>
      <c r="M52" t="s">
        <v>8</v>
      </c>
      <c r="N52" t="s">
        <v>7</v>
      </c>
      <c r="P52">
        <f t="shared" ref="P52" si="235">IF(C52=D52,0,((E52-D52)-(C52-E52))/(C52-D52))</f>
        <v>0.42489270386265965</v>
      </c>
      <c r="Q52">
        <f t="shared" ref="Q52" si="236">F52*P52</f>
        <v>35347969.969956972</v>
      </c>
      <c r="R52">
        <f t="shared" ref="R52" si="237">R53+Q52</f>
        <v>-319122621.92251921</v>
      </c>
      <c r="S52">
        <f t="shared" ref="S52" si="238">R52/100000</f>
        <v>-3191.2262192251919</v>
      </c>
      <c r="T52">
        <f t="shared" ref="T52" si="239">S52/1000</f>
        <v>-3.1912262192251921</v>
      </c>
    </row>
    <row r="53" spans="1:20" x14ac:dyDescent="0.25">
      <c r="A53" s="5">
        <v>44531</v>
      </c>
      <c r="B53">
        <v>0.28699999999999998</v>
      </c>
      <c r="C53">
        <v>0.309</v>
      </c>
      <c r="D53">
        <v>0.28410000000000002</v>
      </c>
      <c r="E53">
        <v>0.29980000000000001</v>
      </c>
      <c r="F53">
        <v>25540558</v>
      </c>
      <c r="G53">
        <v>0.29980000000000001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0.26104417670682778</v>
      </c>
      <c r="Q53">
        <f t="shared" ref="Q53" si="241">F53*P53</f>
        <v>6667213.9357429836</v>
      </c>
      <c r="R53">
        <f t="shared" ref="R53" si="242">R54+Q53</f>
        <v>-354470591.8924762</v>
      </c>
      <c r="S53">
        <f t="shared" ref="S53" si="243">R53/100000</f>
        <v>-3544.705918924762</v>
      </c>
      <c r="T53">
        <f t="shared" ref="T53" si="244">S53/1000</f>
        <v>-3.5447059189247621</v>
      </c>
    </row>
    <row r="54" spans="1:20" x14ac:dyDescent="0.25">
      <c r="A54" s="5">
        <v>44530</v>
      </c>
      <c r="B54">
        <v>0.29499999999999998</v>
      </c>
      <c r="C54">
        <v>0.29970000000000002</v>
      </c>
      <c r="D54">
        <v>0.27600000000000002</v>
      </c>
      <c r="E54">
        <v>0.2873</v>
      </c>
      <c r="F54">
        <v>18144749</v>
      </c>
      <c r="G54">
        <v>0.2873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-4.6413502109706559E-2</v>
      </c>
      <c r="Q54">
        <f t="shared" ref="Q54" si="246">F54*P54</f>
        <v>-842161.345991596</v>
      </c>
      <c r="R54">
        <f t="shared" ref="R54" si="247">R55+Q54</f>
        <v>-361137805.82821918</v>
      </c>
      <c r="S54">
        <f t="shared" ref="S54" si="248">R54/100000</f>
        <v>-3611.3780582821919</v>
      </c>
      <c r="T54">
        <f t="shared" ref="T54" si="249">S54/1000</f>
        <v>-3.6113780582821917</v>
      </c>
    </row>
    <row r="55" spans="1:20" x14ac:dyDescent="0.25">
      <c r="A55" s="5">
        <v>44529</v>
      </c>
      <c r="B55">
        <v>0.29380000000000001</v>
      </c>
      <c r="C55">
        <v>0.3</v>
      </c>
      <c r="D55">
        <v>0.27960000000000002</v>
      </c>
      <c r="E55">
        <v>0.29499999999999998</v>
      </c>
      <c r="F55">
        <v>24534072</v>
      </c>
      <c r="G55">
        <v>0.29499999999999998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0.50980392156862642</v>
      </c>
      <c r="Q55">
        <f t="shared" ref="Q55" si="251">F55*P55</f>
        <v>12507566.117647033</v>
      </c>
      <c r="R55">
        <f t="shared" ref="R55" si="252">R56+Q55</f>
        <v>-360295644.48222756</v>
      </c>
      <c r="S55">
        <f t="shared" ref="S55" si="253">R55/100000</f>
        <v>-3602.9564448222754</v>
      </c>
      <c r="T55">
        <f t="shared" ref="T55" si="254">S55/1000</f>
        <v>-3.6029564448222753</v>
      </c>
    </row>
    <row r="56" spans="1:20" x14ac:dyDescent="0.25">
      <c r="A56" s="5">
        <v>44528</v>
      </c>
      <c r="B56">
        <v>0.32090000000000002</v>
      </c>
      <c r="C56">
        <v>0.33739999999999998</v>
      </c>
      <c r="D56">
        <v>0.26800000000000002</v>
      </c>
      <c r="E56">
        <v>0.29380000000000001</v>
      </c>
      <c r="F56">
        <v>49052369</v>
      </c>
      <c r="G56">
        <v>0.29380000000000001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-0.25648414985590767</v>
      </c>
      <c r="Q56">
        <f t="shared" ref="Q56" si="256">F56*P56</f>
        <v>-12581155.161383281</v>
      </c>
      <c r="R56">
        <f t="shared" ref="R56" si="257">R57+Q56</f>
        <v>-372803210.59987462</v>
      </c>
      <c r="S56">
        <f t="shared" ref="S56" si="258">R56/100000</f>
        <v>-3728.0321059987464</v>
      </c>
      <c r="T56">
        <f t="shared" ref="T56" si="259">S56/1000</f>
        <v>-3.7280321059987465</v>
      </c>
    </row>
    <row r="57" spans="1:20" x14ac:dyDescent="0.25">
      <c r="A57" s="5">
        <v>44527</v>
      </c>
      <c r="B57">
        <v>0.26400000000000001</v>
      </c>
      <c r="C57">
        <v>0.33989999999999998</v>
      </c>
      <c r="D57">
        <v>0.26250000000000001</v>
      </c>
      <c r="E57">
        <v>0.32050000000000001</v>
      </c>
      <c r="F57">
        <v>81956126</v>
      </c>
      <c r="G57">
        <v>0.32050000000000001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0.49870801033591783</v>
      </c>
      <c r="Q57">
        <f t="shared" ref="Q57" si="261">F57*P57</f>
        <v>40872176.532299787</v>
      </c>
      <c r="R57">
        <f t="shared" ref="R57" si="262">R58+Q57</f>
        <v>-360222055.43849134</v>
      </c>
      <c r="S57">
        <f t="shared" ref="S57" si="263">R57/100000</f>
        <v>-3602.2205543849136</v>
      </c>
      <c r="T57">
        <f t="shared" ref="T57" si="264">S57/1000</f>
        <v>-3.6022205543849135</v>
      </c>
    </row>
    <row r="58" spans="1:20" x14ac:dyDescent="0.25">
      <c r="A58" s="5">
        <v>44526</v>
      </c>
      <c r="B58">
        <v>0.3009</v>
      </c>
      <c r="C58">
        <v>0.30349999999999999</v>
      </c>
      <c r="D58">
        <v>0.25109999999999999</v>
      </c>
      <c r="E58">
        <v>0.2636</v>
      </c>
      <c r="F58">
        <v>26783126</v>
      </c>
      <c r="G58">
        <v>0.2636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-0.52290076335877822</v>
      </c>
      <c r="Q58">
        <f t="shared" ref="Q58" si="266">F58*P58</f>
        <v>-14004917.03053434</v>
      </c>
      <c r="R58">
        <f t="shared" ref="R58" si="267">R59+Q58</f>
        <v>-401094231.97079116</v>
      </c>
      <c r="S58">
        <f t="shared" ref="S58" si="268">R58/100000</f>
        <v>-4010.9423197079118</v>
      </c>
      <c r="T58">
        <f t="shared" ref="T58" si="269">S58/1000</f>
        <v>-4.0109423197079117</v>
      </c>
    </row>
    <row r="59" spans="1:20" x14ac:dyDescent="0.25">
      <c r="A59" s="5">
        <v>44525</v>
      </c>
      <c r="B59">
        <v>0.28599999999999998</v>
      </c>
      <c r="C59">
        <v>0.3049</v>
      </c>
      <c r="D59">
        <v>0.28310000000000002</v>
      </c>
      <c r="E59">
        <v>0.3</v>
      </c>
      <c r="F59">
        <v>18151706</v>
      </c>
      <c r="G59">
        <v>0.3</v>
      </c>
      <c r="L59" t="s">
        <v>7</v>
      </c>
      <c r="M59" t="s">
        <v>8</v>
      </c>
      <c r="N59" t="s">
        <v>7</v>
      </c>
      <c r="P59">
        <f t="shared" ref="P59" si="270">IF(C59=D59,0,((E59-D59)-(C59-E59))/(C59-D59))</f>
        <v>0.55045871559632853</v>
      </c>
      <c r="Q59">
        <f t="shared" ref="Q59" si="271">F59*P59</f>
        <v>9991764.7706421707</v>
      </c>
      <c r="R59">
        <f t="shared" ref="R59" si="272">R60+Q59</f>
        <v>-387089314.94025683</v>
      </c>
      <c r="S59">
        <f t="shared" ref="S59" si="273">R59/100000</f>
        <v>-3870.8931494025683</v>
      </c>
      <c r="T59">
        <f t="shared" ref="T59" si="274">S59/1000</f>
        <v>-3.8708931494025682</v>
      </c>
    </row>
    <row r="60" spans="1:20" x14ac:dyDescent="0.25">
      <c r="A60" s="5">
        <v>44524</v>
      </c>
      <c r="B60">
        <v>0.30659999999999998</v>
      </c>
      <c r="C60">
        <v>0.30940000000000001</v>
      </c>
      <c r="D60">
        <v>0.29070000000000001</v>
      </c>
      <c r="E60">
        <v>0.30809999999999998</v>
      </c>
      <c r="F60">
        <v>11521556</v>
      </c>
      <c r="G60">
        <v>0.30809999999999998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0.86096256684491723</v>
      </c>
      <c r="Q60">
        <f t="shared" ref="Q60" si="276">F60*P60</f>
        <v>9919628.4278074577</v>
      </c>
      <c r="R60">
        <f t="shared" ref="R60" si="277">R61+Q60</f>
        <v>-397081079.710899</v>
      </c>
      <c r="S60">
        <f t="shared" ref="S60" si="278">R60/100000</f>
        <v>-3970.8107971089898</v>
      </c>
      <c r="T60">
        <f t="shared" ref="T60" si="279">S60/1000</f>
        <v>-3.9708107971089897</v>
      </c>
    </row>
    <row r="61" spans="1:20" x14ac:dyDescent="0.25">
      <c r="A61" s="5">
        <v>44523</v>
      </c>
      <c r="B61">
        <v>0.28249999999999997</v>
      </c>
      <c r="C61">
        <v>0.31</v>
      </c>
      <c r="D61">
        <v>0.27989999999999998</v>
      </c>
      <c r="E61">
        <v>0.30599999999999999</v>
      </c>
      <c r="F61">
        <v>24125798</v>
      </c>
      <c r="G61">
        <v>0.30599999999999999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0.73421926910298996</v>
      </c>
      <c r="Q61">
        <f t="shared" ref="Q61" si="281">F61*P61</f>
        <v>17713625.774086379</v>
      </c>
      <c r="R61">
        <f t="shared" ref="R61" si="282">R62+Q61</f>
        <v>-407000708.13870645</v>
      </c>
      <c r="S61">
        <f t="shared" ref="S61" si="283">R61/100000</f>
        <v>-4070.0070813870643</v>
      </c>
      <c r="T61">
        <f t="shared" ref="T61" si="284">S61/1000</f>
        <v>-4.0700070813870646</v>
      </c>
    </row>
    <row r="62" spans="1:20" x14ac:dyDescent="0.25">
      <c r="A62" s="5">
        <v>44522</v>
      </c>
      <c r="B62">
        <v>0.29239999999999999</v>
      </c>
      <c r="C62">
        <v>0.29759999999999998</v>
      </c>
      <c r="D62">
        <v>0.27500000000000002</v>
      </c>
      <c r="E62">
        <v>0.28339999999999999</v>
      </c>
      <c r="F62">
        <v>22027582</v>
      </c>
      <c r="G62">
        <v>0.28339999999999999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-0.25663716814159465</v>
      </c>
      <c r="Q62">
        <f t="shared" ref="Q62" si="286">F62*P62</f>
        <v>-5653096.2654867638</v>
      </c>
      <c r="R62">
        <f t="shared" ref="R62" si="287">R63+Q62</f>
        <v>-424714333.9127928</v>
      </c>
      <c r="S62">
        <f t="shared" ref="S62" si="288">R62/100000</f>
        <v>-4247.1433391279279</v>
      </c>
      <c r="T62">
        <f t="shared" ref="T62" si="289">S62/1000</f>
        <v>-4.2471433391279279</v>
      </c>
    </row>
    <row r="63" spans="1:20" x14ac:dyDescent="0.25">
      <c r="A63" s="5">
        <v>44521</v>
      </c>
      <c r="B63">
        <v>0.2868</v>
      </c>
      <c r="C63">
        <v>0.30980000000000002</v>
      </c>
      <c r="D63">
        <v>0.28220000000000001</v>
      </c>
      <c r="E63">
        <v>0.29239999999999999</v>
      </c>
      <c r="F63">
        <v>31688572</v>
      </c>
      <c r="G63">
        <v>0.29239999999999999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-0.26086956521739263</v>
      </c>
      <c r="Q63">
        <f t="shared" ref="Q63" si="291">F63*P63</f>
        <v>-8266584.0000000419</v>
      </c>
      <c r="R63">
        <f t="shared" ref="R63" si="292">R64+Q63</f>
        <v>-419061237.64730603</v>
      </c>
      <c r="S63">
        <f t="shared" ref="S63" si="293">R63/100000</f>
        <v>-4190.6123764730601</v>
      </c>
      <c r="T63">
        <f t="shared" ref="T63" si="294">S63/1000</f>
        <v>-4.1906123764730605</v>
      </c>
    </row>
    <row r="64" spans="1:20" x14ac:dyDescent="0.25">
      <c r="A64" s="5">
        <v>44520</v>
      </c>
      <c r="B64">
        <v>0.26840000000000003</v>
      </c>
      <c r="C64">
        <v>0.29139999999999999</v>
      </c>
      <c r="D64">
        <v>0.26769999999999999</v>
      </c>
      <c r="E64">
        <v>0.2868</v>
      </c>
      <c r="F64">
        <v>23603788</v>
      </c>
      <c r="G64">
        <v>0.2868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0.6118143459915617</v>
      </c>
      <c r="Q64">
        <f t="shared" ref="Q64" si="296">F64*P64</f>
        <v>14441136.118143473</v>
      </c>
      <c r="R64">
        <f t="shared" ref="R64" si="297">R65+Q64</f>
        <v>-410794653.64730597</v>
      </c>
      <c r="S64">
        <f t="shared" ref="S64" si="298">R64/100000</f>
        <v>-4107.9465364730595</v>
      </c>
      <c r="T64">
        <f t="shared" ref="T64" si="299">S64/1000</f>
        <v>-4.1079465364730599</v>
      </c>
    </row>
    <row r="65" spans="1:20" x14ac:dyDescent="0.25">
      <c r="A65" s="5">
        <v>44519</v>
      </c>
      <c r="B65">
        <v>0.2492</v>
      </c>
      <c r="C65">
        <v>0.27039999999999997</v>
      </c>
      <c r="D65">
        <v>0.24660000000000001</v>
      </c>
      <c r="E65">
        <v>0.26840000000000003</v>
      </c>
      <c r="F65">
        <v>17957078</v>
      </c>
      <c r="G65">
        <v>0.26840000000000003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0.83193277310924796</v>
      </c>
      <c r="Q65">
        <f t="shared" ref="Q65" si="301">F65*P65</f>
        <v>14939081.697479067</v>
      </c>
      <c r="R65">
        <f t="shared" ref="R65" si="302">R66+Q65</f>
        <v>-425235789.76544946</v>
      </c>
      <c r="S65">
        <f t="shared" ref="S65" si="303">R65/100000</f>
        <v>-4252.357897654495</v>
      </c>
      <c r="T65">
        <f t="shared" ref="T65" si="304">S65/1000</f>
        <v>-4.2523578976544947</v>
      </c>
    </row>
    <row r="66" spans="1:20" x14ac:dyDescent="0.25">
      <c r="A66" s="5">
        <v>44518</v>
      </c>
      <c r="B66">
        <v>0.27539999999999998</v>
      </c>
      <c r="C66">
        <v>0.27889999999999998</v>
      </c>
      <c r="D66">
        <v>0.2414</v>
      </c>
      <c r="E66">
        <v>0.2492</v>
      </c>
      <c r="F66">
        <v>39581298</v>
      </c>
      <c r="G66">
        <v>0.2492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-0.58399999999999963</v>
      </c>
      <c r="Q66">
        <f t="shared" ref="Q66" si="306">F66*P66</f>
        <v>-23115478.031999987</v>
      </c>
      <c r="R66">
        <f t="shared" ref="R66" si="307">R67+Q66</f>
        <v>-440174871.46292853</v>
      </c>
      <c r="S66">
        <f t="shared" ref="S66" si="308">R66/100000</f>
        <v>-4401.7487146292851</v>
      </c>
      <c r="T66">
        <f t="shared" ref="T66" si="309">S66/1000</f>
        <v>-4.4017487146292851</v>
      </c>
    </row>
    <row r="67" spans="1:20" x14ac:dyDescent="0.25">
      <c r="A67" s="5">
        <v>44517</v>
      </c>
      <c r="B67">
        <v>0.29270000000000002</v>
      </c>
      <c r="C67">
        <v>0.30080000000000001</v>
      </c>
      <c r="D67">
        <v>0.26800000000000002</v>
      </c>
      <c r="E67">
        <v>0.2752</v>
      </c>
      <c r="F67">
        <v>53657219</v>
      </c>
      <c r="G67">
        <v>0.2752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-0.5609756097560985</v>
      </c>
      <c r="Q67">
        <f t="shared" ref="Q67" si="311">F67*P67</f>
        <v>-30100391.146341514</v>
      </c>
      <c r="R67">
        <f t="shared" ref="R67" si="312">R68+Q67</f>
        <v>-417059393.43092853</v>
      </c>
      <c r="S67">
        <f t="shared" ref="S67" si="313">R67/100000</f>
        <v>-4170.593934309285</v>
      </c>
      <c r="T67">
        <f t="shared" ref="T67" si="314">S67/1000</f>
        <v>-4.1705939343092853</v>
      </c>
    </row>
    <row r="68" spans="1:20" x14ac:dyDescent="0.25">
      <c r="A68" s="5">
        <v>44516</v>
      </c>
      <c r="B68">
        <v>0.34610000000000002</v>
      </c>
      <c r="C68">
        <v>0.34610000000000002</v>
      </c>
      <c r="D68">
        <v>0.28470000000000001</v>
      </c>
      <c r="E68">
        <v>0.2928</v>
      </c>
      <c r="F68">
        <v>48868287</v>
      </c>
      <c r="G68">
        <v>0.2928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-0.73615635179153116</v>
      </c>
      <c r="Q68">
        <f t="shared" ref="Q68" si="316">F68*P68</f>
        <v>-35974699.876221508</v>
      </c>
      <c r="R68">
        <f t="shared" ref="R68" si="317">R69+Q68</f>
        <v>-386959002.28458703</v>
      </c>
      <c r="S68">
        <f t="shared" ref="S68" si="318">R68/100000</f>
        <v>-3869.5900228458704</v>
      </c>
      <c r="T68">
        <f t="shared" ref="T68" si="319">S68/1000</f>
        <v>-3.8695900228458706</v>
      </c>
    </row>
    <row r="69" spans="1:20" x14ac:dyDescent="0.25">
      <c r="A69" s="5">
        <v>44515</v>
      </c>
      <c r="B69">
        <v>0.35930000000000001</v>
      </c>
      <c r="C69">
        <v>0.375</v>
      </c>
      <c r="D69">
        <v>0.3397</v>
      </c>
      <c r="E69">
        <v>0.34660000000000002</v>
      </c>
      <c r="F69">
        <v>20628423</v>
      </c>
      <c r="G69">
        <v>0.34660000000000002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-0.60906515580736442</v>
      </c>
      <c r="Q69">
        <f t="shared" ref="Q69" si="321">F69*P69</f>
        <v>-12564053.668555221</v>
      </c>
      <c r="R69">
        <f t="shared" ref="R69" si="322">R70+Q69</f>
        <v>-350984302.40836549</v>
      </c>
      <c r="S69">
        <f t="shared" ref="S69" si="323">R69/100000</f>
        <v>-3509.8430240836547</v>
      </c>
      <c r="T69">
        <f t="shared" ref="T69" si="324">S69/1000</f>
        <v>-3.5098430240836547</v>
      </c>
    </row>
    <row r="70" spans="1:20" x14ac:dyDescent="0.25">
      <c r="A70" s="5">
        <v>44514</v>
      </c>
      <c r="B70">
        <v>0.3498</v>
      </c>
      <c r="C70">
        <v>0.37280000000000002</v>
      </c>
      <c r="D70">
        <v>0.34499999999999997</v>
      </c>
      <c r="E70">
        <v>0.35909999999999997</v>
      </c>
      <c r="F70">
        <v>20959606</v>
      </c>
      <c r="G70">
        <v>0.35909999999999997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1.4388489208631484E-2</v>
      </c>
      <c r="Q70">
        <f t="shared" ref="Q70" si="326">F70*P70</f>
        <v>301577.0647481677</v>
      </c>
      <c r="R70">
        <f t="shared" ref="R70" si="327">R71+Q70</f>
        <v>-338420248.73981029</v>
      </c>
      <c r="S70">
        <f t="shared" ref="S70" si="328">R70/100000</f>
        <v>-3384.2024873981027</v>
      </c>
      <c r="T70">
        <f t="shared" ref="T70" si="329">S70/1000</f>
        <v>-3.3842024873981025</v>
      </c>
    </row>
    <row r="71" spans="1:20" x14ac:dyDescent="0.25">
      <c r="A71" s="5">
        <v>44513</v>
      </c>
      <c r="B71">
        <v>0.3367</v>
      </c>
      <c r="C71">
        <v>0.35299999999999998</v>
      </c>
      <c r="D71">
        <v>0.33400000000000002</v>
      </c>
      <c r="E71">
        <v>0.34970000000000001</v>
      </c>
      <c r="F71">
        <v>12456475</v>
      </c>
      <c r="G71">
        <v>0.34970000000000001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0.65263157894737089</v>
      </c>
      <c r="Q71">
        <f t="shared" ref="Q71" si="331">F71*P71</f>
        <v>8129488.9473684514</v>
      </c>
      <c r="R71">
        <f t="shared" ref="R71" si="332">R72+Q71</f>
        <v>-338721825.80455846</v>
      </c>
      <c r="S71">
        <f t="shared" ref="S71" si="333">R71/100000</f>
        <v>-3387.2182580455847</v>
      </c>
      <c r="T71">
        <f t="shared" ref="T71" si="334">S71/1000</f>
        <v>-3.3872182580455847</v>
      </c>
    </row>
    <row r="72" spans="1:20" x14ac:dyDescent="0.25">
      <c r="A72" s="5">
        <v>44512</v>
      </c>
      <c r="B72">
        <v>0.34079999999999999</v>
      </c>
      <c r="C72">
        <v>0.3493</v>
      </c>
      <c r="D72">
        <v>0.32569999999999999</v>
      </c>
      <c r="E72">
        <v>0.3367</v>
      </c>
      <c r="F72">
        <v>24140356</v>
      </c>
      <c r="G72">
        <v>0.3367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-6.7796610169491081E-2</v>
      </c>
      <c r="Q72">
        <f t="shared" ref="Q72" si="336">F72*P72</f>
        <v>-1636634.3050847349</v>
      </c>
      <c r="R72">
        <f t="shared" ref="R72" si="337">R73+Q72</f>
        <v>-346851314.7519269</v>
      </c>
      <c r="S72">
        <f t="shared" ref="S72" si="338">R72/100000</f>
        <v>-3468.5131475192688</v>
      </c>
      <c r="T72">
        <f t="shared" ref="T72" si="339">S72/1000</f>
        <v>-3.468513147519269</v>
      </c>
    </row>
    <row r="73" spans="1:20" x14ac:dyDescent="0.25">
      <c r="A73" s="5">
        <v>44511</v>
      </c>
      <c r="B73">
        <v>0.33279999999999998</v>
      </c>
      <c r="C73">
        <v>0.34970000000000001</v>
      </c>
      <c r="D73">
        <v>0.32879999999999998</v>
      </c>
      <c r="E73">
        <v>0.34050000000000002</v>
      </c>
      <c r="F73">
        <v>23563679</v>
      </c>
      <c r="G73">
        <v>0.34050000000000002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0.11961722488038537</v>
      </c>
      <c r="Q73">
        <f t="shared" ref="Q73" si="341">F73*P73</f>
        <v>2818621.8899522144</v>
      </c>
      <c r="R73">
        <f t="shared" ref="R73" si="342">R74+Q73</f>
        <v>-345214680.44684219</v>
      </c>
      <c r="S73">
        <f t="shared" ref="S73" si="343">R73/100000</f>
        <v>-3452.146804468422</v>
      </c>
      <c r="T73">
        <f t="shared" ref="T73" si="344">S73/1000</f>
        <v>-3.452146804468422</v>
      </c>
    </row>
    <row r="74" spans="1:20" x14ac:dyDescent="0.25">
      <c r="A74" s="5">
        <v>44510</v>
      </c>
      <c r="B74">
        <v>0.3846</v>
      </c>
      <c r="C74">
        <v>0.38890000000000002</v>
      </c>
      <c r="D74">
        <v>0.30599999999999999</v>
      </c>
      <c r="E74">
        <v>0.33260000000000001</v>
      </c>
      <c r="F74">
        <v>47113369</v>
      </c>
      <c r="G74">
        <v>0.33260000000000001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-0.35826296743063923</v>
      </c>
      <c r="Q74">
        <f t="shared" ref="Q74" si="346">F74*P74</f>
        <v>-16878975.383594688</v>
      </c>
      <c r="R74">
        <f t="shared" ref="R74" si="347">R75+Q74</f>
        <v>-348033302.33679444</v>
      </c>
      <c r="S74">
        <f t="shared" ref="S74" si="348">R74/100000</f>
        <v>-3480.3330233679444</v>
      </c>
      <c r="T74">
        <f t="shared" ref="T74" si="349">S74/1000</f>
        <v>-3.4803330233679444</v>
      </c>
    </row>
    <row r="75" spans="1:20" x14ac:dyDescent="0.25">
      <c r="A75" s="5">
        <v>44509</v>
      </c>
      <c r="B75">
        <v>0.37819999999999998</v>
      </c>
      <c r="C75">
        <v>0.39079999999999998</v>
      </c>
      <c r="D75">
        <v>0.37019999999999997</v>
      </c>
      <c r="E75">
        <v>0.38450000000000001</v>
      </c>
      <c r="F75">
        <v>40401025</v>
      </c>
      <c r="G75">
        <v>0.38450000000000001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0.38834951456310968</v>
      </c>
      <c r="Q75">
        <f t="shared" ref="Q75" si="351">F75*P75</f>
        <v>15689718.446602058</v>
      </c>
      <c r="R75">
        <f t="shared" ref="R75" si="352">R76+Q75</f>
        <v>-331154326.95319974</v>
      </c>
      <c r="S75">
        <f t="shared" ref="S75" si="353">R75/100000</f>
        <v>-3311.5432695319973</v>
      </c>
      <c r="T75">
        <f t="shared" ref="T75" si="354">S75/1000</f>
        <v>-3.3115432695319975</v>
      </c>
    </row>
    <row r="76" spans="1:20" x14ac:dyDescent="0.25">
      <c r="A76" s="5">
        <v>44508</v>
      </c>
      <c r="B76">
        <v>0.36320000000000002</v>
      </c>
      <c r="C76">
        <v>0.38369999999999999</v>
      </c>
      <c r="D76">
        <v>0.3553</v>
      </c>
      <c r="E76">
        <v>0.37819999999999998</v>
      </c>
      <c r="F76">
        <v>23089954</v>
      </c>
      <c r="G76">
        <v>0.37819999999999998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0.61267605633802757</v>
      </c>
      <c r="Q76">
        <f t="shared" ref="Q76" si="356">F76*P76</f>
        <v>14146661.957746465</v>
      </c>
      <c r="R76">
        <f t="shared" ref="R76" si="357">R77+Q76</f>
        <v>-346844045.39980179</v>
      </c>
      <c r="S76">
        <f t="shared" ref="S76" si="358">R76/100000</f>
        <v>-3468.4404539980178</v>
      </c>
      <c r="T76">
        <f t="shared" ref="T76" si="359">S76/1000</f>
        <v>-3.4684404539980176</v>
      </c>
    </row>
    <row r="77" spans="1:20" x14ac:dyDescent="0.25">
      <c r="A77" s="5">
        <v>44507</v>
      </c>
      <c r="B77">
        <v>0.37130000000000002</v>
      </c>
      <c r="C77">
        <v>0.37619999999999998</v>
      </c>
      <c r="D77">
        <v>0.35470000000000002</v>
      </c>
      <c r="E77">
        <v>0.36320000000000002</v>
      </c>
      <c r="F77">
        <v>23182876</v>
      </c>
      <c r="G77">
        <v>0.36320000000000002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-0.20930232558139331</v>
      </c>
      <c r="Q77">
        <f t="shared" ref="Q77" si="361">F77*P77</f>
        <v>-4852229.8604650693</v>
      </c>
      <c r="R77">
        <f t="shared" ref="R77" si="362">R78+Q77</f>
        <v>-360990707.35754824</v>
      </c>
      <c r="S77">
        <f t="shared" ref="S77" si="363">R77/100000</f>
        <v>-3609.9070735754822</v>
      </c>
      <c r="T77">
        <f t="shared" ref="T77" si="364">S77/1000</f>
        <v>-3.6099070735754824</v>
      </c>
    </row>
    <row r="78" spans="1:20" x14ac:dyDescent="0.25">
      <c r="A78" s="5">
        <v>44506</v>
      </c>
      <c r="B78">
        <v>0.37680000000000002</v>
      </c>
      <c r="C78">
        <v>0.38829999999999998</v>
      </c>
      <c r="D78">
        <v>0.36</v>
      </c>
      <c r="E78">
        <v>0.37080000000000002</v>
      </c>
      <c r="F78">
        <v>33384343</v>
      </c>
      <c r="G78">
        <v>0.37080000000000002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-0.23674911660777137</v>
      </c>
      <c r="Q78">
        <f t="shared" ref="Q78" si="366">F78*P78</f>
        <v>-7903713.7137808362</v>
      </c>
      <c r="R78">
        <f t="shared" ref="R78" si="367">R79+Q78</f>
        <v>-356138477.49708319</v>
      </c>
      <c r="S78">
        <f t="shared" ref="S78" si="368">R78/100000</f>
        <v>-3561.384774970832</v>
      </c>
      <c r="T78">
        <f t="shared" ref="T78" si="369">S78/1000</f>
        <v>-3.5613847749708318</v>
      </c>
    </row>
    <row r="79" spans="1:20" x14ac:dyDescent="0.25">
      <c r="A79" s="5">
        <v>44505</v>
      </c>
      <c r="B79">
        <v>0.443</v>
      </c>
      <c r="C79">
        <v>0.45779999999999998</v>
      </c>
      <c r="D79">
        <v>0.37069999999999997</v>
      </c>
      <c r="E79">
        <v>0.37690000000000001</v>
      </c>
      <c r="F79">
        <v>120569759</v>
      </c>
      <c r="G79">
        <v>0.37690000000000001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-0.85763490241102092</v>
      </c>
      <c r="Q79">
        <f t="shared" ref="Q79" si="371">F79*P79</f>
        <v>-103404833.49368531</v>
      </c>
      <c r="R79">
        <f t="shared" ref="R79" si="372">R80+Q79</f>
        <v>-348234763.78330237</v>
      </c>
      <c r="S79">
        <f t="shared" ref="S79" si="373">R79/100000</f>
        <v>-3482.3476378330238</v>
      </c>
      <c r="T79">
        <f t="shared" ref="T79" si="374">S79/1000</f>
        <v>-3.4823476378330236</v>
      </c>
    </row>
    <row r="80" spans="1:20" x14ac:dyDescent="0.25">
      <c r="A80" s="5">
        <v>44504</v>
      </c>
      <c r="B80">
        <v>0.45369999999999999</v>
      </c>
      <c r="C80">
        <v>0.48370000000000002</v>
      </c>
      <c r="D80">
        <v>0.43240000000000001</v>
      </c>
      <c r="E80">
        <v>0.44340000000000002</v>
      </c>
      <c r="F80">
        <v>20515837</v>
      </c>
      <c r="G80">
        <v>0.44340000000000002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-0.57115009746588663</v>
      </c>
      <c r="Q80">
        <f t="shared" ref="Q80" si="376">F80*P80</f>
        <v>-11717622.302144242</v>
      </c>
      <c r="R80">
        <f t="shared" ref="R80" si="377">R81+Q80</f>
        <v>-244829930.28961706</v>
      </c>
      <c r="S80">
        <f t="shared" ref="S80" si="378">R80/100000</f>
        <v>-2448.2993028961705</v>
      </c>
      <c r="T80">
        <f t="shared" ref="T80" si="379">S80/1000</f>
        <v>-2.4482993028961704</v>
      </c>
    </row>
    <row r="81" spans="1:20" x14ac:dyDescent="0.25">
      <c r="A81" s="5">
        <v>44503</v>
      </c>
      <c r="B81">
        <v>0.44729999999999998</v>
      </c>
      <c r="C81">
        <v>0.46179999999999999</v>
      </c>
      <c r="D81">
        <v>0.41560000000000002</v>
      </c>
      <c r="E81">
        <v>0.45369999999999999</v>
      </c>
      <c r="F81">
        <v>18679659</v>
      </c>
      <c r="G81">
        <v>0.45369999999999999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0.64935064935064923</v>
      </c>
      <c r="Q81">
        <f t="shared" ref="Q81" si="381">F81*P81</f>
        <v>12129648.701298699</v>
      </c>
      <c r="R81">
        <f t="shared" ref="R81" si="382">R82+Q81</f>
        <v>-233112307.98747283</v>
      </c>
      <c r="S81">
        <f t="shared" ref="S81" si="383">R81/100000</f>
        <v>-2331.1230798747283</v>
      </c>
      <c r="T81">
        <f t="shared" ref="T81" si="384">S81/1000</f>
        <v>-2.3311230798747284</v>
      </c>
    </row>
    <row r="82" spans="1:20" x14ac:dyDescent="0.25">
      <c r="A82" s="5">
        <v>44502</v>
      </c>
      <c r="B82">
        <v>0.46460000000000001</v>
      </c>
      <c r="C82">
        <v>0.49</v>
      </c>
      <c r="D82">
        <v>0.44080000000000003</v>
      </c>
      <c r="E82">
        <v>0.4461</v>
      </c>
      <c r="F82">
        <v>23657394</v>
      </c>
      <c r="G82">
        <v>0.4461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-0.78455284552845628</v>
      </c>
      <c r="Q82">
        <f t="shared" ref="Q82" si="386">F82*P82</f>
        <v>-18560475.780487828</v>
      </c>
      <c r="R82">
        <f t="shared" ref="R82" si="387">R83+Q82</f>
        <v>-245241956.68877155</v>
      </c>
      <c r="S82">
        <f t="shared" ref="S82" si="388">R82/100000</f>
        <v>-2452.4195668877155</v>
      </c>
      <c r="T82">
        <f t="shared" ref="T82" si="389">S82/1000</f>
        <v>-2.4524195668877153</v>
      </c>
    </row>
    <row r="83" spans="1:20" x14ac:dyDescent="0.25">
      <c r="A83" s="5">
        <v>44501</v>
      </c>
      <c r="B83">
        <v>0.40550000000000003</v>
      </c>
      <c r="C83">
        <v>0.48039999999999999</v>
      </c>
      <c r="D83">
        <v>0.38219999999999998</v>
      </c>
      <c r="E83">
        <v>0.4647</v>
      </c>
      <c r="F83">
        <v>46929664.049999997</v>
      </c>
      <c r="G83">
        <v>0.4647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0.6802443991853363</v>
      </c>
      <c r="Q83">
        <f t="shared" ref="Q83" si="391">F83*P83</f>
        <v>31923641.125661924</v>
      </c>
      <c r="R83">
        <f t="shared" ref="R83" si="392">R84+Q83</f>
        <v>-226681480.90828371</v>
      </c>
      <c r="S83">
        <f t="shared" ref="S83" si="393">R83/100000</f>
        <v>-2266.8148090828372</v>
      </c>
      <c r="T83">
        <f t="shared" ref="T83" si="394">S83/1000</f>
        <v>-2.2668148090828373</v>
      </c>
    </row>
    <row r="84" spans="1:20" x14ac:dyDescent="0.25">
      <c r="A84" s="5">
        <v>44500</v>
      </c>
      <c r="B84">
        <v>0.40250000000000002</v>
      </c>
      <c r="C84">
        <v>0.41370000000000001</v>
      </c>
      <c r="D84">
        <v>0.37840000000000001</v>
      </c>
      <c r="E84">
        <v>0.40539999999999998</v>
      </c>
      <c r="F84">
        <v>14940862</v>
      </c>
      <c r="G84">
        <v>0.40539999999999998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0.5297450424929161</v>
      </c>
      <c r="Q84">
        <f t="shared" ref="Q84" si="396">F84*P84</f>
        <v>7914847.5750707956</v>
      </c>
      <c r="R84">
        <f t="shared" ref="R84" si="397">R85+Q84</f>
        <v>-258605122.03394565</v>
      </c>
      <c r="S84">
        <f t="shared" ref="S84" si="398">R84/100000</f>
        <v>-2586.0512203394564</v>
      </c>
      <c r="T84">
        <f t="shared" ref="T84" si="399">S84/1000</f>
        <v>-2.5860512203394563</v>
      </c>
    </row>
    <row r="85" spans="1:20" x14ac:dyDescent="0.25">
      <c r="A85" s="5">
        <v>44499</v>
      </c>
      <c r="B85">
        <v>0.40760000000000002</v>
      </c>
      <c r="C85">
        <v>0.42930000000000001</v>
      </c>
      <c r="D85">
        <v>0.39539999999999997</v>
      </c>
      <c r="E85">
        <v>0.40289999999999998</v>
      </c>
      <c r="F85">
        <v>17112349</v>
      </c>
      <c r="G85">
        <v>0.40289999999999998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-0.55752212389380551</v>
      </c>
      <c r="Q85">
        <f t="shared" ref="Q85" si="401">F85*P85</f>
        <v>-9540513.1592920385</v>
      </c>
      <c r="R85">
        <f t="shared" ref="R85" si="402">R86+Q85</f>
        <v>-266519969.60901645</v>
      </c>
      <c r="S85">
        <f t="shared" ref="S85" si="403">R85/100000</f>
        <v>-2665.1996960901647</v>
      </c>
      <c r="T85">
        <f t="shared" ref="T85" si="404">S85/1000</f>
        <v>-2.6651996960901645</v>
      </c>
    </row>
    <row r="86" spans="1:20" x14ac:dyDescent="0.25">
      <c r="A86" s="5">
        <v>44498</v>
      </c>
      <c r="B86">
        <v>0.3775</v>
      </c>
      <c r="C86">
        <v>0.41270000000000001</v>
      </c>
      <c r="D86">
        <v>0.374</v>
      </c>
      <c r="E86">
        <v>0.40799999999999997</v>
      </c>
      <c r="F86">
        <v>19369453</v>
      </c>
      <c r="G86">
        <v>0.40799999999999997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0.75710594315245294</v>
      </c>
      <c r="Q86">
        <f t="shared" ref="Q86" si="406">F86*P86</f>
        <v>14664727.98191211</v>
      </c>
      <c r="R86">
        <f t="shared" ref="R86" si="407">R87+Q86</f>
        <v>-256979456.44972441</v>
      </c>
      <c r="S86">
        <f t="shared" ref="S86" si="408">R86/100000</f>
        <v>-2569.7945644972442</v>
      </c>
      <c r="T86">
        <f t="shared" ref="T86" si="409">S86/1000</f>
        <v>-2.5697945644972444</v>
      </c>
    </row>
    <row r="87" spans="1:20" x14ac:dyDescent="0.25">
      <c r="A87" s="5">
        <v>44497</v>
      </c>
      <c r="B87">
        <v>0.33489999999999998</v>
      </c>
      <c r="C87">
        <v>0.41820000000000002</v>
      </c>
      <c r="D87">
        <v>0.3276</v>
      </c>
      <c r="E87">
        <v>0.37659999999999999</v>
      </c>
      <c r="F87">
        <v>64185173</v>
      </c>
      <c r="G87">
        <v>0.37659999999999999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8.1677704194260056E-2</v>
      </c>
      <c r="Q87">
        <f t="shared" ref="Q87" si="411">F87*P87</f>
        <v>5242497.5739514073</v>
      </c>
      <c r="R87">
        <f t="shared" ref="R87" si="412">R88+Q87</f>
        <v>-271644184.43163651</v>
      </c>
      <c r="S87">
        <f t="shared" ref="S87" si="413">R87/100000</f>
        <v>-2716.4418443163649</v>
      </c>
      <c r="T87">
        <f t="shared" ref="T87" si="414">S87/1000</f>
        <v>-2.7164418443163649</v>
      </c>
    </row>
    <row r="88" spans="1:20" x14ac:dyDescent="0.25">
      <c r="A88" s="5">
        <v>44496</v>
      </c>
      <c r="B88">
        <v>0.36670000000000003</v>
      </c>
      <c r="C88">
        <v>0.3836</v>
      </c>
      <c r="D88">
        <v>0.3201</v>
      </c>
      <c r="E88">
        <v>0.33550000000000002</v>
      </c>
      <c r="F88">
        <v>26808066</v>
      </c>
      <c r="G88">
        <v>0.33550000000000002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-0.51496062992125902</v>
      </c>
      <c r="Q88">
        <f t="shared" ref="Q88" si="416">F88*P88</f>
        <v>-13805098.554330686</v>
      </c>
      <c r="R88">
        <f t="shared" ref="R88" si="417">R89+Q88</f>
        <v>-276886682.00558794</v>
      </c>
      <c r="S88">
        <f t="shared" ref="S88" si="418">R88/100000</f>
        <v>-2768.8668200558795</v>
      </c>
      <c r="T88">
        <f t="shared" ref="T88" si="419">S88/1000</f>
        <v>-2.7688668200558797</v>
      </c>
    </row>
    <row r="89" spans="1:20" x14ac:dyDescent="0.25">
      <c r="A89" s="5">
        <v>44495</v>
      </c>
      <c r="B89">
        <v>0.34</v>
      </c>
      <c r="C89">
        <v>0.38</v>
      </c>
      <c r="D89">
        <v>0.33800000000000002</v>
      </c>
      <c r="E89">
        <v>0.3659</v>
      </c>
      <c r="F89">
        <v>25429598</v>
      </c>
      <c r="G89">
        <v>0.3659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0.32857142857142824</v>
      </c>
      <c r="Q89">
        <f t="shared" ref="Q89" si="421">F89*P89</f>
        <v>8355439.3428571345</v>
      </c>
      <c r="R89">
        <f t="shared" ref="R89" si="422">R90+Q89</f>
        <v>-263081583.45125723</v>
      </c>
      <c r="S89">
        <f t="shared" ref="S89" si="423">R89/100000</f>
        <v>-2630.8158345125721</v>
      </c>
      <c r="T89">
        <f t="shared" ref="T89" si="424">S89/1000</f>
        <v>-2.6308158345125721</v>
      </c>
    </row>
    <row r="90" spans="1:20" x14ac:dyDescent="0.25">
      <c r="A90" s="5">
        <v>44494</v>
      </c>
      <c r="B90">
        <v>0.3281</v>
      </c>
      <c r="C90">
        <v>0.36820000000000003</v>
      </c>
      <c r="D90">
        <v>0.32529999999999998</v>
      </c>
      <c r="E90">
        <v>0.34</v>
      </c>
      <c r="F90">
        <v>32779188</v>
      </c>
      <c r="G90">
        <v>0.34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-0.3146853146853133</v>
      </c>
      <c r="Q90">
        <f t="shared" ref="Q90" si="426">F90*P90</f>
        <v>-10315129.090909045</v>
      </c>
      <c r="R90">
        <f t="shared" ref="R90" si="427">R91+Q90</f>
        <v>-271437022.79411435</v>
      </c>
      <c r="S90">
        <f t="shared" ref="S90" si="428">R90/100000</f>
        <v>-2714.3702279411436</v>
      </c>
      <c r="T90">
        <f t="shared" ref="T90" si="429">S90/1000</f>
        <v>-2.7143702279411435</v>
      </c>
    </row>
    <row r="91" spans="1:20" x14ac:dyDescent="0.25">
      <c r="A91" s="5">
        <v>44493</v>
      </c>
      <c r="B91">
        <v>0.33729999999999999</v>
      </c>
      <c r="C91">
        <v>0.34499999999999997</v>
      </c>
      <c r="D91">
        <v>0.31869999999999998</v>
      </c>
      <c r="E91">
        <v>0.3281</v>
      </c>
      <c r="F91">
        <v>9777293</v>
      </c>
      <c r="G91">
        <v>0.3281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-0.28517110266159523</v>
      </c>
      <c r="Q91">
        <f t="shared" ref="Q91" si="431">F91*P91</f>
        <v>-2788201.4258554964</v>
      </c>
      <c r="R91">
        <f t="shared" ref="R91" si="432">R92+Q91</f>
        <v>-261121893.70320529</v>
      </c>
      <c r="S91">
        <f t="shared" ref="S91" si="433">R91/100000</f>
        <v>-2611.218937032053</v>
      </c>
      <c r="T91">
        <f t="shared" ref="T91" si="434">S91/1000</f>
        <v>-2.6112189370320529</v>
      </c>
    </row>
    <row r="92" spans="1:20" x14ac:dyDescent="0.25">
      <c r="A92" s="5">
        <v>44492</v>
      </c>
      <c r="B92">
        <v>0.3463</v>
      </c>
      <c r="C92">
        <v>0.36120000000000002</v>
      </c>
      <c r="D92">
        <v>0.32750000000000001</v>
      </c>
      <c r="E92">
        <v>0.33729999999999999</v>
      </c>
      <c r="F92">
        <v>20196467</v>
      </c>
      <c r="G92">
        <v>0.33729999999999999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-0.41839762611276121</v>
      </c>
      <c r="Q92">
        <f t="shared" ref="Q92" si="436">F92*P92</f>
        <v>-8450153.8486647196</v>
      </c>
      <c r="R92">
        <f t="shared" ref="R92" si="437">R93+Q92</f>
        <v>-258333692.2773498</v>
      </c>
      <c r="S92">
        <f t="shared" ref="S92" si="438">R92/100000</f>
        <v>-2583.3369227734979</v>
      </c>
      <c r="T92">
        <f t="shared" ref="T92" si="439">S92/1000</f>
        <v>-2.5833369227734981</v>
      </c>
    </row>
    <row r="93" spans="1:20" x14ac:dyDescent="0.25">
      <c r="A93" s="5">
        <v>44491</v>
      </c>
      <c r="B93">
        <v>0.32050000000000001</v>
      </c>
      <c r="C93">
        <v>0.3493</v>
      </c>
      <c r="D93">
        <v>0.32</v>
      </c>
      <c r="E93">
        <v>0.34639999999999999</v>
      </c>
      <c r="F93">
        <v>19968598</v>
      </c>
      <c r="G93">
        <v>0.34639999999999999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0.80204778156996492</v>
      </c>
      <c r="Q93">
        <f t="shared" ref="Q93" si="441">F93*P93</f>
        <v>16015769.726962438</v>
      </c>
      <c r="R93">
        <f t="shared" ref="R93" si="442">R94+Q93</f>
        <v>-249883538.42868507</v>
      </c>
      <c r="S93">
        <f t="shared" ref="S93" si="443">R93/100000</f>
        <v>-2498.8353842868505</v>
      </c>
      <c r="T93">
        <f t="shared" ref="T93" si="444">S93/1000</f>
        <v>-2.4988353842868505</v>
      </c>
    </row>
    <row r="94" spans="1:20" x14ac:dyDescent="0.25">
      <c r="A94" s="5">
        <v>44490</v>
      </c>
      <c r="B94">
        <v>0.33</v>
      </c>
      <c r="C94">
        <v>0.33739999999999998</v>
      </c>
      <c r="D94">
        <v>0.31309999999999999</v>
      </c>
      <c r="E94">
        <v>0.31979999999999997</v>
      </c>
      <c r="F94">
        <v>12814247</v>
      </c>
      <c r="G94">
        <v>0.31979999999999997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-0.44855967078189407</v>
      </c>
      <c r="Q94">
        <f t="shared" ref="Q94" si="446">F94*P94</f>
        <v>-5747954.415637874</v>
      </c>
      <c r="R94">
        <f t="shared" ref="R94" si="447">R95+Q94</f>
        <v>-265899308.15564752</v>
      </c>
      <c r="S94">
        <f t="shared" ref="S94" si="448">R94/100000</f>
        <v>-2658.9930815564753</v>
      </c>
      <c r="T94">
        <f t="shared" ref="T94" si="449">S94/1000</f>
        <v>-2.6589930815564755</v>
      </c>
    </row>
    <row r="95" spans="1:20" x14ac:dyDescent="0.25">
      <c r="A95" s="5">
        <v>44489</v>
      </c>
      <c r="B95">
        <v>0.316</v>
      </c>
      <c r="C95">
        <v>0.33379999999999999</v>
      </c>
      <c r="D95">
        <v>0.31359999999999999</v>
      </c>
      <c r="E95">
        <v>0.3301</v>
      </c>
      <c r="F95">
        <v>19436296</v>
      </c>
      <c r="G95">
        <v>0.3301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0.63366336633663545</v>
      </c>
      <c r="Q95">
        <f t="shared" ref="Q95" si="451">F95*P95</f>
        <v>12316068.752475282</v>
      </c>
      <c r="R95">
        <f t="shared" ref="R95" si="452">R96+Q95</f>
        <v>-260151353.74000964</v>
      </c>
      <c r="S95">
        <f t="shared" ref="S95" si="453">R95/100000</f>
        <v>-2601.5135374000965</v>
      </c>
      <c r="T95">
        <f t="shared" ref="T95" si="454">S95/1000</f>
        <v>-2.6015135374000966</v>
      </c>
    </row>
    <row r="96" spans="1:20" x14ac:dyDescent="0.25">
      <c r="A96" s="5">
        <v>44488</v>
      </c>
      <c r="B96">
        <v>0.31009999999999999</v>
      </c>
      <c r="C96">
        <v>0.3211</v>
      </c>
      <c r="D96">
        <v>0.30349999999999999</v>
      </c>
      <c r="E96">
        <v>0.31569999999999998</v>
      </c>
      <c r="F96">
        <v>14253545</v>
      </c>
      <c r="G96">
        <v>0.31569999999999998</v>
      </c>
      <c r="L96" t="s">
        <v>7</v>
      </c>
      <c r="M96" t="s">
        <v>8</v>
      </c>
      <c r="N96" t="s">
        <v>8</v>
      </c>
      <c r="P96">
        <f t="shared" ref="P96" si="455">IF(C96=D96,0,((E96-D96)-(C96-E96))/(C96-D96))</f>
        <v>0.38636363636363469</v>
      </c>
      <c r="Q96">
        <f t="shared" ref="Q96" si="456">F96*P96</f>
        <v>5507051.4772727033</v>
      </c>
      <c r="R96">
        <f t="shared" ref="R96" si="457">R97+Q96</f>
        <v>-272467422.49248493</v>
      </c>
      <c r="S96">
        <f t="shared" ref="S96" si="458">R96/100000</f>
        <v>-2724.6742249248491</v>
      </c>
      <c r="T96">
        <f t="shared" ref="T96" si="459">S96/1000</f>
        <v>-2.7246742249248492</v>
      </c>
    </row>
    <row r="97" spans="1:20" x14ac:dyDescent="0.25">
      <c r="A97" s="5">
        <v>44487</v>
      </c>
      <c r="B97">
        <v>0.31380000000000002</v>
      </c>
      <c r="C97">
        <v>0.3291</v>
      </c>
      <c r="D97">
        <v>0.30609999999999998</v>
      </c>
      <c r="E97">
        <v>0.31009999999999999</v>
      </c>
      <c r="F97">
        <v>15739433</v>
      </c>
      <c r="G97">
        <v>0.31009999999999999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-0.65217391304347827</v>
      </c>
      <c r="Q97">
        <f t="shared" ref="Q97" si="461">F97*P97</f>
        <v>-10264847.608695652</v>
      </c>
      <c r="R97">
        <f t="shared" ref="R97" si="462">R98+Q97</f>
        <v>-277974473.96975762</v>
      </c>
      <c r="S97">
        <f t="shared" ref="S97" si="463">R97/100000</f>
        <v>-2779.7447396975763</v>
      </c>
      <c r="T97">
        <f t="shared" ref="T97" si="464">S97/1000</f>
        <v>-2.7797447396975761</v>
      </c>
    </row>
    <row r="98" spans="1:20" x14ac:dyDescent="0.25">
      <c r="A98" s="5">
        <v>44486</v>
      </c>
      <c r="B98">
        <v>0.32519999999999999</v>
      </c>
      <c r="C98">
        <v>0.33600000000000002</v>
      </c>
      <c r="D98">
        <v>0.3029</v>
      </c>
      <c r="E98">
        <v>0.31380000000000002</v>
      </c>
      <c r="F98">
        <v>17897399</v>
      </c>
      <c r="G98">
        <v>0.31380000000000002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-0.34138972809667584</v>
      </c>
      <c r="Q98">
        <f t="shared" ref="Q98" si="466">F98*P98</f>
        <v>-6109988.1782477181</v>
      </c>
      <c r="R98">
        <f t="shared" ref="R98" si="467">R99+Q98</f>
        <v>-267709626.36106199</v>
      </c>
      <c r="S98">
        <f t="shared" ref="S98" si="468">R98/100000</f>
        <v>-2677.0962636106201</v>
      </c>
      <c r="T98">
        <f t="shared" ref="T98" si="469">S98/1000</f>
        <v>-2.6770962636106201</v>
      </c>
    </row>
    <row r="99" spans="1:20" x14ac:dyDescent="0.25">
      <c r="A99" s="5">
        <v>44485</v>
      </c>
      <c r="B99">
        <v>0.31240000000000001</v>
      </c>
      <c r="C99">
        <v>0.34410000000000002</v>
      </c>
      <c r="D99">
        <v>0.31009999999999999</v>
      </c>
      <c r="E99">
        <v>0.32550000000000001</v>
      </c>
      <c r="F99">
        <v>34690989</v>
      </c>
      <c r="G99">
        <v>0.32550000000000001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-9.4117647058822876E-2</v>
      </c>
      <c r="Q99">
        <f t="shared" ref="Q99" si="471">F99*P99</f>
        <v>-3265034.2588235065</v>
      </c>
      <c r="R99">
        <f t="shared" ref="R99" si="472">R100+Q99</f>
        <v>-261599638.18281427</v>
      </c>
      <c r="S99">
        <f t="shared" ref="S99" si="473">R99/100000</f>
        <v>-2615.9963818281426</v>
      </c>
      <c r="T99">
        <f t="shared" ref="T99" si="474">S99/1000</f>
        <v>-2.6159963818281424</v>
      </c>
    </row>
    <row r="100" spans="1:20" x14ac:dyDescent="0.25">
      <c r="A100" s="5">
        <v>44484</v>
      </c>
      <c r="B100">
        <v>0.30230000000000001</v>
      </c>
      <c r="C100">
        <v>0.35799999999999998</v>
      </c>
      <c r="D100">
        <v>0.28999999999999998</v>
      </c>
      <c r="E100">
        <v>0.31230000000000002</v>
      </c>
      <c r="F100">
        <v>56439543</v>
      </c>
      <c r="G100">
        <v>0.31230000000000002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-0.34411764705882236</v>
      </c>
      <c r="Q100">
        <f t="shared" ref="Q100" si="476">F100*P100</f>
        <v>-19421842.738235228</v>
      </c>
      <c r="R100">
        <f t="shared" ref="R100" si="477">R101+Q100</f>
        <v>-258334603.92399076</v>
      </c>
      <c r="S100">
        <f t="shared" ref="S100" si="478">R100/100000</f>
        <v>-2583.3460392399074</v>
      </c>
      <c r="T100">
        <f t="shared" ref="T100" si="479">S100/1000</f>
        <v>-2.5833460392399075</v>
      </c>
    </row>
    <row r="101" spans="1:20" x14ac:dyDescent="0.25">
      <c r="A101" s="5">
        <v>44483</v>
      </c>
      <c r="B101">
        <v>0.28710000000000002</v>
      </c>
      <c r="C101">
        <v>0.315</v>
      </c>
      <c r="D101">
        <v>0.28599999999999998</v>
      </c>
      <c r="E101">
        <v>0.30209999999999998</v>
      </c>
      <c r="F101">
        <v>24857834</v>
      </c>
      <c r="G101">
        <v>0.30209999999999998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0.11034482758620613</v>
      </c>
      <c r="Q101">
        <f t="shared" ref="Q101" si="481">F101*P101</f>
        <v>2742933.4068965325</v>
      </c>
      <c r="R101">
        <f t="shared" ref="R101" si="482">R102+Q101</f>
        <v>-238912761.18575552</v>
      </c>
      <c r="S101">
        <f t="shared" ref="S101" si="483">R101/100000</f>
        <v>-2389.1276118575552</v>
      </c>
      <c r="T101">
        <f t="shared" ref="T101" si="484">S101/1000</f>
        <v>-2.3891276118575551</v>
      </c>
    </row>
    <row r="102" spans="1:20" x14ac:dyDescent="0.25">
      <c r="A102" s="5">
        <v>44482</v>
      </c>
      <c r="B102">
        <v>0.27379999999999999</v>
      </c>
      <c r="C102">
        <v>0.29189999999999999</v>
      </c>
      <c r="D102">
        <v>0.26769999999999999</v>
      </c>
      <c r="E102">
        <v>0.28720000000000001</v>
      </c>
      <c r="F102">
        <v>15991989</v>
      </c>
      <c r="G102">
        <v>0.28720000000000001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0.61157024793388581</v>
      </c>
      <c r="Q102">
        <f t="shared" ref="Q102" si="486">F102*P102</f>
        <v>9780224.6776859742</v>
      </c>
      <c r="R102">
        <f t="shared" ref="R102" si="487">R103+Q102</f>
        <v>-241655694.59265205</v>
      </c>
      <c r="S102">
        <f t="shared" ref="S102" si="488">R102/100000</f>
        <v>-2416.5569459265207</v>
      </c>
      <c r="T102">
        <f t="shared" ref="T102" si="489">S102/1000</f>
        <v>-2.4165569459265206</v>
      </c>
    </row>
    <row r="103" spans="1:20" x14ac:dyDescent="0.25">
      <c r="A103" s="5">
        <v>44481</v>
      </c>
      <c r="B103">
        <v>0.27450000000000002</v>
      </c>
      <c r="C103">
        <v>0.27639999999999998</v>
      </c>
      <c r="D103">
        <v>0.25609999999999999</v>
      </c>
      <c r="E103">
        <v>0.2742</v>
      </c>
      <c r="F103">
        <v>10566804</v>
      </c>
      <c r="G103">
        <v>0.2742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0.78325123152709542</v>
      </c>
      <c r="Q103">
        <f t="shared" ref="Q103" si="491">F103*P103</f>
        <v>8276462.2463054378</v>
      </c>
      <c r="R103">
        <f t="shared" ref="R103" si="492">R104+Q103</f>
        <v>-251435919.27033803</v>
      </c>
      <c r="S103">
        <f t="shared" ref="S103" si="493">R103/100000</f>
        <v>-2514.3591927033804</v>
      </c>
      <c r="T103">
        <f t="shared" ref="T103" si="494">S103/1000</f>
        <v>-2.5143591927033802</v>
      </c>
    </row>
    <row r="104" spans="1:20" x14ac:dyDescent="0.25">
      <c r="A104" s="5">
        <v>44480</v>
      </c>
      <c r="B104">
        <v>0.27560000000000001</v>
      </c>
      <c r="C104">
        <v>0.29299999999999998</v>
      </c>
      <c r="D104">
        <v>0.26700000000000002</v>
      </c>
      <c r="E104">
        <v>0.27489999999999998</v>
      </c>
      <c r="F104">
        <v>12717716</v>
      </c>
      <c r="G104">
        <v>0.27489999999999998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-0.39230769230769441</v>
      </c>
      <c r="Q104">
        <f t="shared" ref="Q104" si="496">F104*P104</f>
        <v>-4989257.8153846422</v>
      </c>
      <c r="R104">
        <f t="shared" ref="R104" si="497">R105+Q104</f>
        <v>-259712381.51664346</v>
      </c>
      <c r="S104">
        <f t="shared" ref="S104" si="498">R104/100000</f>
        <v>-2597.1238151664347</v>
      </c>
      <c r="T104">
        <f t="shared" ref="T104" si="499">S104/1000</f>
        <v>-2.5971238151664346</v>
      </c>
    </row>
    <row r="105" spans="1:20" x14ac:dyDescent="0.25">
      <c r="A105" s="5">
        <v>44479</v>
      </c>
      <c r="B105">
        <v>0.29620000000000002</v>
      </c>
      <c r="C105">
        <v>0.29809999999999998</v>
      </c>
      <c r="D105">
        <v>0.27429999999999999</v>
      </c>
      <c r="E105">
        <v>0.2757</v>
      </c>
      <c r="F105">
        <v>10820604</v>
      </c>
      <c r="G105">
        <v>0.2757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-0.88235294117646945</v>
      </c>
      <c r="Q105">
        <f t="shared" ref="Q105" si="501">F105*P105</f>
        <v>-9547591.7647058703</v>
      </c>
      <c r="R105">
        <f t="shared" ref="R105" si="502">R106+Q105</f>
        <v>-254723123.70125881</v>
      </c>
      <c r="S105">
        <f t="shared" ref="S105" si="503">R105/100000</f>
        <v>-2547.2312370125883</v>
      </c>
      <c r="T105">
        <f t="shared" ref="T105" si="504">S105/1000</f>
        <v>-2.5472312370125882</v>
      </c>
    </row>
    <row r="106" spans="1:20" x14ac:dyDescent="0.25">
      <c r="A106" s="5">
        <v>44478</v>
      </c>
      <c r="B106">
        <v>0.2994</v>
      </c>
      <c r="C106">
        <v>0.30220000000000002</v>
      </c>
      <c r="D106">
        <v>0.29089999999999999</v>
      </c>
      <c r="E106">
        <v>0.29609999999999997</v>
      </c>
      <c r="F106">
        <v>12328905</v>
      </c>
      <c r="G106">
        <v>0.29609999999999997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-7.9646017699120789E-2</v>
      </c>
      <c r="Q106">
        <f t="shared" ref="Q106" si="506">F106*P106</f>
        <v>-981948.18584077875</v>
      </c>
      <c r="R106">
        <f t="shared" ref="R106" si="507">R107+Q106</f>
        <v>-245175531.93655294</v>
      </c>
      <c r="S106">
        <f t="shared" ref="S106" si="508">R106/100000</f>
        <v>-2451.7553193655294</v>
      </c>
      <c r="T106">
        <f t="shared" ref="T106" si="509">S106/1000</f>
        <v>-2.4517553193655295</v>
      </c>
    </row>
    <row r="107" spans="1:20" x14ac:dyDescent="0.25">
      <c r="A107" s="5">
        <v>44477</v>
      </c>
      <c r="B107">
        <v>0.30070000000000002</v>
      </c>
      <c r="C107">
        <v>0.31059999999999999</v>
      </c>
      <c r="D107">
        <v>0.29649999999999999</v>
      </c>
      <c r="E107">
        <v>0.29880000000000001</v>
      </c>
      <c r="F107">
        <v>14574489</v>
      </c>
      <c r="G107">
        <v>0.29880000000000001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-0.67375886524822359</v>
      </c>
      <c r="Q107">
        <f t="shared" ref="Q107" si="511">F107*P107</f>
        <v>-9819691.1702127177</v>
      </c>
      <c r="R107">
        <f t="shared" ref="R107" si="512">R108+Q107</f>
        <v>-244193583.75071216</v>
      </c>
      <c r="S107">
        <f t="shared" ref="S107" si="513">R107/100000</f>
        <v>-2441.9358375071215</v>
      </c>
      <c r="T107">
        <f t="shared" ref="T107" si="514">S107/1000</f>
        <v>-2.4419358375071214</v>
      </c>
    </row>
    <row r="108" spans="1:20" x14ac:dyDescent="0.25">
      <c r="A108" s="5">
        <v>44476</v>
      </c>
      <c r="B108">
        <v>0.30480000000000002</v>
      </c>
      <c r="C108">
        <v>0.31940000000000002</v>
      </c>
      <c r="D108">
        <v>0.29499999999999998</v>
      </c>
      <c r="E108">
        <v>0.30070000000000002</v>
      </c>
      <c r="F108">
        <v>23374665</v>
      </c>
      <c r="G108">
        <v>0.30070000000000002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-0.53278688524589912</v>
      </c>
      <c r="Q108">
        <f t="shared" ref="Q108" si="516">F108*P108</f>
        <v>-12453714.959016334</v>
      </c>
      <c r="R108">
        <f t="shared" ref="R108" si="517">R109+Q108</f>
        <v>-234373892.58049944</v>
      </c>
      <c r="S108">
        <f t="shared" ref="S108" si="518">R108/100000</f>
        <v>-2343.7389258049943</v>
      </c>
      <c r="T108">
        <f t="shared" ref="T108" si="519">S108/1000</f>
        <v>-2.3437389258049945</v>
      </c>
    </row>
    <row r="109" spans="1:20" x14ac:dyDescent="0.25">
      <c r="A109" s="5">
        <v>44475</v>
      </c>
      <c r="B109">
        <v>0.29930000000000001</v>
      </c>
      <c r="C109">
        <v>0.311</v>
      </c>
      <c r="D109">
        <v>0.27910000000000001</v>
      </c>
      <c r="E109">
        <v>0.30480000000000002</v>
      </c>
      <c r="F109">
        <v>24453944</v>
      </c>
      <c r="G109">
        <v>0.30480000000000002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0.61128526645768111</v>
      </c>
      <c r="Q109">
        <f t="shared" ref="Q109" si="521">F109*P109</f>
        <v>14948335.673981212</v>
      </c>
      <c r="R109">
        <f t="shared" ref="R109" si="522">R110+Q109</f>
        <v>-221920177.62148312</v>
      </c>
      <c r="S109">
        <f t="shared" ref="S109" si="523">R109/100000</f>
        <v>-2219.2017762148312</v>
      </c>
      <c r="T109">
        <f t="shared" ref="T109" si="524">S109/1000</f>
        <v>-2.2192017762148311</v>
      </c>
    </row>
    <row r="110" spans="1:20" x14ac:dyDescent="0.25">
      <c r="A110" s="5">
        <v>44474</v>
      </c>
      <c r="B110">
        <v>0.29389999999999999</v>
      </c>
      <c r="C110">
        <v>0.3044</v>
      </c>
      <c r="D110">
        <v>0.2858</v>
      </c>
      <c r="E110">
        <v>0.29909999999999998</v>
      </c>
      <c r="F110">
        <v>20764617</v>
      </c>
      <c r="G110">
        <v>0.29909999999999998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0.43010752688171772</v>
      </c>
      <c r="Q110">
        <f t="shared" ref="Q110" si="526">F110*P110</f>
        <v>8931018.0645160731</v>
      </c>
      <c r="R110">
        <f t="shared" ref="R110" si="527">R111+Q110</f>
        <v>-236868513.29546434</v>
      </c>
      <c r="S110">
        <f t="shared" ref="S110" si="528">R110/100000</f>
        <v>-2368.6851329546434</v>
      </c>
      <c r="T110">
        <f t="shared" ref="T110" si="529">S110/1000</f>
        <v>-2.3686851329546434</v>
      </c>
    </row>
    <row r="111" spans="1:20" x14ac:dyDescent="0.25">
      <c r="A111" s="5">
        <v>44473</v>
      </c>
      <c r="B111">
        <v>0.29039999999999999</v>
      </c>
      <c r="C111">
        <v>0.31130000000000002</v>
      </c>
      <c r="D111">
        <v>0.2702</v>
      </c>
      <c r="E111">
        <v>0.29299999999999998</v>
      </c>
      <c r="F111">
        <v>33475122</v>
      </c>
      <c r="G111">
        <v>0.29299999999999998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0.10948905109488918</v>
      </c>
      <c r="Q111">
        <f t="shared" ref="Q111" si="531">F111*P111</f>
        <v>3665159.3430656488</v>
      </c>
      <c r="R111">
        <f t="shared" ref="R111" si="532">R112+Q111</f>
        <v>-245799531.3599804</v>
      </c>
      <c r="S111">
        <f t="shared" ref="S111" si="533">R111/100000</f>
        <v>-2457.9953135998039</v>
      </c>
      <c r="T111">
        <f t="shared" ref="T111" si="534">S111/1000</f>
        <v>-2.4579953135998038</v>
      </c>
    </row>
    <row r="112" spans="1:20" x14ac:dyDescent="0.25">
      <c r="A112" s="5">
        <v>44472</v>
      </c>
      <c r="B112">
        <v>0.28289999999999998</v>
      </c>
      <c r="C112">
        <v>0.29759999999999998</v>
      </c>
      <c r="D112">
        <v>0.27510000000000001</v>
      </c>
      <c r="E112">
        <v>0.28889999999999999</v>
      </c>
      <c r="F112">
        <v>16956343</v>
      </c>
      <c r="G112">
        <v>0.28889999999999999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0.22666666666666674</v>
      </c>
      <c r="Q112">
        <f t="shared" ref="Q112" si="536">F112*P112</f>
        <v>3843437.746666668</v>
      </c>
      <c r="R112">
        <f t="shared" ref="R112" si="537">R113+Q112</f>
        <v>-249464690.70304605</v>
      </c>
      <c r="S112">
        <f t="shared" ref="S112" si="538">R112/100000</f>
        <v>-2494.6469070304606</v>
      </c>
      <c r="T112">
        <f t="shared" ref="T112" si="539">S112/1000</f>
        <v>-2.4946469070304604</v>
      </c>
    </row>
    <row r="113" spans="1:20" x14ac:dyDescent="0.25">
      <c r="A113" s="5">
        <v>44471</v>
      </c>
      <c r="B113">
        <v>0.28649999999999998</v>
      </c>
      <c r="C113">
        <v>0.30320000000000003</v>
      </c>
      <c r="D113">
        <v>0.28029999999999999</v>
      </c>
      <c r="E113">
        <v>0.28260000000000002</v>
      </c>
      <c r="F113">
        <v>25937470</v>
      </c>
      <c r="G113">
        <v>0.28260000000000002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-0.79912663755458335</v>
      </c>
      <c r="Q113">
        <f t="shared" ref="Q113" si="541">F113*P113</f>
        <v>-20727323.187772878</v>
      </c>
      <c r="R113">
        <f t="shared" ref="R113" si="542">R114+Q113</f>
        <v>-253308128.44971272</v>
      </c>
      <c r="S113">
        <f t="shared" ref="S113" si="543">R113/100000</f>
        <v>-2533.0812844971274</v>
      </c>
      <c r="T113">
        <f t="shared" ref="T113" si="544">S113/1000</f>
        <v>-2.5330812844971273</v>
      </c>
    </row>
    <row r="114" spans="1:20" x14ac:dyDescent="0.25">
      <c r="A114" s="5">
        <v>44470</v>
      </c>
      <c r="B114">
        <v>0.26790000000000003</v>
      </c>
      <c r="C114">
        <v>0.29499999999999998</v>
      </c>
      <c r="D114">
        <v>0.26429999999999998</v>
      </c>
      <c r="E114">
        <v>0.28649999999999998</v>
      </c>
      <c r="F114">
        <v>40001289</v>
      </c>
      <c r="G114">
        <v>0.28649999999999998</v>
      </c>
      <c r="L114" t="s">
        <v>8</v>
      </c>
      <c r="M114" t="s">
        <v>7</v>
      </c>
      <c r="N114" t="s">
        <v>8</v>
      </c>
      <c r="P114">
        <f t="shared" ref="P114" si="545">IF(C114=D114,0,((E114-D114)-(C114-E114))/(C114-D114))</f>
        <v>0.44625407166123737</v>
      </c>
      <c r="Q114">
        <f t="shared" ref="Q114" si="546">F114*P114</f>
        <v>17850738.087947868</v>
      </c>
      <c r="R114">
        <f t="shared" ref="R114" si="547">R115+Q114</f>
        <v>-232580805.26193985</v>
      </c>
      <c r="S114">
        <f t="shared" ref="S114" si="548">R114/100000</f>
        <v>-2325.8080526193985</v>
      </c>
      <c r="T114">
        <f t="shared" ref="T114" si="549">S114/1000</f>
        <v>-2.3258080526193985</v>
      </c>
    </row>
    <row r="115" spans="1:20" x14ac:dyDescent="0.25">
      <c r="A115" s="5">
        <v>44469</v>
      </c>
      <c r="B115">
        <v>0.25790000000000002</v>
      </c>
      <c r="C115">
        <v>0.27210000000000001</v>
      </c>
      <c r="D115">
        <v>0.25700000000000001</v>
      </c>
      <c r="E115">
        <v>0.26790000000000003</v>
      </c>
      <c r="F115">
        <v>21100692</v>
      </c>
      <c r="G115">
        <v>0.26790000000000003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0.44370860927152572</v>
      </c>
      <c r="Q115">
        <f t="shared" ref="Q115" si="551">F115*P115</f>
        <v>9362558.7019868083</v>
      </c>
      <c r="R115">
        <f t="shared" ref="R115" si="552">R116+Q115</f>
        <v>-250431543.34988773</v>
      </c>
      <c r="S115">
        <f t="shared" ref="S115" si="553">R115/100000</f>
        <v>-2504.3154334988772</v>
      </c>
      <c r="T115">
        <f t="shared" ref="T115" si="554">S115/1000</f>
        <v>-2.5043154334988773</v>
      </c>
    </row>
    <row r="116" spans="1:20" x14ac:dyDescent="0.25">
      <c r="A116" s="5">
        <v>44468</v>
      </c>
      <c r="B116">
        <v>0.26669999999999999</v>
      </c>
      <c r="C116">
        <v>0.28649999999999998</v>
      </c>
      <c r="D116">
        <v>0.254</v>
      </c>
      <c r="E116">
        <v>0.2581</v>
      </c>
      <c r="F116">
        <v>34246456</v>
      </c>
      <c r="G116">
        <v>0.2581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-0.74769230769230799</v>
      </c>
      <c r="Q116">
        <f t="shared" ref="Q116" si="556">F116*P116</f>
        <v>-25605811.716923088</v>
      </c>
      <c r="R116">
        <f t="shared" ref="R116" si="557">R117+Q116</f>
        <v>-259794102.05187455</v>
      </c>
      <c r="S116">
        <f t="shared" ref="S116" si="558">R116/100000</f>
        <v>-2597.9410205187455</v>
      </c>
      <c r="T116">
        <f t="shared" ref="T116" si="559">S116/1000</f>
        <v>-2.5979410205187454</v>
      </c>
    </row>
    <row r="117" spans="1:20" x14ac:dyDescent="0.25">
      <c r="A117" s="5">
        <v>44467</v>
      </c>
      <c r="B117">
        <v>0.28060000000000002</v>
      </c>
      <c r="C117">
        <v>0.3261</v>
      </c>
      <c r="D117">
        <v>0.26429999999999998</v>
      </c>
      <c r="E117">
        <v>0.26740000000000003</v>
      </c>
      <c r="F117">
        <v>165779654</v>
      </c>
      <c r="G117">
        <v>0.26740000000000003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-0.89967637540452927</v>
      </c>
      <c r="Q117">
        <f t="shared" ref="Q117" si="561">F117*P117</f>
        <v>-149148038.22653696</v>
      </c>
      <c r="R117">
        <f t="shared" ref="R117" si="562">R118+Q117</f>
        <v>-234188290.33495146</v>
      </c>
      <c r="S117">
        <f t="shared" ref="S117" si="563">R117/100000</f>
        <v>-2341.8829033495144</v>
      </c>
      <c r="T117">
        <f t="shared" ref="T117" si="564">S117/1000</f>
        <v>-2.3418829033495143</v>
      </c>
    </row>
    <row r="118" spans="1:20" x14ac:dyDescent="0.25">
      <c r="A118" s="5">
        <v>44466</v>
      </c>
      <c r="B118">
        <v>0.25309999999999999</v>
      </c>
      <c r="C118">
        <v>0.3473</v>
      </c>
      <c r="D118">
        <v>0.24229999999999999</v>
      </c>
      <c r="E118">
        <v>0.28070000000000001</v>
      </c>
      <c r="F118">
        <v>164324661</v>
      </c>
      <c r="G118">
        <v>0.28070000000000001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-0.26857142857142829</v>
      </c>
      <c r="Q118">
        <f t="shared" ref="Q118" si="566">F118*P118</f>
        <v>-44132908.954285666</v>
      </c>
      <c r="R118">
        <f t="shared" ref="R118" si="567">R119+Q118</f>
        <v>-85040252.108414516</v>
      </c>
      <c r="S118">
        <f t="shared" ref="S118" si="568">R118/100000</f>
        <v>-850.40252108414518</v>
      </c>
      <c r="T118">
        <f t="shared" ref="T118" si="569">S118/1000</f>
        <v>-0.85040252108414516</v>
      </c>
    </row>
    <row r="119" spans="1:20" x14ac:dyDescent="0.25">
      <c r="A119" s="5">
        <v>44465</v>
      </c>
      <c r="B119">
        <v>0.25159999999999999</v>
      </c>
      <c r="C119">
        <v>0.30909999999999999</v>
      </c>
      <c r="D119">
        <v>0.22509999999999999</v>
      </c>
      <c r="E119">
        <v>0.253</v>
      </c>
      <c r="F119">
        <v>97548898</v>
      </c>
      <c r="G119">
        <v>0.253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-0.33571428571428547</v>
      </c>
      <c r="Q119">
        <f t="shared" ref="Q119" si="571">F119*P119</f>
        <v>-32748558.614285689</v>
      </c>
      <c r="R119">
        <f t="shared" ref="R119" si="572">R120+Q119</f>
        <v>-40907343.15412885</v>
      </c>
      <c r="S119">
        <f t="shared" ref="S119" si="573">R119/100000</f>
        <v>-409.07343154128847</v>
      </c>
      <c r="T119">
        <f t="shared" ref="T119" si="574">S119/1000</f>
        <v>-0.40907343154128845</v>
      </c>
    </row>
    <row r="120" spans="1:20" x14ac:dyDescent="0.25">
      <c r="A120" s="5">
        <v>44464</v>
      </c>
      <c r="B120">
        <v>0.25569999999999998</v>
      </c>
      <c r="C120">
        <v>0.26479999999999998</v>
      </c>
      <c r="D120">
        <v>0.24030000000000001</v>
      </c>
      <c r="E120">
        <v>0.25159999999999999</v>
      </c>
      <c r="F120">
        <v>26310637</v>
      </c>
      <c r="G120">
        <v>0.25159999999999999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-7.755102040816389E-2</v>
      </c>
      <c r="Q120">
        <f t="shared" ref="Q120" si="576">F120*P120</f>
        <v>-2040416.7469387921</v>
      </c>
      <c r="R120">
        <f t="shared" ref="R120" si="577">R121+Q120</f>
        <v>-8158784.5398431616</v>
      </c>
      <c r="S120">
        <f t="shared" ref="S120" si="578">R120/100000</f>
        <v>-81.587845398431611</v>
      </c>
      <c r="T120">
        <f t="shared" ref="T120" si="579">S120/1000</f>
        <v>-8.1587845398431613E-2</v>
      </c>
    </row>
    <row r="121" spans="1:20" x14ac:dyDescent="0.25">
      <c r="A121" s="5">
        <v>44463</v>
      </c>
      <c r="B121">
        <v>0.2697</v>
      </c>
      <c r="C121">
        <v>0.28120000000000001</v>
      </c>
      <c r="D121">
        <v>0.23449999999999999</v>
      </c>
      <c r="E121">
        <v>0.25590000000000002</v>
      </c>
      <c r="F121">
        <v>44451323</v>
      </c>
      <c r="G121">
        <v>0.25590000000000002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-8.3511777301926285E-2</v>
      </c>
      <c r="Q121">
        <f t="shared" ref="Q121" si="581">F121*P121</f>
        <v>-3712208.9871519939</v>
      </c>
      <c r="R121">
        <f t="shared" ref="R121" si="582">R122+Q121</f>
        <v>-6118367.7929043695</v>
      </c>
      <c r="S121">
        <f t="shared" ref="S121" si="583">R121/100000</f>
        <v>-61.183677929043697</v>
      </c>
      <c r="T121">
        <f t="shared" ref="T121" si="584">S121/1000</f>
        <v>-6.1183677929043695E-2</v>
      </c>
    </row>
    <row r="122" spans="1:20" x14ac:dyDescent="0.25">
      <c r="A122" s="5">
        <v>44462</v>
      </c>
      <c r="B122">
        <v>0.26629999999999998</v>
      </c>
      <c r="C122">
        <v>0.28050000000000003</v>
      </c>
      <c r="D122">
        <v>0.25829999999999997</v>
      </c>
      <c r="E122">
        <v>0.26979999999999998</v>
      </c>
      <c r="F122">
        <v>16142870</v>
      </c>
      <c r="G122">
        <v>0.26979999999999998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3.6036036036034481E-2</v>
      </c>
      <c r="Q122">
        <f t="shared" ref="Q122" si="586">F122*P122</f>
        <v>581725.04504501994</v>
      </c>
      <c r="R122">
        <f t="shared" ref="R122" si="587">R123+Q122</f>
        <v>-2406158.8057523761</v>
      </c>
      <c r="S122">
        <f t="shared" ref="S122" si="588">R122/100000</f>
        <v>-24.06158805752376</v>
      </c>
      <c r="T122">
        <f t="shared" ref="T122" si="589">S122/1000</f>
        <v>-2.4061588057523762E-2</v>
      </c>
    </row>
    <row r="123" spans="1:20" x14ac:dyDescent="0.25">
      <c r="A123" s="5">
        <v>44461</v>
      </c>
      <c r="B123">
        <v>0.2306</v>
      </c>
      <c r="C123">
        <v>0.27500000000000002</v>
      </c>
      <c r="D123">
        <v>0.22359999999999999</v>
      </c>
      <c r="E123">
        <v>0.26669999999999999</v>
      </c>
      <c r="F123">
        <v>22555280.41</v>
      </c>
      <c r="G123">
        <v>0.26669999999999999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0.67704280155641927</v>
      </c>
      <c r="Q123">
        <f t="shared" ref="Q123" si="591">F123*P123</f>
        <v>15270890.238677021</v>
      </c>
      <c r="R123">
        <f t="shared" ref="R123" si="592">R124+Q123</f>
        <v>-2987883.8507973962</v>
      </c>
      <c r="S123">
        <f t="shared" ref="S123" si="593">R123/100000</f>
        <v>-29.87883850797396</v>
      </c>
      <c r="T123">
        <f t="shared" ref="T123" si="594">S123/1000</f>
        <v>-2.9878838507973959E-2</v>
      </c>
    </row>
    <row r="124" spans="1:20" x14ac:dyDescent="0.25">
      <c r="A124" s="5">
        <v>44460</v>
      </c>
      <c r="B124">
        <v>0.2601</v>
      </c>
      <c r="C124">
        <v>0.28160000000000002</v>
      </c>
      <c r="D124">
        <v>0.2266</v>
      </c>
      <c r="E124">
        <v>0.2306</v>
      </c>
      <c r="F124">
        <v>42784255.390000001</v>
      </c>
      <c r="G124">
        <v>0.2306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-0.8545454545454545</v>
      </c>
      <c r="Q124">
        <f t="shared" ref="Q124" si="596">F124*P124</f>
        <v>-36561090.969636366</v>
      </c>
      <c r="R124">
        <f t="shared" ref="R124" si="597">R125+Q124</f>
        <v>-18258774.089474417</v>
      </c>
      <c r="S124">
        <f t="shared" ref="S124" si="598">R124/100000</f>
        <v>-182.58774089474417</v>
      </c>
      <c r="T124">
        <f t="shared" ref="T124" si="599">S124/1000</f>
        <v>-0.18258774089474417</v>
      </c>
    </row>
    <row r="125" spans="1:20" x14ac:dyDescent="0.25">
      <c r="A125" s="5">
        <v>44459</v>
      </c>
      <c r="B125">
        <v>0.31769999999999998</v>
      </c>
      <c r="C125">
        <v>0.31900000000000001</v>
      </c>
      <c r="D125">
        <v>0.27289999999999998</v>
      </c>
      <c r="E125">
        <v>0.28050000000000003</v>
      </c>
      <c r="F125">
        <v>13368130</v>
      </c>
      <c r="G125">
        <v>0.28050000000000003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-0.67028199566160318</v>
      </c>
      <c r="Q125">
        <f t="shared" ref="Q125" si="601">F125*P125</f>
        <v>-8960416.8546637464</v>
      </c>
      <c r="R125">
        <f t="shared" ref="R125" si="602">R126+Q125</f>
        <v>18302316.880161949</v>
      </c>
      <c r="S125">
        <f t="shared" ref="S125" si="603">R125/100000</f>
        <v>183.02316880161948</v>
      </c>
      <c r="T125">
        <f t="shared" ref="T125" si="604">S125/1000</f>
        <v>0.18302316880161948</v>
      </c>
    </row>
    <row r="126" spans="1:20" x14ac:dyDescent="0.25">
      <c r="A126" s="5">
        <v>44458</v>
      </c>
      <c r="B126">
        <v>0.33250000000000002</v>
      </c>
      <c r="C126">
        <v>0.3392</v>
      </c>
      <c r="D126">
        <v>0.31269999999999998</v>
      </c>
      <c r="E126">
        <v>0.31790000000000002</v>
      </c>
      <c r="F126">
        <v>11128245</v>
      </c>
      <c r="G126">
        <v>0.31790000000000002</v>
      </c>
      <c r="L126" t="s">
        <v>7</v>
      </c>
      <c r="M126" t="s">
        <v>8</v>
      </c>
      <c r="N126" t="s">
        <v>8</v>
      </c>
      <c r="P126">
        <f t="shared" ref="P126" si="605">IF(C126=D126,0,((E126-D126)-(C126-E126))/(C126-D126))</f>
        <v>-0.60754716981131829</v>
      </c>
      <c r="Q126">
        <f t="shared" ref="Q126" si="606">F126*P126</f>
        <v>-6760933.7547169533</v>
      </c>
      <c r="R126">
        <f t="shared" ref="R126" si="607">R127+Q126</f>
        <v>27262733.734825693</v>
      </c>
      <c r="S126">
        <f t="shared" ref="S126" si="608">R126/100000</f>
        <v>272.62733734825696</v>
      </c>
      <c r="T126">
        <f t="shared" ref="T126" si="609">S126/1000</f>
        <v>0.27262733734825695</v>
      </c>
    </row>
    <row r="127" spans="1:20" x14ac:dyDescent="0.25">
      <c r="A127" s="5">
        <v>44457</v>
      </c>
      <c r="B127">
        <v>0.32900000000000001</v>
      </c>
      <c r="C127">
        <v>0.34770000000000001</v>
      </c>
      <c r="D127">
        <v>0.3226</v>
      </c>
      <c r="E127">
        <v>0.33200000000000002</v>
      </c>
      <c r="F127">
        <v>12184130</v>
      </c>
      <c r="G127">
        <v>0.33200000000000002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-0.25099601593625376</v>
      </c>
      <c r="Q127">
        <f t="shared" ref="Q127" si="611">F127*P127</f>
        <v>-3058168.0876493873</v>
      </c>
      <c r="R127">
        <f t="shared" ref="R127" si="612">R128+Q127</f>
        <v>34023667.489542648</v>
      </c>
      <c r="S127">
        <f t="shared" ref="S127" si="613">R127/100000</f>
        <v>340.23667489542646</v>
      </c>
      <c r="T127">
        <f t="shared" ref="T127" si="614">S127/1000</f>
        <v>0.34023667489542647</v>
      </c>
    </row>
    <row r="128" spans="1:20" x14ac:dyDescent="0.25">
      <c r="A128" s="5">
        <v>44456</v>
      </c>
      <c r="B128">
        <v>0.35189999999999999</v>
      </c>
      <c r="C128">
        <v>0.35310000000000002</v>
      </c>
      <c r="D128">
        <v>0.3206</v>
      </c>
      <c r="E128">
        <v>0.32840000000000003</v>
      </c>
      <c r="F128">
        <v>19696518</v>
      </c>
      <c r="G128">
        <v>0.32840000000000003</v>
      </c>
      <c r="L128" t="s">
        <v>7</v>
      </c>
      <c r="M128" t="s">
        <v>8</v>
      </c>
      <c r="N128" t="s">
        <v>8</v>
      </c>
      <c r="P128">
        <f t="shared" ref="P128" si="615">IF(C128=D128,0,((E128-D128)-(C128-E128))/(C128-D128))</f>
        <v>-0.51999999999999869</v>
      </c>
      <c r="Q128">
        <f t="shared" ref="Q128" si="616">F128*P128</f>
        <v>-10242189.359999973</v>
      </c>
      <c r="R128">
        <f t="shared" ref="R128" si="617">R129+Q128</f>
        <v>37081835.577192038</v>
      </c>
      <c r="S128">
        <f t="shared" ref="S128" si="618">R128/100000</f>
        <v>370.81835577192038</v>
      </c>
      <c r="T128">
        <f t="shared" ref="T128" si="619">S128/1000</f>
        <v>0.3708183557719204</v>
      </c>
    </row>
    <row r="129" spans="1:20" x14ac:dyDescent="0.25">
      <c r="A129" s="5">
        <v>44455</v>
      </c>
      <c r="B129">
        <v>0.34060000000000001</v>
      </c>
      <c r="C129">
        <v>0.36909999999999998</v>
      </c>
      <c r="D129">
        <v>0.32900000000000001</v>
      </c>
      <c r="E129">
        <v>0.35210000000000002</v>
      </c>
      <c r="F129">
        <v>35535590</v>
      </c>
      <c r="G129">
        <v>0.35210000000000002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0.15211970074813103</v>
      </c>
      <c r="Q129">
        <f t="shared" ref="Q129" si="621">F129*P129</f>
        <v>5405663.316708277</v>
      </c>
      <c r="R129">
        <f t="shared" ref="R129" si="622">R130+Q129</f>
        <v>47324024.937192015</v>
      </c>
      <c r="S129">
        <f t="shared" ref="S129" si="623">R129/100000</f>
        <v>473.24024937192013</v>
      </c>
      <c r="T129">
        <f t="shared" ref="T129" si="624">S129/1000</f>
        <v>0.47324024937192011</v>
      </c>
    </row>
    <row r="130" spans="1:20" x14ac:dyDescent="0.25">
      <c r="A130" s="5">
        <v>44454</v>
      </c>
      <c r="B130">
        <v>0.32650000000000001</v>
      </c>
      <c r="C130">
        <v>0.34870000000000001</v>
      </c>
      <c r="D130">
        <v>0.31530000000000002</v>
      </c>
      <c r="E130">
        <v>0.34029999999999999</v>
      </c>
      <c r="F130">
        <v>44889195</v>
      </c>
      <c r="G130">
        <v>0.34029999999999999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0.49700598802395074</v>
      </c>
      <c r="Q130">
        <f t="shared" ref="Q130" si="626">F130*P130</f>
        <v>22310198.712574791</v>
      </c>
      <c r="R130">
        <f t="shared" ref="R130" si="627">R131+Q130</f>
        <v>41918361.620483741</v>
      </c>
      <c r="S130">
        <f t="shared" ref="S130" si="628">R130/100000</f>
        <v>419.18361620483739</v>
      </c>
      <c r="T130">
        <f t="shared" ref="T130" si="629">S130/1000</f>
        <v>0.41918361620483741</v>
      </c>
    </row>
    <row r="131" spans="1:20" x14ac:dyDescent="0.25">
      <c r="A131" s="5">
        <v>44453</v>
      </c>
      <c r="B131">
        <v>0.309</v>
      </c>
      <c r="C131">
        <v>0.32890000000000003</v>
      </c>
      <c r="D131">
        <v>0.30309999999999998</v>
      </c>
      <c r="E131">
        <v>0.3266</v>
      </c>
      <c r="F131">
        <v>14597288</v>
      </c>
      <c r="G131">
        <v>0.3266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0.82170542635658761</v>
      </c>
      <c r="Q131">
        <f t="shared" ref="Q131" si="631">F131*P131</f>
        <v>11994670.759689899</v>
      </c>
      <c r="R131">
        <f t="shared" ref="R131" si="632">R132+Q131</f>
        <v>19608162.907908954</v>
      </c>
      <c r="S131">
        <f t="shared" ref="S131" si="633">R131/100000</f>
        <v>196.08162907908954</v>
      </c>
      <c r="T131">
        <f t="shared" ref="T131" si="634">S131/1000</f>
        <v>0.19608162907908955</v>
      </c>
    </row>
    <row r="132" spans="1:20" x14ac:dyDescent="0.25">
      <c r="A132" s="5">
        <v>44452</v>
      </c>
      <c r="B132">
        <v>0.32840000000000003</v>
      </c>
      <c r="C132">
        <v>0.33579999999999999</v>
      </c>
      <c r="D132">
        <v>0.28189999999999998</v>
      </c>
      <c r="E132">
        <v>0.309</v>
      </c>
      <c r="F132">
        <v>20639384</v>
      </c>
      <c r="G132">
        <v>0.309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5.5658627087202678E-3</v>
      </c>
      <c r="Q132">
        <f t="shared" ref="Q132" si="636">F132*P132</f>
        <v>114875.97773655776</v>
      </c>
      <c r="R132">
        <f t="shared" ref="R132" si="637">R133+Q132</f>
        <v>7613492.1482190536</v>
      </c>
      <c r="S132">
        <f t="shared" ref="S132" si="638">R132/100000</f>
        <v>76.134921482190535</v>
      </c>
      <c r="T132">
        <f t="shared" ref="T132" si="639">S132/1000</f>
        <v>7.6134921482190532E-2</v>
      </c>
    </row>
    <row r="133" spans="1:20" x14ac:dyDescent="0.25">
      <c r="A133" s="5">
        <v>44451</v>
      </c>
      <c r="B133">
        <v>0.30840000000000001</v>
      </c>
      <c r="C133">
        <v>0.33329999999999999</v>
      </c>
      <c r="D133">
        <v>0.29799999999999999</v>
      </c>
      <c r="E133">
        <v>0.3286</v>
      </c>
      <c r="F133">
        <v>25769571</v>
      </c>
      <c r="G133">
        <v>0.3286</v>
      </c>
      <c r="L133" t="s">
        <v>7</v>
      </c>
      <c r="M133" t="s">
        <v>8</v>
      </c>
      <c r="N133" t="s">
        <v>7</v>
      </c>
      <c r="P133">
        <f t="shared" ref="P133" si="640">IF(C133=D133,0,((E133-D133)-(C133-E133))/(C133-D133))</f>
        <v>0.73371104815864119</v>
      </c>
      <c r="Q133">
        <f t="shared" ref="Q133" si="641">F133*P133</f>
        <v>18907418.949008524</v>
      </c>
      <c r="R133">
        <f t="shared" ref="R133" si="642">R134+Q133</f>
        <v>7498616.1704824958</v>
      </c>
      <c r="S133">
        <f t="shared" ref="S133" si="643">R133/100000</f>
        <v>74.986161704824951</v>
      </c>
      <c r="T133">
        <f t="shared" ref="T133" si="644">S133/1000</f>
        <v>7.4986161704824958E-2</v>
      </c>
    </row>
    <row r="134" spans="1:20" x14ac:dyDescent="0.25">
      <c r="A134" s="5">
        <v>44450</v>
      </c>
      <c r="B134">
        <v>0.29339999999999999</v>
      </c>
      <c r="C134">
        <v>0.34300000000000003</v>
      </c>
      <c r="D134">
        <v>0.29320000000000002</v>
      </c>
      <c r="E134">
        <v>0.30880000000000002</v>
      </c>
      <c r="F134">
        <v>55820311</v>
      </c>
      <c r="G134">
        <v>0.30880000000000002</v>
      </c>
      <c r="L134" t="s">
        <v>8</v>
      </c>
      <c r="M134" t="s">
        <v>8</v>
      </c>
      <c r="N134" t="s">
        <v>7</v>
      </c>
      <c r="P134">
        <f t="shared" ref="P134" si="645">IF(C134=D134,0,((E134-D134)-(C134-E134))/(C134-D134))</f>
        <v>-0.37349397590361449</v>
      </c>
      <c r="Q134">
        <f t="shared" ref="Q134" si="646">F134*P134</f>
        <v>-20848549.891566265</v>
      </c>
      <c r="R134">
        <f t="shared" ref="R134" si="647">R135+Q134</f>
        <v>-11408802.778526029</v>
      </c>
      <c r="S134">
        <f t="shared" ref="S134" si="648">R134/100000</f>
        <v>-114.08802778526028</v>
      </c>
      <c r="T134">
        <f t="shared" ref="T134" si="649">S134/1000</f>
        <v>-0.11408802778526028</v>
      </c>
    </row>
    <row r="135" spans="1:20" x14ac:dyDescent="0.25">
      <c r="A135" s="5">
        <v>44449</v>
      </c>
      <c r="B135">
        <v>0.307</v>
      </c>
      <c r="C135">
        <v>0.31900000000000001</v>
      </c>
      <c r="D135">
        <v>0.2802</v>
      </c>
      <c r="E135">
        <v>0.2928</v>
      </c>
      <c r="F135">
        <v>32546914</v>
      </c>
      <c r="G135">
        <v>0.2928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-0.3505154639175258</v>
      </c>
      <c r="Q135">
        <f t="shared" ref="Q135" si="651">F135*P135</f>
        <v>-11408196.659793815</v>
      </c>
      <c r="R135">
        <f t="shared" ref="R135" si="652">R136+Q135</f>
        <v>9439747.1130402368</v>
      </c>
      <c r="S135">
        <f t="shared" ref="S135" si="653">R135/100000</f>
        <v>94.397471130402366</v>
      </c>
      <c r="T135">
        <f t="shared" ref="T135" si="654">S135/1000</f>
        <v>9.4397471130402366E-2</v>
      </c>
    </row>
    <row r="136" spans="1:20" x14ac:dyDescent="0.25">
      <c r="A136" s="5">
        <v>44448</v>
      </c>
      <c r="B136">
        <v>0.30409999999999998</v>
      </c>
      <c r="C136">
        <v>0.3281</v>
      </c>
      <c r="D136">
        <v>0.29110000000000003</v>
      </c>
      <c r="E136">
        <v>0.30669999999999997</v>
      </c>
      <c r="F136">
        <v>23348625</v>
      </c>
      <c r="G136">
        <v>0.30669999999999997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-0.1567567567567591</v>
      </c>
      <c r="Q136">
        <f t="shared" ref="Q136" si="656">F136*P136</f>
        <v>-3660054.7297297842</v>
      </c>
      <c r="R136">
        <f t="shared" ref="R136" si="657">R137+Q136</f>
        <v>20847943.772834051</v>
      </c>
      <c r="S136">
        <f t="shared" ref="S136" si="658">R136/100000</f>
        <v>208.47943772834051</v>
      </c>
      <c r="T136">
        <f t="shared" ref="T136" si="659">S136/1000</f>
        <v>0.20847943772834052</v>
      </c>
    </row>
    <row r="137" spans="1:20" x14ac:dyDescent="0.25">
      <c r="A137" s="5">
        <v>44447</v>
      </c>
      <c r="B137">
        <v>0.30620000000000003</v>
      </c>
      <c r="C137">
        <v>0.31929999999999997</v>
      </c>
      <c r="D137">
        <v>0.27300000000000002</v>
      </c>
      <c r="E137">
        <v>0.3034</v>
      </c>
      <c r="F137">
        <v>28399200</v>
      </c>
      <c r="G137">
        <v>0.3034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0.31317494600432028</v>
      </c>
      <c r="Q137">
        <f t="shared" ref="Q137" si="661">F137*P137</f>
        <v>8893917.926565893</v>
      </c>
      <c r="R137">
        <f t="shared" ref="R137" si="662">R138+Q137</f>
        <v>24507998.502563834</v>
      </c>
      <c r="S137">
        <f t="shared" ref="S137" si="663">R137/100000</f>
        <v>245.07998502563834</v>
      </c>
      <c r="T137">
        <f t="shared" ref="T137" si="664">S137/1000</f>
        <v>0.24507998502563832</v>
      </c>
    </row>
    <row r="138" spans="1:20" x14ac:dyDescent="0.25">
      <c r="A138" s="5">
        <v>44446</v>
      </c>
      <c r="B138">
        <v>0.41339999999999999</v>
      </c>
      <c r="C138">
        <v>0.41899999999999998</v>
      </c>
      <c r="D138">
        <v>0.26300000000000001</v>
      </c>
      <c r="E138">
        <v>0.30580000000000002</v>
      </c>
      <c r="F138">
        <v>60230619.210000001</v>
      </c>
      <c r="G138">
        <v>0.30580000000000002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-0.45128205128205112</v>
      </c>
      <c r="Q138">
        <f t="shared" ref="Q138" si="666">F138*P138</f>
        <v>-27180997.387076914</v>
      </c>
      <c r="R138">
        <f t="shared" ref="R138" si="667">R139+Q138</f>
        <v>15614080.575997941</v>
      </c>
      <c r="S138">
        <f t="shared" ref="S138" si="668">R138/100000</f>
        <v>156.1408057599794</v>
      </c>
      <c r="T138">
        <f t="shared" ref="T138" si="669">S138/1000</f>
        <v>0.15614080575997941</v>
      </c>
    </row>
    <row r="139" spans="1:20" x14ac:dyDescent="0.25">
      <c r="A139" s="5">
        <v>44445</v>
      </c>
      <c r="B139">
        <v>0.42599999999999999</v>
      </c>
      <c r="C139">
        <v>0.43859999999999999</v>
      </c>
      <c r="D139">
        <v>0.376</v>
      </c>
      <c r="E139">
        <v>0.41370000000000001</v>
      </c>
      <c r="F139">
        <v>28266575.07</v>
      </c>
      <c r="G139">
        <v>0.41370000000000001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0.20447284345047981</v>
      </c>
      <c r="Q139">
        <f t="shared" ref="Q139" si="671">F139*P139</f>
        <v>5779746.9791693455</v>
      </c>
      <c r="R139">
        <f t="shared" ref="R139" si="672">R140+Q139</f>
        <v>42795077.963074856</v>
      </c>
      <c r="S139">
        <f t="shared" ref="S139" si="673">R139/100000</f>
        <v>427.95077963074857</v>
      </c>
      <c r="T139">
        <f t="shared" ref="T139" si="674">S139/1000</f>
        <v>0.42795077963074857</v>
      </c>
    </row>
    <row r="140" spans="1:20" x14ac:dyDescent="0.25">
      <c r="A140" s="5">
        <v>44444</v>
      </c>
      <c r="B140">
        <v>0.42399999999999999</v>
      </c>
      <c r="C140">
        <v>0.42749999999999999</v>
      </c>
      <c r="D140">
        <v>0.40710000000000002</v>
      </c>
      <c r="E140">
        <v>0.4259</v>
      </c>
      <c r="F140">
        <v>9749272</v>
      </c>
      <c r="G140">
        <v>0.4259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0.84313725490196156</v>
      </c>
      <c r="Q140">
        <f t="shared" ref="Q140" si="676">F140*P140</f>
        <v>8219974.4313725568</v>
      </c>
      <c r="R140">
        <f t="shared" ref="R140" si="677">R141+Q140</f>
        <v>37015330.983905509</v>
      </c>
      <c r="S140">
        <f t="shared" ref="S140" si="678">R140/100000</f>
        <v>370.15330983905511</v>
      </c>
      <c r="T140">
        <f t="shared" ref="T140" si="679">S140/1000</f>
        <v>0.37015330983905509</v>
      </c>
    </row>
    <row r="141" spans="1:20" x14ac:dyDescent="0.25">
      <c r="A141" s="5">
        <v>44443</v>
      </c>
      <c r="B141">
        <v>0.40939999999999999</v>
      </c>
      <c r="C141">
        <v>0.43080000000000002</v>
      </c>
      <c r="D141">
        <v>0.4078</v>
      </c>
      <c r="E141">
        <v>0.42399999999999999</v>
      </c>
      <c r="F141">
        <v>13038392</v>
      </c>
      <c r="G141">
        <v>0.42399999999999999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0.40869565217391113</v>
      </c>
      <c r="Q141">
        <f t="shared" ref="Q141" si="681">F141*P141</f>
        <v>5328734.1217391053</v>
      </c>
      <c r="R141">
        <f t="shared" ref="R141" si="682">R142+Q141</f>
        <v>28795356.552532956</v>
      </c>
      <c r="S141">
        <f t="shared" ref="S141" si="683">R141/100000</f>
        <v>287.95356552532957</v>
      </c>
      <c r="T141">
        <f t="shared" ref="T141" si="684">S141/1000</f>
        <v>0.28795356552532958</v>
      </c>
    </row>
    <row r="142" spans="1:20" x14ac:dyDescent="0.25">
      <c r="A142" s="5">
        <v>44442</v>
      </c>
      <c r="B142">
        <v>0.40629999999999999</v>
      </c>
      <c r="C142">
        <v>0.42320000000000002</v>
      </c>
      <c r="D142">
        <v>0.39200000000000002</v>
      </c>
      <c r="E142">
        <v>0.4093</v>
      </c>
      <c r="F142">
        <v>13811991</v>
      </c>
      <c r="G142">
        <v>0.4093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0.10897435897435763</v>
      </c>
      <c r="Q142">
        <f t="shared" ref="Q142" si="686">F142*P142</f>
        <v>1505152.8653845969</v>
      </c>
      <c r="R142">
        <f t="shared" ref="R142" si="687">R143+Q142</f>
        <v>23466622.430793852</v>
      </c>
      <c r="S142">
        <f t="shared" ref="S142" si="688">R142/100000</f>
        <v>234.66622430793851</v>
      </c>
      <c r="T142">
        <f t="shared" ref="T142" si="689">S142/1000</f>
        <v>0.23466622430793851</v>
      </c>
    </row>
    <row r="143" spans="1:20" x14ac:dyDescent="0.25">
      <c r="A143" s="5">
        <v>44441</v>
      </c>
      <c r="B143">
        <v>0.40789999999999998</v>
      </c>
      <c r="C143">
        <v>0.433</v>
      </c>
      <c r="D143">
        <v>0.4032</v>
      </c>
      <c r="E143">
        <v>0.40660000000000002</v>
      </c>
      <c r="F143">
        <v>17613741.050000001</v>
      </c>
      <c r="G143">
        <v>0.40660000000000002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-0.77181208053691175</v>
      </c>
      <c r="Q143">
        <f t="shared" ref="Q143" si="691">F143*P143</f>
        <v>-13594498.125838909</v>
      </c>
      <c r="R143">
        <f t="shared" ref="R143" si="692">R144+Q143</f>
        <v>21961469.565409254</v>
      </c>
      <c r="S143">
        <f t="shared" ref="S143" si="693">R143/100000</f>
        <v>219.61469565409254</v>
      </c>
      <c r="T143">
        <f t="shared" ref="T143" si="694">S143/1000</f>
        <v>0.21961469565409256</v>
      </c>
    </row>
    <row r="144" spans="1:20" x14ac:dyDescent="0.25">
      <c r="A144" s="5">
        <v>44440</v>
      </c>
      <c r="B144">
        <v>0.38940000000000002</v>
      </c>
      <c r="C144">
        <v>0.41930000000000001</v>
      </c>
      <c r="D144">
        <v>0.37109999999999999</v>
      </c>
      <c r="E144">
        <v>0.40789999999999998</v>
      </c>
      <c r="F144">
        <v>27832527.699999999</v>
      </c>
      <c r="G144">
        <v>0.40789999999999998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0.52697095435684582</v>
      </c>
      <c r="Q144">
        <f t="shared" ref="Q144" si="696">F144*P144</f>
        <v>14666933.684232347</v>
      </c>
      <c r="R144">
        <f t="shared" ref="R144" si="697">R145+Q144</f>
        <v>35555967.691248164</v>
      </c>
      <c r="S144">
        <f t="shared" ref="S144" si="698">R144/100000</f>
        <v>355.55967691248162</v>
      </c>
      <c r="T144">
        <f t="shared" ref="T144" si="699">S144/1000</f>
        <v>0.35555967691248164</v>
      </c>
    </row>
    <row r="145" spans="1:20" x14ac:dyDescent="0.25">
      <c r="A145" s="5">
        <v>44439</v>
      </c>
      <c r="B145">
        <v>0.36280000000000001</v>
      </c>
      <c r="C145">
        <v>0.39900000000000002</v>
      </c>
      <c r="D145">
        <v>0.35799999999999998</v>
      </c>
      <c r="E145">
        <v>0.38969999999999999</v>
      </c>
      <c r="F145">
        <v>17926686</v>
      </c>
      <c r="G145">
        <v>0.38969999999999999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0.54634146341463308</v>
      </c>
      <c r="Q145">
        <f t="shared" ref="Q145" si="701">F145*P145</f>
        <v>9794091.8634146154</v>
      </c>
      <c r="R145">
        <f t="shared" ref="R145" si="702">R146+Q145</f>
        <v>20889034.007015817</v>
      </c>
      <c r="S145">
        <f t="shared" ref="S145" si="703">R145/100000</f>
        <v>208.89034007015817</v>
      </c>
      <c r="T145">
        <f t="shared" ref="T145" si="704">S145/1000</f>
        <v>0.20889034007015816</v>
      </c>
    </row>
    <row r="146" spans="1:20" x14ac:dyDescent="0.25">
      <c r="A146" s="5">
        <v>44438</v>
      </c>
      <c r="B146">
        <v>0.3866</v>
      </c>
      <c r="C146">
        <v>0.38769999999999999</v>
      </c>
      <c r="D146">
        <v>0.35949999999999999</v>
      </c>
      <c r="E146">
        <v>0.3629</v>
      </c>
      <c r="F146">
        <v>9735693</v>
      </c>
      <c r="G146">
        <v>0.3629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-0.75886524822694934</v>
      </c>
      <c r="Q146">
        <f t="shared" ref="Q146" si="706">F146*P146</f>
        <v>-7388079.0851063728</v>
      </c>
      <c r="R146">
        <f t="shared" ref="R146" si="707">R147+Q146</f>
        <v>11094942.143601201</v>
      </c>
      <c r="S146">
        <f t="shared" ref="S146" si="708">R146/100000</f>
        <v>110.94942143601202</v>
      </c>
      <c r="T146">
        <f t="shared" ref="T146" si="709">S146/1000</f>
        <v>0.11094942143601201</v>
      </c>
    </row>
    <row r="147" spans="1:20" x14ac:dyDescent="0.25">
      <c r="A147" s="5">
        <v>44437</v>
      </c>
      <c r="B147">
        <v>0.38569999999999999</v>
      </c>
      <c r="C147">
        <v>0.4037</v>
      </c>
      <c r="D147">
        <v>0.36880000000000002</v>
      </c>
      <c r="E147">
        <v>0.3866</v>
      </c>
      <c r="F147">
        <v>12092511</v>
      </c>
      <c r="G147">
        <v>0.3866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2.0057306590257271E-2</v>
      </c>
      <c r="Q147">
        <f t="shared" ref="Q147" si="711">F147*P147</f>
        <v>242543.20057305854</v>
      </c>
      <c r="R147">
        <f t="shared" ref="R147" si="712">R148+Q147</f>
        <v>18483021.228707574</v>
      </c>
      <c r="S147">
        <f t="shared" ref="S147" si="713">R147/100000</f>
        <v>184.83021228707574</v>
      </c>
      <c r="T147">
        <f t="shared" ref="T147" si="714">S147/1000</f>
        <v>0.18483021228707575</v>
      </c>
    </row>
    <row r="148" spans="1:20" x14ac:dyDescent="0.25">
      <c r="A148" s="5">
        <v>44436</v>
      </c>
      <c r="B148">
        <v>0.3856</v>
      </c>
      <c r="C148">
        <v>0.40570000000000001</v>
      </c>
      <c r="D148">
        <v>0.37509999999999999</v>
      </c>
      <c r="E148">
        <v>0.3856</v>
      </c>
      <c r="F148">
        <v>11593089.09</v>
      </c>
      <c r="G148">
        <v>0.3856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-0.3137254901960782</v>
      </c>
      <c r="Q148">
        <f t="shared" ref="Q148" si="716">F148*P148</f>
        <v>-3637047.5576470559</v>
      </c>
      <c r="R148">
        <f t="shared" ref="R148" si="717">R149+Q148</f>
        <v>18240478.028134517</v>
      </c>
      <c r="S148">
        <f t="shared" ref="S148" si="718">R148/100000</f>
        <v>182.40478028134518</v>
      </c>
      <c r="T148">
        <f t="shared" ref="T148" si="719">S148/1000</f>
        <v>0.18240478028134519</v>
      </c>
    </row>
    <row r="149" spans="1:20" x14ac:dyDescent="0.25">
      <c r="A149" s="5">
        <v>44435</v>
      </c>
      <c r="B149">
        <v>0.36320000000000002</v>
      </c>
      <c r="C149">
        <v>0.38900000000000001</v>
      </c>
      <c r="D149">
        <v>0.34639999999999999</v>
      </c>
      <c r="E149">
        <v>0.38600000000000001</v>
      </c>
      <c r="F149">
        <v>12115749.15</v>
      </c>
      <c r="G149">
        <v>0.38600000000000001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0.85915492957746475</v>
      </c>
      <c r="Q149">
        <f t="shared" ref="Q149" si="721">F149*P149</f>
        <v>10409305.607746478</v>
      </c>
      <c r="R149">
        <f t="shared" ref="R149" si="722">R150+Q149</f>
        <v>21877525.585781574</v>
      </c>
      <c r="S149">
        <f t="shared" ref="S149" si="723">R149/100000</f>
        <v>218.77525585781575</v>
      </c>
      <c r="T149">
        <f t="shared" ref="T149" si="724">S149/1000</f>
        <v>0.21877525585781574</v>
      </c>
    </row>
    <row r="150" spans="1:20" x14ac:dyDescent="0.25">
      <c r="A150" s="5">
        <v>44434</v>
      </c>
      <c r="B150">
        <v>0.40920000000000001</v>
      </c>
      <c r="C150">
        <v>0.41870000000000002</v>
      </c>
      <c r="D150">
        <v>0.35239999999999999</v>
      </c>
      <c r="E150">
        <v>0.36280000000000001</v>
      </c>
      <c r="F150">
        <v>19164345</v>
      </c>
      <c r="G150">
        <v>0.36280000000000001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-0.68627450980392113</v>
      </c>
      <c r="Q150">
        <f t="shared" ref="Q150" si="726">F150*P150</f>
        <v>-13152001.470588228</v>
      </c>
      <c r="R150">
        <f t="shared" ref="R150" si="727">R151+Q150</f>
        <v>11468219.978035094</v>
      </c>
      <c r="S150">
        <f t="shared" ref="S150" si="728">R150/100000</f>
        <v>114.68219978035094</v>
      </c>
      <c r="T150">
        <f t="shared" ref="T150" si="729">S150/1000</f>
        <v>0.11468219978035094</v>
      </c>
    </row>
    <row r="151" spans="1:20" x14ac:dyDescent="0.25">
      <c r="A151" s="5">
        <v>44433</v>
      </c>
      <c r="B151">
        <v>0.38900000000000001</v>
      </c>
      <c r="C151">
        <v>0.41970000000000002</v>
      </c>
      <c r="D151">
        <v>0.37030000000000002</v>
      </c>
      <c r="E151">
        <v>0.40910000000000002</v>
      </c>
      <c r="F151">
        <v>36488422.270000003</v>
      </c>
      <c r="G151">
        <v>0.40910000000000002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0.57085020242914986</v>
      </c>
      <c r="Q151">
        <f t="shared" ref="Q151" si="731">F151*P151</f>
        <v>20829423.239149801</v>
      </c>
      <c r="R151">
        <f t="shared" ref="R151" si="732">R152+Q151</f>
        <v>24620221.448623322</v>
      </c>
      <c r="S151">
        <f t="shared" ref="S151" si="733">R151/100000</f>
        <v>246.20221448623323</v>
      </c>
      <c r="T151">
        <f t="shared" ref="T151" si="734">S151/1000</f>
        <v>0.24620221448623322</v>
      </c>
    </row>
    <row r="152" spans="1:20" x14ac:dyDescent="0.25">
      <c r="A152" s="5">
        <v>44432</v>
      </c>
      <c r="B152">
        <v>0.44340000000000002</v>
      </c>
      <c r="C152">
        <v>0.45150000000000001</v>
      </c>
      <c r="D152">
        <v>0.38319999999999999</v>
      </c>
      <c r="E152">
        <v>0.3891</v>
      </c>
      <c r="F152">
        <v>21218854.07</v>
      </c>
      <c r="G152">
        <v>0.3891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-0.82723279648609038</v>
      </c>
      <c r="Q152">
        <f t="shared" ref="Q152" si="736">F152*P152</f>
        <v>-17552931.990556359</v>
      </c>
      <c r="R152">
        <f t="shared" ref="R152" si="737">R153+Q152</f>
        <v>3790798.2094735205</v>
      </c>
      <c r="S152">
        <f t="shared" ref="S152" si="738">R152/100000</f>
        <v>37.907982094735203</v>
      </c>
      <c r="T152">
        <f t="shared" ref="T152" si="739">S152/1000</f>
        <v>3.7907982094735206E-2</v>
      </c>
    </row>
    <row r="153" spans="1:20" x14ac:dyDescent="0.25">
      <c r="A153" s="5">
        <v>44431</v>
      </c>
      <c r="B153">
        <v>0.42430000000000001</v>
      </c>
      <c r="C153">
        <v>0.4647</v>
      </c>
      <c r="D153">
        <v>0.41789999999999999</v>
      </c>
      <c r="E153">
        <v>0.44359999999999999</v>
      </c>
      <c r="F153">
        <v>28354446.539999999</v>
      </c>
      <c r="G153">
        <v>0.44359999999999999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9.8290598290598122E-2</v>
      </c>
      <c r="Q153">
        <f t="shared" ref="Q153" si="741">F153*P153</f>
        <v>2786975.5146153797</v>
      </c>
      <c r="R153">
        <f t="shared" ref="R153" si="742">R154+Q153</f>
        <v>21343730.20002988</v>
      </c>
      <c r="S153">
        <f t="shared" ref="S153" si="743">R153/100000</f>
        <v>213.43730200029879</v>
      </c>
      <c r="T153">
        <f t="shared" ref="T153" si="744">S153/1000</f>
        <v>0.21343730200029878</v>
      </c>
    </row>
    <row r="154" spans="1:20" x14ac:dyDescent="0.25">
      <c r="A154" s="5">
        <v>44430</v>
      </c>
      <c r="B154">
        <v>0.40410000000000001</v>
      </c>
      <c r="C154">
        <v>0.42359999999999998</v>
      </c>
      <c r="D154">
        <v>0.40410000000000001</v>
      </c>
      <c r="E154">
        <v>0.4178</v>
      </c>
      <c r="F154">
        <v>4503235.2300000004</v>
      </c>
      <c r="G154">
        <v>0.4178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0.40512820512820685</v>
      </c>
      <c r="Q154">
        <f t="shared" ref="Q154" si="746">F154*P154</f>
        <v>1824387.6060000081</v>
      </c>
      <c r="R154">
        <f t="shared" ref="R154" si="747">R155+Q154</f>
        <v>18556754.685414501</v>
      </c>
      <c r="S154">
        <f t="shared" ref="S154" si="748">R154/100000</f>
        <v>185.56754685414501</v>
      </c>
      <c r="T154">
        <f t="shared" ref="T154" si="749">S154/1000</f>
        <v>0.185567546854145</v>
      </c>
    </row>
    <row r="155" spans="1:20" x14ac:dyDescent="0.25">
      <c r="A155" s="5">
        <v>44429</v>
      </c>
      <c r="B155">
        <v>0.39960000000000001</v>
      </c>
      <c r="C155">
        <v>0.439</v>
      </c>
      <c r="D155">
        <v>0.3856</v>
      </c>
      <c r="E155">
        <v>0.4047</v>
      </c>
      <c r="F155">
        <v>42640776.299999997</v>
      </c>
      <c r="G155">
        <v>0.4047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-0.28464419475655411</v>
      </c>
      <c r="Q155">
        <f t="shared" ref="Q155" si="751">F155*P155</f>
        <v>-12137449.433707856</v>
      </c>
      <c r="R155">
        <f t="shared" ref="R155" si="752">R156+Q155</f>
        <v>16732367.079414494</v>
      </c>
      <c r="S155">
        <f t="shared" ref="S155" si="753">R155/100000</f>
        <v>167.32367079414493</v>
      </c>
      <c r="T155">
        <f t="shared" ref="T155" si="754">S155/1000</f>
        <v>0.16732367079414492</v>
      </c>
    </row>
    <row r="156" spans="1:20" x14ac:dyDescent="0.25">
      <c r="A156" s="5">
        <v>44428</v>
      </c>
      <c r="B156">
        <v>0.36699999999999999</v>
      </c>
      <c r="C156">
        <v>0.4012</v>
      </c>
      <c r="D156">
        <v>0.36280000000000001</v>
      </c>
      <c r="E156">
        <v>0.39950000000000002</v>
      </c>
      <c r="F156">
        <v>18434096.789999999</v>
      </c>
      <c r="G156">
        <v>0.39950000000000002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0.91145833333333437</v>
      </c>
      <c r="Q156">
        <f t="shared" ref="Q156" si="756">F156*P156</f>
        <v>16801911.136718769</v>
      </c>
      <c r="R156">
        <f t="shared" ref="R156" si="757">R157+Q156</f>
        <v>28869816.51312235</v>
      </c>
      <c r="S156">
        <f t="shared" ref="S156" si="758">R156/100000</f>
        <v>288.6981651312235</v>
      </c>
      <c r="T156">
        <f t="shared" ref="T156" si="759">S156/1000</f>
        <v>0.28869816513122348</v>
      </c>
    </row>
    <row r="157" spans="1:20" x14ac:dyDescent="0.25">
      <c r="A157" s="5">
        <v>44427</v>
      </c>
      <c r="B157">
        <v>0.33979999999999999</v>
      </c>
      <c r="C157">
        <v>0.37290000000000001</v>
      </c>
      <c r="D157">
        <v>0.3342</v>
      </c>
      <c r="E157">
        <v>0.3674</v>
      </c>
      <c r="F157">
        <v>18385865.530000001</v>
      </c>
      <c r="G157">
        <v>0.3674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0.71576227390180858</v>
      </c>
      <c r="Q157">
        <f t="shared" ref="Q157" si="761">F157*P157</f>
        <v>13159908.919405682</v>
      </c>
      <c r="R157">
        <f t="shared" ref="R157" si="762">R158+Q157</f>
        <v>12067905.376403579</v>
      </c>
      <c r="S157">
        <f t="shared" ref="S157" si="763">R157/100000</f>
        <v>120.6790537640358</v>
      </c>
      <c r="T157">
        <f t="shared" ref="T157" si="764">S157/1000</f>
        <v>0.1206790537640358</v>
      </c>
    </row>
    <row r="158" spans="1:20" x14ac:dyDescent="0.25">
      <c r="A158" s="5">
        <v>44426</v>
      </c>
      <c r="B158">
        <v>0.35489999999999999</v>
      </c>
      <c r="C158">
        <v>0.36859999999999998</v>
      </c>
      <c r="D158">
        <v>0.317</v>
      </c>
      <c r="E158">
        <v>0.33979999999999999</v>
      </c>
      <c r="F158">
        <v>34208072.829999998</v>
      </c>
      <c r="G158">
        <v>0.33979999999999999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-0.11627906976744201</v>
      </c>
      <c r="Q158">
        <f t="shared" ref="Q158" si="766">F158*P158</f>
        <v>-3977682.8872093074</v>
      </c>
      <c r="R158">
        <f t="shared" ref="R158" si="767">R159+Q158</f>
        <v>-1092003.5430021025</v>
      </c>
      <c r="S158">
        <f t="shared" ref="S158" si="768">R158/100000</f>
        <v>-10.920035430021025</v>
      </c>
      <c r="T158">
        <f t="shared" ref="T158" si="769">S158/1000</f>
        <v>-1.0920035430021026E-2</v>
      </c>
    </row>
    <row r="159" spans="1:20" x14ac:dyDescent="0.25">
      <c r="A159" s="5">
        <v>44425</v>
      </c>
      <c r="B159">
        <v>0.38290000000000002</v>
      </c>
      <c r="C159">
        <v>0.43</v>
      </c>
      <c r="D159">
        <v>0.34710000000000002</v>
      </c>
      <c r="E159">
        <v>0.35510000000000003</v>
      </c>
      <c r="F159">
        <v>42233179.399999999</v>
      </c>
      <c r="G159">
        <v>0.35510000000000003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-0.80699638118214689</v>
      </c>
      <c r="Q159">
        <f t="shared" ref="Q159" si="771">F159*P159</f>
        <v>-34082022.941616394</v>
      </c>
      <c r="R159">
        <f t="shared" ref="R159" si="772">R160+Q159</f>
        <v>2885679.3442072049</v>
      </c>
      <c r="S159">
        <f t="shared" ref="S159" si="773">R159/100000</f>
        <v>28.85679344207205</v>
      </c>
      <c r="T159">
        <f t="shared" ref="T159" si="774">S159/1000</f>
        <v>2.8856793442072051E-2</v>
      </c>
    </row>
    <row r="160" spans="1:20" x14ac:dyDescent="0.25">
      <c r="A160" s="5">
        <v>44424</v>
      </c>
      <c r="B160">
        <v>0.37280000000000002</v>
      </c>
      <c r="C160">
        <v>0.42099999999999999</v>
      </c>
      <c r="D160">
        <v>0.3654</v>
      </c>
      <c r="E160">
        <v>0.38319999999999999</v>
      </c>
      <c r="F160">
        <v>45806594.490000002</v>
      </c>
      <c r="G160">
        <v>0.38319999999999999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-0.35971223021582777</v>
      </c>
      <c r="Q160">
        <f t="shared" ref="Q160" si="776">F160*P160</f>
        <v>-16477192.262589948</v>
      </c>
      <c r="R160">
        <f t="shared" ref="R160" si="777">R161+Q160</f>
        <v>36967702.285823599</v>
      </c>
      <c r="S160">
        <f t="shared" ref="S160" si="778">R160/100000</f>
        <v>369.677022858236</v>
      </c>
      <c r="T160">
        <f t="shared" ref="T160" si="779">S160/1000</f>
        <v>0.369677022858236</v>
      </c>
    </row>
    <row r="161" spans="1:20" x14ac:dyDescent="0.25">
      <c r="A161" s="5">
        <v>44423</v>
      </c>
      <c r="B161">
        <v>0.36270000000000002</v>
      </c>
      <c r="C161">
        <v>0.37919999999999998</v>
      </c>
      <c r="D161">
        <v>0.3417</v>
      </c>
      <c r="E161">
        <v>0.37269999999999998</v>
      </c>
      <c r="F161">
        <v>25305351.440000001</v>
      </c>
      <c r="G161">
        <v>0.37269999999999998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0.65333333333333277</v>
      </c>
      <c r="Q161">
        <f t="shared" ref="Q161" si="781">F161*P161</f>
        <v>16532829.607466653</v>
      </c>
      <c r="R161">
        <f t="shared" ref="R161" si="782">R162+Q161</f>
        <v>53444894.548413545</v>
      </c>
      <c r="S161">
        <f t="shared" ref="S161" si="783">R161/100000</f>
        <v>534.44894548413549</v>
      </c>
      <c r="T161">
        <f t="shared" ref="T161" si="784">S161/1000</f>
        <v>0.53444894548413546</v>
      </c>
    </row>
    <row r="162" spans="1:20" x14ac:dyDescent="0.25">
      <c r="A162" s="5">
        <v>44422</v>
      </c>
      <c r="B162">
        <v>0.35139999999999999</v>
      </c>
      <c r="C162">
        <v>0.36509999999999998</v>
      </c>
      <c r="D162">
        <v>0.32900000000000001</v>
      </c>
      <c r="E162">
        <v>0.36259999999999998</v>
      </c>
      <c r="F162">
        <v>28963539.57</v>
      </c>
      <c r="G162">
        <v>0.36259999999999998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0.86149584487534603</v>
      </c>
      <c r="Q162">
        <f t="shared" ref="Q162" si="786">F162*P162</f>
        <v>24951968.992437668</v>
      </c>
      <c r="R162">
        <f t="shared" ref="R162" si="787">R163+Q162</f>
        <v>36912064.940946892</v>
      </c>
      <c r="S162">
        <f t="shared" ref="S162" si="788">R162/100000</f>
        <v>369.12064940946891</v>
      </c>
      <c r="T162">
        <f t="shared" ref="T162" si="789">S162/1000</f>
        <v>0.36912064940946893</v>
      </c>
    </row>
    <row r="163" spans="1:20" x14ac:dyDescent="0.25">
      <c r="A163" s="5">
        <v>44421</v>
      </c>
      <c r="B163">
        <v>0.3266</v>
      </c>
      <c r="C163">
        <v>0.35370000000000001</v>
      </c>
      <c r="D163">
        <v>0.31819999999999998</v>
      </c>
      <c r="E163">
        <v>0.35120000000000001</v>
      </c>
      <c r="F163">
        <v>19741114.870000001</v>
      </c>
      <c r="G163">
        <v>0.35120000000000001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0.85915492957746475</v>
      </c>
      <c r="Q163">
        <f t="shared" ref="Q163" si="791">F163*P163</f>
        <v>16960676.155915495</v>
      </c>
      <c r="R163">
        <f t="shared" ref="R163" si="792">R164+Q163</f>
        <v>11960095.94850922</v>
      </c>
      <c r="S163">
        <f t="shared" ref="S163" si="793">R163/100000</f>
        <v>119.6009594850922</v>
      </c>
      <c r="T163">
        <f t="shared" ref="T163" si="794">S163/1000</f>
        <v>0.11960095948509221</v>
      </c>
    </row>
    <row r="164" spans="1:20" x14ac:dyDescent="0.25">
      <c r="A164" s="5">
        <v>44420</v>
      </c>
      <c r="B164">
        <v>0.34620000000000001</v>
      </c>
      <c r="C164">
        <v>0.35870000000000002</v>
      </c>
      <c r="D164">
        <v>0.31119999999999998</v>
      </c>
      <c r="E164">
        <v>0.32669999999999999</v>
      </c>
      <c r="F164">
        <v>22668939.510000002</v>
      </c>
      <c r="G164">
        <v>0.32669999999999999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-0.3473684210526316</v>
      </c>
      <c r="Q164">
        <f t="shared" ref="Q164" si="796">F164*P164</f>
        <v>-7874473.7245263169</v>
      </c>
      <c r="R164">
        <f t="shared" ref="R164" si="797">R165+Q164</f>
        <v>-5000580.207406275</v>
      </c>
      <c r="S164">
        <f t="shared" ref="S164" si="798">R164/100000</f>
        <v>-50.00580207406275</v>
      </c>
      <c r="T164">
        <f t="shared" ref="T164" si="799">S164/1000</f>
        <v>-5.0005802074062751E-2</v>
      </c>
    </row>
    <row r="165" spans="1:20" x14ac:dyDescent="0.25">
      <c r="A165" s="5">
        <v>44419</v>
      </c>
      <c r="B165">
        <v>0.32900000000000001</v>
      </c>
      <c r="C165">
        <v>0.3674</v>
      </c>
      <c r="D165">
        <v>0.3276</v>
      </c>
      <c r="E165">
        <v>0.34620000000000001</v>
      </c>
      <c r="F165">
        <v>26641305.09</v>
      </c>
      <c r="G165">
        <v>0.34620000000000001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-6.5326633165828915E-2</v>
      </c>
      <c r="Q165">
        <f t="shared" ref="Q165" si="801">F165*P165</f>
        <v>-1740386.7646733606</v>
      </c>
      <c r="R165">
        <f t="shared" ref="R165" si="802">R166+Q165</f>
        <v>2873893.5171200419</v>
      </c>
      <c r="S165">
        <f t="shared" ref="S165" si="803">R165/100000</f>
        <v>28.738935171200417</v>
      </c>
      <c r="T165">
        <f t="shared" ref="T165" si="804">S165/1000</f>
        <v>2.8738935171200419E-2</v>
      </c>
    </row>
    <row r="166" spans="1:20" x14ac:dyDescent="0.25">
      <c r="A166" s="5">
        <v>44418</v>
      </c>
      <c r="B166">
        <v>0.3342</v>
      </c>
      <c r="C166">
        <v>0.35560000000000003</v>
      </c>
      <c r="D166">
        <v>0.31719999999999998</v>
      </c>
      <c r="E166">
        <v>0.32890000000000003</v>
      </c>
      <c r="F166">
        <v>23397032.34</v>
      </c>
      <c r="G166">
        <v>0.32890000000000003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-0.39062499999999845</v>
      </c>
      <c r="Q166">
        <f t="shared" ref="Q166" si="806">F166*P166</f>
        <v>-9139465.7578124627</v>
      </c>
      <c r="R166">
        <f t="shared" ref="R166" si="807">R167+Q166</f>
        <v>4614280.2817934025</v>
      </c>
      <c r="S166">
        <f t="shared" ref="S166" si="808">R166/100000</f>
        <v>46.142802817934026</v>
      </c>
      <c r="T166">
        <f t="shared" ref="T166" si="809">S166/1000</f>
        <v>4.6142802817934023E-2</v>
      </c>
    </row>
    <row r="167" spans="1:20" x14ac:dyDescent="0.25">
      <c r="A167" s="5">
        <v>44417</v>
      </c>
      <c r="B167">
        <v>0.30320000000000003</v>
      </c>
      <c r="C167">
        <v>0.34789999999999999</v>
      </c>
      <c r="D167">
        <v>0.29289999999999999</v>
      </c>
      <c r="E167">
        <v>0.33439999999999998</v>
      </c>
      <c r="F167">
        <v>32185670.329999998</v>
      </c>
      <c r="G167">
        <v>0.33439999999999998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0.50909090909090859</v>
      </c>
      <c r="Q167">
        <f t="shared" ref="Q167" si="811">F167*P167</f>
        <v>16385432.167999983</v>
      </c>
      <c r="R167">
        <f t="shared" ref="R167" si="812">R168+Q167</f>
        <v>13753746.039605865</v>
      </c>
      <c r="S167">
        <f t="shared" ref="S167" si="813">R167/100000</f>
        <v>137.53746039605866</v>
      </c>
      <c r="T167">
        <f t="shared" ref="T167" si="814">S167/1000</f>
        <v>0.13753746039605866</v>
      </c>
    </row>
    <row r="168" spans="1:20" x14ac:dyDescent="0.25">
      <c r="A168" s="5">
        <v>44416</v>
      </c>
      <c r="B168">
        <v>0.31059999999999999</v>
      </c>
      <c r="C168">
        <v>0.3261</v>
      </c>
      <c r="D168">
        <v>0.29260000000000003</v>
      </c>
      <c r="E168">
        <v>0.30309999999999998</v>
      </c>
      <c r="F168">
        <v>25142055.140000001</v>
      </c>
      <c r="G168">
        <v>0.30309999999999998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-0.37313432835821125</v>
      </c>
      <c r="Q168">
        <f t="shared" ref="Q168" si="816">F168*P168</f>
        <v>-9381363.8582090139</v>
      </c>
      <c r="R168">
        <f t="shared" ref="R168" si="817">R169+Q168</f>
        <v>-2631686.1283941176</v>
      </c>
      <c r="S168">
        <f t="shared" ref="S168" si="818">R168/100000</f>
        <v>-26.316861283941176</v>
      </c>
      <c r="T168">
        <f t="shared" ref="T168" si="819">S168/1000</f>
        <v>-2.6316861283941177E-2</v>
      </c>
    </row>
    <row r="169" spans="1:20" x14ac:dyDescent="0.25">
      <c r="A169" s="5">
        <v>44415</v>
      </c>
      <c r="B169">
        <v>0.31440000000000001</v>
      </c>
      <c r="C169">
        <v>0.33300000000000002</v>
      </c>
      <c r="D169">
        <v>0.29409999999999997</v>
      </c>
      <c r="E169">
        <v>0.31030000000000002</v>
      </c>
      <c r="F169">
        <v>30068485.260000002</v>
      </c>
      <c r="G169">
        <v>0.31030000000000002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-0.16709511568123245</v>
      </c>
      <c r="Q169">
        <f t="shared" ref="Q169" si="821">F169*P169</f>
        <v>-5024297.022879133</v>
      </c>
      <c r="R169">
        <f t="shared" ref="R169" si="822">R170+Q169</f>
        <v>6749677.7298148964</v>
      </c>
      <c r="S169">
        <f t="shared" ref="S169" si="823">R169/100000</f>
        <v>67.49677729814897</v>
      </c>
      <c r="T169">
        <f t="shared" ref="T169" si="824">S169/1000</f>
        <v>6.7496777298148972E-2</v>
      </c>
    </row>
    <row r="170" spans="1:20" x14ac:dyDescent="0.25">
      <c r="A170" s="5">
        <v>44414</v>
      </c>
      <c r="B170">
        <v>0.27539999999999998</v>
      </c>
      <c r="C170">
        <v>0.32979999999999998</v>
      </c>
      <c r="D170">
        <v>0.26779999999999998</v>
      </c>
      <c r="E170">
        <v>0.31430000000000002</v>
      </c>
      <c r="F170">
        <v>40478899.189999998</v>
      </c>
      <c r="G170">
        <v>0.31430000000000002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0.50000000000000133</v>
      </c>
      <c r="Q170">
        <f t="shared" ref="Q170" si="826">F170*P170</f>
        <v>20239449.595000051</v>
      </c>
      <c r="R170">
        <f t="shared" ref="R170" si="827">R171+Q170</f>
        <v>11773974.752694029</v>
      </c>
      <c r="S170">
        <f t="shared" ref="S170" si="828">R170/100000</f>
        <v>117.73974752694029</v>
      </c>
      <c r="T170">
        <f t="shared" ref="T170" si="829">S170/1000</f>
        <v>0.11773974752694029</v>
      </c>
    </row>
    <row r="171" spans="1:20" x14ac:dyDescent="0.25">
      <c r="A171" s="5">
        <v>44413</v>
      </c>
      <c r="B171">
        <v>0.26889999999999997</v>
      </c>
      <c r="C171">
        <v>0.2863</v>
      </c>
      <c r="D171">
        <v>0.2616</v>
      </c>
      <c r="E171">
        <v>0.27529999999999999</v>
      </c>
      <c r="F171">
        <v>31803770.32</v>
      </c>
      <c r="G171">
        <v>0.27529999999999999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0.10931174089068746</v>
      </c>
      <c r="Q171">
        <f t="shared" ref="Q171" si="831">F171*P171</f>
        <v>3476525.5005667764</v>
      </c>
      <c r="R171">
        <f t="shared" ref="R171" si="832">R172+Q171</f>
        <v>-8465474.8423060216</v>
      </c>
      <c r="S171">
        <f t="shared" ref="S171" si="833">R171/100000</f>
        <v>-84.654748423060212</v>
      </c>
      <c r="T171">
        <f t="shared" ref="T171" si="834">S171/1000</f>
        <v>-8.4654748423060214E-2</v>
      </c>
    </row>
    <row r="172" spans="1:20" x14ac:dyDescent="0.25">
      <c r="A172" s="5">
        <v>44412</v>
      </c>
      <c r="B172">
        <v>0.25180000000000002</v>
      </c>
      <c r="C172">
        <v>0.28499999999999998</v>
      </c>
      <c r="D172">
        <v>0.24790000000000001</v>
      </c>
      <c r="E172">
        <v>0.26869999999999999</v>
      </c>
      <c r="F172">
        <v>68638917.599999994</v>
      </c>
      <c r="G172">
        <v>0.26869999999999999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0.12129380053908377</v>
      </c>
      <c r="Q172">
        <f t="shared" ref="Q172" si="836">F172*P172</f>
        <v>8325475.1805930054</v>
      </c>
      <c r="R172">
        <f t="shared" ref="R172" si="837">R173+Q172</f>
        <v>-11942000.342872798</v>
      </c>
      <c r="S172">
        <f t="shared" ref="S172" si="838">R172/100000</f>
        <v>-119.42000342872798</v>
      </c>
      <c r="T172">
        <f t="shared" ref="T172" si="839">S172/1000</f>
        <v>-0.11942000342872798</v>
      </c>
    </row>
    <row r="173" spans="1:20" x14ac:dyDescent="0.25">
      <c r="A173" s="5">
        <v>44411</v>
      </c>
      <c r="B173">
        <v>0.24199999999999999</v>
      </c>
      <c r="C173">
        <v>0.25469999999999998</v>
      </c>
      <c r="D173">
        <v>0.22750000000000001</v>
      </c>
      <c r="E173">
        <v>0.25159999999999999</v>
      </c>
      <c r="F173">
        <v>24344948.030000001</v>
      </c>
      <c r="G173">
        <v>0.25159999999999999</v>
      </c>
      <c r="L173" t="s">
        <v>8</v>
      </c>
      <c r="M173" t="s">
        <v>7</v>
      </c>
      <c r="N173" t="s">
        <v>8</v>
      </c>
      <c r="P173">
        <f t="shared" ref="P173" si="840">IF(C173=D173,0,((E173-D173)-(C173-E173))/(C173-D173))</f>
        <v>0.77205882352941213</v>
      </c>
      <c r="Q173">
        <f t="shared" ref="Q173" si="841">F173*P173</f>
        <v>18795731.93492648</v>
      </c>
      <c r="R173">
        <f t="shared" ref="R173" si="842">R174+Q173</f>
        <v>-20267475.523465805</v>
      </c>
      <c r="S173">
        <f t="shared" ref="S173" si="843">R173/100000</f>
        <v>-202.67475523465805</v>
      </c>
      <c r="T173">
        <f t="shared" ref="T173" si="844">S173/1000</f>
        <v>-0.20267475523465805</v>
      </c>
    </row>
    <row r="174" spans="1:20" x14ac:dyDescent="0.25">
      <c r="A174" s="5">
        <v>44410</v>
      </c>
      <c r="B174">
        <v>0.23699999999999999</v>
      </c>
      <c r="C174">
        <v>0.24909999999999999</v>
      </c>
      <c r="D174">
        <v>0.23150000000000001</v>
      </c>
      <c r="E174">
        <v>0.24149999999999999</v>
      </c>
      <c r="F174">
        <v>24575389.739999998</v>
      </c>
      <c r="G174">
        <v>0.24149999999999999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0.13636363636363572</v>
      </c>
      <c r="Q174">
        <f t="shared" ref="Q174" si="846">F174*P174</f>
        <v>3351189.5099999839</v>
      </c>
      <c r="R174">
        <f t="shared" ref="R174" si="847">R175+Q174</f>
        <v>-39063207.458392285</v>
      </c>
      <c r="S174">
        <f t="shared" ref="S174" si="848">R174/100000</f>
        <v>-390.63207458392287</v>
      </c>
      <c r="T174">
        <f t="shared" ref="T174" si="849">S174/1000</f>
        <v>-0.39063207458392285</v>
      </c>
    </row>
    <row r="175" spans="1:20" x14ac:dyDescent="0.25">
      <c r="A175" s="5">
        <v>44409</v>
      </c>
      <c r="B175">
        <v>0.2472</v>
      </c>
      <c r="C175">
        <v>0.26500000000000001</v>
      </c>
      <c r="D175">
        <v>0.2306</v>
      </c>
      <c r="E175">
        <v>0.23699999999999999</v>
      </c>
      <c r="F175">
        <v>30131437.210000001</v>
      </c>
      <c r="G175">
        <v>0.23699999999999999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-0.62790697674418683</v>
      </c>
      <c r="Q175">
        <f t="shared" ref="Q175" si="851">F175*P175</f>
        <v>-18919739.643488396</v>
      </c>
      <c r="R175">
        <f t="shared" ref="R175" si="852">R176+Q175</f>
        <v>-42414396.968392268</v>
      </c>
      <c r="S175">
        <f t="shared" ref="S175" si="853">R175/100000</f>
        <v>-424.14396968392271</v>
      </c>
      <c r="T175">
        <f t="shared" ref="T175" si="854">S175/1000</f>
        <v>-0.42414396968392271</v>
      </c>
    </row>
    <row r="176" spans="1:20" x14ac:dyDescent="0.25">
      <c r="A176" s="5">
        <v>44408</v>
      </c>
      <c r="B176">
        <v>0.23719999999999999</v>
      </c>
      <c r="C176">
        <v>0.26950000000000002</v>
      </c>
      <c r="D176">
        <v>0.2321</v>
      </c>
      <c r="E176">
        <v>0.24709999999999999</v>
      </c>
      <c r="F176">
        <v>39999912.049999997</v>
      </c>
      <c r="G176">
        <v>0.24709999999999999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-0.19786096256684604</v>
      </c>
      <c r="Q176">
        <f t="shared" ref="Q176" si="856">F176*P176</f>
        <v>-7914421.1008021832</v>
      </c>
      <c r="R176">
        <f t="shared" ref="R176" si="857">R177+Q176</f>
        <v>-23494657.324903876</v>
      </c>
      <c r="S176">
        <f t="shared" ref="S176" si="858">R176/100000</f>
        <v>-234.94657324903875</v>
      </c>
      <c r="T176">
        <f t="shared" ref="T176" si="859">S176/1000</f>
        <v>-0.23494657324903875</v>
      </c>
    </row>
    <row r="177" spans="1:20" x14ac:dyDescent="0.25">
      <c r="A177" s="5">
        <v>44407</v>
      </c>
      <c r="B177">
        <v>0.24610000000000001</v>
      </c>
      <c r="C177">
        <v>0.25700000000000001</v>
      </c>
      <c r="D177">
        <v>0.217</v>
      </c>
      <c r="E177">
        <v>0.23669999999999999</v>
      </c>
      <c r="F177">
        <v>41477665.909999996</v>
      </c>
      <c r="G177">
        <v>0.23669999999999999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-1.5000000000000426E-2</v>
      </c>
      <c r="Q177">
        <f t="shared" ref="Q177" si="861">F177*P177</f>
        <v>-622164.98865001765</v>
      </c>
      <c r="R177">
        <f t="shared" ref="R177" si="862">R178+Q177</f>
        <v>-15580236.224101694</v>
      </c>
      <c r="S177">
        <f t="shared" ref="S177" si="863">R177/100000</f>
        <v>-155.80236224101694</v>
      </c>
      <c r="T177">
        <f t="shared" ref="T177" si="864">S177/1000</f>
        <v>-0.15580236224101693</v>
      </c>
    </row>
    <row r="178" spans="1:20" x14ac:dyDescent="0.25">
      <c r="A178" s="5">
        <v>44406</v>
      </c>
      <c r="B178">
        <v>0.2069</v>
      </c>
      <c r="C178">
        <v>0.25119999999999998</v>
      </c>
      <c r="D178">
        <v>0.20130000000000001</v>
      </c>
      <c r="E178">
        <v>0.2462</v>
      </c>
      <c r="F178">
        <v>75841280.219999999</v>
      </c>
      <c r="G178">
        <v>0.2462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0.79959919839679439</v>
      </c>
      <c r="Q178">
        <f t="shared" ref="Q178" si="866">F178*P178</f>
        <v>60642626.869298659</v>
      </c>
      <c r="R178">
        <f t="shared" ref="R178" si="867">R179+Q178</f>
        <v>-14958071.235451676</v>
      </c>
      <c r="S178">
        <f t="shared" ref="S178" si="868">R178/100000</f>
        <v>-149.58071235451675</v>
      </c>
      <c r="T178">
        <f t="shared" ref="T178" si="869">S178/1000</f>
        <v>-0.14958071235451675</v>
      </c>
    </row>
    <row r="179" spans="1:20" x14ac:dyDescent="0.25">
      <c r="A179" s="5">
        <v>44405</v>
      </c>
      <c r="B179">
        <v>0.2077</v>
      </c>
      <c r="C179">
        <v>0.22259999999999999</v>
      </c>
      <c r="D179">
        <v>0.19700000000000001</v>
      </c>
      <c r="E179">
        <v>0.20699999999999999</v>
      </c>
      <c r="F179">
        <v>39884471.990000002</v>
      </c>
      <c r="G179">
        <v>0.20699999999999999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-0.21875000000000097</v>
      </c>
      <c r="Q179">
        <f t="shared" ref="Q179" si="871">F179*P179</f>
        <v>-8724728.2478125393</v>
      </c>
      <c r="R179">
        <f t="shared" ref="R179" si="872">R180+Q179</f>
        <v>-75600698.104750335</v>
      </c>
      <c r="S179">
        <f t="shared" ref="S179" si="873">R179/100000</f>
        <v>-756.00698104750336</v>
      </c>
      <c r="T179">
        <f t="shared" ref="T179" si="874">S179/1000</f>
        <v>-0.75600698104750341</v>
      </c>
    </row>
    <row r="180" spans="1:20" x14ac:dyDescent="0.25">
      <c r="A180" s="5">
        <v>44404</v>
      </c>
      <c r="B180">
        <v>0.19550000000000001</v>
      </c>
      <c r="C180">
        <v>0.23</v>
      </c>
      <c r="D180">
        <v>0.18579999999999999</v>
      </c>
      <c r="E180">
        <v>0.2079</v>
      </c>
      <c r="F180">
        <v>37213066.409999996</v>
      </c>
      <c r="G180">
        <v>0.2079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</v>
      </c>
      <c r="Q180">
        <f t="shared" ref="Q180" si="876">F180*P180</f>
        <v>0</v>
      </c>
      <c r="R180">
        <f t="shared" ref="R180" si="877">R181+Q180</f>
        <v>-66875969.856937803</v>
      </c>
      <c r="S180">
        <f t="shared" ref="S180" si="878">R180/100000</f>
        <v>-668.75969856937809</v>
      </c>
      <c r="T180">
        <f t="shared" ref="T180" si="879">S180/1000</f>
        <v>-0.66875969856937811</v>
      </c>
    </row>
    <row r="181" spans="1:20" x14ac:dyDescent="0.25">
      <c r="A181" s="5">
        <v>44403</v>
      </c>
      <c r="B181">
        <v>0.2024</v>
      </c>
      <c r="C181">
        <v>0.23</v>
      </c>
      <c r="D181">
        <v>0.19489999999999999</v>
      </c>
      <c r="E181">
        <v>0.1958</v>
      </c>
      <c r="F181">
        <v>42037803.439999998</v>
      </c>
      <c r="G181">
        <v>0.1958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-0.94871794871794812</v>
      </c>
      <c r="Q181">
        <f t="shared" ref="Q181" si="881">F181*P181</f>
        <v>-39882018.648205101</v>
      </c>
      <c r="R181">
        <f t="shared" ref="R181" si="882">R182+Q181</f>
        <v>-66875969.856937803</v>
      </c>
      <c r="S181">
        <f t="shared" ref="S181" si="883">R181/100000</f>
        <v>-668.75969856937809</v>
      </c>
      <c r="T181">
        <f t="shared" ref="T181" si="884">S181/1000</f>
        <v>-0.66875969856937811</v>
      </c>
    </row>
    <row r="182" spans="1:20" x14ac:dyDescent="0.25">
      <c r="A182" s="5">
        <v>44402</v>
      </c>
      <c r="B182">
        <v>0.20519999999999999</v>
      </c>
      <c r="C182">
        <v>0.20569999999999999</v>
      </c>
      <c r="D182">
        <v>0.18809999999999999</v>
      </c>
      <c r="E182">
        <v>0.2024</v>
      </c>
      <c r="F182">
        <v>34869055.420000002</v>
      </c>
      <c r="G182">
        <v>0.2024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0.62500000000000044</v>
      </c>
      <c r="Q182">
        <f t="shared" ref="Q182" si="886">F182*P182</f>
        <v>21793159.637500018</v>
      </c>
      <c r="R182">
        <f t="shared" ref="R182" si="887">R183+Q182</f>
        <v>-26993951.208732702</v>
      </c>
      <c r="S182">
        <f t="shared" ref="S182" si="888">R182/100000</f>
        <v>-269.93951208732705</v>
      </c>
      <c r="T182">
        <f t="shared" ref="T182:T188" si="889">S182/1000</f>
        <v>-0.26993951208732703</v>
      </c>
    </row>
    <row r="183" spans="1:20" x14ac:dyDescent="0.25">
      <c r="A183" s="5">
        <v>44401</v>
      </c>
      <c r="B183">
        <v>0.1845</v>
      </c>
      <c r="C183">
        <v>0.22459999999999999</v>
      </c>
      <c r="D183">
        <v>0.18110000000000001</v>
      </c>
      <c r="E183">
        <v>0.20530000000000001</v>
      </c>
      <c r="F183">
        <v>54210918.450000003</v>
      </c>
      <c r="G183">
        <v>0.20530000000000001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0.11264367816091994</v>
      </c>
      <c r="Q183">
        <f t="shared" ref="Q183" si="891">F183*P183</f>
        <v>6106517.250689677</v>
      </c>
      <c r="R183">
        <f t="shared" ref="R183" si="892">R184+Q183</f>
        <v>-48787110.84623272</v>
      </c>
      <c r="S183">
        <f t="shared" ref="S183" si="893">R183/100000</f>
        <v>-487.87110846232719</v>
      </c>
      <c r="T183">
        <f t="shared" si="889"/>
        <v>-0.48787110846232717</v>
      </c>
    </row>
    <row r="184" spans="1:20" x14ac:dyDescent="0.25">
      <c r="A184" s="5">
        <v>44400</v>
      </c>
      <c r="B184">
        <v>0.1787</v>
      </c>
      <c r="C184">
        <v>0.188</v>
      </c>
      <c r="D184">
        <v>0.17199999999999999</v>
      </c>
      <c r="E184">
        <v>0.1845</v>
      </c>
      <c r="F184">
        <v>20635015.890000001</v>
      </c>
      <c r="G184">
        <v>0.1845</v>
      </c>
      <c r="L184" t="s">
        <v>8</v>
      </c>
      <c r="M184" t="s">
        <v>8</v>
      </c>
      <c r="N184" t="s">
        <v>7</v>
      </c>
      <c r="P184">
        <f t="shared" ref="P184" si="894">IF(C184=D184,0,((E184-D184)-(C184-E184))/(C184-D184))</f>
        <v>0.5625</v>
      </c>
      <c r="Q184">
        <f t="shared" ref="Q184" si="895">F184*P184</f>
        <v>11607196.438124999</v>
      </c>
      <c r="R184">
        <f t="shared" ref="R184" si="896">R185+Q184</f>
        <v>-54893628.096922398</v>
      </c>
      <c r="S184">
        <f t="shared" ref="S184" si="897">R184/100000</f>
        <v>-548.93628096922396</v>
      </c>
      <c r="T184">
        <f t="shared" si="889"/>
        <v>-0.54893628096922398</v>
      </c>
    </row>
    <row r="185" spans="1:20" x14ac:dyDescent="0.25">
      <c r="A185" s="5">
        <v>44399</v>
      </c>
      <c r="B185">
        <v>0.1721</v>
      </c>
      <c r="C185">
        <v>0.182</v>
      </c>
      <c r="D185">
        <v>0.1676</v>
      </c>
      <c r="E185">
        <v>0.17899999999999999</v>
      </c>
      <c r="F185">
        <v>23110147.309999999</v>
      </c>
      <c r="G185">
        <v>0.17899999999999999</v>
      </c>
      <c r="L185" t="s">
        <v>7</v>
      </c>
      <c r="M185" t="s">
        <v>8</v>
      </c>
      <c r="N185" t="s">
        <v>7</v>
      </c>
      <c r="P185">
        <f t="shared" ref="P185" si="898">IF(C185=D185,0,((E185-D185)-(C185-E185))/(C185-D185))</f>
        <v>0.58333333333333282</v>
      </c>
      <c r="Q185">
        <f t="shared" ref="Q185" si="899">F185*P185</f>
        <v>13480919.264166653</v>
      </c>
      <c r="R185">
        <f t="shared" ref="R185" si="900">R186+Q185</f>
        <v>-66500824.535047397</v>
      </c>
      <c r="S185">
        <f t="shared" ref="S185" si="901">R185/100000</f>
        <v>-665.008245350474</v>
      </c>
      <c r="T185">
        <f t="shared" si="889"/>
        <v>-0.66500824535047398</v>
      </c>
    </row>
    <row r="186" spans="1:20" x14ac:dyDescent="0.25">
      <c r="A186" s="5">
        <v>44398</v>
      </c>
      <c r="B186">
        <v>0.1532</v>
      </c>
      <c r="C186">
        <v>0.191</v>
      </c>
      <c r="D186">
        <v>0.14879999999999999</v>
      </c>
      <c r="E186">
        <v>0.17180000000000001</v>
      </c>
      <c r="F186">
        <v>37638166.75</v>
      </c>
      <c r="G186">
        <v>0.17180000000000001</v>
      </c>
      <c r="L186" t="s">
        <v>8</v>
      </c>
      <c r="M186" t="s">
        <v>8</v>
      </c>
      <c r="N186" t="s">
        <v>7</v>
      </c>
      <c r="P186">
        <f t="shared" ref="P186" si="902">IF(C186=D186,0,((E186-D186)-(C186-E186))/(C186-D186))</f>
        <v>9.0047393364929479E-2</v>
      </c>
      <c r="Q186">
        <f t="shared" ref="Q186" si="903">F186*P186</f>
        <v>3389218.8068720591</v>
      </c>
      <c r="R186">
        <f t="shared" ref="R186" si="904">R187+Q186</f>
        <v>-79981743.79921405</v>
      </c>
      <c r="S186">
        <f t="shared" ref="S186" si="905">R186/100000</f>
        <v>-799.81743799214053</v>
      </c>
      <c r="T186">
        <f t="shared" si="889"/>
        <v>-0.79981743799214056</v>
      </c>
    </row>
    <row r="187" spans="1:20" x14ac:dyDescent="0.25">
      <c r="A187" s="5">
        <v>44397</v>
      </c>
      <c r="B187">
        <v>0.16089999999999999</v>
      </c>
      <c r="C187">
        <v>0.16420000000000001</v>
      </c>
      <c r="D187">
        <v>0.14410000000000001</v>
      </c>
      <c r="E187">
        <v>0.15340000000000001</v>
      </c>
      <c r="F187">
        <v>19472899.73</v>
      </c>
      <c r="G187">
        <v>0.15340000000000001</v>
      </c>
      <c r="L187" t="s">
        <v>7</v>
      </c>
      <c r="M187" t="s">
        <v>7</v>
      </c>
      <c r="N187" t="s">
        <v>7</v>
      </c>
      <c r="P187">
        <f t="shared" ref="P187" si="906">IF(C187=D187,0,((E187-D187)-(C187-E187))/(C187-D187))</f>
        <v>-7.4626865671641826E-2</v>
      </c>
      <c r="Q187">
        <f t="shared" ref="Q187" si="907">F187*P187</f>
        <v>-1453201.4723880605</v>
      </c>
      <c r="R187">
        <f t="shared" ref="R187" si="908">R188+Q187</f>
        <v>-83370962.606086105</v>
      </c>
      <c r="S187">
        <f t="shared" ref="S187" si="909">R187/100000</f>
        <v>-833.70962606086107</v>
      </c>
      <c r="T187">
        <f t="shared" si="889"/>
        <v>-0.83370962606086108</v>
      </c>
    </row>
    <row r="188" spans="1:20" x14ac:dyDescent="0.25">
      <c r="A188" s="5">
        <v>44396</v>
      </c>
      <c r="B188">
        <v>0.17480000000000001</v>
      </c>
      <c r="C188">
        <v>0.17879999999999999</v>
      </c>
      <c r="D188">
        <v>0.1593</v>
      </c>
      <c r="E188">
        <v>0.16059999999999999</v>
      </c>
      <c r="F188">
        <v>28057715.170000002</v>
      </c>
      <c r="G188">
        <v>0</v>
      </c>
      <c r="L188" t="s">
        <v>7</v>
      </c>
      <c r="M188" t="s">
        <v>7</v>
      </c>
      <c r="N188" t="s">
        <v>7</v>
      </c>
      <c r="P188">
        <f t="shared" ref="P188" si="910">IF(C188=D188,0,((E188-D188)-(C188-E188))/(C188-D188))</f>
        <v>-0.86666666666666703</v>
      </c>
      <c r="Q188">
        <f t="shared" ref="Q188" si="911">F188*P188</f>
        <v>-24316686.480666678</v>
      </c>
      <c r="R188">
        <f t="shared" ref="R188" si="912">R189+Q188</f>
        <v>-81917761.133698046</v>
      </c>
      <c r="S188">
        <f t="shared" ref="S188" si="913">R188/100000</f>
        <v>-819.17761133698048</v>
      </c>
      <c r="T188">
        <f t="shared" si="889"/>
        <v>-0.81917761133698053</v>
      </c>
    </row>
    <row r="189" spans="1:20" x14ac:dyDescent="0.25">
      <c r="A189" s="5">
        <v>44395</v>
      </c>
      <c r="B189">
        <v>0.17660000000000001</v>
      </c>
      <c r="C189">
        <v>0.18679999999999999</v>
      </c>
      <c r="D189">
        <v>0.17230000000000001</v>
      </c>
      <c r="E189">
        <v>0.1749</v>
      </c>
      <c r="F189">
        <v>22308769.68</v>
      </c>
      <c r="G189">
        <v>0</v>
      </c>
      <c r="L189" t="s">
        <v>8</v>
      </c>
      <c r="M189" t="s">
        <v>7</v>
      </c>
      <c r="N189" t="s">
        <v>7</v>
      </c>
      <c r="P189">
        <f t="shared" ref="P189:P252" si="914">IF(C189=D189,0,((E189-D189)-(C189-E189))/(C189-D189))</f>
        <v>-0.64137931034482842</v>
      </c>
      <c r="Q189">
        <f t="shared" ref="Q189:Q252" si="915">F189*P189</f>
        <v>-14308383.312000018</v>
      </c>
      <c r="R189">
        <f t="shared" ref="R189:R252" si="916">R190+Q189</f>
        <v>-57601074.653031364</v>
      </c>
      <c r="S189">
        <f t="shared" ref="S189:S252" si="917">R189/100000</f>
        <v>-576.01074653031367</v>
      </c>
      <c r="T189">
        <f t="shared" ref="T189:T252" si="918">S189/1000</f>
        <v>-0.5760107465303137</v>
      </c>
    </row>
    <row r="190" spans="1:20" x14ac:dyDescent="0.25">
      <c r="A190" s="5">
        <v>44394</v>
      </c>
      <c r="B190">
        <v>0.1789</v>
      </c>
      <c r="C190">
        <v>0.18490000000000001</v>
      </c>
      <c r="D190">
        <v>0.17230000000000001</v>
      </c>
      <c r="E190">
        <v>0.17730000000000001</v>
      </c>
      <c r="F190">
        <v>24939645.379999999</v>
      </c>
      <c r="G190">
        <v>0</v>
      </c>
      <c r="L190" t="s">
        <v>7</v>
      </c>
      <c r="M190" t="s">
        <v>7</v>
      </c>
      <c r="N190" t="s">
        <v>7</v>
      </c>
      <c r="P190">
        <f t="shared" si="914"/>
        <v>-0.20634920634920564</v>
      </c>
      <c r="Q190">
        <f t="shared" si="915"/>
        <v>-5146276.0307936333</v>
      </c>
      <c r="R190">
        <f t="shared" si="916"/>
        <v>-43292691.341031343</v>
      </c>
      <c r="S190">
        <f t="shared" si="917"/>
        <v>-432.92691341031343</v>
      </c>
      <c r="T190">
        <f t="shared" si="918"/>
        <v>-0.43292691341031342</v>
      </c>
    </row>
    <row r="191" spans="1:20" x14ac:dyDescent="0.25">
      <c r="A191" s="5">
        <v>44393</v>
      </c>
      <c r="B191">
        <v>0.1898</v>
      </c>
      <c r="C191">
        <v>0.20499999999999999</v>
      </c>
      <c r="D191">
        <v>0.1767</v>
      </c>
      <c r="E191">
        <v>0.17910000000000001</v>
      </c>
      <c r="F191">
        <v>34407994.060000002</v>
      </c>
      <c r="G191">
        <v>0</v>
      </c>
      <c r="L191" t="s">
        <v>7</v>
      </c>
      <c r="M191" t="s">
        <v>7</v>
      </c>
      <c r="N191" t="s">
        <v>7</v>
      </c>
      <c r="P191">
        <f t="shared" si="914"/>
        <v>-0.83038869257950432</v>
      </c>
      <c r="Q191">
        <f t="shared" si="915"/>
        <v>-28572009.201766752</v>
      </c>
      <c r="R191">
        <f t="shared" si="916"/>
        <v>-38146415.310237713</v>
      </c>
      <c r="S191">
        <f t="shared" si="917"/>
        <v>-381.46415310237711</v>
      </c>
      <c r="T191">
        <f t="shared" si="918"/>
        <v>-0.38146415310237713</v>
      </c>
    </row>
    <row r="192" spans="1:20" x14ac:dyDescent="0.25">
      <c r="A192" s="5">
        <v>44392</v>
      </c>
      <c r="B192">
        <v>0.19189999999999999</v>
      </c>
      <c r="C192">
        <v>0.21099999999999999</v>
      </c>
      <c r="D192">
        <v>0.18479999999999999</v>
      </c>
      <c r="E192">
        <v>0.1898</v>
      </c>
      <c r="F192">
        <v>33737572.719999999</v>
      </c>
      <c r="G192">
        <v>0</v>
      </c>
      <c r="L192" t="s">
        <v>8</v>
      </c>
      <c r="M192" t="s">
        <v>8</v>
      </c>
      <c r="N192" t="s">
        <v>7</v>
      </c>
      <c r="P192">
        <f t="shared" si="914"/>
        <v>-0.6183206106870226</v>
      </c>
      <c r="Q192">
        <f t="shared" si="915"/>
        <v>-20860636.567328233</v>
      </c>
      <c r="R192">
        <f t="shared" si="916"/>
        <v>-9574406.1084709596</v>
      </c>
      <c r="S192">
        <f t="shared" si="917"/>
        <v>-95.7440610847096</v>
      </c>
      <c r="T192">
        <f t="shared" si="918"/>
        <v>-9.5744061084709606E-2</v>
      </c>
    </row>
    <row r="193" spans="1:20" x14ac:dyDescent="0.25">
      <c r="A193" s="5">
        <v>44391</v>
      </c>
      <c r="B193">
        <v>0.19109999999999999</v>
      </c>
      <c r="C193">
        <v>0.19439999999999999</v>
      </c>
      <c r="D193">
        <v>0.17630000000000001</v>
      </c>
      <c r="E193">
        <v>0.19159999999999999</v>
      </c>
      <c r="F193">
        <v>12495851.050000001</v>
      </c>
      <c r="G193">
        <v>0</v>
      </c>
      <c r="L193" t="s">
        <v>7</v>
      </c>
      <c r="M193" t="s">
        <v>7</v>
      </c>
      <c r="N193" t="s">
        <v>7</v>
      </c>
      <c r="P193">
        <f t="shared" si="914"/>
        <v>0.69060773480662974</v>
      </c>
      <c r="Q193">
        <f t="shared" si="915"/>
        <v>8629731.3881215472</v>
      </c>
      <c r="R193">
        <f t="shared" si="916"/>
        <v>11286230.458857274</v>
      </c>
      <c r="S193">
        <f t="shared" si="917"/>
        <v>112.86230458857274</v>
      </c>
      <c r="T193">
        <f t="shared" si="918"/>
        <v>0.11286230458857274</v>
      </c>
    </row>
    <row r="194" spans="1:20" x14ac:dyDescent="0.25">
      <c r="A194" s="5">
        <v>44390</v>
      </c>
      <c r="B194">
        <v>0.19919999999999999</v>
      </c>
      <c r="C194">
        <v>0.20180000000000001</v>
      </c>
      <c r="D194">
        <v>0.18640000000000001</v>
      </c>
      <c r="E194">
        <v>0.191</v>
      </c>
      <c r="F194">
        <v>12294935.43</v>
      </c>
      <c r="G194">
        <v>0</v>
      </c>
      <c r="L194" t="s">
        <v>7</v>
      </c>
      <c r="M194" t="s">
        <v>7</v>
      </c>
      <c r="N194" t="s">
        <v>8</v>
      </c>
      <c r="P194">
        <f t="shared" si="914"/>
        <v>-0.4025974025974034</v>
      </c>
      <c r="Q194">
        <f t="shared" si="915"/>
        <v>-4949909.0692207888</v>
      </c>
      <c r="R194">
        <f t="shared" si="916"/>
        <v>2656499.0707357265</v>
      </c>
      <c r="S194">
        <f t="shared" si="917"/>
        <v>26.564990707357264</v>
      </c>
      <c r="T194">
        <f t="shared" si="918"/>
        <v>2.6564990707357263E-2</v>
      </c>
    </row>
    <row r="195" spans="1:20" x14ac:dyDescent="0.25">
      <c r="A195" s="5">
        <v>44389</v>
      </c>
      <c r="B195">
        <v>0.20119999999999999</v>
      </c>
      <c r="C195">
        <v>0.21990000000000001</v>
      </c>
      <c r="D195">
        <v>0.1968</v>
      </c>
      <c r="E195">
        <v>0.1991</v>
      </c>
      <c r="F195">
        <v>30894095.07</v>
      </c>
      <c r="G195">
        <v>0</v>
      </c>
      <c r="L195" t="s">
        <v>8</v>
      </c>
      <c r="M195" t="s">
        <v>7</v>
      </c>
      <c r="N195" t="s">
        <v>8</v>
      </c>
      <c r="P195">
        <f t="shared" si="914"/>
        <v>-0.80086580086580128</v>
      </c>
      <c r="Q195">
        <f t="shared" si="915"/>
        <v>-24742024.190259755</v>
      </c>
      <c r="R195">
        <f t="shared" si="916"/>
        <v>7606408.1399565153</v>
      </c>
      <c r="S195">
        <f t="shared" si="917"/>
        <v>76.064081399565154</v>
      </c>
      <c r="T195">
        <f t="shared" si="918"/>
        <v>7.606408139956515E-2</v>
      </c>
    </row>
    <row r="196" spans="1:20" x14ac:dyDescent="0.25">
      <c r="A196" s="5">
        <v>44388</v>
      </c>
      <c r="B196">
        <v>0.1971</v>
      </c>
      <c r="C196">
        <v>0.2089</v>
      </c>
      <c r="D196">
        <v>0.1956</v>
      </c>
      <c r="E196">
        <v>0.2009</v>
      </c>
      <c r="F196">
        <v>12017364.109999999</v>
      </c>
      <c r="G196">
        <v>0</v>
      </c>
      <c r="L196" t="s">
        <v>8</v>
      </c>
      <c r="M196" t="s">
        <v>7</v>
      </c>
      <c r="N196" t="s">
        <v>8</v>
      </c>
      <c r="P196">
        <f t="shared" si="914"/>
        <v>-0.20300751879699297</v>
      </c>
      <c r="Q196">
        <f t="shared" si="915"/>
        <v>-2439615.2704511336</v>
      </c>
      <c r="R196">
        <f t="shared" si="916"/>
        <v>32348432.33021627</v>
      </c>
      <c r="S196">
        <f t="shared" si="917"/>
        <v>323.48432330216269</v>
      </c>
      <c r="T196">
        <f t="shared" si="918"/>
        <v>0.3234843233021627</v>
      </c>
    </row>
    <row r="197" spans="1:20" x14ac:dyDescent="0.25">
      <c r="A197" s="5">
        <v>44387</v>
      </c>
      <c r="B197">
        <v>0.20039999999999999</v>
      </c>
      <c r="C197">
        <v>0.20699999999999999</v>
      </c>
      <c r="D197">
        <v>0.1923</v>
      </c>
      <c r="E197">
        <v>0.19719999999999999</v>
      </c>
      <c r="F197">
        <v>11685960.949999999</v>
      </c>
      <c r="G197">
        <v>0</v>
      </c>
      <c r="L197" t="s">
        <v>8</v>
      </c>
      <c r="M197" t="s">
        <v>7</v>
      </c>
      <c r="N197" t="s">
        <v>8</v>
      </c>
      <c r="P197">
        <f t="shared" si="914"/>
        <v>-0.33333333333333459</v>
      </c>
      <c r="Q197">
        <f t="shared" si="915"/>
        <v>-3895320.3166666813</v>
      </c>
      <c r="R197">
        <f t="shared" si="916"/>
        <v>34788047.600667402</v>
      </c>
      <c r="S197">
        <f t="shared" si="917"/>
        <v>347.88047600667403</v>
      </c>
      <c r="T197">
        <f t="shared" si="918"/>
        <v>0.34788047600667404</v>
      </c>
    </row>
    <row r="198" spans="1:20" x14ac:dyDescent="0.25">
      <c r="A198" s="5">
        <v>44386</v>
      </c>
      <c r="B198">
        <v>0.20280000000000001</v>
      </c>
      <c r="C198">
        <v>0.2046</v>
      </c>
      <c r="D198">
        <v>0.1888</v>
      </c>
      <c r="E198">
        <v>0.2</v>
      </c>
      <c r="F198">
        <v>17959065.07</v>
      </c>
      <c r="G198">
        <v>0</v>
      </c>
      <c r="L198" t="s">
        <v>7</v>
      </c>
      <c r="M198" t="s">
        <v>7</v>
      </c>
      <c r="N198" t="s">
        <v>8</v>
      </c>
      <c r="P198">
        <f t="shared" si="914"/>
        <v>0.417721518987343</v>
      </c>
      <c r="Q198">
        <f t="shared" si="915"/>
        <v>7501887.9406329338</v>
      </c>
      <c r="R198">
        <f t="shared" si="916"/>
        <v>38683367.917334087</v>
      </c>
      <c r="S198">
        <f t="shared" si="917"/>
        <v>386.8336791733409</v>
      </c>
      <c r="T198">
        <f t="shared" si="918"/>
        <v>0.38683367917334088</v>
      </c>
    </row>
    <row r="199" spans="1:20" x14ac:dyDescent="0.25">
      <c r="A199" s="5">
        <v>44385</v>
      </c>
      <c r="B199">
        <v>0.22509999999999999</v>
      </c>
      <c r="C199">
        <v>0.2268</v>
      </c>
      <c r="D199">
        <v>0.19739999999999999</v>
      </c>
      <c r="E199">
        <v>0.2031</v>
      </c>
      <c r="F199">
        <v>34774994.68</v>
      </c>
      <c r="G199">
        <v>0</v>
      </c>
      <c r="L199" t="s">
        <v>7</v>
      </c>
      <c r="M199" t="s">
        <v>7</v>
      </c>
      <c r="N199" t="s">
        <v>8</v>
      </c>
      <c r="P199">
        <f t="shared" si="914"/>
        <v>-0.61224489795918302</v>
      </c>
      <c r="Q199">
        <f t="shared" si="915"/>
        <v>-21290813.069387734</v>
      </c>
      <c r="R199">
        <f t="shared" si="916"/>
        <v>31181479.976701155</v>
      </c>
      <c r="S199">
        <f t="shared" si="917"/>
        <v>311.81479976701155</v>
      </c>
      <c r="T199">
        <f t="shared" si="918"/>
        <v>0.31181479976701154</v>
      </c>
    </row>
    <row r="200" spans="1:20" x14ac:dyDescent="0.25">
      <c r="A200" s="5">
        <v>44384</v>
      </c>
      <c r="B200">
        <v>0.2132</v>
      </c>
      <c r="C200">
        <v>0.24249999999999999</v>
      </c>
      <c r="D200">
        <v>0.21279999999999999</v>
      </c>
      <c r="E200">
        <v>0.22570000000000001</v>
      </c>
      <c r="F200">
        <v>33610321.420000002</v>
      </c>
      <c r="G200">
        <v>0</v>
      </c>
      <c r="L200" t="s">
        <v>8</v>
      </c>
      <c r="M200" t="s">
        <v>8</v>
      </c>
      <c r="N200" t="s">
        <v>8</v>
      </c>
      <c r="P200">
        <f t="shared" si="914"/>
        <v>-0.13131313131312991</v>
      </c>
      <c r="Q200">
        <f t="shared" si="915"/>
        <v>-4413476.5501009636</v>
      </c>
      <c r="R200">
        <f t="shared" si="916"/>
        <v>52472293.046088889</v>
      </c>
      <c r="S200">
        <f t="shared" si="917"/>
        <v>524.72293046088885</v>
      </c>
      <c r="T200">
        <f t="shared" si="918"/>
        <v>0.5247229304608888</v>
      </c>
    </row>
    <row r="201" spans="1:20" x14ac:dyDescent="0.25">
      <c r="A201" s="5">
        <v>44383</v>
      </c>
      <c r="B201">
        <v>0.20530000000000001</v>
      </c>
      <c r="C201">
        <v>0.21790000000000001</v>
      </c>
      <c r="D201">
        <v>0.2029</v>
      </c>
      <c r="E201">
        <v>0.2132</v>
      </c>
      <c r="F201">
        <v>29690089.16</v>
      </c>
      <c r="G201">
        <v>0</v>
      </c>
      <c r="L201" t="s">
        <v>8</v>
      </c>
      <c r="M201" t="s">
        <v>8</v>
      </c>
      <c r="N201" t="s">
        <v>8</v>
      </c>
      <c r="P201">
        <f t="shared" si="914"/>
        <v>0.37333333333333257</v>
      </c>
      <c r="Q201">
        <f t="shared" si="915"/>
        <v>11084299.953066643</v>
      </c>
      <c r="R201">
        <f t="shared" si="916"/>
        <v>56885769.596189857</v>
      </c>
      <c r="S201">
        <f t="shared" si="917"/>
        <v>568.85769596189857</v>
      </c>
      <c r="T201">
        <f t="shared" si="918"/>
        <v>0.56885769596189861</v>
      </c>
    </row>
    <row r="202" spans="1:20" x14ac:dyDescent="0.25">
      <c r="A202" s="5">
        <v>44382</v>
      </c>
      <c r="B202">
        <v>0.21460000000000001</v>
      </c>
      <c r="C202">
        <v>0.21490000000000001</v>
      </c>
      <c r="D202">
        <v>0.1956</v>
      </c>
      <c r="E202">
        <v>0.2051</v>
      </c>
      <c r="F202">
        <v>21345485.43</v>
      </c>
      <c r="G202">
        <v>0</v>
      </c>
      <c r="L202" t="s">
        <v>7</v>
      </c>
      <c r="M202" t="s">
        <v>8</v>
      </c>
      <c r="N202" t="s">
        <v>8</v>
      </c>
      <c r="P202">
        <f t="shared" si="914"/>
        <v>-1.5544041450776919E-2</v>
      </c>
      <c r="Q202">
        <f t="shared" si="915"/>
        <v>-331795.11031087476</v>
      </c>
      <c r="R202">
        <f t="shared" si="916"/>
        <v>45801469.643123209</v>
      </c>
      <c r="S202">
        <f t="shared" si="917"/>
        <v>458.0146964312321</v>
      </c>
      <c r="T202">
        <f t="shared" si="918"/>
        <v>0.4580146964312321</v>
      </c>
    </row>
    <row r="203" spans="1:20" x14ac:dyDescent="0.25">
      <c r="A203" s="5">
        <v>44381</v>
      </c>
      <c r="B203">
        <v>0.20860000000000001</v>
      </c>
      <c r="C203">
        <v>0.22539999999999999</v>
      </c>
      <c r="D203">
        <v>0.2011</v>
      </c>
      <c r="E203">
        <v>0.21490000000000001</v>
      </c>
      <c r="F203">
        <v>24611859.100000001</v>
      </c>
      <c r="G203">
        <v>0</v>
      </c>
      <c r="L203" t="s">
        <v>8</v>
      </c>
      <c r="M203" t="s">
        <v>8</v>
      </c>
      <c r="N203" t="s">
        <v>8</v>
      </c>
      <c r="P203">
        <f t="shared" si="914"/>
        <v>0.13580246913580357</v>
      </c>
      <c r="Q203">
        <f t="shared" si="915"/>
        <v>3342351.2358024963</v>
      </c>
      <c r="R203">
        <f t="shared" si="916"/>
        <v>46133264.753434084</v>
      </c>
      <c r="S203">
        <f t="shared" si="917"/>
        <v>461.33264753434082</v>
      </c>
      <c r="T203">
        <f t="shared" si="918"/>
        <v>0.46133264753434083</v>
      </c>
    </row>
    <row r="204" spans="1:20" x14ac:dyDescent="0.25">
      <c r="A204" s="5">
        <v>44380</v>
      </c>
      <c r="B204">
        <v>0.19639999999999999</v>
      </c>
      <c r="C204">
        <v>0.20899999999999999</v>
      </c>
      <c r="D204">
        <v>0.19220000000000001</v>
      </c>
      <c r="E204">
        <v>0.2087</v>
      </c>
      <c r="F204">
        <v>14087539.57</v>
      </c>
      <c r="G204">
        <v>0</v>
      </c>
      <c r="L204" t="s">
        <v>8</v>
      </c>
      <c r="M204" t="s">
        <v>7</v>
      </c>
      <c r="N204" t="s">
        <v>8</v>
      </c>
      <c r="P204">
        <f t="shared" si="914"/>
        <v>0.96428571428571486</v>
      </c>
      <c r="Q204">
        <f t="shared" si="915"/>
        <v>13584413.156785723</v>
      </c>
      <c r="R204">
        <f t="shared" si="916"/>
        <v>42790913.51763159</v>
      </c>
      <c r="S204">
        <f t="shared" si="917"/>
        <v>427.90913517631589</v>
      </c>
      <c r="T204">
        <f t="shared" si="918"/>
        <v>0.4279091351763159</v>
      </c>
    </row>
    <row r="205" spans="1:20" x14ac:dyDescent="0.25">
      <c r="A205" s="5">
        <v>44379</v>
      </c>
      <c r="B205">
        <v>0.19470000000000001</v>
      </c>
      <c r="C205">
        <v>0.2011</v>
      </c>
      <c r="D205">
        <v>0.187</v>
      </c>
      <c r="E205">
        <v>0.1966</v>
      </c>
      <c r="F205">
        <v>18403584.77</v>
      </c>
      <c r="G205">
        <v>0</v>
      </c>
      <c r="L205" t="s">
        <v>7</v>
      </c>
      <c r="M205" t="s">
        <v>7</v>
      </c>
      <c r="N205" t="s">
        <v>8</v>
      </c>
      <c r="P205">
        <f t="shared" si="914"/>
        <v>0.36170212765957399</v>
      </c>
      <c r="Q205">
        <f t="shared" si="915"/>
        <v>6656615.7678723317</v>
      </c>
      <c r="R205">
        <f t="shared" si="916"/>
        <v>29206500.360845871</v>
      </c>
      <c r="S205">
        <f t="shared" si="917"/>
        <v>292.06500360845871</v>
      </c>
      <c r="T205">
        <f t="shared" si="918"/>
        <v>0.29206500360845872</v>
      </c>
    </row>
    <row r="206" spans="1:20" x14ac:dyDescent="0.25">
      <c r="A206" s="5">
        <v>44378</v>
      </c>
      <c r="B206">
        <v>0.21229999999999999</v>
      </c>
      <c r="C206">
        <v>0.21229999999999999</v>
      </c>
      <c r="D206">
        <v>0.19059999999999999</v>
      </c>
      <c r="E206">
        <v>0.1948</v>
      </c>
      <c r="F206">
        <v>19905825.629999999</v>
      </c>
      <c r="G206">
        <v>0</v>
      </c>
      <c r="L206" t="s">
        <v>7</v>
      </c>
      <c r="M206" t="s">
        <v>8</v>
      </c>
      <c r="N206" t="s">
        <v>8</v>
      </c>
      <c r="P206">
        <f t="shared" si="914"/>
        <v>-0.61290322580645074</v>
      </c>
      <c r="Q206">
        <f t="shared" si="915"/>
        <v>-12200344.740967724</v>
      </c>
      <c r="R206">
        <f t="shared" si="916"/>
        <v>22549884.592973541</v>
      </c>
      <c r="S206">
        <f t="shared" si="917"/>
        <v>225.49884592973541</v>
      </c>
      <c r="T206">
        <f t="shared" si="918"/>
        <v>0.2254988459297354</v>
      </c>
    </row>
    <row r="207" spans="1:20" x14ac:dyDescent="0.25">
      <c r="A207" s="5">
        <v>44377</v>
      </c>
      <c r="B207">
        <v>0.22259999999999999</v>
      </c>
      <c r="C207">
        <v>0.22309999999999999</v>
      </c>
      <c r="D207">
        <v>0.19520000000000001</v>
      </c>
      <c r="E207">
        <v>0.21199999999999999</v>
      </c>
      <c r="F207">
        <v>29083297.850000001</v>
      </c>
      <c r="G207">
        <v>0</v>
      </c>
      <c r="L207" t="s">
        <v>7</v>
      </c>
      <c r="M207" t="s">
        <v>8</v>
      </c>
      <c r="N207" t="s">
        <v>8</v>
      </c>
      <c r="P207">
        <f t="shared" si="914"/>
        <v>0.20430107526881675</v>
      </c>
      <c r="Q207">
        <f t="shared" si="915"/>
        <v>5941749.0231182668</v>
      </c>
      <c r="R207">
        <f t="shared" si="916"/>
        <v>34750229.333941266</v>
      </c>
      <c r="S207">
        <f t="shared" si="917"/>
        <v>347.50229333941263</v>
      </c>
      <c r="T207">
        <f t="shared" si="918"/>
        <v>0.34750229333941263</v>
      </c>
    </row>
    <row r="208" spans="1:20" x14ac:dyDescent="0.25">
      <c r="A208" s="5">
        <v>44376</v>
      </c>
      <c r="B208">
        <v>0.19309999999999999</v>
      </c>
      <c r="C208">
        <v>0.22869999999999999</v>
      </c>
      <c r="D208">
        <v>0.1905</v>
      </c>
      <c r="E208">
        <v>0.223</v>
      </c>
      <c r="F208">
        <v>46449467.600000001</v>
      </c>
      <c r="G208">
        <v>0</v>
      </c>
      <c r="L208" t="s">
        <v>8</v>
      </c>
      <c r="M208" t="s">
        <v>8</v>
      </c>
      <c r="N208" t="s">
        <v>8</v>
      </c>
      <c r="P208">
        <f t="shared" si="914"/>
        <v>0.70157068062827299</v>
      </c>
      <c r="Q208">
        <f t="shared" si="915"/>
        <v>32587584.598952916</v>
      </c>
      <c r="R208">
        <f t="shared" si="916"/>
        <v>28808480.310823001</v>
      </c>
      <c r="S208">
        <f t="shared" si="917"/>
        <v>288.08480310823001</v>
      </c>
      <c r="T208">
        <f t="shared" si="918"/>
        <v>0.28808480310822998</v>
      </c>
    </row>
    <row r="209" spans="1:20" x14ac:dyDescent="0.25">
      <c r="A209" s="5">
        <v>44375</v>
      </c>
      <c r="B209">
        <v>0.1832</v>
      </c>
      <c r="C209">
        <v>0.2147</v>
      </c>
      <c r="D209">
        <v>0.17879999999999999</v>
      </c>
      <c r="E209">
        <v>0.19289999999999999</v>
      </c>
      <c r="F209">
        <v>49948174.950000003</v>
      </c>
      <c r="G209">
        <v>0</v>
      </c>
      <c r="L209" t="s">
        <v>8</v>
      </c>
      <c r="M209" t="s">
        <v>8</v>
      </c>
      <c r="N209" t="s">
        <v>7</v>
      </c>
      <c r="P209">
        <f t="shared" si="914"/>
        <v>-0.21448467966573842</v>
      </c>
      <c r="Q209">
        <f t="shared" si="915"/>
        <v>-10713118.304039011</v>
      </c>
      <c r="R209">
        <f t="shared" si="916"/>
        <v>-3779104.2881299164</v>
      </c>
      <c r="S209">
        <f t="shared" si="917"/>
        <v>-37.791042881299163</v>
      </c>
      <c r="T209">
        <f t="shared" si="918"/>
        <v>-3.7791042881299163E-2</v>
      </c>
    </row>
    <row r="210" spans="1:20" x14ac:dyDescent="0.25">
      <c r="A210" s="5">
        <v>44374</v>
      </c>
      <c r="B210">
        <v>0.1726</v>
      </c>
      <c r="C210">
        <v>0.1832</v>
      </c>
      <c r="D210">
        <v>0.17</v>
      </c>
      <c r="E210">
        <v>0.18290000000000001</v>
      </c>
      <c r="F210">
        <v>13967826.810000001</v>
      </c>
      <c r="G210">
        <v>0</v>
      </c>
      <c r="L210" t="s">
        <v>8</v>
      </c>
      <c r="M210" t="s">
        <v>7</v>
      </c>
      <c r="N210" t="s">
        <v>7</v>
      </c>
      <c r="P210">
        <f t="shared" si="914"/>
        <v>0.95454545454545536</v>
      </c>
      <c r="Q210">
        <f t="shared" si="915"/>
        <v>13332925.591363648</v>
      </c>
      <c r="R210">
        <f t="shared" si="916"/>
        <v>6934014.0159090944</v>
      </c>
      <c r="S210">
        <f t="shared" si="917"/>
        <v>69.34014015909095</v>
      </c>
      <c r="T210">
        <f t="shared" si="918"/>
        <v>6.9340140159090943E-2</v>
      </c>
    </row>
    <row r="211" spans="1:20" x14ac:dyDescent="0.25">
      <c r="A211" s="5">
        <v>44373</v>
      </c>
      <c r="B211">
        <v>0.1678</v>
      </c>
      <c r="C211">
        <v>0.17899999999999999</v>
      </c>
      <c r="D211">
        <v>0.15820000000000001</v>
      </c>
      <c r="E211">
        <v>0.1726</v>
      </c>
      <c r="F211">
        <v>22769847.039999999</v>
      </c>
      <c r="G211">
        <v>0</v>
      </c>
      <c r="L211" t="s">
        <v>7</v>
      </c>
      <c r="M211" t="s">
        <v>7</v>
      </c>
      <c r="N211" t="s">
        <v>7</v>
      </c>
      <c r="P211">
        <f t="shared" si="914"/>
        <v>0.38461538461538525</v>
      </c>
      <c r="Q211">
        <f t="shared" si="915"/>
        <v>8757633.4769230913</v>
      </c>
      <c r="R211">
        <f t="shared" si="916"/>
        <v>-6398911.5754545536</v>
      </c>
      <c r="S211">
        <f t="shared" si="917"/>
        <v>-63.989115754545537</v>
      </c>
      <c r="T211">
        <f t="shared" si="918"/>
        <v>-6.3989115754545536E-2</v>
      </c>
    </row>
    <row r="212" spans="1:20" x14ac:dyDescent="0.25">
      <c r="A212" s="5">
        <v>44372</v>
      </c>
      <c r="B212">
        <v>0.19570000000000001</v>
      </c>
      <c r="C212">
        <v>0.20330000000000001</v>
      </c>
      <c r="D212">
        <v>0.16619999999999999</v>
      </c>
      <c r="E212">
        <v>0.16819999999999999</v>
      </c>
      <c r="F212">
        <v>22611285.550000001</v>
      </c>
      <c r="G212">
        <v>0</v>
      </c>
      <c r="L212" t="s">
        <v>7</v>
      </c>
      <c r="M212" t="s">
        <v>7</v>
      </c>
      <c r="N212" t="s">
        <v>7</v>
      </c>
      <c r="P212">
        <f t="shared" si="914"/>
        <v>-0.89218328840970351</v>
      </c>
      <c r="Q212">
        <f t="shared" si="915"/>
        <v>-20173411.097169813</v>
      </c>
      <c r="R212">
        <f t="shared" si="916"/>
        <v>-15156545.052377645</v>
      </c>
      <c r="S212">
        <f t="shared" si="917"/>
        <v>-151.56545052377646</v>
      </c>
      <c r="T212">
        <f t="shared" si="918"/>
        <v>-0.15156545052377646</v>
      </c>
    </row>
    <row r="213" spans="1:20" x14ac:dyDescent="0.25">
      <c r="A213" s="5">
        <v>44371</v>
      </c>
      <c r="B213">
        <v>0.1875</v>
      </c>
      <c r="C213">
        <v>0.2054</v>
      </c>
      <c r="D213">
        <v>0.17530000000000001</v>
      </c>
      <c r="E213">
        <v>0.1953</v>
      </c>
      <c r="F213">
        <v>18691207.890000001</v>
      </c>
      <c r="G213">
        <v>0</v>
      </c>
      <c r="L213" t="s">
        <v>8</v>
      </c>
      <c r="M213" t="s">
        <v>8</v>
      </c>
      <c r="N213" t="s">
        <v>7</v>
      </c>
      <c r="P213">
        <f t="shared" si="914"/>
        <v>0.32890365448504971</v>
      </c>
      <c r="Q213">
        <f t="shared" si="915"/>
        <v>6147606.5817607949</v>
      </c>
      <c r="R213">
        <f t="shared" si="916"/>
        <v>5016866.0447921688</v>
      </c>
      <c r="S213">
        <f t="shared" si="917"/>
        <v>50.168660447921688</v>
      </c>
      <c r="T213">
        <f t="shared" si="918"/>
        <v>5.016866044792169E-2</v>
      </c>
    </row>
    <row r="214" spans="1:20" x14ac:dyDescent="0.25">
      <c r="A214" s="5">
        <v>44370</v>
      </c>
      <c r="B214">
        <v>0.17</v>
      </c>
      <c r="C214">
        <v>0.19850000000000001</v>
      </c>
      <c r="D214">
        <v>0.16239999999999999</v>
      </c>
      <c r="E214">
        <v>0.18720000000000001</v>
      </c>
      <c r="F214">
        <v>29295817.039999999</v>
      </c>
      <c r="G214">
        <v>0</v>
      </c>
      <c r="L214" t="s">
        <v>8</v>
      </c>
      <c r="M214" t="s">
        <v>8</v>
      </c>
      <c r="N214" t="s">
        <v>7</v>
      </c>
      <c r="P214">
        <f t="shared" si="914"/>
        <v>0.37396121883656519</v>
      </c>
      <c r="Q214">
        <f t="shared" si="915"/>
        <v>10955499.447091416</v>
      </c>
      <c r="R214">
        <f t="shared" si="916"/>
        <v>-1130740.5369686261</v>
      </c>
      <c r="S214">
        <f t="shared" si="917"/>
        <v>-11.307405369686261</v>
      </c>
      <c r="T214">
        <f t="shared" si="918"/>
        <v>-1.1307405369686262E-2</v>
      </c>
    </row>
    <row r="215" spans="1:20" x14ac:dyDescent="0.25">
      <c r="A215" s="5">
        <v>44369</v>
      </c>
      <c r="B215">
        <v>0.2039</v>
      </c>
      <c r="C215">
        <v>0.2147</v>
      </c>
      <c r="D215">
        <v>0.15060000000000001</v>
      </c>
      <c r="E215">
        <v>0.1699</v>
      </c>
      <c r="F215">
        <v>49743600.380000003</v>
      </c>
      <c r="G215">
        <v>0</v>
      </c>
      <c r="L215" t="s">
        <v>7</v>
      </c>
      <c r="M215" t="s">
        <v>7</v>
      </c>
      <c r="N215" t="s">
        <v>7</v>
      </c>
      <c r="P215">
        <f t="shared" si="914"/>
        <v>-0.3978159126365059</v>
      </c>
      <c r="Q215">
        <f t="shared" si="915"/>
        <v>-19788795.782995343</v>
      </c>
      <c r="R215">
        <f t="shared" si="916"/>
        <v>-12086239.984060042</v>
      </c>
      <c r="S215">
        <f t="shared" si="917"/>
        <v>-120.86239984060042</v>
      </c>
      <c r="T215">
        <f t="shared" si="918"/>
        <v>-0.12086239984060042</v>
      </c>
    </row>
    <row r="216" spans="1:20" x14ac:dyDescent="0.25">
      <c r="A216" s="5">
        <v>44368</v>
      </c>
      <c r="B216">
        <v>0.2581</v>
      </c>
      <c r="C216">
        <v>0.2606</v>
      </c>
      <c r="D216">
        <v>0.19650000000000001</v>
      </c>
      <c r="E216">
        <v>0.20380000000000001</v>
      </c>
      <c r="F216">
        <v>27236867.329999998</v>
      </c>
      <c r="G216">
        <v>0</v>
      </c>
      <c r="L216" t="s">
        <v>7</v>
      </c>
      <c r="M216" t="s">
        <v>7</v>
      </c>
      <c r="N216" t="s">
        <v>7</v>
      </c>
      <c r="P216">
        <f t="shared" si="914"/>
        <v>-0.77223088923556937</v>
      </c>
      <c r="Q216">
        <f t="shared" si="915"/>
        <v>-21033150.278237127</v>
      </c>
      <c r="R216">
        <f t="shared" si="916"/>
        <v>7702555.7989353016</v>
      </c>
      <c r="S216">
        <f t="shared" si="917"/>
        <v>77.025557989353018</v>
      </c>
      <c r="T216">
        <f t="shared" si="918"/>
        <v>7.7025557989353025E-2</v>
      </c>
    </row>
    <row r="217" spans="1:20" x14ac:dyDescent="0.25">
      <c r="A217" s="5">
        <v>44367</v>
      </c>
      <c r="B217">
        <v>0.26740000000000003</v>
      </c>
      <c r="C217">
        <v>0.27160000000000001</v>
      </c>
      <c r="D217">
        <v>0.24779999999999999</v>
      </c>
      <c r="E217">
        <v>0.25800000000000001</v>
      </c>
      <c r="F217">
        <v>17477042.629999999</v>
      </c>
      <c r="G217">
        <v>0</v>
      </c>
      <c r="L217" t="s">
        <v>7</v>
      </c>
      <c r="M217" t="s">
        <v>7</v>
      </c>
      <c r="N217" t="s">
        <v>7</v>
      </c>
      <c r="P217">
        <f t="shared" si="914"/>
        <v>-0.14285714285714218</v>
      </c>
      <c r="Q217">
        <f t="shared" si="915"/>
        <v>-2496720.3757142737</v>
      </c>
      <c r="R217">
        <f t="shared" si="916"/>
        <v>28735706.077172428</v>
      </c>
      <c r="S217">
        <f t="shared" si="917"/>
        <v>287.35706077172426</v>
      </c>
      <c r="T217">
        <f t="shared" si="918"/>
        <v>0.28735706077172424</v>
      </c>
    </row>
    <row r="218" spans="1:20" x14ac:dyDescent="0.25">
      <c r="A218" s="5">
        <v>44366</v>
      </c>
      <c r="B218">
        <v>0.28349999999999997</v>
      </c>
      <c r="C218">
        <v>0.28739999999999999</v>
      </c>
      <c r="D218">
        <v>0.2661</v>
      </c>
      <c r="E218">
        <v>0.26779999999999998</v>
      </c>
      <c r="F218">
        <v>15715158.59</v>
      </c>
      <c r="G218">
        <v>0</v>
      </c>
      <c r="L218" t="s">
        <v>7</v>
      </c>
      <c r="M218" t="s">
        <v>7</v>
      </c>
      <c r="N218" t="s">
        <v>8</v>
      </c>
      <c r="P218">
        <f t="shared" si="914"/>
        <v>-0.8403755868544619</v>
      </c>
      <c r="Q218">
        <f t="shared" si="915"/>
        <v>-13206635.622582188</v>
      </c>
      <c r="R218">
        <f t="shared" si="916"/>
        <v>31232426.452886701</v>
      </c>
      <c r="S218">
        <f t="shared" si="917"/>
        <v>312.32426452886699</v>
      </c>
      <c r="T218">
        <f t="shared" si="918"/>
        <v>0.31232426452886697</v>
      </c>
    </row>
    <row r="219" spans="1:20" x14ac:dyDescent="0.25">
      <c r="A219" s="5">
        <v>44365</v>
      </c>
      <c r="B219">
        <v>0.33789999999999998</v>
      </c>
      <c r="C219">
        <v>0.33950000000000002</v>
      </c>
      <c r="D219">
        <v>0.27410000000000001</v>
      </c>
      <c r="E219">
        <v>0.28339999999999999</v>
      </c>
      <c r="F219">
        <v>23440012.760000002</v>
      </c>
      <c r="G219">
        <v>0</v>
      </c>
      <c r="L219" t="s">
        <v>7</v>
      </c>
      <c r="M219" t="s">
        <v>7</v>
      </c>
      <c r="N219" t="s">
        <v>8</v>
      </c>
      <c r="P219">
        <f t="shared" si="914"/>
        <v>-0.71559633027523017</v>
      </c>
      <c r="Q219">
        <f t="shared" si="915"/>
        <v>-16773587.11266057</v>
      </c>
      <c r="R219">
        <f t="shared" si="916"/>
        <v>44439062.07546889</v>
      </c>
      <c r="S219">
        <f t="shared" si="917"/>
        <v>444.39062075468888</v>
      </c>
      <c r="T219">
        <f t="shared" si="918"/>
        <v>0.44439062075468888</v>
      </c>
    </row>
    <row r="220" spans="1:20" x14ac:dyDescent="0.25">
      <c r="A220" s="5">
        <v>44364</v>
      </c>
      <c r="B220">
        <v>0.31009999999999999</v>
      </c>
      <c r="C220">
        <v>0.34260000000000002</v>
      </c>
      <c r="D220">
        <v>0.30880000000000002</v>
      </c>
      <c r="E220">
        <v>0.33710000000000001</v>
      </c>
      <c r="F220">
        <v>22270155.239999998</v>
      </c>
      <c r="G220">
        <v>0</v>
      </c>
      <c r="L220" t="s">
        <v>7</v>
      </c>
      <c r="M220" t="s">
        <v>8</v>
      </c>
      <c r="N220" t="s">
        <v>8</v>
      </c>
      <c r="P220">
        <f t="shared" si="914"/>
        <v>0.67455621301775115</v>
      </c>
      <c r="Q220">
        <f t="shared" si="915"/>
        <v>15022471.582011826</v>
      </c>
      <c r="R220">
        <f t="shared" si="916"/>
        <v>61212649.188129462</v>
      </c>
      <c r="S220">
        <f t="shared" si="917"/>
        <v>612.12649188129467</v>
      </c>
      <c r="T220">
        <f t="shared" si="918"/>
        <v>0.61212649188129464</v>
      </c>
    </row>
    <row r="221" spans="1:20" x14ac:dyDescent="0.25">
      <c r="A221" s="5">
        <v>44363</v>
      </c>
      <c r="B221">
        <v>0.32319999999999999</v>
      </c>
      <c r="C221">
        <v>0.35820000000000002</v>
      </c>
      <c r="D221">
        <v>0.30509999999999998</v>
      </c>
      <c r="E221">
        <v>0.31</v>
      </c>
      <c r="F221">
        <v>30436310.18</v>
      </c>
      <c r="G221">
        <v>0</v>
      </c>
      <c r="L221" t="s">
        <v>8</v>
      </c>
      <c r="M221" t="s">
        <v>8</v>
      </c>
      <c r="N221" t="s">
        <v>8</v>
      </c>
      <c r="P221">
        <f t="shared" si="914"/>
        <v>-0.81544256120527259</v>
      </c>
      <c r="Q221">
        <f t="shared" si="915"/>
        <v>-24819062.72681731</v>
      </c>
      <c r="R221">
        <f t="shared" si="916"/>
        <v>46190177.606117636</v>
      </c>
      <c r="S221">
        <f t="shared" si="917"/>
        <v>461.90177606117635</v>
      </c>
      <c r="T221">
        <f t="shared" si="918"/>
        <v>0.46190177606117633</v>
      </c>
    </row>
    <row r="222" spans="1:20" x14ac:dyDescent="0.25">
      <c r="A222" s="5">
        <v>44362</v>
      </c>
      <c r="B222">
        <v>0.31740000000000002</v>
      </c>
      <c r="C222">
        <v>0.32690000000000002</v>
      </c>
      <c r="D222">
        <v>0.30209999999999998</v>
      </c>
      <c r="E222">
        <v>0.32290000000000002</v>
      </c>
      <c r="F222">
        <v>23936109.129999999</v>
      </c>
      <c r="G222">
        <v>0</v>
      </c>
      <c r="L222" t="s">
        <v>7</v>
      </c>
      <c r="M222" t="s">
        <v>8</v>
      </c>
      <c r="N222" t="s">
        <v>7</v>
      </c>
      <c r="P222">
        <f t="shared" si="914"/>
        <v>0.67741935483870996</v>
      </c>
      <c r="Q222">
        <f t="shared" si="915"/>
        <v>16214783.604193555</v>
      </c>
      <c r="R222">
        <f t="shared" si="916"/>
        <v>71009240.332934946</v>
      </c>
      <c r="S222">
        <f t="shared" si="917"/>
        <v>710.09240332934951</v>
      </c>
      <c r="T222">
        <f t="shared" si="918"/>
        <v>0.71009240332934953</v>
      </c>
    </row>
    <row r="223" spans="1:20" x14ac:dyDescent="0.25">
      <c r="A223" s="5">
        <v>44361</v>
      </c>
      <c r="B223">
        <v>0.28610000000000002</v>
      </c>
      <c r="C223">
        <v>0.32490000000000002</v>
      </c>
      <c r="D223">
        <v>0.28260000000000002</v>
      </c>
      <c r="E223">
        <v>0.31709999999999999</v>
      </c>
      <c r="F223">
        <v>152815841.24000001</v>
      </c>
      <c r="G223">
        <v>0</v>
      </c>
      <c r="L223" t="s">
        <v>8</v>
      </c>
      <c r="M223" t="s">
        <v>8</v>
      </c>
      <c r="N223" t="s">
        <v>7</v>
      </c>
      <c r="P223">
        <f t="shared" si="914"/>
        <v>0.63120567375886394</v>
      </c>
      <c r="Q223">
        <f t="shared" si="915"/>
        <v>96458226.030921787</v>
      </c>
      <c r="R223">
        <f t="shared" si="916"/>
        <v>54794456.728741385</v>
      </c>
      <c r="S223">
        <f t="shared" si="917"/>
        <v>547.94456728741386</v>
      </c>
      <c r="T223">
        <f t="shared" si="918"/>
        <v>0.54794456728741381</v>
      </c>
    </row>
    <row r="224" spans="1:20" x14ac:dyDescent="0.25">
      <c r="A224" s="5">
        <v>44360</v>
      </c>
      <c r="B224">
        <v>0.25879999999999997</v>
      </c>
      <c r="C224">
        <v>0.29430000000000001</v>
      </c>
      <c r="D224">
        <v>0.25259999999999999</v>
      </c>
      <c r="E224">
        <v>0.28570000000000001</v>
      </c>
      <c r="F224">
        <v>12355041.689999999</v>
      </c>
      <c r="G224">
        <v>0</v>
      </c>
      <c r="L224" t="s">
        <v>8</v>
      </c>
      <c r="M224" t="s">
        <v>8</v>
      </c>
      <c r="N224" t="s">
        <v>7</v>
      </c>
      <c r="P224">
        <f t="shared" si="914"/>
        <v>0.587529976019185</v>
      </c>
      <c r="Q224">
        <f t="shared" si="915"/>
        <v>7258957.3478417303</v>
      </c>
      <c r="R224">
        <f t="shared" si="916"/>
        <v>-41663769.302180402</v>
      </c>
      <c r="S224">
        <f t="shared" si="917"/>
        <v>-416.63769302180401</v>
      </c>
      <c r="T224">
        <f t="shared" si="918"/>
        <v>-0.41663769302180403</v>
      </c>
    </row>
    <row r="225" spans="1:20" x14ac:dyDescent="0.25">
      <c r="A225" s="5">
        <v>44359</v>
      </c>
      <c r="B225">
        <v>0.27289999999999998</v>
      </c>
      <c r="C225">
        <v>0.27400000000000002</v>
      </c>
      <c r="D225">
        <v>0.2422</v>
      </c>
      <c r="E225">
        <v>0.25879999999999997</v>
      </c>
      <c r="F225">
        <v>13594370.949999999</v>
      </c>
      <c r="G225">
        <v>0</v>
      </c>
      <c r="L225" t="s">
        <v>7</v>
      </c>
      <c r="M225" t="s">
        <v>7</v>
      </c>
      <c r="N225" t="s">
        <v>7</v>
      </c>
      <c r="P225">
        <f t="shared" si="914"/>
        <v>4.4025157232702138E-2</v>
      </c>
      <c r="Q225">
        <f t="shared" si="915"/>
        <v>598494.31855342828</v>
      </c>
      <c r="R225">
        <f t="shared" si="916"/>
        <v>-48922726.650022134</v>
      </c>
      <c r="S225">
        <f t="shared" si="917"/>
        <v>-489.22726650022133</v>
      </c>
      <c r="T225">
        <f t="shared" si="918"/>
        <v>-0.48922726650022136</v>
      </c>
    </row>
    <row r="226" spans="1:20" x14ac:dyDescent="0.25">
      <c r="A226" s="5">
        <v>44358</v>
      </c>
      <c r="B226">
        <v>0.2767</v>
      </c>
      <c r="C226">
        <v>0.31209999999999999</v>
      </c>
      <c r="D226">
        <v>0.2671</v>
      </c>
      <c r="E226">
        <v>0.27229999999999999</v>
      </c>
      <c r="F226">
        <v>28956368.199999999</v>
      </c>
      <c r="G226">
        <v>0</v>
      </c>
      <c r="L226" t="s">
        <v>8</v>
      </c>
      <c r="M226" t="s">
        <v>8</v>
      </c>
      <c r="N226" t="s">
        <v>7</v>
      </c>
      <c r="P226">
        <f t="shared" si="914"/>
        <v>-0.76888888888888962</v>
      </c>
      <c r="Q226">
        <f t="shared" si="915"/>
        <v>-22264229.771555576</v>
      </c>
      <c r="R226">
        <f t="shared" si="916"/>
        <v>-49521220.96857556</v>
      </c>
      <c r="S226">
        <f t="shared" si="917"/>
        <v>-495.21220968575557</v>
      </c>
      <c r="T226">
        <f t="shared" si="918"/>
        <v>-0.49521220968575558</v>
      </c>
    </row>
    <row r="227" spans="1:20" x14ac:dyDescent="0.25">
      <c r="A227" s="5">
        <v>44357</v>
      </c>
      <c r="B227">
        <v>0.2949</v>
      </c>
      <c r="C227">
        <v>0.308</v>
      </c>
      <c r="D227">
        <v>0.27579999999999999</v>
      </c>
      <c r="E227">
        <v>0.27629999999999999</v>
      </c>
      <c r="F227">
        <v>26539037.140000001</v>
      </c>
      <c r="G227">
        <v>0</v>
      </c>
      <c r="L227" t="s">
        <v>8</v>
      </c>
      <c r="M227" t="s">
        <v>8</v>
      </c>
      <c r="N227" t="s">
        <v>7</v>
      </c>
      <c r="P227">
        <f t="shared" si="914"/>
        <v>-0.96894409937888193</v>
      </c>
      <c r="Q227">
        <f t="shared" si="915"/>
        <v>-25714843.439999998</v>
      </c>
      <c r="R227">
        <f t="shared" si="916"/>
        <v>-27256991.197019983</v>
      </c>
      <c r="S227">
        <f t="shared" si="917"/>
        <v>-272.56991197019983</v>
      </c>
      <c r="T227">
        <f t="shared" si="918"/>
        <v>-0.27256991197019981</v>
      </c>
    </row>
    <row r="228" spans="1:20" x14ac:dyDescent="0.25">
      <c r="A228" s="5">
        <v>44356</v>
      </c>
      <c r="B228">
        <v>0.27560000000000001</v>
      </c>
      <c r="C228">
        <v>0.30470000000000003</v>
      </c>
      <c r="D228">
        <v>0.2586</v>
      </c>
      <c r="E228">
        <v>0.29480000000000001</v>
      </c>
      <c r="F228">
        <v>27377740.539999999</v>
      </c>
      <c r="G228">
        <v>0</v>
      </c>
      <c r="L228" t="s">
        <v>8</v>
      </c>
      <c r="M228" t="s">
        <v>8</v>
      </c>
      <c r="N228" t="s">
        <v>7</v>
      </c>
      <c r="P228">
        <f t="shared" si="914"/>
        <v>0.57049891540130093</v>
      </c>
      <c r="Q228">
        <f t="shared" si="915"/>
        <v>15618971.284208227</v>
      </c>
      <c r="R228">
        <f t="shared" si="916"/>
        <v>-1542147.7570199855</v>
      </c>
      <c r="S228">
        <f t="shared" si="917"/>
        <v>-15.421477570199855</v>
      </c>
      <c r="T228">
        <f t="shared" si="918"/>
        <v>-1.5421477570199855E-2</v>
      </c>
    </row>
    <row r="229" spans="1:20" x14ac:dyDescent="0.25">
      <c r="A229" s="5">
        <v>44355</v>
      </c>
      <c r="B229">
        <v>0.2843</v>
      </c>
      <c r="C229">
        <v>0.29220000000000002</v>
      </c>
      <c r="D229">
        <v>0.24690000000000001</v>
      </c>
      <c r="E229">
        <v>0.27560000000000001</v>
      </c>
      <c r="F229">
        <v>27260679.719999999</v>
      </c>
      <c r="G229">
        <v>0</v>
      </c>
      <c r="L229" t="s">
        <v>7</v>
      </c>
      <c r="M229" t="s">
        <v>7</v>
      </c>
      <c r="N229" t="s">
        <v>7</v>
      </c>
      <c r="P229">
        <f t="shared" si="914"/>
        <v>0.2671081677704194</v>
      </c>
      <c r="Q229">
        <f t="shared" si="915"/>
        <v>7281550.2121854294</v>
      </c>
      <c r="R229">
        <f t="shared" si="916"/>
        <v>-17161119.041228212</v>
      </c>
      <c r="S229">
        <f t="shared" si="917"/>
        <v>-171.61119041228213</v>
      </c>
      <c r="T229">
        <f t="shared" si="918"/>
        <v>-0.17161119041228212</v>
      </c>
    </row>
    <row r="230" spans="1:20" x14ac:dyDescent="0.25">
      <c r="A230" s="5">
        <v>44354</v>
      </c>
      <c r="B230">
        <v>0.33760000000000001</v>
      </c>
      <c r="C230">
        <v>0.34899999999999998</v>
      </c>
      <c r="D230">
        <v>0.27589999999999998</v>
      </c>
      <c r="E230">
        <v>0.2843</v>
      </c>
      <c r="F230">
        <v>22663406.07</v>
      </c>
      <c r="G230">
        <v>0</v>
      </c>
      <c r="L230" t="s">
        <v>8</v>
      </c>
      <c r="M230" t="s">
        <v>7</v>
      </c>
      <c r="N230" t="s">
        <v>8</v>
      </c>
      <c r="P230">
        <f t="shared" si="914"/>
        <v>-0.77017783857729083</v>
      </c>
      <c r="Q230">
        <f t="shared" si="915"/>
        <v>-17454853.101792052</v>
      </c>
      <c r="R230">
        <f t="shared" si="916"/>
        <v>-24442669.25341364</v>
      </c>
      <c r="S230">
        <f t="shared" si="917"/>
        <v>-244.42669253413641</v>
      </c>
      <c r="T230">
        <f t="shared" si="918"/>
        <v>-0.2444266925341364</v>
      </c>
    </row>
    <row r="231" spans="1:20" x14ac:dyDescent="0.25">
      <c r="A231" s="5">
        <v>44353</v>
      </c>
      <c r="B231">
        <v>0.314</v>
      </c>
      <c r="C231">
        <v>0.34</v>
      </c>
      <c r="D231">
        <v>0.30880000000000002</v>
      </c>
      <c r="E231">
        <v>0.33700000000000002</v>
      </c>
      <c r="F231">
        <v>14964059.529999999</v>
      </c>
      <c r="G231">
        <v>0</v>
      </c>
      <c r="L231" t="s">
        <v>8</v>
      </c>
      <c r="M231" t="s">
        <v>7</v>
      </c>
      <c r="N231" t="s">
        <v>8</v>
      </c>
      <c r="P231">
        <f t="shared" si="914"/>
        <v>0.8076923076923076</v>
      </c>
      <c r="Q231">
        <f t="shared" si="915"/>
        <v>12086355.774230767</v>
      </c>
      <c r="R231">
        <f t="shared" si="916"/>
        <v>-6987816.1516215876</v>
      </c>
      <c r="S231">
        <f t="shared" si="917"/>
        <v>-69.878161516215869</v>
      </c>
      <c r="T231">
        <f t="shared" si="918"/>
        <v>-6.987816151621587E-2</v>
      </c>
    </row>
    <row r="232" spans="1:20" x14ac:dyDescent="0.25">
      <c r="A232" s="5">
        <v>44352</v>
      </c>
      <c r="B232">
        <v>0.32550000000000001</v>
      </c>
      <c r="C232">
        <v>0.35399999999999998</v>
      </c>
      <c r="D232">
        <v>0.29930000000000001</v>
      </c>
      <c r="E232">
        <v>0.31419999999999998</v>
      </c>
      <c r="F232">
        <v>28786732.739999998</v>
      </c>
      <c r="G232">
        <v>0</v>
      </c>
      <c r="L232" t="s">
        <v>7</v>
      </c>
      <c r="M232" t="s">
        <v>7</v>
      </c>
      <c r="N232" t="s">
        <v>8</v>
      </c>
      <c r="P232">
        <f t="shared" si="914"/>
        <v>-0.45521023765996427</v>
      </c>
      <c r="Q232">
        <f t="shared" si="915"/>
        <v>-13104015.452029273</v>
      </c>
      <c r="R232">
        <f t="shared" si="916"/>
        <v>-19074171.925852355</v>
      </c>
      <c r="S232">
        <f t="shared" si="917"/>
        <v>-190.74171925852355</v>
      </c>
      <c r="T232">
        <f t="shared" si="918"/>
        <v>-0.19074171925852354</v>
      </c>
    </row>
    <row r="233" spans="1:20" x14ac:dyDescent="0.25">
      <c r="A233" s="5">
        <v>44351</v>
      </c>
      <c r="B233">
        <v>0.372</v>
      </c>
      <c r="C233">
        <v>0.372</v>
      </c>
      <c r="D233">
        <v>0.30570000000000003</v>
      </c>
      <c r="E233">
        <v>0.32569999999999999</v>
      </c>
      <c r="F233">
        <v>27070375.359999999</v>
      </c>
      <c r="G233">
        <v>0</v>
      </c>
      <c r="L233" t="s">
        <v>7</v>
      </c>
      <c r="M233" t="s">
        <v>7</v>
      </c>
      <c r="N233" t="s">
        <v>8</v>
      </c>
      <c r="P233">
        <f t="shared" si="914"/>
        <v>-0.39668174962292696</v>
      </c>
      <c r="Q233">
        <f t="shared" si="915"/>
        <v>-10738323.860754171</v>
      </c>
      <c r="R233">
        <f t="shared" si="916"/>
        <v>-5970156.4738230817</v>
      </c>
      <c r="S233">
        <f t="shared" si="917"/>
        <v>-59.701564738230815</v>
      </c>
      <c r="T233">
        <f t="shared" si="918"/>
        <v>-5.9701564738230815E-2</v>
      </c>
    </row>
    <row r="234" spans="1:20" x14ac:dyDescent="0.25">
      <c r="A234" s="5">
        <v>44350</v>
      </c>
      <c r="B234">
        <v>0.34789999999999999</v>
      </c>
      <c r="C234">
        <v>0.37980000000000003</v>
      </c>
      <c r="D234">
        <v>0.33339999999999997</v>
      </c>
      <c r="E234">
        <v>0.37109999999999999</v>
      </c>
      <c r="F234">
        <v>19135067.120000001</v>
      </c>
      <c r="G234">
        <v>0</v>
      </c>
      <c r="L234" t="s">
        <v>8</v>
      </c>
      <c r="M234" t="s">
        <v>8</v>
      </c>
      <c r="N234" t="s">
        <v>8</v>
      </c>
      <c r="P234">
        <f t="shared" si="914"/>
        <v>0.62499999999999867</v>
      </c>
      <c r="Q234">
        <f t="shared" si="915"/>
        <v>11959416.949999975</v>
      </c>
      <c r="R234">
        <f t="shared" si="916"/>
        <v>4768167.3869310897</v>
      </c>
      <c r="S234">
        <f t="shared" si="917"/>
        <v>47.681673869310899</v>
      </c>
      <c r="T234">
        <f t="shared" si="918"/>
        <v>4.7681673869310902E-2</v>
      </c>
    </row>
    <row r="235" spans="1:20" x14ac:dyDescent="0.25">
      <c r="A235" s="5">
        <v>44349</v>
      </c>
      <c r="B235">
        <v>0.3281</v>
      </c>
      <c r="C235">
        <v>0.36599999999999999</v>
      </c>
      <c r="D235">
        <v>0.31230000000000002</v>
      </c>
      <c r="E235">
        <v>0.3483</v>
      </c>
      <c r="F235">
        <v>25614203.460000001</v>
      </c>
      <c r="G235">
        <v>0</v>
      </c>
      <c r="L235" t="s">
        <v>8</v>
      </c>
      <c r="M235" t="s">
        <v>8</v>
      </c>
      <c r="N235" t="s">
        <v>8</v>
      </c>
      <c r="P235">
        <f t="shared" si="914"/>
        <v>0.3407821229050278</v>
      </c>
      <c r="Q235">
        <f t="shared" si="915"/>
        <v>8728862.6316201091</v>
      </c>
      <c r="R235">
        <f t="shared" si="916"/>
        <v>-7191249.5630688854</v>
      </c>
      <c r="S235">
        <f t="shared" si="917"/>
        <v>-71.912495630688852</v>
      </c>
      <c r="T235">
        <f t="shared" si="918"/>
        <v>-7.1912495630688855E-2</v>
      </c>
    </row>
    <row r="236" spans="1:20" x14ac:dyDescent="0.25">
      <c r="A236" s="5">
        <v>44348</v>
      </c>
      <c r="B236">
        <v>0.32950000000000002</v>
      </c>
      <c r="C236">
        <v>0.34570000000000001</v>
      </c>
      <c r="D236">
        <v>0.31109999999999999</v>
      </c>
      <c r="E236">
        <v>0.32840000000000003</v>
      </c>
      <c r="F236">
        <v>18753827.300000001</v>
      </c>
      <c r="G236">
        <v>0</v>
      </c>
      <c r="L236" t="s">
        <v>7</v>
      </c>
      <c r="M236" t="s">
        <v>8</v>
      </c>
      <c r="N236" t="s">
        <v>7</v>
      </c>
      <c r="P236">
        <f t="shared" si="914"/>
        <v>1.604368532695312E-15</v>
      </c>
      <c r="Q236">
        <f t="shared" si="915"/>
        <v>3.0088050387722285E-8</v>
      </c>
      <c r="R236">
        <f t="shared" si="916"/>
        <v>-15920112.194688994</v>
      </c>
      <c r="S236">
        <f t="shared" si="917"/>
        <v>-159.20112194688994</v>
      </c>
      <c r="T236">
        <f t="shared" si="918"/>
        <v>-0.15920112194688993</v>
      </c>
    </row>
    <row r="237" spans="1:20" x14ac:dyDescent="0.25">
      <c r="A237" s="5">
        <v>44347</v>
      </c>
      <c r="B237">
        <v>0.30969999999999998</v>
      </c>
      <c r="C237">
        <v>0.34599999999999997</v>
      </c>
      <c r="D237">
        <v>0.28610000000000002</v>
      </c>
      <c r="E237">
        <v>0.32969999999999999</v>
      </c>
      <c r="F237">
        <v>35475036.340000004</v>
      </c>
      <c r="G237">
        <v>0</v>
      </c>
      <c r="L237" t="s">
        <v>8</v>
      </c>
      <c r="M237" t="s">
        <v>8</v>
      </c>
      <c r="N237" t="s">
        <v>7</v>
      </c>
      <c r="P237">
        <f t="shared" si="914"/>
        <v>0.45575959933222054</v>
      </c>
      <c r="Q237">
        <f t="shared" si="915"/>
        <v>16168088.348614365</v>
      </c>
      <c r="R237">
        <f t="shared" si="916"/>
        <v>-15920112.194689024</v>
      </c>
      <c r="S237">
        <f t="shared" si="917"/>
        <v>-159.20112194689025</v>
      </c>
      <c r="T237">
        <f t="shared" si="918"/>
        <v>-0.15920112194689026</v>
      </c>
    </row>
    <row r="238" spans="1:20" x14ac:dyDescent="0.25">
      <c r="A238" s="5">
        <v>44346</v>
      </c>
      <c r="B238">
        <v>0.27629999999999999</v>
      </c>
      <c r="C238">
        <v>0.31630000000000003</v>
      </c>
      <c r="D238">
        <v>0.25580000000000003</v>
      </c>
      <c r="E238">
        <v>0.31</v>
      </c>
      <c r="F238">
        <v>26101243.620000001</v>
      </c>
      <c r="G238">
        <v>0</v>
      </c>
      <c r="L238" t="s">
        <v>8</v>
      </c>
      <c r="M238" t="s">
        <v>8</v>
      </c>
      <c r="N238" t="s">
        <v>7</v>
      </c>
      <c r="P238">
        <f t="shared" si="914"/>
        <v>0.79173553719008172</v>
      </c>
      <c r="Q238">
        <f t="shared" si="915"/>
        <v>20665282.138809893</v>
      </c>
      <c r="R238">
        <f t="shared" si="916"/>
        <v>-32088200.543303389</v>
      </c>
      <c r="S238">
        <f t="shared" si="917"/>
        <v>-320.8820054330339</v>
      </c>
      <c r="T238">
        <f t="shared" si="918"/>
        <v>-0.32088200543303391</v>
      </c>
    </row>
    <row r="239" spans="1:20" x14ac:dyDescent="0.25">
      <c r="A239" s="5">
        <v>44345</v>
      </c>
      <c r="B239">
        <v>0.31559999999999999</v>
      </c>
      <c r="C239">
        <v>0.33700000000000002</v>
      </c>
      <c r="D239">
        <v>0.25819999999999999</v>
      </c>
      <c r="E239">
        <v>0.27610000000000001</v>
      </c>
      <c r="F239">
        <v>24402629.23</v>
      </c>
      <c r="G239">
        <v>0</v>
      </c>
      <c r="L239" t="s">
        <v>7</v>
      </c>
      <c r="M239" t="s">
        <v>7</v>
      </c>
      <c r="N239" t="s">
        <v>7</v>
      </c>
      <c r="P239">
        <f t="shared" si="914"/>
        <v>-0.54568527918781673</v>
      </c>
      <c r="Q239">
        <f t="shared" si="915"/>
        <v>-13316155.544289328</v>
      </c>
      <c r="R239">
        <f t="shared" si="916"/>
        <v>-52753482.682113282</v>
      </c>
      <c r="S239">
        <f t="shared" si="917"/>
        <v>-527.53482682113281</v>
      </c>
      <c r="T239">
        <f t="shared" si="918"/>
        <v>-0.52753482682113284</v>
      </c>
    </row>
    <row r="240" spans="1:20" x14ac:dyDescent="0.25">
      <c r="A240" s="5">
        <v>44344</v>
      </c>
      <c r="B240">
        <v>0.36799999999999999</v>
      </c>
      <c r="C240">
        <v>0.37730000000000002</v>
      </c>
      <c r="D240">
        <v>0.28670000000000001</v>
      </c>
      <c r="E240">
        <v>0.31559999999999999</v>
      </c>
      <c r="F240">
        <v>42796873.789999999</v>
      </c>
      <c r="G240">
        <v>0</v>
      </c>
      <c r="L240" t="s">
        <v>7</v>
      </c>
      <c r="M240" t="s">
        <v>7</v>
      </c>
      <c r="N240" t="s">
        <v>7</v>
      </c>
      <c r="P240">
        <f t="shared" si="914"/>
        <v>-0.36203090507726321</v>
      </c>
      <c r="Q240">
        <f t="shared" si="915"/>
        <v>-15493790.952671103</v>
      </c>
      <c r="R240">
        <f t="shared" si="916"/>
        <v>-39437327.137823954</v>
      </c>
      <c r="S240">
        <f t="shared" si="917"/>
        <v>-394.37327137823956</v>
      </c>
      <c r="T240">
        <f t="shared" si="918"/>
        <v>-0.39437327137823958</v>
      </c>
    </row>
    <row r="241" spans="1:20" x14ac:dyDescent="0.25">
      <c r="A241" s="5">
        <v>44343</v>
      </c>
      <c r="B241">
        <v>0.37819999999999998</v>
      </c>
      <c r="C241">
        <v>0.39489999999999997</v>
      </c>
      <c r="D241">
        <v>0.32079999999999997</v>
      </c>
      <c r="E241">
        <v>0.36809999999999998</v>
      </c>
      <c r="F241">
        <v>36855217.259999998</v>
      </c>
      <c r="G241">
        <v>0</v>
      </c>
      <c r="L241" t="s">
        <v>7</v>
      </c>
      <c r="M241" t="s">
        <v>7</v>
      </c>
      <c r="N241" t="s">
        <v>8</v>
      </c>
      <c r="P241">
        <f t="shared" si="914"/>
        <v>0.27665317139001372</v>
      </c>
      <c r="Q241">
        <f t="shared" si="915"/>
        <v>10196112.737246972</v>
      </c>
      <c r="R241">
        <f t="shared" si="916"/>
        <v>-23943536.185152855</v>
      </c>
      <c r="S241">
        <f t="shared" si="917"/>
        <v>-239.43536185152854</v>
      </c>
      <c r="T241">
        <f t="shared" si="918"/>
        <v>-0.23943536185152853</v>
      </c>
    </row>
    <row r="242" spans="1:20" x14ac:dyDescent="0.25">
      <c r="A242" s="5">
        <v>44342</v>
      </c>
      <c r="B242">
        <v>0.29680000000000001</v>
      </c>
      <c r="C242">
        <v>0.39900000000000002</v>
      </c>
      <c r="D242">
        <v>0.28920000000000001</v>
      </c>
      <c r="E242">
        <v>0.3785</v>
      </c>
      <c r="F242">
        <v>49257701</v>
      </c>
      <c r="G242">
        <v>0</v>
      </c>
      <c r="L242" t="s">
        <v>8</v>
      </c>
      <c r="M242" t="s">
        <v>8</v>
      </c>
      <c r="N242" t="s">
        <v>8</v>
      </c>
      <c r="P242">
        <f t="shared" si="914"/>
        <v>0.62659380692167543</v>
      </c>
      <c r="Q242">
        <f t="shared" si="915"/>
        <v>30864570.389799617</v>
      </c>
      <c r="R242">
        <f t="shared" si="916"/>
        <v>-34139648.922399826</v>
      </c>
      <c r="S242">
        <f t="shared" si="917"/>
        <v>-341.39648922399829</v>
      </c>
      <c r="T242">
        <f t="shared" si="918"/>
        <v>-0.34139648922399829</v>
      </c>
    </row>
    <row r="243" spans="1:20" x14ac:dyDescent="0.25">
      <c r="A243" s="5">
        <v>44341</v>
      </c>
      <c r="B243">
        <v>0.29880000000000001</v>
      </c>
      <c r="C243">
        <v>0.31380000000000002</v>
      </c>
      <c r="D243">
        <v>0.2591</v>
      </c>
      <c r="E243">
        <v>0.29680000000000001</v>
      </c>
      <c r="F243">
        <v>21041280.329999998</v>
      </c>
      <c r="G243">
        <v>0</v>
      </c>
      <c r="L243" t="s">
        <v>8</v>
      </c>
      <c r="M243" t="s">
        <v>8</v>
      </c>
      <c r="N243" t="s">
        <v>8</v>
      </c>
      <c r="P243">
        <f t="shared" si="914"/>
        <v>0.37842778793418624</v>
      </c>
      <c r="Q243">
        <f t="shared" si="915"/>
        <v>7962605.1705850037</v>
      </c>
      <c r="R243">
        <f t="shared" si="916"/>
        <v>-65004219.312199444</v>
      </c>
      <c r="S243">
        <f t="shared" si="917"/>
        <v>-650.04219312199439</v>
      </c>
      <c r="T243">
        <f t="shared" si="918"/>
        <v>-0.6500421931219944</v>
      </c>
    </row>
    <row r="244" spans="1:20" x14ac:dyDescent="0.25">
      <c r="A244" s="5">
        <v>44340</v>
      </c>
      <c r="B244">
        <v>0.2402</v>
      </c>
      <c r="C244">
        <v>0.3049</v>
      </c>
      <c r="D244">
        <v>0.23280000000000001</v>
      </c>
      <c r="E244">
        <v>0.2989</v>
      </c>
      <c r="F244">
        <v>23666545.489999998</v>
      </c>
      <c r="G244">
        <v>0</v>
      </c>
      <c r="L244" t="s">
        <v>8</v>
      </c>
      <c r="M244" t="s">
        <v>8</v>
      </c>
      <c r="N244" t="s">
        <v>8</v>
      </c>
      <c r="P244">
        <f t="shared" si="914"/>
        <v>0.83356449375866837</v>
      </c>
      <c r="Q244">
        <f t="shared" si="915"/>
        <v>19727592.010388345</v>
      </c>
      <c r="R244">
        <f t="shared" si="916"/>
        <v>-72966824.48278445</v>
      </c>
      <c r="S244">
        <f t="shared" si="917"/>
        <v>-729.66824482784455</v>
      </c>
      <c r="T244">
        <f t="shared" si="918"/>
        <v>-0.72966824482784454</v>
      </c>
    </row>
    <row r="245" spans="1:20" x14ac:dyDescent="0.25">
      <c r="A245" s="5">
        <v>44339</v>
      </c>
      <c r="B245">
        <v>0.29139999999999999</v>
      </c>
      <c r="C245">
        <v>0.30249999999999999</v>
      </c>
      <c r="D245">
        <v>0.18440000000000001</v>
      </c>
      <c r="E245">
        <v>0.2404</v>
      </c>
      <c r="F245">
        <v>33950404.740000002</v>
      </c>
      <c r="G245">
        <v>0</v>
      </c>
      <c r="L245" t="s">
        <v>7</v>
      </c>
      <c r="M245" t="s">
        <v>7</v>
      </c>
      <c r="N245" t="s">
        <v>7</v>
      </c>
      <c r="P245">
        <f t="shared" si="914"/>
        <v>-5.1651143099068549E-2</v>
      </c>
      <c r="Q245">
        <f t="shared" si="915"/>
        <v>-1753577.2134970352</v>
      </c>
      <c r="R245">
        <f t="shared" si="916"/>
        <v>-92694416.493172795</v>
      </c>
      <c r="S245">
        <f t="shared" si="917"/>
        <v>-926.94416493172798</v>
      </c>
      <c r="T245">
        <f t="shared" si="918"/>
        <v>-0.92694416493172793</v>
      </c>
    </row>
    <row r="246" spans="1:20" x14ac:dyDescent="0.25">
      <c r="A246" s="5">
        <v>44338</v>
      </c>
      <c r="B246">
        <v>0.31290000000000001</v>
      </c>
      <c r="C246">
        <v>0.32140000000000002</v>
      </c>
      <c r="D246">
        <v>0.26619999999999999</v>
      </c>
      <c r="E246">
        <v>0.29149999999999998</v>
      </c>
      <c r="F246">
        <v>17882680.41</v>
      </c>
      <c r="G246">
        <v>0</v>
      </c>
      <c r="L246" t="s">
        <v>8</v>
      </c>
      <c r="M246" t="s">
        <v>8</v>
      </c>
      <c r="N246" t="s">
        <v>7</v>
      </c>
      <c r="P246">
        <f t="shared" si="914"/>
        <v>-8.3333333333334175E-2</v>
      </c>
      <c r="Q246">
        <f t="shared" si="915"/>
        <v>-1490223.3675000151</v>
      </c>
      <c r="R246">
        <f t="shared" si="916"/>
        <v>-90940839.279675767</v>
      </c>
      <c r="S246">
        <f t="shared" si="917"/>
        <v>-909.40839279675765</v>
      </c>
      <c r="T246">
        <f t="shared" si="918"/>
        <v>-0.90940839279675767</v>
      </c>
    </row>
    <row r="247" spans="1:20" x14ac:dyDescent="0.25">
      <c r="A247" s="5">
        <v>44337</v>
      </c>
      <c r="B247">
        <v>0.38950000000000001</v>
      </c>
      <c r="C247">
        <v>0.42070000000000002</v>
      </c>
      <c r="D247">
        <v>0.26379999999999998</v>
      </c>
      <c r="E247">
        <v>0.3135</v>
      </c>
      <c r="F247">
        <v>39556932.880000003</v>
      </c>
      <c r="G247">
        <v>0</v>
      </c>
      <c r="L247" t="s">
        <v>7</v>
      </c>
      <c r="M247" t="s">
        <v>7</v>
      </c>
      <c r="N247" t="s">
        <v>7</v>
      </c>
      <c r="P247">
        <f t="shared" si="914"/>
        <v>-0.36647546207775639</v>
      </c>
      <c r="Q247">
        <f t="shared" si="915"/>
        <v>-14496645.255576795</v>
      </c>
      <c r="R247">
        <f t="shared" si="916"/>
        <v>-89450615.912175745</v>
      </c>
      <c r="S247">
        <f t="shared" si="917"/>
        <v>-894.50615912175749</v>
      </c>
      <c r="T247">
        <f t="shared" si="918"/>
        <v>-0.89450615912175746</v>
      </c>
    </row>
    <row r="248" spans="1:20" x14ac:dyDescent="0.25">
      <c r="A248" s="5">
        <v>44336</v>
      </c>
      <c r="B248">
        <v>0.34539999999999998</v>
      </c>
      <c r="C248">
        <v>0.42530000000000001</v>
      </c>
      <c r="D248">
        <v>0.30709999999999998</v>
      </c>
      <c r="E248">
        <v>0.38990000000000002</v>
      </c>
      <c r="F248">
        <v>39740616.380000003</v>
      </c>
      <c r="G248">
        <v>0</v>
      </c>
      <c r="L248" t="s">
        <v>8</v>
      </c>
      <c r="M248" t="s">
        <v>8</v>
      </c>
      <c r="N248" t="s">
        <v>8</v>
      </c>
      <c r="P248">
        <f t="shared" si="914"/>
        <v>0.40101522842639631</v>
      </c>
      <c r="Q248">
        <f t="shared" si="915"/>
        <v>15936592.355431488</v>
      </c>
      <c r="R248">
        <f t="shared" si="916"/>
        <v>-74953970.656598955</v>
      </c>
      <c r="S248">
        <f t="shared" si="917"/>
        <v>-749.5397065659896</v>
      </c>
      <c r="T248">
        <f t="shared" si="918"/>
        <v>-0.74953970656598956</v>
      </c>
    </row>
    <row r="249" spans="1:20" x14ac:dyDescent="0.25">
      <c r="A249" s="5">
        <v>44335</v>
      </c>
      <c r="B249">
        <v>0.66700000000000004</v>
      </c>
      <c r="C249">
        <v>0.67930000000000001</v>
      </c>
      <c r="D249">
        <v>0.26</v>
      </c>
      <c r="E249">
        <v>0.34539999999999998</v>
      </c>
      <c r="F249">
        <v>69980918.519999996</v>
      </c>
      <c r="G249">
        <v>0</v>
      </c>
      <c r="L249" t="s">
        <v>7</v>
      </c>
      <c r="M249" t="s">
        <v>7</v>
      </c>
      <c r="N249" t="s">
        <v>7</v>
      </c>
      <c r="P249">
        <f t="shared" si="914"/>
        <v>-0.59265442404006685</v>
      </c>
      <c r="Q249">
        <f t="shared" si="915"/>
        <v>-41474500.959265448</v>
      </c>
      <c r="R249">
        <f t="shared" si="916"/>
        <v>-90890563.012030438</v>
      </c>
      <c r="S249">
        <f t="shared" si="917"/>
        <v>-908.90563012030441</v>
      </c>
      <c r="T249">
        <f t="shared" si="918"/>
        <v>-0.90890563012030445</v>
      </c>
    </row>
    <row r="250" spans="1:20" x14ac:dyDescent="0.25">
      <c r="A250" s="5">
        <v>44334</v>
      </c>
      <c r="B250">
        <v>0.65769999999999995</v>
      </c>
      <c r="C250">
        <v>0.71289999999999998</v>
      </c>
      <c r="D250">
        <v>0.64329999999999998</v>
      </c>
      <c r="E250">
        <v>0.66679999999999995</v>
      </c>
      <c r="F250">
        <v>13140438.35</v>
      </c>
      <c r="G250">
        <v>0</v>
      </c>
      <c r="L250" t="s">
        <v>8</v>
      </c>
      <c r="M250" t="s">
        <v>8</v>
      </c>
      <c r="N250" t="s">
        <v>7</v>
      </c>
      <c r="P250">
        <f t="shared" si="914"/>
        <v>-0.32471264367816188</v>
      </c>
      <c r="Q250">
        <f t="shared" si="915"/>
        <v>-4266866.4757184032</v>
      </c>
      <c r="R250">
        <f t="shared" si="916"/>
        <v>-49416062.052764989</v>
      </c>
      <c r="S250">
        <f t="shared" si="917"/>
        <v>-494.16062052764988</v>
      </c>
      <c r="T250">
        <f t="shared" si="918"/>
        <v>-0.49416062052764986</v>
      </c>
    </row>
    <row r="251" spans="1:20" x14ac:dyDescent="0.25">
      <c r="A251" s="5">
        <v>44333</v>
      </c>
      <c r="B251">
        <v>0.6825</v>
      </c>
      <c r="C251">
        <v>0.72</v>
      </c>
      <c r="D251">
        <v>0.58299999999999996</v>
      </c>
      <c r="E251">
        <v>0.65739999999999998</v>
      </c>
      <c r="F251">
        <v>22113303.48</v>
      </c>
      <c r="G251">
        <v>0</v>
      </c>
      <c r="L251" t="s">
        <v>7</v>
      </c>
      <c r="M251" t="s">
        <v>7</v>
      </c>
      <c r="N251" t="s">
        <v>7</v>
      </c>
      <c r="P251">
        <f t="shared" si="914"/>
        <v>8.6131386861314094E-2</v>
      </c>
      <c r="Q251">
        <f t="shared" si="915"/>
        <v>1904649.4968175234</v>
      </c>
      <c r="R251">
        <f t="shared" si="916"/>
        <v>-45149195.577046588</v>
      </c>
      <c r="S251">
        <f t="shared" si="917"/>
        <v>-451.49195577046589</v>
      </c>
      <c r="T251">
        <f t="shared" si="918"/>
        <v>-0.45149195577046591</v>
      </c>
    </row>
    <row r="252" spans="1:20" x14ac:dyDescent="0.25">
      <c r="A252" s="5">
        <v>44332</v>
      </c>
      <c r="B252">
        <v>0.68669999999999998</v>
      </c>
      <c r="C252">
        <v>0.75309999999999999</v>
      </c>
      <c r="D252">
        <v>0.63270000000000004</v>
      </c>
      <c r="E252">
        <v>0.68179999999999996</v>
      </c>
      <c r="F252">
        <v>13544017.51</v>
      </c>
      <c r="G252">
        <v>0</v>
      </c>
      <c r="L252" t="s">
        <v>7</v>
      </c>
      <c r="M252" t="s">
        <v>7</v>
      </c>
      <c r="N252" t="s">
        <v>7</v>
      </c>
      <c r="P252">
        <f t="shared" si="914"/>
        <v>-0.18438538205980165</v>
      </c>
      <c r="Q252">
        <f t="shared" si="915"/>
        <v>-2497318.8432059935</v>
      </c>
      <c r="R252">
        <f t="shared" si="916"/>
        <v>-47053845.07386411</v>
      </c>
      <c r="S252">
        <f t="shared" si="917"/>
        <v>-470.53845073864107</v>
      </c>
      <c r="T252">
        <f t="shared" si="918"/>
        <v>-0.47053845073864109</v>
      </c>
    </row>
    <row r="253" spans="1:20" x14ac:dyDescent="0.25">
      <c r="A253" s="5">
        <v>44331</v>
      </c>
      <c r="B253">
        <v>0.7732</v>
      </c>
      <c r="C253">
        <v>0.78339999999999999</v>
      </c>
      <c r="D253">
        <v>0.67379999999999995</v>
      </c>
      <c r="E253">
        <v>0.6865</v>
      </c>
      <c r="F253">
        <v>17557805.350000001</v>
      </c>
      <c r="G253">
        <v>0</v>
      </c>
      <c r="L253" t="s">
        <v>7</v>
      </c>
      <c r="M253" t="s">
        <v>7</v>
      </c>
      <c r="N253" t="s">
        <v>7</v>
      </c>
      <c r="P253">
        <f t="shared" ref="P253:P316" si="919">IF(C253=D253,0,((E253-D253)-(C253-E253))/(C253-D253))</f>
        <v>-0.76824817518248101</v>
      </c>
      <c r="Q253">
        <f t="shared" ref="Q253:Q316" si="920">F253*P253</f>
        <v>-13488751.920346703</v>
      </c>
      <c r="R253">
        <f t="shared" ref="R253:R316" si="921">R254+Q253</f>
        <v>-44556526.230658114</v>
      </c>
      <c r="S253">
        <f t="shared" ref="S253:S316" si="922">R253/100000</f>
        <v>-445.56526230658113</v>
      </c>
      <c r="T253">
        <f t="shared" ref="T253:T316" si="923">S253/1000</f>
        <v>-0.44556526230658111</v>
      </c>
    </row>
    <row r="254" spans="1:20" x14ac:dyDescent="0.25">
      <c r="A254" s="5">
        <v>44330</v>
      </c>
      <c r="B254">
        <v>0.71</v>
      </c>
      <c r="C254">
        <v>0.82220000000000004</v>
      </c>
      <c r="D254">
        <v>0.69320000000000004</v>
      </c>
      <c r="E254">
        <v>0.7732</v>
      </c>
      <c r="F254">
        <v>24292018.030000001</v>
      </c>
      <c r="G254">
        <v>0</v>
      </c>
      <c r="L254" t="s">
        <v>8</v>
      </c>
      <c r="M254" t="s">
        <v>8</v>
      </c>
      <c r="N254" t="s">
        <v>7</v>
      </c>
      <c r="P254">
        <f t="shared" si="919"/>
        <v>0.24031007751937919</v>
      </c>
      <c r="Q254">
        <f t="shared" si="920"/>
        <v>5837616.7358914576</v>
      </c>
      <c r="R254">
        <f t="shared" si="921"/>
        <v>-31067774.310311411</v>
      </c>
      <c r="S254">
        <f t="shared" si="922"/>
        <v>-310.6777431031141</v>
      </c>
      <c r="T254">
        <f t="shared" si="923"/>
        <v>-0.31067774310311408</v>
      </c>
    </row>
    <row r="255" spans="1:20" x14ac:dyDescent="0.25">
      <c r="A255" s="5">
        <v>44329</v>
      </c>
      <c r="B255">
        <v>0.66759999999999997</v>
      </c>
      <c r="C255">
        <v>0.76229999999999998</v>
      </c>
      <c r="D255">
        <v>0.62670000000000003</v>
      </c>
      <c r="E255">
        <v>0.70979999999999999</v>
      </c>
      <c r="F255">
        <v>25617471.41</v>
      </c>
      <c r="G255">
        <v>0</v>
      </c>
      <c r="L255" t="s">
        <v>7</v>
      </c>
      <c r="M255" t="s">
        <v>7</v>
      </c>
      <c r="N255" t="s">
        <v>7</v>
      </c>
      <c r="P255">
        <f t="shared" si="919"/>
        <v>0.22566371681415909</v>
      </c>
      <c r="Q255">
        <f t="shared" si="920"/>
        <v>5780933.8137610564</v>
      </c>
      <c r="R255">
        <f t="shared" si="921"/>
        <v>-36905391.046202868</v>
      </c>
      <c r="S255">
        <f t="shared" si="922"/>
        <v>-369.05391046202868</v>
      </c>
      <c r="T255">
        <f t="shared" si="923"/>
        <v>-0.36905391046202868</v>
      </c>
    </row>
    <row r="256" spans="1:20" x14ac:dyDescent="0.25">
      <c r="A256" s="5">
        <v>44328</v>
      </c>
      <c r="B256">
        <v>0.78349999999999997</v>
      </c>
      <c r="C256">
        <v>0.88500000000000001</v>
      </c>
      <c r="D256">
        <v>0.64690000000000003</v>
      </c>
      <c r="E256">
        <v>0.66759999999999997</v>
      </c>
      <c r="F256">
        <v>63147351.43</v>
      </c>
      <c r="G256">
        <v>0</v>
      </c>
      <c r="L256" t="s">
        <v>8</v>
      </c>
      <c r="M256" t="s">
        <v>8</v>
      </c>
      <c r="N256" t="s">
        <v>7</v>
      </c>
      <c r="P256">
        <f t="shared" si="919"/>
        <v>-0.8261234775304499</v>
      </c>
      <c r="Q256">
        <f t="shared" si="920"/>
        <v>-52167509.560189031</v>
      </c>
      <c r="R256">
        <f t="shared" si="921"/>
        <v>-42686324.859963924</v>
      </c>
      <c r="S256">
        <f t="shared" si="922"/>
        <v>-426.86324859963923</v>
      </c>
      <c r="T256">
        <f t="shared" si="923"/>
        <v>-0.42686324859963926</v>
      </c>
    </row>
    <row r="257" spans="1:20" x14ac:dyDescent="0.25">
      <c r="A257" s="5">
        <v>44327</v>
      </c>
      <c r="B257">
        <v>0.73529999999999995</v>
      </c>
      <c r="C257">
        <v>0.79920000000000002</v>
      </c>
      <c r="D257">
        <v>0.7137</v>
      </c>
      <c r="E257">
        <v>0.78310000000000002</v>
      </c>
      <c r="F257">
        <v>17756646.649999999</v>
      </c>
      <c r="G257">
        <v>0</v>
      </c>
      <c r="L257" t="s">
        <v>8</v>
      </c>
      <c r="M257" t="s">
        <v>8</v>
      </c>
      <c r="N257" t="s">
        <v>7</v>
      </c>
      <c r="P257">
        <f t="shared" si="919"/>
        <v>0.62339181286549705</v>
      </c>
      <c r="Q257">
        <f t="shared" si="920"/>
        <v>11069348.145555554</v>
      </c>
      <c r="R257">
        <f t="shared" si="921"/>
        <v>9481184.7002251092</v>
      </c>
      <c r="S257">
        <f t="shared" si="922"/>
        <v>94.811847002251099</v>
      </c>
      <c r="T257">
        <f t="shared" si="923"/>
        <v>9.4811847002251093E-2</v>
      </c>
    </row>
    <row r="258" spans="1:20" x14ac:dyDescent="0.25">
      <c r="A258" s="5">
        <v>44326</v>
      </c>
      <c r="B258">
        <v>0.87080000000000002</v>
      </c>
      <c r="C258">
        <v>0.92500000000000004</v>
      </c>
      <c r="D258">
        <v>0.67320000000000002</v>
      </c>
      <c r="E258">
        <v>0.7349</v>
      </c>
      <c r="F258">
        <v>37556705.200000003</v>
      </c>
      <c r="G258">
        <v>0</v>
      </c>
      <c r="L258" t="s">
        <v>7</v>
      </c>
      <c r="M258" t="s">
        <v>7</v>
      </c>
      <c r="N258" t="s">
        <v>7</v>
      </c>
      <c r="P258">
        <f t="shared" si="919"/>
        <v>-0.50992851469420197</v>
      </c>
      <c r="Q258">
        <f t="shared" si="920"/>
        <v>-19151234.899444014</v>
      </c>
      <c r="R258">
        <f t="shared" si="921"/>
        <v>-1588163.4453304447</v>
      </c>
      <c r="S258">
        <f t="shared" si="922"/>
        <v>-15.881634453304446</v>
      </c>
      <c r="T258">
        <f t="shared" si="923"/>
        <v>-1.5881634453304448E-2</v>
      </c>
    </row>
    <row r="259" spans="1:20" x14ac:dyDescent="0.25">
      <c r="A259" s="5">
        <v>44325</v>
      </c>
      <c r="B259">
        <v>0.90529999999999999</v>
      </c>
      <c r="C259">
        <v>0.9294</v>
      </c>
      <c r="D259">
        <v>0.8266</v>
      </c>
      <c r="E259">
        <v>0.86960000000000004</v>
      </c>
      <c r="F259">
        <v>17481788.920000002</v>
      </c>
      <c r="G259">
        <v>0</v>
      </c>
      <c r="L259" t="s">
        <v>7</v>
      </c>
      <c r="M259" t="s">
        <v>7</v>
      </c>
      <c r="N259" t="s">
        <v>8</v>
      </c>
      <c r="P259">
        <f t="shared" si="919"/>
        <v>-0.16342412451361796</v>
      </c>
      <c r="Q259">
        <f t="shared" si="920"/>
        <v>-2856946.0491828672</v>
      </c>
      <c r="R259">
        <f t="shared" si="921"/>
        <v>17563071.454113569</v>
      </c>
      <c r="S259">
        <f t="shared" si="922"/>
        <v>175.63071454113569</v>
      </c>
      <c r="T259">
        <f t="shared" si="923"/>
        <v>0.17563071454113569</v>
      </c>
    </row>
    <row r="260" spans="1:20" x14ac:dyDescent="0.25">
      <c r="A260" s="5">
        <v>44324</v>
      </c>
      <c r="B260">
        <v>0.93889999999999996</v>
      </c>
      <c r="C260">
        <v>0.98680000000000001</v>
      </c>
      <c r="D260">
        <v>0.88970000000000005</v>
      </c>
      <c r="E260">
        <v>0.90639999999999998</v>
      </c>
      <c r="F260">
        <v>12020114.74</v>
      </c>
      <c r="G260">
        <v>0</v>
      </c>
      <c r="L260" t="s">
        <v>8</v>
      </c>
      <c r="M260" t="s">
        <v>7</v>
      </c>
      <c r="N260" t="s">
        <v>8</v>
      </c>
      <c r="P260">
        <f t="shared" si="919"/>
        <v>-0.65602471678681884</v>
      </c>
      <c r="Q260">
        <f t="shared" si="920"/>
        <v>-7885492.3680535667</v>
      </c>
      <c r="R260">
        <f t="shared" si="921"/>
        <v>20420017.503296435</v>
      </c>
      <c r="S260">
        <f t="shared" si="922"/>
        <v>204.20017503296435</v>
      </c>
      <c r="T260">
        <f t="shared" si="923"/>
        <v>0.20420017503296437</v>
      </c>
    </row>
    <row r="261" spans="1:20" x14ac:dyDescent="0.25">
      <c r="A261" s="5">
        <v>44323</v>
      </c>
      <c r="B261">
        <v>0.9</v>
      </c>
      <c r="C261">
        <v>1.0429999999999999</v>
      </c>
      <c r="D261">
        <v>0.86350000000000005</v>
      </c>
      <c r="E261">
        <v>0.93869999999999998</v>
      </c>
      <c r="F261">
        <v>29180744.289999999</v>
      </c>
      <c r="G261">
        <v>0</v>
      </c>
      <c r="L261" t="s">
        <v>7</v>
      </c>
      <c r="M261" t="s">
        <v>7</v>
      </c>
      <c r="N261" t="s">
        <v>8</v>
      </c>
      <c r="P261">
        <f t="shared" si="919"/>
        <v>-0.16211699164345422</v>
      </c>
      <c r="Q261">
        <f t="shared" si="920"/>
        <v>-4730694.4782117046</v>
      </c>
      <c r="R261">
        <f t="shared" si="921"/>
        <v>28305509.871350002</v>
      </c>
      <c r="S261">
        <f t="shared" si="922"/>
        <v>283.0550987135</v>
      </c>
      <c r="T261">
        <f t="shared" si="923"/>
        <v>0.28305509871349999</v>
      </c>
    </row>
    <row r="262" spans="1:20" x14ac:dyDescent="0.25">
      <c r="A262" s="5">
        <v>44322</v>
      </c>
      <c r="B262">
        <v>1.0015000000000001</v>
      </c>
      <c r="C262">
        <v>1.0343</v>
      </c>
      <c r="D262">
        <v>0.88800000000000001</v>
      </c>
      <c r="E262">
        <v>0.90129999999999999</v>
      </c>
      <c r="F262">
        <v>26363764.09</v>
      </c>
      <c r="G262">
        <v>0</v>
      </c>
      <c r="L262" t="s">
        <v>7</v>
      </c>
      <c r="M262" t="s">
        <v>7</v>
      </c>
      <c r="N262" t="s">
        <v>8</v>
      </c>
      <c r="P262">
        <f t="shared" si="919"/>
        <v>-0.81818181818181845</v>
      </c>
      <c r="Q262">
        <f t="shared" si="920"/>
        <v>-21570352.437272735</v>
      </c>
      <c r="R262">
        <f t="shared" si="921"/>
        <v>33036204.349561706</v>
      </c>
      <c r="S262">
        <f t="shared" si="922"/>
        <v>330.36204349561706</v>
      </c>
      <c r="T262">
        <f t="shared" si="923"/>
        <v>0.33036204349561704</v>
      </c>
    </row>
    <row r="263" spans="1:20" x14ac:dyDescent="0.25">
      <c r="A263" s="5">
        <v>44321</v>
      </c>
      <c r="B263">
        <v>0.95520000000000005</v>
      </c>
      <c r="C263">
        <v>1.1758</v>
      </c>
      <c r="D263">
        <v>0.9375</v>
      </c>
      <c r="E263">
        <v>1.0018</v>
      </c>
      <c r="F263">
        <v>72733390.129999995</v>
      </c>
      <c r="G263">
        <v>0</v>
      </c>
      <c r="L263" t="s">
        <v>8</v>
      </c>
      <c r="M263" t="s">
        <v>8</v>
      </c>
      <c r="N263" t="s">
        <v>8</v>
      </c>
      <c r="P263">
        <f t="shared" si="919"/>
        <v>-0.46034410407049908</v>
      </c>
      <c r="Q263">
        <f t="shared" si="920"/>
        <v>-33482387.315404929</v>
      </c>
      <c r="R263">
        <f t="shared" si="921"/>
        <v>54606556.786834441</v>
      </c>
      <c r="S263">
        <f t="shared" si="922"/>
        <v>546.06556786834437</v>
      </c>
      <c r="T263">
        <f t="shared" si="923"/>
        <v>0.54606556786834437</v>
      </c>
    </row>
    <row r="264" spans="1:20" x14ac:dyDescent="0.25">
      <c r="A264" s="5">
        <v>44320</v>
      </c>
      <c r="B264">
        <v>0.8609</v>
      </c>
      <c r="C264">
        <v>1.04</v>
      </c>
      <c r="D264">
        <v>0.77500000000000002</v>
      </c>
      <c r="E264">
        <v>0.95699999999999996</v>
      </c>
      <c r="F264">
        <v>66192034.369999997</v>
      </c>
      <c r="G264">
        <v>0</v>
      </c>
      <c r="L264" t="s">
        <v>8</v>
      </c>
      <c r="M264" t="s">
        <v>8</v>
      </c>
      <c r="N264" t="s">
        <v>8</v>
      </c>
      <c r="P264">
        <f t="shared" si="919"/>
        <v>0.37358490566037683</v>
      </c>
      <c r="Q264">
        <f t="shared" si="920"/>
        <v>24728344.91558487</v>
      </c>
      <c r="R264">
        <f t="shared" si="921"/>
        <v>88088944.10223937</v>
      </c>
      <c r="S264">
        <f t="shared" si="922"/>
        <v>880.88944102239373</v>
      </c>
      <c r="T264">
        <f t="shared" si="923"/>
        <v>0.88088944102239375</v>
      </c>
    </row>
    <row r="265" spans="1:20" x14ac:dyDescent="0.25">
      <c r="A265" s="5">
        <v>44319</v>
      </c>
      <c r="B265">
        <v>0.83189999999999997</v>
      </c>
      <c r="C265">
        <v>0.92700000000000005</v>
      </c>
      <c r="D265">
        <v>0.82340000000000002</v>
      </c>
      <c r="E265">
        <v>0.86080000000000001</v>
      </c>
      <c r="F265">
        <v>23947418.359999999</v>
      </c>
      <c r="G265">
        <v>0</v>
      </c>
      <c r="L265" t="s">
        <v>8</v>
      </c>
      <c r="M265" t="s">
        <v>8</v>
      </c>
      <c r="N265" t="s">
        <v>8</v>
      </c>
      <c r="P265">
        <f t="shared" si="919"/>
        <v>-0.27799227799227838</v>
      </c>
      <c r="Q265">
        <f t="shared" si="920"/>
        <v>-6657197.3819305114</v>
      </c>
      <c r="R265">
        <f t="shared" si="921"/>
        <v>63360599.186654493</v>
      </c>
      <c r="S265">
        <f t="shared" si="922"/>
        <v>633.60599186654497</v>
      </c>
      <c r="T265">
        <f t="shared" si="923"/>
        <v>0.63360599186654498</v>
      </c>
    </row>
    <row r="266" spans="1:20" x14ac:dyDescent="0.25">
      <c r="A266" s="5">
        <v>44318</v>
      </c>
      <c r="B266">
        <v>0.84089999999999998</v>
      </c>
      <c r="C266">
        <v>0.87939999999999996</v>
      </c>
      <c r="D266">
        <v>0.76739999999999997</v>
      </c>
      <c r="E266">
        <v>0.83240000000000003</v>
      </c>
      <c r="F266">
        <v>18527013.350000001</v>
      </c>
      <c r="G266">
        <v>0</v>
      </c>
      <c r="L266" t="s">
        <v>7</v>
      </c>
      <c r="M266" t="s">
        <v>7</v>
      </c>
      <c r="N266" t="s">
        <v>8</v>
      </c>
      <c r="P266">
        <f t="shared" si="919"/>
        <v>0.16071428571428686</v>
      </c>
      <c r="Q266">
        <f t="shared" si="920"/>
        <v>2977555.7169643072</v>
      </c>
      <c r="R266">
        <f t="shared" si="921"/>
        <v>70017796.568585008</v>
      </c>
      <c r="S266">
        <f t="shared" si="922"/>
        <v>700.17796568585004</v>
      </c>
      <c r="T266">
        <f t="shared" si="923"/>
        <v>0.70017796568585</v>
      </c>
    </row>
    <row r="267" spans="1:20" x14ac:dyDescent="0.25">
      <c r="A267" s="5">
        <v>44317</v>
      </c>
      <c r="B267">
        <v>0.86560000000000004</v>
      </c>
      <c r="C267">
        <v>0.86660000000000004</v>
      </c>
      <c r="D267">
        <v>0.80400000000000005</v>
      </c>
      <c r="E267">
        <v>0.84</v>
      </c>
      <c r="F267">
        <v>16052464.949999999</v>
      </c>
      <c r="G267">
        <v>0</v>
      </c>
      <c r="L267" t="s">
        <v>7</v>
      </c>
      <c r="M267" t="s">
        <v>8</v>
      </c>
      <c r="N267" t="s">
        <v>8</v>
      </c>
      <c r="P267">
        <f t="shared" si="919"/>
        <v>0.15015974440894336</v>
      </c>
      <c r="Q267">
        <f t="shared" si="920"/>
        <v>2410434.0340255215</v>
      </c>
      <c r="R267">
        <f t="shared" si="921"/>
        <v>67040240.851620696</v>
      </c>
      <c r="S267">
        <f t="shared" si="922"/>
        <v>670.40240851620695</v>
      </c>
      <c r="T267">
        <f t="shared" si="923"/>
        <v>0.67040240851620692</v>
      </c>
    </row>
    <row r="268" spans="1:20" x14ac:dyDescent="0.25">
      <c r="A268" s="5">
        <v>44316</v>
      </c>
      <c r="B268">
        <v>0.8931</v>
      </c>
      <c r="C268">
        <v>0.9</v>
      </c>
      <c r="D268">
        <v>0.8337</v>
      </c>
      <c r="E268">
        <v>0.86539999999999995</v>
      </c>
      <c r="F268">
        <v>24970826.800000001</v>
      </c>
      <c r="G268">
        <v>0</v>
      </c>
      <c r="L268" t="s">
        <v>7</v>
      </c>
      <c r="M268" t="s">
        <v>8</v>
      </c>
      <c r="N268" t="s">
        <v>8</v>
      </c>
      <c r="P268">
        <f t="shared" si="919"/>
        <v>-4.3740573152339722E-2</v>
      </c>
      <c r="Q268">
        <f t="shared" si="920"/>
        <v>-1092238.2763198053</v>
      </c>
      <c r="R268">
        <f t="shared" si="921"/>
        <v>64629806.817595176</v>
      </c>
      <c r="S268">
        <f t="shared" si="922"/>
        <v>646.29806817595181</v>
      </c>
      <c r="T268">
        <f t="shared" si="923"/>
        <v>0.64629806817595181</v>
      </c>
    </row>
    <row r="269" spans="1:20" x14ac:dyDescent="0.25">
      <c r="A269" s="5">
        <v>44315</v>
      </c>
      <c r="B269">
        <v>0.72540000000000004</v>
      </c>
      <c r="C269">
        <v>0.92</v>
      </c>
      <c r="D269">
        <v>0.71160000000000001</v>
      </c>
      <c r="E269">
        <v>0.89170000000000005</v>
      </c>
      <c r="F269">
        <v>48813389.329999998</v>
      </c>
      <c r="G269">
        <v>0</v>
      </c>
      <c r="L269" t="s">
        <v>8</v>
      </c>
      <c r="M269" t="s">
        <v>8</v>
      </c>
      <c r="N269" t="s">
        <v>8</v>
      </c>
      <c r="P269">
        <f t="shared" si="919"/>
        <v>0.72840690978886768</v>
      </c>
      <c r="Q269">
        <f t="shared" si="920"/>
        <v>35556010.078186184</v>
      </c>
      <c r="R269">
        <f t="shared" si="921"/>
        <v>65722045.093914978</v>
      </c>
      <c r="S269">
        <f t="shared" si="922"/>
        <v>657.22045093914983</v>
      </c>
      <c r="T269">
        <f t="shared" si="923"/>
        <v>0.65722045093914983</v>
      </c>
    </row>
    <row r="270" spans="1:20" x14ac:dyDescent="0.25">
      <c r="A270" s="5">
        <v>44314</v>
      </c>
      <c r="B270">
        <v>0.78169999999999995</v>
      </c>
      <c r="C270">
        <v>0.79869999999999997</v>
      </c>
      <c r="D270">
        <v>0.69220000000000004</v>
      </c>
      <c r="E270">
        <v>0.7258</v>
      </c>
      <c r="F270">
        <v>14789261.699999999</v>
      </c>
      <c r="G270">
        <v>0</v>
      </c>
      <c r="L270" t="s">
        <v>7</v>
      </c>
      <c r="M270" t="s">
        <v>7</v>
      </c>
      <c r="N270" t="s">
        <v>8</v>
      </c>
      <c r="P270">
        <f t="shared" si="919"/>
        <v>-0.36901408450704254</v>
      </c>
      <c r="Q270">
        <f t="shared" si="920"/>
        <v>-5457445.8667605678</v>
      </c>
      <c r="R270">
        <f t="shared" si="921"/>
        <v>30166035.015728794</v>
      </c>
      <c r="S270">
        <f t="shared" si="922"/>
        <v>301.66035015728795</v>
      </c>
      <c r="T270">
        <f t="shared" si="923"/>
        <v>0.30166035015728793</v>
      </c>
    </row>
    <row r="271" spans="1:20" x14ac:dyDescent="0.25">
      <c r="A271" s="5">
        <v>44313</v>
      </c>
      <c r="B271">
        <v>0.76629999999999998</v>
      </c>
      <c r="C271">
        <v>0.8</v>
      </c>
      <c r="D271">
        <v>0.70669999999999999</v>
      </c>
      <c r="E271">
        <v>0.78339999999999999</v>
      </c>
      <c r="F271">
        <v>22461112.370000001</v>
      </c>
      <c r="G271">
        <v>0</v>
      </c>
      <c r="L271" t="s">
        <v>7</v>
      </c>
      <c r="M271" t="s">
        <v>7</v>
      </c>
      <c r="N271" t="s">
        <v>8</v>
      </c>
      <c r="P271">
        <f t="shared" si="919"/>
        <v>0.64415862808145663</v>
      </c>
      <c r="Q271">
        <f t="shared" si="920"/>
        <v>14468519.329442635</v>
      </c>
      <c r="R271">
        <f t="shared" si="921"/>
        <v>35623480.882489361</v>
      </c>
      <c r="S271">
        <f t="shared" si="922"/>
        <v>356.23480882489361</v>
      </c>
      <c r="T271">
        <f t="shared" si="923"/>
        <v>0.35623480882489361</v>
      </c>
    </row>
    <row r="272" spans="1:20" x14ac:dyDescent="0.25">
      <c r="A272" s="5">
        <v>44312</v>
      </c>
      <c r="B272">
        <v>0.57389999999999997</v>
      </c>
      <c r="C272">
        <v>0.83530000000000004</v>
      </c>
      <c r="D272">
        <v>0.56710000000000005</v>
      </c>
      <c r="E272">
        <v>0.76629999999999998</v>
      </c>
      <c r="F272">
        <v>52580150.420000002</v>
      </c>
      <c r="G272">
        <v>0</v>
      </c>
      <c r="L272" t="s">
        <v>8</v>
      </c>
      <c r="M272" t="s">
        <v>8</v>
      </c>
      <c r="N272" t="s">
        <v>8</v>
      </c>
      <c r="P272">
        <f t="shared" si="919"/>
        <v>0.48545861297539106</v>
      </c>
      <c r="Q272">
        <f t="shared" si="920"/>
        <v>25525486.892930627</v>
      </c>
      <c r="R272">
        <f t="shared" si="921"/>
        <v>21154961.553046726</v>
      </c>
      <c r="S272">
        <f t="shared" si="922"/>
        <v>211.54961553046726</v>
      </c>
      <c r="T272">
        <f t="shared" si="923"/>
        <v>0.21154961553046728</v>
      </c>
    </row>
    <row r="273" spans="1:20" x14ac:dyDescent="0.25">
      <c r="A273" s="5">
        <v>44311</v>
      </c>
      <c r="B273">
        <v>0.58279999999999998</v>
      </c>
      <c r="C273">
        <v>0.64910000000000001</v>
      </c>
      <c r="D273">
        <v>0.53759999999999997</v>
      </c>
      <c r="E273">
        <v>0.57389999999999997</v>
      </c>
      <c r="F273">
        <v>18792713.170000002</v>
      </c>
      <c r="G273">
        <v>0</v>
      </c>
      <c r="L273" t="s">
        <v>8</v>
      </c>
      <c r="M273" t="s">
        <v>8</v>
      </c>
      <c r="N273" t="s">
        <v>7</v>
      </c>
      <c r="P273">
        <f t="shared" si="919"/>
        <v>-0.3488789237668164</v>
      </c>
      <c r="Q273">
        <f t="shared" si="920"/>
        <v>-6556381.5454080775</v>
      </c>
      <c r="R273">
        <f t="shared" si="921"/>
        <v>-4370525.339883903</v>
      </c>
      <c r="S273">
        <f t="shared" si="922"/>
        <v>-43.705253398839034</v>
      </c>
      <c r="T273">
        <f t="shared" si="923"/>
        <v>-4.3705253398839031E-2</v>
      </c>
    </row>
    <row r="274" spans="1:20" x14ac:dyDescent="0.25">
      <c r="A274" s="5">
        <v>44310</v>
      </c>
      <c r="B274">
        <v>0.60440000000000005</v>
      </c>
      <c r="C274">
        <v>0.63900000000000001</v>
      </c>
      <c r="D274">
        <v>0.54720000000000002</v>
      </c>
      <c r="E274">
        <v>0.58150000000000002</v>
      </c>
      <c r="F274">
        <v>21815390.75</v>
      </c>
      <c r="G274">
        <v>0</v>
      </c>
      <c r="L274" t="s">
        <v>8</v>
      </c>
      <c r="M274" t="s">
        <v>8</v>
      </c>
      <c r="N274" t="s">
        <v>7</v>
      </c>
      <c r="P274">
        <f t="shared" si="919"/>
        <v>-0.25272331154684097</v>
      </c>
      <c r="Q274">
        <f t="shared" si="920"/>
        <v>-5513257.793028323</v>
      </c>
      <c r="R274">
        <f t="shared" si="921"/>
        <v>2185856.2055241745</v>
      </c>
      <c r="S274">
        <f t="shared" si="922"/>
        <v>21.858562055241745</v>
      </c>
      <c r="T274">
        <f t="shared" si="923"/>
        <v>2.1858562055241743E-2</v>
      </c>
    </row>
    <row r="275" spans="1:20" x14ac:dyDescent="0.25">
      <c r="A275" s="5">
        <v>44309</v>
      </c>
      <c r="B275">
        <v>0.65949999999999998</v>
      </c>
      <c r="C275">
        <v>0.67579999999999996</v>
      </c>
      <c r="D275">
        <v>0.52049999999999996</v>
      </c>
      <c r="E275">
        <v>0.60429999999999995</v>
      </c>
      <c r="F275">
        <v>20251894.559999999</v>
      </c>
      <c r="G275">
        <v>0</v>
      </c>
      <c r="L275" t="s">
        <v>7</v>
      </c>
      <c r="M275" t="s">
        <v>7</v>
      </c>
      <c r="N275" t="s">
        <v>7</v>
      </c>
      <c r="P275">
        <f t="shared" si="919"/>
        <v>7.9201545396007586E-2</v>
      </c>
      <c r="Q275">
        <f t="shared" si="920"/>
        <v>1603981.3463489991</v>
      </c>
      <c r="R275">
        <f t="shared" si="921"/>
        <v>7699113.9985524975</v>
      </c>
      <c r="S275">
        <f t="shared" si="922"/>
        <v>76.991139985524981</v>
      </c>
      <c r="T275">
        <f t="shared" si="923"/>
        <v>7.6991139985524981E-2</v>
      </c>
    </row>
    <row r="276" spans="1:20" x14ac:dyDescent="0.25">
      <c r="A276" s="5">
        <v>44308</v>
      </c>
      <c r="B276">
        <v>0.78010000000000002</v>
      </c>
      <c r="C276">
        <v>0.80349999999999999</v>
      </c>
      <c r="D276">
        <v>0.64280000000000004</v>
      </c>
      <c r="E276">
        <v>0.65849999999999997</v>
      </c>
      <c r="F276">
        <v>20418823.579999998</v>
      </c>
      <c r="G276">
        <v>0</v>
      </c>
      <c r="L276" t="s">
        <v>7</v>
      </c>
      <c r="M276" t="s">
        <v>7</v>
      </c>
      <c r="N276" t="s">
        <v>8</v>
      </c>
      <c r="P276">
        <f t="shared" si="919"/>
        <v>-0.80460485376477986</v>
      </c>
      <c r="Q276">
        <f t="shared" si="920"/>
        <v>-16429084.560634738</v>
      </c>
      <c r="R276">
        <f t="shared" si="921"/>
        <v>6095132.6522034984</v>
      </c>
      <c r="S276">
        <f t="shared" si="922"/>
        <v>60.951326522034982</v>
      </c>
      <c r="T276">
        <f t="shared" si="923"/>
        <v>6.0951326522034985E-2</v>
      </c>
    </row>
    <row r="277" spans="1:20" x14ac:dyDescent="0.25">
      <c r="A277" s="5">
        <v>44307</v>
      </c>
      <c r="B277">
        <v>0.72389999999999999</v>
      </c>
      <c r="C277">
        <v>0.85</v>
      </c>
      <c r="D277">
        <v>0.70379999999999998</v>
      </c>
      <c r="E277">
        <v>0.78100000000000003</v>
      </c>
      <c r="F277">
        <v>26620982.370000001</v>
      </c>
      <c r="G277">
        <v>0</v>
      </c>
      <c r="L277" t="s">
        <v>8</v>
      </c>
      <c r="M277" t="s">
        <v>8</v>
      </c>
      <c r="N277" t="s">
        <v>8</v>
      </c>
      <c r="P277">
        <f t="shared" si="919"/>
        <v>5.6087551299590262E-2</v>
      </c>
      <c r="Q277">
        <f t="shared" si="920"/>
        <v>1493105.7143228629</v>
      </c>
      <c r="R277">
        <f t="shared" si="921"/>
        <v>22524217.212838236</v>
      </c>
      <c r="S277">
        <f t="shared" si="922"/>
        <v>225.24217212838235</v>
      </c>
      <c r="T277">
        <f t="shared" si="923"/>
        <v>0.22524217212838235</v>
      </c>
    </row>
    <row r="278" spans="1:20" x14ac:dyDescent="0.25">
      <c r="A278" s="5">
        <v>44306</v>
      </c>
      <c r="B278">
        <v>0.69550000000000001</v>
      </c>
      <c r="C278">
        <v>0.77680000000000005</v>
      </c>
      <c r="D278">
        <v>0.61119999999999997</v>
      </c>
      <c r="E278">
        <v>0.72509999999999997</v>
      </c>
      <c r="F278">
        <v>24386642.649999999</v>
      </c>
      <c r="G278">
        <v>0</v>
      </c>
      <c r="L278" t="s">
        <v>7</v>
      </c>
      <c r="M278" t="s">
        <v>7</v>
      </c>
      <c r="N278" t="s">
        <v>7</v>
      </c>
      <c r="P278">
        <f t="shared" si="919"/>
        <v>0.37560386473429885</v>
      </c>
      <c r="Q278">
        <f t="shared" si="920"/>
        <v>9159717.2272342835</v>
      </c>
      <c r="R278">
        <f t="shared" si="921"/>
        <v>21031111.498515375</v>
      </c>
      <c r="S278">
        <f t="shared" si="922"/>
        <v>210.31111498515375</v>
      </c>
      <c r="T278">
        <f t="shared" si="923"/>
        <v>0.21031111498515376</v>
      </c>
    </row>
    <row r="279" spans="1:20" x14ac:dyDescent="0.25">
      <c r="A279" s="5">
        <v>44305</v>
      </c>
      <c r="B279">
        <v>0.77</v>
      </c>
      <c r="C279">
        <v>0.80100000000000005</v>
      </c>
      <c r="D279">
        <v>0.66249999999999998</v>
      </c>
      <c r="E279">
        <v>0.69969999999999999</v>
      </c>
      <c r="F279">
        <v>20606750.280000001</v>
      </c>
      <c r="G279">
        <v>0</v>
      </c>
      <c r="L279" t="s">
        <v>8</v>
      </c>
      <c r="M279" t="s">
        <v>8</v>
      </c>
      <c r="N279" t="s">
        <v>7</v>
      </c>
      <c r="P279">
        <f t="shared" si="919"/>
        <v>-0.46281588447653438</v>
      </c>
      <c r="Q279">
        <f t="shared" si="920"/>
        <v>-9537131.3570252731</v>
      </c>
      <c r="R279">
        <f t="shared" si="921"/>
        <v>11871394.27128109</v>
      </c>
      <c r="S279">
        <f t="shared" si="922"/>
        <v>118.71394271281089</v>
      </c>
      <c r="T279">
        <f t="shared" si="923"/>
        <v>0.1187139427128109</v>
      </c>
    </row>
    <row r="280" spans="1:20" x14ac:dyDescent="0.25">
      <c r="A280" s="5">
        <v>44304</v>
      </c>
      <c r="B280">
        <v>0.91</v>
      </c>
      <c r="C280">
        <v>0.92169999999999996</v>
      </c>
      <c r="D280">
        <v>0.61660000000000004</v>
      </c>
      <c r="E280">
        <v>0.76900000000000002</v>
      </c>
      <c r="F280">
        <v>31838558.190000001</v>
      </c>
      <c r="G280">
        <v>0</v>
      </c>
      <c r="L280" t="s">
        <v>7</v>
      </c>
      <c r="M280" t="s">
        <v>7</v>
      </c>
      <c r="N280" t="s">
        <v>7</v>
      </c>
      <c r="P280">
        <f t="shared" si="919"/>
        <v>-9.8328416912476894E-4</v>
      </c>
      <c r="Q280">
        <f t="shared" si="920"/>
        <v>-31306.350235984759</v>
      </c>
      <c r="R280">
        <f t="shared" si="921"/>
        <v>21408525.628306363</v>
      </c>
      <c r="S280">
        <f t="shared" si="922"/>
        <v>214.08525628306361</v>
      </c>
      <c r="T280">
        <f t="shared" si="923"/>
        <v>0.2140852562830636</v>
      </c>
    </row>
    <row r="281" spans="1:20" x14ac:dyDescent="0.25">
      <c r="A281" s="5">
        <v>44303</v>
      </c>
      <c r="B281">
        <v>0.91200000000000003</v>
      </c>
      <c r="C281">
        <v>1.048</v>
      </c>
      <c r="D281">
        <v>0.9</v>
      </c>
      <c r="E281">
        <v>0.9093</v>
      </c>
      <c r="F281">
        <v>25271222.379999999</v>
      </c>
      <c r="G281">
        <v>0</v>
      </c>
      <c r="L281" t="s">
        <v>8</v>
      </c>
      <c r="M281" t="s">
        <v>8</v>
      </c>
      <c r="N281" t="s">
        <v>8</v>
      </c>
      <c r="P281">
        <f t="shared" si="919"/>
        <v>-0.87432432432432472</v>
      </c>
      <c r="Q281">
        <f t="shared" si="920"/>
        <v>-22095244.432243254</v>
      </c>
      <c r="R281">
        <f t="shared" si="921"/>
        <v>21439831.978542347</v>
      </c>
      <c r="S281">
        <f t="shared" si="922"/>
        <v>214.39831978542347</v>
      </c>
      <c r="T281">
        <f t="shared" si="923"/>
        <v>0.21439831978542348</v>
      </c>
    </row>
    <row r="282" spans="1:20" x14ac:dyDescent="0.25">
      <c r="A282" s="5">
        <v>44302</v>
      </c>
      <c r="B282">
        <v>0.97570000000000001</v>
      </c>
      <c r="C282">
        <v>0.98360000000000003</v>
      </c>
      <c r="D282">
        <v>0.8619</v>
      </c>
      <c r="E282">
        <v>0.91200000000000003</v>
      </c>
      <c r="F282">
        <v>18552124.98</v>
      </c>
      <c r="G282">
        <v>0</v>
      </c>
      <c r="L282" t="s">
        <v>7</v>
      </c>
      <c r="M282" t="s">
        <v>7</v>
      </c>
      <c r="N282" t="s">
        <v>8</v>
      </c>
      <c r="P282">
        <f t="shared" si="919"/>
        <v>-0.17666392769104319</v>
      </c>
      <c r="Q282">
        <f t="shared" si="920"/>
        <v>-3277491.2659819163</v>
      </c>
      <c r="R282">
        <f t="shared" si="921"/>
        <v>43535076.410785601</v>
      </c>
      <c r="S282">
        <f t="shared" si="922"/>
        <v>435.35076410785598</v>
      </c>
      <c r="T282">
        <f t="shared" si="923"/>
        <v>0.435350764107856</v>
      </c>
    </row>
    <row r="283" spans="1:20" x14ac:dyDescent="0.25">
      <c r="A283" s="5">
        <v>44301</v>
      </c>
      <c r="B283">
        <v>0.84040000000000004</v>
      </c>
      <c r="C283">
        <v>1.006</v>
      </c>
      <c r="D283">
        <v>0.81789999999999996</v>
      </c>
      <c r="E283">
        <v>0.97499999999999998</v>
      </c>
      <c r="F283">
        <v>32326352.739999998</v>
      </c>
      <c r="G283">
        <v>0</v>
      </c>
      <c r="L283" t="s">
        <v>8</v>
      </c>
      <c r="M283" t="s">
        <v>8</v>
      </c>
      <c r="N283" t="s">
        <v>8</v>
      </c>
      <c r="P283">
        <f t="shared" si="919"/>
        <v>0.67038809144072276</v>
      </c>
      <c r="Q283">
        <f t="shared" si="920"/>
        <v>21671201.916608177</v>
      </c>
      <c r="R283">
        <f t="shared" si="921"/>
        <v>46812567.676767521</v>
      </c>
      <c r="S283">
        <f t="shared" si="922"/>
        <v>468.1256767676752</v>
      </c>
      <c r="T283">
        <f t="shared" si="923"/>
        <v>0.46812567676767519</v>
      </c>
    </row>
    <row r="284" spans="1:20" x14ac:dyDescent="0.25">
      <c r="A284" s="5">
        <v>44300</v>
      </c>
      <c r="B284">
        <v>0.85070000000000001</v>
      </c>
      <c r="C284">
        <v>0.89900000000000002</v>
      </c>
      <c r="D284">
        <v>0.79269999999999996</v>
      </c>
      <c r="E284">
        <v>0.84030000000000005</v>
      </c>
      <c r="F284">
        <v>19135333.09</v>
      </c>
      <c r="G284">
        <v>0</v>
      </c>
      <c r="L284" t="s">
        <v>7</v>
      </c>
      <c r="M284" t="s">
        <v>8</v>
      </c>
      <c r="N284" t="s">
        <v>8</v>
      </c>
      <c r="P284">
        <f t="shared" si="919"/>
        <v>-0.10442144873000829</v>
      </c>
      <c r="Q284">
        <f t="shared" si="920"/>
        <v>-1998139.2031890661</v>
      </c>
      <c r="R284">
        <f t="shared" si="921"/>
        <v>25141365.760159343</v>
      </c>
      <c r="S284">
        <f t="shared" si="922"/>
        <v>251.41365760159343</v>
      </c>
      <c r="T284">
        <f t="shared" si="923"/>
        <v>0.25141365760159345</v>
      </c>
    </row>
    <row r="285" spans="1:20" x14ac:dyDescent="0.25">
      <c r="A285" s="5">
        <v>44299</v>
      </c>
      <c r="B285">
        <v>0.89249999999999996</v>
      </c>
      <c r="C285">
        <v>0.9103</v>
      </c>
      <c r="D285">
        <v>0.82840000000000003</v>
      </c>
      <c r="E285">
        <v>0.84960000000000002</v>
      </c>
      <c r="F285">
        <v>16010595.029999999</v>
      </c>
      <c r="G285">
        <v>0</v>
      </c>
      <c r="L285" t="s">
        <v>8</v>
      </c>
      <c r="M285" t="s">
        <v>8</v>
      </c>
      <c r="N285" t="s">
        <v>8</v>
      </c>
      <c r="P285">
        <f t="shared" si="919"/>
        <v>-0.48229548229548219</v>
      </c>
      <c r="Q285">
        <f t="shared" si="920"/>
        <v>-7721837.6518315002</v>
      </c>
      <c r="R285">
        <f t="shared" si="921"/>
        <v>27139504.963348411</v>
      </c>
      <c r="S285">
        <f t="shared" si="922"/>
        <v>271.39504963348412</v>
      </c>
      <c r="T285">
        <f t="shared" si="923"/>
        <v>0.2713950496334841</v>
      </c>
    </row>
    <row r="286" spans="1:20" x14ac:dyDescent="0.25">
      <c r="A286" s="5">
        <v>44298</v>
      </c>
      <c r="B286">
        <v>0.82199999999999995</v>
      </c>
      <c r="C286">
        <v>0.92359999999999998</v>
      </c>
      <c r="D286">
        <v>0.80459999999999998</v>
      </c>
      <c r="E286">
        <v>0.89229999999999998</v>
      </c>
      <c r="F286">
        <v>24769195.719999999</v>
      </c>
      <c r="G286">
        <v>0</v>
      </c>
      <c r="L286" t="s">
        <v>7</v>
      </c>
      <c r="M286" t="s">
        <v>8</v>
      </c>
      <c r="N286" t="s">
        <v>8</v>
      </c>
      <c r="P286">
        <f t="shared" si="919"/>
        <v>0.47394957983193287</v>
      </c>
      <c r="Q286">
        <f t="shared" si="920"/>
        <v>11739349.904268909</v>
      </c>
      <c r="R286">
        <f t="shared" si="921"/>
        <v>34861342.615179911</v>
      </c>
      <c r="S286">
        <f t="shared" si="922"/>
        <v>348.6134261517991</v>
      </c>
      <c r="T286">
        <f t="shared" si="923"/>
        <v>0.34861342615179908</v>
      </c>
    </row>
    <row r="287" spans="1:20" x14ac:dyDescent="0.25">
      <c r="A287" s="5">
        <v>44297</v>
      </c>
      <c r="B287">
        <v>0.81540000000000001</v>
      </c>
      <c r="C287">
        <v>0.91830000000000001</v>
      </c>
      <c r="D287">
        <v>0.80269999999999997</v>
      </c>
      <c r="E287">
        <v>0.8226</v>
      </c>
      <c r="F287">
        <v>20611041.739999998</v>
      </c>
      <c r="G287">
        <v>0</v>
      </c>
      <c r="L287" t="s">
        <v>8</v>
      </c>
      <c r="M287" t="s">
        <v>8</v>
      </c>
      <c r="N287" t="s">
        <v>8</v>
      </c>
      <c r="P287">
        <f t="shared" si="919"/>
        <v>-0.65570934256055324</v>
      </c>
      <c r="Q287">
        <f t="shared" si="920"/>
        <v>-13514852.628823521</v>
      </c>
      <c r="R287">
        <f t="shared" si="921"/>
        <v>23121992.710910998</v>
      </c>
      <c r="S287">
        <f t="shared" si="922"/>
        <v>231.21992710910999</v>
      </c>
      <c r="T287">
        <f t="shared" si="923"/>
        <v>0.23121992710910999</v>
      </c>
    </row>
    <row r="288" spans="1:20" x14ac:dyDescent="0.25">
      <c r="A288" s="5">
        <v>44296</v>
      </c>
      <c r="B288">
        <v>0.85470000000000002</v>
      </c>
      <c r="C288">
        <v>0.88</v>
      </c>
      <c r="D288">
        <v>0.77829999999999999</v>
      </c>
      <c r="E288">
        <v>0.8165</v>
      </c>
      <c r="F288">
        <v>16503048.67</v>
      </c>
      <c r="G288">
        <v>0</v>
      </c>
      <c r="L288" t="s">
        <v>7</v>
      </c>
      <c r="M288" t="s">
        <v>7</v>
      </c>
      <c r="N288" t="s">
        <v>8</v>
      </c>
      <c r="P288">
        <f t="shared" si="919"/>
        <v>-0.24877089478859377</v>
      </c>
      <c r="Q288">
        <f t="shared" si="920"/>
        <v>-4105478.1843756121</v>
      </c>
      <c r="R288">
        <f t="shared" si="921"/>
        <v>36636845.339734517</v>
      </c>
      <c r="S288">
        <f t="shared" si="922"/>
        <v>366.36845339734515</v>
      </c>
      <c r="T288">
        <f t="shared" si="923"/>
        <v>0.36636845339734514</v>
      </c>
    </row>
    <row r="289" spans="1:20" x14ac:dyDescent="0.25">
      <c r="A289" s="5">
        <v>44295</v>
      </c>
      <c r="B289">
        <v>0.91749999999999998</v>
      </c>
      <c r="C289">
        <v>0.94830000000000003</v>
      </c>
      <c r="D289">
        <v>0.83720000000000006</v>
      </c>
      <c r="E289">
        <v>0.85350000000000004</v>
      </c>
      <c r="F289">
        <v>19362392.719999999</v>
      </c>
      <c r="G289">
        <v>0</v>
      </c>
      <c r="L289" t="s">
        <v>7</v>
      </c>
      <c r="M289" t="s">
        <v>8</v>
      </c>
      <c r="N289" t="s">
        <v>8</v>
      </c>
      <c r="P289">
        <f t="shared" si="919"/>
        <v>-0.70657065706570688</v>
      </c>
      <c r="Q289">
        <f t="shared" si="920"/>
        <v>-13680898.546534659</v>
      </c>
      <c r="R289">
        <f t="shared" si="921"/>
        <v>40742323.524110131</v>
      </c>
      <c r="S289">
        <f t="shared" si="922"/>
        <v>407.42323524110134</v>
      </c>
      <c r="T289">
        <f t="shared" si="923"/>
        <v>0.40742323524110136</v>
      </c>
    </row>
    <row r="290" spans="1:20" x14ac:dyDescent="0.25">
      <c r="A290" s="5">
        <v>44294</v>
      </c>
      <c r="B290">
        <v>0.84160000000000001</v>
      </c>
      <c r="C290">
        <v>0.98409999999999997</v>
      </c>
      <c r="D290">
        <v>0.82440000000000002</v>
      </c>
      <c r="E290">
        <v>0.91810000000000003</v>
      </c>
      <c r="F290">
        <v>38572387.329999998</v>
      </c>
      <c r="G290">
        <v>0</v>
      </c>
      <c r="L290" t="s">
        <v>8</v>
      </c>
      <c r="M290" t="s">
        <v>8</v>
      </c>
      <c r="N290" t="s">
        <v>8</v>
      </c>
      <c r="P290">
        <f t="shared" si="919"/>
        <v>0.17345021916092715</v>
      </c>
      <c r="Q290">
        <f t="shared" si="920"/>
        <v>6690389.0359486695</v>
      </c>
      <c r="R290">
        <f t="shared" si="921"/>
        <v>54423222.070644788</v>
      </c>
      <c r="S290">
        <f t="shared" si="922"/>
        <v>544.23222070644783</v>
      </c>
      <c r="T290">
        <f t="shared" si="923"/>
        <v>0.54423222070644783</v>
      </c>
    </row>
    <row r="291" spans="1:20" x14ac:dyDescent="0.25">
      <c r="A291" s="5">
        <v>44293</v>
      </c>
      <c r="B291">
        <v>0.83209999999999995</v>
      </c>
      <c r="C291">
        <v>0.91180000000000005</v>
      </c>
      <c r="D291">
        <v>0.7238</v>
      </c>
      <c r="E291">
        <v>0.84160000000000001</v>
      </c>
      <c r="F291">
        <v>56130743.289999999</v>
      </c>
      <c r="G291">
        <v>0</v>
      </c>
      <c r="L291" t="s">
        <v>8</v>
      </c>
      <c r="M291" t="s">
        <v>8</v>
      </c>
      <c r="N291" t="s">
        <v>8</v>
      </c>
      <c r="P291">
        <f t="shared" si="919"/>
        <v>0.25319148936170194</v>
      </c>
      <c r="Q291">
        <f t="shared" si="920"/>
        <v>14211826.492574457</v>
      </c>
      <c r="R291">
        <f t="shared" si="921"/>
        <v>47732833.034696117</v>
      </c>
      <c r="S291">
        <f t="shared" si="922"/>
        <v>477.3283303469612</v>
      </c>
      <c r="T291">
        <f t="shared" si="923"/>
        <v>0.4773283303469612</v>
      </c>
    </row>
    <row r="292" spans="1:20" x14ac:dyDescent="0.25">
      <c r="A292" s="5">
        <v>44292</v>
      </c>
      <c r="B292">
        <v>0.77900000000000003</v>
      </c>
      <c r="C292">
        <v>0.89180000000000004</v>
      </c>
      <c r="D292">
        <v>0.72499999999999998</v>
      </c>
      <c r="E292">
        <v>0.83130000000000004</v>
      </c>
      <c r="F292">
        <v>24794125.039999999</v>
      </c>
      <c r="G292">
        <v>0</v>
      </c>
      <c r="L292" t="s">
        <v>8</v>
      </c>
      <c r="M292" t="s">
        <v>7</v>
      </c>
      <c r="N292" t="s">
        <v>8</v>
      </c>
      <c r="P292">
        <f t="shared" si="919"/>
        <v>0.27458033573141516</v>
      </c>
      <c r="Q292">
        <f t="shared" si="920"/>
        <v>6807979.1776498873</v>
      </c>
      <c r="R292">
        <f t="shared" si="921"/>
        <v>33521006.542121664</v>
      </c>
      <c r="S292">
        <f t="shared" si="922"/>
        <v>335.21006542121665</v>
      </c>
      <c r="T292">
        <f t="shared" si="923"/>
        <v>0.33521006542121667</v>
      </c>
    </row>
    <row r="293" spans="1:20" x14ac:dyDescent="0.25">
      <c r="A293" s="5">
        <v>44291</v>
      </c>
      <c r="B293">
        <v>0.73719999999999997</v>
      </c>
      <c r="C293">
        <v>0.87809999999999999</v>
      </c>
      <c r="D293">
        <v>0.69350000000000001</v>
      </c>
      <c r="E293">
        <v>0.77839999999999998</v>
      </c>
      <c r="F293">
        <v>36004891.18</v>
      </c>
      <c r="G293">
        <v>0</v>
      </c>
      <c r="L293" t="s">
        <v>8</v>
      </c>
      <c r="M293" t="s">
        <v>8</v>
      </c>
      <c r="N293" t="s">
        <v>8</v>
      </c>
      <c r="P293">
        <f t="shared" si="919"/>
        <v>-8.0173347778981774E-2</v>
      </c>
      <c r="Q293">
        <f t="shared" si="920"/>
        <v>-2886632.6623185333</v>
      </c>
      <c r="R293">
        <f t="shared" si="921"/>
        <v>26713027.364471778</v>
      </c>
      <c r="S293">
        <f t="shared" si="922"/>
        <v>267.13027364471776</v>
      </c>
      <c r="T293">
        <f t="shared" si="923"/>
        <v>0.26713027364471775</v>
      </c>
    </row>
    <row r="294" spans="1:20" x14ac:dyDescent="0.25">
      <c r="A294" s="5">
        <v>44290</v>
      </c>
      <c r="B294">
        <v>0.63219999999999998</v>
      </c>
      <c r="C294">
        <v>0.7581</v>
      </c>
      <c r="D294">
        <v>0.62319999999999998</v>
      </c>
      <c r="E294">
        <v>0.73760000000000003</v>
      </c>
      <c r="F294">
        <v>16964972.620000001</v>
      </c>
      <c r="G294">
        <v>0</v>
      </c>
      <c r="L294" t="s">
        <v>8</v>
      </c>
      <c r="M294" t="s">
        <v>8</v>
      </c>
      <c r="N294" t="s">
        <v>8</v>
      </c>
      <c r="P294">
        <f t="shared" si="919"/>
        <v>0.69607116382505618</v>
      </c>
      <c r="Q294">
        <f t="shared" si="920"/>
        <v>11808828.235863613</v>
      </c>
      <c r="R294">
        <f t="shared" si="921"/>
        <v>29599660.026790313</v>
      </c>
      <c r="S294">
        <f t="shared" si="922"/>
        <v>295.99660026790315</v>
      </c>
      <c r="T294">
        <f t="shared" si="923"/>
        <v>0.29599660026790314</v>
      </c>
    </row>
    <row r="295" spans="1:20" x14ac:dyDescent="0.25">
      <c r="A295" s="5">
        <v>44289</v>
      </c>
      <c r="B295">
        <v>0.6986</v>
      </c>
      <c r="C295">
        <v>0.74409999999999998</v>
      </c>
      <c r="D295">
        <v>0.62909999999999999</v>
      </c>
      <c r="E295">
        <v>0.6321</v>
      </c>
      <c r="F295">
        <v>13228061.58</v>
      </c>
      <c r="G295">
        <v>0</v>
      </c>
      <c r="L295" t="s">
        <v>8</v>
      </c>
      <c r="M295" t="s">
        <v>7</v>
      </c>
      <c r="N295" t="s">
        <v>8</v>
      </c>
      <c r="P295">
        <f t="shared" si="919"/>
        <v>-0.94782608695652171</v>
      </c>
      <c r="Q295">
        <f t="shared" si="920"/>
        <v>-12537901.845391303</v>
      </c>
      <c r="R295">
        <f t="shared" si="921"/>
        <v>17790831.790926699</v>
      </c>
      <c r="S295">
        <f t="shared" si="922"/>
        <v>177.908317909267</v>
      </c>
      <c r="T295">
        <f t="shared" si="923"/>
        <v>0.17790831790926701</v>
      </c>
    </row>
    <row r="296" spans="1:20" x14ac:dyDescent="0.25">
      <c r="A296" s="5">
        <v>44288</v>
      </c>
      <c r="B296">
        <v>0.67100000000000004</v>
      </c>
      <c r="C296">
        <v>0.73499999999999999</v>
      </c>
      <c r="D296">
        <v>0.65590000000000004</v>
      </c>
      <c r="E296">
        <v>0.69750000000000001</v>
      </c>
      <c r="F296">
        <v>10475104.43</v>
      </c>
      <c r="G296">
        <v>0</v>
      </c>
      <c r="L296" t="s">
        <v>8</v>
      </c>
      <c r="M296" t="s">
        <v>8</v>
      </c>
      <c r="N296" t="s">
        <v>8</v>
      </c>
      <c r="P296">
        <f t="shared" si="919"/>
        <v>5.1833122629582749E-2</v>
      </c>
      <c r="Q296">
        <f t="shared" si="920"/>
        <v>542957.37247787544</v>
      </c>
      <c r="R296">
        <f t="shared" si="921"/>
        <v>30328733.636318002</v>
      </c>
      <c r="S296">
        <f t="shared" si="922"/>
        <v>303.28733636318003</v>
      </c>
      <c r="T296">
        <f t="shared" si="923"/>
        <v>0.30328733636318</v>
      </c>
    </row>
    <row r="297" spans="1:20" x14ac:dyDescent="0.25">
      <c r="A297" s="5">
        <v>44287</v>
      </c>
      <c r="B297">
        <v>0.70930000000000004</v>
      </c>
      <c r="C297">
        <v>0.74</v>
      </c>
      <c r="D297">
        <v>0.65490000000000004</v>
      </c>
      <c r="E297">
        <v>0.67090000000000005</v>
      </c>
      <c r="F297">
        <v>11087056.42</v>
      </c>
      <c r="G297">
        <v>0</v>
      </c>
      <c r="L297" t="s">
        <v>7</v>
      </c>
      <c r="M297" t="s">
        <v>8</v>
      </c>
      <c r="N297" t="s">
        <v>8</v>
      </c>
      <c r="P297">
        <f t="shared" si="919"/>
        <v>-0.62397179788484081</v>
      </c>
      <c r="Q297">
        <f t="shared" si="920"/>
        <v>-6918010.5276380666</v>
      </c>
      <c r="R297">
        <f t="shared" si="921"/>
        <v>29785776.263840128</v>
      </c>
      <c r="S297">
        <f t="shared" si="922"/>
        <v>297.85776263840125</v>
      </c>
      <c r="T297">
        <f t="shared" si="923"/>
        <v>0.29785776263840125</v>
      </c>
    </row>
    <row r="298" spans="1:20" x14ac:dyDescent="0.25">
      <c r="A298" s="5">
        <v>44286</v>
      </c>
      <c r="B298">
        <v>0.69389999999999996</v>
      </c>
      <c r="C298">
        <v>0.749</v>
      </c>
      <c r="D298">
        <v>0.59799999999999998</v>
      </c>
      <c r="E298">
        <v>0.70840000000000003</v>
      </c>
      <c r="F298">
        <v>31916014.370000001</v>
      </c>
      <c r="G298">
        <v>0</v>
      </c>
      <c r="L298" t="s">
        <v>8</v>
      </c>
      <c r="M298" t="s">
        <v>8</v>
      </c>
      <c r="N298" t="s">
        <v>8</v>
      </c>
      <c r="P298">
        <f t="shared" si="919"/>
        <v>0.46225165562913956</v>
      </c>
      <c r="Q298">
        <f t="shared" si="920"/>
        <v>14753230.483615911</v>
      </c>
      <c r="R298">
        <f t="shared" si="921"/>
        <v>36703786.791478194</v>
      </c>
      <c r="S298">
        <f t="shared" si="922"/>
        <v>367.03786791478194</v>
      </c>
      <c r="T298">
        <f t="shared" si="923"/>
        <v>0.36703786791478193</v>
      </c>
    </row>
    <row r="299" spans="1:20" x14ac:dyDescent="0.25">
      <c r="A299" s="5">
        <v>44285</v>
      </c>
      <c r="B299">
        <v>0.61180000000000001</v>
      </c>
      <c r="C299">
        <v>0.69889999999999997</v>
      </c>
      <c r="D299">
        <v>0.60509999999999997</v>
      </c>
      <c r="E299">
        <v>0.69359999999999999</v>
      </c>
      <c r="F299">
        <v>20288552.09</v>
      </c>
      <c r="G299">
        <v>0</v>
      </c>
      <c r="L299" t="s">
        <v>8</v>
      </c>
      <c r="M299" t="s">
        <v>8</v>
      </c>
      <c r="N299" t="s">
        <v>8</v>
      </c>
      <c r="P299">
        <f t="shared" si="919"/>
        <v>0.88699360341151445</v>
      </c>
      <c r="Q299">
        <f t="shared" si="920"/>
        <v>17995815.926311314</v>
      </c>
      <c r="R299">
        <f t="shared" si="921"/>
        <v>21950556.307862282</v>
      </c>
      <c r="S299">
        <f t="shared" si="922"/>
        <v>219.50556307862283</v>
      </c>
      <c r="T299">
        <f t="shared" si="923"/>
        <v>0.21950556307862282</v>
      </c>
    </row>
    <row r="300" spans="1:20" x14ac:dyDescent="0.25">
      <c r="A300" s="5">
        <v>44284</v>
      </c>
      <c r="B300">
        <v>0.57909999999999995</v>
      </c>
      <c r="C300">
        <v>0.63129999999999997</v>
      </c>
      <c r="D300">
        <v>0.56210000000000004</v>
      </c>
      <c r="E300">
        <v>0.61080000000000001</v>
      </c>
      <c r="F300">
        <v>14135704.67</v>
      </c>
      <c r="G300">
        <v>0</v>
      </c>
      <c r="L300" t="s">
        <v>8</v>
      </c>
      <c r="M300" t="s">
        <v>8</v>
      </c>
      <c r="N300" t="s">
        <v>8</v>
      </c>
      <c r="P300">
        <f t="shared" si="919"/>
        <v>0.40751445086705251</v>
      </c>
      <c r="Q300">
        <f t="shared" si="920"/>
        <v>5760503.9262138801</v>
      </c>
      <c r="R300">
        <f t="shared" si="921"/>
        <v>3954740.3815509696</v>
      </c>
      <c r="S300">
        <f t="shared" si="922"/>
        <v>39.547403815509696</v>
      </c>
      <c r="T300">
        <f t="shared" si="923"/>
        <v>3.9547403815509696E-2</v>
      </c>
    </row>
    <row r="301" spans="1:20" x14ac:dyDescent="0.25">
      <c r="A301" s="5">
        <v>44283</v>
      </c>
      <c r="B301">
        <v>0.52470000000000006</v>
      </c>
      <c r="C301">
        <v>0.59540000000000004</v>
      </c>
      <c r="D301">
        <v>0.51719999999999999</v>
      </c>
      <c r="E301">
        <v>0.57789999999999997</v>
      </c>
      <c r="F301">
        <v>14736433.550000001</v>
      </c>
      <c r="G301">
        <v>0</v>
      </c>
      <c r="L301" t="s">
        <v>8</v>
      </c>
      <c r="M301" t="s">
        <v>8</v>
      </c>
      <c r="N301" t="s">
        <v>7</v>
      </c>
      <c r="P301">
        <f t="shared" si="919"/>
        <v>0.55242966751917999</v>
      </c>
      <c r="Q301">
        <f t="shared" si="920"/>
        <v>8140843.0864449898</v>
      </c>
      <c r="R301">
        <f t="shared" si="921"/>
        <v>-1805763.5446629105</v>
      </c>
      <c r="S301">
        <f t="shared" si="922"/>
        <v>-18.057635446629106</v>
      </c>
      <c r="T301">
        <f t="shared" si="923"/>
        <v>-1.8057635446629108E-2</v>
      </c>
    </row>
    <row r="302" spans="1:20" x14ac:dyDescent="0.25">
      <c r="A302" s="5">
        <v>44282</v>
      </c>
      <c r="B302">
        <v>0.5202</v>
      </c>
      <c r="C302">
        <v>0.55410000000000004</v>
      </c>
      <c r="D302">
        <v>0.50560000000000005</v>
      </c>
      <c r="E302">
        <v>0.52470000000000006</v>
      </c>
      <c r="F302">
        <v>11545797.83</v>
      </c>
      <c r="G302">
        <v>0</v>
      </c>
      <c r="L302" t="s">
        <v>8</v>
      </c>
      <c r="M302" t="s">
        <v>8</v>
      </c>
      <c r="N302" t="s">
        <v>7</v>
      </c>
      <c r="P302">
        <f t="shared" si="919"/>
        <v>-0.21237113402061811</v>
      </c>
      <c r="Q302">
        <f t="shared" si="920"/>
        <v>-2451994.1783298915</v>
      </c>
      <c r="R302">
        <f t="shared" si="921"/>
        <v>-9946606.6311079003</v>
      </c>
      <c r="S302">
        <f t="shared" si="922"/>
        <v>-99.466066311079004</v>
      </c>
      <c r="T302">
        <f t="shared" si="923"/>
        <v>-9.9466066311079002E-2</v>
      </c>
    </row>
    <row r="303" spans="1:20" x14ac:dyDescent="0.25">
      <c r="A303" s="5">
        <v>44281</v>
      </c>
      <c r="B303">
        <v>0.45069999999999999</v>
      </c>
      <c r="C303">
        <v>0.53749999999999998</v>
      </c>
      <c r="D303">
        <v>0.45040000000000002</v>
      </c>
      <c r="E303">
        <v>0.51980000000000004</v>
      </c>
      <c r="F303">
        <v>14308690.619999999</v>
      </c>
      <c r="G303">
        <v>0</v>
      </c>
      <c r="L303" t="s">
        <v>8</v>
      </c>
      <c r="M303" t="s">
        <v>8</v>
      </c>
      <c r="N303" t="s">
        <v>7</v>
      </c>
      <c r="P303">
        <f t="shared" si="919"/>
        <v>0.59357060849598287</v>
      </c>
      <c r="Q303">
        <f t="shared" si="920"/>
        <v>8493218.1980941612</v>
      </c>
      <c r="R303">
        <f t="shared" si="921"/>
        <v>-7494612.4527780097</v>
      </c>
      <c r="S303">
        <f t="shared" si="922"/>
        <v>-74.9461245277801</v>
      </c>
      <c r="T303">
        <f t="shared" si="923"/>
        <v>-7.49461245277801E-2</v>
      </c>
    </row>
    <row r="304" spans="1:20" x14ac:dyDescent="0.25">
      <c r="A304" s="5">
        <v>44280</v>
      </c>
      <c r="B304">
        <v>0.46589999999999998</v>
      </c>
      <c r="C304">
        <v>0.49170000000000003</v>
      </c>
      <c r="D304">
        <v>0.42420000000000002</v>
      </c>
      <c r="E304">
        <v>0.45100000000000001</v>
      </c>
      <c r="F304">
        <v>19368660.420000002</v>
      </c>
      <c r="G304">
        <v>0</v>
      </c>
      <c r="L304" t="s">
        <v>7</v>
      </c>
      <c r="M304" t="s">
        <v>7</v>
      </c>
      <c r="N304" t="s">
        <v>7</v>
      </c>
      <c r="P304">
        <f t="shared" si="919"/>
        <v>-0.20592592592592626</v>
      </c>
      <c r="Q304">
        <f t="shared" si="920"/>
        <v>-3988509.3309333404</v>
      </c>
      <c r="R304">
        <f t="shared" si="921"/>
        <v>-15987830.650872171</v>
      </c>
      <c r="S304">
        <f t="shared" si="922"/>
        <v>-159.87830650872172</v>
      </c>
      <c r="T304">
        <f t="shared" si="923"/>
        <v>-0.15987830650872173</v>
      </c>
    </row>
    <row r="305" spans="1:20" x14ac:dyDescent="0.25">
      <c r="A305" s="5">
        <v>44279</v>
      </c>
      <c r="B305">
        <v>0.51080000000000003</v>
      </c>
      <c r="C305">
        <v>0.58660000000000001</v>
      </c>
      <c r="D305">
        <v>0.4425</v>
      </c>
      <c r="E305">
        <v>0.46589999999999998</v>
      </c>
      <c r="F305">
        <v>19851051.399999999</v>
      </c>
      <c r="G305">
        <v>0</v>
      </c>
      <c r="L305" t="s">
        <v>7</v>
      </c>
      <c r="M305" t="s">
        <v>7</v>
      </c>
      <c r="N305" t="s">
        <v>7</v>
      </c>
      <c r="P305">
        <f t="shared" si="919"/>
        <v>-0.67522553782095796</v>
      </c>
      <c r="Q305">
        <f t="shared" si="920"/>
        <v>-13403936.85787648</v>
      </c>
      <c r="R305">
        <f t="shared" si="921"/>
        <v>-11999321.319938831</v>
      </c>
      <c r="S305">
        <f t="shared" si="922"/>
        <v>-119.99321319938831</v>
      </c>
      <c r="T305">
        <f t="shared" si="923"/>
        <v>-0.11999321319938831</v>
      </c>
    </row>
    <row r="306" spans="1:20" x14ac:dyDescent="0.25">
      <c r="A306" s="5">
        <v>44278</v>
      </c>
      <c r="B306">
        <v>0.51519999999999999</v>
      </c>
      <c r="C306">
        <v>0.54259999999999997</v>
      </c>
      <c r="D306">
        <v>0.48499999999999999</v>
      </c>
      <c r="E306">
        <v>0.5111</v>
      </c>
      <c r="F306">
        <v>12380866.34</v>
      </c>
      <c r="G306">
        <v>0</v>
      </c>
      <c r="L306" t="s">
        <v>7</v>
      </c>
      <c r="M306" t="s">
        <v>7</v>
      </c>
      <c r="N306" t="s">
        <v>7</v>
      </c>
      <c r="P306">
        <f t="shared" si="919"/>
        <v>-9.3749999999999334E-2</v>
      </c>
      <c r="Q306">
        <f t="shared" si="920"/>
        <v>-1160706.2193749917</v>
      </c>
      <c r="R306">
        <f t="shared" si="921"/>
        <v>1404615.5379376488</v>
      </c>
      <c r="S306">
        <f t="shared" si="922"/>
        <v>14.046155379376488</v>
      </c>
      <c r="T306">
        <f t="shared" si="923"/>
        <v>1.4046155379376488E-2</v>
      </c>
    </row>
    <row r="307" spans="1:20" x14ac:dyDescent="0.25">
      <c r="A307" s="5">
        <v>44277</v>
      </c>
      <c r="B307">
        <v>0.5665</v>
      </c>
      <c r="C307">
        <v>0.60229999999999995</v>
      </c>
      <c r="D307">
        <v>0.51400000000000001</v>
      </c>
      <c r="E307">
        <v>0.51439999999999997</v>
      </c>
      <c r="F307">
        <v>13979514.210000001</v>
      </c>
      <c r="G307">
        <v>0</v>
      </c>
      <c r="L307" t="s">
        <v>7</v>
      </c>
      <c r="M307" t="s">
        <v>7</v>
      </c>
      <c r="N307" t="s">
        <v>8</v>
      </c>
      <c r="P307">
        <f t="shared" si="919"/>
        <v>-0.99093997734994432</v>
      </c>
      <c r="Q307">
        <f t="shared" si="920"/>
        <v>-13852859.494620625</v>
      </c>
      <c r="R307">
        <f t="shared" si="921"/>
        <v>2565321.7573126405</v>
      </c>
      <c r="S307">
        <f t="shared" si="922"/>
        <v>25.653217573126405</v>
      </c>
      <c r="T307">
        <f t="shared" si="923"/>
        <v>2.5653217573126406E-2</v>
      </c>
    </row>
    <row r="308" spans="1:20" x14ac:dyDescent="0.25">
      <c r="A308" s="5">
        <v>44276</v>
      </c>
      <c r="B308">
        <v>0.58579999999999999</v>
      </c>
      <c r="C308">
        <v>0.59570000000000001</v>
      </c>
      <c r="D308">
        <v>0.54020000000000001</v>
      </c>
      <c r="E308">
        <v>0.56479999999999997</v>
      </c>
      <c r="F308">
        <v>10745587</v>
      </c>
      <c r="G308">
        <v>0</v>
      </c>
      <c r="L308" t="s">
        <v>7</v>
      </c>
      <c r="M308" t="s">
        <v>7</v>
      </c>
      <c r="N308" t="s">
        <v>8</v>
      </c>
      <c r="P308">
        <f t="shared" si="919"/>
        <v>-0.11351351351351503</v>
      </c>
      <c r="Q308">
        <f t="shared" si="920"/>
        <v>-1219769.3351351514</v>
      </c>
      <c r="R308">
        <f t="shared" si="921"/>
        <v>16418181.251933265</v>
      </c>
      <c r="S308">
        <f t="shared" si="922"/>
        <v>164.18181251933265</v>
      </c>
      <c r="T308">
        <f t="shared" si="923"/>
        <v>0.16418181251933264</v>
      </c>
    </row>
    <row r="309" spans="1:20" x14ac:dyDescent="0.25">
      <c r="A309" s="5">
        <v>44275</v>
      </c>
      <c r="B309">
        <v>0.5968</v>
      </c>
      <c r="C309">
        <v>0.63600000000000001</v>
      </c>
      <c r="D309">
        <v>0.58530000000000004</v>
      </c>
      <c r="E309">
        <v>0.58579999999999999</v>
      </c>
      <c r="F309">
        <v>8741383.9299999997</v>
      </c>
      <c r="G309">
        <v>0</v>
      </c>
      <c r="L309" t="s">
        <v>7</v>
      </c>
      <c r="M309" t="s">
        <v>8</v>
      </c>
      <c r="N309" t="s">
        <v>8</v>
      </c>
      <c r="P309">
        <f t="shared" si="919"/>
        <v>-0.98027613412229009</v>
      </c>
      <c r="Q309">
        <f t="shared" si="920"/>
        <v>-8568970.0457791109</v>
      </c>
      <c r="R309">
        <f t="shared" si="921"/>
        <v>17637950.587068416</v>
      </c>
      <c r="S309">
        <f t="shared" si="922"/>
        <v>176.37950587068417</v>
      </c>
      <c r="T309">
        <f t="shared" si="923"/>
        <v>0.17637950587068418</v>
      </c>
    </row>
    <row r="310" spans="1:20" x14ac:dyDescent="0.25">
      <c r="A310" s="5">
        <v>44274</v>
      </c>
      <c r="B310">
        <v>0.61119999999999997</v>
      </c>
      <c r="C310">
        <v>0.63680000000000003</v>
      </c>
      <c r="D310">
        <v>0.59340000000000004</v>
      </c>
      <c r="E310">
        <v>0.59670000000000001</v>
      </c>
      <c r="F310">
        <v>12336243.720000001</v>
      </c>
      <c r="G310">
        <v>0</v>
      </c>
      <c r="L310" t="s">
        <v>7</v>
      </c>
      <c r="M310" t="s">
        <v>8</v>
      </c>
      <c r="N310" t="s">
        <v>8</v>
      </c>
      <c r="P310">
        <f t="shared" si="919"/>
        <v>-0.84792626728110732</v>
      </c>
      <c r="Q310">
        <f t="shared" si="920"/>
        <v>-10460225.089769602</v>
      </c>
      <c r="R310">
        <f t="shared" si="921"/>
        <v>26206920.632847525</v>
      </c>
      <c r="S310">
        <f t="shared" si="922"/>
        <v>262.06920632847527</v>
      </c>
      <c r="T310">
        <f t="shared" si="923"/>
        <v>0.2620692063284753</v>
      </c>
    </row>
    <row r="311" spans="1:20" x14ac:dyDescent="0.25">
      <c r="A311" s="5">
        <v>44273</v>
      </c>
      <c r="B311">
        <v>0.5756</v>
      </c>
      <c r="C311">
        <v>0.69299999999999995</v>
      </c>
      <c r="D311">
        <v>0.5706</v>
      </c>
      <c r="E311">
        <v>0.61119999999999997</v>
      </c>
      <c r="F311">
        <v>30696563.43</v>
      </c>
      <c r="G311">
        <v>0</v>
      </c>
      <c r="L311" t="s">
        <v>8</v>
      </c>
      <c r="M311" t="s">
        <v>8</v>
      </c>
      <c r="N311" t="s">
        <v>8</v>
      </c>
      <c r="P311">
        <f t="shared" si="919"/>
        <v>-0.33660130718954273</v>
      </c>
      <c r="Q311">
        <f t="shared" si="920"/>
        <v>-10332503.376764713</v>
      </c>
      <c r="R311">
        <f t="shared" si="921"/>
        <v>36667145.722617127</v>
      </c>
      <c r="S311">
        <f t="shared" si="922"/>
        <v>366.67145722617124</v>
      </c>
      <c r="T311">
        <f t="shared" si="923"/>
        <v>0.36667145722617123</v>
      </c>
    </row>
    <row r="312" spans="1:20" x14ac:dyDescent="0.25">
      <c r="A312" s="5">
        <v>44272</v>
      </c>
      <c r="B312">
        <v>0.60699999999999998</v>
      </c>
      <c r="C312">
        <v>0.66</v>
      </c>
      <c r="D312">
        <v>0.56189999999999996</v>
      </c>
      <c r="E312">
        <v>0.57589999999999997</v>
      </c>
      <c r="F312">
        <v>38148724</v>
      </c>
      <c r="G312">
        <v>0</v>
      </c>
      <c r="L312" t="s">
        <v>8</v>
      </c>
      <c r="M312" t="s">
        <v>8</v>
      </c>
      <c r="N312" t="s">
        <v>8</v>
      </c>
      <c r="P312">
        <f t="shared" si="919"/>
        <v>-0.7145769622833843</v>
      </c>
      <c r="Q312">
        <f t="shared" si="920"/>
        <v>-27260199.310907237</v>
      </c>
      <c r="R312">
        <f t="shared" si="921"/>
        <v>46999649.099381842</v>
      </c>
      <c r="S312">
        <f t="shared" si="922"/>
        <v>469.99649099381844</v>
      </c>
      <c r="T312">
        <f t="shared" si="923"/>
        <v>0.46999649099381846</v>
      </c>
    </row>
    <row r="313" spans="1:20" x14ac:dyDescent="0.25">
      <c r="A313" s="5">
        <v>44271</v>
      </c>
      <c r="B313">
        <v>0.49559999999999998</v>
      </c>
      <c r="C313">
        <v>0.63649999999999995</v>
      </c>
      <c r="D313">
        <v>0.45700000000000002</v>
      </c>
      <c r="E313">
        <v>0.60660000000000003</v>
      </c>
      <c r="F313">
        <v>35110454.490000002</v>
      </c>
      <c r="G313">
        <v>0</v>
      </c>
      <c r="L313" t="s">
        <v>8</v>
      </c>
      <c r="M313" t="s">
        <v>8</v>
      </c>
      <c r="N313" t="s">
        <v>8</v>
      </c>
      <c r="P313">
        <f t="shared" si="919"/>
        <v>0.66685236768802303</v>
      </c>
      <c r="Q313">
        <f t="shared" si="920"/>
        <v>23413489.707259081</v>
      </c>
      <c r="R313">
        <f t="shared" si="921"/>
        <v>74259848.410289079</v>
      </c>
      <c r="S313">
        <f t="shared" si="922"/>
        <v>742.59848410289078</v>
      </c>
      <c r="T313">
        <f t="shared" si="923"/>
        <v>0.74259848410289075</v>
      </c>
    </row>
    <row r="314" spans="1:20" x14ac:dyDescent="0.25">
      <c r="A314" s="5">
        <v>44270</v>
      </c>
      <c r="B314">
        <v>0.4854</v>
      </c>
      <c r="C314">
        <v>0.51490000000000002</v>
      </c>
      <c r="D314">
        <v>0.4536</v>
      </c>
      <c r="E314">
        <v>0.49459999999999998</v>
      </c>
      <c r="F314">
        <v>21544114.699999999</v>
      </c>
      <c r="G314">
        <v>0</v>
      </c>
      <c r="L314" t="s">
        <v>7</v>
      </c>
      <c r="M314" t="s">
        <v>7</v>
      </c>
      <c r="N314" t="s">
        <v>8</v>
      </c>
      <c r="P314">
        <f t="shared" si="919"/>
        <v>0.33768352365415877</v>
      </c>
      <c r="Q314">
        <f t="shared" si="920"/>
        <v>7275092.5659053596</v>
      </c>
      <c r="R314">
        <f t="shared" si="921"/>
        <v>50846358.70302999</v>
      </c>
      <c r="S314">
        <f t="shared" si="922"/>
        <v>508.46358703029989</v>
      </c>
      <c r="T314">
        <f t="shared" si="923"/>
        <v>0.50846358703029992</v>
      </c>
    </row>
    <row r="315" spans="1:20" x14ac:dyDescent="0.25">
      <c r="A315" s="5">
        <v>44269</v>
      </c>
      <c r="B315">
        <v>0.51749999999999996</v>
      </c>
      <c r="C315">
        <v>0.56000000000000005</v>
      </c>
      <c r="D315">
        <v>0.4839</v>
      </c>
      <c r="E315">
        <v>0.4859</v>
      </c>
      <c r="F315">
        <v>17119996.760000002</v>
      </c>
      <c r="G315">
        <v>0</v>
      </c>
      <c r="L315" t="s">
        <v>8</v>
      </c>
      <c r="M315" t="s">
        <v>8</v>
      </c>
      <c r="N315" t="s">
        <v>8</v>
      </c>
      <c r="P315">
        <f t="shared" si="919"/>
        <v>-0.94743758212877793</v>
      </c>
      <c r="Q315">
        <f t="shared" si="920"/>
        <v>-16220128.336346913</v>
      </c>
      <c r="R315">
        <f t="shared" si="921"/>
        <v>43571266.137124628</v>
      </c>
      <c r="S315">
        <f t="shared" si="922"/>
        <v>435.71266137124627</v>
      </c>
      <c r="T315">
        <f t="shared" si="923"/>
        <v>0.43571266137124626</v>
      </c>
    </row>
    <row r="316" spans="1:20" x14ac:dyDescent="0.25">
      <c r="A316" s="5">
        <v>44268</v>
      </c>
      <c r="B316">
        <v>0.48620000000000002</v>
      </c>
      <c r="C316">
        <v>0.53810000000000002</v>
      </c>
      <c r="D316">
        <v>0.4587</v>
      </c>
      <c r="E316">
        <v>0.51680000000000004</v>
      </c>
      <c r="F316">
        <v>21005758.190000001</v>
      </c>
      <c r="G316">
        <v>0</v>
      </c>
      <c r="L316" t="s">
        <v>8</v>
      </c>
      <c r="M316" t="s">
        <v>8</v>
      </c>
      <c r="N316" t="s">
        <v>8</v>
      </c>
      <c r="P316">
        <f t="shared" si="919"/>
        <v>0.46347607052896778</v>
      </c>
      <c r="Q316">
        <f t="shared" si="920"/>
        <v>9735666.2643828839</v>
      </c>
      <c r="R316">
        <f t="shared" si="921"/>
        <v>59791394.473471537</v>
      </c>
      <c r="S316">
        <f t="shared" si="922"/>
        <v>597.91394473471541</v>
      </c>
      <c r="T316">
        <f t="shared" si="923"/>
        <v>0.59791394473471537</v>
      </c>
    </row>
    <row r="317" spans="1:20" x14ac:dyDescent="0.25">
      <c r="A317" s="5">
        <v>44267</v>
      </c>
      <c r="B317">
        <v>0.51380000000000003</v>
      </c>
      <c r="C317">
        <v>0.54559999999999997</v>
      </c>
      <c r="D317">
        <v>0.45400000000000001</v>
      </c>
      <c r="E317">
        <v>0.48570000000000002</v>
      </c>
      <c r="F317">
        <v>20084281.670000002</v>
      </c>
      <c r="G317">
        <v>0</v>
      </c>
      <c r="L317" t="s">
        <v>7</v>
      </c>
      <c r="M317" t="s">
        <v>7</v>
      </c>
      <c r="N317" t="s">
        <v>8</v>
      </c>
      <c r="P317">
        <f t="shared" ref="P317:P380" si="924">IF(C317=D317,0,((E317-D317)-(C317-E317))/(C317-D317))</f>
        <v>-0.30786026200873318</v>
      </c>
      <c r="Q317">
        <f t="shared" ref="Q317:Q380" si="925">F317*P317</f>
        <v>-6183152.2171833981</v>
      </c>
      <c r="R317">
        <f t="shared" ref="R317:R380" si="926">R318+Q317</f>
        <v>50055728.209088653</v>
      </c>
      <c r="S317">
        <f t="shared" ref="S317:S380" si="927">R317/100000</f>
        <v>500.55728209088653</v>
      </c>
      <c r="T317">
        <f t="shared" ref="T317:T380" si="928">S317/1000</f>
        <v>0.50055728209088657</v>
      </c>
    </row>
    <row r="318" spans="1:20" x14ac:dyDescent="0.25">
      <c r="A318" s="5">
        <v>44266</v>
      </c>
      <c r="B318">
        <v>0.51919999999999999</v>
      </c>
      <c r="C318">
        <v>0.55430000000000001</v>
      </c>
      <c r="D318">
        <v>0.501</v>
      </c>
      <c r="E318">
        <v>0.51319999999999999</v>
      </c>
      <c r="F318">
        <v>14885181.27</v>
      </c>
      <c r="G318">
        <v>0</v>
      </c>
      <c r="L318" t="s">
        <v>7</v>
      </c>
      <c r="M318" t="s">
        <v>8</v>
      </c>
      <c r="N318" t="s">
        <v>8</v>
      </c>
      <c r="P318">
        <f t="shared" si="924"/>
        <v>-0.54221388367729884</v>
      </c>
      <c r="Q318">
        <f t="shared" si="925"/>
        <v>-8070951.9456472872</v>
      </c>
      <c r="R318">
        <f t="shared" si="926"/>
        <v>56238880.42627205</v>
      </c>
      <c r="S318">
        <f t="shared" si="927"/>
        <v>562.38880426272044</v>
      </c>
      <c r="T318">
        <f t="shared" si="928"/>
        <v>0.56238880426272042</v>
      </c>
    </row>
    <row r="319" spans="1:20" x14ac:dyDescent="0.25">
      <c r="A319" s="5">
        <v>44265</v>
      </c>
      <c r="B319">
        <v>0.56069999999999998</v>
      </c>
      <c r="C319">
        <v>0.58420000000000005</v>
      </c>
      <c r="D319">
        <v>0.51160000000000005</v>
      </c>
      <c r="E319">
        <v>0.52010000000000001</v>
      </c>
      <c r="F319">
        <v>14443483.59</v>
      </c>
      <c r="G319">
        <v>0</v>
      </c>
      <c r="L319" t="s">
        <v>8</v>
      </c>
      <c r="M319" t="s">
        <v>8</v>
      </c>
      <c r="N319" t="s">
        <v>8</v>
      </c>
      <c r="P319">
        <f t="shared" si="924"/>
        <v>-0.76584022038567623</v>
      </c>
      <c r="Q319">
        <f t="shared" si="925"/>
        <v>-11061400.655702498</v>
      </c>
      <c r="R319">
        <f t="shared" si="926"/>
        <v>64309832.371919334</v>
      </c>
      <c r="S319">
        <f t="shared" si="927"/>
        <v>643.09832371919333</v>
      </c>
      <c r="T319">
        <f t="shared" si="928"/>
        <v>0.64309832371919329</v>
      </c>
    </row>
    <row r="320" spans="1:20" x14ac:dyDescent="0.25">
      <c r="A320" s="5">
        <v>44264</v>
      </c>
      <c r="B320">
        <v>0.53459999999999996</v>
      </c>
      <c r="C320">
        <v>0.57069999999999999</v>
      </c>
      <c r="D320">
        <v>0.51619999999999999</v>
      </c>
      <c r="E320">
        <v>0.56079999999999997</v>
      </c>
      <c r="F320">
        <v>15873162.08</v>
      </c>
      <c r="G320">
        <v>0</v>
      </c>
      <c r="L320" t="s">
        <v>8</v>
      </c>
      <c r="M320" t="s">
        <v>8</v>
      </c>
      <c r="N320" t="s">
        <v>8</v>
      </c>
      <c r="P320">
        <f t="shared" si="924"/>
        <v>0.63669724770642122</v>
      </c>
      <c r="Q320">
        <f t="shared" si="925"/>
        <v>10106398.608733932</v>
      </c>
      <c r="R320">
        <f t="shared" si="926"/>
        <v>75371233.027621835</v>
      </c>
      <c r="S320">
        <f t="shared" si="927"/>
        <v>753.71233027621838</v>
      </c>
      <c r="T320">
        <f t="shared" si="928"/>
        <v>0.75371233027621842</v>
      </c>
    </row>
    <row r="321" spans="1:20" x14ac:dyDescent="0.25">
      <c r="A321" s="5">
        <v>44263</v>
      </c>
      <c r="B321">
        <v>0.45989999999999998</v>
      </c>
      <c r="C321">
        <v>0.54790000000000005</v>
      </c>
      <c r="D321">
        <v>0.45179999999999998</v>
      </c>
      <c r="E321">
        <v>0.53390000000000004</v>
      </c>
      <c r="F321">
        <v>21925073.629999999</v>
      </c>
      <c r="G321">
        <v>0</v>
      </c>
      <c r="L321" t="s">
        <v>8</v>
      </c>
      <c r="M321" t="s">
        <v>8</v>
      </c>
      <c r="N321" t="s">
        <v>8</v>
      </c>
      <c r="P321">
        <f t="shared" si="924"/>
        <v>0.70863683662851196</v>
      </c>
      <c r="Q321">
        <f t="shared" si="925"/>
        <v>15536914.820010405</v>
      </c>
      <c r="R321">
        <f t="shared" si="926"/>
        <v>65264834.418887898</v>
      </c>
      <c r="S321">
        <f t="shared" si="927"/>
        <v>652.64834418887904</v>
      </c>
      <c r="T321">
        <f t="shared" si="928"/>
        <v>0.65264834418887907</v>
      </c>
    </row>
    <row r="322" spans="1:20" x14ac:dyDescent="0.25">
      <c r="A322" s="5">
        <v>44262</v>
      </c>
      <c r="B322">
        <v>0.44929999999999998</v>
      </c>
      <c r="C322">
        <v>0.47989999999999999</v>
      </c>
      <c r="D322">
        <v>0.44319999999999998</v>
      </c>
      <c r="E322">
        <v>0.45910000000000001</v>
      </c>
      <c r="F322">
        <v>9910017.1899999995</v>
      </c>
      <c r="G322">
        <v>0</v>
      </c>
      <c r="L322" t="s">
        <v>7</v>
      </c>
      <c r="M322" t="s">
        <v>7</v>
      </c>
      <c r="N322" t="s">
        <v>8</v>
      </c>
      <c r="P322">
        <f t="shared" si="924"/>
        <v>-0.13351498637602066</v>
      </c>
      <c r="Q322">
        <f t="shared" si="925"/>
        <v>-1323135.8101089804</v>
      </c>
      <c r="R322">
        <f t="shared" si="926"/>
        <v>49727919.59887749</v>
      </c>
      <c r="S322">
        <f t="shared" si="927"/>
        <v>497.27919598877492</v>
      </c>
      <c r="T322">
        <f t="shared" si="928"/>
        <v>0.4972791959887749</v>
      </c>
    </row>
    <row r="323" spans="1:20" x14ac:dyDescent="0.25">
      <c r="A323" s="5">
        <v>44261</v>
      </c>
      <c r="B323">
        <v>0.43230000000000002</v>
      </c>
      <c r="C323">
        <v>0.47270000000000001</v>
      </c>
      <c r="D323">
        <v>0.42699999999999999</v>
      </c>
      <c r="E323">
        <v>0.44879999999999998</v>
      </c>
      <c r="F323">
        <v>10372901.289999999</v>
      </c>
      <c r="G323">
        <v>0</v>
      </c>
      <c r="L323" t="s">
        <v>8</v>
      </c>
      <c r="M323" t="s">
        <v>7</v>
      </c>
      <c r="N323" t="s">
        <v>8</v>
      </c>
      <c r="P323">
        <f t="shared" si="924"/>
        <v>-4.5951859956237316E-2</v>
      </c>
      <c r="Q323">
        <f t="shared" si="925"/>
        <v>-476654.10741795338</v>
      </c>
      <c r="R323">
        <f t="shared" si="926"/>
        <v>51051055.408986472</v>
      </c>
      <c r="S323">
        <f t="shared" si="927"/>
        <v>510.51055408986474</v>
      </c>
      <c r="T323">
        <f t="shared" si="928"/>
        <v>0.51051055408986479</v>
      </c>
    </row>
    <row r="324" spans="1:20" x14ac:dyDescent="0.25">
      <c r="A324" s="5">
        <v>44260</v>
      </c>
      <c r="B324">
        <v>0.44600000000000001</v>
      </c>
      <c r="C324">
        <v>0.45</v>
      </c>
      <c r="D324">
        <v>0.4078</v>
      </c>
      <c r="E324">
        <v>0.43259999999999998</v>
      </c>
      <c r="F324">
        <v>11595368.6</v>
      </c>
      <c r="G324">
        <v>0</v>
      </c>
      <c r="L324" t="s">
        <v>7</v>
      </c>
      <c r="M324" t="s">
        <v>7</v>
      </c>
      <c r="N324" t="s">
        <v>8</v>
      </c>
      <c r="P324">
        <f t="shared" si="924"/>
        <v>0.17535545023696586</v>
      </c>
      <c r="Q324">
        <f t="shared" si="925"/>
        <v>2033311.0815165765</v>
      </c>
      <c r="R324">
        <f t="shared" si="926"/>
        <v>51527709.516404428</v>
      </c>
      <c r="S324">
        <f t="shared" si="927"/>
        <v>515.27709516404423</v>
      </c>
      <c r="T324">
        <f t="shared" si="928"/>
        <v>0.51527709516404419</v>
      </c>
    </row>
    <row r="325" spans="1:20" x14ac:dyDescent="0.25">
      <c r="A325" s="5">
        <v>44259</v>
      </c>
      <c r="B325">
        <v>0.48770000000000002</v>
      </c>
      <c r="C325">
        <v>0.50990000000000002</v>
      </c>
      <c r="D325">
        <v>0.42199999999999999</v>
      </c>
      <c r="E325">
        <v>0.44600000000000001</v>
      </c>
      <c r="F325">
        <v>17146313.420000002</v>
      </c>
      <c r="G325">
        <v>0</v>
      </c>
      <c r="L325" t="s">
        <v>7</v>
      </c>
      <c r="M325" t="s">
        <v>7</v>
      </c>
      <c r="N325" t="s">
        <v>8</v>
      </c>
      <c r="P325">
        <f t="shared" si="924"/>
        <v>-0.45392491467576762</v>
      </c>
      <c r="Q325">
        <f t="shared" si="925"/>
        <v>-7783138.8561774697</v>
      </c>
      <c r="R325">
        <f t="shared" si="926"/>
        <v>49494398.434887849</v>
      </c>
      <c r="S325">
        <f t="shared" si="927"/>
        <v>494.94398434887847</v>
      </c>
      <c r="T325">
        <f t="shared" si="928"/>
        <v>0.49494398434887849</v>
      </c>
    </row>
    <row r="326" spans="1:20" x14ac:dyDescent="0.25">
      <c r="A326" s="5">
        <v>44258</v>
      </c>
      <c r="B326">
        <v>0.43409999999999999</v>
      </c>
      <c r="C326">
        <v>0.51</v>
      </c>
      <c r="D326">
        <v>0.42780000000000001</v>
      </c>
      <c r="E326">
        <v>0.48820000000000002</v>
      </c>
      <c r="F326">
        <v>18342346.149999999</v>
      </c>
      <c r="G326">
        <v>0</v>
      </c>
      <c r="L326" t="s">
        <v>8</v>
      </c>
      <c r="M326" t="s">
        <v>8</v>
      </c>
      <c r="N326" t="s">
        <v>8</v>
      </c>
      <c r="P326">
        <f t="shared" si="924"/>
        <v>0.46958637469586406</v>
      </c>
      <c r="Q326">
        <f t="shared" si="925"/>
        <v>8613315.8319951389</v>
      </c>
      <c r="R326">
        <f t="shared" si="926"/>
        <v>57277537.29106532</v>
      </c>
      <c r="S326">
        <f t="shared" si="927"/>
        <v>572.77537291065323</v>
      </c>
      <c r="T326">
        <f t="shared" si="928"/>
        <v>0.57277537291065328</v>
      </c>
    </row>
    <row r="327" spans="1:20" x14ac:dyDescent="0.25">
      <c r="A327" s="5">
        <v>44257</v>
      </c>
      <c r="B327">
        <v>0.43309999999999998</v>
      </c>
      <c r="C327">
        <v>0.47299999999999998</v>
      </c>
      <c r="D327">
        <v>0.40920000000000001</v>
      </c>
      <c r="E327">
        <v>0.43540000000000001</v>
      </c>
      <c r="F327">
        <v>14192914.300000001</v>
      </c>
      <c r="G327">
        <v>0</v>
      </c>
      <c r="L327" t="s">
        <v>8</v>
      </c>
      <c r="M327" t="s">
        <v>8</v>
      </c>
      <c r="N327" t="s">
        <v>8</v>
      </c>
      <c r="P327">
        <f t="shared" si="924"/>
        <v>-0.17868338557993685</v>
      </c>
      <c r="Q327">
        <f t="shared" si="925"/>
        <v>-2536037.9783698996</v>
      </c>
      <c r="R327">
        <f t="shared" si="926"/>
        <v>48664221.459070183</v>
      </c>
      <c r="S327">
        <f t="shared" si="927"/>
        <v>486.64221459070183</v>
      </c>
      <c r="T327">
        <f t="shared" si="928"/>
        <v>0.48664221459070184</v>
      </c>
    </row>
    <row r="328" spans="1:20" x14ac:dyDescent="0.25">
      <c r="A328" s="5">
        <v>44256</v>
      </c>
      <c r="B328">
        <v>0.3745</v>
      </c>
      <c r="C328">
        <v>0.44390000000000002</v>
      </c>
      <c r="D328">
        <v>0.37080000000000002</v>
      </c>
      <c r="E328">
        <v>0.43190000000000001</v>
      </c>
      <c r="F328">
        <v>14227190.029999999</v>
      </c>
      <c r="G328">
        <v>0</v>
      </c>
      <c r="L328" t="s">
        <v>8</v>
      </c>
      <c r="M328" t="s">
        <v>8</v>
      </c>
      <c r="N328" t="s">
        <v>7</v>
      </c>
      <c r="P328">
        <f t="shared" si="924"/>
        <v>0.67168262653898736</v>
      </c>
      <c r="Q328">
        <f t="shared" si="925"/>
        <v>9556156.3676196933</v>
      </c>
      <c r="R328">
        <f t="shared" si="926"/>
        <v>51200259.437440082</v>
      </c>
      <c r="S328">
        <f t="shared" si="927"/>
        <v>512.00259437440081</v>
      </c>
      <c r="T328">
        <f t="shared" si="928"/>
        <v>0.51200259437440077</v>
      </c>
    </row>
    <row r="329" spans="1:20" x14ac:dyDescent="0.25">
      <c r="A329" s="5">
        <v>44255</v>
      </c>
      <c r="B329">
        <v>0.40989999999999999</v>
      </c>
      <c r="C329">
        <v>0.41270000000000001</v>
      </c>
      <c r="D329">
        <v>0.34239999999999998</v>
      </c>
      <c r="E329">
        <v>0.37519999999999998</v>
      </c>
      <c r="F329">
        <v>15077146.539999999</v>
      </c>
      <c r="G329">
        <v>0</v>
      </c>
      <c r="L329" t="s">
        <v>7</v>
      </c>
      <c r="M329" t="s">
        <v>7</v>
      </c>
      <c r="N329" t="s">
        <v>7</v>
      </c>
      <c r="P329">
        <f t="shared" si="924"/>
        <v>-6.6856330014225251E-2</v>
      </c>
      <c r="Q329">
        <f t="shared" si="925"/>
        <v>-1008002.6847510743</v>
      </c>
      <c r="R329">
        <f t="shared" si="926"/>
        <v>41644103.069820389</v>
      </c>
      <c r="S329">
        <f t="shared" si="927"/>
        <v>416.44103069820392</v>
      </c>
      <c r="T329">
        <f t="shared" si="928"/>
        <v>0.41644103069820393</v>
      </c>
    </row>
    <row r="330" spans="1:20" x14ac:dyDescent="0.25">
      <c r="A330" s="5">
        <v>44254</v>
      </c>
      <c r="B330">
        <v>0.40210000000000001</v>
      </c>
      <c r="C330">
        <v>0.44500000000000001</v>
      </c>
      <c r="D330">
        <v>0.39610000000000001</v>
      </c>
      <c r="E330">
        <v>0.41049999999999998</v>
      </c>
      <c r="F330">
        <v>12710284.050000001</v>
      </c>
      <c r="G330">
        <v>0</v>
      </c>
      <c r="L330" t="s">
        <v>8</v>
      </c>
      <c r="M330" t="s">
        <v>8</v>
      </c>
      <c r="N330" t="s">
        <v>7</v>
      </c>
      <c r="P330">
        <f t="shared" si="924"/>
        <v>-0.41104294478527736</v>
      </c>
      <c r="Q330">
        <f t="shared" si="925"/>
        <v>-5224472.5849693418</v>
      </c>
      <c r="R330">
        <f t="shared" si="926"/>
        <v>42652105.75457146</v>
      </c>
      <c r="S330">
        <f t="shared" si="927"/>
        <v>426.5210575457146</v>
      </c>
      <c r="T330">
        <f t="shared" si="928"/>
        <v>0.42652105754571462</v>
      </c>
    </row>
    <row r="331" spans="1:20" x14ac:dyDescent="0.25">
      <c r="A331" s="5">
        <v>44253</v>
      </c>
      <c r="B331">
        <v>0.39710000000000001</v>
      </c>
      <c r="C331">
        <v>0.44900000000000001</v>
      </c>
      <c r="D331">
        <v>0.35020000000000001</v>
      </c>
      <c r="E331">
        <v>0.40239999999999998</v>
      </c>
      <c r="F331">
        <v>24634479.48</v>
      </c>
      <c r="G331">
        <v>0</v>
      </c>
      <c r="L331" t="s">
        <v>7</v>
      </c>
      <c r="M331" t="s">
        <v>7</v>
      </c>
      <c r="N331" t="s">
        <v>7</v>
      </c>
      <c r="P331">
        <f t="shared" si="924"/>
        <v>5.6680161943319214E-2</v>
      </c>
      <c r="Q331">
        <f t="shared" si="925"/>
        <v>1396286.2863157741</v>
      </c>
      <c r="R331">
        <f t="shared" si="926"/>
        <v>47876578.339540802</v>
      </c>
      <c r="S331">
        <f t="shared" si="927"/>
        <v>478.76578339540799</v>
      </c>
      <c r="T331">
        <f t="shared" si="928"/>
        <v>0.47876578339540798</v>
      </c>
    </row>
    <row r="332" spans="1:20" x14ac:dyDescent="0.25">
      <c r="A332" s="5">
        <v>44252</v>
      </c>
      <c r="B332">
        <v>0.43149999999999999</v>
      </c>
      <c r="C332">
        <v>0.4743</v>
      </c>
      <c r="D332">
        <v>0.39169999999999999</v>
      </c>
      <c r="E332">
        <v>0.39850000000000002</v>
      </c>
      <c r="F332">
        <v>18807824.640000001</v>
      </c>
      <c r="G332">
        <v>0</v>
      </c>
      <c r="L332" t="s">
        <v>7</v>
      </c>
      <c r="M332" t="s">
        <v>7</v>
      </c>
      <c r="N332" t="s">
        <v>7</v>
      </c>
      <c r="P332">
        <f t="shared" si="924"/>
        <v>-0.835351089588377</v>
      </c>
      <c r="Q332">
        <f t="shared" si="925"/>
        <v>-15711136.805811126</v>
      </c>
      <c r="R332">
        <f t="shared" si="926"/>
        <v>46480292.053225026</v>
      </c>
      <c r="S332">
        <f t="shared" si="927"/>
        <v>464.80292053225025</v>
      </c>
      <c r="T332">
        <f t="shared" si="928"/>
        <v>0.46480292053225025</v>
      </c>
    </row>
    <row r="333" spans="1:20" x14ac:dyDescent="0.25">
      <c r="A333" s="5">
        <v>44251</v>
      </c>
      <c r="B333">
        <v>0.43819999999999998</v>
      </c>
      <c r="C333">
        <v>0.50209999999999999</v>
      </c>
      <c r="D333">
        <v>0.40110000000000001</v>
      </c>
      <c r="E333">
        <v>0.43140000000000001</v>
      </c>
      <c r="F333">
        <v>23142907.09</v>
      </c>
      <c r="G333">
        <v>0</v>
      </c>
      <c r="L333" t="s">
        <v>8</v>
      </c>
      <c r="M333" t="s">
        <v>8</v>
      </c>
      <c r="N333" t="s">
        <v>7</v>
      </c>
      <c r="P333">
        <f t="shared" si="924"/>
        <v>-0.4</v>
      </c>
      <c r="Q333">
        <f t="shared" si="925"/>
        <v>-9257162.8360000011</v>
      </c>
      <c r="R333">
        <f t="shared" si="926"/>
        <v>62191428.859036155</v>
      </c>
      <c r="S333">
        <f t="shared" si="927"/>
        <v>621.91428859036159</v>
      </c>
      <c r="T333">
        <f t="shared" si="928"/>
        <v>0.62191428859036157</v>
      </c>
    </row>
    <row r="334" spans="1:20" x14ac:dyDescent="0.25">
      <c r="A334" s="5">
        <v>44250</v>
      </c>
      <c r="B334">
        <v>0.56920000000000004</v>
      </c>
      <c r="C334">
        <v>0.57679999999999998</v>
      </c>
      <c r="D334">
        <v>0.35410000000000003</v>
      </c>
      <c r="E334">
        <v>0.43809999999999999</v>
      </c>
      <c r="F334">
        <v>57886111.920000002</v>
      </c>
      <c r="G334">
        <v>0</v>
      </c>
      <c r="L334" t="s">
        <v>7</v>
      </c>
      <c r="M334" t="s">
        <v>7</v>
      </c>
      <c r="N334" t="s">
        <v>7</v>
      </c>
      <c r="P334">
        <f t="shared" si="924"/>
        <v>-0.24562191288729249</v>
      </c>
      <c r="Q334">
        <f t="shared" si="925"/>
        <v>-14218097.539398303</v>
      </c>
      <c r="R334">
        <f t="shared" si="926"/>
        <v>71448591.695036158</v>
      </c>
      <c r="S334">
        <f t="shared" si="927"/>
        <v>714.48591695036157</v>
      </c>
      <c r="T334">
        <f t="shared" si="928"/>
        <v>0.71448591695036157</v>
      </c>
    </row>
    <row r="335" spans="1:20" x14ac:dyDescent="0.25">
      <c r="A335" s="5">
        <v>44249</v>
      </c>
      <c r="B335">
        <v>0.59230000000000005</v>
      </c>
      <c r="C335">
        <v>0.61680000000000001</v>
      </c>
      <c r="D335">
        <v>0.42</v>
      </c>
      <c r="E335">
        <v>0.56710000000000005</v>
      </c>
      <c r="F335">
        <v>57227252.979999997</v>
      </c>
      <c r="G335">
        <v>0</v>
      </c>
      <c r="L335" t="s">
        <v>7</v>
      </c>
      <c r="M335" t="s">
        <v>7</v>
      </c>
      <c r="N335" t="s">
        <v>7</v>
      </c>
      <c r="P335">
        <f t="shared" si="924"/>
        <v>0.49491869918699227</v>
      </c>
      <c r="Q335">
        <f t="shared" si="925"/>
        <v>28322837.602906525</v>
      </c>
      <c r="R335">
        <f t="shared" si="926"/>
        <v>85666689.234434456</v>
      </c>
      <c r="S335">
        <f t="shared" si="927"/>
        <v>856.66689234434455</v>
      </c>
      <c r="T335">
        <f t="shared" si="928"/>
        <v>0.85666689234434457</v>
      </c>
    </row>
    <row r="336" spans="1:20" x14ac:dyDescent="0.25">
      <c r="A336" s="5">
        <v>44248</v>
      </c>
      <c r="B336">
        <v>0.60370000000000001</v>
      </c>
      <c r="C336">
        <v>0.67969999999999997</v>
      </c>
      <c r="D336">
        <v>0.57699999999999996</v>
      </c>
      <c r="E336">
        <v>0.59219999999999995</v>
      </c>
      <c r="F336">
        <v>28821596.43</v>
      </c>
      <c r="G336">
        <v>0</v>
      </c>
      <c r="L336" t="s">
        <v>8</v>
      </c>
      <c r="M336" t="s">
        <v>7</v>
      </c>
      <c r="N336" t="s">
        <v>8</v>
      </c>
      <c r="P336">
        <f t="shared" si="924"/>
        <v>-0.70399221032132442</v>
      </c>
      <c r="Q336">
        <f t="shared" si="925"/>
        <v>-20290179.375744894</v>
      </c>
      <c r="R336">
        <f t="shared" si="926"/>
        <v>57343851.63152793</v>
      </c>
      <c r="S336">
        <f t="shared" si="927"/>
        <v>573.43851631527934</v>
      </c>
      <c r="T336">
        <f t="shared" si="928"/>
        <v>0.57343851631527931</v>
      </c>
    </row>
    <row r="337" spans="1:20" x14ac:dyDescent="0.25">
      <c r="A337" s="5">
        <v>44247</v>
      </c>
      <c r="B337">
        <v>0.60940000000000005</v>
      </c>
      <c r="C337">
        <v>0.76390000000000002</v>
      </c>
      <c r="D337">
        <v>0.54700000000000004</v>
      </c>
      <c r="E337">
        <v>0.60309999999999997</v>
      </c>
      <c r="F337">
        <v>43927132.840000004</v>
      </c>
      <c r="G337">
        <v>0</v>
      </c>
      <c r="L337" t="s">
        <v>7</v>
      </c>
      <c r="M337" t="s">
        <v>8</v>
      </c>
      <c r="N337" t="s">
        <v>8</v>
      </c>
      <c r="P337">
        <f t="shared" si="924"/>
        <v>-0.4827109266943298</v>
      </c>
      <c r="Q337">
        <f t="shared" si="925"/>
        <v>-21204107.000221331</v>
      </c>
      <c r="R337">
        <f t="shared" si="926"/>
        <v>77634031.007272825</v>
      </c>
      <c r="S337">
        <f t="shared" si="927"/>
        <v>776.34031007272824</v>
      </c>
      <c r="T337">
        <f t="shared" si="928"/>
        <v>0.77634031007272819</v>
      </c>
    </row>
    <row r="338" spans="1:20" x14ac:dyDescent="0.25">
      <c r="A338" s="5">
        <v>44246</v>
      </c>
      <c r="B338">
        <v>0.64200000000000002</v>
      </c>
      <c r="C338">
        <v>0.65700000000000003</v>
      </c>
      <c r="D338">
        <v>0.58840000000000003</v>
      </c>
      <c r="E338">
        <v>0.60699999999999998</v>
      </c>
      <c r="F338">
        <v>14498646.42</v>
      </c>
      <c r="G338">
        <v>0</v>
      </c>
      <c r="L338" t="s">
        <v>7</v>
      </c>
      <c r="M338" t="s">
        <v>8</v>
      </c>
      <c r="N338" t="s">
        <v>8</v>
      </c>
      <c r="P338">
        <f t="shared" si="924"/>
        <v>-0.45772594752186729</v>
      </c>
      <c r="Q338">
        <f t="shared" si="925"/>
        <v>-6636406.6703790287</v>
      </c>
      <c r="R338">
        <f t="shared" si="926"/>
        <v>98838138.007494152</v>
      </c>
      <c r="S338">
        <f t="shared" si="927"/>
        <v>988.38138007494149</v>
      </c>
      <c r="T338">
        <f t="shared" si="928"/>
        <v>0.98838138007494147</v>
      </c>
    </row>
    <row r="339" spans="1:20" x14ac:dyDescent="0.25">
      <c r="A339" s="5">
        <v>44245</v>
      </c>
      <c r="B339">
        <v>0.61119999999999997</v>
      </c>
      <c r="C339">
        <v>0.69850000000000001</v>
      </c>
      <c r="D339">
        <v>0.61080000000000001</v>
      </c>
      <c r="E339">
        <v>0.64200000000000002</v>
      </c>
      <c r="F339">
        <v>18509719.260000002</v>
      </c>
      <c r="G339">
        <v>0</v>
      </c>
      <c r="L339" t="s">
        <v>8</v>
      </c>
      <c r="M339" t="s">
        <v>8</v>
      </c>
      <c r="N339" t="s">
        <v>8</v>
      </c>
      <c r="P339">
        <f t="shared" si="924"/>
        <v>-0.28848346636259964</v>
      </c>
      <c r="Q339">
        <f t="shared" si="925"/>
        <v>-5339747.9735233728</v>
      </c>
      <c r="R339">
        <f t="shared" si="926"/>
        <v>105474544.67787318</v>
      </c>
      <c r="S339">
        <f t="shared" si="927"/>
        <v>1054.7454467787318</v>
      </c>
      <c r="T339">
        <f t="shared" si="928"/>
        <v>1.0547454467787318</v>
      </c>
    </row>
    <row r="340" spans="1:20" x14ac:dyDescent="0.25">
      <c r="A340" s="5">
        <v>44244</v>
      </c>
      <c r="B340">
        <v>0.61339999999999995</v>
      </c>
      <c r="C340">
        <v>0.64439999999999997</v>
      </c>
      <c r="D340">
        <v>0.53300000000000003</v>
      </c>
      <c r="E340">
        <v>0.61029999999999995</v>
      </c>
      <c r="F340">
        <v>22346115.300000001</v>
      </c>
      <c r="G340">
        <v>0</v>
      </c>
      <c r="L340" t="s">
        <v>7</v>
      </c>
      <c r="M340" t="s">
        <v>7</v>
      </c>
      <c r="N340" t="s">
        <v>7</v>
      </c>
      <c r="P340">
        <f t="shared" si="924"/>
        <v>0.38779174147217171</v>
      </c>
      <c r="Q340">
        <f t="shared" si="925"/>
        <v>8665638.9673249405</v>
      </c>
      <c r="R340">
        <f t="shared" si="926"/>
        <v>110814292.65139656</v>
      </c>
      <c r="S340">
        <f t="shared" si="927"/>
        <v>1108.1429265139657</v>
      </c>
      <c r="T340">
        <f t="shared" si="928"/>
        <v>1.1081429265139657</v>
      </c>
    </row>
    <row r="341" spans="1:20" x14ac:dyDescent="0.25">
      <c r="A341" s="5">
        <v>44243</v>
      </c>
      <c r="B341">
        <v>0.62380000000000002</v>
      </c>
      <c r="C341">
        <v>0.66479999999999995</v>
      </c>
      <c r="D341">
        <v>0.5726</v>
      </c>
      <c r="E341">
        <v>0.61439999999999995</v>
      </c>
      <c r="F341">
        <v>18020571.760000002</v>
      </c>
      <c r="G341">
        <v>0</v>
      </c>
      <c r="L341" t="s">
        <v>8</v>
      </c>
      <c r="M341" t="s">
        <v>8</v>
      </c>
      <c r="N341" t="s">
        <v>7</v>
      </c>
      <c r="P341">
        <f t="shared" si="924"/>
        <v>-9.3275488069414936E-2</v>
      </c>
      <c r="Q341">
        <f t="shared" si="925"/>
        <v>-1680877.6262039158</v>
      </c>
      <c r="R341">
        <f t="shared" si="926"/>
        <v>102148653.68407162</v>
      </c>
      <c r="S341">
        <f t="shared" si="927"/>
        <v>1021.4865368407161</v>
      </c>
      <c r="T341">
        <f t="shared" si="928"/>
        <v>1.021486536840716</v>
      </c>
    </row>
    <row r="342" spans="1:20" x14ac:dyDescent="0.25">
      <c r="A342" s="5">
        <v>44242</v>
      </c>
      <c r="B342">
        <v>0.68859999999999999</v>
      </c>
      <c r="C342">
        <v>0.74380000000000002</v>
      </c>
      <c r="D342">
        <v>0.48630000000000001</v>
      </c>
      <c r="E342">
        <v>0.62419999999999998</v>
      </c>
      <c r="F342">
        <v>36253287.090000004</v>
      </c>
      <c r="G342">
        <v>0</v>
      </c>
      <c r="L342" t="s">
        <v>7</v>
      </c>
      <c r="M342" t="s">
        <v>7</v>
      </c>
      <c r="N342" t="s">
        <v>7</v>
      </c>
      <c r="P342">
        <f t="shared" si="924"/>
        <v>7.1067961165048266E-2</v>
      </c>
      <c r="Q342">
        <f t="shared" si="925"/>
        <v>2576447.199017466</v>
      </c>
      <c r="R342">
        <f t="shared" si="926"/>
        <v>103829531.31027552</v>
      </c>
      <c r="S342">
        <f t="shared" si="927"/>
        <v>1038.2953131027552</v>
      </c>
      <c r="T342">
        <f t="shared" si="928"/>
        <v>1.0382953131027552</v>
      </c>
    </row>
    <row r="343" spans="1:20" x14ac:dyDescent="0.25">
      <c r="A343" s="5">
        <v>44241</v>
      </c>
      <c r="B343">
        <v>0.78369999999999995</v>
      </c>
      <c r="C343">
        <v>0.78949999999999998</v>
      </c>
      <c r="D343">
        <v>0.65349999999999997</v>
      </c>
      <c r="E343">
        <v>0.68710000000000004</v>
      </c>
      <c r="F343">
        <v>12152516.85</v>
      </c>
      <c r="G343">
        <v>0</v>
      </c>
      <c r="L343" t="s">
        <v>7</v>
      </c>
      <c r="M343" t="s">
        <v>7</v>
      </c>
      <c r="N343" t="s">
        <v>8</v>
      </c>
      <c r="P343">
        <f t="shared" si="924"/>
        <v>-0.50588235294117545</v>
      </c>
      <c r="Q343">
        <f t="shared" si="925"/>
        <v>-6147743.8182352819</v>
      </c>
      <c r="R343">
        <f t="shared" si="926"/>
        <v>101253084.11125806</v>
      </c>
      <c r="S343">
        <f t="shared" si="927"/>
        <v>1012.5308411125806</v>
      </c>
      <c r="T343">
        <f t="shared" si="928"/>
        <v>1.0125308411125806</v>
      </c>
    </row>
    <row r="344" spans="1:20" x14ac:dyDescent="0.25">
      <c r="A344" s="5">
        <v>44240</v>
      </c>
      <c r="B344">
        <v>0.74129999999999996</v>
      </c>
      <c r="C344">
        <v>0.84460000000000002</v>
      </c>
      <c r="D344">
        <v>0.67500000000000004</v>
      </c>
      <c r="E344">
        <v>0.78129999999999999</v>
      </c>
      <c r="F344">
        <v>24768849.989999998</v>
      </c>
      <c r="G344">
        <v>0</v>
      </c>
      <c r="L344" t="s">
        <v>8</v>
      </c>
      <c r="M344" t="s">
        <v>8</v>
      </c>
      <c r="N344" t="s">
        <v>8</v>
      </c>
      <c r="P344">
        <f t="shared" si="924"/>
        <v>0.2535377358490562</v>
      </c>
      <c r="Q344">
        <f t="shared" si="925"/>
        <v>6279838.1460495181</v>
      </c>
      <c r="R344">
        <f t="shared" si="926"/>
        <v>107400827.92949334</v>
      </c>
      <c r="S344">
        <f t="shared" si="927"/>
        <v>1074.0082792949333</v>
      </c>
      <c r="T344">
        <f t="shared" si="928"/>
        <v>1.0740082792949333</v>
      </c>
    </row>
    <row r="345" spans="1:20" x14ac:dyDescent="0.25">
      <c r="A345" s="5">
        <v>44239</v>
      </c>
      <c r="B345">
        <v>0.62039999999999995</v>
      </c>
      <c r="C345">
        <v>0.77149999999999996</v>
      </c>
      <c r="D345">
        <v>0.56710000000000005</v>
      </c>
      <c r="E345">
        <v>0.73850000000000005</v>
      </c>
      <c r="F345">
        <v>23163375.289999999</v>
      </c>
      <c r="G345">
        <v>0</v>
      </c>
      <c r="L345" t="s">
        <v>8</v>
      </c>
      <c r="M345" t="s">
        <v>8</v>
      </c>
      <c r="N345" t="s">
        <v>8</v>
      </c>
      <c r="P345">
        <f t="shared" si="924"/>
        <v>0.67710371819960924</v>
      </c>
      <c r="Q345">
        <f t="shared" si="925"/>
        <v>15684007.534911951</v>
      </c>
      <c r="R345">
        <f t="shared" si="926"/>
        <v>101120989.78344382</v>
      </c>
      <c r="S345">
        <f t="shared" si="927"/>
        <v>1011.2098978344383</v>
      </c>
      <c r="T345">
        <f t="shared" si="928"/>
        <v>1.0112098978344384</v>
      </c>
    </row>
    <row r="346" spans="1:20" x14ac:dyDescent="0.25">
      <c r="A346" s="5">
        <v>44238</v>
      </c>
      <c r="B346">
        <v>0.53449999999999998</v>
      </c>
      <c r="C346">
        <v>0.67490000000000006</v>
      </c>
      <c r="D346">
        <v>0.51500000000000001</v>
      </c>
      <c r="E346">
        <v>0.61899999999999999</v>
      </c>
      <c r="F346">
        <v>28114930.879999999</v>
      </c>
      <c r="G346">
        <v>0</v>
      </c>
      <c r="L346" t="s">
        <v>8</v>
      </c>
      <c r="M346" t="s">
        <v>8</v>
      </c>
      <c r="N346" t="s">
        <v>8</v>
      </c>
      <c r="P346">
        <f t="shared" si="924"/>
        <v>0.30081300813008072</v>
      </c>
      <c r="Q346">
        <f t="shared" si="925"/>
        <v>8457336.9313820973</v>
      </c>
      <c r="R346">
        <f t="shared" si="926"/>
        <v>85436982.248531878</v>
      </c>
      <c r="S346">
        <f t="shared" si="927"/>
        <v>854.36982248531876</v>
      </c>
      <c r="T346">
        <f t="shared" si="928"/>
        <v>0.85436982248531879</v>
      </c>
    </row>
    <row r="347" spans="1:20" x14ac:dyDescent="0.25">
      <c r="A347" s="5">
        <v>44237</v>
      </c>
      <c r="B347">
        <v>0.5353</v>
      </c>
      <c r="C347">
        <v>0.5766</v>
      </c>
      <c r="D347">
        <v>0.47639999999999999</v>
      </c>
      <c r="E347">
        <v>0.53420000000000001</v>
      </c>
      <c r="F347">
        <v>20214308.359999999</v>
      </c>
      <c r="G347">
        <v>0</v>
      </c>
      <c r="L347" t="s">
        <v>7</v>
      </c>
      <c r="M347" t="s">
        <v>7</v>
      </c>
      <c r="N347" t="s">
        <v>8</v>
      </c>
      <c r="P347">
        <f t="shared" si="924"/>
        <v>0.15369261477045931</v>
      </c>
      <c r="Q347">
        <f t="shared" si="925"/>
        <v>3106789.9076247551</v>
      </c>
      <c r="R347">
        <f t="shared" si="926"/>
        <v>76979645.317149773</v>
      </c>
      <c r="S347">
        <f t="shared" si="927"/>
        <v>769.79645317149777</v>
      </c>
      <c r="T347">
        <f t="shared" si="928"/>
        <v>0.76979645317149781</v>
      </c>
    </row>
    <row r="348" spans="1:20" x14ac:dyDescent="0.25">
      <c r="A348" s="5">
        <v>44236</v>
      </c>
      <c r="B348">
        <v>0.4758</v>
      </c>
      <c r="C348">
        <v>0.57620000000000005</v>
      </c>
      <c r="D348">
        <v>0.46500000000000002</v>
      </c>
      <c r="E348">
        <v>0.53449999999999998</v>
      </c>
      <c r="F348">
        <v>20413249.879999999</v>
      </c>
      <c r="G348">
        <v>0</v>
      </c>
      <c r="L348" t="s">
        <v>8</v>
      </c>
      <c r="M348" t="s">
        <v>8</v>
      </c>
      <c r="N348" t="s">
        <v>8</v>
      </c>
      <c r="P348">
        <f t="shared" si="924"/>
        <v>0.24999999999999889</v>
      </c>
      <c r="Q348">
        <f t="shared" si="925"/>
        <v>5103312.4699999774</v>
      </c>
      <c r="R348">
        <f t="shared" si="926"/>
        <v>73872855.409525022</v>
      </c>
      <c r="S348">
        <f t="shared" si="927"/>
        <v>738.72855409525027</v>
      </c>
      <c r="T348">
        <f t="shared" si="928"/>
        <v>0.73872855409525029</v>
      </c>
    </row>
    <row r="349" spans="1:20" x14ac:dyDescent="0.25">
      <c r="A349" s="5">
        <v>44235</v>
      </c>
      <c r="B349">
        <v>0.43190000000000001</v>
      </c>
      <c r="C349">
        <v>0.51800000000000002</v>
      </c>
      <c r="D349">
        <v>0.4173</v>
      </c>
      <c r="E349">
        <v>0.47589999999999999</v>
      </c>
      <c r="F349">
        <v>22250845.039999999</v>
      </c>
      <c r="G349">
        <v>0</v>
      </c>
      <c r="L349" t="s">
        <v>8</v>
      </c>
      <c r="M349" t="s">
        <v>8</v>
      </c>
      <c r="N349" t="s">
        <v>8</v>
      </c>
      <c r="P349">
        <f t="shared" si="924"/>
        <v>0.16385302879841071</v>
      </c>
      <c r="Q349">
        <f t="shared" si="925"/>
        <v>3645868.3531280938</v>
      </c>
      <c r="R349">
        <f t="shared" si="926"/>
        <v>68769542.939525038</v>
      </c>
      <c r="S349">
        <f t="shared" si="927"/>
        <v>687.69542939525036</v>
      </c>
      <c r="T349">
        <f t="shared" si="928"/>
        <v>0.68769542939525041</v>
      </c>
    </row>
    <row r="350" spans="1:20" x14ac:dyDescent="0.25">
      <c r="A350" s="5">
        <v>44234</v>
      </c>
      <c r="B350">
        <v>0.46789999999999998</v>
      </c>
      <c r="C350">
        <v>0.47499999999999998</v>
      </c>
      <c r="D350">
        <v>0.39069999999999999</v>
      </c>
      <c r="E350">
        <v>0.432</v>
      </c>
      <c r="F350">
        <v>18667531.379999999</v>
      </c>
      <c r="G350">
        <v>0</v>
      </c>
      <c r="L350" t="s">
        <v>7</v>
      </c>
      <c r="M350" t="s">
        <v>7</v>
      </c>
      <c r="N350" t="s">
        <v>8</v>
      </c>
      <c r="P350">
        <f t="shared" si="924"/>
        <v>-2.0166073546856223E-2</v>
      </c>
      <c r="Q350">
        <f t="shared" si="925"/>
        <v>-376450.81074732641</v>
      </c>
      <c r="R350">
        <f t="shared" si="926"/>
        <v>65123674.586396948</v>
      </c>
      <c r="S350">
        <f t="shared" si="927"/>
        <v>651.23674586396953</v>
      </c>
      <c r="T350">
        <f t="shared" si="928"/>
        <v>0.65123674586396951</v>
      </c>
    </row>
    <row r="351" spans="1:20" x14ac:dyDescent="0.25">
      <c r="A351" s="5">
        <v>44233</v>
      </c>
      <c r="B351">
        <v>0.5101</v>
      </c>
      <c r="C351">
        <v>0.51780000000000004</v>
      </c>
      <c r="D351">
        <v>0.433</v>
      </c>
      <c r="E351">
        <v>0.46629999999999999</v>
      </c>
      <c r="F351">
        <v>18553849.289999999</v>
      </c>
      <c r="G351">
        <v>0</v>
      </c>
      <c r="L351" t="s">
        <v>7</v>
      </c>
      <c r="M351" t="s">
        <v>7</v>
      </c>
      <c r="N351" t="s">
        <v>8</v>
      </c>
      <c r="P351">
        <f t="shared" si="924"/>
        <v>-0.21462264150943444</v>
      </c>
      <c r="Q351">
        <f t="shared" si="925"/>
        <v>-3982076.1447877446</v>
      </c>
      <c r="R351">
        <f t="shared" si="926"/>
        <v>65500125.397144273</v>
      </c>
      <c r="S351">
        <f t="shared" si="927"/>
        <v>655.00125397144268</v>
      </c>
      <c r="T351">
        <f t="shared" si="928"/>
        <v>0.65500125397144271</v>
      </c>
    </row>
    <row r="352" spans="1:20" x14ac:dyDescent="0.25">
      <c r="A352" s="5">
        <v>44232</v>
      </c>
      <c r="B352">
        <v>0.44929999999999998</v>
      </c>
      <c r="C352">
        <v>0.53490000000000004</v>
      </c>
      <c r="D352">
        <v>0.436</v>
      </c>
      <c r="E352">
        <v>0.51019999999999999</v>
      </c>
      <c r="F352">
        <v>30916195.48</v>
      </c>
      <c r="G352">
        <v>0</v>
      </c>
      <c r="L352" t="s">
        <v>8</v>
      </c>
      <c r="M352" t="s">
        <v>8</v>
      </c>
      <c r="N352" t="s">
        <v>8</v>
      </c>
      <c r="P352">
        <f t="shared" si="924"/>
        <v>0.50050556117290101</v>
      </c>
      <c r="Q352">
        <f t="shared" si="925"/>
        <v>15473727.768048506</v>
      </c>
      <c r="R352">
        <f t="shared" si="926"/>
        <v>69482201.541932017</v>
      </c>
      <c r="S352">
        <f t="shared" si="927"/>
        <v>694.82201541932011</v>
      </c>
      <c r="T352">
        <f t="shared" si="928"/>
        <v>0.69482201541932009</v>
      </c>
    </row>
    <row r="353" spans="1:20" x14ac:dyDescent="0.25">
      <c r="A353" s="5">
        <v>44231</v>
      </c>
      <c r="B353">
        <v>0.38750000000000001</v>
      </c>
      <c r="C353">
        <v>0.45610000000000001</v>
      </c>
      <c r="D353">
        <v>0.34499999999999997</v>
      </c>
      <c r="E353">
        <v>0.44929999999999998</v>
      </c>
      <c r="F353">
        <v>33264722.93</v>
      </c>
      <c r="G353">
        <v>0</v>
      </c>
      <c r="L353" t="s">
        <v>8</v>
      </c>
      <c r="M353" t="s">
        <v>8</v>
      </c>
      <c r="N353" t="s">
        <v>8</v>
      </c>
      <c r="P353">
        <f t="shared" si="924"/>
        <v>0.87758775877587714</v>
      </c>
      <c r="Q353">
        <f t="shared" si="925"/>
        <v>29192713.642439228</v>
      </c>
      <c r="R353">
        <f t="shared" si="926"/>
        <v>54008473.773883507</v>
      </c>
      <c r="S353">
        <f t="shared" si="927"/>
        <v>540.08473773883509</v>
      </c>
      <c r="T353">
        <f t="shared" si="928"/>
        <v>0.54008473773883514</v>
      </c>
    </row>
    <row r="354" spans="1:20" x14ac:dyDescent="0.25">
      <c r="A354" s="5">
        <v>44230</v>
      </c>
      <c r="B354">
        <v>0.39090000000000003</v>
      </c>
      <c r="C354">
        <v>0.41620000000000001</v>
      </c>
      <c r="D354">
        <v>0.37530000000000002</v>
      </c>
      <c r="E354">
        <v>0.38740000000000002</v>
      </c>
      <c r="F354">
        <v>18577835.899999999</v>
      </c>
      <c r="G354">
        <v>0</v>
      </c>
      <c r="L354" t="s">
        <v>8</v>
      </c>
      <c r="M354" t="s">
        <v>8</v>
      </c>
      <c r="N354" t="s">
        <v>8</v>
      </c>
      <c r="P354">
        <f t="shared" si="924"/>
        <v>-0.40831295843520771</v>
      </c>
      <c r="Q354">
        <f t="shared" si="925"/>
        <v>-7585571.1376528088</v>
      </c>
      <c r="R354">
        <f t="shared" si="926"/>
        <v>24815760.131444275</v>
      </c>
      <c r="S354">
        <f t="shared" si="927"/>
        <v>248.15760131444276</v>
      </c>
      <c r="T354">
        <f t="shared" si="928"/>
        <v>0.24815760131444276</v>
      </c>
    </row>
    <row r="355" spans="1:20" x14ac:dyDescent="0.25">
      <c r="A355" s="5">
        <v>44229</v>
      </c>
      <c r="B355">
        <v>0.31440000000000001</v>
      </c>
      <c r="C355">
        <v>0.39989999999999998</v>
      </c>
      <c r="D355">
        <v>0.30180000000000001</v>
      </c>
      <c r="E355">
        <v>0.3911</v>
      </c>
      <c r="F355">
        <v>35906026.810000002</v>
      </c>
      <c r="G355">
        <v>0</v>
      </c>
      <c r="L355" t="s">
        <v>8</v>
      </c>
      <c r="M355" t="s">
        <v>8</v>
      </c>
      <c r="N355" t="s">
        <v>8</v>
      </c>
      <c r="P355">
        <f t="shared" si="924"/>
        <v>0.82059123343527063</v>
      </c>
      <c r="Q355">
        <f t="shared" si="925"/>
        <v>29464170.827777799</v>
      </c>
      <c r="R355">
        <f t="shared" si="926"/>
        <v>32401331.269097086</v>
      </c>
      <c r="S355">
        <f t="shared" si="927"/>
        <v>324.01331269097085</v>
      </c>
      <c r="T355">
        <f t="shared" si="928"/>
        <v>0.32401331269097083</v>
      </c>
    </row>
    <row r="356" spans="1:20" x14ac:dyDescent="0.25">
      <c r="A356" s="5">
        <v>44228</v>
      </c>
      <c r="B356">
        <v>0.30730000000000002</v>
      </c>
      <c r="C356">
        <v>0.32600000000000001</v>
      </c>
      <c r="D356">
        <v>0.29270000000000002</v>
      </c>
      <c r="E356">
        <v>0.31469999999999998</v>
      </c>
      <c r="F356">
        <v>14081121.66</v>
      </c>
      <c r="G356">
        <v>0</v>
      </c>
      <c r="L356" t="s">
        <v>8</v>
      </c>
      <c r="M356" t="s">
        <v>7</v>
      </c>
      <c r="N356" t="s">
        <v>7</v>
      </c>
      <c r="P356">
        <f t="shared" si="924"/>
        <v>0.3213213213213193</v>
      </c>
      <c r="Q356">
        <f t="shared" si="925"/>
        <v>4524564.6174774487</v>
      </c>
      <c r="R356">
        <f t="shared" si="926"/>
        <v>2937160.4413192868</v>
      </c>
      <c r="S356">
        <f t="shared" si="927"/>
        <v>29.37160441319287</v>
      </c>
      <c r="T356">
        <f t="shared" si="928"/>
        <v>2.9371604413192871E-2</v>
      </c>
    </row>
    <row r="357" spans="1:20" x14ac:dyDescent="0.25">
      <c r="A357" s="5">
        <v>44227</v>
      </c>
      <c r="B357">
        <v>0.34370000000000001</v>
      </c>
      <c r="C357">
        <v>0.34570000000000001</v>
      </c>
      <c r="D357">
        <v>0.28699999999999998</v>
      </c>
      <c r="E357">
        <v>0.3075</v>
      </c>
      <c r="F357">
        <v>15619759.130000001</v>
      </c>
      <c r="G357">
        <v>0</v>
      </c>
      <c r="L357" t="s">
        <v>7</v>
      </c>
      <c r="M357" t="s">
        <v>7</v>
      </c>
      <c r="N357" t="s">
        <v>7</v>
      </c>
      <c r="P357">
        <f t="shared" si="924"/>
        <v>-0.30153321976149888</v>
      </c>
      <c r="Q357">
        <f t="shared" si="925"/>
        <v>-4709876.2623679684</v>
      </c>
      <c r="R357">
        <f t="shared" si="926"/>
        <v>-1587404.1761581618</v>
      </c>
      <c r="S357">
        <f t="shared" si="927"/>
        <v>-15.874041761581619</v>
      </c>
      <c r="T357">
        <f t="shared" si="928"/>
        <v>-1.5874041761581619E-2</v>
      </c>
    </row>
    <row r="358" spans="1:20" x14ac:dyDescent="0.25">
      <c r="A358" s="5">
        <v>44226</v>
      </c>
      <c r="B358">
        <v>0.32279999999999998</v>
      </c>
      <c r="C358">
        <v>0.35499999999999998</v>
      </c>
      <c r="D358">
        <v>0.31480000000000002</v>
      </c>
      <c r="E358">
        <v>0.34370000000000001</v>
      </c>
      <c r="F358">
        <v>14874400.470000001</v>
      </c>
      <c r="G358">
        <v>0</v>
      </c>
      <c r="L358" t="s">
        <v>8</v>
      </c>
      <c r="M358" t="s">
        <v>8</v>
      </c>
      <c r="N358" t="s">
        <v>7</v>
      </c>
      <c r="P358">
        <f t="shared" si="924"/>
        <v>0.4378109452736324</v>
      </c>
      <c r="Q358">
        <f t="shared" si="925"/>
        <v>6512175.3301492622</v>
      </c>
      <c r="R358">
        <f t="shared" si="926"/>
        <v>3122472.0862098066</v>
      </c>
      <c r="S358">
        <f t="shared" si="927"/>
        <v>31.224720862098067</v>
      </c>
      <c r="T358">
        <f t="shared" si="928"/>
        <v>3.1224720862098067E-2</v>
      </c>
    </row>
    <row r="359" spans="1:20" x14ac:dyDescent="0.25">
      <c r="A359" s="5">
        <v>44225</v>
      </c>
      <c r="B359">
        <v>0.30730000000000002</v>
      </c>
      <c r="C359">
        <v>0.3377</v>
      </c>
      <c r="D359">
        <v>0.28699999999999998</v>
      </c>
      <c r="E359">
        <v>0.32450000000000001</v>
      </c>
      <c r="F359">
        <v>20101772.239999998</v>
      </c>
      <c r="G359">
        <v>0</v>
      </c>
      <c r="L359" t="s">
        <v>7</v>
      </c>
      <c r="M359" t="s">
        <v>8</v>
      </c>
      <c r="N359" t="s">
        <v>7</v>
      </c>
      <c r="P359">
        <f t="shared" si="924"/>
        <v>0.47928994082840304</v>
      </c>
      <c r="Q359">
        <f t="shared" si="925"/>
        <v>9634577.2274556346</v>
      </c>
      <c r="R359">
        <f t="shared" si="926"/>
        <v>-3389703.2439394556</v>
      </c>
      <c r="S359">
        <f t="shared" si="927"/>
        <v>-33.897032439394557</v>
      </c>
      <c r="T359">
        <f t="shared" si="928"/>
        <v>-3.3897032439394556E-2</v>
      </c>
    </row>
    <row r="360" spans="1:20" x14ac:dyDescent="0.25">
      <c r="A360" s="5">
        <v>44224</v>
      </c>
      <c r="B360">
        <v>0.30159999999999998</v>
      </c>
      <c r="C360">
        <v>0.34</v>
      </c>
      <c r="D360">
        <v>0.28770000000000001</v>
      </c>
      <c r="E360">
        <v>0.30840000000000001</v>
      </c>
      <c r="F360">
        <v>18486857.309999999</v>
      </c>
      <c r="G360">
        <v>0</v>
      </c>
      <c r="L360" t="s">
        <v>8</v>
      </c>
      <c r="M360" t="s">
        <v>8</v>
      </c>
      <c r="N360" t="s">
        <v>7</v>
      </c>
      <c r="P360">
        <f t="shared" si="924"/>
        <v>-0.20841300191204623</v>
      </c>
      <c r="Q360">
        <f t="shared" si="925"/>
        <v>-3852901.4278967557</v>
      </c>
      <c r="R360">
        <f t="shared" si="926"/>
        <v>-13024280.47139509</v>
      </c>
      <c r="S360">
        <f t="shared" si="927"/>
        <v>-130.2428047139509</v>
      </c>
      <c r="T360">
        <f t="shared" si="928"/>
        <v>-0.13024280471395092</v>
      </c>
    </row>
    <row r="361" spans="1:20" x14ac:dyDescent="0.25">
      <c r="A361" s="5">
        <v>44223</v>
      </c>
      <c r="B361">
        <v>0.34329999999999999</v>
      </c>
      <c r="C361">
        <v>0.34439999999999998</v>
      </c>
      <c r="D361">
        <v>0.2772</v>
      </c>
      <c r="E361">
        <v>0.30199999999999999</v>
      </c>
      <c r="F361">
        <v>24341849.579999998</v>
      </c>
      <c r="G361">
        <v>0</v>
      </c>
      <c r="L361" t="s">
        <v>7</v>
      </c>
      <c r="M361" t="s">
        <v>7</v>
      </c>
      <c r="N361" t="s">
        <v>7</v>
      </c>
      <c r="P361">
        <f t="shared" si="924"/>
        <v>-0.26190476190476203</v>
      </c>
      <c r="Q361">
        <f t="shared" si="925"/>
        <v>-6375246.3185714316</v>
      </c>
      <c r="R361">
        <f t="shared" si="926"/>
        <v>-9171379.0434983335</v>
      </c>
      <c r="S361">
        <f t="shared" si="927"/>
        <v>-91.713790434983338</v>
      </c>
      <c r="T361">
        <f t="shared" si="928"/>
        <v>-9.1713790434983344E-2</v>
      </c>
    </row>
    <row r="362" spans="1:20" x14ac:dyDescent="0.25">
      <c r="A362" s="5">
        <v>44222</v>
      </c>
      <c r="B362">
        <v>0.36799999999999999</v>
      </c>
      <c r="C362">
        <v>0.40550000000000003</v>
      </c>
      <c r="D362">
        <v>0.3155</v>
      </c>
      <c r="E362">
        <v>0.34410000000000002</v>
      </c>
      <c r="F362">
        <v>30689201.91</v>
      </c>
      <c r="G362">
        <v>0</v>
      </c>
      <c r="L362" t="s">
        <v>7</v>
      </c>
      <c r="M362" t="s">
        <v>7</v>
      </c>
      <c r="N362" t="s">
        <v>8</v>
      </c>
      <c r="P362">
        <f t="shared" si="924"/>
        <v>-0.36444444444444429</v>
      </c>
      <c r="Q362">
        <f t="shared" si="925"/>
        <v>-11184509.140533328</v>
      </c>
      <c r="R362">
        <f t="shared" si="926"/>
        <v>-2796132.724926902</v>
      </c>
      <c r="S362">
        <f t="shared" si="927"/>
        <v>-27.961327249269019</v>
      </c>
      <c r="T362">
        <f t="shared" si="928"/>
        <v>-2.796132724926902E-2</v>
      </c>
    </row>
    <row r="363" spans="1:20" x14ac:dyDescent="0.25">
      <c r="A363" s="5">
        <v>44221</v>
      </c>
      <c r="B363">
        <v>0.31979999999999997</v>
      </c>
      <c r="C363">
        <v>0.42</v>
      </c>
      <c r="D363">
        <v>0.314</v>
      </c>
      <c r="E363">
        <v>0.36849999999999999</v>
      </c>
      <c r="F363">
        <v>45128792.359999999</v>
      </c>
      <c r="G363">
        <v>0</v>
      </c>
      <c r="L363" t="s">
        <v>8</v>
      </c>
      <c r="M363" t="s">
        <v>8</v>
      </c>
      <c r="N363" t="s">
        <v>8</v>
      </c>
      <c r="P363">
        <f t="shared" si="924"/>
        <v>2.8301886792452859E-2</v>
      </c>
      <c r="Q363">
        <f t="shared" si="925"/>
        <v>1277229.9724528315</v>
      </c>
      <c r="R363">
        <f t="shared" si="926"/>
        <v>8388376.4156064261</v>
      </c>
      <c r="S363">
        <f t="shared" si="927"/>
        <v>83.88376415606426</v>
      </c>
      <c r="T363">
        <f t="shared" si="928"/>
        <v>8.3883764156064258E-2</v>
      </c>
    </row>
    <row r="364" spans="1:20" x14ac:dyDescent="0.25">
      <c r="A364" s="5">
        <v>44220</v>
      </c>
      <c r="B364">
        <v>0.33579999999999999</v>
      </c>
      <c r="C364">
        <v>0.34820000000000001</v>
      </c>
      <c r="D364">
        <v>0.3044</v>
      </c>
      <c r="E364">
        <v>0.32040000000000002</v>
      </c>
      <c r="F364">
        <v>25517788.82</v>
      </c>
      <c r="G364">
        <v>0</v>
      </c>
      <c r="L364" t="s">
        <v>8</v>
      </c>
      <c r="M364" t="s">
        <v>8</v>
      </c>
      <c r="N364" t="s">
        <v>8</v>
      </c>
      <c r="P364">
        <f t="shared" si="924"/>
        <v>-0.26940639269406336</v>
      </c>
      <c r="Q364">
        <f t="shared" si="925"/>
        <v>-6874655.4355250997</v>
      </c>
      <c r="R364">
        <f t="shared" si="926"/>
        <v>7111146.4431535946</v>
      </c>
      <c r="S364">
        <f t="shared" si="927"/>
        <v>71.11146443153595</v>
      </c>
      <c r="T364">
        <f t="shared" si="928"/>
        <v>7.1111464431535945E-2</v>
      </c>
    </row>
    <row r="365" spans="1:20" x14ac:dyDescent="0.25">
      <c r="A365" s="5">
        <v>44219</v>
      </c>
      <c r="B365">
        <v>0.25609999999999999</v>
      </c>
      <c r="C365">
        <v>0.34100000000000003</v>
      </c>
      <c r="D365">
        <v>0.25230000000000002</v>
      </c>
      <c r="E365">
        <v>0.33579999999999999</v>
      </c>
      <c r="F365">
        <v>30120076.829999998</v>
      </c>
      <c r="G365">
        <v>0</v>
      </c>
      <c r="L365" t="s">
        <v>8</v>
      </c>
      <c r="M365" t="s">
        <v>8</v>
      </c>
      <c r="N365" t="s">
        <v>8</v>
      </c>
      <c r="P365">
        <f t="shared" si="924"/>
        <v>0.88275084554678607</v>
      </c>
      <c r="Q365">
        <f t="shared" si="925"/>
        <v>26588523.289616659</v>
      </c>
      <c r="R365">
        <f t="shared" si="926"/>
        <v>13985801.878678694</v>
      </c>
      <c r="S365">
        <f t="shared" si="927"/>
        <v>139.85801878678694</v>
      </c>
      <c r="T365">
        <f t="shared" si="928"/>
        <v>0.13985801878678694</v>
      </c>
    </row>
    <row r="366" spans="1:20" x14ac:dyDescent="0.25">
      <c r="A366" s="5">
        <v>44218</v>
      </c>
      <c r="B366">
        <v>0.25340000000000001</v>
      </c>
      <c r="C366">
        <v>0.28000000000000003</v>
      </c>
      <c r="D366">
        <v>0.23</v>
      </c>
      <c r="E366">
        <v>0.25590000000000002</v>
      </c>
      <c r="F366">
        <v>18447831.41</v>
      </c>
      <c r="G366">
        <v>0</v>
      </c>
      <c r="L366" t="s">
        <v>7</v>
      </c>
      <c r="M366" t="s">
        <v>7</v>
      </c>
      <c r="N366" t="s">
        <v>8</v>
      </c>
      <c r="P366">
        <f t="shared" si="924"/>
        <v>3.5999999999999907E-2</v>
      </c>
      <c r="Q366">
        <f t="shared" si="925"/>
        <v>664121.93075999827</v>
      </c>
      <c r="R366">
        <f t="shared" si="926"/>
        <v>-12602721.410937965</v>
      </c>
      <c r="S366">
        <f t="shared" si="927"/>
        <v>-126.02721410937964</v>
      </c>
      <c r="T366">
        <f t="shared" si="928"/>
        <v>-0.12602721410937964</v>
      </c>
    </row>
    <row r="367" spans="1:20" x14ac:dyDescent="0.25">
      <c r="A367" s="5">
        <v>44217</v>
      </c>
      <c r="B367">
        <v>0.27900000000000003</v>
      </c>
      <c r="C367">
        <v>0.29849999999999999</v>
      </c>
      <c r="D367">
        <v>0.25</v>
      </c>
      <c r="E367">
        <v>0.2535</v>
      </c>
      <c r="F367">
        <v>27945850.18</v>
      </c>
      <c r="G367">
        <v>0</v>
      </c>
      <c r="L367" t="s">
        <v>8</v>
      </c>
      <c r="M367" t="s">
        <v>8</v>
      </c>
      <c r="N367" t="s">
        <v>8</v>
      </c>
      <c r="P367">
        <f t="shared" si="924"/>
        <v>-0.85567010309278335</v>
      </c>
      <c r="Q367">
        <f t="shared" si="925"/>
        <v>-23912428.504536077</v>
      </c>
      <c r="R367">
        <f t="shared" si="926"/>
        <v>-13266843.341697963</v>
      </c>
      <c r="S367">
        <f t="shared" si="927"/>
        <v>-132.66843341697964</v>
      </c>
      <c r="T367">
        <f t="shared" si="928"/>
        <v>-0.13266843341697965</v>
      </c>
    </row>
    <row r="368" spans="1:20" x14ac:dyDescent="0.25">
      <c r="A368" s="5">
        <v>44216</v>
      </c>
      <c r="B368">
        <v>0.27550000000000002</v>
      </c>
      <c r="C368">
        <v>0.28360000000000002</v>
      </c>
      <c r="D368">
        <v>0.24299999999999999</v>
      </c>
      <c r="E368">
        <v>0.2792</v>
      </c>
      <c r="F368">
        <v>18220748.399999999</v>
      </c>
      <c r="G368">
        <v>0</v>
      </c>
      <c r="L368" t="s">
        <v>7</v>
      </c>
      <c r="M368" t="s">
        <v>7</v>
      </c>
      <c r="N368" t="s">
        <v>8</v>
      </c>
      <c r="P368">
        <f t="shared" si="924"/>
        <v>0.78325123152709297</v>
      </c>
      <c r="Q368">
        <f t="shared" si="925"/>
        <v>14271423.623645307</v>
      </c>
      <c r="R368">
        <f t="shared" si="926"/>
        <v>10645585.162838114</v>
      </c>
      <c r="S368">
        <f t="shared" si="927"/>
        <v>106.45585162838114</v>
      </c>
      <c r="T368">
        <f t="shared" si="928"/>
        <v>0.10645585162838114</v>
      </c>
    </row>
    <row r="369" spans="1:20" x14ac:dyDescent="0.25">
      <c r="A369" s="5">
        <v>44215</v>
      </c>
      <c r="B369">
        <v>0.30280000000000001</v>
      </c>
      <c r="C369">
        <v>0.30990000000000001</v>
      </c>
      <c r="D369">
        <v>0.27510000000000001</v>
      </c>
      <c r="E369">
        <v>0.2752</v>
      </c>
      <c r="F369">
        <v>15146026.039999999</v>
      </c>
      <c r="G369">
        <v>0</v>
      </c>
      <c r="L369" t="s">
        <v>7</v>
      </c>
      <c r="M369" t="s">
        <v>8</v>
      </c>
      <c r="N369" t="s">
        <v>8</v>
      </c>
      <c r="P369">
        <f t="shared" si="924"/>
        <v>-0.99425287356321901</v>
      </c>
      <c r="Q369">
        <f t="shared" si="925"/>
        <v>-15058979.913333341</v>
      </c>
      <c r="R369">
        <f t="shared" si="926"/>
        <v>-3625838.4608071931</v>
      </c>
      <c r="S369">
        <f t="shared" si="927"/>
        <v>-36.258384608071928</v>
      </c>
      <c r="T369">
        <f t="shared" si="928"/>
        <v>-3.6258384608071931E-2</v>
      </c>
    </row>
    <row r="370" spans="1:20" x14ac:dyDescent="0.25">
      <c r="A370" s="5">
        <v>44214</v>
      </c>
      <c r="B370">
        <v>0.2823</v>
      </c>
      <c r="C370">
        <v>0.31130000000000002</v>
      </c>
      <c r="D370">
        <v>0.2601</v>
      </c>
      <c r="E370">
        <v>0.30280000000000001</v>
      </c>
      <c r="F370">
        <v>24922713.289999999</v>
      </c>
      <c r="G370">
        <v>0</v>
      </c>
      <c r="L370" t="s">
        <v>8</v>
      </c>
      <c r="M370" t="s">
        <v>8</v>
      </c>
      <c r="N370" t="s">
        <v>8</v>
      </c>
      <c r="P370">
        <f t="shared" si="924"/>
        <v>0.66796874999999989</v>
      </c>
      <c r="Q370">
        <f t="shared" si="925"/>
        <v>16647593.642929684</v>
      </c>
      <c r="R370">
        <f t="shared" si="926"/>
        <v>11433141.452526148</v>
      </c>
      <c r="S370">
        <f t="shared" si="927"/>
        <v>114.33141452526148</v>
      </c>
      <c r="T370">
        <f t="shared" si="928"/>
        <v>0.11433141452526148</v>
      </c>
    </row>
    <row r="371" spans="1:20" x14ac:dyDescent="0.25">
      <c r="A371" s="5">
        <v>44213</v>
      </c>
      <c r="B371">
        <v>0.27039999999999997</v>
      </c>
      <c r="C371">
        <v>0.29149999999999998</v>
      </c>
      <c r="D371">
        <v>0.24299999999999999</v>
      </c>
      <c r="E371">
        <v>0.2823</v>
      </c>
      <c r="F371">
        <v>26532405.649999999</v>
      </c>
      <c r="G371">
        <v>0</v>
      </c>
      <c r="L371" t="s">
        <v>8</v>
      </c>
      <c r="M371" t="s">
        <v>8</v>
      </c>
      <c r="N371" t="s">
        <v>8</v>
      </c>
      <c r="P371">
        <f t="shared" si="924"/>
        <v>0.62061855670103139</v>
      </c>
      <c r="Q371">
        <f t="shared" si="925"/>
        <v>16466503.300309289</v>
      </c>
      <c r="R371">
        <f t="shared" si="926"/>
        <v>-5214452.190403536</v>
      </c>
      <c r="S371">
        <f t="shared" si="927"/>
        <v>-52.144521904035358</v>
      </c>
      <c r="T371">
        <f t="shared" si="928"/>
        <v>-5.214452190403536E-2</v>
      </c>
    </row>
    <row r="372" spans="1:20" x14ac:dyDescent="0.25">
      <c r="A372" s="5">
        <v>44212</v>
      </c>
      <c r="B372">
        <v>0.2293</v>
      </c>
      <c r="C372">
        <v>0.28489999999999999</v>
      </c>
      <c r="D372">
        <v>0.22789999999999999</v>
      </c>
      <c r="E372">
        <v>0.26989999999999997</v>
      </c>
      <c r="F372">
        <v>32260639.82</v>
      </c>
      <c r="G372">
        <v>0</v>
      </c>
      <c r="L372" t="s">
        <v>8</v>
      </c>
      <c r="M372" t="s">
        <v>8</v>
      </c>
      <c r="N372" t="s">
        <v>8</v>
      </c>
      <c r="P372">
        <f t="shared" si="924"/>
        <v>0.47368421052631526</v>
      </c>
      <c r="Q372">
        <f t="shared" si="925"/>
        <v>15281355.704210509</v>
      </c>
      <c r="R372">
        <f t="shared" si="926"/>
        <v>-21680955.490712825</v>
      </c>
      <c r="S372">
        <f t="shared" si="927"/>
        <v>-216.80955490712824</v>
      </c>
      <c r="T372">
        <f t="shared" si="928"/>
        <v>-0.21680955490712825</v>
      </c>
    </row>
    <row r="373" spans="1:20" x14ac:dyDescent="0.25">
      <c r="A373" s="5">
        <v>44211</v>
      </c>
      <c r="B373">
        <v>0.21690000000000001</v>
      </c>
      <c r="C373">
        <v>0.24060000000000001</v>
      </c>
      <c r="D373">
        <v>0.20230000000000001</v>
      </c>
      <c r="E373">
        <v>0.22950000000000001</v>
      </c>
      <c r="F373">
        <v>22376710.149999999</v>
      </c>
      <c r="G373">
        <v>0</v>
      </c>
      <c r="L373" t="s">
        <v>8</v>
      </c>
      <c r="M373" t="s">
        <v>8</v>
      </c>
      <c r="N373" t="s">
        <v>8</v>
      </c>
      <c r="P373">
        <f t="shared" si="924"/>
        <v>0.42036553524804188</v>
      </c>
      <c r="Q373">
        <f t="shared" si="925"/>
        <v>9406397.7392950412</v>
      </c>
      <c r="R373">
        <f t="shared" si="926"/>
        <v>-36962311.194923334</v>
      </c>
      <c r="S373">
        <f t="shared" si="927"/>
        <v>-369.62311194923336</v>
      </c>
      <c r="T373">
        <f t="shared" si="928"/>
        <v>-0.36962311194923336</v>
      </c>
    </row>
    <row r="374" spans="1:20" x14ac:dyDescent="0.25">
      <c r="A374" s="5">
        <v>44210</v>
      </c>
      <c r="B374">
        <v>0.20619999999999999</v>
      </c>
      <c r="C374">
        <v>0.21959999999999999</v>
      </c>
      <c r="D374">
        <v>0.19289999999999999</v>
      </c>
      <c r="E374">
        <v>0.2167</v>
      </c>
      <c r="F374">
        <v>12026715.74</v>
      </c>
      <c r="G374">
        <v>0</v>
      </c>
      <c r="L374" t="s">
        <v>8</v>
      </c>
      <c r="M374" t="s">
        <v>8</v>
      </c>
      <c r="N374" t="s">
        <v>7</v>
      </c>
      <c r="P374">
        <f t="shared" si="924"/>
        <v>0.78277153558052537</v>
      </c>
      <c r="Q374">
        <f t="shared" si="925"/>
        <v>9414170.7477902751</v>
      </c>
      <c r="R374">
        <f t="shared" si="926"/>
        <v>-46368708.934218377</v>
      </c>
      <c r="S374">
        <f t="shared" si="927"/>
        <v>-463.68708934218375</v>
      </c>
      <c r="T374">
        <f t="shared" si="928"/>
        <v>-0.46368708934218378</v>
      </c>
    </row>
    <row r="375" spans="1:20" x14ac:dyDescent="0.25">
      <c r="A375" s="5">
        <v>44209</v>
      </c>
      <c r="B375">
        <v>0.184</v>
      </c>
      <c r="C375">
        <v>0.21129999999999999</v>
      </c>
      <c r="D375">
        <v>0.17649999999999999</v>
      </c>
      <c r="E375">
        <v>0.20610000000000001</v>
      </c>
      <c r="F375">
        <v>14060404.76</v>
      </c>
      <c r="G375">
        <v>0</v>
      </c>
      <c r="L375" t="s">
        <v>8</v>
      </c>
      <c r="M375" t="s">
        <v>8</v>
      </c>
      <c r="N375" t="s">
        <v>7</v>
      </c>
      <c r="P375">
        <f t="shared" si="924"/>
        <v>0.70114942528735735</v>
      </c>
      <c r="Q375">
        <f t="shared" si="925"/>
        <v>9858444.7167816237</v>
      </c>
      <c r="R375">
        <f t="shared" si="926"/>
        <v>-55782879.682008654</v>
      </c>
      <c r="S375">
        <f t="shared" si="927"/>
        <v>-557.8287968200865</v>
      </c>
      <c r="T375">
        <f t="shared" si="928"/>
        <v>-0.55782879682008646</v>
      </c>
    </row>
    <row r="376" spans="1:20" x14ac:dyDescent="0.25">
      <c r="A376" s="5">
        <v>44208</v>
      </c>
      <c r="B376">
        <v>0.19209999999999999</v>
      </c>
      <c r="C376">
        <v>0.2016</v>
      </c>
      <c r="D376">
        <v>0.17560000000000001</v>
      </c>
      <c r="E376">
        <v>0.184</v>
      </c>
      <c r="F376">
        <v>13780133.789999999</v>
      </c>
      <c r="G376">
        <v>0</v>
      </c>
      <c r="L376" t="s">
        <v>8</v>
      </c>
      <c r="M376" t="s">
        <v>8</v>
      </c>
      <c r="N376" t="s">
        <v>7</v>
      </c>
      <c r="P376">
        <f t="shared" si="924"/>
        <v>-0.35384615384615442</v>
      </c>
      <c r="Q376">
        <f t="shared" si="925"/>
        <v>-4876047.341076931</v>
      </c>
      <c r="R376">
        <f t="shared" si="926"/>
        <v>-65641324.398790278</v>
      </c>
      <c r="S376">
        <f t="shared" si="927"/>
        <v>-656.41324398790277</v>
      </c>
      <c r="T376">
        <f t="shared" si="928"/>
        <v>-0.65641324398790279</v>
      </c>
    </row>
    <row r="377" spans="1:20" x14ac:dyDescent="0.25">
      <c r="A377" s="5">
        <v>44207</v>
      </c>
      <c r="B377">
        <v>0.22159999999999999</v>
      </c>
      <c r="C377">
        <v>0.22209999999999999</v>
      </c>
      <c r="D377">
        <v>0.1696</v>
      </c>
      <c r="E377">
        <v>0.19209999999999999</v>
      </c>
      <c r="F377">
        <v>25475000.690000001</v>
      </c>
      <c r="G377">
        <v>0</v>
      </c>
      <c r="L377" t="s">
        <v>7</v>
      </c>
      <c r="M377" t="s">
        <v>7</v>
      </c>
      <c r="N377" t="s">
        <v>7</v>
      </c>
      <c r="P377">
        <f t="shared" si="924"/>
        <v>-0.14285714285714302</v>
      </c>
      <c r="Q377">
        <f t="shared" si="925"/>
        <v>-3639285.8128571473</v>
      </c>
      <c r="R377">
        <f t="shared" si="926"/>
        <v>-60765277.057713345</v>
      </c>
      <c r="S377">
        <f t="shared" si="927"/>
        <v>-607.65277057713342</v>
      </c>
      <c r="T377">
        <f t="shared" si="928"/>
        <v>-0.60765277057713341</v>
      </c>
    </row>
    <row r="378" spans="1:20" x14ac:dyDescent="0.25">
      <c r="A378" s="5">
        <v>44206</v>
      </c>
      <c r="B378">
        <v>0.2397</v>
      </c>
      <c r="C378">
        <v>0.25750000000000001</v>
      </c>
      <c r="D378">
        <v>0.20030000000000001</v>
      </c>
      <c r="E378">
        <v>0.2213</v>
      </c>
      <c r="F378">
        <v>21322084.530000001</v>
      </c>
      <c r="G378">
        <v>0</v>
      </c>
      <c r="L378" t="s">
        <v>8</v>
      </c>
      <c r="M378" t="s">
        <v>8</v>
      </c>
      <c r="N378" t="s">
        <v>8</v>
      </c>
      <c r="P378">
        <f t="shared" si="924"/>
        <v>-0.26573426573426606</v>
      </c>
      <c r="Q378">
        <f t="shared" si="925"/>
        <v>-5666008.4765035035</v>
      </c>
      <c r="R378">
        <f t="shared" si="926"/>
        <v>-57125991.244856194</v>
      </c>
      <c r="S378">
        <f t="shared" si="927"/>
        <v>-571.25991244856198</v>
      </c>
      <c r="T378">
        <f t="shared" si="928"/>
        <v>-0.571259912448562</v>
      </c>
    </row>
    <row r="379" spans="1:20" x14ac:dyDescent="0.25">
      <c r="A379" s="5">
        <v>44205</v>
      </c>
      <c r="B379">
        <v>0.2225</v>
      </c>
      <c r="C379">
        <v>0.2545</v>
      </c>
      <c r="D379">
        <v>0.21379999999999999</v>
      </c>
      <c r="E379">
        <v>0.23960000000000001</v>
      </c>
      <c r="F379">
        <v>15393565.34</v>
      </c>
      <c r="G379">
        <v>0</v>
      </c>
      <c r="L379" t="s">
        <v>8</v>
      </c>
      <c r="M379" t="s">
        <v>8</v>
      </c>
      <c r="N379" t="s">
        <v>8</v>
      </c>
      <c r="P379">
        <f t="shared" si="924"/>
        <v>0.26781326781326825</v>
      </c>
      <c r="Q379">
        <f t="shared" si="925"/>
        <v>4122601.0370024638</v>
      </c>
      <c r="R379">
        <f t="shared" si="926"/>
        <v>-51459982.768352687</v>
      </c>
      <c r="S379">
        <f t="shared" si="927"/>
        <v>-514.59982768352688</v>
      </c>
      <c r="T379">
        <f t="shared" si="928"/>
        <v>-0.51459982768352686</v>
      </c>
    </row>
    <row r="380" spans="1:20" x14ac:dyDescent="0.25">
      <c r="A380" s="5">
        <v>44204</v>
      </c>
      <c r="B380">
        <v>0.2155</v>
      </c>
      <c r="C380">
        <v>0.23499999999999999</v>
      </c>
      <c r="D380">
        <v>0.18959999999999999</v>
      </c>
      <c r="E380">
        <v>0.22239999999999999</v>
      </c>
      <c r="F380">
        <v>25028186.57</v>
      </c>
      <c r="G380">
        <v>0</v>
      </c>
      <c r="L380" t="s">
        <v>7</v>
      </c>
      <c r="M380" t="s">
        <v>7</v>
      </c>
      <c r="N380" t="s">
        <v>8</v>
      </c>
      <c r="P380">
        <f t="shared" si="924"/>
        <v>0.44493392070484578</v>
      </c>
      <c r="Q380">
        <f t="shared" si="925"/>
        <v>11135889.178722465</v>
      </c>
      <c r="R380">
        <f t="shared" si="926"/>
        <v>-55582583.805355154</v>
      </c>
      <c r="S380">
        <f t="shared" si="927"/>
        <v>-555.82583805355159</v>
      </c>
      <c r="T380">
        <f t="shared" si="928"/>
        <v>-0.55582583805355157</v>
      </c>
    </row>
    <row r="381" spans="1:20" x14ac:dyDescent="0.25">
      <c r="A381" s="5">
        <v>44203</v>
      </c>
      <c r="B381">
        <v>0.22889999999999999</v>
      </c>
      <c r="C381">
        <v>0.24990000000000001</v>
      </c>
      <c r="D381">
        <v>0.20430000000000001</v>
      </c>
      <c r="E381">
        <v>0.21529999999999999</v>
      </c>
      <c r="F381">
        <v>25267055.120000001</v>
      </c>
      <c r="G381">
        <v>0</v>
      </c>
      <c r="L381" t="s">
        <v>8</v>
      </c>
      <c r="M381" t="s">
        <v>8</v>
      </c>
      <c r="N381" t="s">
        <v>8</v>
      </c>
      <c r="P381">
        <f t="shared" ref="P381:P444" si="929">IF(C381=D381,0,((E381-D381)-(C381-E381))/(C381-D381))</f>
        <v>-0.51754385964912364</v>
      </c>
      <c r="Q381">
        <f t="shared" ref="Q381:Q444" si="930">F381*P381</f>
        <v>-13076809.228771951</v>
      </c>
      <c r="R381">
        <f t="shared" ref="R381:R444" si="931">R382+Q381</f>
        <v>-66718472.984077618</v>
      </c>
      <c r="S381">
        <f t="shared" ref="S381:S444" si="932">R381/100000</f>
        <v>-667.18472984077619</v>
      </c>
      <c r="T381">
        <f t="shared" ref="T381:T444" si="933">S381/1000</f>
        <v>-0.66718472984077615</v>
      </c>
    </row>
    <row r="382" spans="1:20" x14ac:dyDescent="0.25">
      <c r="A382" s="5">
        <v>44202</v>
      </c>
      <c r="B382">
        <v>0.21</v>
      </c>
      <c r="C382">
        <v>0.2424</v>
      </c>
      <c r="D382">
        <v>0.2019</v>
      </c>
      <c r="E382">
        <v>0.22900000000000001</v>
      </c>
      <c r="F382">
        <v>28522081.27</v>
      </c>
      <c r="G382">
        <v>0</v>
      </c>
      <c r="L382" t="s">
        <v>8</v>
      </c>
      <c r="M382" t="s">
        <v>8</v>
      </c>
      <c r="N382" t="s">
        <v>8</v>
      </c>
      <c r="P382">
        <f t="shared" si="929"/>
        <v>0.33827160493827196</v>
      </c>
      <c r="Q382">
        <f t="shared" si="930"/>
        <v>9648210.2073827256</v>
      </c>
      <c r="R382">
        <f t="shared" si="931"/>
        <v>-53641663.75530567</v>
      </c>
      <c r="S382">
        <f t="shared" si="932"/>
        <v>-536.41663755305672</v>
      </c>
      <c r="T382">
        <f t="shared" si="933"/>
        <v>-0.53641663755305669</v>
      </c>
    </row>
    <row r="383" spans="1:20" x14ac:dyDescent="0.25">
      <c r="A383" s="5">
        <v>44201</v>
      </c>
      <c r="B383">
        <v>0.18840000000000001</v>
      </c>
      <c r="C383">
        <v>0.22</v>
      </c>
      <c r="D383">
        <v>0.17030000000000001</v>
      </c>
      <c r="E383">
        <v>0.20910000000000001</v>
      </c>
      <c r="F383">
        <v>30320375.449999999</v>
      </c>
      <c r="G383">
        <v>0</v>
      </c>
      <c r="L383" t="s">
        <v>8</v>
      </c>
      <c r="M383" t="s">
        <v>8</v>
      </c>
      <c r="N383" t="s">
        <v>8</v>
      </c>
      <c r="P383">
        <f t="shared" si="929"/>
        <v>0.56136820925553343</v>
      </c>
      <c r="Q383">
        <f t="shared" si="930"/>
        <v>17020894.870321937</v>
      </c>
      <c r="R383">
        <f t="shared" si="931"/>
        <v>-63289873.962688394</v>
      </c>
      <c r="S383">
        <f t="shared" si="932"/>
        <v>-632.89873962688398</v>
      </c>
      <c r="T383">
        <f t="shared" si="933"/>
        <v>-0.63289873962688403</v>
      </c>
    </row>
    <row r="384" spans="1:20" x14ac:dyDescent="0.25">
      <c r="A384" s="5">
        <v>44200</v>
      </c>
      <c r="B384">
        <v>0.18</v>
      </c>
      <c r="C384">
        <v>0.19620000000000001</v>
      </c>
      <c r="D384">
        <v>0.1573</v>
      </c>
      <c r="E384">
        <v>0.18840000000000001</v>
      </c>
      <c r="F384">
        <v>25531451.530000001</v>
      </c>
      <c r="G384">
        <v>0</v>
      </c>
      <c r="L384" t="s">
        <v>8</v>
      </c>
      <c r="M384" t="s">
        <v>8</v>
      </c>
      <c r="N384" t="s">
        <v>7</v>
      </c>
      <c r="P384">
        <f t="shared" si="929"/>
        <v>0.59897172236503871</v>
      </c>
      <c r="Q384">
        <f t="shared" si="930"/>
        <v>15292617.497403603</v>
      </c>
      <c r="R384">
        <f t="shared" si="931"/>
        <v>-80310768.833010331</v>
      </c>
      <c r="S384">
        <f t="shared" si="932"/>
        <v>-803.10768833010331</v>
      </c>
      <c r="T384">
        <f t="shared" si="933"/>
        <v>-0.80310768833010326</v>
      </c>
    </row>
    <row r="385" spans="1:20" x14ac:dyDescent="0.25">
      <c r="A385" s="5">
        <v>44199</v>
      </c>
      <c r="B385">
        <v>0.1608</v>
      </c>
      <c r="C385">
        <v>0.1837</v>
      </c>
      <c r="D385">
        <v>0.15670000000000001</v>
      </c>
      <c r="E385">
        <v>0.1804</v>
      </c>
      <c r="F385">
        <v>14693291.98</v>
      </c>
      <c r="G385">
        <v>0</v>
      </c>
      <c r="L385" t="s">
        <v>8</v>
      </c>
      <c r="M385" t="s">
        <v>8</v>
      </c>
      <c r="N385" t="s">
        <v>7</v>
      </c>
      <c r="P385">
        <f t="shared" si="929"/>
        <v>0.75555555555555576</v>
      </c>
      <c r="Q385">
        <f t="shared" si="930"/>
        <v>11101598.384888893</v>
      </c>
      <c r="R385">
        <f t="shared" si="931"/>
        <v>-95603386.330413938</v>
      </c>
      <c r="S385">
        <f t="shared" si="932"/>
        <v>-956.03386330413935</v>
      </c>
      <c r="T385">
        <f t="shared" si="933"/>
        <v>-0.95603386330413931</v>
      </c>
    </row>
    <row r="386" spans="1:20" x14ac:dyDescent="0.25">
      <c r="A386" s="5">
        <v>44198</v>
      </c>
      <c r="B386">
        <v>0.16159999999999999</v>
      </c>
      <c r="C386">
        <v>0.17150000000000001</v>
      </c>
      <c r="D386">
        <v>0.15429999999999999</v>
      </c>
      <c r="E386">
        <v>0.1603</v>
      </c>
      <c r="F386">
        <v>18905790.280000001</v>
      </c>
      <c r="G386">
        <v>0</v>
      </c>
      <c r="L386" t="s">
        <v>7</v>
      </c>
      <c r="M386" t="s">
        <v>7</v>
      </c>
      <c r="N386" t="s">
        <v>7</v>
      </c>
      <c r="P386">
        <f t="shared" si="929"/>
        <v>-0.30232558139534904</v>
      </c>
      <c r="Q386">
        <f t="shared" si="930"/>
        <v>-5715704.0381395388</v>
      </c>
      <c r="R386">
        <f t="shared" si="931"/>
        <v>-106704984.71530282</v>
      </c>
      <c r="S386">
        <f t="shared" si="932"/>
        <v>-1067.0498471530282</v>
      </c>
      <c r="T386">
        <f t="shared" si="933"/>
        <v>-1.0670498471530281</v>
      </c>
    </row>
    <row r="387" spans="1:20" x14ac:dyDescent="0.25">
      <c r="A387" s="5">
        <v>44197</v>
      </c>
      <c r="B387">
        <v>0.16500000000000001</v>
      </c>
      <c r="C387">
        <v>0.17169999999999999</v>
      </c>
      <c r="D387">
        <v>0.15310000000000001</v>
      </c>
      <c r="E387">
        <v>0.16120000000000001</v>
      </c>
      <c r="F387">
        <v>19417951.850000001</v>
      </c>
      <c r="G387">
        <v>0</v>
      </c>
      <c r="L387" t="s">
        <v>8</v>
      </c>
      <c r="M387" t="s">
        <v>7</v>
      </c>
      <c r="N387" t="s">
        <v>7</v>
      </c>
      <c r="P387">
        <f t="shared" si="929"/>
        <v>-0.12903225806451551</v>
      </c>
      <c r="Q387">
        <f t="shared" si="930"/>
        <v>-2505542.1741935369</v>
      </c>
      <c r="R387">
        <f t="shared" si="931"/>
        <v>-100989280.67716329</v>
      </c>
      <c r="S387">
        <f t="shared" si="932"/>
        <v>-1009.8928067716329</v>
      </c>
      <c r="T387">
        <f t="shared" si="933"/>
        <v>-1.0098928067716328</v>
      </c>
    </row>
    <row r="388" spans="1:20" x14ac:dyDescent="0.25">
      <c r="A388" s="5">
        <v>44196</v>
      </c>
      <c r="B388">
        <v>0.15690000000000001</v>
      </c>
      <c r="C388">
        <v>0.16600000000000001</v>
      </c>
      <c r="D388">
        <v>0.14990000000000001</v>
      </c>
      <c r="E388">
        <v>0.16500000000000001</v>
      </c>
      <c r="F388">
        <v>12425397.640000001</v>
      </c>
      <c r="G388">
        <v>0</v>
      </c>
      <c r="L388" t="s">
        <v>8</v>
      </c>
      <c r="M388" t="s">
        <v>7</v>
      </c>
      <c r="N388" t="s">
        <v>7</v>
      </c>
      <c r="P388">
        <f t="shared" si="929"/>
        <v>0.87577639751552783</v>
      </c>
      <c r="Q388">
        <f t="shared" si="930"/>
        <v>10881869.982857142</v>
      </c>
      <c r="R388">
        <f t="shared" si="931"/>
        <v>-98483738.502969757</v>
      </c>
      <c r="S388">
        <f t="shared" si="932"/>
        <v>-984.83738502969754</v>
      </c>
      <c r="T388">
        <f t="shared" si="933"/>
        <v>-0.98483738502969753</v>
      </c>
    </row>
    <row r="389" spans="1:20" x14ac:dyDescent="0.25">
      <c r="A389" s="5">
        <v>44195</v>
      </c>
      <c r="B389">
        <v>0.15609999999999999</v>
      </c>
      <c r="C389">
        <v>0.1633</v>
      </c>
      <c r="D389">
        <v>0.1497</v>
      </c>
      <c r="E389">
        <v>0.15670000000000001</v>
      </c>
      <c r="F389">
        <v>9913287.8499999996</v>
      </c>
      <c r="G389">
        <v>0</v>
      </c>
      <c r="L389" t="s">
        <v>8</v>
      </c>
      <c r="M389" t="s">
        <v>7</v>
      </c>
      <c r="N389" t="s">
        <v>7</v>
      </c>
      <c r="P389">
        <f t="shared" si="929"/>
        <v>2.9411764705883192E-2</v>
      </c>
      <c r="Q389">
        <f t="shared" si="930"/>
        <v>291567.28970589064</v>
      </c>
      <c r="R389">
        <f t="shared" si="931"/>
        <v>-109365608.48582689</v>
      </c>
      <c r="S389">
        <f t="shared" si="932"/>
        <v>-1093.656084858269</v>
      </c>
      <c r="T389">
        <f t="shared" si="933"/>
        <v>-1.093656084858269</v>
      </c>
    </row>
    <row r="390" spans="1:20" x14ac:dyDescent="0.25">
      <c r="A390" s="5">
        <v>44194</v>
      </c>
      <c r="B390">
        <v>0.1794</v>
      </c>
      <c r="C390">
        <v>0.186</v>
      </c>
      <c r="D390">
        <v>0.14940000000000001</v>
      </c>
      <c r="E390">
        <v>0.15609999999999999</v>
      </c>
      <c r="F390">
        <v>15682253.960000001</v>
      </c>
      <c r="G390">
        <v>0</v>
      </c>
      <c r="L390" t="s">
        <v>7</v>
      </c>
      <c r="M390" t="s">
        <v>7</v>
      </c>
      <c r="N390" t="s">
        <v>7</v>
      </c>
      <c r="P390">
        <f t="shared" si="929"/>
        <v>-0.63387978142076584</v>
      </c>
      <c r="Q390">
        <f t="shared" si="930"/>
        <v>-9940663.7123497408</v>
      </c>
      <c r="R390">
        <f t="shared" si="931"/>
        <v>-109657175.77553278</v>
      </c>
      <c r="S390">
        <f t="shared" si="932"/>
        <v>-1096.5717577553278</v>
      </c>
      <c r="T390">
        <f t="shared" si="933"/>
        <v>-1.0965717577553278</v>
      </c>
    </row>
    <row r="391" spans="1:20" x14ac:dyDescent="0.25">
      <c r="A391" s="5">
        <v>44193</v>
      </c>
      <c r="B391">
        <v>0.16070000000000001</v>
      </c>
      <c r="C391">
        <v>0.18590000000000001</v>
      </c>
      <c r="D391">
        <v>0.15859999999999999</v>
      </c>
      <c r="E391">
        <v>0.17910000000000001</v>
      </c>
      <c r="F391">
        <v>16637719.74</v>
      </c>
      <c r="G391">
        <v>0</v>
      </c>
      <c r="L391" t="s">
        <v>8</v>
      </c>
      <c r="M391" t="s">
        <v>8</v>
      </c>
      <c r="N391" t="s">
        <v>7</v>
      </c>
      <c r="P391">
        <f t="shared" si="929"/>
        <v>0.50183150183150216</v>
      </c>
      <c r="Q391">
        <f t="shared" si="930"/>
        <v>8349331.8841758296</v>
      </c>
      <c r="R391">
        <f t="shared" si="931"/>
        <v>-99716512.063183039</v>
      </c>
      <c r="S391">
        <f t="shared" si="932"/>
        <v>-997.1651206318304</v>
      </c>
      <c r="T391">
        <f t="shared" si="933"/>
        <v>-0.99716512063183038</v>
      </c>
    </row>
    <row r="392" spans="1:20" x14ac:dyDescent="0.25">
      <c r="A392" s="5">
        <v>44192</v>
      </c>
      <c r="B392">
        <v>0.154</v>
      </c>
      <c r="C392">
        <v>0.17</v>
      </c>
      <c r="D392">
        <v>0.14149999999999999</v>
      </c>
      <c r="E392">
        <v>0.16059999999999999</v>
      </c>
      <c r="F392">
        <v>24982467.629999999</v>
      </c>
      <c r="G392">
        <v>0</v>
      </c>
      <c r="L392" t="s">
        <v>7</v>
      </c>
      <c r="M392" t="s">
        <v>7</v>
      </c>
      <c r="N392" t="s">
        <v>7</v>
      </c>
      <c r="P392">
        <f t="shared" si="929"/>
        <v>0.34035087719298168</v>
      </c>
      <c r="Q392">
        <f t="shared" si="930"/>
        <v>8502804.7723157704</v>
      </c>
      <c r="R392">
        <f t="shared" si="931"/>
        <v>-108065843.94735888</v>
      </c>
      <c r="S392">
        <f t="shared" si="932"/>
        <v>-1080.6584394735887</v>
      </c>
      <c r="T392">
        <f t="shared" si="933"/>
        <v>-1.0806584394735887</v>
      </c>
    </row>
    <row r="393" spans="1:20" x14ac:dyDescent="0.25">
      <c r="A393" s="5">
        <v>44191</v>
      </c>
      <c r="B393">
        <v>0.16719999999999999</v>
      </c>
      <c r="C393">
        <v>0.1676</v>
      </c>
      <c r="D393">
        <v>0.15110000000000001</v>
      </c>
      <c r="E393">
        <v>0.154</v>
      </c>
      <c r="F393">
        <v>8869762.5999999996</v>
      </c>
      <c r="G393">
        <v>0</v>
      </c>
      <c r="L393" t="s">
        <v>7</v>
      </c>
      <c r="M393" t="s">
        <v>8</v>
      </c>
      <c r="N393" t="s">
        <v>7</v>
      </c>
      <c r="P393">
        <f t="shared" si="929"/>
        <v>-0.64848484848484989</v>
      </c>
      <c r="Q393">
        <f t="shared" si="930"/>
        <v>-5751906.6557575883</v>
      </c>
      <c r="R393">
        <f t="shared" si="931"/>
        <v>-116568648.71967465</v>
      </c>
      <c r="S393">
        <f t="shared" si="932"/>
        <v>-1165.6864871967464</v>
      </c>
      <c r="T393">
        <f t="shared" si="933"/>
        <v>-1.1656864871967463</v>
      </c>
    </row>
    <row r="394" spans="1:20" x14ac:dyDescent="0.25">
      <c r="A394" s="5">
        <v>44190</v>
      </c>
      <c r="B394">
        <v>0.17560000000000001</v>
      </c>
      <c r="C394">
        <v>0.1792</v>
      </c>
      <c r="D394">
        <v>0.159</v>
      </c>
      <c r="E394">
        <v>0.16719999999999999</v>
      </c>
      <c r="F394">
        <v>13099338.34</v>
      </c>
      <c r="G394">
        <v>0</v>
      </c>
      <c r="L394" t="s">
        <v>8</v>
      </c>
      <c r="M394" t="s">
        <v>8</v>
      </c>
      <c r="N394" t="s">
        <v>7</v>
      </c>
      <c r="P394">
        <f t="shared" si="929"/>
        <v>-0.18811881188118942</v>
      </c>
      <c r="Q394">
        <f t="shared" si="930"/>
        <v>-2464231.9649505122</v>
      </c>
      <c r="R394">
        <f t="shared" si="931"/>
        <v>-110816742.06391706</v>
      </c>
      <c r="S394">
        <f t="shared" si="932"/>
        <v>-1108.1674206391706</v>
      </c>
      <c r="T394">
        <f t="shared" si="933"/>
        <v>-1.1081674206391705</v>
      </c>
    </row>
    <row r="395" spans="1:20" x14ac:dyDescent="0.25">
      <c r="A395" s="5">
        <v>44189</v>
      </c>
      <c r="B395">
        <v>0.16800000000000001</v>
      </c>
      <c r="C395">
        <v>0.17680000000000001</v>
      </c>
      <c r="D395">
        <v>0.152</v>
      </c>
      <c r="E395">
        <v>0.1754</v>
      </c>
      <c r="F395">
        <v>14610944.15</v>
      </c>
      <c r="G395">
        <v>0</v>
      </c>
      <c r="L395" t="s">
        <v>8</v>
      </c>
      <c r="M395" t="s">
        <v>8</v>
      </c>
      <c r="N395" t="s">
        <v>7</v>
      </c>
      <c r="P395">
        <f t="shared" si="929"/>
        <v>0.88709677419354749</v>
      </c>
      <c r="Q395">
        <f t="shared" si="930"/>
        <v>12961321.423387084</v>
      </c>
      <c r="R395">
        <f t="shared" si="931"/>
        <v>-108352510.09896654</v>
      </c>
      <c r="S395">
        <f t="shared" si="932"/>
        <v>-1083.5251009896654</v>
      </c>
      <c r="T395">
        <f t="shared" si="933"/>
        <v>-1.0835251009896654</v>
      </c>
    </row>
    <row r="396" spans="1:20" x14ac:dyDescent="0.25">
      <c r="A396" s="5">
        <v>44188</v>
      </c>
      <c r="B396">
        <v>0.217</v>
      </c>
      <c r="C396">
        <v>0.2195</v>
      </c>
      <c r="D396">
        <v>0.14680000000000001</v>
      </c>
      <c r="E396">
        <v>0.1676</v>
      </c>
      <c r="F396">
        <v>16902784.93</v>
      </c>
      <c r="G396">
        <v>0</v>
      </c>
      <c r="L396" t="s">
        <v>7</v>
      </c>
      <c r="M396" t="s">
        <v>7</v>
      </c>
      <c r="N396" t="s">
        <v>7</v>
      </c>
      <c r="P396">
        <f t="shared" si="929"/>
        <v>-0.42778541953232491</v>
      </c>
      <c r="Q396">
        <f t="shared" si="930"/>
        <v>-7230764.942544709</v>
      </c>
      <c r="R396">
        <f t="shared" si="931"/>
        <v>-121313831.52235362</v>
      </c>
      <c r="S396">
        <f t="shared" si="932"/>
        <v>-1213.1383152235362</v>
      </c>
      <c r="T396">
        <f t="shared" si="933"/>
        <v>-1.2131383152235362</v>
      </c>
    </row>
    <row r="397" spans="1:20" x14ac:dyDescent="0.25">
      <c r="A397" s="5">
        <v>44187</v>
      </c>
      <c r="B397">
        <v>0.20469999999999999</v>
      </c>
      <c r="C397">
        <v>0.23</v>
      </c>
      <c r="D397">
        <v>0.1946</v>
      </c>
      <c r="E397">
        <v>0.21729999999999999</v>
      </c>
      <c r="F397">
        <v>10776192.6</v>
      </c>
      <c r="G397">
        <v>0</v>
      </c>
      <c r="L397" t="s">
        <v>8</v>
      </c>
      <c r="M397" t="s">
        <v>7</v>
      </c>
      <c r="N397" t="s">
        <v>7</v>
      </c>
      <c r="P397">
        <f t="shared" si="929"/>
        <v>0.28248587570621403</v>
      </c>
      <c r="Q397">
        <f t="shared" si="930"/>
        <v>3044122.2033898234</v>
      </c>
      <c r="R397">
        <f t="shared" si="931"/>
        <v>-114083066.57980891</v>
      </c>
      <c r="S397">
        <f t="shared" si="932"/>
        <v>-1140.8306657980891</v>
      </c>
      <c r="T397">
        <f t="shared" si="933"/>
        <v>-1.1408306657980891</v>
      </c>
    </row>
    <row r="398" spans="1:20" x14ac:dyDescent="0.25">
      <c r="A398" s="5">
        <v>44186</v>
      </c>
      <c r="B398">
        <v>0.21940000000000001</v>
      </c>
      <c r="C398">
        <v>0.22289999999999999</v>
      </c>
      <c r="D398">
        <v>0.19400000000000001</v>
      </c>
      <c r="E398">
        <v>0.20480000000000001</v>
      </c>
      <c r="F398">
        <v>11747601.52</v>
      </c>
      <c r="G398">
        <v>0</v>
      </c>
      <c r="L398" t="s">
        <v>7</v>
      </c>
      <c r="M398" t="s">
        <v>7</v>
      </c>
      <c r="N398" t="s">
        <v>7</v>
      </c>
      <c r="P398">
        <f t="shared" si="929"/>
        <v>-0.25259515570934182</v>
      </c>
      <c r="Q398">
        <f t="shared" si="930"/>
        <v>-2967387.2351557007</v>
      </c>
      <c r="R398">
        <f t="shared" si="931"/>
        <v>-117127188.78319873</v>
      </c>
      <c r="S398">
        <f t="shared" si="932"/>
        <v>-1171.2718878319872</v>
      </c>
      <c r="T398">
        <f t="shared" si="933"/>
        <v>-1.1712718878319872</v>
      </c>
    </row>
    <row r="399" spans="1:20" x14ac:dyDescent="0.25">
      <c r="A399" s="5">
        <v>44185</v>
      </c>
      <c r="B399">
        <v>0.23419999999999999</v>
      </c>
      <c r="C399">
        <v>0.24</v>
      </c>
      <c r="D399">
        <v>0.21149999999999999</v>
      </c>
      <c r="E399">
        <v>0.21929999999999999</v>
      </c>
      <c r="F399">
        <v>9290832.6899999995</v>
      </c>
      <c r="G399">
        <v>0</v>
      </c>
      <c r="L399" t="s">
        <v>7</v>
      </c>
      <c r="M399" t="s">
        <v>7</v>
      </c>
      <c r="N399" t="s">
        <v>8</v>
      </c>
      <c r="P399">
        <f t="shared" si="929"/>
        <v>-0.45263157894736827</v>
      </c>
      <c r="Q399">
        <f t="shared" si="930"/>
        <v>-4205324.270210525</v>
      </c>
      <c r="R399">
        <f t="shared" si="931"/>
        <v>-114159801.54804303</v>
      </c>
      <c r="S399">
        <f t="shared" si="932"/>
        <v>-1141.5980154804304</v>
      </c>
      <c r="T399">
        <f t="shared" si="933"/>
        <v>-1.1415980154804304</v>
      </c>
    </row>
    <row r="400" spans="1:20" x14ac:dyDescent="0.25">
      <c r="A400" s="5">
        <v>44184</v>
      </c>
      <c r="B400">
        <v>0.24030000000000001</v>
      </c>
      <c r="C400">
        <v>0.26090000000000002</v>
      </c>
      <c r="D400">
        <v>0.2319</v>
      </c>
      <c r="E400">
        <v>0.23449999999999999</v>
      </c>
      <c r="F400">
        <v>9387823.1999999993</v>
      </c>
      <c r="G400">
        <v>0</v>
      </c>
      <c r="L400" t="s">
        <v>8</v>
      </c>
      <c r="M400" t="s">
        <v>8</v>
      </c>
      <c r="N400" t="s">
        <v>8</v>
      </c>
      <c r="P400">
        <f t="shared" si="929"/>
        <v>-0.82068965517241454</v>
      </c>
      <c r="Q400">
        <f t="shared" si="930"/>
        <v>-7704489.3848275924</v>
      </c>
      <c r="R400">
        <f t="shared" si="931"/>
        <v>-109954477.27783251</v>
      </c>
      <c r="S400">
        <f t="shared" si="932"/>
        <v>-1099.5447727783251</v>
      </c>
      <c r="T400">
        <f t="shared" si="933"/>
        <v>-1.099544772778325</v>
      </c>
    </row>
    <row r="401" spans="1:20" x14ac:dyDescent="0.25">
      <c r="A401" s="5">
        <v>44183</v>
      </c>
      <c r="B401">
        <v>0.2301</v>
      </c>
      <c r="C401">
        <v>0.24709999999999999</v>
      </c>
      <c r="D401">
        <v>0.21679999999999999</v>
      </c>
      <c r="E401">
        <v>0.23930000000000001</v>
      </c>
      <c r="F401">
        <v>10692380.449999999</v>
      </c>
      <c r="G401">
        <v>0</v>
      </c>
      <c r="L401" t="s">
        <v>7</v>
      </c>
      <c r="M401" t="s">
        <v>7</v>
      </c>
      <c r="N401" t="s">
        <v>8</v>
      </c>
      <c r="P401">
        <f t="shared" si="929"/>
        <v>0.4851485148514868</v>
      </c>
      <c r="Q401">
        <f t="shared" si="930"/>
        <v>5187392.4955445714</v>
      </c>
      <c r="R401">
        <f t="shared" si="931"/>
        <v>-102249987.89300491</v>
      </c>
      <c r="S401">
        <f t="shared" si="932"/>
        <v>-1022.4998789300491</v>
      </c>
      <c r="T401">
        <f t="shared" si="933"/>
        <v>-1.0224998789300492</v>
      </c>
    </row>
    <row r="402" spans="1:20" x14ac:dyDescent="0.25">
      <c r="A402" s="5">
        <v>44182</v>
      </c>
      <c r="B402">
        <v>0.2535</v>
      </c>
      <c r="C402">
        <v>0.25629999999999997</v>
      </c>
      <c r="D402">
        <v>0.2273</v>
      </c>
      <c r="E402">
        <v>0.2301</v>
      </c>
      <c r="F402">
        <v>12548513.810000001</v>
      </c>
      <c r="G402">
        <v>0</v>
      </c>
      <c r="L402" t="s">
        <v>7</v>
      </c>
      <c r="M402" t="s">
        <v>8</v>
      </c>
      <c r="N402" t="s">
        <v>8</v>
      </c>
      <c r="P402">
        <f t="shared" si="929"/>
        <v>-0.80689655172413799</v>
      </c>
      <c r="Q402">
        <f t="shared" si="930"/>
        <v>-10125352.522551725</v>
      </c>
      <c r="R402">
        <f t="shared" si="931"/>
        <v>-107437380.38854948</v>
      </c>
      <c r="S402">
        <f t="shared" si="932"/>
        <v>-1074.3738038854947</v>
      </c>
      <c r="T402">
        <f t="shared" si="933"/>
        <v>-1.0743738038854946</v>
      </c>
    </row>
    <row r="403" spans="1:20" x14ac:dyDescent="0.25">
      <c r="A403" s="5">
        <v>44181</v>
      </c>
      <c r="B403">
        <v>0.24399999999999999</v>
      </c>
      <c r="C403">
        <v>0.2671</v>
      </c>
      <c r="D403">
        <v>0.23499999999999999</v>
      </c>
      <c r="E403">
        <v>0.2535</v>
      </c>
      <c r="F403">
        <v>12114635.109999999</v>
      </c>
      <c r="G403">
        <v>0</v>
      </c>
      <c r="L403" t="s">
        <v>8</v>
      </c>
      <c r="M403" t="s">
        <v>8</v>
      </c>
      <c r="N403" t="s">
        <v>8</v>
      </c>
      <c r="P403">
        <f t="shared" si="929"/>
        <v>0.15264797507788203</v>
      </c>
      <c r="Q403">
        <f t="shared" si="930"/>
        <v>1849274.5183489146</v>
      </c>
      <c r="R403">
        <f t="shared" si="931"/>
        <v>-97312027.865997747</v>
      </c>
      <c r="S403">
        <f t="shared" si="932"/>
        <v>-973.12027865997743</v>
      </c>
      <c r="T403">
        <f t="shared" si="933"/>
        <v>-0.97312027865997741</v>
      </c>
    </row>
    <row r="404" spans="1:20" x14ac:dyDescent="0.25">
      <c r="A404" s="5">
        <v>44180</v>
      </c>
      <c r="B404">
        <v>0.23200000000000001</v>
      </c>
      <c r="C404">
        <v>0.245</v>
      </c>
      <c r="D404">
        <v>0.22459999999999999</v>
      </c>
      <c r="E404">
        <v>0.24399999999999999</v>
      </c>
      <c r="F404">
        <v>5939070.04</v>
      </c>
      <c r="G404">
        <v>0</v>
      </c>
      <c r="L404" t="s">
        <v>8</v>
      </c>
      <c r="M404" t="s">
        <v>8</v>
      </c>
      <c r="N404" t="s">
        <v>7</v>
      </c>
      <c r="P404">
        <f t="shared" si="929"/>
        <v>0.90196078431372539</v>
      </c>
      <c r="Q404">
        <f t="shared" si="930"/>
        <v>5356808.2713725483</v>
      </c>
      <c r="R404">
        <f t="shared" si="931"/>
        <v>-99161302.384346664</v>
      </c>
      <c r="S404">
        <f t="shared" si="932"/>
        <v>-991.61302384346664</v>
      </c>
      <c r="T404">
        <f t="shared" si="933"/>
        <v>-0.99161302384346661</v>
      </c>
    </row>
    <row r="405" spans="1:20" x14ac:dyDescent="0.25">
      <c r="A405" s="5">
        <v>44179</v>
      </c>
      <c r="B405">
        <v>0.21690000000000001</v>
      </c>
      <c r="C405">
        <v>0.23200000000000001</v>
      </c>
      <c r="D405">
        <v>0.2127</v>
      </c>
      <c r="E405">
        <v>0.23200000000000001</v>
      </c>
      <c r="F405">
        <v>7338585.1699999999</v>
      </c>
      <c r="G405">
        <v>0</v>
      </c>
      <c r="L405" t="s">
        <v>8</v>
      </c>
      <c r="M405" t="s">
        <v>8</v>
      </c>
      <c r="N405" t="s">
        <v>7</v>
      </c>
      <c r="P405">
        <f t="shared" si="929"/>
        <v>1</v>
      </c>
      <c r="Q405">
        <f t="shared" si="930"/>
        <v>7338585.1699999999</v>
      </c>
      <c r="R405">
        <f t="shared" si="931"/>
        <v>-104518110.65571921</v>
      </c>
      <c r="S405">
        <f t="shared" si="932"/>
        <v>-1045.1811065571922</v>
      </c>
      <c r="T405">
        <f t="shared" si="933"/>
        <v>-1.0451811065571921</v>
      </c>
    </row>
    <row r="406" spans="1:20" x14ac:dyDescent="0.25">
      <c r="A406" s="5">
        <v>44178</v>
      </c>
      <c r="B406">
        <v>0.21129999999999999</v>
      </c>
      <c r="C406">
        <v>0.2228</v>
      </c>
      <c r="D406">
        <v>0.20499999999999999</v>
      </c>
      <c r="E406">
        <v>0.2172</v>
      </c>
      <c r="F406">
        <v>6650708.9800000004</v>
      </c>
      <c r="G406">
        <v>0</v>
      </c>
      <c r="L406" t="s">
        <v>8</v>
      </c>
      <c r="M406" t="s">
        <v>8</v>
      </c>
      <c r="N406" t="s">
        <v>7</v>
      </c>
      <c r="P406">
        <f t="shared" si="929"/>
        <v>0.37078651685393366</v>
      </c>
      <c r="Q406">
        <f t="shared" si="930"/>
        <v>2465993.217303378</v>
      </c>
      <c r="R406">
        <f t="shared" si="931"/>
        <v>-111856695.82571921</v>
      </c>
      <c r="S406">
        <f t="shared" si="932"/>
        <v>-1118.566958257192</v>
      </c>
      <c r="T406">
        <f t="shared" si="933"/>
        <v>-1.118566958257192</v>
      </c>
    </row>
    <row r="407" spans="1:20" x14ac:dyDescent="0.25">
      <c r="A407" s="5">
        <v>44177</v>
      </c>
      <c r="B407">
        <v>0.19089999999999999</v>
      </c>
      <c r="C407">
        <v>0.21690000000000001</v>
      </c>
      <c r="D407">
        <v>0.19089999999999999</v>
      </c>
      <c r="E407">
        <v>0.21129999999999999</v>
      </c>
      <c r="F407">
        <v>8824408.4900000002</v>
      </c>
      <c r="G407">
        <v>0</v>
      </c>
      <c r="L407" t="s">
        <v>8</v>
      </c>
      <c r="M407" t="s">
        <v>7</v>
      </c>
      <c r="N407" t="s">
        <v>7</v>
      </c>
      <c r="P407">
        <f t="shared" si="929"/>
        <v>0.56923076923076799</v>
      </c>
      <c r="Q407">
        <f t="shared" si="930"/>
        <v>5023124.8327692198</v>
      </c>
      <c r="R407">
        <f t="shared" si="931"/>
        <v>-114322689.04302259</v>
      </c>
      <c r="S407">
        <f t="shared" si="932"/>
        <v>-1143.2268904302259</v>
      </c>
      <c r="T407">
        <f t="shared" si="933"/>
        <v>-1.1432268904302259</v>
      </c>
    </row>
    <row r="408" spans="1:20" x14ac:dyDescent="0.25">
      <c r="A408" s="5">
        <v>44176</v>
      </c>
      <c r="B408">
        <v>0.21160000000000001</v>
      </c>
      <c r="C408">
        <v>0.21249999999999999</v>
      </c>
      <c r="D408">
        <v>0.18479999999999999</v>
      </c>
      <c r="E408">
        <v>0.1913</v>
      </c>
      <c r="F408">
        <v>11101630.32</v>
      </c>
      <c r="G408">
        <v>0</v>
      </c>
      <c r="L408" t="s">
        <v>7</v>
      </c>
      <c r="M408" t="s">
        <v>7</v>
      </c>
      <c r="N408" t="s">
        <v>7</v>
      </c>
      <c r="P408">
        <f t="shared" si="929"/>
        <v>-0.53068592057761699</v>
      </c>
      <c r="Q408">
        <f t="shared" si="930"/>
        <v>-5891478.9062815849</v>
      </c>
      <c r="R408">
        <f t="shared" si="931"/>
        <v>-119345813.8757918</v>
      </c>
      <c r="S408">
        <f t="shared" si="932"/>
        <v>-1193.4581387579181</v>
      </c>
      <c r="T408">
        <f t="shared" si="933"/>
        <v>-1.193458138757918</v>
      </c>
    </row>
    <row r="409" spans="1:20" x14ac:dyDescent="0.25">
      <c r="A409" s="5">
        <v>44175</v>
      </c>
      <c r="B409">
        <v>0.22739999999999999</v>
      </c>
      <c r="C409">
        <v>0.22900000000000001</v>
      </c>
      <c r="D409">
        <v>0.20269999999999999</v>
      </c>
      <c r="E409">
        <v>0.21079999999999999</v>
      </c>
      <c r="F409">
        <v>7557436.2599999998</v>
      </c>
      <c r="G409">
        <v>0</v>
      </c>
      <c r="L409" t="s">
        <v>7</v>
      </c>
      <c r="M409" t="s">
        <v>7</v>
      </c>
      <c r="N409" t="s">
        <v>7</v>
      </c>
      <c r="P409">
        <f t="shared" si="929"/>
        <v>-0.3840304182509513</v>
      </c>
      <c r="Q409">
        <f t="shared" si="930"/>
        <v>-2902285.407832705</v>
      </c>
      <c r="R409">
        <f t="shared" si="931"/>
        <v>-113454334.96951021</v>
      </c>
      <c r="S409">
        <f t="shared" si="932"/>
        <v>-1134.5433496951021</v>
      </c>
      <c r="T409">
        <f t="shared" si="933"/>
        <v>-1.1345433496951021</v>
      </c>
    </row>
    <row r="410" spans="1:20" x14ac:dyDescent="0.25">
      <c r="A410" s="5">
        <v>44174</v>
      </c>
      <c r="B410">
        <v>0.23699999999999999</v>
      </c>
      <c r="C410">
        <v>0.23749999999999999</v>
      </c>
      <c r="D410">
        <v>0.20599999999999999</v>
      </c>
      <c r="E410">
        <v>0.22739999999999999</v>
      </c>
      <c r="F410">
        <v>14095375.060000001</v>
      </c>
      <c r="G410">
        <v>0</v>
      </c>
      <c r="L410" t="s">
        <v>7</v>
      </c>
      <c r="M410" t="s">
        <v>7</v>
      </c>
      <c r="N410" t="s">
        <v>7</v>
      </c>
      <c r="P410">
        <f t="shared" si="929"/>
        <v>0.35873015873015884</v>
      </c>
      <c r="Q410">
        <f t="shared" si="930"/>
        <v>5056436.1326349229</v>
      </c>
      <c r="R410">
        <f t="shared" si="931"/>
        <v>-110552049.5616775</v>
      </c>
      <c r="S410">
        <f t="shared" si="932"/>
        <v>-1105.520495616775</v>
      </c>
      <c r="T410">
        <f t="shared" si="933"/>
        <v>-1.105520495616775</v>
      </c>
    </row>
    <row r="411" spans="1:20" x14ac:dyDescent="0.25">
      <c r="A411" s="5">
        <v>44173</v>
      </c>
      <c r="B411">
        <v>0.26729999999999998</v>
      </c>
      <c r="C411">
        <v>0.26729999999999998</v>
      </c>
      <c r="D411">
        <v>0.22650000000000001</v>
      </c>
      <c r="E411">
        <v>0.2369</v>
      </c>
      <c r="F411">
        <v>16342660.51</v>
      </c>
      <c r="G411">
        <v>0</v>
      </c>
      <c r="L411" t="s">
        <v>7</v>
      </c>
      <c r="M411" t="s">
        <v>7</v>
      </c>
      <c r="N411" t="s">
        <v>8</v>
      </c>
      <c r="P411">
        <f t="shared" si="929"/>
        <v>-0.49019607843137258</v>
      </c>
      <c r="Q411">
        <f t="shared" si="930"/>
        <v>-8011108.0931372549</v>
      </c>
      <c r="R411">
        <f t="shared" si="931"/>
        <v>-115608485.69431242</v>
      </c>
      <c r="S411">
        <f t="shared" si="932"/>
        <v>-1156.0848569431241</v>
      </c>
      <c r="T411">
        <f t="shared" si="933"/>
        <v>-1.1560848569431241</v>
      </c>
    </row>
    <row r="412" spans="1:20" x14ac:dyDescent="0.25">
      <c r="A412" s="5">
        <v>44172</v>
      </c>
      <c r="B412">
        <v>0.25740000000000002</v>
      </c>
      <c r="C412">
        <v>0.27429999999999999</v>
      </c>
      <c r="D412">
        <v>0.25380000000000003</v>
      </c>
      <c r="E412">
        <v>0.2666</v>
      </c>
      <c r="F412">
        <v>7637849.8799999999</v>
      </c>
      <c r="G412">
        <v>0</v>
      </c>
      <c r="L412" t="s">
        <v>8</v>
      </c>
      <c r="M412" t="s">
        <v>7</v>
      </c>
      <c r="N412" t="s">
        <v>8</v>
      </c>
      <c r="P412">
        <f t="shared" si="929"/>
        <v>0.24878048780487819</v>
      </c>
      <c r="Q412">
        <f t="shared" si="930"/>
        <v>1900148.0189268303</v>
      </c>
      <c r="R412">
        <f t="shared" si="931"/>
        <v>-107597377.60117517</v>
      </c>
      <c r="S412">
        <f t="shared" si="932"/>
        <v>-1075.9737760117519</v>
      </c>
      <c r="T412">
        <f t="shared" si="933"/>
        <v>-1.0759737760117518</v>
      </c>
    </row>
    <row r="413" spans="1:20" x14ac:dyDescent="0.25">
      <c r="A413" s="5">
        <v>44171</v>
      </c>
      <c r="B413">
        <v>0.26860000000000001</v>
      </c>
      <c r="C413">
        <v>0.27039999999999997</v>
      </c>
      <c r="D413">
        <v>0.2432</v>
      </c>
      <c r="E413">
        <v>0.25700000000000001</v>
      </c>
      <c r="F413">
        <v>7470004.7800000003</v>
      </c>
      <c r="G413">
        <v>0</v>
      </c>
      <c r="L413" t="s">
        <v>8</v>
      </c>
      <c r="M413" t="s">
        <v>7</v>
      </c>
      <c r="N413" t="s">
        <v>8</v>
      </c>
      <c r="P413">
        <f t="shared" si="929"/>
        <v>1.4705882352942632E-2</v>
      </c>
      <c r="Q413">
        <f t="shared" si="930"/>
        <v>109853.01147059911</v>
      </c>
      <c r="R413">
        <f t="shared" si="931"/>
        <v>-109497525.620102</v>
      </c>
      <c r="S413">
        <f t="shared" si="932"/>
        <v>-1094.9752562010201</v>
      </c>
      <c r="T413">
        <f t="shared" si="933"/>
        <v>-1.0949752562010202</v>
      </c>
    </row>
    <row r="414" spans="1:20" x14ac:dyDescent="0.25">
      <c r="A414" s="5">
        <v>44170</v>
      </c>
      <c r="B414">
        <v>0.24479999999999999</v>
      </c>
      <c r="C414">
        <v>0.27300000000000002</v>
      </c>
      <c r="D414">
        <v>0.2394</v>
      </c>
      <c r="E414">
        <v>0.26879999999999998</v>
      </c>
      <c r="F414">
        <v>10648033.630000001</v>
      </c>
      <c r="G414">
        <v>0</v>
      </c>
      <c r="L414" t="s">
        <v>7</v>
      </c>
      <c r="M414" t="s">
        <v>7</v>
      </c>
      <c r="N414" t="s">
        <v>8</v>
      </c>
      <c r="P414">
        <f t="shared" si="929"/>
        <v>0.74999999999999789</v>
      </c>
      <c r="Q414">
        <f t="shared" si="930"/>
        <v>7986025.2224999778</v>
      </c>
      <c r="R414">
        <f t="shared" si="931"/>
        <v>-109607378.6315726</v>
      </c>
      <c r="S414">
        <f t="shared" si="932"/>
        <v>-1096.073786315726</v>
      </c>
      <c r="T414">
        <f t="shared" si="933"/>
        <v>-1.0960737863157259</v>
      </c>
    </row>
    <row r="415" spans="1:20" x14ac:dyDescent="0.25">
      <c r="A415" s="5">
        <v>44169</v>
      </c>
      <c r="B415">
        <v>0.29039999999999999</v>
      </c>
      <c r="C415">
        <v>0.314</v>
      </c>
      <c r="D415">
        <v>0.23680000000000001</v>
      </c>
      <c r="E415">
        <v>0.2455</v>
      </c>
      <c r="F415">
        <v>16935928.850000001</v>
      </c>
      <c r="G415">
        <v>0</v>
      </c>
      <c r="L415" t="s">
        <v>8</v>
      </c>
      <c r="M415" t="s">
        <v>8</v>
      </c>
      <c r="N415" t="s">
        <v>8</v>
      </c>
      <c r="P415">
        <f t="shared" si="929"/>
        <v>-0.77461139896373088</v>
      </c>
      <c r="Q415">
        <f t="shared" si="930"/>
        <v>-13118763.53924871</v>
      </c>
      <c r="R415">
        <f t="shared" si="931"/>
        <v>-117593403.85407259</v>
      </c>
      <c r="S415">
        <f t="shared" si="932"/>
        <v>-1175.9340385407259</v>
      </c>
      <c r="T415">
        <f t="shared" si="933"/>
        <v>-1.1759340385407258</v>
      </c>
    </row>
    <row r="416" spans="1:20" x14ac:dyDescent="0.25">
      <c r="A416" s="5">
        <v>44168</v>
      </c>
      <c r="B416">
        <v>0.28799999999999998</v>
      </c>
      <c r="C416">
        <v>0.29730000000000001</v>
      </c>
      <c r="D416">
        <v>0.27050000000000002</v>
      </c>
      <c r="E416">
        <v>0.29039999999999999</v>
      </c>
      <c r="F416">
        <v>13932583.74</v>
      </c>
      <c r="G416">
        <v>0</v>
      </c>
      <c r="L416" t="s">
        <v>8</v>
      </c>
      <c r="M416" t="s">
        <v>8</v>
      </c>
      <c r="N416" t="s">
        <v>8</v>
      </c>
      <c r="P416">
        <f t="shared" si="929"/>
        <v>0.48507462686567016</v>
      </c>
      <c r="Q416">
        <f t="shared" si="930"/>
        <v>6758342.8589552036</v>
      </c>
      <c r="R416">
        <f t="shared" si="931"/>
        <v>-104474640.31482388</v>
      </c>
      <c r="S416">
        <f t="shared" si="932"/>
        <v>-1044.7464031482389</v>
      </c>
      <c r="T416">
        <f t="shared" si="933"/>
        <v>-1.044746403148239</v>
      </c>
    </row>
    <row r="417" spans="1:20" x14ac:dyDescent="0.25">
      <c r="A417" s="5">
        <v>44167</v>
      </c>
      <c r="B417">
        <v>0.23169999999999999</v>
      </c>
      <c r="C417">
        <v>0.29270000000000002</v>
      </c>
      <c r="D417">
        <v>0.22539999999999999</v>
      </c>
      <c r="E417">
        <v>0.2893</v>
      </c>
      <c r="F417">
        <v>21002302.649999999</v>
      </c>
      <c r="G417">
        <v>0</v>
      </c>
      <c r="L417" t="s">
        <v>7</v>
      </c>
      <c r="M417" t="s">
        <v>8</v>
      </c>
      <c r="N417" t="s">
        <v>8</v>
      </c>
      <c r="P417">
        <f t="shared" si="929"/>
        <v>0.8989598811292715</v>
      </c>
      <c r="Q417">
        <f t="shared" si="930"/>
        <v>18880227.493684981</v>
      </c>
      <c r="R417">
        <f t="shared" si="931"/>
        <v>-111232983.17377909</v>
      </c>
      <c r="S417">
        <f t="shared" si="932"/>
        <v>-1112.3298317377908</v>
      </c>
      <c r="T417">
        <f t="shared" si="933"/>
        <v>-1.1123298317377908</v>
      </c>
    </row>
    <row r="418" spans="1:20" x14ac:dyDescent="0.25">
      <c r="A418" s="5">
        <v>44166</v>
      </c>
      <c r="B418">
        <v>0.24479999999999999</v>
      </c>
      <c r="C418">
        <v>0.27489999999999998</v>
      </c>
      <c r="D418">
        <v>0.23</v>
      </c>
      <c r="E418">
        <v>0.2319</v>
      </c>
      <c r="F418">
        <v>16379455.550000001</v>
      </c>
      <c r="G418">
        <v>0</v>
      </c>
      <c r="L418" t="s">
        <v>7</v>
      </c>
      <c r="M418" t="s">
        <v>8</v>
      </c>
      <c r="N418" t="s">
        <v>8</v>
      </c>
      <c r="P418">
        <f t="shared" si="929"/>
        <v>-0.91536748329621442</v>
      </c>
      <c r="Q418">
        <f t="shared" si="930"/>
        <v>-14993221.004565712</v>
      </c>
      <c r="R418">
        <f t="shared" si="931"/>
        <v>-130113210.66746406</v>
      </c>
      <c r="S418">
        <f t="shared" si="932"/>
        <v>-1301.1321066746407</v>
      </c>
      <c r="T418">
        <f t="shared" si="933"/>
        <v>-1.3011321066746406</v>
      </c>
    </row>
    <row r="419" spans="1:20" x14ac:dyDescent="0.25">
      <c r="A419" s="5">
        <v>44165</v>
      </c>
      <c r="B419">
        <v>0.25580000000000003</v>
      </c>
      <c r="C419">
        <v>0.25690000000000002</v>
      </c>
      <c r="D419">
        <v>0.2339</v>
      </c>
      <c r="E419">
        <v>0.24479999999999999</v>
      </c>
      <c r="F419">
        <v>17175129.149999999</v>
      </c>
      <c r="G419">
        <v>0</v>
      </c>
      <c r="L419" t="s">
        <v>7</v>
      </c>
      <c r="M419" t="s">
        <v>8</v>
      </c>
      <c r="N419" t="s">
        <v>8</v>
      </c>
      <c r="P419">
        <f t="shared" si="929"/>
        <v>-5.2173913043479708E-2</v>
      </c>
      <c r="Q419">
        <f t="shared" si="930"/>
        <v>-896093.69478263345</v>
      </c>
      <c r="R419">
        <f t="shared" si="931"/>
        <v>-115119989.66289835</v>
      </c>
      <c r="S419">
        <f t="shared" si="932"/>
        <v>-1151.1998966289834</v>
      </c>
      <c r="T419">
        <f t="shared" si="933"/>
        <v>-1.1511998966289834</v>
      </c>
    </row>
    <row r="420" spans="1:20" x14ac:dyDescent="0.25">
      <c r="A420" s="5">
        <v>44164</v>
      </c>
      <c r="B420">
        <v>0.21560000000000001</v>
      </c>
      <c r="C420">
        <v>0.25640000000000002</v>
      </c>
      <c r="D420">
        <v>0.2122</v>
      </c>
      <c r="E420">
        <v>0.25590000000000002</v>
      </c>
      <c r="F420">
        <v>14699047.66</v>
      </c>
      <c r="G420">
        <v>0</v>
      </c>
      <c r="L420" t="s">
        <v>8</v>
      </c>
      <c r="M420" t="s">
        <v>8</v>
      </c>
      <c r="N420" t="s">
        <v>8</v>
      </c>
      <c r="P420">
        <f t="shared" si="929"/>
        <v>0.9773755656108597</v>
      </c>
      <c r="Q420">
        <f t="shared" si="930"/>
        <v>14366490.020633483</v>
      </c>
      <c r="R420">
        <f t="shared" si="931"/>
        <v>-114223895.96811572</v>
      </c>
      <c r="S420">
        <f t="shared" si="932"/>
        <v>-1142.2389596811572</v>
      </c>
      <c r="T420">
        <f t="shared" si="933"/>
        <v>-1.1422389596811573</v>
      </c>
    </row>
    <row r="421" spans="1:20" x14ac:dyDescent="0.25">
      <c r="A421" s="5">
        <v>44163</v>
      </c>
      <c r="B421">
        <v>0.2152</v>
      </c>
      <c r="C421">
        <v>0.23230000000000001</v>
      </c>
      <c r="D421">
        <v>0.20250000000000001</v>
      </c>
      <c r="E421">
        <v>0.21560000000000001</v>
      </c>
      <c r="F421">
        <v>9844302.8800000008</v>
      </c>
      <c r="G421">
        <v>0</v>
      </c>
      <c r="L421" t="s">
        <v>7</v>
      </c>
      <c r="M421" t="s">
        <v>8</v>
      </c>
      <c r="N421" t="s">
        <v>7</v>
      </c>
      <c r="P421">
        <f t="shared" si="929"/>
        <v>-0.12080536912751653</v>
      </c>
      <c r="Q421">
        <f t="shared" si="930"/>
        <v>-1189244.6432214743</v>
      </c>
      <c r="R421">
        <f t="shared" si="931"/>
        <v>-128590385.98874921</v>
      </c>
      <c r="S421">
        <f t="shared" si="932"/>
        <v>-1285.903859887492</v>
      </c>
      <c r="T421">
        <f t="shared" si="933"/>
        <v>-1.2859038598874919</v>
      </c>
    </row>
    <row r="422" spans="1:20" x14ac:dyDescent="0.25">
      <c r="A422" s="5">
        <v>44162</v>
      </c>
      <c r="B422">
        <v>0.22450000000000001</v>
      </c>
      <c r="C422">
        <v>0.23760000000000001</v>
      </c>
      <c r="D422">
        <v>0.20080000000000001</v>
      </c>
      <c r="E422">
        <v>0.2157</v>
      </c>
      <c r="F422">
        <v>14567243.300000001</v>
      </c>
      <c r="G422">
        <v>0</v>
      </c>
      <c r="L422" t="s">
        <v>8</v>
      </c>
      <c r="M422" t="s">
        <v>8</v>
      </c>
      <c r="N422" t="s">
        <v>7</v>
      </c>
      <c r="P422">
        <f t="shared" si="929"/>
        <v>-0.190217391304348</v>
      </c>
      <c r="Q422">
        <f t="shared" si="930"/>
        <v>-2770943.019021742</v>
      </c>
      <c r="R422">
        <f t="shared" si="931"/>
        <v>-127401141.34552774</v>
      </c>
      <c r="S422">
        <f t="shared" si="932"/>
        <v>-1274.0114134552773</v>
      </c>
      <c r="T422">
        <f t="shared" si="933"/>
        <v>-1.2740114134552774</v>
      </c>
    </row>
    <row r="423" spans="1:20" x14ac:dyDescent="0.25">
      <c r="A423" s="5">
        <v>44161</v>
      </c>
      <c r="B423">
        <v>0.26129999999999998</v>
      </c>
      <c r="C423">
        <v>0.27629999999999999</v>
      </c>
      <c r="D423">
        <v>0.17660000000000001</v>
      </c>
      <c r="E423">
        <v>0.22450000000000001</v>
      </c>
      <c r="F423">
        <v>44093356.390000001</v>
      </c>
      <c r="G423">
        <v>0</v>
      </c>
      <c r="L423" t="s">
        <v>7</v>
      </c>
      <c r="M423" t="s">
        <v>7</v>
      </c>
      <c r="N423" t="s">
        <v>7</v>
      </c>
      <c r="P423">
        <f t="shared" si="929"/>
        <v>-3.9117352056168377E-2</v>
      </c>
      <c r="Q423">
        <f t="shared" si="930"/>
        <v>-1724815.3452457315</v>
      </c>
      <c r="R423">
        <f t="shared" si="931"/>
        <v>-124630198.326506</v>
      </c>
      <c r="S423">
        <f t="shared" si="932"/>
        <v>-1246.30198326506</v>
      </c>
      <c r="T423">
        <f t="shared" si="933"/>
        <v>-1.2463019832650599</v>
      </c>
    </row>
    <row r="424" spans="1:20" x14ac:dyDescent="0.25">
      <c r="A424" s="5">
        <v>44160</v>
      </c>
      <c r="B424">
        <v>0.3009</v>
      </c>
      <c r="C424">
        <v>0.32400000000000001</v>
      </c>
      <c r="D424">
        <v>0.24299999999999999</v>
      </c>
      <c r="E424">
        <v>0.26119999999999999</v>
      </c>
      <c r="F424">
        <v>20763617.449999999</v>
      </c>
      <c r="G424">
        <v>0</v>
      </c>
      <c r="L424" t="s">
        <v>7</v>
      </c>
      <c r="M424" t="s">
        <v>7</v>
      </c>
      <c r="N424" t="s">
        <v>7</v>
      </c>
      <c r="P424">
        <f t="shared" si="929"/>
        <v>-0.55061728395061749</v>
      </c>
      <c r="Q424">
        <f t="shared" si="930"/>
        <v>-11432806.645308645</v>
      </c>
      <c r="R424">
        <f t="shared" si="931"/>
        <v>-122905382.98126027</v>
      </c>
      <c r="S424">
        <f t="shared" si="932"/>
        <v>-1229.0538298126028</v>
      </c>
      <c r="T424">
        <f t="shared" si="933"/>
        <v>-1.2290538298126028</v>
      </c>
    </row>
    <row r="425" spans="1:20" x14ac:dyDescent="0.25">
      <c r="A425" s="5">
        <v>44159</v>
      </c>
      <c r="B425">
        <v>0.34320000000000001</v>
      </c>
      <c r="C425">
        <v>0.37769999999999998</v>
      </c>
      <c r="D425">
        <v>0.28000000000000003</v>
      </c>
      <c r="E425">
        <v>0.3009</v>
      </c>
      <c r="F425">
        <v>22157047.600000001</v>
      </c>
      <c r="G425">
        <v>0</v>
      </c>
      <c r="L425" t="s">
        <v>8</v>
      </c>
      <c r="M425" t="s">
        <v>7</v>
      </c>
      <c r="N425" t="s">
        <v>8</v>
      </c>
      <c r="P425">
        <f t="shared" si="929"/>
        <v>-0.57215967246673527</v>
      </c>
      <c r="Q425">
        <f t="shared" si="930"/>
        <v>-12677369.097645864</v>
      </c>
      <c r="R425">
        <f t="shared" si="931"/>
        <v>-111472576.33595163</v>
      </c>
      <c r="S425">
        <f t="shared" si="932"/>
        <v>-1114.7257633595163</v>
      </c>
      <c r="T425">
        <f t="shared" si="933"/>
        <v>-1.1147257633595165</v>
      </c>
    </row>
    <row r="426" spans="1:20" x14ac:dyDescent="0.25">
      <c r="A426" s="5">
        <v>44158</v>
      </c>
      <c r="B426">
        <v>0.33210000000000001</v>
      </c>
      <c r="C426">
        <v>0.35499999999999998</v>
      </c>
      <c r="D426">
        <v>0.30320000000000003</v>
      </c>
      <c r="E426">
        <v>0.34320000000000001</v>
      </c>
      <c r="F426">
        <v>14148142.1</v>
      </c>
      <c r="G426">
        <v>0</v>
      </c>
      <c r="L426" t="s">
        <v>8</v>
      </c>
      <c r="M426" t="s">
        <v>7</v>
      </c>
      <c r="N426" t="s">
        <v>8</v>
      </c>
      <c r="P426">
        <f t="shared" si="929"/>
        <v>0.54440154440154487</v>
      </c>
      <c r="Q426">
        <f t="shared" si="930"/>
        <v>7702270.4096525162</v>
      </c>
      <c r="R426">
        <f t="shared" si="931"/>
        <v>-98795207.238305762</v>
      </c>
      <c r="S426">
        <f t="shared" si="932"/>
        <v>-987.95207238305761</v>
      </c>
      <c r="T426">
        <f t="shared" si="933"/>
        <v>-0.9879520723830576</v>
      </c>
    </row>
    <row r="427" spans="1:20" x14ac:dyDescent="0.25">
      <c r="A427" s="5">
        <v>44157</v>
      </c>
      <c r="B427">
        <v>0.35749999999999998</v>
      </c>
      <c r="C427">
        <v>0.35920000000000002</v>
      </c>
      <c r="D427">
        <v>0.29549999999999998</v>
      </c>
      <c r="E427">
        <v>0.3322</v>
      </c>
      <c r="F427">
        <v>20238447.530000001</v>
      </c>
      <c r="G427">
        <v>0</v>
      </c>
      <c r="L427" t="s">
        <v>7</v>
      </c>
      <c r="M427" t="s">
        <v>7</v>
      </c>
      <c r="N427" t="s">
        <v>8</v>
      </c>
      <c r="P427">
        <f t="shared" si="929"/>
        <v>0.15227629513343768</v>
      </c>
      <c r="Q427">
        <f t="shared" si="930"/>
        <v>3081835.809120873</v>
      </c>
      <c r="R427">
        <f t="shared" si="931"/>
        <v>-106497477.64795828</v>
      </c>
      <c r="S427">
        <f t="shared" si="932"/>
        <v>-1064.9747764795827</v>
      </c>
      <c r="T427">
        <f t="shared" si="933"/>
        <v>-1.0649747764795827</v>
      </c>
    </row>
    <row r="428" spans="1:20" x14ac:dyDescent="0.25">
      <c r="A428" s="5">
        <v>44156</v>
      </c>
      <c r="B428">
        <v>0.31580000000000003</v>
      </c>
      <c r="C428">
        <v>0.36480000000000001</v>
      </c>
      <c r="D428">
        <v>0.29249999999999998</v>
      </c>
      <c r="E428">
        <v>0.35759999999999997</v>
      </c>
      <c r="F428">
        <v>20204042.100000001</v>
      </c>
      <c r="G428">
        <v>0</v>
      </c>
      <c r="L428" t="s">
        <v>8</v>
      </c>
      <c r="M428" t="s">
        <v>8</v>
      </c>
      <c r="N428" t="s">
        <v>8</v>
      </c>
      <c r="P428">
        <f t="shared" si="929"/>
        <v>0.80082987551867124</v>
      </c>
      <c r="Q428">
        <f t="shared" si="930"/>
        <v>16180000.519916994</v>
      </c>
      <c r="R428">
        <f t="shared" si="931"/>
        <v>-109579313.45707916</v>
      </c>
      <c r="S428">
        <f t="shared" si="932"/>
        <v>-1095.7931345707916</v>
      </c>
      <c r="T428">
        <f t="shared" si="933"/>
        <v>-1.0957931345707916</v>
      </c>
    </row>
    <row r="429" spans="1:20" x14ac:dyDescent="0.25">
      <c r="A429" s="5">
        <v>44155</v>
      </c>
      <c r="B429">
        <v>0.25750000000000001</v>
      </c>
      <c r="C429">
        <v>0.33</v>
      </c>
      <c r="D429">
        <v>0.25340000000000001</v>
      </c>
      <c r="E429">
        <v>0.31580000000000003</v>
      </c>
      <c r="F429">
        <v>29956041.530000001</v>
      </c>
      <c r="G429">
        <v>0</v>
      </c>
      <c r="L429" t="s">
        <v>8</v>
      </c>
      <c r="M429" t="s">
        <v>8</v>
      </c>
      <c r="N429" t="s">
        <v>8</v>
      </c>
      <c r="P429">
        <f t="shared" si="929"/>
        <v>0.62924281984334229</v>
      </c>
      <c r="Q429">
        <f t="shared" si="930"/>
        <v>18849624.043681469</v>
      </c>
      <c r="R429">
        <f t="shared" si="931"/>
        <v>-125759313.97699615</v>
      </c>
      <c r="S429">
        <f t="shared" si="932"/>
        <v>-1257.5931397699615</v>
      </c>
      <c r="T429">
        <f t="shared" si="933"/>
        <v>-1.2575931397699613</v>
      </c>
    </row>
    <row r="430" spans="1:20" x14ac:dyDescent="0.25">
      <c r="A430" s="5">
        <v>44154</v>
      </c>
      <c r="B430">
        <v>0.22339999999999999</v>
      </c>
      <c r="C430">
        <v>0.2591</v>
      </c>
      <c r="D430">
        <v>0.21290000000000001</v>
      </c>
      <c r="E430">
        <v>0.25729999999999997</v>
      </c>
      <c r="F430">
        <v>13715369.25</v>
      </c>
      <c r="G430">
        <v>0</v>
      </c>
      <c r="L430" t="s">
        <v>8</v>
      </c>
      <c r="M430" t="s">
        <v>8</v>
      </c>
      <c r="N430" t="s">
        <v>8</v>
      </c>
      <c r="P430">
        <f t="shared" si="929"/>
        <v>0.92207792207792105</v>
      </c>
      <c r="Q430">
        <f t="shared" si="930"/>
        <v>12646639.178571414</v>
      </c>
      <c r="R430">
        <f t="shared" si="931"/>
        <v>-144608938.02067763</v>
      </c>
      <c r="S430">
        <f t="shared" si="932"/>
        <v>-1446.0893802067762</v>
      </c>
      <c r="T430">
        <f t="shared" si="933"/>
        <v>-1.4460893802067762</v>
      </c>
    </row>
    <row r="431" spans="1:20" x14ac:dyDescent="0.25">
      <c r="A431" s="5">
        <v>44153</v>
      </c>
      <c r="B431">
        <v>0.2437</v>
      </c>
      <c r="C431">
        <v>0.24590000000000001</v>
      </c>
      <c r="D431">
        <v>0.19500000000000001</v>
      </c>
      <c r="E431">
        <v>0.22259999999999999</v>
      </c>
      <c r="F431">
        <v>25226250.379999999</v>
      </c>
      <c r="G431">
        <v>0</v>
      </c>
      <c r="L431" t="s">
        <v>8</v>
      </c>
      <c r="M431" t="s">
        <v>7</v>
      </c>
      <c r="N431" t="s">
        <v>8</v>
      </c>
      <c r="P431">
        <f t="shared" si="929"/>
        <v>8.447937131630591E-2</v>
      </c>
      <c r="Q431">
        <f t="shared" si="930"/>
        <v>2131097.7727701231</v>
      </c>
      <c r="R431">
        <f t="shared" si="931"/>
        <v>-157255577.19924903</v>
      </c>
      <c r="S431">
        <f t="shared" si="932"/>
        <v>-1572.5557719924902</v>
      </c>
      <c r="T431">
        <f t="shared" si="933"/>
        <v>-1.5725557719924903</v>
      </c>
    </row>
    <row r="432" spans="1:20" x14ac:dyDescent="0.25">
      <c r="A432" s="5">
        <v>44152</v>
      </c>
      <c r="B432">
        <v>0.21440000000000001</v>
      </c>
      <c r="C432">
        <v>0.2447</v>
      </c>
      <c r="D432">
        <v>0.20599999999999999</v>
      </c>
      <c r="E432">
        <v>0.2437</v>
      </c>
      <c r="F432">
        <v>22328019.920000002</v>
      </c>
      <c r="G432">
        <v>0</v>
      </c>
      <c r="L432" t="s">
        <v>8</v>
      </c>
      <c r="M432" t="s">
        <v>8</v>
      </c>
      <c r="N432" t="s">
        <v>8</v>
      </c>
      <c r="P432">
        <f t="shared" si="929"/>
        <v>0.94832041343669249</v>
      </c>
      <c r="Q432">
        <f t="shared" si="930"/>
        <v>21174117.081757106</v>
      </c>
      <c r="R432">
        <f t="shared" si="931"/>
        <v>-159386674.97201917</v>
      </c>
      <c r="S432">
        <f t="shared" si="932"/>
        <v>-1593.8667497201916</v>
      </c>
      <c r="T432">
        <f t="shared" si="933"/>
        <v>-1.5938667497201915</v>
      </c>
    </row>
    <row r="433" spans="1:20" x14ac:dyDescent="0.25">
      <c r="A433" s="5">
        <v>44151</v>
      </c>
      <c r="B433">
        <v>0.1825</v>
      </c>
      <c r="C433">
        <v>0.2258</v>
      </c>
      <c r="D433">
        <v>0.16619999999999999</v>
      </c>
      <c r="E433">
        <v>0.21429999999999999</v>
      </c>
      <c r="F433">
        <v>29322493.850000001</v>
      </c>
      <c r="G433">
        <v>0</v>
      </c>
      <c r="L433" t="s">
        <v>8</v>
      </c>
      <c r="M433" t="s">
        <v>8</v>
      </c>
      <c r="N433" t="s">
        <v>8</v>
      </c>
      <c r="P433">
        <f t="shared" si="929"/>
        <v>0.61409395973154335</v>
      </c>
      <c r="Q433">
        <f t="shared" si="930"/>
        <v>18006766.357550327</v>
      </c>
      <c r="R433">
        <f t="shared" si="931"/>
        <v>-180560792.05377626</v>
      </c>
      <c r="S433">
        <f t="shared" si="932"/>
        <v>-1805.6079205377625</v>
      </c>
      <c r="T433">
        <f t="shared" si="933"/>
        <v>-1.8056079205377626</v>
      </c>
    </row>
    <row r="434" spans="1:20" x14ac:dyDescent="0.25">
      <c r="A434" s="5">
        <v>44150</v>
      </c>
      <c r="B434">
        <v>0.16589999999999999</v>
      </c>
      <c r="C434">
        <v>0.19819999999999999</v>
      </c>
      <c r="D434">
        <v>0.16370000000000001</v>
      </c>
      <c r="E434">
        <v>0.18290000000000001</v>
      </c>
      <c r="F434">
        <v>39996760.259999998</v>
      </c>
      <c r="G434">
        <v>0</v>
      </c>
      <c r="L434" t="s">
        <v>8</v>
      </c>
      <c r="M434" t="s">
        <v>8</v>
      </c>
      <c r="N434" t="s">
        <v>8</v>
      </c>
      <c r="P434">
        <f t="shared" si="929"/>
        <v>0.11304347826087006</v>
      </c>
      <c r="Q434">
        <f t="shared" si="930"/>
        <v>4521372.8989565419</v>
      </c>
      <c r="R434">
        <f t="shared" si="931"/>
        <v>-198567558.41132659</v>
      </c>
      <c r="S434">
        <f t="shared" si="932"/>
        <v>-1985.6755841132658</v>
      </c>
      <c r="T434">
        <f t="shared" si="933"/>
        <v>-1.9856755841132658</v>
      </c>
    </row>
    <row r="435" spans="1:20" x14ac:dyDescent="0.25">
      <c r="A435" s="5">
        <v>44149</v>
      </c>
      <c r="B435">
        <v>0.1515</v>
      </c>
      <c r="C435">
        <v>0.16930000000000001</v>
      </c>
      <c r="D435">
        <v>0.13170000000000001</v>
      </c>
      <c r="E435">
        <v>0.16600000000000001</v>
      </c>
      <c r="F435">
        <v>18559542.140000001</v>
      </c>
      <c r="G435">
        <v>0</v>
      </c>
      <c r="L435" t="s">
        <v>8</v>
      </c>
      <c r="M435" t="s">
        <v>8</v>
      </c>
      <c r="N435" t="s">
        <v>8</v>
      </c>
      <c r="P435">
        <f t="shared" si="929"/>
        <v>0.82446808510638314</v>
      </c>
      <c r="Q435">
        <f t="shared" si="930"/>
        <v>15301750.168617025</v>
      </c>
      <c r="R435">
        <f t="shared" si="931"/>
        <v>-203088931.31028312</v>
      </c>
      <c r="S435">
        <f t="shared" si="932"/>
        <v>-2030.8893131028312</v>
      </c>
      <c r="T435">
        <f t="shared" si="933"/>
        <v>-2.0308893131028314</v>
      </c>
    </row>
    <row r="436" spans="1:20" x14ac:dyDescent="0.25">
      <c r="A436" s="5">
        <v>44148</v>
      </c>
      <c r="B436">
        <v>0.1333</v>
      </c>
      <c r="C436">
        <v>0.152</v>
      </c>
      <c r="D436">
        <v>0.13039999999999999</v>
      </c>
      <c r="E436">
        <v>0.1515</v>
      </c>
      <c r="F436">
        <v>11295290.17</v>
      </c>
      <c r="G436">
        <v>0</v>
      </c>
      <c r="L436" t="s">
        <v>8</v>
      </c>
      <c r="M436" t="s">
        <v>8</v>
      </c>
      <c r="N436" t="s">
        <v>8</v>
      </c>
      <c r="P436">
        <f t="shared" si="929"/>
        <v>0.95370370370370372</v>
      </c>
      <c r="Q436">
        <f t="shared" si="930"/>
        <v>10772360.069537038</v>
      </c>
      <c r="R436">
        <f t="shared" si="931"/>
        <v>-218390681.47890013</v>
      </c>
      <c r="S436">
        <f t="shared" si="932"/>
        <v>-2183.9068147890011</v>
      </c>
      <c r="T436">
        <f t="shared" si="933"/>
        <v>-2.1839068147890011</v>
      </c>
    </row>
    <row r="437" spans="1:20" x14ac:dyDescent="0.25">
      <c r="A437" s="5">
        <v>44147</v>
      </c>
      <c r="B437">
        <v>0.13389999999999999</v>
      </c>
      <c r="C437">
        <v>0.1452</v>
      </c>
      <c r="D437">
        <v>0.1265</v>
      </c>
      <c r="E437">
        <v>0.13339999999999999</v>
      </c>
      <c r="F437">
        <v>14701906.84</v>
      </c>
      <c r="G437">
        <v>0</v>
      </c>
      <c r="L437" t="s">
        <v>7</v>
      </c>
      <c r="M437" t="s">
        <v>7</v>
      </c>
      <c r="N437" t="s">
        <v>8</v>
      </c>
      <c r="P437">
        <f t="shared" si="929"/>
        <v>-0.26203208556149821</v>
      </c>
      <c r="Q437">
        <f t="shared" si="930"/>
        <v>-3852371.3110160558</v>
      </c>
      <c r="R437">
        <f t="shared" si="931"/>
        <v>-229163041.54843718</v>
      </c>
      <c r="S437">
        <f t="shared" si="932"/>
        <v>-2291.630415484372</v>
      </c>
      <c r="T437">
        <f t="shared" si="933"/>
        <v>-2.2916304154843719</v>
      </c>
    </row>
    <row r="438" spans="1:20" x14ac:dyDescent="0.25">
      <c r="A438" s="5">
        <v>44146</v>
      </c>
      <c r="B438">
        <v>0.1482</v>
      </c>
      <c r="C438">
        <v>0.1585</v>
      </c>
      <c r="D438">
        <v>0.13239999999999999</v>
      </c>
      <c r="E438">
        <v>0.13320000000000001</v>
      </c>
      <c r="F438">
        <v>17408491.98</v>
      </c>
      <c r="G438">
        <v>0</v>
      </c>
      <c r="L438" t="s">
        <v>7</v>
      </c>
      <c r="M438" t="s">
        <v>8</v>
      </c>
      <c r="N438" t="s">
        <v>8</v>
      </c>
      <c r="P438">
        <f t="shared" si="929"/>
        <v>-0.9386973180076611</v>
      </c>
      <c r="Q438">
        <f t="shared" si="930"/>
        <v>-16341304.732183877</v>
      </c>
      <c r="R438">
        <f t="shared" si="931"/>
        <v>-225310670.23742113</v>
      </c>
      <c r="S438">
        <f t="shared" si="932"/>
        <v>-2253.1067023742112</v>
      </c>
      <c r="T438">
        <f t="shared" si="933"/>
        <v>-2.2531067023742111</v>
      </c>
    </row>
    <row r="439" spans="1:20" x14ac:dyDescent="0.25">
      <c r="A439" s="5">
        <v>44145</v>
      </c>
      <c r="B439">
        <v>0.1182</v>
      </c>
      <c r="C439">
        <v>0.15640000000000001</v>
      </c>
      <c r="D439">
        <v>0.1148</v>
      </c>
      <c r="E439">
        <v>0.1479</v>
      </c>
      <c r="F439">
        <v>20183688.989999998</v>
      </c>
      <c r="G439">
        <v>0</v>
      </c>
      <c r="L439" t="s">
        <v>8</v>
      </c>
      <c r="M439" t="s">
        <v>8</v>
      </c>
      <c r="N439" t="s">
        <v>8</v>
      </c>
      <c r="P439">
        <f t="shared" si="929"/>
        <v>0.59134615384615363</v>
      </c>
      <c r="Q439">
        <f t="shared" si="930"/>
        <v>11935546.854663456</v>
      </c>
      <c r="R439">
        <f t="shared" si="931"/>
        <v>-208969365.50523725</v>
      </c>
      <c r="S439">
        <f t="shared" si="932"/>
        <v>-2089.6936550523724</v>
      </c>
      <c r="T439">
        <f t="shared" si="933"/>
        <v>-2.0896936550523724</v>
      </c>
    </row>
    <row r="440" spans="1:20" x14ac:dyDescent="0.25">
      <c r="A440" s="5">
        <v>44144</v>
      </c>
      <c r="B440">
        <v>0.1303</v>
      </c>
      <c r="C440">
        <v>0.1333</v>
      </c>
      <c r="D440">
        <v>0.1164</v>
      </c>
      <c r="E440">
        <v>0.11840000000000001</v>
      </c>
      <c r="F440">
        <v>12140634.779999999</v>
      </c>
      <c r="G440">
        <v>0</v>
      </c>
      <c r="L440" t="s">
        <v>8</v>
      </c>
      <c r="M440" t="s">
        <v>7</v>
      </c>
      <c r="N440" t="s">
        <v>8</v>
      </c>
      <c r="P440">
        <f t="shared" si="929"/>
        <v>-0.76331360946745541</v>
      </c>
      <c r="Q440">
        <f t="shared" si="930"/>
        <v>-9267111.7551479265</v>
      </c>
      <c r="R440">
        <f t="shared" si="931"/>
        <v>-220904912.35990071</v>
      </c>
      <c r="S440">
        <f t="shared" si="932"/>
        <v>-2209.0491235990071</v>
      </c>
      <c r="T440">
        <f t="shared" si="933"/>
        <v>-2.2090491235990073</v>
      </c>
    </row>
    <row r="441" spans="1:20" x14ac:dyDescent="0.25">
      <c r="A441" s="5">
        <v>44143</v>
      </c>
      <c r="B441">
        <v>0.1179</v>
      </c>
      <c r="C441">
        <v>0.1338</v>
      </c>
      <c r="D441">
        <v>0.1132</v>
      </c>
      <c r="E441">
        <v>0.12989999999999999</v>
      </c>
      <c r="F441">
        <v>13421624.82</v>
      </c>
      <c r="G441">
        <v>0</v>
      </c>
      <c r="L441" t="s">
        <v>7</v>
      </c>
      <c r="M441" t="s">
        <v>7</v>
      </c>
      <c r="N441" t="s">
        <v>8</v>
      </c>
      <c r="P441">
        <f t="shared" si="929"/>
        <v>0.6213592233009696</v>
      </c>
      <c r="Q441">
        <f t="shared" si="930"/>
        <v>8339650.3735922165</v>
      </c>
      <c r="R441">
        <f t="shared" si="931"/>
        <v>-211637800.60475278</v>
      </c>
      <c r="S441">
        <f t="shared" si="932"/>
        <v>-2116.3780060475278</v>
      </c>
      <c r="T441">
        <f t="shared" si="933"/>
        <v>-2.1163780060475279</v>
      </c>
    </row>
    <row r="442" spans="1:20" x14ac:dyDescent="0.25">
      <c r="A442" s="5">
        <v>44142</v>
      </c>
      <c r="B442">
        <v>0.1166</v>
      </c>
      <c r="C442">
        <v>0.13969999999999999</v>
      </c>
      <c r="D442">
        <v>0.1076</v>
      </c>
      <c r="E442">
        <v>0.1178</v>
      </c>
      <c r="F442">
        <v>24747913.030000001</v>
      </c>
      <c r="G442">
        <v>0</v>
      </c>
      <c r="L442" t="s">
        <v>8</v>
      </c>
      <c r="M442" t="s">
        <v>8</v>
      </c>
      <c r="N442" t="s">
        <v>8</v>
      </c>
      <c r="P442">
        <f t="shared" si="929"/>
        <v>-0.36448598130841098</v>
      </c>
      <c r="Q442">
        <f t="shared" si="930"/>
        <v>-9020267.3660747614</v>
      </c>
      <c r="R442">
        <f t="shared" si="931"/>
        <v>-219977450.97834501</v>
      </c>
      <c r="S442">
        <f t="shared" si="932"/>
        <v>-2199.77450978345</v>
      </c>
      <c r="T442">
        <f t="shared" si="933"/>
        <v>-2.1997745097834498</v>
      </c>
    </row>
    <row r="443" spans="1:20" x14ac:dyDescent="0.25">
      <c r="A443" s="5">
        <v>44141</v>
      </c>
      <c r="B443">
        <v>0.10299999999999999</v>
      </c>
      <c r="C443">
        <v>0.1188</v>
      </c>
      <c r="D443">
        <v>0.10150000000000001</v>
      </c>
      <c r="E443">
        <v>0.1164</v>
      </c>
      <c r="F443">
        <v>10949272.34</v>
      </c>
      <c r="G443">
        <v>0</v>
      </c>
      <c r="L443" t="s">
        <v>8</v>
      </c>
      <c r="M443" t="s">
        <v>8</v>
      </c>
      <c r="N443" t="s">
        <v>7</v>
      </c>
      <c r="P443">
        <f t="shared" si="929"/>
        <v>0.7225433526011561</v>
      </c>
      <c r="Q443">
        <f t="shared" si="930"/>
        <v>7911323.9450867055</v>
      </c>
      <c r="R443">
        <f t="shared" si="931"/>
        <v>-210957183.61227024</v>
      </c>
      <c r="S443">
        <f t="shared" si="932"/>
        <v>-2109.5718361227023</v>
      </c>
      <c r="T443">
        <f t="shared" si="933"/>
        <v>-2.1095718361227025</v>
      </c>
    </row>
    <row r="444" spans="1:20" x14ac:dyDescent="0.25">
      <c r="A444" s="5">
        <v>44140</v>
      </c>
      <c r="B444">
        <v>9.1399999999999995E-2</v>
      </c>
      <c r="C444">
        <v>0.1086</v>
      </c>
      <c r="D444">
        <v>8.7999999999999995E-2</v>
      </c>
      <c r="E444">
        <v>0.1026</v>
      </c>
      <c r="F444">
        <v>18497348.350000001</v>
      </c>
      <c r="G444">
        <v>0</v>
      </c>
      <c r="L444" t="s">
        <v>8</v>
      </c>
      <c r="M444" t="s">
        <v>8</v>
      </c>
      <c r="N444" t="s">
        <v>7</v>
      </c>
      <c r="P444">
        <f t="shared" si="929"/>
        <v>0.41747572815533951</v>
      </c>
      <c r="Q444">
        <f t="shared" si="930"/>
        <v>7722193.9713592185</v>
      </c>
      <c r="R444">
        <f t="shared" si="931"/>
        <v>-218868507.55735695</v>
      </c>
      <c r="S444">
        <f t="shared" si="932"/>
        <v>-2188.6850755735695</v>
      </c>
      <c r="T444">
        <f t="shared" si="933"/>
        <v>-2.1886850755735696</v>
      </c>
    </row>
    <row r="445" spans="1:20" x14ac:dyDescent="0.25">
      <c r="A445" s="5">
        <v>44139</v>
      </c>
      <c r="B445">
        <v>0.1</v>
      </c>
      <c r="C445">
        <v>0.10100000000000001</v>
      </c>
      <c r="D445">
        <v>8.8800000000000004E-2</v>
      </c>
      <c r="E445">
        <v>9.1300000000000006E-2</v>
      </c>
      <c r="F445">
        <v>12672263.710000001</v>
      </c>
      <c r="G445">
        <v>0</v>
      </c>
      <c r="L445" t="s">
        <v>7</v>
      </c>
      <c r="M445" t="s">
        <v>7</v>
      </c>
      <c r="N445" t="s">
        <v>7</v>
      </c>
      <c r="P445">
        <f t="shared" ref="P445:P508" si="934">IF(C445=D445,0,((E445-D445)-(C445-E445))/(C445-D445))</f>
        <v>-0.59016393442622928</v>
      </c>
      <c r="Q445">
        <f t="shared" ref="Q445:Q508" si="935">F445*P445</f>
        <v>-7478713.0091803251</v>
      </c>
      <c r="R445">
        <f t="shared" ref="R445:R508" si="936">R446+Q445</f>
        <v>-226590701.52871618</v>
      </c>
      <c r="S445">
        <f t="shared" ref="S445:S508" si="937">R445/100000</f>
        <v>-2265.9070152871618</v>
      </c>
      <c r="T445">
        <f t="shared" ref="T445:T508" si="938">S445/1000</f>
        <v>-2.2659070152871617</v>
      </c>
    </row>
    <row r="446" spans="1:20" x14ac:dyDescent="0.25">
      <c r="A446" s="5">
        <v>44138</v>
      </c>
      <c r="B446">
        <v>0.1046</v>
      </c>
      <c r="C446">
        <v>0.10580000000000001</v>
      </c>
      <c r="D446">
        <v>9.8500000000000004E-2</v>
      </c>
      <c r="E446">
        <v>0.1</v>
      </c>
      <c r="F446">
        <v>10431002.789999999</v>
      </c>
      <c r="G446">
        <v>0</v>
      </c>
      <c r="L446" t="s">
        <v>7</v>
      </c>
      <c r="M446" t="s">
        <v>7</v>
      </c>
      <c r="N446" t="s">
        <v>7</v>
      </c>
      <c r="P446">
        <f t="shared" si="934"/>
        <v>-0.58904109589041065</v>
      </c>
      <c r="Q446">
        <f t="shared" si="935"/>
        <v>-6144289.3146575307</v>
      </c>
      <c r="R446">
        <f t="shared" si="936"/>
        <v>-219111988.51953584</v>
      </c>
      <c r="S446">
        <f t="shared" si="937"/>
        <v>-2191.1198851953586</v>
      </c>
      <c r="T446">
        <f t="shared" si="938"/>
        <v>-2.1911198851953588</v>
      </c>
    </row>
    <row r="447" spans="1:20" x14ac:dyDescent="0.25">
      <c r="A447" s="5">
        <v>44137</v>
      </c>
      <c r="B447">
        <v>0.1119</v>
      </c>
      <c r="C447">
        <v>0.12</v>
      </c>
      <c r="D447">
        <v>0.1042</v>
      </c>
      <c r="E447">
        <v>0.1047</v>
      </c>
      <c r="F447">
        <v>10563398.15</v>
      </c>
      <c r="G447">
        <v>0</v>
      </c>
      <c r="L447" t="s">
        <v>7</v>
      </c>
      <c r="M447" t="s">
        <v>8</v>
      </c>
      <c r="N447" t="s">
        <v>7</v>
      </c>
      <c r="P447">
        <f t="shared" si="934"/>
        <v>-0.93670886075949356</v>
      </c>
      <c r="Q447">
        <f t="shared" si="935"/>
        <v>-9894828.6468354426</v>
      </c>
      <c r="R447">
        <f t="shared" si="936"/>
        <v>-212967699.2048783</v>
      </c>
      <c r="S447">
        <f t="shared" si="937"/>
        <v>-2129.6769920487832</v>
      </c>
      <c r="T447">
        <f t="shared" si="938"/>
        <v>-2.129676992048783</v>
      </c>
    </row>
    <row r="448" spans="1:20" x14ac:dyDescent="0.25">
      <c r="A448" s="5">
        <v>44136</v>
      </c>
      <c r="B448">
        <v>0.1109</v>
      </c>
      <c r="C448">
        <v>0.113</v>
      </c>
      <c r="D448">
        <v>0.10730000000000001</v>
      </c>
      <c r="E448">
        <v>0.1114</v>
      </c>
      <c r="F448">
        <v>6359752.0599999996</v>
      </c>
      <c r="G448">
        <v>0</v>
      </c>
      <c r="L448" t="s">
        <v>7</v>
      </c>
      <c r="M448" t="s">
        <v>8</v>
      </c>
      <c r="N448" t="s">
        <v>7</v>
      </c>
      <c r="P448">
        <f t="shared" si="934"/>
        <v>0.43859649122806837</v>
      </c>
      <c r="Q448">
        <f t="shared" si="935"/>
        <v>2789364.9385964796</v>
      </c>
      <c r="R448">
        <f t="shared" si="936"/>
        <v>-203072870.55804285</v>
      </c>
      <c r="S448">
        <f t="shared" si="937"/>
        <v>-2030.7287055804286</v>
      </c>
      <c r="T448">
        <f t="shared" si="938"/>
        <v>-2.0307287055804286</v>
      </c>
    </row>
    <row r="449" spans="1:20" x14ac:dyDescent="0.25">
      <c r="A449" s="5">
        <v>44135</v>
      </c>
      <c r="B449">
        <v>0.1074</v>
      </c>
      <c r="C449">
        <v>0.1207</v>
      </c>
      <c r="D449">
        <v>0.1067</v>
      </c>
      <c r="E449">
        <v>0.111</v>
      </c>
      <c r="F449">
        <v>10321836.18</v>
      </c>
      <c r="G449">
        <v>0</v>
      </c>
      <c r="L449" t="s">
        <v>8</v>
      </c>
      <c r="M449" t="s">
        <v>8</v>
      </c>
      <c r="N449" t="s">
        <v>7</v>
      </c>
      <c r="P449">
        <f t="shared" si="934"/>
        <v>-0.3857142857142859</v>
      </c>
      <c r="Q449">
        <f t="shared" si="935"/>
        <v>-3981279.669428573</v>
      </c>
      <c r="R449">
        <f t="shared" si="936"/>
        <v>-205862235.49663934</v>
      </c>
      <c r="S449">
        <f t="shared" si="937"/>
        <v>-2058.6223549663932</v>
      </c>
      <c r="T449">
        <f t="shared" si="938"/>
        <v>-2.0586223549663933</v>
      </c>
    </row>
    <row r="450" spans="1:20" x14ac:dyDescent="0.25">
      <c r="A450" s="5">
        <v>44134</v>
      </c>
      <c r="B450">
        <v>0.11269999999999999</v>
      </c>
      <c r="C450">
        <v>0.1174</v>
      </c>
      <c r="D450">
        <v>0.1003</v>
      </c>
      <c r="E450">
        <v>0.1072</v>
      </c>
      <c r="F450">
        <v>18117162.98</v>
      </c>
      <c r="G450">
        <v>0</v>
      </c>
      <c r="L450" t="s">
        <v>7</v>
      </c>
      <c r="M450" t="s">
        <v>7</v>
      </c>
      <c r="N450" t="s">
        <v>7</v>
      </c>
      <c r="P450">
        <f t="shared" si="934"/>
        <v>-0.19298245614035067</v>
      </c>
      <c r="Q450">
        <f t="shared" si="935"/>
        <v>-3496294.610175435</v>
      </c>
      <c r="R450">
        <f t="shared" si="936"/>
        <v>-201880955.82721075</v>
      </c>
      <c r="S450">
        <f t="shared" si="937"/>
        <v>-2018.8095582721076</v>
      </c>
      <c r="T450">
        <f t="shared" si="938"/>
        <v>-2.0188095582721077</v>
      </c>
    </row>
    <row r="451" spans="1:20" x14ac:dyDescent="0.25">
      <c r="A451" s="5">
        <v>44133</v>
      </c>
      <c r="B451">
        <v>0.12859999999999999</v>
      </c>
      <c r="C451">
        <v>0.1358</v>
      </c>
      <c r="D451">
        <v>0.1099</v>
      </c>
      <c r="E451">
        <v>0.11269999999999999</v>
      </c>
      <c r="F451">
        <v>21404100.82</v>
      </c>
      <c r="G451">
        <v>0</v>
      </c>
      <c r="L451" t="s">
        <v>7</v>
      </c>
      <c r="M451" t="s">
        <v>7</v>
      </c>
      <c r="N451" t="s">
        <v>8</v>
      </c>
      <c r="P451">
        <f t="shared" si="934"/>
        <v>-0.7837837837837841</v>
      </c>
      <c r="Q451">
        <f t="shared" si="935"/>
        <v>-16776187.129189197</v>
      </c>
      <c r="R451">
        <f t="shared" si="936"/>
        <v>-198384661.21703532</v>
      </c>
      <c r="S451">
        <f t="shared" si="937"/>
        <v>-1983.8466121703532</v>
      </c>
      <c r="T451">
        <f t="shared" si="938"/>
        <v>-1.9838466121703531</v>
      </c>
    </row>
    <row r="452" spans="1:20" x14ac:dyDescent="0.25">
      <c r="A452" s="5">
        <v>44132</v>
      </c>
      <c r="B452">
        <v>0.13320000000000001</v>
      </c>
      <c r="C452">
        <v>0.14149999999999999</v>
      </c>
      <c r="D452">
        <v>0.11840000000000001</v>
      </c>
      <c r="E452">
        <v>0.12889999999999999</v>
      </c>
      <c r="F452">
        <v>32479321.66</v>
      </c>
      <c r="G452">
        <v>0</v>
      </c>
      <c r="L452" t="s">
        <v>8</v>
      </c>
      <c r="M452" t="s">
        <v>8</v>
      </c>
      <c r="N452" t="s">
        <v>8</v>
      </c>
      <c r="P452">
        <f t="shared" si="934"/>
        <v>-9.0909090909091786E-2</v>
      </c>
      <c r="Q452">
        <f t="shared" si="935"/>
        <v>-2952665.6054545739</v>
      </c>
      <c r="R452">
        <f t="shared" si="936"/>
        <v>-181608474.08784613</v>
      </c>
      <c r="S452">
        <f t="shared" si="937"/>
        <v>-1816.0847408784614</v>
      </c>
      <c r="T452">
        <f t="shared" si="938"/>
        <v>-1.8160847408784613</v>
      </c>
    </row>
    <row r="453" spans="1:20" x14ac:dyDescent="0.25">
      <c r="A453" s="5">
        <v>44131</v>
      </c>
      <c r="B453">
        <v>0.1032</v>
      </c>
      <c r="C453">
        <v>0.1343</v>
      </c>
      <c r="D453">
        <v>0.1008</v>
      </c>
      <c r="E453">
        <v>0.13320000000000001</v>
      </c>
      <c r="F453">
        <v>24408954.370000001</v>
      </c>
      <c r="G453">
        <v>0</v>
      </c>
      <c r="L453" t="s">
        <v>8</v>
      </c>
      <c r="M453" t="s">
        <v>8</v>
      </c>
      <c r="N453" t="s">
        <v>7</v>
      </c>
      <c r="P453">
        <f t="shared" si="934"/>
        <v>0.93432835820895588</v>
      </c>
      <c r="Q453">
        <f t="shared" si="935"/>
        <v>22805978.26211942</v>
      </c>
      <c r="R453">
        <f t="shared" si="936"/>
        <v>-178655808.48239157</v>
      </c>
      <c r="S453">
        <f t="shared" si="937"/>
        <v>-1786.5580848239156</v>
      </c>
      <c r="T453">
        <f t="shared" si="938"/>
        <v>-1.7865580848239155</v>
      </c>
    </row>
    <row r="454" spans="1:20" x14ac:dyDescent="0.25">
      <c r="A454" s="5">
        <v>44130</v>
      </c>
      <c r="B454">
        <v>0.1081</v>
      </c>
      <c r="C454">
        <v>0.1159</v>
      </c>
      <c r="D454">
        <v>9.69E-2</v>
      </c>
      <c r="E454">
        <v>0.1032</v>
      </c>
      <c r="F454">
        <v>13854227.710000001</v>
      </c>
      <c r="G454">
        <v>0</v>
      </c>
      <c r="L454" t="s">
        <v>7</v>
      </c>
      <c r="M454" t="s">
        <v>7</v>
      </c>
      <c r="N454" t="s">
        <v>7</v>
      </c>
      <c r="P454">
        <f t="shared" si="934"/>
        <v>-0.336842105263158</v>
      </c>
      <c r="Q454">
        <f t="shared" si="935"/>
        <v>-4666687.2286315802</v>
      </c>
      <c r="R454">
        <f t="shared" si="936"/>
        <v>-201461786.74451098</v>
      </c>
      <c r="S454">
        <f t="shared" si="937"/>
        <v>-2014.6178674451098</v>
      </c>
      <c r="T454">
        <f t="shared" si="938"/>
        <v>-2.0146178674451098</v>
      </c>
    </row>
    <row r="455" spans="1:20" x14ac:dyDescent="0.25">
      <c r="A455" s="5">
        <v>44129</v>
      </c>
      <c r="B455">
        <v>0.11219999999999999</v>
      </c>
      <c r="C455">
        <v>0.1179</v>
      </c>
      <c r="D455">
        <v>0.1061</v>
      </c>
      <c r="E455">
        <v>0.108</v>
      </c>
      <c r="F455">
        <v>5151245.74</v>
      </c>
      <c r="G455">
        <v>0</v>
      </c>
      <c r="L455" t="s">
        <v>7</v>
      </c>
      <c r="M455" t="s">
        <v>7</v>
      </c>
      <c r="N455" t="s">
        <v>7</v>
      </c>
      <c r="P455">
        <f t="shared" si="934"/>
        <v>-0.67796610169491556</v>
      </c>
      <c r="Q455">
        <f t="shared" si="935"/>
        <v>-3492369.9932203409</v>
      </c>
      <c r="R455">
        <f t="shared" si="936"/>
        <v>-196795099.51587939</v>
      </c>
      <c r="S455">
        <f t="shared" si="937"/>
        <v>-1967.9509951587938</v>
      </c>
      <c r="T455">
        <f t="shared" si="938"/>
        <v>-1.9679509951587939</v>
      </c>
    </row>
    <row r="456" spans="1:20" x14ac:dyDescent="0.25">
      <c r="A456" s="5">
        <v>44128</v>
      </c>
      <c r="B456">
        <v>0.1144</v>
      </c>
      <c r="C456">
        <v>0.11559999999999999</v>
      </c>
      <c r="D456">
        <v>0.10970000000000001</v>
      </c>
      <c r="E456">
        <v>0.1123</v>
      </c>
      <c r="F456">
        <v>4732887.9400000004</v>
      </c>
      <c r="G456">
        <v>0</v>
      </c>
      <c r="L456" t="s">
        <v>7</v>
      </c>
      <c r="M456" t="s">
        <v>7</v>
      </c>
      <c r="N456" t="s">
        <v>7</v>
      </c>
      <c r="P456">
        <f t="shared" si="934"/>
        <v>-0.11864406779661145</v>
      </c>
      <c r="Q456">
        <f t="shared" si="935"/>
        <v>-561529.07762712473</v>
      </c>
      <c r="R456">
        <f t="shared" si="936"/>
        <v>-193302729.52265906</v>
      </c>
      <c r="S456">
        <f t="shared" si="937"/>
        <v>-1933.0272952265907</v>
      </c>
      <c r="T456">
        <f t="shared" si="938"/>
        <v>-1.9330272952265908</v>
      </c>
    </row>
    <row r="457" spans="1:20" x14ac:dyDescent="0.25">
      <c r="A457" s="5">
        <v>44127</v>
      </c>
      <c r="B457">
        <v>0.1164</v>
      </c>
      <c r="C457">
        <v>0.12330000000000001</v>
      </c>
      <c r="D457">
        <v>0.1111</v>
      </c>
      <c r="E457">
        <v>0.1144</v>
      </c>
      <c r="F457">
        <v>7414693.8200000003</v>
      </c>
      <c r="G457">
        <v>0</v>
      </c>
      <c r="L457" t="s">
        <v>7</v>
      </c>
      <c r="M457" t="s">
        <v>7</v>
      </c>
      <c r="N457" t="s">
        <v>7</v>
      </c>
      <c r="P457">
        <f t="shared" si="934"/>
        <v>-0.45901639344262352</v>
      </c>
      <c r="Q457">
        <f t="shared" si="935"/>
        <v>-3403466.0157377091</v>
      </c>
      <c r="R457">
        <f t="shared" si="936"/>
        <v>-192741200.44503194</v>
      </c>
      <c r="S457">
        <f t="shared" si="937"/>
        <v>-1927.4120044503195</v>
      </c>
      <c r="T457">
        <f t="shared" si="938"/>
        <v>-1.9274120044503196</v>
      </c>
    </row>
    <row r="458" spans="1:20" x14ac:dyDescent="0.25">
      <c r="A458" s="5">
        <v>44126</v>
      </c>
      <c r="B458">
        <v>0.113</v>
      </c>
      <c r="C458">
        <v>0.124</v>
      </c>
      <c r="D458">
        <v>0.1128</v>
      </c>
      <c r="E458">
        <v>0.1163</v>
      </c>
      <c r="F458">
        <v>8380191.9400000004</v>
      </c>
      <c r="G458">
        <v>0</v>
      </c>
      <c r="L458" t="s">
        <v>8</v>
      </c>
      <c r="M458" t="s">
        <v>7</v>
      </c>
      <c r="N458" t="s">
        <v>7</v>
      </c>
      <c r="P458">
        <f t="shared" si="934"/>
        <v>-0.37499999999999956</v>
      </c>
      <c r="Q458">
        <f t="shared" si="935"/>
        <v>-3142571.9774999963</v>
      </c>
      <c r="R458">
        <f t="shared" si="936"/>
        <v>-189337734.42929423</v>
      </c>
      <c r="S458">
        <f t="shared" si="937"/>
        <v>-1893.3773442929423</v>
      </c>
      <c r="T458">
        <f t="shared" si="938"/>
        <v>-1.8933773442929422</v>
      </c>
    </row>
    <row r="459" spans="1:20" x14ac:dyDescent="0.25">
      <c r="A459" s="5">
        <v>44125</v>
      </c>
      <c r="B459">
        <v>0.1099</v>
      </c>
      <c r="C459">
        <v>0.11840000000000001</v>
      </c>
      <c r="D459">
        <v>0.1096</v>
      </c>
      <c r="E459">
        <v>0.113</v>
      </c>
      <c r="F459">
        <v>8442861.0199999996</v>
      </c>
      <c r="G459">
        <v>0</v>
      </c>
      <c r="L459" t="s">
        <v>8</v>
      </c>
      <c r="M459" t="s">
        <v>7</v>
      </c>
      <c r="N459" t="s">
        <v>7</v>
      </c>
      <c r="P459">
        <f t="shared" si="934"/>
        <v>-0.2272727272727274</v>
      </c>
      <c r="Q459">
        <f t="shared" si="935"/>
        <v>-1918832.050000001</v>
      </c>
      <c r="R459">
        <f t="shared" si="936"/>
        <v>-186195162.45179424</v>
      </c>
      <c r="S459">
        <f t="shared" si="937"/>
        <v>-1861.9516245179423</v>
      </c>
      <c r="T459">
        <f t="shared" si="938"/>
        <v>-1.8619516245179422</v>
      </c>
    </row>
    <row r="460" spans="1:20" x14ac:dyDescent="0.25">
      <c r="A460" s="5">
        <v>44124</v>
      </c>
      <c r="B460">
        <v>0.1235</v>
      </c>
      <c r="C460">
        <v>0.1235</v>
      </c>
      <c r="D460">
        <v>0.1065</v>
      </c>
      <c r="E460">
        <v>0.1103</v>
      </c>
      <c r="F460">
        <v>8664433.7799999993</v>
      </c>
      <c r="G460">
        <v>0</v>
      </c>
      <c r="L460" t="s">
        <v>7</v>
      </c>
      <c r="M460" t="s">
        <v>7</v>
      </c>
      <c r="N460" t="s">
        <v>7</v>
      </c>
      <c r="P460">
        <f t="shared" si="934"/>
        <v>-0.55294117647058849</v>
      </c>
      <c r="Q460">
        <f t="shared" si="935"/>
        <v>-4790922.2077647075</v>
      </c>
      <c r="R460">
        <f t="shared" si="936"/>
        <v>-184276330.40179422</v>
      </c>
      <c r="S460">
        <f t="shared" si="937"/>
        <v>-1842.7633040179423</v>
      </c>
      <c r="T460">
        <f t="shared" si="938"/>
        <v>-1.8427633040179423</v>
      </c>
    </row>
    <row r="461" spans="1:20" x14ac:dyDescent="0.25">
      <c r="A461" s="5">
        <v>44123</v>
      </c>
      <c r="B461">
        <v>0.1298</v>
      </c>
      <c r="C461">
        <v>0.13039999999999999</v>
      </c>
      <c r="D461">
        <v>0.12139999999999999</v>
      </c>
      <c r="E461">
        <v>0.1235</v>
      </c>
      <c r="F461">
        <v>5317334.3499999996</v>
      </c>
      <c r="G461">
        <v>0</v>
      </c>
      <c r="L461" t="s">
        <v>7</v>
      </c>
      <c r="M461" t="s">
        <v>8</v>
      </c>
      <c r="N461" t="s">
        <v>7</v>
      </c>
      <c r="P461">
        <f t="shared" si="934"/>
        <v>-0.53333333333333199</v>
      </c>
      <c r="Q461">
        <f t="shared" si="935"/>
        <v>-2835911.6533333259</v>
      </c>
      <c r="R461">
        <f t="shared" si="936"/>
        <v>-179485408.19402951</v>
      </c>
      <c r="S461">
        <f t="shared" si="937"/>
        <v>-1794.8540819402951</v>
      </c>
      <c r="T461">
        <f t="shared" si="938"/>
        <v>-1.7948540819402952</v>
      </c>
    </row>
    <row r="462" spans="1:20" x14ac:dyDescent="0.25">
      <c r="A462" s="5">
        <v>44122</v>
      </c>
      <c r="B462">
        <v>0.125</v>
      </c>
      <c r="C462">
        <v>0.1328</v>
      </c>
      <c r="D462">
        <v>0.12330000000000001</v>
      </c>
      <c r="E462">
        <v>0.12970000000000001</v>
      </c>
      <c r="F462">
        <v>9958831.3699999992</v>
      </c>
      <c r="G462">
        <v>0</v>
      </c>
      <c r="L462" t="s">
        <v>8</v>
      </c>
      <c r="M462" t="s">
        <v>8</v>
      </c>
      <c r="N462" t="s">
        <v>7</v>
      </c>
      <c r="P462">
        <f t="shared" si="934"/>
        <v>0.34736842105263294</v>
      </c>
      <c r="Q462">
        <f t="shared" si="935"/>
        <v>3459383.528526329</v>
      </c>
      <c r="R462">
        <f t="shared" si="936"/>
        <v>-176649496.54069617</v>
      </c>
      <c r="S462">
        <f t="shared" si="937"/>
        <v>-1766.4949654069617</v>
      </c>
      <c r="T462">
        <f t="shared" si="938"/>
        <v>-1.7664949654069617</v>
      </c>
    </row>
    <row r="463" spans="1:20" x14ac:dyDescent="0.25">
      <c r="A463" s="5">
        <v>44121</v>
      </c>
      <c r="B463">
        <v>0.1109</v>
      </c>
      <c r="C463">
        <v>0.12690000000000001</v>
      </c>
      <c r="D463">
        <v>0.108</v>
      </c>
      <c r="E463">
        <v>0.12520000000000001</v>
      </c>
      <c r="F463">
        <v>9953048.6199999992</v>
      </c>
      <c r="G463">
        <v>0</v>
      </c>
      <c r="L463" t="s">
        <v>7</v>
      </c>
      <c r="M463" t="s">
        <v>7</v>
      </c>
      <c r="N463" t="s">
        <v>7</v>
      </c>
      <c r="P463">
        <f t="shared" si="934"/>
        <v>0.82010582010581945</v>
      </c>
      <c r="Q463">
        <f t="shared" si="935"/>
        <v>8162553.1010581935</v>
      </c>
      <c r="R463">
        <f t="shared" si="936"/>
        <v>-180108880.06922251</v>
      </c>
      <c r="S463">
        <f t="shared" si="937"/>
        <v>-1801.088800692225</v>
      </c>
      <c r="T463">
        <f t="shared" si="938"/>
        <v>-1.801088800692225</v>
      </c>
    </row>
    <row r="464" spans="1:20" x14ac:dyDescent="0.25">
      <c r="A464" s="5">
        <v>44120</v>
      </c>
      <c r="B464">
        <v>0.1216</v>
      </c>
      <c r="C464">
        <v>0.1255</v>
      </c>
      <c r="D464">
        <v>0.1091</v>
      </c>
      <c r="E464">
        <v>0.1106</v>
      </c>
      <c r="F464">
        <v>12651139.810000001</v>
      </c>
      <c r="G464">
        <v>0</v>
      </c>
      <c r="L464" t="s">
        <v>8</v>
      </c>
      <c r="M464" t="s">
        <v>7</v>
      </c>
      <c r="N464" t="s">
        <v>7</v>
      </c>
      <c r="P464">
        <f t="shared" si="934"/>
        <v>-0.81707317073170715</v>
      </c>
      <c r="Q464">
        <f t="shared" si="935"/>
        <v>-10336906.917926827</v>
      </c>
      <c r="R464">
        <f t="shared" si="936"/>
        <v>-188271433.17028069</v>
      </c>
      <c r="S464">
        <f t="shared" si="937"/>
        <v>-1882.7143317028069</v>
      </c>
      <c r="T464">
        <f t="shared" si="938"/>
        <v>-1.882714331702807</v>
      </c>
    </row>
    <row r="465" spans="1:20" x14ac:dyDescent="0.25">
      <c r="A465" s="5">
        <v>44119</v>
      </c>
      <c r="B465">
        <v>0.11890000000000001</v>
      </c>
      <c r="C465">
        <v>0.122</v>
      </c>
      <c r="D465">
        <v>0.1103</v>
      </c>
      <c r="E465">
        <v>0.1217</v>
      </c>
      <c r="F465">
        <v>12500470.68</v>
      </c>
      <c r="G465">
        <v>0</v>
      </c>
      <c r="L465" t="s">
        <v>7</v>
      </c>
      <c r="M465" t="s">
        <v>7</v>
      </c>
      <c r="N465" t="s">
        <v>7</v>
      </c>
      <c r="P465">
        <f t="shared" si="934"/>
        <v>0.94871794871794968</v>
      </c>
      <c r="Q465">
        <f t="shared" si="935"/>
        <v>11859420.901538473</v>
      </c>
      <c r="R465">
        <f t="shared" si="936"/>
        <v>-177934526.25235388</v>
      </c>
      <c r="S465">
        <f t="shared" si="937"/>
        <v>-1779.3452625235388</v>
      </c>
      <c r="T465">
        <f t="shared" si="938"/>
        <v>-1.7793452625235389</v>
      </c>
    </row>
    <row r="466" spans="1:20" x14ac:dyDescent="0.25">
      <c r="A466" s="5">
        <v>44118</v>
      </c>
      <c r="B466">
        <v>0.12959999999999999</v>
      </c>
      <c r="C466">
        <v>0.13289999999999999</v>
      </c>
      <c r="D466">
        <v>0.11509999999999999</v>
      </c>
      <c r="E466">
        <v>0.11899999999999999</v>
      </c>
      <c r="F466">
        <v>12955922.48</v>
      </c>
      <c r="G466">
        <v>0</v>
      </c>
      <c r="L466" t="s">
        <v>7</v>
      </c>
      <c r="M466" t="s">
        <v>7</v>
      </c>
      <c r="N466" t="s">
        <v>8</v>
      </c>
      <c r="P466">
        <f t="shared" si="934"/>
        <v>-0.56179775280898858</v>
      </c>
      <c r="Q466">
        <f t="shared" si="935"/>
        <v>-7278608.1348314583</v>
      </c>
      <c r="R466">
        <f t="shared" si="936"/>
        <v>-189793947.15389234</v>
      </c>
      <c r="S466">
        <f t="shared" si="937"/>
        <v>-1897.9394715389233</v>
      </c>
      <c r="T466">
        <f t="shared" si="938"/>
        <v>-1.8979394715389233</v>
      </c>
    </row>
    <row r="467" spans="1:20" x14ac:dyDescent="0.25">
      <c r="A467" s="5">
        <v>44117</v>
      </c>
      <c r="B467">
        <v>0.13350000000000001</v>
      </c>
      <c r="C467">
        <v>0.1366</v>
      </c>
      <c r="D467">
        <v>0.1242</v>
      </c>
      <c r="E467">
        <v>0.12959999999999999</v>
      </c>
      <c r="F467">
        <v>14189591.76</v>
      </c>
      <c r="G467">
        <v>0</v>
      </c>
      <c r="L467" t="s">
        <v>7</v>
      </c>
      <c r="M467" t="s">
        <v>7</v>
      </c>
      <c r="N467" t="s">
        <v>8</v>
      </c>
      <c r="P467">
        <f t="shared" si="934"/>
        <v>-0.12903225806451765</v>
      </c>
      <c r="Q467">
        <f t="shared" si="935"/>
        <v>-1830915.0658064731</v>
      </c>
      <c r="R467">
        <f t="shared" si="936"/>
        <v>-182515339.01906088</v>
      </c>
      <c r="S467">
        <f t="shared" si="937"/>
        <v>-1825.1533901906089</v>
      </c>
      <c r="T467">
        <f t="shared" si="938"/>
        <v>-1.825153390190609</v>
      </c>
    </row>
    <row r="468" spans="1:20" x14ac:dyDescent="0.25">
      <c r="A468" s="5">
        <v>44116</v>
      </c>
      <c r="B468">
        <v>0.1409</v>
      </c>
      <c r="C468">
        <v>0.1447</v>
      </c>
      <c r="D468">
        <v>0.12920000000000001</v>
      </c>
      <c r="E468">
        <v>0.1336</v>
      </c>
      <c r="F468">
        <v>13738533.35</v>
      </c>
      <c r="G468">
        <v>0</v>
      </c>
      <c r="L468" t="s">
        <v>7</v>
      </c>
      <c r="M468" t="s">
        <v>7</v>
      </c>
      <c r="N468" t="s">
        <v>8</v>
      </c>
      <c r="P468">
        <f t="shared" si="934"/>
        <v>-0.43225806451613019</v>
      </c>
      <c r="Q468">
        <f t="shared" si="935"/>
        <v>-5938591.835161306</v>
      </c>
      <c r="R468">
        <f t="shared" si="936"/>
        <v>-180684423.9532544</v>
      </c>
      <c r="S468">
        <f t="shared" si="937"/>
        <v>-1806.844239532544</v>
      </c>
      <c r="T468">
        <f t="shared" si="938"/>
        <v>-1.8068442395325439</v>
      </c>
    </row>
    <row r="469" spans="1:20" x14ac:dyDescent="0.25">
      <c r="A469" s="5">
        <v>44115</v>
      </c>
      <c r="B469">
        <v>0.1399</v>
      </c>
      <c r="C469">
        <v>0.14430000000000001</v>
      </c>
      <c r="D469">
        <v>0.13139999999999999</v>
      </c>
      <c r="E469">
        <v>0.14119999999999999</v>
      </c>
      <c r="F469">
        <v>11547956.619999999</v>
      </c>
      <c r="G469">
        <v>0</v>
      </c>
      <c r="L469" t="s">
        <v>7</v>
      </c>
      <c r="M469" t="s">
        <v>7</v>
      </c>
      <c r="N469" t="s">
        <v>8</v>
      </c>
      <c r="P469">
        <f t="shared" si="934"/>
        <v>0.51937984496123812</v>
      </c>
      <c r="Q469">
        <f t="shared" si="935"/>
        <v>5997775.9189147027</v>
      </c>
      <c r="R469">
        <f t="shared" si="936"/>
        <v>-174745832.1180931</v>
      </c>
      <c r="S469">
        <f t="shared" si="937"/>
        <v>-1747.4583211809311</v>
      </c>
      <c r="T469">
        <f t="shared" si="938"/>
        <v>-1.7474583211809311</v>
      </c>
    </row>
    <row r="470" spans="1:20" x14ac:dyDescent="0.25">
      <c r="A470" s="5">
        <v>44114</v>
      </c>
      <c r="B470">
        <v>0.14349999999999999</v>
      </c>
      <c r="C470">
        <v>0.15909999999999999</v>
      </c>
      <c r="D470">
        <v>0.1384</v>
      </c>
      <c r="E470">
        <v>0.14050000000000001</v>
      </c>
      <c r="F470">
        <v>17347149.940000001</v>
      </c>
      <c r="G470">
        <v>0</v>
      </c>
      <c r="L470" t="s">
        <v>8</v>
      </c>
      <c r="M470" t="s">
        <v>8</v>
      </c>
      <c r="N470" t="s">
        <v>8</v>
      </c>
      <c r="P470">
        <f t="shared" si="934"/>
        <v>-0.79710144927536053</v>
      </c>
      <c r="Q470">
        <f t="shared" si="935"/>
        <v>-13827438.357970985</v>
      </c>
      <c r="R470">
        <f t="shared" si="936"/>
        <v>-180743608.03700781</v>
      </c>
      <c r="S470">
        <f t="shared" si="937"/>
        <v>-1807.4360803700781</v>
      </c>
      <c r="T470">
        <f t="shared" si="938"/>
        <v>-1.8074360803700782</v>
      </c>
    </row>
    <row r="471" spans="1:20" x14ac:dyDescent="0.25">
      <c r="A471" s="5">
        <v>44113</v>
      </c>
      <c r="B471">
        <v>0.1239</v>
      </c>
      <c r="C471">
        <v>0.14860000000000001</v>
      </c>
      <c r="D471">
        <v>0.11940000000000001</v>
      </c>
      <c r="E471">
        <v>0.14319999999999999</v>
      </c>
      <c r="F471">
        <v>30784474.420000002</v>
      </c>
      <c r="G471">
        <v>0</v>
      </c>
      <c r="L471" t="s">
        <v>8</v>
      </c>
      <c r="M471" t="s">
        <v>8</v>
      </c>
      <c r="N471" t="s">
        <v>8</v>
      </c>
      <c r="P471">
        <f t="shared" si="934"/>
        <v>0.63013698630136883</v>
      </c>
      <c r="Q471">
        <f t="shared" si="935"/>
        <v>19398435.93589038</v>
      </c>
      <c r="R471">
        <f t="shared" si="936"/>
        <v>-166916169.67903683</v>
      </c>
      <c r="S471">
        <f t="shared" si="937"/>
        <v>-1669.1616967903683</v>
      </c>
      <c r="T471">
        <f t="shared" si="938"/>
        <v>-1.6691616967903682</v>
      </c>
    </row>
    <row r="472" spans="1:20" x14ac:dyDescent="0.25">
      <c r="A472" s="5">
        <v>44112</v>
      </c>
      <c r="B472">
        <v>0.1173</v>
      </c>
      <c r="C472">
        <v>0.12620000000000001</v>
      </c>
      <c r="D472">
        <v>0.1012</v>
      </c>
      <c r="E472">
        <v>0.1244</v>
      </c>
      <c r="F472">
        <v>29423551.719999999</v>
      </c>
      <c r="G472">
        <v>0</v>
      </c>
      <c r="L472" t="s">
        <v>7</v>
      </c>
      <c r="M472" t="s">
        <v>8</v>
      </c>
      <c r="N472" t="s">
        <v>7</v>
      </c>
      <c r="P472">
        <f t="shared" si="934"/>
        <v>0.85599999999999921</v>
      </c>
      <c r="Q472">
        <f t="shared" si="935"/>
        <v>25186560.272319976</v>
      </c>
      <c r="R472">
        <f t="shared" si="936"/>
        <v>-186314605.6149272</v>
      </c>
      <c r="S472">
        <f t="shared" si="937"/>
        <v>-1863.146056149272</v>
      </c>
      <c r="T472">
        <f t="shared" si="938"/>
        <v>-1.8631460561492721</v>
      </c>
    </row>
    <row r="473" spans="1:20" x14ac:dyDescent="0.25">
      <c r="A473" s="5">
        <v>44111</v>
      </c>
      <c r="B473">
        <v>0.114</v>
      </c>
      <c r="C473">
        <v>0.1174</v>
      </c>
      <c r="D473">
        <v>0.1041</v>
      </c>
      <c r="E473">
        <v>0.1169</v>
      </c>
      <c r="F473">
        <v>28169494.52</v>
      </c>
      <c r="G473">
        <v>0</v>
      </c>
      <c r="L473" t="s">
        <v>7</v>
      </c>
      <c r="M473" t="s">
        <v>7</v>
      </c>
      <c r="N473" t="s">
        <v>7</v>
      </c>
      <c r="P473">
        <f t="shared" si="934"/>
        <v>0.92481203007518797</v>
      </c>
      <c r="Q473">
        <f t="shared" si="935"/>
        <v>26051487.413233083</v>
      </c>
      <c r="R473">
        <f t="shared" si="936"/>
        <v>-211501165.88724717</v>
      </c>
      <c r="S473">
        <f t="shared" si="937"/>
        <v>-2115.0116588724718</v>
      </c>
      <c r="T473">
        <f t="shared" si="938"/>
        <v>-2.1150116588724717</v>
      </c>
    </row>
    <row r="474" spans="1:20" x14ac:dyDescent="0.25">
      <c r="A474" s="5">
        <v>44110</v>
      </c>
      <c r="B474">
        <v>0.152</v>
      </c>
      <c r="C474">
        <v>0.1532</v>
      </c>
      <c r="D474">
        <v>0.1111</v>
      </c>
      <c r="E474">
        <v>0.1143</v>
      </c>
      <c r="F474">
        <v>24583626.469999999</v>
      </c>
      <c r="G474">
        <v>0</v>
      </c>
      <c r="L474" t="s">
        <v>7</v>
      </c>
      <c r="M474" t="s">
        <v>7</v>
      </c>
      <c r="N474" t="s">
        <v>7</v>
      </c>
      <c r="P474">
        <f t="shared" si="934"/>
        <v>-0.84798099762470336</v>
      </c>
      <c r="Q474">
        <f t="shared" si="935"/>
        <v>-20846448.099263664</v>
      </c>
      <c r="R474">
        <f t="shared" si="936"/>
        <v>-237552653.30048025</v>
      </c>
      <c r="S474">
        <f t="shared" si="937"/>
        <v>-2375.5265330048023</v>
      </c>
      <c r="T474">
        <f t="shared" si="938"/>
        <v>-2.3755265330048023</v>
      </c>
    </row>
    <row r="475" spans="1:20" x14ac:dyDescent="0.25">
      <c r="A475" s="5">
        <v>44109</v>
      </c>
      <c r="B475">
        <v>0.15659999999999999</v>
      </c>
      <c r="C475">
        <v>0.1613</v>
      </c>
      <c r="D475">
        <v>0.1462</v>
      </c>
      <c r="E475">
        <v>0.15210000000000001</v>
      </c>
      <c r="F475">
        <v>10910487.52</v>
      </c>
      <c r="G475">
        <v>0</v>
      </c>
      <c r="L475" t="s">
        <v>7</v>
      </c>
      <c r="M475" t="s">
        <v>7</v>
      </c>
      <c r="N475" t="s">
        <v>7</v>
      </c>
      <c r="P475">
        <f t="shared" si="934"/>
        <v>-0.21854304635761385</v>
      </c>
      <c r="Q475">
        <f t="shared" si="935"/>
        <v>-2384411.1798675274</v>
      </c>
      <c r="R475">
        <f t="shared" si="936"/>
        <v>-216706205.20121658</v>
      </c>
      <c r="S475">
        <f t="shared" si="937"/>
        <v>-2167.0620520121656</v>
      </c>
      <c r="T475">
        <f t="shared" si="938"/>
        <v>-2.1670620520121657</v>
      </c>
    </row>
    <row r="476" spans="1:20" x14ac:dyDescent="0.25">
      <c r="A476" s="5">
        <v>44108</v>
      </c>
      <c r="B476">
        <v>0.1633</v>
      </c>
      <c r="C476">
        <v>0.16900000000000001</v>
      </c>
      <c r="D476">
        <v>0.15329999999999999</v>
      </c>
      <c r="E476">
        <v>0.15659999999999999</v>
      </c>
      <c r="F476">
        <v>8716933.5999999996</v>
      </c>
      <c r="G476">
        <v>0</v>
      </c>
      <c r="L476" t="s">
        <v>7</v>
      </c>
      <c r="M476" t="s">
        <v>7</v>
      </c>
      <c r="N476" t="s">
        <v>7</v>
      </c>
      <c r="P476">
        <f t="shared" si="934"/>
        <v>-0.57961783439490533</v>
      </c>
      <c r="Q476">
        <f t="shared" si="935"/>
        <v>-5052490.1757961856</v>
      </c>
      <c r="R476">
        <f t="shared" si="936"/>
        <v>-214321794.02134904</v>
      </c>
      <c r="S476">
        <f t="shared" si="937"/>
        <v>-2143.2179402134902</v>
      </c>
      <c r="T476">
        <f t="shared" si="938"/>
        <v>-2.1432179402134901</v>
      </c>
    </row>
    <row r="477" spans="1:20" x14ac:dyDescent="0.25">
      <c r="A477" s="5">
        <v>44107</v>
      </c>
      <c r="B477">
        <v>0.1656</v>
      </c>
      <c r="C477">
        <v>0.1719</v>
      </c>
      <c r="D477">
        <v>0.15959999999999999</v>
      </c>
      <c r="E477">
        <v>0.1636</v>
      </c>
      <c r="F477">
        <v>8036610.6900000004</v>
      </c>
      <c r="G477">
        <v>0</v>
      </c>
      <c r="L477" t="s">
        <v>8</v>
      </c>
      <c r="M477" t="s">
        <v>7</v>
      </c>
      <c r="N477" t="s">
        <v>7</v>
      </c>
      <c r="P477">
        <f t="shared" si="934"/>
        <v>-0.34959349593495903</v>
      </c>
      <c r="Q477">
        <f t="shared" si="935"/>
        <v>-2809546.8265853636</v>
      </c>
      <c r="R477">
        <f t="shared" si="936"/>
        <v>-209269303.84555286</v>
      </c>
      <c r="S477">
        <f t="shared" si="937"/>
        <v>-2092.6930384555285</v>
      </c>
      <c r="T477">
        <f t="shared" si="938"/>
        <v>-2.0926930384555287</v>
      </c>
    </row>
    <row r="478" spans="1:20" x14ac:dyDescent="0.25">
      <c r="A478" s="5">
        <v>44106</v>
      </c>
      <c r="B478">
        <v>0.18390000000000001</v>
      </c>
      <c r="C478">
        <v>0.18770000000000001</v>
      </c>
      <c r="D478">
        <v>0.15559999999999999</v>
      </c>
      <c r="E478">
        <v>0.1653</v>
      </c>
      <c r="F478">
        <v>15066195.25</v>
      </c>
      <c r="G478">
        <v>0</v>
      </c>
      <c r="L478" t="s">
        <v>7</v>
      </c>
      <c r="M478" t="s">
        <v>7</v>
      </c>
      <c r="N478" t="s">
        <v>7</v>
      </c>
      <c r="P478">
        <f t="shared" si="934"/>
        <v>-0.39563862928348853</v>
      </c>
      <c r="Q478">
        <f t="shared" si="935"/>
        <v>-5960768.837227406</v>
      </c>
      <c r="R478">
        <f t="shared" si="936"/>
        <v>-206459757.01896751</v>
      </c>
      <c r="S478">
        <f t="shared" si="937"/>
        <v>-2064.597570189675</v>
      </c>
      <c r="T478">
        <f t="shared" si="938"/>
        <v>-2.064597570189675</v>
      </c>
    </row>
    <row r="479" spans="1:20" x14ac:dyDescent="0.25">
      <c r="A479" s="5">
        <v>44105</v>
      </c>
      <c r="B479">
        <v>0.19650000000000001</v>
      </c>
      <c r="C479">
        <v>0.2089</v>
      </c>
      <c r="D479">
        <v>0.1762</v>
      </c>
      <c r="E479">
        <v>0.1837</v>
      </c>
      <c r="F479">
        <v>13778971.310000001</v>
      </c>
      <c r="G479">
        <v>0</v>
      </c>
      <c r="L479" t="s">
        <v>7</v>
      </c>
      <c r="M479" t="s">
        <v>7</v>
      </c>
      <c r="N479" t="s">
        <v>7</v>
      </c>
      <c r="P479">
        <f t="shared" si="934"/>
        <v>-0.54128440366972441</v>
      </c>
      <c r="Q479">
        <f t="shared" si="935"/>
        <v>-7458342.2687155921</v>
      </c>
      <c r="R479">
        <f t="shared" si="936"/>
        <v>-200498988.18174011</v>
      </c>
      <c r="S479">
        <f t="shared" si="937"/>
        <v>-2004.9898818174011</v>
      </c>
      <c r="T479">
        <f t="shared" si="938"/>
        <v>-2.004989881817401</v>
      </c>
    </row>
    <row r="480" spans="1:20" x14ac:dyDescent="0.25">
      <c r="A480" s="5">
        <v>44104</v>
      </c>
      <c r="B480">
        <v>0.1973</v>
      </c>
      <c r="C480">
        <v>0.19739999999999999</v>
      </c>
      <c r="D480">
        <v>0.18</v>
      </c>
      <c r="E480">
        <v>0.19650000000000001</v>
      </c>
      <c r="F480">
        <v>9954084.5199999996</v>
      </c>
      <c r="G480">
        <v>0</v>
      </c>
      <c r="L480" t="s">
        <v>7</v>
      </c>
      <c r="M480" t="s">
        <v>7</v>
      </c>
      <c r="N480" t="s">
        <v>8</v>
      </c>
      <c r="P480">
        <f t="shared" si="934"/>
        <v>0.89655172413793283</v>
      </c>
      <c r="Q480">
        <f t="shared" si="935"/>
        <v>8924351.6386207063</v>
      </c>
      <c r="R480">
        <f t="shared" si="936"/>
        <v>-193040645.91302451</v>
      </c>
      <c r="S480">
        <f t="shared" si="937"/>
        <v>-1930.4064591302451</v>
      </c>
      <c r="T480">
        <f t="shared" si="938"/>
        <v>-1.9304064591302452</v>
      </c>
    </row>
    <row r="481" spans="1:20" x14ac:dyDescent="0.25">
      <c r="A481" s="5">
        <v>44103</v>
      </c>
      <c r="B481">
        <v>0.1966</v>
      </c>
      <c r="C481">
        <v>0.2107</v>
      </c>
      <c r="D481">
        <v>0.1862</v>
      </c>
      <c r="E481">
        <v>0.19639999999999999</v>
      </c>
      <c r="F481">
        <v>9115263.8200000003</v>
      </c>
      <c r="G481">
        <v>0</v>
      </c>
      <c r="L481" t="s">
        <v>7</v>
      </c>
      <c r="M481" t="s">
        <v>7</v>
      </c>
      <c r="N481" t="s">
        <v>8</v>
      </c>
      <c r="P481">
        <f t="shared" si="934"/>
        <v>-0.16734693877551107</v>
      </c>
      <c r="Q481">
        <f t="shared" si="935"/>
        <v>-1525411.4964081713</v>
      </c>
      <c r="R481">
        <f t="shared" si="936"/>
        <v>-201964997.55164522</v>
      </c>
      <c r="S481">
        <f t="shared" si="937"/>
        <v>-2019.6499755164523</v>
      </c>
      <c r="T481">
        <f t="shared" si="938"/>
        <v>-2.0196499755164523</v>
      </c>
    </row>
    <row r="482" spans="1:20" x14ac:dyDescent="0.25">
      <c r="A482" s="5">
        <v>44102</v>
      </c>
      <c r="B482">
        <v>0.2074</v>
      </c>
      <c r="C482">
        <v>0.2215</v>
      </c>
      <c r="D482">
        <v>0.193</v>
      </c>
      <c r="E482">
        <v>0.19700000000000001</v>
      </c>
      <c r="F482">
        <v>14700750.369999999</v>
      </c>
      <c r="G482">
        <v>0</v>
      </c>
      <c r="L482" t="s">
        <v>7</v>
      </c>
      <c r="M482" t="s">
        <v>7</v>
      </c>
      <c r="N482" t="s">
        <v>8</v>
      </c>
      <c r="P482">
        <f t="shared" si="934"/>
        <v>-0.71929824561403477</v>
      </c>
      <c r="Q482">
        <f t="shared" si="935"/>
        <v>-10574223.950350871</v>
      </c>
      <c r="R482">
        <f t="shared" si="936"/>
        <v>-200439586.05523705</v>
      </c>
      <c r="S482">
        <f t="shared" si="937"/>
        <v>-2004.3958605523706</v>
      </c>
      <c r="T482">
        <f t="shared" si="938"/>
        <v>-2.0043958605523704</v>
      </c>
    </row>
    <row r="483" spans="1:20" x14ac:dyDescent="0.25">
      <c r="A483" s="5">
        <v>44101</v>
      </c>
      <c r="B483">
        <v>0.2238</v>
      </c>
      <c r="C483">
        <v>0.2326</v>
      </c>
      <c r="D483">
        <v>0.19470000000000001</v>
      </c>
      <c r="E483">
        <v>0.2069</v>
      </c>
      <c r="F483">
        <v>17247900.59</v>
      </c>
      <c r="G483">
        <v>0</v>
      </c>
      <c r="L483" t="s">
        <v>7</v>
      </c>
      <c r="M483" t="s">
        <v>7</v>
      </c>
      <c r="N483" t="s">
        <v>8</v>
      </c>
      <c r="P483">
        <f t="shared" si="934"/>
        <v>-0.3562005277044859</v>
      </c>
      <c r="Q483">
        <f t="shared" si="935"/>
        <v>-6143711.2919525141</v>
      </c>
      <c r="R483">
        <f t="shared" si="936"/>
        <v>-189865362.10488617</v>
      </c>
      <c r="S483">
        <f t="shared" si="937"/>
        <v>-1898.6536210488619</v>
      </c>
      <c r="T483">
        <f t="shared" si="938"/>
        <v>-1.8986536210488618</v>
      </c>
    </row>
    <row r="484" spans="1:20" x14ac:dyDescent="0.25">
      <c r="A484" s="5">
        <v>44100</v>
      </c>
      <c r="B484">
        <v>0.20880000000000001</v>
      </c>
      <c r="C484">
        <v>0.24</v>
      </c>
      <c r="D484">
        <v>0.20710000000000001</v>
      </c>
      <c r="E484">
        <v>0.2238</v>
      </c>
      <c r="F484">
        <v>19475438.890000001</v>
      </c>
      <c r="G484">
        <v>0</v>
      </c>
      <c r="L484" t="s">
        <v>8</v>
      </c>
      <c r="M484" t="s">
        <v>8</v>
      </c>
      <c r="N484" t="s">
        <v>8</v>
      </c>
      <c r="P484">
        <f t="shared" si="934"/>
        <v>1.5197568389057772E-2</v>
      </c>
      <c r="Q484">
        <f t="shared" si="935"/>
        <v>295979.31443769037</v>
      </c>
      <c r="R484">
        <f t="shared" si="936"/>
        <v>-183721650.81293365</v>
      </c>
      <c r="S484">
        <f t="shared" si="937"/>
        <v>-1837.2165081293365</v>
      </c>
      <c r="T484">
        <f t="shared" si="938"/>
        <v>-1.8372165081293366</v>
      </c>
    </row>
    <row r="485" spans="1:20" x14ac:dyDescent="0.25">
      <c r="A485" s="5">
        <v>44099</v>
      </c>
      <c r="B485">
        <v>0.19939999999999999</v>
      </c>
      <c r="C485">
        <v>0.216</v>
      </c>
      <c r="D485">
        <v>0.18310000000000001</v>
      </c>
      <c r="E485">
        <v>0.20780000000000001</v>
      </c>
      <c r="F485">
        <v>19977400.91</v>
      </c>
      <c r="G485">
        <v>0</v>
      </c>
      <c r="L485" t="s">
        <v>8</v>
      </c>
      <c r="M485" t="s">
        <v>8</v>
      </c>
      <c r="N485" t="s">
        <v>7</v>
      </c>
      <c r="P485">
        <f t="shared" si="934"/>
        <v>0.50151975683890648</v>
      </c>
      <c r="Q485">
        <f t="shared" si="935"/>
        <v>10019061.24665655</v>
      </c>
      <c r="R485">
        <f t="shared" si="936"/>
        <v>-184017630.12737134</v>
      </c>
      <c r="S485">
        <f t="shared" si="937"/>
        <v>-1840.1763012737133</v>
      </c>
      <c r="T485">
        <f t="shared" si="938"/>
        <v>-1.8401763012737133</v>
      </c>
    </row>
    <row r="486" spans="1:20" x14ac:dyDescent="0.25">
      <c r="A486" s="5">
        <v>44098</v>
      </c>
      <c r="B486">
        <v>0.17560000000000001</v>
      </c>
      <c r="C486">
        <v>0.21</v>
      </c>
      <c r="D486">
        <v>0.17180000000000001</v>
      </c>
      <c r="E486">
        <v>0.1991</v>
      </c>
      <c r="F486">
        <v>21845063.68</v>
      </c>
      <c r="G486">
        <v>0</v>
      </c>
      <c r="L486" t="s">
        <v>8</v>
      </c>
      <c r="M486" t="s">
        <v>8</v>
      </c>
      <c r="N486" t="s">
        <v>7</v>
      </c>
      <c r="P486">
        <f t="shared" si="934"/>
        <v>0.42931937172774881</v>
      </c>
      <c r="Q486">
        <f t="shared" si="935"/>
        <v>9378509.0144502651</v>
      </c>
      <c r="R486">
        <f t="shared" si="936"/>
        <v>-194036691.37402788</v>
      </c>
      <c r="S486">
        <f t="shared" si="937"/>
        <v>-1940.3669137402787</v>
      </c>
      <c r="T486">
        <f t="shared" si="938"/>
        <v>-1.9403669137402788</v>
      </c>
    </row>
    <row r="487" spans="1:20" x14ac:dyDescent="0.25">
      <c r="A487" s="5">
        <v>44097</v>
      </c>
      <c r="B487">
        <v>0.2137</v>
      </c>
      <c r="C487">
        <v>0.224</v>
      </c>
      <c r="D487">
        <v>0.1711</v>
      </c>
      <c r="E487">
        <v>0.17530000000000001</v>
      </c>
      <c r="F487">
        <v>20526729.890000001</v>
      </c>
      <c r="G487">
        <v>0</v>
      </c>
      <c r="L487" t="s">
        <v>7</v>
      </c>
      <c r="M487" t="s">
        <v>7</v>
      </c>
      <c r="N487" t="s">
        <v>7</v>
      </c>
      <c r="P487">
        <f t="shared" si="934"/>
        <v>-0.84120982986767456</v>
      </c>
      <c r="Q487">
        <f t="shared" si="935"/>
        <v>-17267286.95850661</v>
      </c>
      <c r="R487">
        <f t="shared" si="936"/>
        <v>-203415200.38847813</v>
      </c>
      <c r="S487">
        <f t="shared" si="937"/>
        <v>-2034.1520038847814</v>
      </c>
      <c r="T487">
        <f t="shared" si="938"/>
        <v>-2.0341520038847816</v>
      </c>
    </row>
    <row r="488" spans="1:20" x14ac:dyDescent="0.25">
      <c r="A488" s="5">
        <v>44096</v>
      </c>
      <c r="B488">
        <v>0.21299999999999999</v>
      </c>
      <c r="C488">
        <v>0.22370000000000001</v>
      </c>
      <c r="D488">
        <v>0.19209999999999999</v>
      </c>
      <c r="E488">
        <v>0.21360000000000001</v>
      </c>
      <c r="F488">
        <v>23104556.84</v>
      </c>
      <c r="G488">
        <v>0</v>
      </c>
      <c r="L488" t="s">
        <v>7</v>
      </c>
      <c r="M488" t="s">
        <v>7</v>
      </c>
      <c r="N488" t="s">
        <v>7</v>
      </c>
      <c r="P488">
        <f t="shared" si="934"/>
        <v>0.36075949367088656</v>
      </c>
      <c r="Q488">
        <f t="shared" si="935"/>
        <v>8335188.227088619</v>
      </c>
      <c r="R488">
        <f t="shared" si="936"/>
        <v>-186147913.42997152</v>
      </c>
      <c r="S488">
        <f t="shared" si="937"/>
        <v>-1861.4791342997153</v>
      </c>
      <c r="T488">
        <f t="shared" si="938"/>
        <v>-1.8614791342997152</v>
      </c>
    </row>
    <row r="489" spans="1:20" x14ac:dyDescent="0.25">
      <c r="A489" s="5">
        <v>44095</v>
      </c>
      <c r="B489">
        <v>0.2626</v>
      </c>
      <c r="C489">
        <v>0.27160000000000001</v>
      </c>
      <c r="D489">
        <v>0.2011</v>
      </c>
      <c r="E489">
        <v>0.2122</v>
      </c>
      <c r="F489">
        <v>39014879.82</v>
      </c>
      <c r="G489">
        <v>0</v>
      </c>
      <c r="L489" t="s">
        <v>7</v>
      </c>
      <c r="M489" t="s">
        <v>7</v>
      </c>
      <c r="N489" t="s">
        <v>7</v>
      </c>
      <c r="P489">
        <f t="shared" si="934"/>
        <v>-0.6851063829787235</v>
      </c>
      <c r="Q489">
        <f t="shared" si="935"/>
        <v>-26729343.19582979</v>
      </c>
      <c r="R489">
        <f t="shared" si="936"/>
        <v>-194483101.65706015</v>
      </c>
      <c r="S489">
        <f t="shared" si="937"/>
        <v>-1944.8310165706014</v>
      </c>
      <c r="T489">
        <f t="shared" si="938"/>
        <v>-1.9448310165706013</v>
      </c>
    </row>
    <row r="490" spans="1:20" x14ac:dyDescent="0.25">
      <c r="A490" s="5">
        <v>44094</v>
      </c>
      <c r="B490">
        <v>0.308</v>
      </c>
      <c r="C490">
        <v>0.31140000000000001</v>
      </c>
      <c r="D490">
        <v>0.24010000000000001</v>
      </c>
      <c r="E490">
        <v>0.26279999999999998</v>
      </c>
      <c r="F490">
        <v>20481686.25</v>
      </c>
      <c r="G490">
        <v>0</v>
      </c>
      <c r="L490" t="s">
        <v>7</v>
      </c>
      <c r="M490" t="s">
        <v>7</v>
      </c>
      <c r="N490" t="s">
        <v>7</v>
      </c>
      <c r="P490">
        <f t="shared" si="934"/>
        <v>-0.36325385694249734</v>
      </c>
      <c r="Q490">
        <f t="shared" si="935"/>
        <v>-7440051.5269986149</v>
      </c>
      <c r="R490">
        <f t="shared" si="936"/>
        <v>-167753758.46123037</v>
      </c>
      <c r="S490">
        <f t="shared" si="937"/>
        <v>-1677.5375846123036</v>
      </c>
      <c r="T490">
        <f t="shared" si="938"/>
        <v>-1.6775375846123035</v>
      </c>
    </row>
    <row r="491" spans="1:20" x14ac:dyDescent="0.25">
      <c r="A491" s="5">
        <v>44093</v>
      </c>
      <c r="B491">
        <v>0.29070000000000001</v>
      </c>
      <c r="C491">
        <v>0.3175</v>
      </c>
      <c r="D491">
        <v>0.2636</v>
      </c>
      <c r="E491">
        <v>0.30780000000000002</v>
      </c>
      <c r="F491">
        <v>28735708.149999999</v>
      </c>
      <c r="G491">
        <v>0</v>
      </c>
      <c r="L491" t="s">
        <v>7</v>
      </c>
      <c r="M491" t="s">
        <v>7</v>
      </c>
      <c r="N491" t="s">
        <v>7</v>
      </c>
      <c r="P491">
        <f t="shared" si="934"/>
        <v>0.64007421150278343</v>
      </c>
      <c r="Q491">
        <f t="shared" si="935"/>
        <v>18392985.736085355</v>
      </c>
      <c r="R491">
        <f t="shared" si="936"/>
        <v>-160313706.93423176</v>
      </c>
      <c r="S491">
        <f t="shared" si="937"/>
        <v>-1603.1370693423175</v>
      </c>
      <c r="T491">
        <f t="shared" si="938"/>
        <v>-1.6031370693423175</v>
      </c>
    </row>
    <row r="492" spans="1:20" x14ac:dyDescent="0.25">
      <c r="A492" s="5">
        <v>44092</v>
      </c>
      <c r="B492">
        <v>0.27960000000000002</v>
      </c>
      <c r="C492">
        <v>0.34350000000000003</v>
      </c>
      <c r="D492">
        <v>0.2757</v>
      </c>
      <c r="E492">
        <v>0.2908</v>
      </c>
      <c r="F492">
        <v>38839540.310000002</v>
      </c>
      <c r="G492">
        <v>0</v>
      </c>
      <c r="L492" t="s">
        <v>8</v>
      </c>
      <c r="M492" t="s">
        <v>8</v>
      </c>
      <c r="N492" t="s">
        <v>7</v>
      </c>
      <c r="P492">
        <f t="shared" si="934"/>
        <v>-0.55457227138643084</v>
      </c>
      <c r="Q492">
        <f t="shared" si="935"/>
        <v>-21539332.089321543</v>
      </c>
      <c r="R492">
        <f t="shared" si="936"/>
        <v>-178706692.67031711</v>
      </c>
      <c r="S492">
        <f t="shared" si="937"/>
        <v>-1787.066926703171</v>
      </c>
      <c r="T492">
        <f t="shared" si="938"/>
        <v>-1.7870669267031709</v>
      </c>
    </row>
    <row r="493" spans="1:20" x14ac:dyDescent="0.25">
      <c r="A493" s="5">
        <v>44091</v>
      </c>
      <c r="B493">
        <v>0.2727</v>
      </c>
      <c r="C493">
        <v>0.30620000000000003</v>
      </c>
      <c r="D493">
        <v>0.2505</v>
      </c>
      <c r="E493">
        <v>0.27960000000000002</v>
      </c>
      <c r="F493">
        <v>22891261.489999998</v>
      </c>
      <c r="G493">
        <v>0</v>
      </c>
      <c r="L493" t="s">
        <v>8</v>
      </c>
      <c r="M493" t="s">
        <v>8</v>
      </c>
      <c r="N493" t="s">
        <v>7</v>
      </c>
      <c r="P493">
        <f t="shared" si="934"/>
        <v>4.488330341113108E-2</v>
      </c>
      <c r="Q493">
        <f t="shared" si="935"/>
        <v>1027435.4349192105</v>
      </c>
      <c r="R493">
        <f t="shared" si="936"/>
        <v>-157167360.58099556</v>
      </c>
      <c r="S493">
        <f t="shared" si="937"/>
        <v>-1571.6736058099557</v>
      </c>
      <c r="T493">
        <f t="shared" si="938"/>
        <v>-1.5716736058099556</v>
      </c>
    </row>
    <row r="494" spans="1:20" x14ac:dyDescent="0.25">
      <c r="A494" s="5">
        <v>44090</v>
      </c>
      <c r="B494">
        <v>0.33189999999999997</v>
      </c>
      <c r="C494">
        <v>0.33260000000000001</v>
      </c>
      <c r="D494">
        <v>0.25419999999999998</v>
      </c>
      <c r="E494">
        <v>0.27339999999999998</v>
      </c>
      <c r="F494">
        <v>39807232.68</v>
      </c>
      <c r="G494">
        <v>0</v>
      </c>
      <c r="L494" t="s">
        <v>7</v>
      </c>
      <c r="M494" t="s">
        <v>7</v>
      </c>
      <c r="N494" t="s">
        <v>7</v>
      </c>
      <c r="P494">
        <f t="shared" si="934"/>
        <v>-0.51020408163265341</v>
      </c>
      <c r="Q494">
        <f t="shared" si="935"/>
        <v>-20309812.591836747</v>
      </c>
      <c r="R494">
        <f t="shared" si="936"/>
        <v>-158194796.01591477</v>
      </c>
      <c r="S494">
        <f t="shared" si="937"/>
        <v>-1581.9479601591477</v>
      </c>
      <c r="T494">
        <f t="shared" si="938"/>
        <v>-1.5819479601591477</v>
      </c>
    </row>
    <row r="495" spans="1:20" x14ac:dyDescent="0.25">
      <c r="A495" s="5">
        <v>44089</v>
      </c>
      <c r="B495">
        <v>0.43070000000000003</v>
      </c>
      <c r="C495">
        <v>0.44650000000000001</v>
      </c>
      <c r="D495">
        <v>0.32040000000000002</v>
      </c>
      <c r="E495">
        <v>0.33179999999999998</v>
      </c>
      <c r="F495">
        <v>50730801.390000001</v>
      </c>
      <c r="G495">
        <v>0</v>
      </c>
      <c r="L495" t="s">
        <v>7</v>
      </c>
      <c r="M495" t="s">
        <v>7</v>
      </c>
      <c r="N495" t="s">
        <v>7</v>
      </c>
      <c r="P495">
        <f t="shared" si="934"/>
        <v>-0.81919111816019086</v>
      </c>
      <c r="Q495">
        <f t="shared" si="935"/>
        <v>-41558221.915836662</v>
      </c>
      <c r="R495">
        <f t="shared" si="936"/>
        <v>-137884983.42407802</v>
      </c>
      <c r="S495">
        <f t="shared" si="937"/>
        <v>-1378.8498342407802</v>
      </c>
      <c r="T495">
        <f t="shared" si="938"/>
        <v>-1.3788498342407802</v>
      </c>
    </row>
    <row r="496" spans="1:20" x14ac:dyDescent="0.25">
      <c r="A496" s="5">
        <v>44088</v>
      </c>
      <c r="B496">
        <v>0.46510000000000001</v>
      </c>
      <c r="C496">
        <v>0.53180000000000005</v>
      </c>
      <c r="D496">
        <v>0.41499999999999998</v>
      </c>
      <c r="E496">
        <v>0.43070000000000003</v>
      </c>
      <c r="F496">
        <v>69085166.959999993</v>
      </c>
      <c r="G496">
        <v>0</v>
      </c>
      <c r="L496" t="s">
        <v>8</v>
      </c>
      <c r="M496" t="s">
        <v>8</v>
      </c>
      <c r="N496" t="s">
        <v>7</v>
      </c>
      <c r="P496">
        <f t="shared" si="934"/>
        <v>-0.73116438356164315</v>
      </c>
      <c r="Q496">
        <f t="shared" si="935"/>
        <v>-50512613.513561592</v>
      </c>
      <c r="R496">
        <f t="shared" si="936"/>
        <v>-96326761.508241355</v>
      </c>
      <c r="S496">
        <f t="shared" si="937"/>
        <v>-963.2676150824135</v>
      </c>
      <c r="T496">
        <f t="shared" si="938"/>
        <v>-0.96326761508241354</v>
      </c>
    </row>
    <row r="497" spans="1:20" x14ac:dyDescent="0.25">
      <c r="A497" s="5">
        <v>44087</v>
      </c>
      <c r="B497">
        <v>0.67510000000000003</v>
      </c>
      <c r="C497">
        <v>0.69499999999999995</v>
      </c>
      <c r="D497">
        <v>0.40289999999999998</v>
      </c>
      <c r="E497">
        <v>0.4652</v>
      </c>
      <c r="F497">
        <v>55882567.530000001</v>
      </c>
      <c r="G497">
        <v>0</v>
      </c>
      <c r="L497" t="s">
        <v>7</v>
      </c>
      <c r="M497" t="s">
        <v>7</v>
      </c>
      <c r="N497" t="s">
        <v>7</v>
      </c>
      <c r="P497">
        <f t="shared" si="934"/>
        <v>-0.57343375556316312</v>
      </c>
      <c r="Q497">
        <f t="shared" si="935"/>
        <v>-32044950.569239978</v>
      </c>
      <c r="R497">
        <f t="shared" si="936"/>
        <v>-45814147.994679756</v>
      </c>
      <c r="S497">
        <f t="shared" si="937"/>
        <v>-458.14147994679757</v>
      </c>
      <c r="T497">
        <f t="shared" si="938"/>
        <v>-0.45814147994679755</v>
      </c>
    </row>
    <row r="498" spans="1:20" x14ac:dyDescent="0.25">
      <c r="A498" s="5">
        <v>44086</v>
      </c>
      <c r="B498">
        <v>0.61770000000000003</v>
      </c>
      <c r="C498">
        <v>0.68940000000000001</v>
      </c>
      <c r="D498">
        <v>0.56230000000000002</v>
      </c>
      <c r="E498">
        <v>0.67589999999999995</v>
      </c>
      <c r="F498">
        <v>9864916.5800000001</v>
      </c>
      <c r="G498">
        <v>0</v>
      </c>
      <c r="L498" t="s">
        <v>8</v>
      </c>
      <c r="M498" t="s">
        <v>8</v>
      </c>
      <c r="N498" t="s">
        <v>7</v>
      </c>
      <c r="P498">
        <f t="shared" si="934"/>
        <v>0.7875688434303687</v>
      </c>
      <c r="Q498">
        <f t="shared" si="935"/>
        <v>7769300.9414476687</v>
      </c>
      <c r="R498">
        <f t="shared" si="936"/>
        <v>-13769197.425439779</v>
      </c>
      <c r="S498">
        <f t="shared" si="937"/>
        <v>-137.69197425439779</v>
      </c>
      <c r="T498">
        <f t="shared" si="938"/>
        <v>-0.1376919742543978</v>
      </c>
    </row>
    <row r="499" spans="1:20" x14ac:dyDescent="0.25">
      <c r="A499" s="5">
        <v>44085</v>
      </c>
      <c r="B499">
        <v>0.61470000000000002</v>
      </c>
      <c r="C499">
        <v>0.64</v>
      </c>
      <c r="D499">
        <v>0.51629999999999998</v>
      </c>
      <c r="E499">
        <v>0.61819999999999997</v>
      </c>
      <c r="F499">
        <v>13753230.359999999</v>
      </c>
      <c r="G499">
        <v>0</v>
      </c>
      <c r="L499" t="s">
        <v>7</v>
      </c>
      <c r="M499" t="s">
        <v>7</v>
      </c>
      <c r="N499" t="s">
        <v>7</v>
      </c>
      <c r="P499">
        <f t="shared" si="934"/>
        <v>0.64753435731608677</v>
      </c>
      <c r="Q499">
        <f t="shared" si="935"/>
        <v>8905689.182182692</v>
      </c>
      <c r="R499">
        <f t="shared" si="936"/>
        <v>-21538498.366887446</v>
      </c>
      <c r="S499">
        <f t="shared" si="937"/>
        <v>-215.38498366887447</v>
      </c>
      <c r="T499">
        <f t="shared" si="938"/>
        <v>-0.21538498366887446</v>
      </c>
    </row>
    <row r="500" spans="1:20" x14ac:dyDescent="0.25">
      <c r="A500" s="5">
        <v>44084</v>
      </c>
      <c r="B500">
        <v>0.64080000000000004</v>
      </c>
      <c r="C500">
        <v>0.76019999999999999</v>
      </c>
      <c r="D500">
        <v>0.60370000000000001</v>
      </c>
      <c r="E500">
        <v>0.61539999999999995</v>
      </c>
      <c r="F500">
        <v>14026969.41</v>
      </c>
      <c r="G500">
        <v>0</v>
      </c>
      <c r="L500" t="s">
        <v>8</v>
      </c>
      <c r="M500" t="s">
        <v>8</v>
      </c>
      <c r="N500" t="s">
        <v>8</v>
      </c>
      <c r="P500">
        <f t="shared" si="934"/>
        <v>-0.85047923322683794</v>
      </c>
      <c r="Q500">
        <f t="shared" si="935"/>
        <v>-11929646.188313112</v>
      </c>
      <c r="R500">
        <f t="shared" si="936"/>
        <v>-30444187.549070138</v>
      </c>
      <c r="S500">
        <f t="shared" si="937"/>
        <v>-304.44187549070136</v>
      </c>
      <c r="T500">
        <f t="shared" si="938"/>
        <v>-0.30444187549070134</v>
      </c>
    </row>
    <row r="501" spans="1:20" x14ac:dyDescent="0.25">
      <c r="A501" s="5">
        <v>44083</v>
      </c>
      <c r="B501">
        <v>0.51839999999999997</v>
      </c>
      <c r="C501">
        <v>0.69499999999999995</v>
      </c>
      <c r="D501">
        <v>0.51490000000000002</v>
      </c>
      <c r="E501">
        <v>0.6401</v>
      </c>
      <c r="F501">
        <v>21737146.18</v>
      </c>
      <c r="G501">
        <v>0</v>
      </c>
      <c r="L501" t="s">
        <v>8</v>
      </c>
      <c r="M501" t="s">
        <v>8</v>
      </c>
      <c r="N501" t="s">
        <v>8</v>
      </c>
      <c r="P501">
        <f t="shared" si="934"/>
        <v>0.39033870072182153</v>
      </c>
      <c r="Q501">
        <f t="shared" si="935"/>
        <v>8484849.3973015063</v>
      </c>
      <c r="R501">
        <f t="shared" si="936"/>
        <v>-18514541.360757027</v>
      </c>
      <c r="S501">
        <f t="shared" si="937"/>
        <v>-185.14541360757028</v>
      </c>
      <c r="T501">
        <f t="shared" si="938"/>
        <v>-0.18514541360757028</v>
      </c>
    </row>
    <row r="502" spans="1:20" x14ac:dyDescent="0.25">
      <c r="A502" s="5">
        <v>44082</v>
      </c>
      <c r="B502">
        <v>0.55549999999999999</v>
      </c>
      <c r="C502">
        <v>0.56379999999999997</v>
      </c>
      <c r="D502">
        <v>0.47499999999999998</v>
      </c>
      <c r="E502">
        <v>0.51990000000000003</v>
      </c>
      <c r="F502">
        <v>13050612.76</v>
      </c>
      <c r="G502">
        <v>0</v>
      </c>
      <c r="L502" t="s">
        <v>8</v>
      </c>
      <c r="M502" t="s">
        <v>8</v>
      </c>
      <c r="N502" t="s">
        <v>7</v>
      </c>
      <c r="P502">
        <f t="shared" si="934"/>
        <v>1.1261261261262524E-2</v>
      </c>
      <c r="Q502">
        <f t="shared" si="935"/>
        <v>146966.3599099264</v>
      </c>
      <c r="R502">
        <f t="shared" si="936"/>
        <v>-26999390.758058533</v>
      </c>
      <c r="S502">
        <f t="shared" si="937"/>
        <v>-269.99390758058536</v>
      </c>
      <c r="T502">
        <f t="shared" si="938"/>
        <v>-0.26999390758058534</v>
      </c>
    </row>
    <row r="503" spans="1:20" x14ac:dyDescent="0.25">
      <c r="A503" s="5">
        <v>44081</v>
      </c>
      <c r="B503">
        <v>0.62039999999999995</v>
      </c>
      <c r="C503">
        <v>0.63900000000000001</v>
      </c>
      <c r="D503">
        <v>0.44800000000000001</v>
      </c>
      <c r="E503">
        <v>0.55640000000000001</v>
      </c>
      <c r="F503">
        <v>12934859.92</v>
      </c>
      <c r="G503">
        <v>0</v>
      </c>
      <c r="L503" t="s">
        <v>7</v>
      </c>
      <c r="M503" t="s">
        <v>7</v>
      </c>
      <c r="N503" t="s">
        <v>7</v>
      </c>
      <c r="P503">
        <f t="shared" si="934"/>
        <v>0.13507853403141357</v>
      </c>
      <c r="Q503">
        <f t="shared" si="935"/>
        <v>1747221.9158952874</v>
      </c>
      <c r="R503">
        <f t="shared" si="936"/>
        <v>-27146357.117968459</v>
      </c>
      <c r="S503">
        <f t="shared" si="937"/>
        <v>-271.46357117968461</v>
      </c>
      <c r="T503">
        <f t="shared" si="938"/>
        <v>-0.27146357117968462</v>
      </c>
    </row>
    <row r="504" spans="1:20" x14ac:dyDescent="0.25">
      <c r="A504" s="5">
        <v>44080</v>
      </c>
      <c r="B504">
        <v>0.46829999999999999</v>
      </c>
      <c r="C504">
        <v>0.63919999999999999</v>
      </c>
      <c r="D504">
        <v>0.44290000000000002</v>
      </c>
      <c r="E504">
        <v>0.62129999999999996</v>
      </c>
      <c r="F504">
        <v>13463761.619999999</v>
      </c>
      <c r="G504">
        <v>0</v>
      </c>
      <c r="L504" t="s">
        <v>8</v>
      </c>
      <c r="M504" t="s">
        <v>8</v>
      </c>
      <c r="N504" t="s">
        <v>8</v>
      </c>
      <c r="P504">
        <f t="shared" si="934"/>
        <v>0.81762608252674451</v>
      </c>
      <c r="Q504">
        <f t="shared" si="935"/>
        <v>11008322.669434534</v>
      </c>
      <c r="R504">
        <f t="shared" si="936"/>
        <v>-28893579.033863746</v>
      </c>
      <c r="S504">
        <f t="shared" si="937"/>
        <v>-288.93579033863745</v>
      </c>
      <c r="T504">
        <f t="shared" si="938"/>
        <v>-0.28893579033863742</v>
      </c>
    </row>
    <row r="505" spans="1:20" x14ac:dyDescent="0.25">
      <c r="A505" s="5">
        <v>44079</v>
      </c>
      <c r="B505">
        <v>0.7</v>
      </c>
      <c r="C505">
        <v>0.8</v>
      </c>
      <c r="D505">
        <v>0.37430000000000002</v>
      </c>
      <c r="E505">
        <v>0.46789999999999998</v>
      </c>
      <c r="F505">
        <v>15474938.439999999</v>
      </c>
      <c r="G505">
        <v>0</v>
      </c>
      <c r="L505" t="s">
        <v>7</v>
      </c>
      <c r="M505" t="s">
        <v>7</v>
      </c>
      <c r="N505" t="s">
        <v>7</v>
      </c>
      <c r="P505">
        <f t="shared" si="934"/>
        <v>-0.56025369978858375</v>
      </c>
      <c r="Q505">
        <f t="shared" si="935"/>
        <v>-8669891.5150105748</v>
      </c>
      <c r="R505">
        <f t="shared" si="936"/>
        <v>-39901901.703298278</v>
      </c>
      <c r="S505">
        <f t="shared" si="937"/>
        <v>-399.01901703298279</v>
      </c>
      <c r="T505">
        <f t="shared" si="938"/>
        <v>-0.39901901703298281</v>
      </c>
    </row>
    <row r="506" spans="1:20" x14ac:dyDescent="0.25">
      <c r="A506" s="5">
        <v>44078</v>
      </c>
      <c r="B506">
        <v>0.72460000000000002</v>
      </c>
      <c r="C506">
        <v>0.79979999999999996</v>
      </c>
      <c r="D506">
        <v>0.61519999999999997</v>
      </c>
      <c r="E506">
        <v>0.7</v>
      </c>
      <c r="F506">
        <v>6644140.0599999996</v>
      </c>
      <c r="G506">
        <v>0</v>
      </c>
      <c r="L506" t="s">
        <v>7</v>
      </c>
      <c r="M506" t="s">
        <v>7</v>
      </c>
      <c r="N506" t="s">
        <v>7</v>
      </c>
      <c r="P506">
        <f t="shared" si="934"/>
        <v>-8.1256771397616542E-2</v>
      </c>
      <c r="Q506">
        <f t="shared" si="935"/>
        <v>-539881.36998916627</v>
      </c>
      <c r="R506">
        <f t="shared" si="936"/>
        <v>-31232010.188287701</v>
      </c>
      <c r="S506">
        <f t="shared" si="937"/>
        <v>-312.320101882877</v>
      </c>
      <c r="T506">
        <f t="shared" si="938"/>
        <v>-0.31232010188287701</v>
      </c>
    </row>
    <row r="507" spans="1:20" x14ac:dyDescent="0.25">
      <c r="A507" s="5">
        <v>44077</v>
      </c>
      <c r="B507">
        <v>0.93600000000000005</v>
      </c>
      <c r="C507">
        <v>1.1200000000000001</v>
      </c>
      <c r="D507">
        <v>0.69140000000000001</v>
      </c>
      <c r="E507">
        <v>0.72419999999999995</v>
      </c>
      <c r="F507">
        <v>11987737.32</v>
      </c>
      <c r="G507">
        <v>0</v>
      </c>
      <c r="L507" t="s">
        <v>7</v>
      </c>
      <c r="M507" t="s">
        <v>7</v>
      </c>
      <c r="N507" t="s">
        <v>7</v>
      </c>
      <c r="P507">
        <f t="shared" si="934"/>
        <v>-0.84694353709752712</v>
      </c>
      <c r="Q507">
        <f t="shared" si="935"/>
        <v>-10152936.647596831</v>
      </c>
      <c r="R507">
        <f t="shared" si="936"/>
        <v>-30692128.818298534</v>
      </c>
      <c r="S507">
        <f t="shared" si="937"/>
        <v>-306.92128818298534</v>
      </c>
      <c r="T507">
        <f t="shared" si="938"/>
        <v>-0.30692128818298536</v>
      </c>
    </row>
    <row r="508" spans="1:20" x14ac:dyDescent="0.25">
      <c r="A508" s="5">
        <v>44076</v>
      </c>
      <c r="B508">
        <v>1.05</v>
      </c>
      <c r="C508">
        <v>1.18</v>
      </c>
      <c r="D508">
        <v>0.9</v>
      </c>
      <c r="E508">
        <v>0.93659999999999999</v>
      </c>
      <c r="F508">
        <v>9612404.4800000004</v>
      </c>
      <c r="G508">
        <v>0</v>
      </c>
      <c r="L508" t="s">
        <v>7</v>
      </c>
      <c r="M508" t="s">
        <v>7</v>
      </c>
      <c r="N508" t="s">
        <v>7</v>
      </c>
      <c r="P508">
        <f t="shared" si="934"/>
        <v>-0.73857142857142877</v>
      </c>
      <c r="Q508">
        <f t="shared" si="935"/>
        <v>-7099447.3088000026</v>
      </c>
      <c r="R508">
        <f t="shared" si="936"/>
        <v>-20539192.170701701</v>
      </c>
      <c r="S508">
        <f t="shared" si="937"/>
        <v>-205.39192170701702</v>
      </c>
      <c r="T508">
        <f t="shared" si="938"/>
        <v>-0.20539192170701701</v>
      </c>
    </row>
    <row r="509" spans="1:20" x14ac:dyDescent="0.25">
      <c r="A509" s="5">
        <v>44075</v>
      </c>
      <c r="B509">
        <v>1.2735000000000001</v>
      </c>
      <c r="C509">
        <v>1.55</v>
      </c>
      <c r="D509">
        <v>1.01</v>
      </c>
      <c r="E509">
        <v>1.0434000000000001</v>
      </c>
      <c r="F509">
        <v>13002733.460000001</v>
      </c>
      <c r="G509">
        <v>0</v>
      </c>
      <c r="L509" t="s">
        <v>8</v>
      </c>
      <c r="M509" t="s">
        <v>8</v>
      </c>
      <c r="N509" t="s">
        <v>8</v>
      </c>
      <c r="P509">
        <f t="shared" ref="P509:P572" si="939">IF(C509=D509,0,((E509-D509)-(C509-E509))/(C509-D509))</f>
        <v>-0.87629629629629591</v>
      </c>
      <c r="Q509">
        <f t="shared" ref="Q509:Q572" si="940">F509*P509</f>
        <v>-11394247.172725921</v>
      </c>
      <c r="R509">
        <f t="shared" ref="R509:R572" si="941">R510+Q509</f>
        <v>-13439744.861901699</v>
      </c>
      <c r="S509">
        <f t="shared" ref="S509:S572" si="942">R509/100000</f>
        <v>-134.39744861901698</v>
      </c>
      <c r="T509">
        <f t="shared" ref="T509:T572" si="943">S509/1000</f>
        <v>-0.13439744861901698</v>
      </c>
    </row>
    <row r="510" spans="1:20" x14ac:dyDescent="0.25">
      <c r="A510" s="5">
        <v>44074</v>
      </c>
      <c r="B510">
        <v>0.93149999999999999</v>
      </c>
      <c r="C510">
        <v>1.7456</v>
      </c>
      <c r="D510">
        <v>0.93149999999999999</v>
      </c>
      <c r="E510">
        <v>1.2679</v>
      </c>
      <c r="F510">
        <v>11785135.66</v>
      </c>
      <c r="G510">
        <v>0</v>
      </c>
      <c r="P510">
        <f t="shared" si="939"/>
        <v>-0.17356590099496372</v>
      </c>
      <c r="Q510">
        <f t="shared" si="940"/>
        <v>-2045497.6891757764</v>
      </c>
      <c r="R510">
        <f t="shared" si="941"/>
        <v>-2045497.6891757764</v>
      </c>
      <c r="S510">
        <f t="shared" si="942"/>
        <v>-20.454976891757763</v>
      </c>
      <c r="T510">
        <f t="shared" si="943"/>
        <v>-2.0454976891757765E-2</v>
      </c>
    </row>
    <row r="511" spans="1:20" x14ac:dyDescent="0.25">
      <c r="A511" s="5"/>
      <c r="C511"/>
      <c r="D511"/>
      <c r="P511">
        <f t="shared" si="939"/>
        <v>0</v>
      </c>
      <c r="Q511">
        <f t="shared" si="940"/>
        <v>0</v>
      </c>
      <c r="R511">
        <f t="shared" si="941"/>
        <v>0</v>
      </c>
      <c r="S511">
        <f t="shared" si="942"/>
        <v>0</v>
      </c>
      <c r="T511">
        <f t="shared" si="943"/>
        <v>0</v>
      </c>
    </row>
    <row r="512" spans="1:20" x14ac:dyDescent="0.25">
      <c r="A512" s="5"/>
      <c r="C512"/>
      <c r="D512"/>
      <c r="P512">
        <f t="shared" si="939"/>
        <v>0</v>
      </c>
      <c r="Q512">
        <f t="shared" si="940"/>
        <v>0</v>
      </c>
      <c r="R512">
        <f t="shared" si="941"/>
        <v>0</v>
      </c>
      <c r="S512">
        <f t="shared" si="942"/>
        <v>0</v>
      </c>
      <c r="T512">
        <f t="shared" si="943"/>
        <v>0</v>
      </c>
    </row>
    <row r="513" spans="1:20" x14ac:dyDescent="0.25">
      <c r="A513" s="5"/>
      <c r="C513"/>
      <c r="D513"/>
      <c r="P513">
        <f t="shared" si="939"/>
        <v>0</v>
      </c>
      <c r="Q513">
        <f t="shared" si="940"/>
        <v>0</v>
      </c>
      <c r="R513">
        <f t="shared" si="941"/>
        <v>0</v>
      </c>
      <c r="S513">
        <f t="shared" si="942"/>
        <v>0</v>
      </c>
      <c r="T513">
        <f t="shared" si="943"/>
        <v>0</v>
      </c>
    </row>
    <row r="514" spans="1:20" x14ac:dyDescent="0.25">
      <c r="A514" s="5"/>
      <c r="C514"/>
      <c r="D514"/>
      <c r="P514">
        <f t="shared" si="939"/>
        <v>0</v>
      </c>
      <c r="Q514">
        <f t="shared" si="940"/>
        <v>0</v>
      </c>
      <c r="R514">
        <f t="shared" si="941"/>
        <v>0</v>
      </c>
      <c r="S514">
        <f t="shared" si="942"/>
        <v>0</v>
      </c>
      <c r="T514">
        <f t="shared" si="943"/>
        <v>0</v>
      </c>
    </row>
    <row r="515" spans="1:20" x14ac:dyDescent="0.25">
      <c r="A515" s="5"/>
      <c r="C515"/>
      <c r="D515"/>
      <c r="P515">
        <f t="shared" si="939"/>
        <v>0</v>
      </c>
      <c r="Q515">
        <f t="shared" si="940"/>
        <v>0</v>
      </c>
      <c r="R515">
        <f t="shared" si="941"/>
        <v>0</v>
      </c>
      <c r="S515">
        <f t="shared" si="942"/>
        <v>0</v>
      </c>
      <c r="T515">
        <f t="shared" si="943"/>
        <v>0</v>
      </c>
    </row>
    <row r="516" spans="1:20" x14ac:dyDescent="0.25">
      <c r="A516" s="5"/>
      <c r="C516"/>
      <c r="D516"/>
      <c r="P516">
        <f t="shared" si="939"/>
        <v>0</v>
      </c>
      <c r="Q516">
        <f t="shared" si="940"/>
        <v>0</v>
      </c>
      <c r="R516">
        <f t="shared" si="941"/>
        <v>0</v>
      </c>
      <c r="S516">
        <f t="shared" si="942"/>
        <v>0</v>
      </c>
      <c r="T516">
        <f t="shared" si="943"/>
        <v>0</v>
      </c>
    </row>
    <row r="517" spans="1:20" x14ac:dyDescent="0.25">
      <c r="A517" s="5"/>
      <c r="C517"/>
      <c r="D517"/>
      <c r="P517">
        <f t="shared" si="939"/>
        <v>0</v>
      </c>
      <c r="Q517">
        <f t="shared" si="940"/>
        <v>0</v>
      </c>
      <c r="R517">
        <f t="shared" si="941"/>
        <v>0</v>
      </c>
      <c r="S517">
        <f t="shared" si="942"/>
        <v>0</v>
      </c>
      <c r="T517">
        <f t="shared" si="943"/>
        <v>0</v>
      </c>
    </row>
    <row r="518" spans="1:20" x14ac:dyDescent="0.25">
      <c r="A518" s="5"/>
      <c r="C518"/>
      <c r="D518"/>
      <c r="P518">
        <f t="shared" si="939"/>
        <v>0</v>
      </c>
      <c r="Q518">
        <f t="shared" si="940"/>
        <v>0</v>
      </c>
      <c r="R518">
        <f t="shared" si="941"/>
        <v>0</v>
      </c>
      <c r="S518">
        <f t="shared" si="942"/>
        <v>0</v>
      </c>
      <c r="T518">
        <f t="shared" si="943"/>
        <v>0</v>
      </c>
    </row>
    <row r="519" spans="1:20" x14ac:dyDescent="0.25">
      <c r="A519" s="5"/>
      <c r="C519"/>
      <c r="D519"/>
      <c r="P519">
        <f t="shared" si="939"/>
        <v>0</v>
      </c>
      <c r="Q519">
        <f t="shared" si="940"/>
        <v>0</v>
      </c>
      <c r="R519">
        <f t="shared" si="941"/>
        <v>0</v>
      </c>
      <c r="S519">
        <f t="shared" si="942"/>
        <v>0</v>
      </c>
      <c r="T519">
        <f t="shared" si="943"/>
        <v>0</v>
      </c>
    </row>
    <row r="520" spans="1:20" x14ac:dyDescent="0.25">
      <c r="A520" s="5"/>
      <c r="C520"/>
      <c r="D520"/>
      <c r="P520">
        <f t="shared" si="939"/>
        <v>0</v>
      </c>
      <c r="Q520">
        <f t="shared" si="940"/>
        <v>0</v>
      </c>
      <c r="R520">
        <f t="shared" si="941"/>
        <v>0</v>
      </c>
      <c r="S520">
        <f t="shared" si="942"/>
        <v>0</v>
      </c>
      <c r="T520">
        <f t="shared" si="943"/>
        <v>0</v>
      </c>
    </row>
    <row r="521" spans="1:20" x14ac:dyDescent="0.25">
      <c r="A521" s="5"/>
      <c r="C521"/>
      <c r="D521"/>
      <c r="P521">
        <f t="shared" si="939"/>
        <v>0</v>
      </c>
      <c r="Q521">
        <f t="shared" si="940"/>
        <v>0</v>
      </c>
      <c r="R521">
        <f t="shared" si="941"/>
        <v>0</v>
      </c>
      <c r="S521">
        <f t="shared" si="942"/>
        <v>0</v>
      </c>
      <c r="T521">
        <f t="shared" si="943"/>
        <v>0</v>
      </c>
    </row>
    <row r="522" spans="1:20" x14ac:dyDescent="0.25">
      <c r="A522" s="5"/>
      <c r="C522"/>
      <c r="D522"/>
      <c r="P522">
        <f t="shared" si="939"/>
        <v>0</v>
      </c>
      <c r="Q522">
        <f t="shared" si="940"/>
        <v>0</v>
      </c>
      <c r="R522">
        <f t="shared" si="941"/>
        <v>0</v>
      </c>
      <c r="S522">
        <f t="shared" si="942"/>
        <v>0</v>
      </c>
      <c r="T522">
        <f t="shared" si="943"/>
        <v>0</v>
      </c>
    </row>
    <row r="523" spans="1:20" x14ac:dyDescent="0.25">
      <c r="A523" s="5"/>
      <c r="C523"/>
      <c r="D523"/>
      <c r="P523">
        <f t="shared" si="939"/>
        <v>0</v>
      </c>
      <c r="Q523">
        <f t="shared" si="940"/>
        <v>0</v>
      </c>
      <c r="R523">
        <f t="shared" si="941"/>
        <v>0</v>
      </c>
      <c r="S523">
        <f t="shared" si="942"/>
        <v>0</v>
      </c>
      <c r="T523">
        <f t="shared" si="943"/>
        <v>0</v>
      </c>
    </row>
    <row r="524" spans="1:20" x14ac:dyDescent="0.25">
      <c r="A524" s="5"/>
      <c r="C524"/>
      <c r="D524"/>
      <c r="P524">
        <f t="shared" si="939"/>
        <v>0</v>
      </c>
      <c r="Q524">
        <f t="shared" si="940"/>
        <v>0</v>
      </c>
      <c r="R524">
        <f t="shared" si="941"/>
        <v>0</v>
      </c>
      <c r="S524">
        <f t="shared" si="942"/>
        <v>0</v>
      </c>
      <c r="T524">
        <f t="shared" si="943"/>
        <v>0</v>
      </c>
    </row>
    <row r="525" spans="1:20" x14ac:dyDescent="0.25">
      <c r="A525" s="5"/>
      <c r="C525"/>
      <c r="D525"/>
      <c r="P525">
        <f t="shared" si="939"/>
        <v>0</v>
      </c>
      <c r="Q525">
        <f t="shared" si="940"/>
        <v>0</v>
      </c>
      <c r="R525">
        <f t="shared" si="941"/>
        <v>0</v>
      </c>
      <c r="S525">
        <f t="shared" si="942"/>
        <v>0</v>
      </c>
      <c r="T525">
        <f t="shared" si="943"/>
        <v>0</v>
      </c>
    </row>
    <row r="526" spans="1:20" x14ac:dyDescent="0.25">
      <c r="A526" s="5"/>
      <c r="C526"/>
      <c r="D526"/>
      <c r="P526">
        <f t="shared" si="939"/>
        <v>0</v>
      </c>
      <c r="Q526">
        <f t="shared" si="940"/>
        <v>0</v>
      </c>
      <c r="R526">
        <f t="shared" si="941"/>
        <v>0</v>
      </c>
      <c r="S526">
        <f t="shared" si="942"/>
        <v>0</v>
      </c>
      <c r="T526">
        <f t="shared" si="943"/>
        <v>0</v>
      </c>
    </row>
    <row r="527" spans="1:20" x14ac:dyDescent="0.25">
      <c r="A527" s="5"/>
      <c r="C527"/>
      <c r="D527"/>
      <c r="P527">
        <f t="shared" si="939"/>
        <v>0</v>
      </c>
      <c r="Q527">
        <f t="shared" si="940"/>
        <v>0</v>
      </c>
      <c r="R527">
        <f t="shared" si="941"/>
        <v>0</v>
      </c>
      <c r="S527">
        <f t="shared" si="942"/>
        <v>0</v>
      </c>
      <c r="T527">
        <f t="shared" si="943"/>
        <v>0</v>
      </c>
    </row>
    <row r="528" spans="1:20" x14ac:dyDescent="0.25">
      <c r="A528" s="5"/>
      <c r="C528"/>
      <c r="D528"/>
      <c r="P528">
        <f t="shared" si="939"/>
        <v>0</v>
      </c>
      <c r="Q528">
        <f t="shared" si="940"/>
        <v>0</v>
      </c>
      <c r="R528">
        <f t="shared" si="941"/>
        <v>0</v>
      </c>
      <c r="S528">
        <f t="shared" si="942"/>
        <v>0</v>
      </c>
      <c r="T528">
        <f t="shared" si="943"/>
        <v>0</v>
      </c>
    </row>
    <row r="529" spans="1:20" x14ac:dyDescent="0.25">
      <c r="A529" s="5"/>
      <c r="C529"/>
      <c r="D529"/>
      <c r="P529">
        <f t="shared" si="939"/>
        <v>0</v>
      </c>
      <c r="Q529">
        <f t="shared" si="940"/>
        <v>0</v>
      </c>
      <c r="R529">
        <f t="shared" si="941"/>
        <v>0</v>
      </c>
      <c r="S529">
        <f t="shared" si="942"/>
        <v>0</v>
      </c>
      <c r="T529">
        <f t="shared" si="943"/>
        <v>0</v>
      </c>
    </row>
    <row r="530" spans="1:20" x14ac:dyDescent="0.25">
      <c r="A530" s="5"/>
      <c r="C530"/>
      <c r="D530"/>
      <c r="P530">
        <f t="shared" si="939"/>
        <v>0</v>
      </c>
      <c r="Q530">
        <f t="shared" si="940"/>
        <v>0</v>
      </c>
      <c r="R530">
        <f t="shared" si="941"/>
        <v>0</v>
      </c>
      <c r="S530">
        <f t="shared" si="942"/>
        <v>0</v>
      </c>
      <c r="T530">
        <f t="shared" si="943"/>
        <v>0</v>
      </c>
    </row>
    <row r="531" spans="1:20" x14ac:dyDescent="0.25">
      <c r="A531" s="5"/>
      <c r="C531"/>
      <c r="D531"/>
      <c r="P531">
        <f t="shared" si="939"/>
        <v>0</v>
      </c>
      <c r="Q531">
        <f t="shared" si="940"/>
        <v>0</v>
      </c>
      <c r="R531">
        <f t="shared" si="941"/>
        <v>0</v>
      </c>
      <c r="S531">
        <f t="shared" si="942"/>
        <v>0</v>
      </c>
      <c r="T531">
        <f t="shared" si="943"/>
        <v>0</v>
      </c>
    </row>
    <row r="532" spans="1:20" x14ac:dyDescent="0.25">
      <c r="A532" s="5"/>
      <c r="C532"/>
      <c r="D532"/>
      <c r="P532">
        <f t="shared" si="939"/>
        <v>0</v>
      </c>
      <c r="Q532">
        <f t="shared" si="940"/>
        <v>0</v>
      </c>
      <c r="R532">
        <f t="shared" si="941"/>
        <v>0</v>
      </c>
      <c r="S532">
        <f t="shared" si="942"/>
        <v>0</v>
      </c>
      <c r="T532">
        <f t="shared" si="943"/>
        <v>0</v>
      </c>
    </row>
    <row r="533" spans="1:20" x14ac:dyDescent="0.25">
      <c r="A533" s="5"/>
      <c r="C533"/>
      <c r="D533"/>
      <c r="P533">
        <f t="shared" si="939"/>
        <v>0</v>
      </c>
      <c r="Q533">
        <f t="shared" si="940"/>
        <v>0</v>
      </c>
      <c r="R533">
        <f t="shared" si="941"/>
        <v>0</v>
      </c>
      <c r="S533">
        <f t="shared" si="942"/>
        <v>0</v>
      </c>
      <c r="T533">
        <f t="shared" si="943"/>
        <v>0</v>
      </c>
    </row>
    <row r="534" spans="1:20" x14ac:dyDescent="0.25">
      <c r="A534" s="5"/>
      <c r="C534"/>
      <c r="D534"/>
      <c r="P534">
        <f t="shared" si="939"/>
        <v>0</v>
      </c>
      <c r="Q534">
        <f t="shared" si="940"/>
        <v>0</v>
      </c>
      <c r="R534">
        <f t="shared" si="941"/>
        <v>0</v>
      </c>
      <c r="S534">
        <f t="shared" si="942"/>
        <v>0</v>
      </c>
      <c r="T534">
        <f t="shared" si="943"/>
        <v>0</v>
      </c>
    </row>
    <row r="535" spans="1:20" x14ac:dyDescent="0.25">
      <c r="A535" s="5"/>
      <c r="C535"/>
      <c r="D535"/>
      <c r="P535">
        <f t="shared" si="939"/>
        <v>0</v>
      </c>
      <c r="Q535">
        <f t="shared" si="940"/>
        <v>0</v>
      </c>
      <c r="R535">
        <f t="shared" si="941"/>
        <v>0</v>
      </c>
      <c r="S535">
        <f t="shared" si="942"/>
        <v>0</v>
      </c>
      <c r="T535">
        <f t="shared" si="943"/>
        <v>0</v>
      </c>
    </row>
    <row r="536" spans="1:20" x14ac:dyDescent="0.25">
      <c r="A536" s="5"/>
      <c r="C536"/>
      <c r="D536"/>
      <c r="P536">
        <f t="shared" si="939"/>
        <v>0</v>
      </c>
      <c r="Q536">
        <f t="shared" si="940"/>
        <v>0</v>
      </c>
      <c r="R536">
        <f t="shared" si="941"/>
        <v>0</v>
      </c>
      <c r="S536">
        <f t="shared" si="942"/>
        <v>0</v>
      </c>
      <c r="T536">
        <f t="shared" si="943"/>
        <v>0</v>
      </c>
    </row>
    <row r="537" spans="1:20" x14ac:dyDescent="0.25">
      <c r="A537" s="5"/>
      <c r="C537"/>
      <c r="D537"/>
      <c r="P537">
        <f t="shared" si="939"/>
        <v>0</v>
      </c>
      <c r="Q537">
        <f t="shared" si="940"/>
        <v>0</v>
      </c>
      <c r="R537">
        <f t="shared" si="941"/>
        <v>0</v>
      </c>
      <c r="S537">
        <f t="shared" si="942"/>
        <v>0</v>
      </c>
      <c r="T537">
        <f t="shared" si="943"/>
        <v>0</v>
      </c>
    </row>
    <row r="538" spans="1:20" x14ac:dyDescent="0.25">
      <c r="A538" s="5"/>
      <c r="C538"/>
      <c r="D538"/>
      <c r="P538">
        <f t="shared" si="939"/>
        <v>0</v>
      </c>
      <c r="Q538">
        <f t="shared" si="940"/>
        <v>0</v>
      </c>
      <c r="R538">
        <f t="shared" si="941"/>
        <v>0</v>
      </c>
      <c r="S538">
        <f t="shared" si="942"/>
        <v>0</v>
      </c>
      <c r="T538">
        <f t="shared" si="943"/>
        <v>0</v>
      </c>
    </row>
    <row r="539" spans="1:20" x14ac:dyDescent="0.25">
      <c r="A539" s="5"/>
      <c r="C539"/>
      <c r="D539"/>
      <c r="P539">
        <f t="shared" si="939"/>
        <v>0</v>
      </c>
      <c r="Q539">
        <f t="shared" si="940"/>
        <v>0</v>
      </c>
      <c r="R539">
        <f t="shared" si="941"/>
        <v>0</v>
      </c>
      <c r="S539">
        <f t="shared" si="942"/>
        <v>0</v>
      </c>
      <c r="T539">
        <f t="shared" si="943"/>
        <v>0</v>
      </c>
    </row>
    <row r="540" spans="1:20" x14ac:dyDescent="0.25">
      <c r="A540" s="5"/>
      <c r="P540">
        <f t="shared" si="939"/>
        <v>0</v>
      </c>
      <c r="Q540">
        <f t="shared" si="940"/>
        <v>0</v>
      </c>
      <c r="R540">
        <f t="shared" si="941"/>
        <v>0</v>
      </c>
      <c r="S540">
        <f t="shared" si="942"/>
        <v>0</v>
      </c>
      <c r="T540">
        <f t="shared" si="943"/>
        <v>0</v>
      </c>
    </row>
    <row r="541" spans="1:20" x14ac:dyDescent="0.25">
      <c r="A541" s="5"/>
      <c r="P541">
        <f t="shared" si="939"/>
        <v>0</v>
      </c>
      <c r="Q541">
        <f t="shared" si="940"/>
        <v>0</v>
      </c>
      <c r="R541">
        <f t="shared" si="941"/>
        <v>0</v>
      </c>
      <c r="S541">
        <f t="shared" si="942"/>
        <v>0</v>
      </c>
      <c r="T541">
        <f t="shared" si="943"/>
        <v>0</v>
      </c>
    </row>
    <row r="542" spans="1:20" x14ac:dyDescent="0.25">
      <c r="A542" s="5"/>
      <c r="P542">
        <f t="shared" si="939"/>
        <v>0</v>
      </c>
      <c r="Q542">
        <f t="shared" si="940"/>
        <v>0</v>
      </c>
      <c r="R542">
        <f t="shared" si="941"/>
        <v>0</v>
      </c>
      <c r="S542">
        <f t="shared" si="942"/>
        <v>0</v>
      </c>
      <c r="T542">
        <f t="shared" si="943"/>
        <v>0</v>
      </c>
    </row>
    <row r="543" spans="1:20" x14ac:dyDescent="0.25">
      <c r="A543" s="5"/>
      <c r="P543">
        <f t="shared" si="939"/>
        <v>0</v>
      </c>
      <c r="Q543">
        <f t="shared" si="940"/>
        <v>0</v>
      </c>
      <c r="R543">
        <f t="shared" si="941"/>
        <v>0</v>
      </c>
      <c r="S543">
        <f t="shared" si="942"/>
        <v>0</v>
      </c>
      <c r="T543">
        <f t="shared" si="943"/>
        <v>0</v>
      </c>
    </row>
    <row r="544" spans="1:20" x14ac:dyDescent="0.25">
      <c r="A544" s="5"/>
      <c r="P544">
        <f t="shared" si="939"/>
        <v>0</v>
      </c>
      <c r="Q544">
        <f t="shared" si="940"/>
        <v>0</v>
      </c>
      <c r="R544">
        <f t="shared" si="941"/>
        <v>0</v>
      </c>
      <c r="S544">
        <f t="shared" si="942"/>
        <v>0</v>
      </c>
      <c r="T544">
        <f t="shared" si="943"/>
        <v>0</v>
      </c>
    </row>
    <row r="545" spans="1:104" x14ac:dyDescent="0.25">
      <c r="A545" s="5"/>
      <c r="P545">
        <f t="shared" si="939"/>
        <v>0</v>
      </c>
      <c r="Q545">
        <f t="shared" si="940"/>
        <v>0</v>
      </c>
      <c r="R545">
        <f t="shared" si="941"/>
        <v>0</v>
      </c>
      <c r="S545">
        <f t="shared" si="942"/>
        <v>0</v>
      </c>
      <c r="T545">
        <f t="shared" si="943"/>
        <v>0</v>
      </c>
    </row>
    <row r="546" spans="1:104" x14ac:dyDescent="0.25">
      <c r="A546" s="5"/>
      <c r="P546">
        <f t="shared" si="939"/>
        <v>0</v>
      </c>
      <c r="Q546">
        <f t="shared" si="940"/>
        <v>0</v>
      </c>
      <c r="R546">
        <f t="shared" si="941"/>
        <v>0</v>
      </c>
      <c r="S546">
        <f t="shared" si="942"/>
        <v>0</v>
      </c>
      <c r="T546">
        <f t="shared" si="943"/>
        <v>0</v>
      </c>
    </row>
    <row r="547" spans="1:104" x14ac:dyDescent="0.25">
      <c r="A547" s="5"/>
      <c r="P547">
        <f t="shared" si="939"/>
        <v>0</v>
      </c>
      <c r="Q547">
        <f t="shared" si="940"/>
        <v>0</v>
      </c>
      <c r="R547">
        <f t="shared" si="941"/>
        <v>0</v>
      </c>
      <c r="S547">
        <f t="shared" si="942"/>
        <v>0</v>
      </c>
      <c r="T547">
        <f t="shared" si="943"/>
        <v>0</v>
      </c>
    </row>
    <row r="548" spans="1:104" x14ac:dyDescent="0.25">
      <c r="A548" s="5"/>
      <c r="P548">
        <f t="shared" si="939"/>
        <v>0</v>
      </c>
      <c r="Q548">
        <f t="shared" si="940"/>
        <v>0</v>
      </c>
      <c r="R548">
        <f t="shared" si="941"/>
        <v>0</v>
      </c>
      <c r="S548">
        <f t="shared" si="942"/>
        <v>0</v>
      </c>
      <c r="T548">
        <f t="shared" si="943"/>
        <v>0</v>
      </c>
    </row>
    <row r="549" spans="1:104" x14ac:dyDescent="0.25">
      <c r="A549" s="5"/>
      <c r="P549">
        <f t="shared" si="939"/>
        <v>0</v>
      </c>
      <c r="Q549">
        <f t="shared" si="940"/>
        <v>0</v>
      </c>
      <c r="R549">
        <f t="shared" si="941"/>
        <v>0</v>
      </c>
      <c r="S549">
        <f t="shared" si="942"/>
        <v>0</v>
      </c>
      <c r="T549">
        <f t="shared" si="943"/>
        <v>0</v>
      </c>
    </row>
    <row r="550" spans="1:104" x14ac:dyDescent="0.25">
      <c r="A550" s="5"/>
      <c r="P550">
        <f t="shared" si="939"/>
        <v>0</v>
      </c>
      <c r="Q550">
        <f t="shared" si="940"/>
        <v>0</v>
      </c>
      <c r="R550">
        <f t="shared" si="941"/>
        <v>0</v>
      </c>
      <c r="S550">
        <f t="shared" si="942"/>
        <v>0</v>
      </c>
      <c r="T550">
        <f t="shared" si="943"/>
        <v>0</v>
      </c>
    </row>
    <row r="551" spans="1:104" x14ac:dyDescent="0.25">
      <c r="A551" s="5"/>
      <c r="P551">
        <f t="shared" si="939"/>
        <v>0</v>
      </c>
      <c r="Q551">
        <f t="shared" si="940"/>
        <v>0</v>
      </c>
      <c r="R551">
        <f t="shared" si="941"/>
        <v>0</v>
      </c>
      <c r="S551">
        <f t="shared" si="942"/>
        <v>0</v>
      </c>
      <c r="T551">
        <f t="shared" si="943"/>
        <v>0</v>
      </c>
    </row>
    <row r="552" spans="1:104" x14ac:dyDescent="0.25">
      <c r="A552" s="5"/>
      <c r="P552">
        <f t="shared" si="939"/>
        <v>0</v>
      </c>
      <c r="Q552">
        <f t="shared" si="940"/>
        <v>0</v>
      </c>
      <c r="R552">
        <f t="shared" si="941"/>
        <v>0</v>
      </c>
      <c r="S552">
        <f t="shared" si="942"/>
        <v>0</v>
      </c>
      <c r="T552">
        <f t="shared" si="943"/>
        <v>0</v>
      </c>
      <c r="CZ552" t="s">
        <v>7</v>
      </c>
    </row>
    <row r="553" spans="1:104" x14ac:dyDescent="0.25">
      <c r="A553" s="5"/>
      <c r="P553">
        <f t="shared" si="939"/>
        <v>0</v>
      </c>
      <c r="Q553">
        <f t="shared" si="940"/>
        <v>0</v>
      </c>
      <c r="R553">
        <f t="shared" si="941"/>
        <v>0</v>
      </c>
      <c r="S553">
        <f t="shared" si="942"/>
        <v>0</v>
      </c>
      <c r="T553">
        <f t="shared" si="943"/>
        <v>0</v>
      </c>
      <c r="CZ553" t="s">
        <v>7</v>
      </c>
    </row>
    <row r="554" spans="1:104" x14ac:dyDescent="0.25">
      <c r="A554" s="5"/>
      <c r="P554">
        <f t="shared" si="939"/>
        <v>0</v>
      </c>
      <c r="Q554">
        <f t="shared" si="940"/>
        <v>0</v>
      </c>
      <c r="R554">
        <f t="shared" si="941"/>
        <v>0</v>
      </c>
      <c r="S554">
        <f t="shared" si="942"/>
        <v>0</v>
      </c>
      <c r="T554">
        <f t="shared" si="943"/>
        <v>0</v>
      </c>
      <c r="CZ554" t="s">
        <v>7</v>
      </c>
    </row>
    <row r="555" spans="1:104" x14ac:dyDescent="0.25">
      <c r="A555" s="5"/>
      <c r="P555">
        <f t="shared" si="939"/>
        <v>0</v>
      </c>
      <c r="Q555">
        <f t="shared" si="940"/>
        <v>0</v>
      </c>
      <c r="R555">
        <f t="shared" si="941"/>
        <v>0</v>
      </c>
      <c r="S555">
        <f t="shared" si="942"/>
        <v>0</v>
      </c>
      <c r="T555">
        <f t="shared" si="943"/>
        <v>0</v>
      </c>
    </row>
    <row r="556" spans="1:104" x14ac:dyDescent="0.25">
      <c r="A556" s="5"/>
      <c r="C556"/>
      <c r="D556"/>
      <c r="P556">
        <f t="shared" si="939"/>
        <v>0</v>
      </c>
      <c r="Q556">
        <f t="shared" si="940"/>
        <v>0</v>
      </c>
      <c r="R556">
        <f t="shared" si="941"/>
        <v>0</v>
      </c>
      <c r="S556">
        <f t="shared" si="942"/>
        <v>0</v>
      </c>
      <c r="T556">
        <f t="shared" si="943"/>
        <v>0</v>
      </c>
    </row>
    <row r="557" spans="1:104" x14ac:dyDescent="0.25">
      <c r="A557" s="5"/>
      <c r="C557"/>
      <c r="D557"/>
      <c r="P557">
        <f t="shared" si="939"/>
        <v>0</v>
      </c>
      <c r="Q557">
        <f t="shared" si="940"/>
        <v>0</v>
      </c>
      <c r="R557">
        <f t="shared" si="941"/>
        <v>0</v>
      </c>
      <c r="S557">
        <f t="shared" si="942"/>
        <v>0</v>
      </c>
      <c r="T557">
        <f t="shared" si="943"/>
        <v>0</v>
      </c>
    </row>
    <row r="558" spans="1:104" x14ac:dyDescent="0.25">
      <c r="A558" s="5"/>
      <c r="C558"/>
      <c r="D558"/>
      <c r="P558">
        <f t="shared" si="939"/>
        <v>0</v>
      </c>
      <c r="Q558">
        <f t="shared" si="940"/>
        <v>0</v>
      </c>
      <c r="R558">
        <f t="shared" si="941"/>
        <v>0</v>
      </c>
      <c r="S558">
        <f t="shared" si="942"/>
        <v>0</v>
      </c>
      <c r="T558">
        <f t="shared" si="943"/>
        <v>0</v>
      </c>
    </row>
    <row r="559" spans="1:104" x14ac:dyDescent="0.25">
      <c r="A559" s="5"/>
      <c r="C559"/>
      <c r="D559"/>
      <c r="P559">
        <f t="shared" si="939"/>
        <v>0</v>
      </c>
      <c r="Q559">
        <f t="shared" si="940"/>
        <v>0</v>
      </c>
      <c r="R559">
        <f t="shared" si="941"/>
        <v>0</v>
      </c>
      <c r="S559">
        <f t="shared" si="942"/>
        <v>0</v>
      </c>
      <c r="T559">
        <f t="shared" si="943"/>
        <v>0</v>
      </c>
    </row>
    <row r="560" spans="1:104" x14ac:dyDescent="0.25">
      <c r="A560" s="5"/>
      <c r="C560"/>
      <c r="D560"/>
      <c r="P560">
        <f t="shared" si="939"/>
        <v>0</v>
      </c>
      <c r="Q560">
        <f t="shared" si="940"/>
        <v>0</v>
      </c>
      <c r="R560">
        <f t="shared" si="941"/>
        <v>0</v>
      </c>
      <c r="S560">
        <f t="shared" si="942"/>
        <v>0</v>
      </c>
      <c r="T560">
        <f t="shared" si="943"/>
        <v>0</v>
      </c>
    </row>
    <row r="561" spans="1:20" x14ac:dyDescent="0.25">
      <c r="A561" s="5"/>
      <c r="C561"/>
      <c r="D561"/>
      <c r="P561">
        <f t="shared" si="939"/>
        <v>0</v>
      </c>
      <c r="Q561">
        <f t="shared" si="940"/>
        <v>0</v>
      </c>
      <c r="R561">
        <f t="shared" si="941"/>
        <v>0</v>
      </c>
      <c r="S561">
        <f t="shared" si="942"/>
        <v>0</v>
      </c>
      <c r="T561">
        <f t="shared" si="943"/>
        <v>0</v>
      </c>
    </row>
    <row r="562" spans="1:20" x14ac:dyDescent="0.25">
      <c r="A562" s="5"/>
      <c r="C562"/>
      <c r="D562"/>
      <c r="P562">
        <f t="shared" si="939"/>
        <v>0</v>
      </c>
      <c r="Q562">
        <f t="shared" si="940"/>
        <v>0</v>
      </c>
      <c r="R562">
        <f t="shared" si="941"/>
        <v>0</v>
      </c>
      <c r="S562">
        <f t="shared" si="942"/>
        <v>0</v>
      </c>
      <c r="T562">
        <f t="shared" si="943"/>
        <v>0</v>
      </c>
    </row>
    <row r="563" spans="1:20" x14ac:dyDescent="0.25">
      <c r="A563" s="5"/>
      <c r="C563"/>
      <c r="D563"/>
      <c r="P563">
        <f t="shared" si="939"/>
        <v>0</v>
      </c>
      <c r="Q563">
        <f t="shared" si="940"/>
        <v>0</v>
      </c>
      <c r="R563">
        <f t="shared" si="941"/>
        <v>0</v>
      </c>
      <c r="S563">
        <f t="shared" si="942"/>
        <v>0</v>
      </c>
      <c r="T563">
        <f t="shared" si="943"/>
        <v>0</v>
      </c>
    </row>
    <row r="564" spans="1:20" x14ac:dyDescent="0.25">
      <c r="A564" s="5"/>
      <c r="C564"/>
      <c r="D564"/>
      <c r="P564">
        <f t="shared" si="939"/>
        <v>0</v>
      </c>
      <c r="Q564">
        <f t="shared" si="940"/>
        <v>0</v>
      </c>
      <c r="R564">
        <f t="shared" si="941"/>
        <v>0</v>
      </c>
      <c r="S564">
        <f t="shared" si="942"/>
        <v>0</v>
      </c>
      <c r="T564">
        <f t="shared" si="943"/>
        <v>0</v>
      </c>
    </row>
    <row r="565" spans="1:20" x14ac:dyDescent="0.25">
      <c r="A565" s="5"/>
      <c r="C565"/>
      <c r="D565"/>
      <c r="P565">
        <f t="shared" si="939"/>
        <v>0</v>
      </c>
      <c r="Q565">
        <f t="shared" si="940"/>
        <v>0</v>
      </c>
      <c r="R565">
        <f t="shared" si="941"/>
        <v>0</v>
      </c>
      <c r="S565">
        <f t="shared" si="942"/>
        <v>0</v>
      </c>
      <c r="T565">
        <f t="shared" si="943"/>
        <v>0</v>
      </c>
    </row>
    <row r="566" spans="1:20" x14ac:dyDescent="0.25">
      <c r="A566" s="5"/>
      <c r="C566"/>
      <c r="D566"/>
      <c r="P566">
        <f t="shared" si="939"/>
        <v>0</v>
      </c>
      <c r="Q566">
        <f t="shared" si="940"/>
        <v>0</v>
      </c>
      <c r="R566">
        <f t="shared" si="941"/>
        <v>0</v>
      </c>
      <c r="S566">
        <f t="shared" si="942"/>
        <v>0</v>
      </c>
      <c r="T566">
        <f t="shared" si="943"/>
        <v>0</v>
      </c>
    </row>
    <row r="567" spans="1:20" x14ac:dyDescent="0.25">
      <c r="A567" s="5"/>
      <c r="C567"/>
      <c r="D567"/>
      <c r="P567">
        <f t="shared" si="939"/>
        <v>0</v>
      </c>
      <c r="Q567">
        <f t="shared" si="940"/>
        <v>0</v>
      </c>
      <c r="R567">
        <f t="shared" si="941"/>
        <v>0</v>
      </c>
      <c r="S567">
        <f t="shared" si="942"/>
        <v>0</v>
      </c>
      <c r="T567">
        <f t="shared" si="943"/>
        <v>0</v>
      </c>
    </row>
    <row r="568" spans="1:20" x14ac:dyDescent="0.25">
      <c r="A568" s="5"/>
      <c r="C568"/>
      <c r="D568"/>
      <c r="P568">
        <f t="shared" si="939"/>
        <v>0</v>
      </c>
      <c r="Q568">
        <f t="shared" si="940"/>
        <v>0</v>
      </c>
      <c r="R568">
        <f t="shared" si="941"/>
        <v>0</v>
      </c>
      <c r="S568">
        <f t="shared" si="942"/>
        <v>0</v>
      </c>
      <c r="T568">
        <f t="shared" si="943"/>
        <v>0</v>
      </c>
    </row>
    <row r="569" spans="1:20" x14ac:dyDescent="0.25">
      <c r="A569" s="5"/>
      <c r="C569"/>
      <c r="D569"/>
      <c r="P569">
        <f t="shared" si="939"/>
        <v>0</v>
      </c>
      <c r="Q569">
        <f t="shared" si="940"/>
        <v>0</v>
      </c>
      <c r="R569">
        <f t="shared" si="941"/>
        <v>0</v>
      </c>
      <c r="S569">
        <f t="shared" si="942"/>
        <v>0</v>
      </c>
      <c r="T569">
        <f t="shared" si="943"/>
        <v>0</v>
      </c>
    </row>
    <row r="570" spans="1:20" x14ac:dyDescent="0.25">
      <c r="A570" s="5"/>
      <c r="C570"/>
      <c r="D570"/>
      <c r="P570">
        <f t="shared" si="939"/>
        <v>0</v>
      </c>
      <c r="Q570">
        <f t="shared" si="940"/>
        <v>0</v>
      </c>
      <c r="R570">
        <f t="shared" si="941"/>
        <v>0</v>
      </c>
      <c r="S570">
        <f t="shared" si="942"/>
        <v>0</v>
      </c>
      <c r="T570">
        <f t="shared" si="943"/>
        <v>0</v>
      </c>
    </row>
    <row r="571" spans="1:20" x14ac:dyDescent="0.25">
      <c r="A571" s="5"/>
      <c r="C571"/>
      <c r="D571"/>
      <c r="P571">
        <f t="shared" si="939"/>
        <v>0</v>
      </c>
      <c r="Q571">
        <f t="shared" si="940"/>
        <v>0</v>
      </c>
      <c r="R571">
        <f t="shared" si="941"/>
        <v>0</v>
      </c>
      <c r="S571">
        <f t="shared" si="942"/>
        <v>0</v>
      </c>
      <c r="T571">
        <f t="shared" si="943"/>
        <v>0</v>
      </c>
    </row>
    <row r="572" spans="1:20" x14ac:dyDescent="0.25">
      <c r="A572" s="5"/>
      <c r="C572"/>
      <c r="D572"/>
      <c r="P572">
        <f t="shared" si="939"/>
        <v>0</v>
      </c>
      <c r="Q572">
        <f t="shared" si="940"/>
        <v>0</v>
      </c>
      <c r="R572">
        <f t="shared" si="941"/>
        <v>0</v>
      </c>
      <c r="S572">
        <f t="shared" si="942"/>
        <v>0</v>
      </c>
      <c r="T572">
        <f t="shared" si="943"/>
        <v>0</v>
      </c>
    </row>
    <row r="573" spans="1:20" x14ac:dyDescent="0.25">
      <c r="A573" s="5"/>
      <c r="C573"/>
      <c r="D573"/>
      <c r="P573">
        <f t="shared" ref="P573:P636" si="944">IF(C573=D573,0,((E573-D573)-(C573-E573))/(C573-D573))</f>
        <v>0</v>
      </c>
      <c r="Q573">
        <f t="shared" ref="Q573:Q636" si="945">F573*P573</f>
        <v>0</v>
      </c>
      <c r="R573">
        <f t="shared" ref="R573:R636" si="946">R574+Q573</f>
        <v>0</v>
      </c>
      <c r="S573">
        <f t="shared" ref="S573:S636" si="947">R573/100000</f>
        <v>0</v>
      </c>
      <c r="T573">
        <f t="shared" ref="T573:T636" si="948">S573/1000</f>
        <v>0</v>
      </c>
    </row>
    <row r="574" spans="1:20" x14ac:dyDescent="0.25">
      <c r="A574" s="5"/>
      <c r="C574"/>
      <c r="D574"/>
      <c r="P574">
        <f t="shared" si="944"/>
        <v>0</v>
      </c>
      <c r="Q574">
        <f t="shared" si="945"/>
        <v>0</v>
      </c>
      <c r="R574">
        <f t="shared" si="946"/>
        <v>0</v>
      </c>
      <c r="S574">
        <f t="shared" si="947"/>
        <v>0</v>
      </c>
      <c r="T574">
        <f t="shared" si="948"/>
        <v>0</v>
      </c>
    </row>
    <row r="575" spans="1:20" x14ac:dyDescent="0.25">
      <c r="A575" s="5"/>
      <c r="C575"/>
      <c r="D575"/>
      <c r="P575">
        <f t="shared" si="944"/>
        <v>0</v>
      </c>
      <c r="Q575">
        <f t="shared" si="945"/>
        <v>0</v>
      </c>
      <c r="R575">
        <f t="shared" si="946"/>
        <v>0</v>
      </c>
      <c r="S575">
        <f t="shared" si="947"/>
        <v>0</v>
      </c>
      <c r="T575">
        <f t="shared" si="948"/>
        <v>0</v>
      </c>
    </row>
    <row r="576" spans="1:20" x14ac:dyDescent="0.25">
      <c r="A576" s="5"/>
      <c r="C576"/>
      <c r="D576"/>
      <c r="P576">
        <f t="shared" si="944"/>
        <v>0</v>
      </c>
      <c r="Q576">
        <f t="shared" si="945"/>
        <v>0</v>
      </c>
      <c r="R576">
        <f t="shared" si="946"/>
        <v>0</v>
      </c>
      <c r="S576">
        <f t="shared" si="947"/>
        <v>0</v>
      </c>
      <c r="T576">
        <f t="shared" si="948"/>
        <v>0</v>
      </c>
    </row>
    <row r="577" spans="1:20" x14ac:dyDescent="0.25">
      <c r="A577" s="5"/>
      <c r="C577"/>
      <c r="D577"/>
      <c r="P577">
        <f t="shared" si="944"/>
        <v>0</v>
      </c>
      <c r="Q577">
        <f t="shared" si="945"/>
        <v>0</v>
      </c>
      <c r="R577">
        <f t="shared" si="946"/>
        <v>0</v>
      </c>
      <c r="S577">
        <f t="shared" si="947"/>
        <v>0</v>
      </c>
      <c r="T577">
        <f t="shared" si="948"/>
        <v>0</v>
      </c>
    </row>
    <row r="578" spans="1:20" x14ac:dyDescent="0.25">
      <c r="A578" s="5"/>
      <c r="C578"/>
      <c r="D578"/>
      <c r="P578">
        <f t="shared" si="944"/>
        <v>0</v>
      </c>
      <c r="Q578">
        <f t="shared" si="945"/>
        <v>0</v>
      </c>
      <c r="R578">
        <f t="shared" si="946"/>
        <v>0</v>
      </c>
      <c r="S578">
        <f t="shared" si="947"/>
        <v>0</v>
      </c>
      <c r="T578">
        <f t="shared" si="948"/>
        <v>0</v>
      </c>
    </row>
    <row r="579" spans="1:20" x14ac:dyDescent="0.25">
      <c r="A579" s="5"/>
      <c r="C579"/>
      <c r="D579"/>
      <c r="P579">
        <f t="shared" si="944"/>
        <v>0</v>
      </c>
      <c r="Q579">
        <f t="shared" si="945"/>
        <v>0</v>
      </c>
      <c r="R579">
        <f t="shared" si="946"/>
        <v>0</v>
      </c>
      <c r="S579">
        <f t="shared" si="947"/>
        <v>0</v>
      </c>
      <c r="T579">
        <f t="shared" si="948"/>
        <v>0</v>
      </c>
    </row>
    <row r="580" spans="1:20" x14ac:dyDescent="0.25">
      <c r="A580" s="5"/>
      <c r="C580"/>
      <c r="D580"/>
      <c r="P580">
        <f t="shared" si="944"/>
        <v>0</v>
      </c>
      <c r="Q580">
        <f t="shared" si="945"/>
        <v>0</v>
      </c>
      <c r="R580">
        <f t="shared" si="946"/>
        <v>0</v>
      </c>
      <c r="S580">
        <f t="shared" si="947"/>
        <v>0</v>
      </c>
      <c r="T580">
        <f t="shared" si="948"/>
        <v>0</v>
      </c>
    </row>
    <row r="581" spans="1:20" x14ac:dyDescent="0.25">
      <c r="A581" s="5"/>
      <c r="C581"/>
      <c r="D581"/>
      <c r="P581">
        <f t="shared" si="944"/>
        <v>0</v>
      </c>
      <c r="Q581">
        <f t="shared" si="945"/>
        <v>0</v>
      </c>
      <c r="R581">
        <f t="shared" si="946"/>
        <v>0</v>
      </c>
      <c r="S581">
        <f t="shared" si="947"/>
        <v>0</v>
      </c>
      <c r="T581">
        <f t="shared" si="948"/>
        <v>0</v>
      </c>
    </row>
    <row r="582" spans="1:20" x14ac:dyDescent="0.25">
      <c r="A582" s="5"/>
      <c r="C582"/>
      <c r="D582"/>
      <c r="P582">
        <f t="shared" si="944"/>
        <v>0</v>
      </c>
      <c r="Q582">
        <f t="shared" si="945"/>
        <v>0</v>
      </c>
      <c r="R582">
        <f t="shared" si="946"/>
        <v>0</v>
      </c>
      <c r="S582">
        <f t="shared" si="947"/>
        <v>0</v>
      </c>
      <c r="T582">
        <f t="shared" si="948"/>
        <v>0</v>
      </c>
    </row>
    <row r="583" spans="1:20" x14ac:dyDescent="0.25">
      <c r="A583" s="5"/>
      <c r="C583"/>
      <c r="D583"/>
      <c r="P583">
        <f t="shared" si="944"/>
        <v>0</v>
      </c>
      <c r="Q583">
        <f t="shared" si="945"/>
        <v>0</v>
      </c>
      <c r="R583">
        <f t="shared" si="946"/>
        <v>0</v>
      </c>
      <c r="S583">
        <f t="shared" si="947"/>
        <v>0</v>
      </c>
      <c r="T583">
        <f t="shared" si="948"/>
        <v>0</v>
      </c>
    </row>
    <row r="584" spans="1:20" x14ac:dyDescent="0.25">
      <c r="A584" s="5"/>
      <c r="C584"/>
      <c r="D584"/>
      <c r="P584">
        <f t="shared" si="944"/>
        <v>0</v>
      </c>
      <c r="Q584">
        <f t="shared" si="945"/>
        <v>0</v>
      </c>
      <c r="R584">
        <f t="shared" si="946"/>
        <v>0</v>
      </c>
      <c r="S584">
        <f t="shared" si="947"/>
        <v>0</v>
      </c>
      <c r="T584">
        <f t="shared" si="948"/>
        <v>0</v>
      </c>
    </row>
    <row r="585" spans="1:20" x14ac:dyDescent="0.25">
      <c r="A585" s="5"/>
      <c r="C585"/>
      <c r="D585"/>
      <c r="P585">
        <f t="shared" si="944"/>
        <v>0</v>
      </c>
      <c r="Q585">
        <f t="shared" si="945"/>
        <v>0</v>
      </c>
      <c r="R585">
        <f t="shared" si="946"/>
        <v>0</v>
      </c>
      <c r="S585">
        <f t="shared" si="947"/>
        <v>0</v>
      </c>
      <c r="T585">
        <f t="shared" si="948"/>
        <v>0</v>
      </c>
    </row>
    <row r="586" spans="1:20" x14ac:dyDescent="0.25">
      <c r="A586" s="5"/>
      <c r="C586"/>
      <c r="D586"/>
      <c r="P586">
        <f t="shared" si="944"/>
        <v>0</v>
      </c>
      <c r="Q586">
        <f t="shared" si="945"/>
        <v>0</v>
      </c>
      <c r="R586">
        <f t="shared" si="946"/>
        <v>0</v>
      </c>
      <c r="S586">
        <f t="shared" si="947"/>
        <v>0</v>
      </c>
      <c r="T586">
        <f t="shared" si="948"/>
        <v>0</v>
      </c>
    </row>
    <row r="587" spans="1:20" x14ac:dyDescent="0.25">
      <c r="A587" s="5"/>
      <c r="C587"/>
      <c r="D587"/>
      <c r="P587">
        <f t="shared" si="944"/>
        <v>0</v>
      </c>
      <c r="Q587">
        <f t="shared" si="945"/>
        <v>0</v>
      </c>
      <c r="R587">
        <f t="shared" si="946"/>
        <v>0</v>
      </c>
      <c r="S587">
        <f t="shared" si="947"/>
        <v>0</v>
      </c>
      <c r="T587">
        <f t="shared" si="948"/>
        <v>0</v>
      </c>
    </row>
    <row r="588" spans="1:20" x14ac:dyDescent="0.25">
      <c r="A588" s="5"/>
      <c r="C588"/>
      <c r="D588"/>
      <c r="P588">
        <f t="shared" si="944"/>
        <v>0</v>
      </c>
      <c r="Q588">
        <f t="shared" si="945"/>
        <v>0</v>
      </c>
      <c r="R588">
        <f t="shared" si="946"/>
        <v>0</v>
      </c>
      <c r="S588">
        <f t="shared" si="947"/>
        <v>0</v>
      </c>
      <c r="T588">
        <f t="shared" si="948"/>
        <v>0</v>
      </c>
    </row>
    <row r="589" spans="1:20" x14ac:dyDescent="0.25">
      <c r="A589" s="5"/>
      <c r="C589"/>
      <c r="D589"/>
      <c r="P589">
        <f t="shared" si="944"/>
        <v>0</v>
      </c>
      <c r="Q589">
        <f t="shared" si="945"/>
        <v>0</v>
      </c>
      <c r="R589">
        <f t="shared" si="946"/>
        <v>0</v>
      </c>
      <c r="S589">
        <f t="shared" si="947"/>
        <v>0</v>
      </c>
      <c r="T589">
        <f t="shared" si="948"/>
        <v>0</v>
      </c>
    </row>
    <row r="590" spans="1:20" x14ac:dyDescent="0.25">
      <c r="A590" s="5"/>
      <c r="C590"/>
      <c r="D590"/>
      <c r="P590">
        <f t="shared" si="944"/>
        <v>0</v>
      </c>
      <c r="Q590">
        <f t="shared" si="945"/>
        <v>0</v>
      </c>
      <c r="R590">
        <f t="shared" si="946"/>
        <v>0</v>
      </c>
      <c r="S590">
        <f t="shared" si="947"/>
        <v>0</v>
      </c>
      <c r="T590">
        <f t="shared" si="948"/>
        <v>0</v>
      </c>
    </row>
    <row r="591" spans="1:20" x14ac:dyDescent="0.25">
      <c r="A591" s="5"/>
      <c r="C591"/>
      <c r="D591"/>
      <c r="P591">
        <f t="shared" si="944"/>
        <v>0</v>
      </c>
      <c r="Q591">
        <f t="shared" si="945"/>
        <v>0</v>
      </c>
      <c r="R591">
        <f t="shared" si="946"/>
        <v>0</v>
      </c>
      <c r="S591">
        <f t="shared" si="947"/>
        <v>0</v>
      </c>
      <c r="T591">
        <f t="shared" si="948"/>
        <v>0</v>
      </c>
    </row>
    <row r="592" spans="1:20" x14ac:dyDescent="0.25">
      <c r="A592" s="5"/>
      <c r="C592"/>
      <c r="D592"/>
      <c r="P592">
        <f t="shared" si="944"/>
        <v>0</v>
      </c>
      <c r="Q592">
        <f t="shared" si="945"/>
        <v>0</v>
      </c>
      <c r="R592">
        <f t="shared" si="946"/>
        <v>0</v>
      </c>
      <c r="S592">
        <f t="shared" si="947"/>
        <v>0</v>
      </c>
      <c r="T592">
        <f t="shared" si="948"/>
        <v>0</v>
      </c>
    </row>
    <row r="593" spans="1:20" x14ac:dyDescent="0.25">
      <c r="A593" s="5"/>
      <c r="C593"/>
      <c r="D593"/>
      <c r="P593">
        <f t="shared" si="944"/>
        <v>0</v>
      </c>
      <c r="Q593">
        <f t="shared" si="945"/>
        <v>0</v>
      </c>
      <c r="R593">
        <f t="shared" si="946"/>
        <v>0</v>
      </c>
      <c r="S593">
        <f t="shared" si="947"/>
        <v>0</v>
      </c>
      <c r="T593">
        <f t="shared" si="948"/>
        <v>0</v>
      </c>
    </row>
    <row r="594" spans="1:20" x14ac:dyDescent="0.25">
      <c r="A594" s="5"/>
      <c r="C594"/>
      <c r="D594"/>
      <c r="P594">
        <f t="shared" si="944"/>
        <v>0</v>
      </c>
      <c r="Q594">
        <f t="shared" si="945"/>
        <v>0</v>
      </c>
      <c r="R594">
        <f t="shared" si="946"/>
        <v>0</v>
      </c>
      <c r="S594">
        <f t="shared" si="947"/>
        <v>0</v>
      </c>
      <c r="T594">
        <f t="shared" si="948"/>
        <v>0</v>
      </c>
    </row>
    <row r="595" spans="1:20" x14ac:dyDescent="0.25">
      <c r="A595" s="5"/>
      <c r="C595"/>
      <c r="D595"/>
      <c r="P595">
        <f t="shared" si="944"/>
        <v>0</v>
      </c>
      <c r="Q595">
        <f t="shared" si="945"/>
        <v>0</v>
      </c>
      <c r="R595">
        <f t="shared" si="946"/>
        <v>0</v>
      </c>
      <c r="S595">
        <f t="shared" si="947"/>
        <v>0</v>
      </c>
      <c r="T595">
        <f t="shared" si="948"/>
        <v>0</v>
      </c>
    </row>
    <row r="596" spans="1:20" x14ac:dyDescent="0.25">
      <c r="A596" s="5"/>
      <c r="C596"/>
      <c r="D596"/>
      <c r="P596">
        <f t="shared" si="944"/>
        <v>0</v>
      </c>
      <c r="Q596">
        <f t="shared" si="945"/>
        <v>0</v>
      </c>
      <c r="R596">
        <f t="shared" si="946"/>
        <v>0</v>
      </c>
      <c r="S596">
        <f t="shared" si="947"/>
        <v>0</v>
      </c>
      <c r="T596">
        <f t="shared" si="948"/>
        <v>0</v>
      </c>
    </row>
    <row r="597" spans="1:20" x14ac:dyDescent="0.25">
      <c r="A597" s="5"/>
      <c r="C597"/>
      <c r="D597"/>
      <c r="P597">
        <f t="shared" si="944"/>
        <v>0</v>
      </c>
      <c r="Q597">
        <f t="shared" si="945"/>
        <v>0</v>
      </c>
      <c r="R597">
        <f t="shared" si="946"/>
        <v>0</v>
      </c>
      <c r="S597">
        <f t="shared" si="947"/>
        <v>0</v>
      </c>
      <c r="T597">
        <f t="shared" si="948"/>
        <v>0</v>
      </c>
    </row>
    <row r="598" spans="1:20" x14ac:dyDescent="0.25">
      <c r="A598" s="5"/>
      <c r="C598"/>
      <c r="D598"/>
      <c r="P598">
        <f t="shared" si="944"/>
        <v>0</v>
      </c>
      <c r="Q598">
        <f t="shared" si="945"/>
        <v>0</v>
      </c>
      <c r="R598">
        <f t="shared" si="946"/>
        <v>0</v>
      </c>
      <c r="S598">
        <f t="shared" si="947"/>
        <v>0</v>
      </c>
      <c r="T598">
        <f t="shared" si="948"/>
        <v>0</v>
      </c>
    </row>
    <row r="599" spans="1:20" x14ac:dyDescent="0.25">
      <c r="A599" s="5"/>
      <c r="C599"/>
      <c r="D599"/>
      <c r="P599">
        <f t="shared" si="944"/>
        <v>0</v>
      </c>
      <c r="Q599">
        <f t="shared" si="945"/>
        <v>0</v>
      </c>
      <c r="R599">
        <f t="shared" si="946"/>
        <v>0</v>
      </c>
      <c r="S599">
        <f t="shared" si="947"/>
        <v>0</v>
      </c>
      <c r="T599">
        <f t="shared" si="948"/>
        <v>0</v>
      </c>
    </row>
    <row r="600" spans="1:20" x14ac:dyDescent="0.25">
      <c r="A600" s="5"/>
      <c r="C600"/>
      <c r="D600"/>
      <c r="P600">
        <f t="shared" si="944"/>
        <v>0</v>
      </c>
      <c r="Q600">
        <f t="shared" si="945"/>
        <v>0</v>
      </c>
      <c r="R600">
        <f t="shared" si="946"/>
        <v>0</v>
      </c>
      <c r="S600">
        <f t="shared" si="947"/>
        <v>0</v>
      </c>
      <c r="T600">
        <f t="shared" si="948"/>
        <v>0</v>
      </c>
    </row>
    <row r="601" spans="1:20" x14ac:dyDescent="0.25">
      <c r="A601" s="5"/>
      <c r="C601"/>
      <c r="D601"/>
      <c r="P601">
        <f t="shared" si="944"/>
        <v>0</v>
      </c>
      <c r="Q601">
        <f t="shared" si="945"/>
        <v>0</v>
      </c>
      <c r="R601">
        <f t="shared" si="946"/>
        <v>0</v>
      </c>
      <c r="S601">
        <f t="shared" si="947"/>
        <v>0</v>
      </c>
      <c r="T601">
        <f t="shared" si="948"/>
        <v>0</v>
      </c>
    </row>
    <row r="602" spans="1:20" x14ac:dyDescent="0.25">
      <c r="A602" s="5"/>
      <c r="C602"/>
      <c r="D602"/>
      <c r="P602">
        <f t="shared" si="944"/>
        <v>0</v>
      </c>
      <c r="Q602">
        <f t="shared" si="945"/>
        <v>0</v>
      </c>
      <c r="R602">
        <f t="shared" si="946"/>
        <v>0</v>
      </c>
      <c r="S602">
        <f t="shared" si="947"/>
        <v>0</v>
      </c>
      <c r="T602">
        <f t="shared" si="948"/>
        <v>0</v>
      </c>
    </row>
    <row r="603" spans="1:20" x14ac:dyDescent="0.25">
      <c r="A603" s="5"/>
      <c r="C603"/>
      <c r="D603"/>
      <c r="P603">
        <f t="shared" si="944"/>
        <v>0</v>
      </c>
      <c r="Q603">
        <f t="shared" si="945"/>
        <v>0</v>
      </c>
      <c r="R603">
        <f t="shared" si="946"/>
        <v>0</v>
      </c>
      <c r="S603">
        <f t="shared" si="947"/>
        <v>0</v>
      </c>
      <c r="T603">
        <f t="shared" si="948"/>
        <v>0</v>
      </c>
    </row>
    <row r="604" spans="1:20" x14ac:dyDescent="0.25">
      <c r="A604" s="5"/>
      <c r="C604"/>
      <c r="D604"/>
      <c r="P604">
        <f t="shared" si="944"/>
        <v>0</v>
      </c>
      <c r="Q604">
        <f t="shared" si="945"/>
        <v>0</v>
      </c>
      <c r="R604">
        <f t="shared" si="946"/>
        <v>0</v>
      </c>
      <c r="S604">
        <f t="shared" si="947"/>
        <v>0</v>
      </c>
      <c r="T604">
        <f t="shared" si="948"/>
        <v>0</v>
      </c>
    </row>
    <row r="605" spans="1:20" x14ac:dyDescent="0.25">
      <c r="A605" s="5"/>
      <c r="C605"/>
      <c r="D605"/>
      <c r="P605">
        <f t="shared" si="944"/>
        <v>0</v>
      </c>
      <c r="Q605">
        <f t="shared" si="945"/>
        <v>0</v>
      </c>
      <c r="R605">
        <f t="shared" si="946"/>
        <v>0</v>
      </c>
      <c r="S605">
        <f t="shared" si="947"/>
        <v>0</v>
      </c>
      <c r="T605">
        <f t="shared" si="948"/>
        <v>0</v>
      </c>
    </row>
    <row r="606" spans="1:20" x14ac:dyDescent="0.25">
      <c r="A606" s="5"/>
      <c r="C606"/>
      <c r="D606"/>
      <c r="P606">
        <f t="shared" si="944"/>
        <v>0</v>
      </c>
      <c r="Q606">
        <f t="shared" si="945"/>
        <v>0</v>
      </c>
      <c r="R606">
        <f t="shared" si="946"/>
        <v>0</v>
      </c>
      <c r="S606">
        <f t="shared" si="947"/>
        <v>0</v>
      </c>
      <c r="T606">
        <f t="shared" si="948"/>
        <v>0</v>
      </c>
    </row>
    <row r="607" spans="1:20" x14ac:dyDescent="0.25">
      <c r="A607" s="5"/>
      <c r="C607"/>
      <c r="D607"/>
      <c r="P607">
        <f t="shared" si="944"/>
        <v>0</v>
      </c>
      <c r="Q607">
        <f t="shared" si="945"/>
        <v>0</v>
      </c>
      <c r="R607">
        <f t="shared" si="946"/>
        <v>0</v>
      </c>
      <c r="S607">
        <f t="shared" si="947"/>
        <v>0</v>
      </c>
      <c r="T607">
        <f t="shared" si="948"/>
        <v>0</v>
      </c>
    </row>
    <row r="608" spans="1:20" x14ac:dyDescent="0.25">
      <c r="A608" s="5"/>
      <c r="C608"/>
      <c r="D608"/>
      <c r="P608">
        <f t="shared" si="944"/>
        <v>0</v>
      </c>
      <c r="Q608">
        <f t="shared" si="945"/>
        <v>0</v>
      </c>
      <c r="R608">
        <f t="shared" si="946"/>
        <v>0</v>
      </c>
      <c r="S608">
        <f t="shared" si="947"/>
        <v>0</v>
      </c>
      <c r="T608">
        <f t="shared" si="948"/>
        <v>0</v>
      </c>
    </row>
    <row r="609" spans="1:20" x14ac:dyDescent="0.25">
      <c r="A609" s="5"/>
      <c r="C609"/>
      <c r="D609"/>
      <c r="P609">
        <f t="shared" si="944"/>
        <v>0</v>
      </c>
      <c r="Q609">
        <f t="shared" si="945"/>
        <v>0</v>
      </c>
      <c r="R609">
        <f t="shared" si="946"/>
        <v>0</v>
      </c>
      <c r="S609">
        <f t="shared" si="947"/>
        <v>0</v>
      </c>
      <c r="T609">
        <f t="shared" si="948"/>
        <v>0</v>
      </c>
    </row>
    <row r="610" spans="1:20" x14ac:dyDescent="0.25">
      <c r="A610" s="5"/>
      <c r="C610"/>
      <c r="D610"/>
      <c r="P610">
        <f t="shared" si="944"/>
        <v>0</v>
      </c>
      <c r="Q610">
        <f t="shared" si="945"/>
        <v>0</v>
      </c>
      <c r="R610">
        <f t="shared" si="946"/>
        <v>0</v>
      </c>
      <c r="S610">
        <f t="shared" si="947"/>
        <v>0</v>
      </c>
      <c r="T610">
        <f t="shared" si="948"/>
        <v>0</v>
      </c>
    </row>
    <row r="611" spans="1:20" x14ac:dyDescent="0.25">
      <c r="A611" s="5"/>
      <c r="C611"/>
      <c r="D611"/>
      <c r="P611">
        <f t="shared" si="944"/>
        <v>0</v>
      </c>
      <c r="Q611">
        <f t="shared" si="945"/>
        <v>0</v>
      </c>
      <c r="R611">
        <f t="shared" si="946"/>
        <v>0</v>
      </c>
      <c r="S611">
        <f t="shared" si="947"/>
        <v>0</v>
      </c>
      <c r="T611">
        <f t="shared" si="948"/>
        <v>0</v>
      </c>
    </row>
    <row r="612" spans="1:20" x14ac:dyDescent="0.25">
      <c r="A612" s="5"/>
      <c r="C612"/>
      <c r="D612"/>
      <c r="P612">
        <f t="shared" si="944"/>
        <v>0</v>
      </c>
      <c r="Q612">
        <f t="shared" si="945"/>
        <v>0</v>
      </c>
      <c r="R612">
        <f t="shared" si="946"/>
        <v>0</v>
      </c>
      <c r="S612">
        <f t="shared" si="947"/>
        <v>0</v>
      </c>
      <c r="T612">
        <f t="shared" si="948"/>
        <v>0</v>
      </c>
    </row>
    <row r="613" spans="1:20" x14ac:dyDescent="0.25">
      <c r="A613" s="5"/>
      <c r="C613"/>
      <c r="D613"/>
      <c r="P613">
        <f t="shared" si="944"/>
        <v>0</v>
      </c>
      <c r="Q613">
        <f t="shared" si="945"/>
        <v>0</v>
      </c>
      <c r="R613">
        <f t="shared" si="946"/>
        <v>0</v>
      </c>
      <c r="S613">
        <f t="shared" si="947"/>
        <v>0</v>
      </c>
      <c r="T613">
        <f t="shared" si="948"/>
        <v>0</v>
      </c>
    </row>
    <row r="614" spans="1:20" x14ac:dyDescent="0.25">
      <c r="A614" s="5"/>
      <c r="C614"/>
      <c r="D614"/>
      <c r="P614">
        <f t="shared" si="944"/>
        <v>0</v>
      </c>
      <c r="Q614">
        <f t="shared" si="945"/>
        <v>0</v>
      </c>
      <c r="R614">
        <f t="shared" si="946"/>
        <v>0</v>
      </c>
      <c r="S614">
        <f t="shared" si="947"/>
        <v>0</v>
      </c>
      <c r="T614">
        <f t="shared" si="948"/>
        <v>0</v>
      </c>
    </row>
    <row r="615" spans="1:20" x14ac:dyDescent="0.25">
      <c r="A615" s="5"/>
      <c r="C615"/>
      <c r="D615"/>
      <c r="P615">
        <f t="shared" si="944"/>
        <v>0</v>
      </c>
      <c r="Q615">
        <f t="shared" si="945"/>
        <v>0</v>
      </c>
      <c r="R615">
        <f t="shared" si="946"/>
        <v>0</v>
      </c>
      <c r="S615">
        <f t="shared" si="947"/>
        <v>0</v>
      </c>
      <c r="T615">
        <f t="shared" si="948"/>
        <v>0</v>
      </c>
    </row>
    <row r="616" spans="1:20" x14ac:dyDescent="0.25">
      <c r="A616" s="5"/>
      <c r="C616"/>
      <c r="D616"/>
      <c r="P616">
        <f t="shared" si="944"/>
        <v>0</v>
      </c>
      <c r="Q616">
        <f t="shared" si="945"/>
        <v>0</v>
      </c>
      <c r="R616">
        <f t="shared" si="946"/>
        <v>0</v>
      </c>
      <c r="S616">
        <f t="shared" si="947"/>
        <v>0</v>
      </c>
      <c r="T616">
        <f t="shared" si="948"/>
        <v>0</v>
      </c>
    </row>
    <row r="617" spans="1:20" x14ac:dyDescent="0.25">
      <c r="A617" s="5"/>
      <c r="C617"/>
      <c r="D617"/>
      <c r="P617">
        <f t="shared" si="944"/>
        <v>0</v>
      </c>
      <c r="Q617">
        <f t="shared" si="945"/>
        <v>0</v>
      </c>
      <c r="R617">
        <f t="shared" si="946"/>
        <v>0</v>
      </c>
      <c r="S617">
        <f t="shared" si="947"/>
        <v>0</v>
      </c>
      <c r="T617">
        <f t="shared" si="948"/>
        <v>0</v>
      </c>
    </row>
    <row r="618" spans="1:20" x14ac:dyDescent="0.25">
      <c r="A618" s="5"/>
      <c r="C618"/>
      <c r="D618"/>
      <c r="P618">
        <f t="shared" si="944"/>
        <v>0</v>
      </c>
      <c r="Q618">
        <f t="shared" si="945"/>
        <v>0</v>
      </c>
      <c r="R618">
        <f t="shared" si="946"/>
        <v>0</v>
      </c>
      <c r="S618">
        <f t="shared" si="947"/>
        <v>0</v>
      </c>
      <c r="T618">
        <f t="shared" si="948"/>
        <v>0</v>
      </c>
    </row>
    <row r="619" spans="1:20" x14ac:dyDescent="0.25">
      <c r="A619" s="5"/>
      <c r="C619"/>
      <c r="D619"/>
      <c r="P619">
        <f t="shared" si="944"/>
        <v>0</v>
      </c>
      <c r="Q619">
        <f t="shared" si="945"/>
        <v>0</v>
      </c>
      <c r="R619">
        <f t="shared" si="946"/>
        <v>0</v>
      </c>
      <c r="S619">
        <f t="shared" si="947"/>
        <v>0</v>
      </c>
      <c r="T619">
        <f t="shared" si="948"/>
        <v>0</v>
      </c>
    </row>
    <row r="620" spans="1:20" x14ac:dyDescent="0.25">
      <c r="A620" s="5"/>
      <c r="C620"/>
      <c r="D620"/>
      <c r="P620">
        <f t="shared" si="944"/>
        <v>0</v>
      </c>
      <c r="Q620">
        <f t="shared" si="945"/>
        <v>0</v>
      </c>
      <c r="R620">
        <f t="shared" si="946"/>
        <v>0</v>
      </c>
      <c r="S620">
        <f t="shared" si="947"/>
        <v>0</v>
      </c>
      <c r="T620">
        <f t="shared" si="948"/>
        <v>0</v>
      </c>
    </row>
    <row r="621" spans="1:20" x14ac:dyDescent="0.25">
      <c r="A621" s="5"/>
      <c r="C621"/>
      <c r="D621"/>
      <c r="P621">
        <f t="shared" si="944"/>
        <v>0</v>
      </c>
      <c r="Q621">
        <f t="shared" si="945"/>
        <v>0</v>
      </c>
      <c r="R621">
        <f t="shared" si="946"/>
        <v>0</v>
      </c>
      <c r="S621">
        <f t="shared" si="947"/>
        <v>0</v>
      </c>
      <c r="T621">
        <f t="shared" si="948"/>
        <v>0</v>
      </c>
    </row>
    <row r="622" spans="1:20" x14ac:dyDescent="0.25">
      <c r="A622" s="5"/>
      <c r="C622"/>
      <c r="D622"/>
      <c r="P622">
        <f t="shared" si="944"/>
        <v>0</v>
      </c>
      <c r="Q622">
        <f t="shared" si="945"/>
        <v>0</v>
      </c>
      <c r="R622">
        <f t="shared" si="946"/>
        <v>0</v>
      </c>
      <c r="S622">
        <f t="shared" si="947"/>
        <v>0</v>
      </c>
      <c r="T622">
        <f t="shared" si="948"/>
        <v>0</v>
      </c>
    </row>
    <row r="623" spans="1:20" x14ac:dyDescent="0.25">
      <c r="A623" s="5"/>
      <c r="C623"/>
      <c r="D623"/>
      <c r="P623">
        <f t="shared" si="944"/>
        <v>0</v>
      </c>
      <c r="Q623">
        <f t="shared" si="945"/>
        <v>0</v>
      </c>
      <c r="R623">
        <f t="shared" si="946"/>
        <v>0</v>
      </c>
      <c r="S623">
        <f t="shared" si="947"/>
        <v>0</v>
      </c>
      <c r="T623">
        <f t="shared" si="948"/>
        <v>0</v>
      </c>
    </row>
    <row r="624" spans="1:20" x14ac:dyDescent="0.25">
      <c r="A624" s="5"/>
      <c r="C624"/>
      <c r="D624"/>
      <c r="P624">
        <f t="shared" si="944"/>
        <v>0</v>
      </c>
      <c r="Q624">
        <f t="shared" si="945"/>
        <v>0</v>
      </c>
      <c r="R624">
        <f t="shared" si="946"/>
        <v>0</v>
      </c>
      <c r="S624">
        <f t="shared" si="947"/>
        <v>0</v>
      </c>
      <c r="T624">
        <f t="shared" si="948"/>
        <v>0</v>
      </c>
    </row>
    <row r="625" spans="1:20" x14ac:dyDescent="0.25">
      <c r="A625" s="5"/>
      <c r="C625"/>
      <c r="D625"/>
      <c r="P625">
        <f t="shared" si="944"/>
        <v>0</v>
      </c>
      <c r="Q625">
        <f t="shared" si="945"/>
        <v>0</v>
      </c>
      <c r="R625">
        <f t="shared" si="946"/>
        <v>0</v>
      </c>
      <c r="S625">
        <f t="shared" si="947"/>
        <v>0</v>
      </c>
      <c r="T625">
        <f t="shared" si="948"/>
        <v>0</v>
      </c>
    </row>
    <row r="626" spans="1:20" x14ac:dyDescent="0.25">
      <c r="A626" s="5"/>
      <c r="C626"/>
      <c r="D626"/>
      <c r="P626">
        <f t="shared" si="944"/>
        <v>0</v>
      </c>
      <c r="Q626">
        <f t="shared" si="945"/>
        <v>0</v>
      </c>
      <c r="R626">
        <f t="shared" si="946"/>
        <v>0</v>
      </c>
      <c r="S626">
        <f t="shared" si="947"/>
        <v>0</v>
      </c>
      <c r="T626">
        <f t="shared" si="948"/>
        <v>0</v>
      </c>
    </row>
    <row r="627" spans="1:20" x14ac:dyDescent="0.25">
      <c r="A627" s="5"/>
      <c r="C627"/>
      <c r="D627"/>
      <c r="P627">
        <f t="shared" si="944"/>
        <v>0</v>
      </c>
      <c r="Q627">
        <f t="shared" si="945"/>
        <v>0</v>
      </c>
      <c r="R627">
        <f t="shared" si="946"/>
        <v>0</v>
      </c>
      <c r="S627">
        <f t="shared" si="947"/>
        <v>0</v>
      </c>
      <c r="T627">
        <f t="shared" si="948"/>
        <v>0</v>
      </c>
    </row>
    <row r="628" spans="1:20" x14ac:dyDescent="0.25">
      <c r="A628" s="5"/>
      <c r="C628"/>
      <c r="D628"/>
      <c r="P628">
        <f t="shared" si="944"/>
        <v>0</v>
      </c>
      <c r="Q628">
        <f t="shared" si="945"/>
        <v>0</v>
      </c>
      <c r="R628">
        <f t="shared" si="946"/>
        <v>0</v>
      </c>
      <c r="S628">
        <f t="shared" si="947"/>
        <v>0</v>
      </c>
      <c r="T628">
        <f t="shared" si="948"/>
        <v>0</v>
      </c>
    </row>
    <row r="629" spans="1:20" x14ac:dyDescent="0.25">
      <c r="A629" s="5"/>
      <c r="C629"/>
      <c r="D629"/>
      <c r="P629">
        <f t="shared" si="944"/>
        <v>0</v>
      </c>
      <c r="Q629">
        <f t="shared" si="945"/>
        <v>0</v>
      </c>
      <c r="R629">
        <f t="shared" si="946"/>
        <v>0</v>
      </c>
      <c r="S629">
        <f t="shared" si="947"/>
        <v>0</v>
      </c>
      <c r="T629">
        <f t="shared" si="948"/>
        <v>0</v>
      </c>
    </row>
    <row r="630" spans="1:20" x14ac:dyDescent="0.25">
      <c r="A630" s="5"/>
      <c r="C630"/>
      <c r="D630"/>
      <c r="P630">
        <f t="shared" si="944"/>
        <v>0</v>
      </c>
      <c r="Q630">
        <f t="shared" si="945"/>
        <v>0</v>
      </c>
      <c r="R630">
        <f t="shared" si="946"/>
        <v>0</v>
      </c>
      <c r="S630">
        <f t="shared" si="947"/>
        <v>0</v>
      </c>
      <c r="T630">
        <f t="shared" si="948"/>
        <v>0</v>
      </c>
    </row>
    <row r="631" spans="1:20" x14ac:dyDescent="0.25">
      <c r="A631" s="5"/>
      <c r="C631"/>
      <c r="D631"/>
      <c r="P631">
        <f t="shared" si="944"/>
        <v>0</v>
      </c>
      <c r="Q631">
        <f t="shared" si="945"/>
        <v>0</v>
      </c>
      <c r="R631">
        <f t="shared" si="946"/>
        <v>0</v>
      </c>
      <c r="S631">
        <f t="shared" si="947"/>
        <v>0</v>
      </c>
      <c r="T631">
        <f t="shared" si="948"/>
        <v>0</v>
      </c>
    </row>
    <row r="632" spans="1:20" x14ac:dyDescent="0.25">
      <c r="A632" s="5"/>
      <c r="C632"/>
      <c r="D632"/>
      <c r="P632">
        <f t="shared" si="944"/>
        <v>0</v>
      </c>
      <c r="Q632">
        <f t="shared" si="945"/>
        <v>0</v>
      </c>
      <c r="R632">
        <f t="shared" si="946"/>
        <v>0</v>
      </c>
      <c r="S632">
        <f t="shared" si="947"/>
        <v>0</v>
      </c>
      <c r="T632">
        <f t="shared" si="948"/>
        <v>0</v>
      </c>
    </row>
    <row r="633" spans="1:20" x14ac:dyDescent="0.25">
      <c r="A633" s="5"/>
      <c r="C633"/>
      <c r="D633"/>
      <c r="P633">
        <f t="shared" si="944"/>
        <v>0</v>
      </c>
      <c r="Q633">
        <f t="shared" si="945"/>
        <v>0</v>
      </c>
      <c r="R633">
        <f t="shared" si="946"/>
        <v>0</v>
      </c>
      <c r="S633">
        <f t="shared" si="947"/>
        <v>0</v>
      </c>
      <c r="T633">
        <f t="shared" si="948"/>
        <v>0</v>
      </c>
    </row>
    <row r="634" spans="1:20" x14ac:dyDescent="0.25">
      <c r="A634" s="5"/>
      <c r="C634"/>
      <c r="D634"/>
      <c r="P634">
        <f t="shared" si="944"/>
        <v>0</v>
      </c>
      <c r="Q634">
        <f t="shared" si="945"/>
        <v>0</v>
      </c>
      <c r="R634">
        <f t="shared" si="946"/>
        <v>0</v>
      </c>
      <c r="S634">
        <f t="shared" si="947"/>
        <v>0</v>
      </c>
      <c r="T634">
        <f t="shared" si="948"/>
        <v>0</v>
      </c>
    </row>
    <row r="635" spans="1:20" x14ac:dyDescent="0.25">
      <c r="A635" s="5"/>
      <c r="C635"/>
      <c r="D635"/>
      <c r="P635">
        <f t="shared" si="944"/>
        <v>0</v>
      </c>
      <c r="Q635">
        <f t="shared" si="945"/>
        <v>0</v>
      </c>
      <c r="R635">
        <f t="shared" si="946"/>
        <v>0</v>
      </c>
      <c r="S635">
        <f t="shared" si="947"/>
        <v>0</v>
      </c>
      <c r="T635">
        <f t="shared" si="948"/>
        <v>0</v>
      </c>
    </row>
    <row r="636" spans="1:20" x14ac:dyDescent="0.25">
      <c r="A636" s="5"/>
      <c r="C636"/>
      <c r="D636"/>
      <c r="P636">
        <f t="shared" si="944"/>
        <v>0</v>
      </c>
      <c r="Q636">
        <f t="shared" si="945"/>
        <v>0</v>
      </c>
      <c r="R636">
        <f t="shared" si="946"/>
        <v>0</v>
      </c>
      <c r="S636">
        <f t="shared" si="947"/>
        <v>0</v>
      </c>
      <c r="T636">
        <f t="shared" si="948"/>
        <v>0</v>
      </c>
    </row>
    <row r="637" spans="1:20" x14ac:dyDescent="0.25">
      <c r="A637" s="5"/>
      <c r="C637"/>
      <c r="D637"/>
      <c r="P637">
        <f t="shared" ref="P637:P700" si="949">IF(C637=D637,0,((E637-D637)-(C637-E637))/(C637-D637))</f>
        <v>0</v>
      </c>
      <c r="Q637">
        <f t="shared" ref="Q637:Q700" si="950">F637*P637</f>
        <v>0</v>
      </c>
      <c r="R637">
        <f t="shared" ref="R637:R700" si="951">R638+Q637</f>
        <v>0</v>
      </c>
      <c r="S637">
        <f t="shared" ref="S637:S700" si="952">R637/100000</f>
        <v>0</v>
      </c>
      <c r="T637">
        <f t="shared" ref="T637:T700" si="953">S637/1000</f>
        <v>0</v>
      </c>
    </row>
    <row r="638" spans="1:20" x14ac:dyDescent="0.25">
      <c r="A638" s="5"/>
      <c r="C638"/>
      <c r="D638"/>
      <c r="P638">
        <f t="shared" si="949"/>
        <v>0</v>
      </c>
      <c r="Q638">
        <f t="shared" si="950"/>
        <v>0</v>
      </c>
      <c r="R638">
        <f t="shared" si="951"/>
        <v>0</v>
      </c>
      <c r="S638">
        <f t="shared" si="952"/>
        <v>0</v>
      </c>
      <c r="T638">
        <f t="shared" si="953"/>
        <v>0</v>
      </c>
    </row>
    <row r="639" spans="1:20" x14ac:dyDescent="0.25">
      <c r="A639" s="5"/>
      <c r="C639"/>
      <c r="D639"/>
      <c r="P639">
        <f t="shared" si="949"/>
        <v>0</v>
      </c>
      <c r="Q639">
        <f t="shared" si="950"/>
        <v>0</v>
      </c>
      <c r="R639">
        <f t="shared" si="951"/>
        <v>0</v>
      </c>
      <c r="S639">
        <f t="shared" si="952"/>
        <v>0</v>
      </c>
      <c r="T639">
        <f t="shared" si="953"/>
        <v>0</v>
      </c>
    </row>
    <row r="640" spans="1:20" x14ac:dyDescent="0.25">
      <c r="A640" s="5"/>
      <c r="C640"/>
      <c r="D640"/>
      <c r="P640">
        <f t="shared" si="949"/>
        <v>0</v>
      </c>
      <c r="Q640">
        <f t="shared" si="950"/>
        <v>0</v>
      </c>
      <c r="R640">
        <f t="shared" si="951"/>
        <v>0</v>
      </c>
      <c r="S640">
        <f t="shared" si="952"/>
        <v>0</v>
      </c>
      <c r="T640">
        <f t="shared" si="953"/>
        <v>0</v>
      </c>
    </row>
    <row r="641" spans="1:20" x14ac:dyDescent="0.25">
      <c r="A641" s="5"/>
      <c r="C641"/>
      <c r="D641"/>
      <c r="P641">
        <f t="shared" si="949"/>
        <v>0</v>
      </c>
      <c r="Q641">
        <f t="shared" si="950"/>
        <v>0</v>
      </c>
      <c r="R641">
        <f t="shared" si="951"/>
        <v>0</v>
      </c>
      <c r="S641">
        <f t="shared" si="952"/>
        <v>0</v>
      </c>
      <c r="T641">
        <f t="shared" si="953"/>
        <v>0</v>
      </c>
    </row>
    <row r="642" spans="1:20" x14ac:dyDescent="0.25">
      <c r="A642" s="5"/>
      <c r="C642"/>
      <c r="D642"/>
      <c r="P642">
        <f t="shared" si="949"/>
        <v>0</v>
      </c>
      <c r="Q642">
        <f t="shared" si="950"/>
        <v>0</v>
      </c>
      <c r="R642">
        <f t="shared" si="951"/>
        <v>0</v>
      </c>
      <c r="S642">
        <f t="shared" si="952"/>
        <v>0</v>
      </c>
      <c r="T642">
        <f t="shared" si="953"/>
        <v>0</v>
      </c>
    </row>
    <row r="643" spans="1:20" x14ac:dyDescent="0.25">
      <c r="A643" s="5"/>
      <c r="C643"/>
      <c r="D643"/>
      <c r="P643">
        <f t="shared" si="949"/>
        <v>0</v>
      </c>
      <c r="Q643">
        <f t="shared" si="950"/>
        <v>0</v>
      </c>
      <c r="R643">
        <f t="shared" si="951"/>
        <v>0</v>
      </c>
      <c r="S643">
        <f t="shared" si="952"/>
        <v>0</v>
      </c>
      <c r="T643">
        <f t="shared" si="953"/>
        <v>0</v>
      </c>
    </row>
    <row r="644" spans="1:20" x14ac:dyDescent="0.25">
      <c r="A644" s="5"/>
      <c r="C644"/>
      <c r="D644"/>
      <c r="P644">
        <f t="shared" si="949"/>
        <v>0</v>
      </c>
      <c r="Q644">
        <f t="shared" si="950"/>
        <v>0</v>
      </c>
      <c r="R644">
        <f t="shared" si="951"/>
        <v>0</v>
      </c>
      <c r="S644">
        <f t="shared" si="952"/>
        <v>0</v>
      </c>
      <c r="T644">
        <f t="shared" si="953"/>
        <v>0</v>
      </c>
    </row>
    <row r="645" spans="1:20" x14ac:dyDescent="0.25">
      <c r="A645" s="5"/>
      <c r="C645"/>
      <c r="D645"/>
      <c r="P645">
        <f t="shared" si="949"/>
        <v>0</v>
      </c>
      <c r="Q645">
        <f t="shared" si="950"/>
        <v>0</v>
      </c>
      <c r="R645">
        <f t="shared" si="951"/>
        <v>0</v>
      </c>
      <c r="S645">
        <f t="shared" si="952"/>
        <v>0</v>
      </c>
      <c r="T645">
        <f t="shared" si="953"/>
        <v>0</v>
      </c>
    </row>
    <row r="646" spans="1:20" x14ac:dyDescent="0.25">
      <c r="A646" s="5"/>
      <c r="C646"/>
      <c r="D646"/>
      <c r="P646">
        <f t="shared" si="949"/>
        <v>0</v>
      </c>
      <c r="Q646">
        <f t="shared" si="950"/>
        <v>0</v>
      </c>
      <c r="R646">
        <f t="shared" si="951"/>
        <v>0</v>
      </c>
      <c r="S646">
        <f t="shared" si="952"/>
        <v>0</v>
      </c>
      <c r="T646">
        <f t="shared" si="953"/>
        <v>0</v>
      </c>
    </row>
    <row r="647" spans="1:20" x14ac:dyDescent="0.25">
      <c r="A647" s="5"/>
      <c r="C647"/>
      <c r="D647"/>
      <c r="P647">
        <f t="shared" si="949"/>
        <v>0</v>
      </c>
      <c r="Q647">
        <f t="shared" si="950"/>
        <v>0</v>
      </c>
      <c r="R647">
        <f t="shared" si="951"/>
        <v>0</v>
      </c>
      <c r="S647">
        <f t="shared" si="952"/>
        <v>0</v>
      </c>
      <c r="T647">
        <f t="shared" si="953"/>
        <v>0</v>
      </c>
    </row>
    <row r="648" spans="1:20" x14ac:dyDescent="0.25">
      <c r="A648" s="5"/>
      <c r="C648"/>
      <c r="D648"/>
      <c r="P648">
        <f t="shared" si="949"/>
        <v>0</v>
      </c>
      <c r="Q648">
        <f t="shared" si="950"/>
        <v>0</v>
      </c>
      <c r="R648">
        <f t="shared" si="951"/>
        <v>0</v>
      </c>
      <c r="S648">
        <f t="shared" si="952"/>
        <v>0</v>
      </c>
      <c r="T648">
        <f t="shared" si="953"/>
        <v>0</v>
      </c>
    </row>
    <row r="649" spans="1:20" x14ac:dyDescent="0.25">
      <c r="A649" s="5"/>
      <c r="C649"/>
      <c r="D649"/>
      <c r="P649">
        <f t="shared" si="949"/>
        <v>0</v>
      </c>
      <c r="Q649">
        <f t="shared" si="950"/>
        <v>0</v>
      </c>
      <c r="R649">
        <f t="shared" si="951"/>
        <v>0</v>
      </c>
      <c r="S649">
        <f t="shared" si="952"/>
        <v>0</v>
      </c>
      <c r="T649">
        <f t="shared" si="953"/>
        <v>0</v>
      </c>
    </row>
    <row r="650" spans="1:20" x14ac:dyDescent="0.25">
      <c r="A650" s="5"/>
      <c r="C650"/>
      <c r="D650"/>
      <c r="P650">
        <f t="shared" si="949"/>
        <v>0</v>
      </c>
      <c r="Q650">
        <f t="shared" si="950"/>
        <v>0</v>
      </c>
      <c r="R650">
        <f t="shared" si="951"/>
        <v>0</v>
      </c>
      <c r="S650">
        <f t="shared" si="952"/>
        <v>0</v>
      </c>
      <c r="T650">
        <f t="shared" si="953"/>
        <v>0</v>
      </c>
    </row>
    <row r="651" spans="1:20" x14ac:dyDescent="0.25">
      <c r="A651" s="5"/>
      <c r="C651"/>
      <c r="D651"/>
      <c r="P651">
        <f t="shared" si="949"/>
        <v>0</v>
      </c>
      <c r="Q651">
        <f t="shared" si="950"/>
        <v>0</v>
      </c>
      <c r="R651">
        <f t="shared" si="951"/>
        <v>0</v>
      </c>
      <c r="S651">
        <f t="shared" si="952"/>
        <v>0</v>
      </c>
      <c r="T651">
        <f t="shared" si="953"/>
        <v>0</v>
      </c>
    </row>
    <row r="652" spans="1:20" x14ac:dyDescent="0.25">
      <c r="A652" s="5"/>
      <c r="P652">
        <f t="shared" si="949"/>
        <v>0</v>
      </c>
      <c r="Q652">
        <f t="shared" si="950"/>
        <v>0</v>
      </c>
      <c r="R652">
        <f t="shared" si="951"/>
        <v>0</v>
      </c>
      <c r="S652">
        <f t="shared" si="952"/>
        <v>0</v>
      </c>
      <c r="T652">
        <f t="shared" si="953"/>
        <v>0</v>
      </c>
    </row>
    <row r="653" spans="1:20" x14ac:dyDescent="0.25">
      <c r="A653" s="5"/>
      <c r="P653">
        <f t="shared" si="949"/>
        <v>0</v>
      </c>
      <c r="Q653">
        <f t="shared" si="950"/>
        <v>0</v>
      </c>
      <c r="R653">
        <f t="shared" si="951"/>
        <v>0</v>
      </c>
      <c r="S653">
        <f t="shared" si="952"/>
        <v>0</v>
      </c>
      <c r="T653">
        <f t="shared" si="953"/>
        <v>0</v>
      </c>
    </row>
    <row r="654" spans="1:20" x14ac:dyDescent="0.25">
      <c r="A654" s="5"/>
      <c r="P654">
        <f t="shared" si="949"/>
        <v>0</v>
      </c>
      <c r="Q654">
        <f t="shared" si="950"/>
        <v>0</v>
      </c>
      <c r="R654">
        <f t="shared" si="951"/>
        <v>0</v>
      </c>
      <c r="S654">
        <f t="shared" si="952"/>
        <v>0</v>
      </c>
      <c r="T654">
        <f t="shared" si="953"/>
        <v>0</v>
      </c>
    </row>
    <row r="655" spans="1:20" x14ac:dyDescent="0.25">
      <c r="A655" s="5"/>
      <c r="C655" s="4"/>
      <c r="D655" s="4"/>
      <c r="P655">
        <f t="shared" si="949"/>
        <v>0</v>
      </c>
      <c r="Q655">
        <f t="shared" si="950"/>
        <v>0</v>
      </c>
      <c r="R655">
        <f t="shared" si="951"/>
        <v>0</v>
      </c>
      <c r="S655">
        <f t="shared" si="952"/>
        <v>0</v>
      </c>
      <c r="T655">
        <f t="shared" si="953"/>
        <v>0</v>
      </c>
    </row>
    <row r="656" spans="1:20" x14ac:dyDescent="0.25">
      <c r="A656" s="5"/>
      <c r="C656" s="4"/>
      <c r="D656" s="4"/>
      <c r="P656">
        <f t="shared" si="949"/>
        <v>0</v>
      </c>
      <c r="Q656">
        <f t="shared" si="950"/>
        <v>0</v>
      </c>
      <c r="R656">
        <f t="shared" si="951"/>
        <v>0</v>
      </c>
      <c r="S656">
        <f t="shared" si="952"/>
        <v>0</v>
      </c>
      <c r="T656">
        <f t="shared" si="953"/>
        <v>0</v>
      </c>
    </row>
    <row r="657" spans="1:20" x14ac:dyDescent="0.25">
      <c r="A657" s="5"/>
      <c r="C657" s="4"/>
      <c r="D657" s="4"/>
      <c r="P657">
        <f t="shared" si="949"/>
        <v>0</v>
      </c>
      <c r="Q657">
        <f t="shared" si="950"/>
        <v>0</v>
      </c>
      <c r="R657">
        <f t="shared" si="951"/>
        <v>0</v>
      </c>
      <c r="S657">
        <f t="shared" si="952"/>
        <v>0</v>
      </c>
      <c r="T657">
        <f t="shared" si="953"/>
        <v>0</v>
      </c>
    </row>
    <row r="658" spans="1:20" x14ac:dyDescent="0.25">
      <c r="A658" s="5"/>
      <c r="C658" s="4"/>
      <c r="D658" s="4"/>
      <c r="P658">
        <f t="shared" si="949"/>
        <v>0</v>
      </c>
      <c r="Q658">
        <f t="shared" si="950"/>
        <v>0</v>
      </c>
      <c r="R658">
        <f t="shared" si="951"/>
        <v>0</v>
      </c>
      <c r="S658">
        <f t="shared" si="952"/>
        <v>0</v>
      </c>
      <c r="T658">
        <f t="shared" si="953"/>
        <v>0</v>
      </c>
    </row>
    <row r="659" spans="1:20" x14ac:dyDescent="0.25">
      <c r="A659" s="5"/>
      <c r="C659" s="4"/>
      <c r="D659" s="4"/>
      <c r="P659">
        <f t="shared" si="949"/>
        <v>0</v>
      </c>
      <c r="Q659">
        <f t="shared" si="950"/>
        <v>0</v>
      </c>
      <c r="R659">
        <f t="shared" si="951"/>
        <v>0</v>
      </c>
      <c r="S659">
        <f t="shared" si="952"/>
        <v>0</v>
      </c>
      <c r="T659">
        <f t="shared" si="953"/>
        <v>0</v>
      </c>
    </row>
    <row r="660" spans="1:20" x14ac:dyDescent="0.25">
      <c r="A660" s="5"/>
      <c r="C660" s="4"/>
      <c r="D660" s="4"/>
      <c r="P660">
        <f t="shared" si="949"/>
        <v>0</v>
      </c>
      <c r="Q660">
        <f t="shared" si="950"/>
        <v>0</v>
      </c>
      <c r="R660">
        <f t="shared" si="951"/>
        <v>0</v>
      </c>
      <c r="S660">
        <f t="shared" si="952"/>
        <v>0</v>
      </c>
      <c r="T660">
        <f t="shared" si="953"/>
        <v>0</v>
      </c>
    </row>
    <row r="661" spans="1:20" x14ac:dyDescent="0.25">
      <c r="A661" s="5"/>
      <c r="C661" s="4"/>
      <c r="D661" s="4"/>
      <c r="P661">
        <f t="shared" si="949"/>
        <v>0</v>
      </c>
      <c r="Q661">
        <f t="shared" si="950"/>
        <v>0</v>
      </c>
      <c r="R661">
        <f t="shared" si="951"/>
        <v>0</v>
      </c>
      <c r="S661">
        <f t="shared" si="952"/>
        <v>0</v>
      </c>
      <c r="T661">
        <f t="shared" si="953"/>
        <v>0</v>
      </c>
    </row>
    <row r="662" spans="1:20" x14ac:dyDescent="0.25">
      <c r="A662" s="5"/>
      <c r="C662" s="4"/>
      <c r="D662" s="4"/>
      <c r="P662">
        <f t="shared" si="949"/>
        <v>0</v>
      </c>
      <c r="Q662">
        <f t="shared" si="950"/>
        <v>0</v>
      </c>
      <c r="R662">
        <f t="shared" si="951"/>
        <v>0</v>
      </c>
      <c r="S662">
        <f t="shared" si="952"/>
        <v>0</v>
      </c>
      <c r="T662">
        <f t="shared" si="953"/>
        <v>0</v>
      </c>
    </row>
    <row r="663" spans="1:20" x14ac:dyDescent="0.25">
      <c r="A663" s="5"/>
      <c r="C663" s="4"/>
      <c r="D663" s="4"/>
      <c r="P663">
        <f t="shared" si="949"/>
        <v>0</v>
      </c>
      <c r="Q663">
        <f t="shared" si="950"/>
        <v>0</v>
      </c>
      <c r="R663">
        <f t="shared" si="951"/>
        <v>0</v>
      </c>
      <c r="S663">
        <f t="shared" si="952"/>
        <v>0</v>
      </c>
      <c r="T663">
        <f t="shared" si="953"/>
        <v>0</v>
      </c>
    </row>
    <row r="664" spans="1:20" x14ac:dyDescent="0.25">
      <c r="A664" s="5"/>
      <c r="C664" s="4"/>
      <c r="D664" s="4"/>
      <c r="P664">
        <f t="shared" si="949"/>
        <v>0</v>
      </c>
      <c r="Q664">
        <f t="shared" si="950"/>
        <v>0</v>
      </c>
      <c r="R664">
        <f t="shared" si="951"/>
        <v>0</v>
      </c>
      <c r="S664">
        <f t="shared" si="952"/>
        <v>0</v>
      </c>
      <c r="T664">
        <f t="shared" si="953"/>
        <v>0</v>
      </c>
    </row>
    <row r="665" spans="1:20" x14ac:dyDescent="0.25">
      <c r="A665" s="5"/>
      <c r="C665" s="4"/>
      <c r="D665" s="4"/>
      <c r="P665">
        <f t="shared" si="949"/>
        <v>0</v>
      </c>
      <c r="Q665">
        <f t="shared" si="950"/>
        <v>0</v>
      </c>
      <c r="R665">
        <f t="shared" si="951"/>
        <v>0</v>
      </c>
      <c r="S665">
        <f t="shared" si="952"/>
        <v>0</v>
      </c>
      <c r="T665">
        <f t="shared" si="953"/>
        <v>0</v>
      </c>
    </row>
    <row r="666" spans="1:20" x14ac:dyDescent="0.25">
      <c r="A666" s="5"/>
      <c r="C666" s="4"/>
      <c r="D666" s="4"/>
      <c r="P666">
        <f t="shared" si="949"/>
        <v>0</v>
      </c>
      <c r="Q666">
        <f t="shared" si="950"/>
        <v>0</v>
      </c>
      <c r="R666">
        <f t="shared" si="951"/>
        <v>0</v>
      </c>
      <c r="S666">
        <f t="shared" si="952"/>
        <v>0</v>
      </c>
      <c r="T666">
        <f t="shared" si="953"/>
        <v>0</v>
      </c>
    </row>
    <row r="667" spans="1:20" x14ac:dyDescent="0.25">
      <c r="A667" s="5"/>
      <c r="C667" s="4"/>
      <c r="D667" s="4"/>
      <c r="P667">
        <f t="shared" si="949"/>
        <v>0</v>
      </c>
      <c r="Q667">
        <f t="shared" si="950"/>
        <v>0</v>
      </c>
      <c r="R667">
        <f t="shared" si="951"/>
        <v>0</v>
      </c>
      <c r="S667">
        <f t="shared" si="952"/>
        <v>0</v>
      </c>
      <c r="T667">
        <f t="shared" si="953"/>
        <v>0</v>
      </c>
    </row>
    <row r="668" spans="1:20" x14ac:dyDescent="0.25">
      <c r="A668" s="5"/>
      <c r="C668" s="4"/>
      <c r="D668" s="4"/>
      <c r="P668">
        <f t="shared" si="949"/>
        <v>0</v>
      </c>
      <c r="Q668">
        <f t="shared" si="950"/>
        <v>0</v>
      </c>
      <c r="R668">
        <f t="shared" si="951"/>
        <v>0</v>
      </c>
      <c r="S668">
        <f t="shared" si="952"/>
        <v>0</v>
      </c>
      <c r="T668">
        <f t="shared" si="953"/>
        <v>0</v>
      </c>
    </row>
    <row r="669" spans="1:20" x14ac:dyDescent="0.25">
      <c r="A669" s="5"/>
      <c r="C669" s="4"/>
      <c r="D669" s="4"/>
      <c r="P669">
        <f t="shared" si="949"/>
        <v>0</v>
      </c>
      <c r="Q669">
        <f t="shared" si="950"/>
        <v>0</v>
      </c>
      <c r="R669">
        <f t="shared" si="951"/>
        <v>0</v>
      </c>
      <c r="S669">
        <f t="shared" si="952"/>
        <v>0</v>
      </c>
      <c r="T669">
        <f t="shared" si="953"/>
        <v>0</v>
      </c>
    </row>
    <row r="670" spans="1:20" x14ac:dyDescent="0.25">
      <c r="A670" s="5"/>
      <c r="C670" s="4"/>
      <c r="D670" s="4"/>
      <c r="P670">
        <f t="shared" si="949"/>
        <v>0</v>
      </c>
      <c r="Q670">
        <f t="shared" si="950"/>
        <v>0</v>
      </c>
      <c r="R670">
        <f t="shared" si="951"/>
        <v>0</v>
      </c>
      <c r="S670">
        <f t="shared" si="952"/>
        <v>0</v>
      </c>
      <c r="T670">
        <f t="shared" si="953"/>
        <v>0</v>
      </c>
    </row>
    <row r="671" spans="1:20" x14ac:dyDescent="0.25">
      <c r="A671" s="5"/>
      <c r="C671" s="4"/>
      <c r="D671" s="4"/>
      <c r="P671">
        <f t="shared" si="949"/>
        <v>0</v>
      </c>
      <c r="Q671">
        <f t="shared" si="950"/>
        <v>0</v>
      </c>
      <c r="R671">
        <f t="shared" si="951"/>
        <v>0</v>
      </c>
      <c r="S671">
        <f t="shared" si="952"/>
        <v>0</v>
      </c>
      <c r="T671">
        <f t="shared" si="953"/>
        <v>0</v>
      </c>
    </row>
    <row r="672" spans="1:20" x14ac:dyDescent="0.25">
      <c r="A672" s="5"/>
      <c r="C672" s="4"/>
      <c r="D672" s="4"/>
      <c r="P672">
        <f t="shared" si="949"/>
        <v>0</v>
      </c>
      <c r="Q672">
        <f t="shared" si="950"/>
        <v>0</v>
      </c>
      <c r="R672">
        <f t="shared" si="951"/>
        <v>0</v>
      </c>
      <c r="S672">
        <f t="shared" si="952"/>
        <v>0</v>
      </c>
      <c r="T672">
        <f t="shared" si="953"/>
        <v>0</v>
      </c>
    </row>
    <row r="673" spans="1:20" x14ac:dyDescent="0.25">
      <c r="A673" s="5"/>
      <c r="C673" s="4"/>
      <c r="D673" s="4"/>
      <c r="P673">
        <f t="shared" si="949"/>
        <v>0</v>
      </c>
      <c r="Q673">
        <f t="shared" si="950"/>
        <v>0</v>
      </c>
      <c r="R673">
        <f t="shared" si="951"/>
        <v>0</v>
      </c>
      <c r="S673">
        <f t="shared" si="952"/>
        <v>0</v>
      </c>
      <c r="T673">
        <f t="shared" si="953"/>
        <v>0</v>
      </c>
    </row>
    <row r="674" spans="1:20" x14ac:dyDescent="0.25">
      <c r="A674" s="5"/>
      <c r="C674" s="4"/>
      <c r="D674" s="4"/>
      <c r="P674">
        <f t="shared" si="949"/>
        <v>0</v>
      </c>
      <c r="Q674">
        <f t="shared" si="950"/>
        <v>0</v>
      </c>
      <c r="R674">
        <f t="shared" si="951"/>
        <v>0</v>
      </c>
      <c r="S674">
        <f t="shared" si="952"/>
        <v>0</v>
      </c>
      <c r="T674">
        <f t="shared" si="953"/>
        <v>0</v>
      </c>
    </row>
    <row r="675" spans="1:20" x14ac:dyDescent="0.25">
      <c r="A675" s="5"/>
      <c r="C675" s="4"/>
      <c r="D675" s="4"/>
      <c r="P675">
        <f t="shared" si="949"/>
        <v>0</v>
      </c>
      <c r="Q675">
        <f t="shared" si="950"/>
        <v>0</v>
      </c>
      <c r="R675">
        <f t="shared" si="951"/>
        <v>0</v>
      </c>
      <c r="S675">
        <f t="shared" si="952"/>
        <v>0</v>
      </c>
      <c r="T675">
        <f t="shared" si="953"/>
        <v>0</v>
      </c>
    </row>
    <row r="676" spans="1:20" x14ac:dyDescent="0.25">
      <c r="A676" s="5"/>
      <c r="C676" s="4"/>
      <c r="D676" s="4"/>
      <c r="P676">
        <f t="shared" si="949"/>
        <v>0</v>
      </c>
      <c r="Q676">
        <f t="shared" si="950"/>
        <v>0</v>
      </c>
      <c r="R676">
        <f t="shared" si="951"/>
        <v>0</v>
      </c>
      <c r="S676">
        <f t="shared" si="952"/>
        <v>0</v>
      </c>
      <c r="T676">
        <f t="shared" si="953"/>
        <v>0</v>
      </c>
    </row>
    <row r="677" spans="1:20" x14ac:dyDescent="0.25">
      <c r="A677" s="5"/>
      <c r="C677" s="4"/>
      <c r="D677" s="4"/>
      <c r="P677">
        <f t="shared" si="949"/>
        <v>0</v>
      </c>
      <c r="Q677">
        <f t="shared" si="950"/>
        <v>0</v>
      </c>
      <c r="R677">
        <f t="shared" si="951"/>
        <v>0</v>
      </c>
      <c r="S677">
        <f t="shared" si="952"/>
        <v>0</v>
      </c>
      <c r="T677">
        <f t="shared" si="953"/>
        <v>0</v>
      </c>
    </row>
    <row r="678" spans="1:20" x14ac:dyDescent="0.25">
      <c r="A678" s="5"/>
      <c r="C678" s="4"/>
      <c r="D678" s="4"/>
      <c r="P678">
        <f t="shared" si="949"/>
        <v>0</v>
      </c>
      <c r="Q678">
        <f t="shared" si="950"/>
        <v>0</v>
      </c>
      <c r="R678">
        <f t="shared" si="951"/>
        <v>0</v>
      </c>
      <c r="S678">
        <f t="shared" si="952"/>
        <v>0</v>
      </c>
      <c r="T678">
        <f t="shared" si="953"/>
        <v>0</v>
      </c>
    </row>
    <row r="679" spans="1:20" x14ac:dyDescent="0.25">
      <c r="A679" s="5"/>
      <c r="C679" s="4"/>
      <c r="D679" s="4"/>
      <c r="P679">
        <f t="shared" si="949"/>
        <v>0</v>
      </c>
      <c r="Q679">
        <f t="shared" si="950"/>
        <v>0</v>
      </c>
      <c r="R679">
        <f t="shared" si="951"/>
        <v>0</v>
      </c>
      <c r="S679">
        <f t="shared" si="952"/>
        <v>0</v>
      </c>
      <c r="T679">
        <f t="shared" si="953"/>
        <v>0</v>
      </c>
    </row>
    <row r="680" spans="1:20" x14ac:dyDescent="0.25">
      <c r="A680" s="5"/>
      <c r="C680" s="4"/>
      <c r="D680" s="4"/>
      <c r="P680">
        <f t="shared" si="949"/>
        <v>0</v>
      </c>
      <c r="Q680">
        <f t="shared" si="950"/>
        <v>0</v>
      </c>
      <c r="R680">
        <f t="shared" si="951"/>
        <v>0</v>
      </c>
      <c r="S680">
        <f t="shared" si="952"/>
        <v>0</v>
      </c>
      <c r="T680">
        <f t="shared" si="953"/>
        <v>0</v>
      </c>
    </row>
    <row r="681" spans="1:20" x14ac:dyDescent="0.25">
      <c r="A681" s="5"/>
      <c r="C681" s="4"/>
      <c r="D681" s="4"/>
      <c r="P681">
        <f t="shared" si="949"/>
        <v>0</v>
      </c>
      <c r="Q681">
        <f t="shared" si="950"/>
        <v>0</v>
      </c>
      <c r="R681">
        <f t="shared" si="951"/>
        <v>0</v>
      </c>
      <c r="S681">
        <f t="shared" si="952"/>
        <v>0</v>
      </c>
      <c r="T681">
        <f t="shared" si="953"/>
        <v>0</v>
      </c>
    </row>
    <row r="682" spans="1:20" x14ac:dyDescent="0.25">
      <c r="A682" s="5"/>
      <c r="C682" s="4"/>
      <c r="D682" s="4"/>
      <c r="P682">
        <f t="shared" si="949"/>
        <v>0</v>
      </c>
      <c r="Q682">
        <f t="shared" si="950"/>
        <v>0</v>
      </c>
      <c r="R682">
        <f t="shared" si="951"/>
        <v>0</v>
      </c>
      <c r="S682">
        <f t="shared" si="952"/>
        <v>0</v>
      </c>
      <c r="T682">
        <f t="shared" si="953"/>
        <v>0</v>
      </c>
    </row>
    <row r="683" spans="1:20" x14ac:dyDescent="0.25">
      <c r="A683" s="5"/>
      <c r="C683" s="4"/>
      <c r="D683" s="4"/>
      <c r="P683">
        <f t="shared" si="949"/>
        <v>0</v>
      </c>
      <c r="Q683">
        <f t="shared" si="950"/>
        <v>0</v>
      </c>
      <c r="R683">
        <f t="shared" si="951"/>
        <v>0</v>
      </c>
      <c r="S683">
        <f t="shared" si="952"/>
        <v>0</v>
      </c>
      <c r="T683">
        <f t="shared" si="953"/>
        <v>0</v>
      </c>
    </row>
    <row r="684" spans="1:20" x14ac:dyDescent="0.25">
      <c r="A684" s="5"/>
      <c r="C684" s="4"/>
      <c r="D684" s="4"/>
      <c r="P684">
        <f t="shared" si="949"/>
        <v>0</v>
      </c>
      <c r="Q684">
        <f t="shared" si="950"/>
        <v>0</v>
      </c>
      <c r="R684">
        <f t="shared" si="951"/>
        <v>0</v>
      </c>
      <c r="S684">
        <f t="shared" si="952"/>
        <v>0</v>
      </c>
      <c r="T684">
        <f t="shared" si="953"/>
        <v>0</v>
      </c>
    </row>
    <row r="685" spans="1:20" x14ac:dyDescent="0.25">
      <c r="A685" s="5"/>
      <c r="C685" s="4"/>
      <c r="D685" s="4"/>
      <c r="P685">
        <f t="shared" si="949"/>
        <v>0</v>
      </c>
      <c r="Q685">
        <f t="shared" si="950"/>
        <v>0</v>
      </c>
      <c r="R685">
        <f t="shared" si="951"/>
        <v>0</v>
      </c>
      <c r="S685">
        <f t="shared" si="952"/>
        <v>0</v>
      </c>
      <c r="T685">
        <f t="shared" si="953"/>
        <v>0</v>
      </c>
    </row>
    <row r="686" spans="1:20" x14ac:dyDescent="0.25">
      <c r="A686" s="5"/>
      <c r="C686" s="4"/>
      <c r="D686" s="4"/>
      <c r="P686">
        <f t="shared" si="949"/>
        <v>0</v>
      </c>
      <c r="Q686">
        <f t="shared" si="950"/>
        <v>0</v>
      </c>
      <c r="R686">
        <f t="shared" si="951"/>
        <v>0</v>
      </c>
      <c r="S686">
        <f t="shared" si="952"/>
        <v>0</v>
      </c>
      <c r="T686">
        <f t="shared" si="953"/>
        <v>0</v>
      </c>
    </row>
    <row r="687" spans="1:20" x14ac:dyDescent="0.25">
      <c r="A687" s="5"/>
      <c r="C687" s="4"/>
      <c r="D687" s="4"/>
      <c r="P687">
        <f t="shared" si="949"/>
        <v>0</v>
      </c>
      <c r="Q687">
        <f t="shared" si="950"/>
        <v>0</v>
      </c>
      <c r="R687">
        <f t="shared" si="951"/>
        <v>0</v>
      </c>
      <c r="S687">
        <f t="shared" si="952"/>
        <v>0</v>
      </c>
      <c r="T687">
        <f t="shared" si="953"/>
        <v>0</v>
      </c>
    </row>
    <row r="688" spans="1:20" x14ac:dyDescent="0.25">
      <c r="A688" s="5"/>
      <c r="C688" s="4"/>
      <c r="D688" s="4"/>
      <c r="P688">
        <f t="shared" si="949"/>
        <v>0</v>
      </c>
      <c r="Q688">
        <f t="shared" si="950"/>
        <v>0</v>
      </c>
      <c r="R688">
        <f t="shared" si="951"/>
        <v>0</v>
      </c>
      <c r="S688">
        <f t="shared" si="952"/>
        <v>0</v>
      </c>
      <c r="T688">
        <f t="shared" si="953"/>
        <v>0</v>
      </c>
    </row>
    <row r="689" spans="1:20" x14ac:dyDescent="0.25">
      <c r="A689" s="5"/>
      <c r="C689" s="4"/>
      <c r="D689" s="4"/>
      <c r="P689">
        <f t="shared" si="949"/>
        <v>0</v>
      </c>
      <c r="Q689">
        <f t="shared" si="950"/>
        <v>0</v>
      </c>
      <c r="R689">
        <f t="shared" si="951"/>
        <v>0</v>
      </c>
      <c r="S689">
        <f t="shared" si="952"/>
        <v>0</v>
      </c>
      <c r="T689">
        <f t="shared" si="953"/>
        <v>0</v>
      </c>
    </row>
    <row r="690" spans="1:20" x14ac:dyDescent="0.25">
      <c r="A690" s="5"/>
      <c r="C690" s="4"/>
      <c r="D690" s="4"/>
      <c r="P690">
        <f t="shared" si="949"/>
        <v>0</v>
      </c>
      <c r="Q690">
        <f t="shared" si="950"/>
        <v>0</v>
      </c>
      <c r="R690">
        <f t="shared" si="951"/>
        <v>0</v>
      </c>
      <c r="S690">
        <f t="shared" si="952"/>
        <v>0</v>
      </c>
      <c r="T690">
        <f t="shared" si="953"/>
        <v>0</v>
      </c>
    </row>
    <row r="691" spans="1:20" x14ac:dyDescent="0.25">
      <c r="A691" s="5"/>
      <c r="C691" s="4"/>
      <c r="D691" s="4"/>
      <c r="P691">
        <f t="shared" si="949"/>
        <v>0</v>
      </c>
      <c r="Q691">
        <f t="shared" si="950"/>
        <v>0</v>
      </c>
      <c r="R691">
        <f t="shared" si="951"/>
        <v>0</v>
      </c>
      <c r="S691">
        <f t="shared" si="952"/>
        <v>0</v>
      </c>
      <c r="T691">
        <f t="shared" si="953"/>
        <v>0</v>
      </c>
    </row>
    <row r="692" spans="1:20" x14ac:dyDescent="0.25">
      <c r="A692" s="5"/>
      <c r="C692" s="4"/>
      <c r="D692" s="4"/>
      <c r="P692">
        <f t="shared" si="949"/>
        <v>0</v>
      </c>
      <c r="Q692">
        <f t="shared" si="950"/>
        <v>0</v>
      </c>
      <c r="R692">
        <f t="shared" si="951"/>
        <v>0</v>
      </c>
      <c r="S692">
        <f t="shared" si="952"/>
        <v>0</v>
      </c>
      <c r="T692">
        <f t="shared" si="953"/>
        <v>0</v>
      </c>
    </row>
    <row r="693" spans="1:20" x14ac:dyDescent="0.25">
      <c r="A693" s="5"/>
      <c r="C693" s="4"/>
      <c r="D693" s="4"/>
      <c r="P693">
        <f t="shared" si="949"/>
        <v>0</v>
      </c>
      <c r="Q693">
        <f t="shared" si="950"/>
        <v>0</v>
      </c>
      <c r="R693">
        <f t="shared" si="951"/>
        <v>0</v>
      </c>
      <c r="S693">
        <f t="shared" si="952"/>
        <v>0</v>
      </c>
      <c r="T693">
        <f t="shared" si="953"/>
        <v>0</v>
      </c>
    </row>
    <row r="694" spans="1:20" x14ac:dyDescent="0.25">
      <c r="A694" s="5"/>
      <c r="C694" s="4"/>
      <c r="D694" s="4"/>
      <c r="P694">
        <f t="shared" si="949"/>
        <v>0</v>
      </c>
      <c r="Q694">
        <f t="shared" si="950"/>
        <v>0</v>
      </c>
      <c r="R694">
        <f t="shared" si="951"/>
        <v>0</v>
      </c>
      <c r="S694">
        <f t="shared" si="952"/>
        <v>0</v>
      </c>
      <c r="T694">
        <f t="shared" si="953"/>
        <v>0</v>
      </c>
    </row>
    <row r="695" spans="1:20" x14ac:dyDescent="0.25">
      <c r="A695" s="5"/>
      <c r="C695" s="4"/>
      <c r="D695" s="4"/>
      <c r="P695">
        <f t="shared" si="949"/>
        <v>0</v>
      </c>
      <c r="Q695">
        <f t="shared" si="950"/>
        <v>0</v>
      </c>
      <c r="R695">
        <f t="shared" si="951"/>
        <v>0</v>
      </c>
      <c r="S695">
        <f t="shared" si="952"/>
        <v>0</v>
      </c>
      <c r="T695">
        <f t="shared" si="953"/>
        <v>0</v>
      </c>
    </row>
    <row r="696" spans="1:20" x14ac:dyDescent="0.25">
      <c r="A696" s="5"/>
      <c r="C696" s="4"/>
      <c r="D696" s="4"/>
      <c r="P696">
        <f t="shared" si="949"/>
        <v>0</v>
      </c>
      <c r="Q696">
        <f t="shared" si="950"/>
        <v>0</v>
      </c>
      <c r="R696">
        <f t="shared" si="951"/>
        <v>0</v>
      </c>
      <c r="S696">
        <f t="shared" si="952"/>
        <v>0</v>
      </c>
      <c r="T696">
        <f t="shared" si="953"/>
        <v>0</v>
      </c>
    </row>
    <row r="697" spans="1:20" x14ac:dyDescent="0.25">
      <c r="A697" s="5"/>
      <c r="C697" s="4"/>
      <c r="D697" s="4"/>
      <c r="P697">
        <f t="shared" si="949"/>
        <v>0</v>
      </c>
      <c r="Q697">
        <f t="shared" si="950"/>
        <v>0</v>
      </c>
      <c r="R697">
        <f t="shared" si="951"/>
        <v>0</v>
      </c>
      <c r="S697">
        <f t="shared" si="952"/>
        <v>0</v>
      </c>
      <c r="T697">
        <f t="shared" si="953"/>
        <v>0</v>
      </c>
    </row>
    <row r="698" spans="1:20" x14ac:dyDescent="0.25">
      <c r="A698" s="5"/>
      <c r="C698" s="4"/>
      <c r="D698" s="4"/>
      <c r="P698">
        <f t="shared" si="949"/>
        <v>0</v>
      </c>
      <c r="Q698">
        <f t="shared" si="950"/>
        <v>0</v>
      </c>
      <c r="R698">
        <f t="shared" si="951"/>
        <v>0</v>
      </c>
      <c r="S698">
        <f t="shared" si="952"/>
        <v>0</v>
      </c>
      <c r="T698">
        <f t="shared" si="953"/>
        <v>0</v>
      </c>
    </row>
    <row r="699" spans="1:20" x14ac:dyDescent="0.25">
      <c r="A699" s="5"/>
      <c r="C699" s="4"/>
      <c r="D699" s="4"/>
      <c r="P699">
        <f t="shared" si="949"/>
        <v>0</v>
      </c>
      <c r="Q699">
        <f t="shared" si="950"/>
        <v>0</v>
      </c>
      <c r="R699">
        <f t="shared" si="951"/>
        <v>0</v>
      </c>
      <c r="S699">
        <f t="shared" si="952"/>
        <v>0</v>
      </c>
      <c r="T699">
        <f t="shared" si="953"/>
        <v>0</v>
      </c>
    </row>
    <row r="700" spans="1:20" x14ac:dyDescent="0.25">
      <c r="A700" s="5"/>
      <c r="C700" s="4"/>
      <c r="D700" s="4"/>
      <c r="P700">
        <f t="shared" si="949"/>
        <v>0</v>
      </c>
      <c r="Q700">
        <f t="shared" si="950"/>
        <v>0</v>
      </c>
      <c r="R700">
        <f t="shared" si="951"/>
        <v>0</v>
      </c>
      <c r="S700">
        <f t="shared" si="952"/>
        <v>0</v>
      </c>
      <c r="T700">
        <f t="shared" si="953"/>
        <v>0</v>
      </c>
    </row>
    <row r="701" spans="1:20" x14ac:dyDescent="0.25">
      <c r="A701" s="5"/>
      <c r="C701" s="4"/>
      <c r="D701" s="4"/>
      <c r="P701">
        <f t="shared" ref="P701:P757" si="954">IF(C701=D701,0,((E701-D701)-(C701-E701))/(C701-D701))</f>
        <v>0</v>
      </c>
      <c r="Q701">
        <f t="shared" ref="Q701:Q757" si="955">F701*P701</f>
        <v>0</v>
      </c>
      <c r="R701">
        <f t="shared" ref="R701:R757" si="956">R702+Q701</f>
        <v>0</v>
      </c>
      <c r="S701">
        <f t="shared" ref="S701:S757" si="957">R701/100000</f>
        <v>0</v>
      </c>
      <c r="T701">
        <f t="shared" ref="T701:T757" si="958">S701/1000</f>
        <v>0</v>
      </c>
    </row>
    <row r="702" spans="1:20" x14ac:dyDescent="0.25">
      <c r="A702" s="5"/>
      <c r="C702" s="4"/>
      <c r="D702" s="4"/>
      <c r="P702">
        <f t="shared" si="954"/>
        <v>0</v>
      </c>
      <c r="Q702">
        <f t="shared" si="955"/>
        <v>0</v>
      </c>
      <c r="R702">
        <f t="shared" si="956"/>
        <v>0</v>
      </c>
      <c r="S702">
        <f t="shared" si="957"/>
        <v>0</v>
      </c>
      <c r="T702">
        <f t="shared" si="958"/>
        <v>0</v>
      </c>
    </row>
    <row r="703" spans="1:20" x14ac:dyDescent="0.25">
      <c r="A703" s="5"/>
      <c r="C703" s="4"/>
      <c r="D703" s="4"/>
      <c r="P703">
        <f t="shared" si="954"/>
        <v>0</v>
      </c>
      <c r="Q703">
        <f t="shared" si="955"/>
        <v>0</v>
      </c>
      <c r="R703">
        <f t="shared" si="956"/>
        <v>0</v>
      </c>
      <c r="S703">
        <f t="shared" si="957"/>
        <v>0</v>
      </c>
      <c r="T703">
        <f t="shared" si="958"/>
        <v>0</v>
      </c>
    </row>
    <row r="704" spans="1:20" x14ac:dyDescent="0.25">
      <c r="A704" s="5"/>
      <c r="C704" s="4"/>
      <c r="D704" s="4"/>
      <c r="P704">
        <f t="shared" si="954"/>
        <v>0</v>
      </c>
      <c r="Q704">
        <f t="shared" si="955"/>
        <v>0</v>
      </c>
      <c r="R704">
        <f t="shared" si="956"/>
        <v>0</v>
      </c>
      <c r="S704">
        <f t="shared" si="957"/>
        <v>0</v>
      </c>
      <c r="T704">
        <f t="shared" si="958"/>
        <v>0</v>
      </c>
    </row>
    <row r="705" spans="1:20" x14ac:dyDescent="0.25">
      <c r="A705" s="5"/>
      <c r="C705" s="4"/>
      <c r="D705" s="4"/>
      <c r="P705">
        <f t="shared" si="954"/>
        <v>0</v>
      </c>
      <c r="Q705">
        <f t="shared" si="955"/>
        <v>0</v>
      </c>
      <c r="R705">
        <f t="shared" si="956"/>
        <v>0</v>
      </c>
      <c r="S705">
        <f t="shared" si="957"/>
        <v>0</v>
      </c>
      <c r="T705">
        <f t="shared" si="958"/>
        <v>0</v>
      </c>
    </row>
    <row r="706" spans="1:20" x14ac:dyDescent="0.25">
      <c r="A706" s="5"/>
      <c r="C706" s="4"/>
      <c r="D706" s="4"/>
      <c r="P706">
        <f t="shared" si="954"/>
        <v>0</v>
      </c>
      <c r="Q706">
        <f t="shared" si="955"/>
        <v>0</v>
      </c>
      <c r="R706">
        <f t="shared" si="956"/>
        <v>0</v>
      </c>
      <c r="S706">
        <f t="shared" si="957"/>
        <v>0</v>
      </c>
      <c r="T706">
        <f t="shared" si="958"/>
        <v>0</v>
      </c>
    </row>
    <row r="707" spans="1:20" x14ac:dyDescent="0.25">
      <c r="A707" s="5"/>
      <c r="C707" s="4"/>
      <c r="D707" s="4"/>
      <c r="P707">
        <f t="shared" si="954"/>
        <v>0</v>
      </c>
      <c r="Q707">
        <f t="shared" si="955"/>
        <v>0</v>
      </c>
      <c r="R707">
        <f t="shared" si="956"/>
        <v>0</v>
      </c>
      <c r="S707">
        <f t="shared" si="957"/>
        <v>0</v>
      </c>
      <c r="T707">
        <f t="shared" si="958"/>
        <v>0</v>
      </c>
    </row>
    <row r="708" spans="1:20" x14ac:dyDescent="0.25">
      <c r="A708" s="5"/>
      <c r="C708" s="4"/>
      <c r="D708" s="4"/>
      <c r="P708">
        <f t="shared" si="954"/>
        <v>0</v>
      </c>
      <c r="Q708">
        <f t="shared" si="955"/>
        <v>0</v>
      </c>
      <c r="R708">
        <f t="shared" si="956"/>
        <v>0</v>
      </c>
      <c r="S708">
        <f t="shared" si="957"/>
        <v>0</v>
      </c>
      <c r="T708">
        <f t="shared" si="958"/>
        <v>0</v>
      </c>
    </row>
    <row r="709" spans="1:20" x14ac:dyDescent="0.25">
      <c r="A709" s="5"/>
      <c r="C709" s="4"/>
      <c r="D709" s="4"/>
      <c r="P709">
        <f t="shared" si="954"/>
        <v>0</v>
      </c>
      <c r="Q709">
        <f t="shared" si="955"/>
        <v>0</v>
      </c>
      <c r="R709">
        <f t="shared" si="956"/>
        <v>0</v>
      </c>
      <c r="S709">
        <f t="shared" si="957"/>
        <v>0</v>
      </c>
      <c r="T709">
        <f t="shared" si="958"/>
        <v>0</v>
      </c>
    </row>
    <row r="710" spans="1:20" x14ac:dyDescent="0.25">
      <c r="A710" s="5"/>
      <c r="C710" s="4"/>
      <c r="D710" s="4"/>
      <c r="P710">
        <f t="shared" si="954"/>
        <v>0</v>
      </c>
      <c r="Q710">
        <f t="shared" si="955"/>
        <v>0</v>
      </c>
      <c r="R710">
        <f t="shared" si="956"/>
        <v>0</v>
      </c>
      <c r="S710">
        <f t="shared" si="957"/>
        <v>0</v>
      </c>
      <c r="T710">
        <f t="shared" si="958"/>
        <v>0</v>
      </c>
    </row>
    <row r="711" spans="1:20" x14ac:dyDescent="0.25">
      <c r="A711" s="5"/>
      <c r="C711" s="4"/>
      <c r="D711" s="4"/>
      <c r="P711">
        <f t="shared" si="954"/>
        <v>0</v>
      </c>
      <c r="Q711">
        <f t="shared" si="955"/>
        <v>0</v>
      </c>
      <c r="R711">
        <f t="shared" si="956"/>
        <v>0</v>
      </c>
      <c r="S711">
        <f t="shared" si="957"/>
        <v>0</v>
      </c>
      <c r="T711">
        <f t="shared" si="958"/>
        <v>0</v>
      </c>
    </row>
    <row r="712" spans="1:20" x14ac:dyDescent="0.25">
      <c r="A712" s="5"/>
      <c r="C712" s="4"/>
      <c r="D712" s="4"/>
      <c r="P712">
        <f t="shared" si="954"/>
        <v>0</v>
      </c>
      <c r="Q712">
        <f t="shared" si="955"/>
        <v>0</v>
      </c>
      <c r="R712">
        <f t="shared" si="956"/>
        <v>0</v>
      </c>
      <c r="S712">
        <f t="shared" si="957"/>
        <v>0</v>
      </c>
      <c r="T712">
        <f t="shared" si="958"/>
        <v>0</v>
      </c>
    </row>
    <row r="713" spans="1:20" x14ac:dyDescent="0.25">
      <c r="A713" s="5"/>
      <c r="C713" s="4"/>
      <c r="D713" s="4"/>
      <c r="P713">
        <f t="shared" si="954"/>
        <v>0</v>
      </c>
      <c r="Q713">
        <f t="shared" si="955"/>
        <v>0</v>
      </c>
      <c r="R713">
        <f t="shared" si="956"/>
        <v>0</v>
      </c>
      <c r="S713">
        <f t="shared" si="957"/>
        <v>0</v>
      </c>
      <c r="T713">
        <f t="shared" si="958"/>
        <v>0</v>
      </c>
    </row>
    <row r="714" spans="1:20" x14ac:dyDescent="0.25">
      <c r="A714" s="5"/>
      <c r="C714" s="4"/>
      <c r="D714" s="4"/>
      <c r="P714">
        <f t="shared" si="954"/>
        <v>0</v>
      </c>
      <c r="Q714">
        <f t="shared" si="955"/>
        <v>0</v>
      </c>
      <c r="R714">
        <f t="shared" si="956"/>
        <v>0</v>
      </c>
      <c r="S714">
        <f t="shared" si="957"/>
        <v>0</v>
      </c>
      <c r="T714">
        <f t="shared" si="958"/>
        <v>0</v>
      </c>
    </row>
    <row r="715" spans="1:20" x14ac:dyDescent="0.25">
      <c r="A715" s="5"/>
      <c r="C715" s="4"/>
      <c r="D715" s="4"/>
      <c r="P715">
        <f t="shared" si="954"/>
        <v>0</v>
      </c>
      <c r="Q715">
        <f t="shared" si="955"/>
        <v>0</v>
      </c>
      <c r="R715">
        <f t="shared" si="956"/>
        <v>0</v>
      </c>
      <c r="S715">
        <f t="shared" si="957"/>
        <v>0</v>
      </c>
      <c r="T715">
        <f t="shared" si="958"/>
        <v>0</v>
      </c>
    </row>
    <row r="716" spans="1:20" x14ac:dyDescent="0.25">
      <c r="A716" s="5"/>
      <c r="C716" s="4"/>
      <c r="D716" s="4"/>
      <c r="P716">
        <f t="shared" si="954"/>
        <v>0</v>
      </c>
      <c r="Q716">
        <f t="shared" si="955"/>
        <v>0</v>
      </c>
      <c r="R716">
        <f t="shared" si="956"/>
        <v>0</v>
      </c>
      <c r="S716">
        <f t="shared" si="957"/>
        <v>0</v>
      </c>
      <c r="T716">
        <f t="shared" si="958"/>
        <v>0</v>
      </c>
    </row>
    <row r="717" spans="1:20" x14ac:dyDescent="0.25">
      <c r="A717" s="5"/>
      <c r="C717" s="4"/>
      <c r="D717" s="4"/>
      <c r="P717">
        <f t="shared" si="954"/>
        <v>0</v>
      </c>
      <c r="Q717">
        <f t="shared" si="955"/>
        <v>0</v>
      </c>
      <c r="R717">
        <f t="shared" si="956"/>
        <v>0</v>
      </c>
      <c r="S717">
        <f t="shared" si="957"/>
        <v>0</v>
      </c>
      <c r="T717">
        <f t="shared" si="958"/>
        <v>0</v>
      </c>
    </row>
    <row r="718" spans="1:20" x14ac:dyDescent="0.25">
      <c r="A718" s="5"/>
      <c r="C718" s="4"/>
      <c r="D718" s="4"/>
      <c r="P718">
        <f t="shared" si="954"/>
        <v>0</v>
      </c>
      <c r="Q718">
        <f t="shared" si="955"/>
        <v>0</v>
      </c>
      <c r="R718">
        <f t="shared" si="956"/>
        <v>0</v>
      </c>
      <c r="S718">
        <f t="shared" si="957"/>
        <v>0</v>
      </c>
      <c r="T718">
        <f t="shared" si="958"/>
        <v>0</v>
      </c>
    </row>
    <row r="719" spans="1:20" x14ac:dyDescent="0.25">
      <c r="A719" s="5"/>
      <c r="C719" s="4"/>
      <c r="D719" s="4"/>
      <c r="P719">
        <f t="shared" si="954"/>
        <v>0</v>
      </c>
      <c r="Q719">
        <f t="shared" si="955"/>
        <v>0</v>
      </c>
      <c r="R719">
        <f t="shared" si="956"/>
        <v>0</v>
      </c>
      <c r="S719">
        <f t="shared" si="957"/>
        <v>0</v>
      </c>
      <c r="T719">
        <f t="shared" si="958"/>
        <v>0</v>
      </c>
    </row>
    <row r="720" spans="1:20" x14ac:dyDescent="0.25">
      <c r="A720" s="5"/>
      <c r="C720" s="4"/>
      <c r="D720" s="4"/>
      <c r="P720">
        <f t="shared" si="954"/>
        <v>0</v>
      </c>
      <c r="Q720">
        <f t="shared" si="955"/>
        <v>0</v>
      </c>
      <c r="R720">
        <f t="shared" si="956"/>
        <v>0</v>
      </c>
      <c r="S720">
        <f t="shared" si="957"/>
        <v>0</v>
      </c>
      <c r="T720">
        <f t="shared" si="958"/>
        <v>0</v>
      </c>
    </row>
    <row r="721" spans="1:20" x14ac:dyDescent="0.25">
      <c r="A721" s="5"/>
      <c r="C721" s="4"/>
      <c r="D721" s="4"/>
      <c r="P721">
        <f t="shared" si="954"/>
        <v>0</v>
      </c>
      <c r="Q721">
        <f t="shared" si="955"/>
        <v>0</v>
      </c>
      <c r="R721">
        <f t="shared" si="956"/>
        <v>0</v>
      </c>
      <c r="S721">
        <f t="shared" si="957"/>
        <v>0</v>
      </c>
      <c r="T721">
        <f t="shared" si="958"/>
        <v>0</v>
      </c>
    </row>
    <row r="722" spans="1:20" x14ac:dyDescent="0.25">
      <c r="A722" s="5"/>
      <c r="C722" s="4"/>
      <c r="D722" s="4"/>
      <c r="P722">
        <f t="shared" si="954"/>
        <v>0</v>
      </c>
      <c r="Q722">
        <f t="shared" si="955"/>
        <v>0</v>
      </c>
      <c r="R722">
        <f t="shared" si="956"/>
        <v>0</v>
      </c>
      <c r="S722">
        <f t="shared" si="957"/>
        <v>0</v>
      </c>
      <c r="T722">
        <f t="shared" si="958"/>
        <v>0</v>
      </c>
    </row>
    <row r="723" spans="1:20" x14ac:dyDescent="0.25">
      <c r="A723" s="5"/>
      <c r="C723" s="4"/>
      <c r="D723" s="4"/>
      <c r="P723">
        <f t="shared" si="954"/>
        <v>0</v>
      </c>
      <c r="Q723">
        <f t="shared" si="955"/>
        <v>0</v>
      </c>
      <c r="R723">
        <f t="shared" si="956"/>
        <v>0</v>
      </c>
      <c r="S723">
        <f t="shared" si="957"/>
        <v>0</v>
      </c>
      <c r="T723">
        <f t="shared" si="958"/>
        <v>0</v>
      </c>
    </row>
    <row r="724" spans="1:20" x14ac:dyDescent="0.25">
      <c r="A724" s="5"/>
      <c r="C724" s="4"/>
      <c r="D724" s="4"/>
      <c r="P724">
        <f t="shared" si="954"/>
        <v>0</v>
      </c>
      <c r="Q724">
        <f t="shared" si="955"/>
        <v>0</v>
      </c>
      <c r="R724">
        <f t="shared" si="956"/>
        <v>0</v>
      </c>
      <c r="S724">
        <f t="shared" si="957"/>
        <v>0</v>
      </c>
      <c r="T724">
        <f t="shared" si="958"/>
        <v>0</v>
      </c>
    </row>
    <row r="725" spans="1:20" x14ac:dyDescent="0.25">
      <c r="A725" s="5"/>
      <c r="C725" s="4"/>
      <c r="D725" s="4"/>
      <c r="P725">
        <f t="shared" si="954"/>
        <v>0</v>
      </c>
      <c r="Q725">
        <f t="shared" si="955"/>
        <v>0</v>
      </c>
      <c r="R725">
        <f t="shared" si="956"/>
        <v>0</v>
      </c>
      <c r="S725">
        <f t="shared" si="957"/>
        <v>0</v>
      </c>
      <c r="T725">
        <f t="shared" si="958"/>
        <v>0</v>
      </c>
    </row>
    <row r="726" spans="1:20" x14ac:dyDescent="0.25">
      <c r="A726" s="5"/>
      <c r="C726" s="4"/>
      <c r="D726" s="4"/>
      <c r="P726">
        <f t="shared" si="954"/>
        <v>0</v>
      </c>
      <c r="Q726">
        <f t="shared" si="955"/>
        <v>0</v>
      </c>
      <c r="R726">
        <f t="shared" si="956"/>
        <v>0</v>
      </c>
      <c r="S726">
        <f t="shared" si="957"/>
        <v>0</v>
      </c>
      <c r="T726">
        <f t="shared" si="958"/>
        <v>0</v>
      </c>
    </row>
    <row r="727" spans="1:20" x14ac:dyDescent="0.25">
      <c r="A727" s="5"/>
      <c r="C727" s="4"/>
      <c r="D727" s="4"/>
      <c r="P727">
        <f t="shared" si="954"/>
        <v>0</v>
      </c>
      <c r="Q727">
        <f t="shared" si="955"/>
        <v>0</v>
      </c>
      <c r="R727">
        <f t="shared" si="956"/>
        <v>0</v>
      </c>
      <c r="S727">
        <f t="shared" si="957"/>
        <v>0</v>
      </c>
      <c r="T727">
        <f t="shared" si="958"/>
        <v>0</v>
      </c>
    </row>
    <row r="728" spans="1:20" x14ac:dyDescent="0.25">
      <c r="A728" s="5"/>
      <c r="C728" s="4"/>
      <c r="D728" s="4"/>
      <c r="P728">
        <f t="shared" si="954"/>
        <v>0</v>
      </c>
      <c r="Q728">
        <f t="shared" si="955"/>
        <v>0</v>
      </c>
      <c r="R728">
        <f t="shared" si="956"/>
        <v>0</v>
      </c>
      <c r="S728">
        <f t="shared" si="957"/>
        <v>0</v>
      </c>
      <c r="T728">
        <f t="shared" si="958"/>
        <v>0</v>
      </c>
    </row>
    <row r="729" spans="1:20" x14ac:dyDescent="0.25">
      <c r="A729" s="5"/>
      <c r="C729" s="4"/>
      <c r="D729" s="4"/>
      <c r="P729">
        <f t="shared" si="954"/>
        <v>0</v>
      </c>
      <c r="Q729">
        <f t="shared" si="955"/>
        <v>0</v>
      </c>
      <c r="R729">
        <f t="shared" si="956"/>
        <v>0</v>
      </c>
      <c r="S729">
        <f t="shared" si="957"/>
        <v>0</v>
      </c>
      <c r="T729">
        <f t="shared" si="958"/>
        <v>0</v>
      </c>
    </row>
    <row r="730" spans="1:20" x14ac:dyDescent="0.25">
      <c r="A730" s="5"/>
      <c r="C730" s="4"/>
      <c r="D730" s="4"/>
      <c r="P730">
        <f t="shared" si="954"/>
        <v>0</v>
      </c>
      <c r="Q730">
        <f t="shared" si="955"/>
        <v>0</v>
      </c>
      <c r="R730">
        <f t="shared" si="956"/>
        <v>0</v>
      </c>
      <c r="S730">
        <f t="shared" si="957"/>
        <v>0</v>
      </c>
      <c r="T730">
        <f t="shared" si="958"/>
        <v>0</v>
      </c>
    </row>
    <row r="731" spans="1:20" x14ac:dyDescent="0.25">
      <c r="A731" s="5"/>
      <c r="C731" s="4"/>
      <c r="D731" s="4"/>
      <c r="P731">
        <f t="shared" si="954"/>
        <v>0</v>
      </c>
      <c r="Q731">
        <f t="shared" si="955"/>
        <v>0</v>
      </c>
      <c r="R731">
        <f t="shared" si="956"/>
        <v>0</v>
      </c>
      <c r="S731">
        <f t="shared" si="957"/>
        <v>0</v>
      </c>
      <c r="T731">
        <f t="shared" si="958"/>
        <v>0</v>
      </c>
    </row>
    <row r="732" spans="1:20" x14ac:dyDescent="0.25">
      <c r="A732" s="5"/>
      <c r="C732" s="4"/>
      <c r="D732" s="4"/>
      <c r="P732">
        <f t="shared" si="954"/>
        <v>0</v>
      </c>
      <c r="Q732">
        <f t="shared" si="955"/>
        <v>0</v>
      </c>
      <c r="R732">
        <f t="shared" si="956"/>
        <v>0</v>
      </c>
      <c r="S732">
        <f t="shared" si="957"/>
        <v>0</v>
      </c>
      <c r="T732">
        <f t="shared" si="958"/>
        <v>0</v>
      </c>
    </row>
    <row r="733" spans="1:20" x14ac:dyDescent="0.25">
      <c r="A733" s="5"/>
      <c r="C733" s="4"/>
      <c r="D733" s="4"/>
      <c r="P733">
        <f t="shared" si="954"/>
        <v>0</v>
      </c>
      <c r="Q733">
        <f t="shared" si="955"/>
        <v>0</v>
      </c>
      <c r="R733">
        <f t="shared" si="956"/>
        <v>0</v>
      </c>
      <c r="S733">
        <f t="shared" si="957"/>
        <v>0</v>
      </c>
      <c r="T733">
        <f t="shared" si="958"/>
        <v>0</v>
      </c>
    </row>
    <row r="734" spans="1:20" x14ac:dyDescent="0.25">
      <c r="A734" s="5"/>
      <c r="C734" s="4"/>
      <c r="D734" s="4"/>
      <c r="P734">
        <f t="shared" si="954"/>
        <v>0</v>
      </c>
      <c r="Q734">
        <f t="shared" si="955"/>
        <v>0</v>
      </c>
      <c r="R734">
        <f t="shared" si="956"/>
        <v>0</v>
      </c>
      <c r="S734">
        <f t="shared" si="957"/>
        <v>0</v>
      </c>
      <c r="T734">
        <f t="shared" si="958"/>
        <v>0</v>
      </c>
    </row>
    <row r="735" spans="1:20" x14ac:dyDescent="0.25">
      <c r="A735" s="5"/>
      <c r="C735" s="4"/>
      <c r="D735" s="4"/>
      <c r="P735">
        <f t="shared" si="954"/>
        <v>0</v>
      </c>
      <c r="Q735">
        <f t="shared" si="955"/>
        <v>0</v>
      </c>
      <c r="R735">
        <f t="shared" si="956"/>
        <v>0</v>
      </c>
      <c r="S735">
        <f t="shared" si="957"/>
        <v>0</v>
      </c>
      <c r="T735">
        <f t="shared" si="958"/>
        <v>0</v>
      </c>
    </row>
    <row r="736" spans="1:20" x14ac:dyDescent="0.25">
      <c r="A736" s="5"/>
      <c r="C736" s="4"/>
      <c r="D736" s="4"/>
      <c r="P736">
        <f t="shared" si="954"/>
        <v>0</v>
      </c>
      <c r="Q736">
        <f t="shared" si="955"/>
        <v>0</v>
      </c>
      <c r="R736">
        <f t="shared" si="956"/>
        <v>0</v>
      </c>
      <c r="S736">
        <f t="shared" si="957"/>
        <v>0</v>
      </c>
      <c r="T736">
        <f t="shared" si="958"/>
        <v>0</v>
      </c>
    </row>
    <row r="737" spans="1:20" x14ac:dyDescent="0.25">
      <c r="A737" s="5"/>
      <c r="C737" s="4"/>
      <c r="D737" s="4"/>
      <c r="P737">
        <f t="shared" si="954"/>
        <v>0</v>
      </c>
      <c r="Q737">
        <f t="shared" si="955"/>
        <v>0</v>
      </c>
      <c r="R737">
        <f t="shared" si="956"/>
        <v>0</v>
      </c>
      <c r="S737">
        <f t="shared" si="957"/>
        <v>0</v>
      </c>
      <c r="T737">
        <f t="shared" si="958"/>
        <v>0</v>
      </c>
    </row>
    <row r="738" spans="1:20" x14ac:dyDescent="0.25">
      <c r="A738" s="5"/>
      <c r="C738" s="4"/>
      <c r="D738" s="4"/>
      <c r="P738">
        <f t="shared" si="954"/>
        <v>0</v>
      </c>
      <c r="Q738">
        <f t="shared" si="955"/>
        <v>0</v>
      </c>
      <c r="R738">
        <f t="shared" si="956"/>
        <v>0</v>
      </c>
      <c r="S738">
        <f t="shared" si="957"/>
        <v>0</v>
      </c>
      <c r="T738">
        <f t="shared" si="958"/>
        <v>0</v>
      </c>
    </row>
    <row r="739" spans="1:20" x14ac:dyDescent="0.25">
      <c r="A739" s="5"/>
      <c r="C739" s="4"/>
      <c r="D739" s="4"/>
      <c r="P739">
        <f t="shared" si="954"/>
        <v>0</v>
      </c>
      <c r="Q739">
        <f t="shared" si="955"/>
        <v>0</v>
      </c>
      <c r="R739">
        <f t="shared" si="956"/>
        <v>0</v>
      </c>
      <c r="S739">
        <f t="shared" si="957"/>
        <v>0</v>
      </c>
      <c r="T739">
        <f t="shared" si="958"/>
        <v>0</v>
      </c>
    </row>
    <row r="740" spans="1:20" x14ac:dyDescent="0.25">
      <c r="A740" s="5"/>
      <c r="C740" s="4"/>
      <c r="D740" s="4"/>
      <c r="P740">
        <f t="shared" si="954"/>
        <v>0</v>
      </c>
      <c r="Q740">
        <f t="shared" si="955"/>
        <v>0</v>
      </c>
      <c r="R740">
        <f t="shared" si="956"/>
        <v>0</v>
      </c>
      <c r="S740">
        <f t="shared" si="957"/>
        <v>0</v>
      </c>
      <c r="T740">
        <f t="shared" si="958"/>
        <v>0</v>
      </c>
    </row>
    <row r="741" spans="1:20" x14ac:dyDescent="0.25">
      <c r="A741" s="5"/>
      <c r="C741" s="4"/>
      <c r="D741" s="4"/>
      <c r="P741">
        <f t="shared" si="954"/>
        <v>0</v>
      </c>
      <c r="Q741">
        <f t="shared" si="955"/>
        <v>0</v>
      </c>
      <c r="R741">
        <f t="shared" si="956"/>
        <v>0</v>
      </c>
      <c r="S741">
        <f t="shared" si="957"/>
        <v>0</v>
      </c>
      <c r="T741">
        <f t="shared" si="958"/>
        <v>0</v>
      </c>
    </row>
    <row r="742" spans="1:20" x14ac:dyDescent="0.25">
      <c r="A742" s="5"/>
      <c r="C742" s="4"/>
      <c r="D742" s="4"/>
      <c r="P742">
        <f t="shared" si="954"/>
        <v>0</v>
      </c>
      <c r="Q742">
        <f t="shared" si="955"/>
        <v>0</v>
      </c>
      <c r="R742">
        <f t="shared" si="956"/>
        <v>0</v>
      </c>
      <c r="S742">
        <f t="shared" si="957"/>
        <v>0</v>
      </c>
      <c r="T742">
        <f t="shared" si="958"/>
        <v>0</v>
      </c>
    </row>
    <row r="743" spans="1:20" x14ac:dyDescent="0.25">
      <c r="A743" s="5"/>
      <c r="C743" s="4"/>
      <c r="D743" s="4"/>
      <c r="P743">
        <f t="shared" si="954"/>
        <v>0</v>
      </c>
      <c r="Q743">
        <f t="shared" si="955"/>
        <v>0</v>
      </c>
      <c r="R743">
        <f t="shared" si="956"/>
        <v>0</v>
      </c>
      <c r="S743">
        <f t="shared" si="957"/>
        <v>0</v>
      </c>
      <c r="T743">
        <f t="shared" si="958"/>
        <v>0</v>
      </c>
    </row>
    <row r="744" spans="1:20" x14ac:dyDescent="0.25">
      <c r="A744" s="5"/>
      <c r="C744" s="4"/>
      <c r="D744" s="4"/>
      <c r="P744">
        <f t="shared" si="954"/>
        <v>0</v>
      </c>
      <c r="Q744">
        <f t="shared" si="955"/>
        <v>0</v>
      </c>
      <c r="R744">
        <f t="shared" si="956"/>
        <v>0</v>
      </c>
      <c r="S744">
        <f t="shared" si="957"/>
        <v>0</v>
      </c>
      <c r="T744">
        <f t="shared" si="958"/>
        <v>0</v>
      </c>
    </row>
    <row r="745" spans="1:20" x14ac:dyDescent="0.25">
      <c r="A745" s="5"/>
      <c r="C745" s="4"/>
      <c r="D745" s="4"/>
      <c r="P745">
        <f t="shared" si="954"/>
        <v>0</v>
      </c>
      <c r="Q745">
        <f t="shared" si="955"/>
        <v>0</v>
      </c>
      <c r="R745">
        <f t="shared" si="956"/>
        <v>0</v>
      </c>
      <c r="S745">
        <f t="shared" si="957"/>
        <v>0</v>
      </c>
      <c r="T745">
        <f t="shared" si="958"/>
        <v>0</v>
      </c>
    </row>
    <row r="746" spans="1:20" x14ac:dyDescent="0.25">
      <c r="A746" s="5"/>
      <c r="C746" s="4"/>
      <c r="D746" s="4"/>
      <c r="P746">
        <f t="shared" si="954"/>
        <v>0</v>
      </c>
      <c r="Q746">
        <f t="shared" si="955"/>
        <v>0</v>
      </c>
      <c r="R746">
        <f t="shared" si="956"/>
        <v>0</v>
      </c>
      <c r="S746">
        <f t="shared" si="957"/>
        <v>0</v>
      </c>
      <c r="T746">
        <f t="shared" si="958"/>
        <v>0</v>
      </c>
    </row>
    <row r="747" spans="1:20" x14ac:dyDescent="0.25">
      <c r="A747" s="5"/>
      <c r="C747" s="4"/>
      <c r="D747" s="4"/>
      <c r="P747">
        <f t="shared" si="954"/>
        <v>0</v>
      </c>
      <c r="Q747">
        <f t="shared" si="955"/>
        <v>0</v>
      </c>
      <c r="R747">
        <f t="shared" si="956"/>
        <v>0</v>
      </c>
      <c r="S747">
        <f t="shared" si="957"/>
        <v>0</v>
      </c>
      <c r="T747">
        <f t="shared" si="958"/>
        <v>0</v>
      </c>
    </row>
    <row r="748" spans="1:20" x14ac:dyDescent="0.25">
      <c r="A748" s="5"/>
      <c r="C748" s="4"/>
      <c r="D748" s="4"/>
      <c r="P748">
        <f t="shared" si="954"/>
        <v>0</v>
      </c>
      <c r="Q748">
        <f t="shared" si="955"/>
        <v>0</v>
      </c>
      <c r="R748">
        <f t="shared" si="956"/>
        <v>0</v>
      </c>
      <c r="S748">
        <f t="shared" si="957"/>
        <v>0</v>
      </c>
      <c r="T748">
        <f t="shared" si="958"/>
        <v>0</v>
      </c>
    </row>
    <row r="749" spans="1:20" x14ac:dyDescent="0.25">
      <c r="A749" s="5"/>
      <c r="C749" s="4"/>
      <c r="D749" s="4"/>
      <c r="P749">
        <f t="shared" si="954"/>
        <v>0</v>
      </c>
      <c r="Q749">
        <f t="shared" si="955"/>
        <v>0</v>
      </c>
      <c r="R749">
        <f t="shared" si="956"/>
        <v>0</v>
      </c>
      <c r="S749">
        <f t="shared" si="957"/>
        <v>0</v>
      </c>
      <c r="T749">
        <f t="shared" si="958"/>
        <v>0</v>
      </c>
    </row>
    <row r="750" spans="1:20" x14ac:dyDescent="0.25">
      <c r="A750" s="5"/>
      <c r="C750" s="4"/>
      <c r="D750" s="4"/>
      <c r="P750">
        <f t="shared" si="954"/>
        <v>0</v>
      </c>
      <c r="Q750">
        <f t="shared" si="955"/>
        <v>0</v>
      </c>
      <c r="R750">
        <f t="shared" si="956"/>
        <v>0</v>
      </c>
      <c r="S750">
        <f t="shared" si="957"/>
        <v>0</v>
      </c>
      <c r="T750">
        <f t="shared" si="958"/>
        <v>0</v>
      </c>
    </row>
    <row r="751" spans="1:20" x14ac:dyDescent="0.25">
      <c r="A751" s="5"/>
      <c r="C751" s="4"/>
      <c r="D751" s="4"/>
      <c r="P751">
        <f t="shared" si="954"/>
        <v>0</v>
      </c>
      <c r="Q751">
        <f t="shared" si="955"/>
        <v>0</v>
      </c>
      <c r="R751">
        <f t="shared" si="956"/>
        <v>0</v>
      </c>
      <c r="S751">
        <f t="shared" si="957"/>
        <v>0</v>
      </c>
      <c r="T751">
        <f t="shared" si="958"/>
        <v>0</v>
      </c>
    </row>
    <row r="752" spans="1:20" x14ac:dyDescent="0.25">
      <c r="A752" s="5"/>
      <c r="C752" s="4"/>
      <c r="D752" s="4"/>
      <c r="P752">
        <f t="shared" si="954"/>
        <v>0</v>
      </c>
      <c r="Q752">
        <f t="shared" si="955"/>
        <v>0</v>
      </c>
      <c r="R752">
        <f t="shared" si="956"/>
        <v>0</v>
      </c>
      <c r="S752">
        <f t="shared" si="957"/>
        <v>0</v>
      </c>
      <c r="T752">
        <f t="shared" si="958"/>
        <v>0</v>
      </c>
    </row>
    <row r="753" spans="1:20" x14ac:dyDescent="0.25">
      <c r="A753" s="5"/>
      <c r="C753" s="4"/>
      <c r="D753" s="4"/>
      <c r="P753">
        <f t="shared" si="954"/>
        <v>0</v>
      </c>
      <c r="Q753">
        <f t="shared" si="955"/>
        <v>0</v>
      </c>
      <c r="R753">
        <f t="shared" si="956"/>
        <v>0</v>
      </c>
      <c r="S753">
        <f t="shared" si="957"/>
        <v>0</v>
      </c>
      <c r="T753">
        <f t="shared" si="958"/>
        <v>0</v>
      </c>
    </row>
    <row r="754" spans="1:20" x14ac:dyDescent="0.25">
      <c r="A754" s="5"/>
      <c r="C754" s="4"/>
      <c r="D754" s="4"/>
      <c r="P754">
        <f t="shared" si="954"/>
        <v>0</v>
      </c>
      <c r="Q754">
        <f t="shared" si="955"/>
        <v>0</v>
      </c>
      <c r="R754">
        <f t="shared" si="956"/>
        <v>0</v>
      </c>
      <c r="S754">
        <f t="shared" si="957"/>
        <v>0</v>
      </c>
      <c r="T754">
        <f t="shared" si="958"/>
        <v>0</v>
      </c>
    </row>
    <row r="755" spans="1:20" x14ac:dyDescent="0.25">
      <c r="A755" s="5"/>
      <c r="C755" s="4"/>
      <c r="D755" s="4"/>
      <c r="P755">
        <f t="shared" si="954"/>
        <v>0</v>
      </c>
      <c r="Q755">
        <f t="shared" si="955"/>
        <v>0</v>
      </c>
      <c r="R755">
        <f t="shared" si="956"/>
        <v>0</v>
      </c>
      <c r="S755">
        <f t="shared" si="957"/>
        <v>0</v>
      </c>
      <c r="T755">
        <f t="shared" si="958"/>
        <v>0</v>
      </c>
    </row>
    <row r="756" spans="1:20" x14ac:dyDescent="0.25">
      <c r="A756" s="5"/>
      <c r="C756" s="4"/>
      <c r="D756" s="4"/>
      <c r="P756">
        <f t="shared" si="954"/>
        <v>0</v>
      </c>
      <c r="Q756">
        <f t="shared" si="955"/>
        <v>0</v>
      </c>
      <c r="R756">
        <f t="shared" si="956"/>
        <v>0</v>
      </c>
      <c r="S756">
        <f t="shared" si="957"/>
        <v>0</v>
      </c>
      <c r="T756">
        <f t="shared" si="958"/>
        <v>0</v>
      </c>
    </row>
    <row r="757" spans="1:20" x14ac:dyDescent="0.25">
      <c r="A757" s="5"/>
      <c r="C757" s="4"/>
      <c r="D757" s="4"/>
      <c r="P757">
        <f t="shared" si="954"/>
        <v>0</v>
      </c>
      <c r="Q757">
        <f t="shared" si="955"/>
        <v>0</v>
      </c>
      <c r="R757">
        <f t="shared" si="956"/>
        <v>0</v>
      </c>
      <c r="S757">
        <f t="shared" si="957"/>
        <v>0</v>
      </c>
      <c r="T757">
        <f t="shared" si="958"/>
        <v>0</v>
      </c>
    </row>
    <row r="758" spans="1:20" x14ac:dyDescent="0.25">
      <c r="A758" s="5"/>
      <c r="C758" s="4"/>
      <c r="D758" s="4"/>
    </row>
    <row r="759" spans="1:20" x14ac:dyDescent="0.25">
      <c r="A759" s="5"/>
      <c r="C759" s="4"/>
      <c r="D759" s="4"/>
    </row>
    <row r="760" spans="1:20" x14ac:dyDescent="0.25">
      <c r="A760" s="5"/>
      <c r="C760" s="4"/>
      <c r="D760" s="4"/>
    </row>
    <row r="761" spans="1:20" x14ac:dyDescent="0.25">
      <c r="A761" s="5"/>
      <c r="C761" s="4"/>
      <c r="D761" s="4"/>
    </row>
    <row r="762" spans="1:20" x14ac:dyDescent="0.25">
      <c r="A762" s="5"/>
      <c r="C762" s="4"/>
      <c r="D762" s="4"/>
    </row>
    <row r="763" spans="1:20" x14ac:dyDescent="0.25">
      <c r="A763" s="5"/>
      <c r="C763" s="4"/>
      <c r="D763" s="4"/>
    </row>
    <row r="764" spans="1:20" x14ac:dyDescent="0.25">
      <c r="A764" s="5"/>
      <c r="C764" s="4"/>
      <c r="D764" s="4"/>
    </row>
    <row r="765" spans="1:20" x14ac:dyDescent="0.25">
      <c r="A765" s="5"/>
      <c r="C765" s="4"/>
      <c r="D765" s="4"/>
    </row>
    <row r="766" spans="1:20" x14ac:dyDescent="0.25">
      <c r="A766" s="5"/>
      <c r="C766" s="4"/>
      <c r="D766" s="4"/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</row>
    <row r="945" spans="1:4" x14ac:dyDescent="0.25">
      <c r="A945" s="5"/>
    </row>
    <row r="946" spans="1:4" x14ac:dyDescent="0.25">
      <c r="A946" s="5"/>
    </row>
    <row r="947" spans="1:4" x14ac:dyDescent="0.25">
      <c r="A947" s="5"/>
    </row>
    <row r="948" spans="1:4" x14ac:dyDescent="0.25">
      <c r="A948" s="5"/>
    </row>
    <row r="949" spans="1:4" x14ac:dyDescent="0.25">
      <c r="A949" s="5"/>
    </row>
    <row r="950" spans="1:4" x14ac:dyDescent="0.25">
      <c r="A950" s="5"/>
    </row>
    <row r="951" spans="1:4" x14ac:dyDescent="0.25">
      <c r="A951" s="5"/>
    </row>
    <row r="952" spans="1:4" x14ac:dyDescent="0.25">
      <c r="A952" s="5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</row>
    <row r="1708" spans="1:4" x14ac:dyDescent="0.25">
      <c r="A1708" s="5"/>
    </row>
    <row r="1709" spans="1:4" x14ac:dyDescent="0.25">
      <c r="A1709" s="5"/>
    </row>
    <row r="1710" spans="1:4" x14ac:dyDescent="0.25">
      <c r="A1710" s="5"/>
    </row>
    <row r="1711" spans="1:4" x14ac:dyDescent="0.25">
      <c r="A1711" s="5"/>
    </row>
    <row r="1712" spans="1:4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</sheetData>
  <conditionalFormatting sqref="D1:D4 D193:D1048576 C191:D192 D188:D190">
    <cfRule type="cellIs" dxfId="277" priority="184" operator="lessThan">
      <formula>$A$2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L666" sqref="IL66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$A$665</v>
      </c>
      <c r="D111" s="1" t="str">
        <f>ADDRESS(C121-1,D121,1,1)</f>
        <v>$IL$665</v>
      </c>
      <c r="E111"/>
    </row>
    <row r="112" spans="1:5" x14ac:dyDescent="0.25">
      <c r="A112" s="7">
        <v>12164.144957890772</v>
      </c>
      <c r="C112" s="1" t="str">
        <f>ADDRESS(C121,1,1,1)</f>
        <v>$A$666</v>
      </c>
      <c r="D112" s="1" t="str">
        <f>ADDRESS(C121,D121-1,1,1)</f>
        <v>$IK$666</v>
      </c>
      <c r="E112"/>
    </row>
    <row r="113" spans="1:5" x14ac:dyDescent="0.25">
      <c r="A113" s="7">
        <v>11925.63231165762</v>
      </c>
      <c r="C113" s="1" t="str">
        <f>ADDRESS(C121+1,1,1,1)</f>
        <v>$A$667</v>
      </c>
      <c r="D113" s="1" t="str">
        <f>ADDRESS(C121-1,D121+1,1,1)</f>
        <v>$IM$665</v>
      </c>
    </row>
    <row r="114" spans="1:5" x14ac:dyDescent="0.25">
      <c r="A114" s="7">
        <v>11691.796383978059</v>
      </c>
      <c r="C114" s="1" t="str">
        <f>ADDRESS(C121,D121,1,1)</f>
        <v>$IL$666</v>
      </c>
      <c r="D114" s="1" t="str">
        <f>ADDRESS(C121+1,D121+1,1,1)</f>
        <v>$IM$667</v>
      </c>
    </row>
    <row r="115" spans="1:5" x14ac:dyDescent="0.25">
      <c r="A115" s="7">
        <v>11462.545474488292</v>
      </c>
      <c r="C115" s="1" t="str">
        <f>ADDRESS(C121+1,D121,1,1)</f>
        <v>$IL$667</v>
      </c>
    </row>
    <row r="116" spans="1:5" x14ac:dyDescent="0.25">
      <c r="A116" s="7">
        <v>11237.789680870874</v>
      </c>
      <c r="C116" s="1">
        <f>C117-1</f>
        <v>665</v>
      </c>
    </row>
    <row r="117" spans="1:5" x14ac:dyDescent="0.25">
      <c r="A117" s="7">
        <v>11017.440863598895</v>
      </c>
      <c r="C117" s="1">
        <f>C121</f>
        <v>666</v>
      </c>
      <c r="D117" s="1">
        <f>D121</f>
        <v>246</v>
      </c>
    </row>
    <row r="118" spans="1:5" x14ac:dyDescent="0.25">
      <c r="A118" s="7">
        <v>10801.412611371465</v>
      </c>
      <c r="C118" s="1">
        <f>C117+1</f>
        <v>667</v>
      </c>
      <c r="D118" s="1">
        <f>D117+1</f>
        <v>247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666</v>
      </c>
      <c r="D121" s="19">
        <v>246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R666</v>
      </c>
      <c r="D123" s="1" t="str">
        <f>"C"&amp;D121</f>
        <v>C246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0.20921192272998904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6" x14ac:dyDescent="0.25">
      <c r="A561" s="7">
        <v>1.6734181143540252</v>
      </c>
      <c r="B561"/>
      <c r="C561"/>
      <c r="D561"/>
      <c r="E561"/>
    </row>
    <row r="562" spans="1:6" x14ac:dyDescent="0.25">
      <c r="A562" s="7">
        <v>1.6406059944647307</v>
      </c>
      <c r="B562"/>
      <c r="C562"/>
      <c r="D562"/>
      <c r="E562"/>
    </row>
    <row r="563" spans="1:6" x14ac:dyDescent="0.25">
      <c r="A563" s="7">
        <v>1.6084372494752261</v>
      </c>
      <c r="B563"/>
      <c r="C563"/>
      <c r="D563"/>
      <c r="E563"/>
    </row>
    <row r="564" spans="1:6" x14ac:dyDescent="0.25">
      <c r="A564" s="7">
        <v>1.5768992641913981</v>
      </c>
      <c r="B564"/>
      <c r="C564"/>
      <c r="D564"/>
      <c r="E564"/>
    </row>
    <row r="565" spans="1:6" x14ac:dyDescent="0.25">
      <c r="A565" s="7">
        <v>1.5459796707758806</v>
      </c>
      <c r="B565"/>
      <c r="C565"/>
      <c r="D565"/>
      <c r="E565" t="s">
        <v>8</v>
      </c>
    </row>
    <row r="566" spans="1:6" x14ac:dyDescent="0.25">
      <c r="A566" s="7">
        <v>1.5156663438979221</v>
      </c>
      <c r="B566"/>
      <c r="C566"/>
      <c r="D566"/>
      <c r="E566" t="s">
        <v>8</v>
      </c>
      <c r="F566" s="27" t="s">
        <v>7</v>
      </c>
    </row>
    <row r="567" spans="1:6" x14ac:dyDescent="0.25">
      <c r="A567" s="7">
        <v>1.4859473959783549</v>
      </c>
      <c r="B567"/>
      <c r="C567"/>
      <c r="D567"/>
      <c r="E567" t="s">
        <v>8</v>
      </c>
      <c r="F567" s="27" t="s">
        <v>7</v>
      </c>
    </row>
    <row r="568" spans="1:6" x14ac:dyDescent="0.25">
      <c r="A568" s="7">
        <v>1.4568111725277988</v>
      </c>
      <c r="B568"/>
      <c r="C568"/>
      <c r="D568"/>
      <c r="E568" t="s">
        <v>8</v>
      </c>
      <c r="F568" s="27" t="s">
        <v>7</v>
      </c>
    </row>
    <row r="569" spans="1:6" x14ac:dyDescent="0.25">
      <c r="A569" s="7">
        <v>1.4282462475762734</v>
      </c>
      <c r="B569"/>
      <c r="C569"/>
      <c r="D569"/>
      <c r="E569" t="s">
        <v>8</v>
      </c>
      <c r="F569" s="27" t="s">
        <v>7</v>
      </c>
    </row>
    <row r="570" spans="1:6" x14ac:dyDescent="0.25">
      <c r="A570" s="7">
        <v>1.4002414191924248</v>
      </c>
      <c r="B570"/>
      <c r="C570"/>
      <c r="D570"/>
      <c r="E570" t="s">
        <v>8</v>
      </c>
      <c r="F570" s="27" t="s">
        <v>7</v>
      </c>
    </row>
    <row r="571" spans="1:6" x14ac:dyDescent="0.25">
      <c r="A571" s="7">
        <v>1.3727857050906125</v>
      </c>
      <c r="B571"/>
      <c r="C571"/>
      <c r="D571"/>
      <c r="E571" t="s">
        <v>8</v>
      </c>
      <c r="F571" s="27" t="s">
        <v>7</v>
      </c>
    </row>
    <row r="572" spans="1:6" x14ac:dyDescent="0.25">
      <c r="A572" s="7">
        <v>1.3458683383241299</v>
      </c>
      <c r="B572"/>
      <c r="C572"/>
      <c r="D572"/>
      <c r="E572" t="s">
        <v>8</v>
      </c>
      <c r="F572" s="27" t="s">
        <v>7</v>
      </c>
    </row>
    <row r="573" spans="1:6" x14ac:dyDescent="0.25">
      <c r="A573" s="7">
        <v>1.3194787630628724</v>
      </c>
      <c r="B573"/>
      <c r="C573"/>
      <c r="D573"/>
      <c r="E573" t="s">
        <v>8</v>
      </c>
      <c r="F573" s="27" t="s">
        <v>7</v>
      </c>
    </row>
    <row r="574" spans="1:6" x14ac:dyDescent="0.25">
      <c r="A574" s="7">
        <v>1.2936066304537963</v>
      </c>
      <c r="B574"/>
      <c r="C574"/>
      <c r="D574"/>
      <c r="E574" t="s">
        <v>8</v>
      </c>
      <c r="F574" s="27" t="s">
        <v>7</v>
      </c>
    </row>
    <row r="575" spans="1:6" x14ac:dyDescent="0.25">
      <c r="A575" s="7">
        <v>1.2682417945625455</v>
      </c>
      <c r="B575"/>
      <c r="C575"/>
      <c r="D575"/>
      <c r="E575" t="s">
        <v>8</v>
      </c>
      <c r="F575" s="27" t="s">
        <v>7</v>
      </c>
    </row>
    <row r="576" spans="1:6" x14ac:dyDescent="0.25">
      <c r="A576" s="7">
        <v>1.2433743083946525</v>
      </c>
      <c r="B576"/>
      <c r="C576"/>
      <c r="D576"/>
      <c r="E576" t="s">
        <v>8</v>
      </c>
      <c r="F576" s="27" t="s">
        <v>7</v>
      </c>
    </row>
    <row r="577" spans="1:124" x14ac:dyDescent="0.25">
      <c r="A577" s="7">
        <v>1.2189944199947573</v>
      </c>
      <c r="B577"/>
      <c r="C577"/>
      <c r="D577"/>
      <c r="E577" t="s">
        <v>8</v>
      </c>
      <c r="F577" s="27" t="s">
        <v>7</v>
      </c>
    </row>
    <row r="578" spans="1:124" x14ac:dyDescent="0.25">
      <c r="A578" s="7">
        <v>1.1950925686223111</v>
      </c>
      <c r="B578"/>
      <c r="C578"/>
      <c r="D578"/>
      <c r="E578" t="s">
        <v>8</v>
      </c>
      <c r="F578" s="27" t="s">
        <v>7</v>
      </c>
    </row>
    <row r="579" spans="1:124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DQ579" s="27" t="s">
        <v>8</v>
      </c>
    </row>
    <row r="580" spans="1:124" x14ac:dyDescent="0.25">
      <c r="A580" s="7">
        <v>1.14868566764928</v>
      </c>
      <c r="B580"/>
      <c r="C580"/>
      <c r="D580"/>
      <c r="E580" t="s">
        <v>8</v>
      </c>
      <c r="F580" s="27" t="s">
        <v>7</v>
      </c>
      <c r="DQ580" s="27" t="s">
        <v>8</v>
      </c>
      <c r="DR580" s="27" t="s">
        <v>7</v>
      </c>
    </row>
    <row r="581" spans="1:124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DQ581" s="27" t="s">
        <v>8</v>
      </c>
      <c r="DR581" s="27" t="s">
        <v>7</v>
      </c>
    </row>
    <row r="582" spans="1:124" x14ac:dyDescent="0.25">
      <c r="A582" s="7">
        <v>1.1040808032</v>
      </c>
      <c r="B582"/>
      <c r="C582"/>
      <c r="D582"/>
      <c r="E582" t="s">
        <v>8</v>
      </c>
      <c r="F582" s="27" t="s">
        <v>7</v>
      </c>
      <c r="DQ582" s="27" t="s">
        <v>8</v>
      </c>
      <c r="DR582" s="27" t="s">
        <v>7</v>
      </c>
    </row>
    <row r="583" spans="1:124" x14ac:dyDescent="0.25">
      <c r="A583" s="7">
        <v>1.08243216</v>
      </c>
      <c r="B583"/>
      <c r="C583"/>
      <c r="D583"/>
      <c r="E583" t="s">
        <v>8</v>
      </c>
      <c r="F583" s="27" t="s">
        <v>7</v>
      </c>
      <c r="DQ583" s="27" t="s">
        <v>8</v>
      </c>
      <c r="DR583" s="27" t="s">
        <v>7</v>
      </c>
    </row>
    <row r="584" spans="1:124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DQ584" s="27" t="s">
        <v>8</v>
      </c>
      <c r="DR584" s="27" t="s">
        <v>7</v>
      </c>
    </row>
    <row r="585" spans="1:124" x14ac:dyDescent="0.25">
      <c r="A585" s="7">
        <v>1.0404</v>
      </c>
      <c r="B585"/>
      <c r="C585"/>
      <c r="D585"/>
      <c r="E585" t="s">
        <v>8</v>
      </c>
      <c r="F585" s="27" t="s">
        <v>7</v>
      </c>
      <c r="DG585" s="27" t="s">
        <v>8</v>
      </c>
      <c r="DQ585" s="27" t="s">
        <v>8</v>
      </c>
      <c r="DR585" s="27" t="s">
        <v>7</v>
      </c>
    </row>
    <row r="586" spans="1:124" x14ac:dyDescent="0.25">
      <c r="A586" s="7">
        <v>1.02</v>
      </c>
      <c r="B586"/>
      <c r="C586"/>
      <c r="D586"/>
      <c r="E586" t="s">
        <v>8</v>
      </c>
      <c r="F586" s="27" t="s">
        <v>7</v>
      </c>
      <c r="DG586" s="27" t="s">
        <v>8</v>
      </c>
      <c r="DH586" s="27" t="s">
        <v>7</v>
      </c>
      <c r="DQ586" s="27" t="s">
        <v>8</v>
      </c>
      <c r="DR586" s="27" t="s">
        <v>7</v>
      </c>
    </row>
    <row r="587" spans="1:124" x14ac:dyDescent="0.25">
      <c r="A587" s="7">
        <v>1</v>
      </c>
      <c r="B587"/>
      <c r="C587"/>
      <c r="D587"/>
      <c r="E587" s="29" t="s">
        <v>8</v>
      </c>
      <c r="F587" s="27" t="s">
        <v>7</v>
      </c>
      <c r="DE587" s="27" t="s">
        <v>8</v>
      </c>
      <c r="DG587" s="27" t="s">
        <v>8</v>
      </c>
      <c r="DH587" s="27" t="s">
        <v>7</v>
      </c>
      <c r="DQ587" s="27" t="s">
        <v>8</v>
      </c>
      <c r="DR587" s="27" t="s">
        <v>7</v>
      </c>
    </row>
    <row r="588" spans="1:124" x14ac:dyDescent="0.25">
      <c r="A588" s="7">
        <v>0.98039215686274506</v>
      </c>
      <c r="B588"/>
      <c r="C588"/>
      <c r="D588"/>
      <c r="E588"/>
      <c r="F588" s="27" t="s">
        <v>7</v>
      </c>
      <c r="CY588" s="27" t="s">
        <v>8</v>
      </c>
      <c r="DE588" s="27" t="s">
        <v>8</v>
      </c>
      <c r="DF588" s="27" t="s">
        <v>7</v>
      </c>
      <c r="DG588" s="27" t="s">
        <v>8</v>
      </c>
      <c r="DH588" s="27" t="s">
        <v>7</v>
      </c>
      <c r="DQ588" s="27" t="s">
        <v>8</v>
      </c>
      <c r="DR588" s="27" t="s">
        <v>7</v>
      </c>
      <c r="DS588" s="27" t="s">
        <v>8</v>
      </c>
    </row>
    <row r="589" spans="1:124" x14ac:dyDescent="0.25">
      <c r="A589" s="7">
        <v>0.96116878123798544</v>
      </c>
      <c r="B589"/>
      <c r="C589"/>
      <c r="D589"/>
      <c r="E589"/>
      <c r="F589" s="27" t="s">
        <v>7</v>
      </c>
      <c r="CY589" s="27" t="s">
        <v>8</v>
      </c>
      <c r="CZ589" s="27" t="s">
        <v>7</v>
      </c>
      <c r="DE589" s="27" t="s">
        <v>8</v>
      </c>
      <c r="DF589" s="27" t="s">
        <v>7</v>
      </c>
      <c r="DG589" s="27" t="s">
        <v>8</v>
      </c>
      <c r="DH589" s="27" t="s">
        <v>7</v>
      </c>
      <c r="DQ589" s="27" t="s">
        <v>8</v>
      </c>
      <c r="DR589" s="27" t="s">
        <v>7</v>
      </c>
      <c r="DS589" s="27" t="s">
        <v>8</v>
      </c>
      <c r="DT589" s="27" t="s">
        <v>7</v>
      </c>
    </row>
    <row r="590" spans="1:124" x14ac:dyDescent="0.25">
      <c r="A590" s="7">
        <v>0.94232233454704462</v>
      </c>
      <c r="B590"/>
      <c r="C590"/>
      <c r="D590"/>
      <c r="E590"/>
      <c r="F590" s="27" t="s">
        <v>7</v>
      </c>
      <c r="CY590" s="27" t="s">
        <v>8</v>
      </c>
      <c r="CZ590" s="27" t="s">
        <v>7</v>
      </c>
      <c r="DE590" s="27" t="s">
        <v>8</v>
      </c>
      <c r="DF590" s="27" t="s">
        <v>7</v>
      </c>
      <c r="DG590" s="27" t="s">
        <v>8</v>
      </c>
      <c r="DH590" s="27" t="s">
        <v>7</v>
      </c>
      <c r="DQ590" s="27" t="s">
        <v>8</v>
      </c>
      <c r="DR590" s="27" t="s">
        <v>7</v>
      </c>
      <c r="DS590" s="27" t="s">
        <v>8</v>
      </c>
      <c r="DT590" s="27" t="s">
        <v>7</v>
      </c>
    </row>
    <row r="591" spans="1:124" x14ac:dyDescent="0.25">
      <c r="A591" s="7">
        <v>0.92384542602651432</v>
      </c>
      <c r="B591"/>
      <c r="C591"/>
      <c r="D591"/>
      <c r="E591"/>
      <c r="F591" s="27" t="s">
        <v>7</v>
      </c>
      <c r="CY591" s="27" t="s">
        <v>8</v>
      </c>
      <c r="CZ591" s="27" t="s">
        <v>7</v>
      </c>
      <c r="DE591" s="27" t="s">
        <v>8</v>
      </c>
      <c r="DF591" s="27" t="s">
        <v>7</v>
      </c>
      <c r="DG591" s="27" t="s">
        <v>8</v>
      </c>
      <c r="DH591" s="27" t="s">
        <v>7</v>
      </c>
      <c r="DQ591" s="27" t="s">
        <v>8</v>
      </c>
      <c r="DR591" s="27" t="s">
        <v>7</v>
      </c>
      <c r="DS591" s="27" t="s">
        <v>8</v>
      </c>
      <c r="DT591" s="27" t="s">
        <v>7</v>
      </c>
    </row>
    <row r="592" spans="1:124" x14ac:dyDescent="0.25">
      <c r="A592" s="7">
        <v>0.90573080982991594</v>
      </c>
      <c r="B592"/>
      <c r="C592"/>
      <c r="D592"/>
      <c r="E592"/>
      <c r="F592" s="27" t="s">
        <v>7</v>
      </c>
      <c r="CY592" s="27" t="s">
        <v>8</v>
      </c>
      <c r="CZ592" s="27" t="s">
        <v>7</v>
      </c>
      <c r="DA592" s="27" t="s">
        <v>8</v>
      </c>
      <c r="DC592" s="27" t="s">
        <v>8</v>
      </c>
      <c r="DE592" s="27" t="s">
        <v>8</v>
      </c>
      <c r="DF592" s="27" t="s">
        <v>7</v>
      </c>
      <c r="DG592" s="27" t="s">
        <v>8</v>
      </c>
      <c r="DH592" s="27" t="s">
        <v>7</v>
      </c>
      <c r="DO592" s="27" t="s">
        <v>8</v>
      </c>
      <c r="DQ592" s="27" t="s">
        <v>8</v>
      </c>
      <c r="DR592" s="27" t="s">
        <v>7</v>
      </c>
      <c r="DS592" s="27" t="s">
        <v>8</v>
      </c>
      <c r="DT592" s="27" t="s">
        <v>7</v>
      </c>
    </row>
    <row r="593" spans="1:130" x14ac:dyDescent="0.25">
      <c r="A593" s="7">
        <v>0.8879713821861922</v>
      </c>
      <c r="B593"/>
      <c r="C593"/>
      <c r="D593"/>
      <c r="E593"/>
      <c r="F593" s="27" t="s">
        <v>7</v>
      </c>
      <c r="CY593" s="27" t="s">
        <v>8</v>
      </c>
      <c r="CZ593" s="27" t="s">
        <v>7</v>
      </c>
      <c r="DA593" s="27" t="s">
        <v>8</v>
      </c>
      <c r="DB593" s="27" t="s">
        <v>7</v>
      </c>
      <c r="DC593" s="27" t="s">
        <v>8</v>
      </c>
      <c r="DD593" s="27" t="s">
        <v>7</v>
      </c>
      <c r="DE593" s="27" t="s">
        <v>8</v>
      </c>
      <c r="DF593" s="27" t="s">
        <v>7</v>
      </c>
      <c r="DG593" s="27" t="s">
        <v>8</v>
      </c>
      <c r="DH593" s="27" t="s">
        <v>7</v>
      </c>
      <c r="DO593" s="27" t="s">
        <v>8</v>
      </c>
      <c r="DP593" s="27" t="s">
        <v>7</v>
      </c>
      <c r="DQ593" s="27" t="s">
        <v>8</v>
      </c>
      <c r="DR593" s="27" t="s">
        <v>7</v>
      </c>
      <c r="DS593" s="27" t="s">
        <v>8</v>
      </c>
      <c r="DT593" s="27" t="s">
        <v>7</v>
      </c>
    </row>
    <row r="594" spans="1:130" x14ac:dyDescent="0.25">
      <c r="A594" s="7">
        <v>0.87056017861391399</v>
      </c>
      <c r="B594"/>
      <c r="C594"/>
      <c r="D594"/>
      <c r="E594"/>
      <c r="F594" s="27" t="s">
        <v>7</v>
      </c>
      <c r="CY594" s="27" t="s">
        <v>8</v>
      </c>
      <c r="CZ594" s="27" t="s">
        <v>7</v>
      </c>
      <c r="DA594" s="27" t="s">
        <v>8</v>
      </c>
      <c r="DB594" s="27" t="s">
        <v>7</v>
      </c>
      <c r="DC594" s="27" t="s">
        <v>8</v>
      </c>
      <c r="DD594" s="27" t="s">
        <v>7</v>
      </c>
      <c r="DE594" s="27" t="s">
        <v>8</v>
      </c>
      <c r="DF594" s="27" t="s">
        <v>7</v>
      </c>
      <c r="DH594" s="27" t="s">
        <v>7</v>
      </c>
      <c r="DO594" s="27" t="s">
        <v>8</v>
      </c>
      <c r="DP594" s="27" t="s">
        <v>7</v>
      </c>
      <c r="DQ594" s="27" t="s">
        <v>8</v>
      </c>
      <c r="DR594" s="27" t="s">
        <v>7</v>
      </c>
      <c r="DT594" s="27" t="s">
        <v>7</v>
      </c>
      <c r="DU594" s="27" t="s">
        <v>8</v>
      </c>
    </row>
    <row r="595" spans="1:130" x14ac:dyDescent="0.25">
      <c r="A595" s="7">
        <v>0.85349037119011173</v>
      </c>
      <c r="B595"/>
      <c r="C595"/>
      <c r="D595"/>
      <c r="E595"/>
      <c r="F595" s="27" t="s">
        <v>7</v>
      </c>
      <c r="CY595" s="27" t="s">
        <v>8</v>
      </c>
      <c r="CZ595" s="27" t="s">
        <v>7</v>
      </c>
      <c r="DA595" s="27" t="s">
        <v>8</v>
      </c>
      <c r="DB595" s="27" t="s">
        <v>7</v>
      </c>
      <c r="DC595" s="27" t="s">
        <v>8</v>
      </c>
      <c r="DD595" s="27" t="s">
        <v>7</v>
      </c>
      <c r="DE595" s="27" t="s">
        <v>8</v>
      </c>
      <c r="DH595" s="27" t="s">
        <v>7</v>
      </c>
      <c r="DO595" s="27" t="s">
        <v>8</v>
      </c>
      <c r="DP595" s="27" t="s">
        <v>7</v>
      </c>
      <c r="DQ595" s="27" t="s">
        <v>8</v>
      </c>
      <c r="DT595" s="27" t="s">
        <v>7</v>
      </c>
      <c r="DU595" s="27" t="s">
        <v>8</v>
      </c>
      <c r="DV595" s="27" t="s">
        <v>7</v>
      </c>
    </row>
    <row r="596" spans="1:130" x14ac:dyDescent="0.25">
      <c r="A596" s="7">
        <v>0.83675526587265858</v>
      </c>
      <c r="B596"/>
      <c r="C596"/>
      <c r="D596"/>
      <c r="E596"/>
      <c r="F596" s="27" t="s">
        <v>7</v>
      </c>
      <c r="CA596" s="27" t="s">
        <v>8</v>
      </c>
      <c r="CY596" s="27" t="s">
        <v>8</v>
      </c>
      <c r="CZ596" s="27" t="s">
        <v>7</v>
      </c>
      <c r="DA596" s="27" t="s">
        <v>8</v>
      </c>
      <c r="DB596" s="27" t="s">
        <v>7</v>
      </c>
      <c r="DC596" s="27" t="s">
        <v>8</v>
      </c>
      <c r="DD596" s="27" t="s">
        <v>7</v>
      </c>
      <c r="DE596" s="27" t="s">
        <v>8</v>
      </c>
      <c r="DH596" s="27" t="s">
        <v>7</v>
      </c>
      <c r="DK596" s="27" t="s">
        <v>8</v>
      </c>
      <c r="DO596" s="27" t="s">
        <v>8</v>
      </c>
      <c r="DP596" s="27" t="s">
        <v>7</v>
      </c>
      <c r="DQ596" s="27" t="s">
        <v>8</v>
      </c>
      <c r="DT596" s="27" t="s">
        <v>7</v>
      </c>
      <c r="DU596" s="27" t="s">
        <v>8</v>
      </c>
      <c r="DV596" s="27" t="s">
        <v>7</v>
      </c>
    </row>
    <row r="597" spans="1:130" x14ac:dyDescent="0.25">
      <c r="A597" s="7">
        <v>0.82034829987515545</v>
      </c>
      <c r="B597"/>
      <c r="C597"/>
      <c r="D597"/>
      <c r="E597"/>
      <c r="F597" s="27" t="s">
        <v>7</v>
      </c>
      <c r="CA597" s="27" t="s">
        <v>8</v>
      </c>
      <c r="CB597" s="27" t="s">
        <v>7</v>
      </c>
      <c r="CY597" s="27" t="s">
        <v>8</v>
      </c>
      <c r="CZ597" s="27" t="s">
        <v>7</v>
      </c>
      <c r="DA597" s="27" t="s">
        <v>8</v>
      </c>
      <c r="DB597" s="27" t="s">
        <v>7</v>
      </c>
      <c r="DD597" s="27" t="s">
        <v>7</v>
      </c>
      <c r="DE597" s="27" t="s">
        <v>8</v>
      </c>
      <c r="DH597" s="27" t="s">
        <v>7</v>
      </c>
      <c r="DK597" s="27" t="s">
        <v>8</v>
      </c>
      <c r="DL597" s="27" t="s">
        <v>7</v>
      </c>
      <c r="DM597" s="27" t="s">
        <v>8</v>
      </c>
      <c r="DO597" s="27" t="s">
        <v>8</v>
      </c>
      <c r="DP597" s="27" t="s">
        <v>7</v>
      </c>
      <c r="DQ597" s="27" t="s">
        <v>8</v>
      </c>
      <c r="DT597" s="27" t="s">
        <v>7</v>
      </c>
      <c r="DU597" s="27" t="s">
        <v>8</v>
      </c>
      <c r="DV597" s="27" t="s">
        <v>7</v>
      </c>
      <c r="DW597" s="27" t="s">
        <v>8</v>
      </c>
    </row>
    <row r="598" spans="1:130" x14ac:dyDescent="0.25">
      <c r="A598" s="7">
        <v>0.80426303909328967</v>
      </c>
      <c r="B598"/>
      <c r="C598"/>
      <c r="D598"/>
      <c r="E598"/>
      <c r="F598" s="27" t="s">
        <v>7</v>
      </c>
      <c r="CA598" s="27" t="s">
        <v>8</v>
      </c>
      <c r="CB598" s="27" t="s">
        <v>7</v>
      </c>
      <c r="CY598" s="27" t="s">
        <v>8</v>
      </c>
      <c r="CZ598" s="27" t="s">
        <v>7</v>
      </c>
      <c r="DA598" s="27" t="s">
        <v>8</v>
      </c>
      <c r="DD598" s="27" t="s">
        <v>7</v>
      </c>
      <c r="DH598" s="27" t="s">
        <v>7</v>
      </c>
      <c r="DK598" s="27" t="s">
        <v>8</v>
      </c>
      <c r="DL598" s="27" t="s">
        <v>7</v>
      </c>
      <c r="DM598" s="27" t="s">
        <v>8</v>
      </c>
      <c r="DN598" s="27" t="s">
        <v>7</v>
      </c>
      <c r="DO598" s="27" t="s">
        <v>8</v>
      </c>
      <c r="DP598" s="27" t="s">
        <v>7</v>
      </c>
      <c r="DQ598" s="27" t="s">
        <v>8</v>
      </c>
      <c r="DT598" s="27" t="s">
        <v>7</v>
      </c>
      <c r="DU598" s="27" t="s">
        <v>8</v>
      </c>
      <c r="DV598" s="27" t="s">
        <v>7</v>
      </c>
      <c r="DW598" s="27" t="s">
        <v>8</v>
      </c>
      <c r="DX598" s="27" t="s">
        <v>7</v>
      </c>
    </row>
    <row r="599" spans="1:130" x14ac:dyDescent="0.25">
      <c r="A599" s="7">
        <v>0.78849317558165644</v>
      </c>
      <c r="B599"/>
      <c r="C599"/>
      <c r="D599"/>
      <c r="E599"/>
      <c r="F599" s="27" t="s">
        <v>7</v>
      </c>
      <c r="CA599" s="27" t="s">
        <v>8</v>
      </c>
      <c r="CB599" s="27" t="s">
        <v>7</v>
      </c>
      <c r="CY599" s="27" t="s">
        <v>8</v>
      </c>
      <c r="CZ599" s="27" t="s">
        <v>7</v>
      </c>
      <c r="DH599" s="27" t="s">
        <v>7</v>
      </c>
      <c r="DI599" s="27" t="s">
        <v>8</v>
      </c>
      <c r="DK599" s="27" t="s">
        <v>8</v>
      </c>
      <c r="DL599" s="27" t="s">
        <v>7</v>
      </c>
      <c r="DM599" s="27" t="s">
        <v>8</v>
      </c>
      <c r="DN599" s="27" t="s">
        <v>7</v>
      </c>
      <c r="DO599" s="27" t="s">
        <v>8</v>
      </c>
      <c r="DP599" s="27" t="s">
        <v>7</v>
      </c>
      <c r="DQ599" s="27" t="s">
        <v>8</v>
      </c>
      <c r="DT599" s="27" t="s">
        <v>7</v>
      </c>
      <c r="DU599" s="27" t="s">
        <v>8</v>
      </c>
      <c r="DV599" s="27" t="s">
        <v>7</v>
      </c>
      <c r="DW599" s="27" t="s">
        <v>8</v>
      </c>
      <c r="DX599" s="27" t="s">
        <v>7</v>
      </c>
    </row>
    <row r="600" spans="1:130" x14ac:dyDescent="0.25">
      <c r="A600" s="7">
        <v>0.77303252508005538</v>
      </c>
      <c r="B600"/>
      <c r="C600"/>
      <c r="D600"/>
      <c r="E600"/>
      <c r="F600" s="27" t="s">
        <v>7</v>
      </c>
      <c r="CA600" s="27" t="s">
        <v>8</v>
      </c>
      <c r="CB600" s="27" t="s">
        <v>7</v>
      </c>
      <c r="CY600" s="27" t="s">
        <v>8</v>
      </c>
      <c r="DH600" s="27" t="s">
        <v>7</v>
      </c>
      <c r="DI600" s="27" t="s">
        <v>8</v>
      </c>
      <c r="DJ600" s="27" t="s">
        <v>7</v>
      </c>
      <c r="DK600" s="27" t="s">
        <v>8</v>
      </c>
      <c r="DL600" s="27" t="s">
        <v>7</v>
      </c>
      <c r="DM600" s="27" t="s">
        <v>8</v>
      </c>
      <c r="DN600" s="27" t="s">
        <v>7</v>
      </c>
      <c r="DO600" s="27" t="s">
        <v>8</v>
      </c>
      <c r="DP600" s="27" t="s">
        <v>7</v>
      </c>
      <c r="DT600" s="27" t="s">
        <v>7</v>
      </c>
      <c r="DU600" s="27" t="s">
        <v>8</v>
      </c>
      <c r="DV600" s="27" t="s">
        <v>7</v>
      </c>
      <c r="DW600" s="27" t="s">
        <v>8</v>
      </c>
      <c r="DX600" s="27" t="s">
        <v>7</v>
      </c>
    </row>
    <row r="601" spans="1:130" x14ac:dyDescent="0.25">
      <c r="A601" s="7">
        <v>0.75787502458828959</v>
      </c>
      <c r="B601"/>
      <c r="C601"/>
      <c r="D601"/>
      <c r="E601"/>
      <c r="F601" s="27" t="s">
        <v>7</v>
      </c>
      <c r="I601" s="27" t="s">
        <v>8</v>
      </c>
      <c r="CA601" s="27" t="s">
        <v>8</v>
      </c>
      <c r="CB601" s="27" t="s">
        <v>7</v>
      </c>
      <c r="CY601" s="27" t="s">
        <v>8</v>
      </c>
      <c r="DH601" s="27" t="s">
        <v>7</v>
      </c>
      <c r="DI601" s="27" t="s">
        <v>8</v>
      </c>
      <c r="DJ601" s="27" t="s">
        <v>7</v>
      </c>
      <c r="DK601" s="27" t="s">
        <v>8</v>
      </c>
      <c r="DL601" s="27" t="s">
        <v>7</v>
      </c>
      <c r="DM601" s="27" t="s">
        <v>8</v>
      </c>
      <c r="DN601" s="27" t="s">
        <v>7</v>
      </c>
      <c r="DO601" s="27" t="s">
        <v>8</v>
      </c>
      <c r="DT601" s="27" t="s">
        <v>7</v>
      </c>
      <c r="DU601" s="27" t="s">
        <v>8</v>
      </c>
      <c r="DV601" s="27" t="s">
        <v>7</v>
      </c>
      <c r="DW601" s="27" t="s">
        <v>8</v>
      </c>
      <c r="DX601" s="27" t="s">
        <v>7</v>
      </c>
    </row>
    <row r="602" spans="1:130" x14ac:dyDescent="0.25">
      <c r="A602" s="7">
        <v>0.74301472998851925</v>
      </c>
      <c r="B602"/>
      <c r="C602"/>
      <c r="D602"/>
      <c r="E602"/>
      <c r="F602" s="27" t="s">
        <v>7</v>
      </c>
      <c r="I602" s="27" t="s">
        <v>8</v>
      </c>
      <c r="J602" s="27" t="s">
        <v>7</v>
      </c>
      <c r="CA602" s="27" t="s">
        <v>8</v>
      </c>
      <c r="CB602" s="27" t="s">
        <v>7</v>
      </c>
      <c r="CW602" s="27" t="s">
        <v>8</v>
      </c>
      <c r="CY602" s="27" t="s">
        <v>8</v>
      </c>
      <c r="DH602" s="27" t="s">
        <v>7</v>
      </c>
      <c r="DI602" s="27" t="s">
        <v>8</v>
      </c>
      <c r="DJ602" s="27" t="s">
        <v>7</v>
      </c>
      <c r="DK602" s="27" t="s">
        <v>8</v>
      </c>
      <c r="DL602" s="27" t="s">
        <v>7</v>
      </c>
      <c r="DM602" s="27" t="s">
        <v>8</v>
      </c>
      <c r="DN602" s="27" t="s">
        <v>7</v>
      </c>
      <c r="DO602" s="27" t="s">
        <v>8</v>
      </c>
      <c r="DT602" s="27" t="s">
        <v>7</v>
      </c>
      <c r="DU602" s="27" t="s">
        <v>8</v>
      </c>
      <c r="DV602" s="27" t="s">
        <v>7</v>
      </c>
      <c r="DW602" s="27" t="s">
        <v>8</v>
      </c>
      <c r="DX602" s="27" t="s">
        <v>7</v>
      </c>
    </row>
    <row r="603" spans="1:130" x14ac:dyDescent="0.25">
      <c r="A603" s="7">
        <v>0.72844581371423456</v>
      </c>
      <c r="B603"/>
      <c r="C603"/>
      <c r="D603"/>
      <c r="E603"/>
      <c r="F603" s="27" t="s">
        <v>7</v>
      </c>
      <c r="I603" s="27" t="s">
        <v>8</v>
      </c>
      <c r="J603" s="27" t="s">
        <v>7</v>
      </c>
      <c r="CA603" s="27" t="s">
        <v>8</v>
      </c>
      <c r="CB603" s="27" t="s">
        <v>7</v>
      </c>
      <c r="CW603" s="27" t="s">
        <v>8</v>
      </c>
      <c r="CX603" s="27" t="s">
        <v>7</v>
      </c>
      <c r="CY603" s="27" t="s">
        <v>8</v>
      </c>
      <c r="DH603" s="27" t="s">
        <v>7</v>
      </c>
      <c r="DI603" s="27" t="s">
        <v>8</v>
      </c>
      <c r="DJ603" s="27" t="s">
        <v>7</v>
      </c>
      <c r="DK603" s="27" t="s">
        <v>8</v>
      </c>
      <c r="DL603" s="27" t="s">
        <v>7</v>
      </c>
      <c r="DM603" s="27" t="s">
        <v>8</v>
      </c>
      <c r="DN603" s="27" t="s">
        <v>7</v>
      </c>
      <c r="DO603" s="27" t="s">
        <v>8</v>
      </c>
      <c r="DT603" s="27" t="s">
        <v>7</v>
      </c>
      <c r="DU603" s="27" t="s">
        <v>8</v>
      </c>
      <c r="DV603" s="27" t="s">
        <v>7</v>
      </c>
      <c r="DW603" s="27" t="s">
        <v>8</v>
      </c>
      <c r="DX603" s="27" t="s">
        <v>7</v>
      </c>
    </row>
    <row r="604" spans="1:130" x14ac:dyDescent="0.25">
      <c r="A604" s="7">
        <v>0.71416256246493581</v>
      </c>
      <c r="B604"/>
      <c r="C604"/>
      <c r="D604"/>
      <c r="E604"/>
      <c r="F604" s="27" t="s">
        <v>7</v>
      </c>
      <c r="I604" s="27" t="s">
        <v>8</v>
      </c>
      <c r="J604" s="27" t="s">
        <v>7</v>
      </c>
      <c r="CA604" s="27" t="s">
        <v>8</v>
      </c>
      <c r="CB604" s="27" t="s">
        <v>7</v>
      </c>
      <c r="CW604" s="27" t="s">
        <v>8</v>
      </c>
      <c r="CX604" s="27" t="s">
        <v>7</v>
      </c>
      <c r="CY604" s="27" t="s">
        <v>8</v>
      </c>
      <c r="DH604" s="27" t="s">
        <v>7</v>
      </c>
      <c r="DI604" s="27" t="s">
        <v>8</v>
      </c>
      <c r="DJ604" s="27" t="s">
        <v>7</v>
      </c>
      <c r="DK604" s="27" t="s">
        <v>8</v>
      </c>
      <c r="DL604" s="27" t="s">
        <v>7</v>
      </c>
      <c r="DM604" s="27" t="s">
        <v>8</v>
      </c>
      <c r="DN604" s="27" t="s">
        <v>7</v>
      </c>
      <c r="DO604" s="27" t="s">
        <v>8</v>
      </c>
      <c r="DT604" s="27" t="s">
        <v>7</v>
      </c>
      <c r="DU604" s="27" t="s">
        <v>8</v>
      </c>
      <c r="DV604" s="27" t="s">
        <v>7</v>
      </c>
      <c r="DW604" s="27" t="s">
        <v>8</v>
      </c>
      <c r="DX604" s="27" t="s">
        <v>7</v>
      </c>
    </row>
    <row r="605" spans="1:130" x14ac:dyDescent="0.25">
      <c r="A605" s="7">
        <v>0.7001593749656233</v>
      </c>
      <c r="B605"/>
      <c r="C605"/>
      <c r="D605"/>
      <c r="E605"/>
      <c r="F605" s="27" t="s">
        <v>7</v>
      </c>
      <c r="I605" s="27" t="s">
        <v>8</v>
      </c>
      <c r="J605" s="27" t="s">
        <v>7</v>
      </c>
      <c r="CA605" s="27" t="s">
        <v>8</v>
      </c>
      <c r="CB605" s="27" t="s">
        <v>7</v>
      </c>
      <c r="CW605" s="27" t="s">
        <v>8</v>
      </c>
      <c r="CX605" s="27" t="s">
        <v>7</v>
      </c>
      <c r="CY605" s="27" t="s">
        <v>8</v>
      </c>
      <c r="DH605" s="27" t="s">
        <v>7</v>
      </c>
      <c r="DI605" s="27" t="s">
        <v>8</v>
      </c>
      <c r="DJ605" s="27" t="s">
        <v>7</v>
      </c>
      <c r="DK605" s="27" t="s">
        <v>8</v>
      </c>
      <c r="DL605" s="27" t="s">
        <v>7</v>
      </c>
      <c r="DM605" s="27" t="s">
        <v>8</v>
      </c>
      <c r="DN605" s="27" t="s">
        <v>7</v>
      </c>
      <c r="DT605" s="27" t="s">
        <v>7</v>
      </c>
      <c r="DU605" s="27" t="s">
        <v>8</v>
      </c>
      <c r="DV605" s="27" t="s">
        <v>7</v>
      </c>
      <c r="DW605" s="27" t="s">
        <v>8</v>
      </c>
      <c r="DX605" s="27" t="s">
        <v>7</v>
      </c>
      <c r="DY605" s="27" t="s">
        <v>8</v>
      </c>
    </row>
    <row r="606" spans="1:130" x14ac:dyDescent="0.25">
      <c r="A606" s="7">
        <v>0.68643075977021883</v>
      </c>
      <c r="B606"/>
      <c r="C606"/>
      <c r="D606"/>
      <c r="E606"/>
      <c r="F606" s="27" t="s">
        <v>7</v>
      </c>
      <c r="I606" s="27" t="s">
        <v>8</v>
      </c>
      <c r="J606" s="27" t="s">
        <v>7</v>
      </c>
      <c r="K606" s="27" t="s">
        <v>8</v>
      </c>
      <c r="CA606" s="27" t="s">
        <v>8</v>
      </c>
      <c r="CB606" s="27" t="s">
        <v>7</v>
      </c>
      <c r="CE606" s="27" t="s">
        <v>8</v>
      </c>
      <c r="CU606" s="27" t="s">
        <v>8</v>
      </c>
      <c r="CW606" s="27" t="s">
        <v>8</v>
      </c>
      <c r="CX606" s="27" t="s">
        <v>7</v>
      </c>
      <c r="CY606" s="27" t="s">
        <v>8</v>
      </c>
      <c r="DH606" s="27" t="s">
        <v>7</v>
      </c>
      <c r="DI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T606" s="27" t="s">
        <v>7</v>
      </c>
      <c r="DV606" s="27" t="s">
        <v>7</v>
      </c>
      <c r="DW606" s="27" t="s">
        <v>8</v>
      </c>
      <c r="DX606" s="27" t="s">
        <v>7</v>
      </c>
      <c r="DY606" s="27" t="s">
        <v>8</v>
      </c>
      <c r="DZ606" s="27" t="s">
        <v>7</v>
      </c>
    </row>
    <row r="607" spans="1:130" x14ac:dyDescent="0.25">
      <c r="A607" s="7">
        <v>0.67297133310805768</v>
      </c>
      <c r="B607"/>
      <c r="C607"/>
      <c r="D607"/>
      <c r="E607"/>
      <c r="F607" s="27" t="s">
        <v>7</v>
      </c>
      <c r="I607" s="27" t="s">
        <v>8</v>
      </c>
      <c r="J607" s="27" t="s">
        <v>7</v>
      </c>
      <c r="K607" s="27" t="s">
        <v>8</v>
      </c>
      <c r="L607" s="27" t="s">
        <v>7</v>
      </c>
      <c r="CA607" s="27" t="s">
        <v>8</v>
      </c>
      <c r="CB607" s="27" t="s">
        <v>7</v>
      </c>
      <c r="CE607" s="27" t="s">
        <v>8</v>
      </c>
      <c r="CF607" s="27" t="s">
        <v>7</v>
      </c>
      <c r="CG607" s="27" t="s">
        <v>8</v>
      </c>
      <c r="CU607" s="27" t="s">
        <v>8</v>
      </c>
      <c r="CV607" s="27" t="s">
        <v>7</v>
      </c>
      <c r="CW607" s="27" t="s">
        <v>8</v>
      </c>
      <c r="CX607" s="27" t="s">
        <v>7</v>
      </c>
      <c r="CY607" s="27" t="s">
        <v>8</v>
      </c>
      <c r="DH607" s="27" t="s">
        <v>7</v>
      </c>
      <c r="DI607" s="27" t="s">
        <v>8</v>
      </c>
      <c r="DJ607" s="27" t="s">
        <v>7</v>
      </c>
      <c r="DK607" s="27" t="s">
        <v>8</v>
      </c>
      <c r="DL607" s="27" t="s">
        <v>7</v>
      </c>
      <c r="DM607" s="27" t="s">
        <v>8</v>
      </c>
      <c r="DV607" s="27" t="s">
        <v>7</v>
      </c>
      <c r="DW607" s="27" t="s">
        <v>8</v>
      </c>
      <c r="DX607" s="27" t="s">
        <v>7</v>
      </c>
      <c r="DY607" s="27" t="s">
        <v>8</v>
      </c>
      <c r="DZ607" s="27" t="s">
        <v>7</v>
      </c>
    </row>
    <row r="608" spans="1:130" x14ac:dyDescent="0.25">
      <c r="A608" s="7">
        <v>0.65977581677260566</v>
      </c>
      <c r="B608"/>
      <c r="C608"/>
      <c r="D608"/>
      <c r="E608"/>
      <c r="F608" s="27" t="s">
        <v>7</v>
      </c>
      <c r="I608" s="27" t="s">
        <v>8</v>
      </c>
      <c r="J608" s="27" t="s">
        <v>7</v>
      </c>
      <c r="K608" s="27" t="s">
        <v>8</v>
      </c>
      <c r="L608" s="27" t="s">
        <v>7</v>
      </c>
      <c r="CA608" s="27" t="s">
        <v>8</v>
      </c>
      <c r="CB608" s="27" t="s">
        <v>7</v>
      </c>
      <c r="CC608" s="27" t="s">
        <v>8</v>
      </c>
      <c r="CE608" s="27" t="s">
        <v>8</v>
      </c>
      <c r="CF608" s="27" t="s">
        <v>7</v>
      </c>
      <c r="CG608" s="27" t="s">
        <v>8</v>
      </c>
      <c r="CH608" s="27" t="s">
        <v>7</v>
      </c>
      <c r="CU608" s="27" t="s">
        <v>8</v>
      </c>
      <c r="CV608" s="27" t="s">
        <v>7</v>
      </c>
      <c r="CW608" s="27" t="s">
        <v>8</v>
      </c>
      <c r="CX608" s="27" t="s">
        <v>7</v>
      </c>
      <c r="DH608" s="27" t="s">
        <v>7</v>
      </c>
      <c r="DI608" s="27" t="s">
        <v>8</v>
      </c>
      <c r="DJ608" s="27" t="s">
        <v>7</v>
      </c>
      <c r="DK608" s="27" t="s">
        <v>8</v>
      </c>
      <c r="DL608" s="27" t="s">
        <v>7</v>
      </c>
      <c r="DM608" s="27" t="s">
        <v>8</v>
      </c>
      <c r="DV608" s="27" t="s">
        <v>7</v>
      </c>
      <c r="DW608" s="27" t="s">
        <v>8</v>
      </c>
      <c r="DX608" s="27" t="s">
        <v>7</v>
      </c>
      <c r="DY608" s="27" t="s">
        <v>8</v>
      </c>
      <c r="DZ608" s="27" t="s">
        <v>7</v>
      </c>
    </row>
    <row r="609" spans="1:219" x14ac:dyDescent="0.25">
      <c r="A609" s="7">
        <v>0.64683903605157422</v>
      </c>
      <c r="B609"/>
      <c r="C609"/>
      <c r="D609"/>
      <c r="E609"/>
      <c r="F609" s="27" t="s">
        <v>7</v>
      </c>
      <c r="I609" s="27" t="s">
        <v>8</v>
      </c>
      <c r="J609" s="27" t="s">
        <v>7</v>
      </c>
      <c r="K609" s="27" t="s">
        <v>8</v>
      </c>
      <c r="L609" s="27" t="s">
        <v>7</v>
      </c>
      <c r="CA609" s="27" t="s">
        <v>8</v>
      </c>
      <c r="CB609" s="27" t="s">
        <v>7</v>
      </c>
      <c r="CC609" s="27" t="s">
        <v>8</v>
      </c>
      <c r="CD609" s="27" t="s">
        <v>7</v>
      </c>
      <c r="CE609" s="27" t="s">
        <v>8</v>
      </c>
      <c r="CF609" s="27" t="s">
        <v>7</v>
      </c>
      <c r="CG609" s="27" t="s">
        <v>8</v>
      </c>
      <c r="CH609" s="27" t="s">
        <v>7</v>
      </c>
      <c r="CU609" s="27" t="s">
        <v>8</v>
      </c>
      <c r="CV609" s="27" t="s">
        <v>7</v>
      </c>
      <c r="CW609" s="27" t="s">
        <v>8</v>
      </c>
      <c r="DH609" s="27" t="s">
        <v>7</v>
      </c>
      <c r="DI609" s="27" t="s">
        <v>8</v>
      </c>
      <c r="DJ609" s="27" t="s">
        <v>7</v>
      </c>
      <c r="DK609" s="27" t="s">
        <v>8</v>
      </c>
      <c r="DL609" s="27" t="s">
        <v>7</v>
      </c>
      <c r="DM609" s="27" t="s">
        <v>8</v>
      </c>
      <c r="DV609" s="27" t="s">
        <v>7</v>
      </c>
      <c r="DW609" s="27" t="s">
        <v>8</v>
      </c>
      <c r="DX609" s="27" t="s">
        <v>7</v>
      </c>
      <c r="DY609" s="27" t="s">
        <v>8</v>
      </c>
      <c r="DZ609" s="27" t="s">
        <v>7</v>
      </c>
    </row>
    <row r="610" spans="1:219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I610" s="27" t="s">
        <v>8</v>
      </c>
      <c r="J610" s="27" t="s">
        <v>7</v>
      </c>
      <c r="K610" s="27" t="s">
        <v>8</v>
      </c>
      <c r="L610" s="27" t="s">
        <v>7</v>
      </c>
      <c r="CA610" s="27" t="s">
        <v>8</v>
      </c>
      <c r="CB610" s="27" t="s">
        <v>7</v>
      </c>
      <c r="CC610" s="27" t="s">
        <v>8</v>
      </c>
      <c r="CD610" s="27" t="s">
        <v>7</v>
      </c>
      <c r="CE610" s="27" t="s">
        <v>8</v>
      </c>
      <c r="CF610" s="27" t="s">
        <v>7</v>
      </c>
      <c r="CG610" s="27" t="s">
        <v>8</v>
      </c>
      <c r="CH610" s="27" t="s">
        <v>7</v>
      </c>
      <c r="CU610" s="27" t="s">
        <v>8</v>
      </c>
      <c r="CV610" s="27" t="s">
        <v>7</v>
      </c>
      <c r="CW610" s="27" t="s">
        <v>8</v>
      </c>
      <c r="DH610" s="27" t="s">
        <v>7</v>
      </c>
      <c r="DI610" s="27" t="s">
        <v>8</v>
      </c>
      <c r="DJ610" s="27" t="s">
        <v>7</v>
      </c>
      <c r="DK610" s="27" t="s">
        <v>8</v>
      </c>
      <c r="DL610" s="27" t="s">
        <v>7</v>
      </c>
      <c r="DM610" s="27" t="s">
        <v>8</v>
      </c>
      <c r="DV610" s="27" t="s">
        <v>7</v>
      </c>
      <c r="DX610" s="27" t="s">
        <v>7</v>
      </c>
      <c r="DY610" s="27" t="s">
        <v>8</v>
      </c>
      <c r="DZ610" s="27" t="s">
        <v>7</v>
      </c>
    </row>
    <row r="611" spans="1:219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I611" s="27" t="s">
        <v>8</v>
      </c>
      <c r="J611" s="27" t="s">
        <v>7</v>
      </c>
      <c r="K611" s="27" t="s">
        <v>8</v>
      </c>
      <c r="L611" s="27" t="s">
        <v>7</v>
      </c>
      <c r="CA611" s="27" t="s">
        <v>8</v>
      </c>
      <c r="CB611" s="27" t="s">
        <v>7</v>
      </c>
      <c r="CC611" s="27" t="s">
        <v>8</v>
      </c>
      <c r="CD611" s="27" t="s">
        <v>7</v>
      </c>
      <c r="CE611" s="27" t="s">
        <v>8</v>
      </c>
      <c r="CF611" s="27" t="s">
        <v>7</v>
      </c>
      <c r="CG611" s="27" t="s">
        <v>8</v>
      </c>
      <c r="CH611" s="27" t="s">
        <v>7</v>
      </c>
      <c r="CU611" s="27" t="s">
        <v>8</v>
      </c>
      <c r="CV611" s="27" t="s">
        <v>7</v>
      </c>
      <c r="CW611" s="27" t="s">
        <v>8</v>
      </c>
      <c r="DH611" s="27" t="s">
        <v>7</v>
      </c>
      <c r="DJ611" s="27" t="s">
        <v>7</v>
      </c>
      <c r="DL611" s="27" t="s">
        <v>7</v>
      </c>
      <c r="DM611" s="27" t="s">
        <v>8</v>
      </c>
      <c r="DX611" s="27" t="s">
        <v>7</v>
      </c>
      <c r="DY611" s="27" t="s">
        <v>8</v>
      </c>
      <c r="DZ611" s="27" t="s">
        <v>7</v>
      </c>
    </row>
    <row r="612" spans="1:219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I612" s="27" t="s">
        <v>8</v>
      </c>
      <c r="J612" s="27" t="s">
        <v>7</v>
      </c>
      <c r="K612" s="27" t="s">
        <v>8</v>
      </c>
      <c r="L612" s="27" t="s">
        <v>7</v>
      </c>
      <c r="CA612" s="27" t="s">
        <v>8</v>
      </c>
      <c r="CB612" s="27" t="s">
        <v>7</v>
      </c>
      <c r="CC612" s="27" t="s">
        <v>8</v>
      </c>
      <c r="CD612" s="27" t="s">
        <v>7</v>
      </c>
      <c r="CE612" s="27" t="s">
        <v>8</v>
      </c>
      <c r="CF612" s="27" t="s">
        <v>7</v>
      </c>
      <c r="CG612" s="27" t="s">
        <v>8</v>
      </c>
      <c r="CH612" s="27" t="s">
        <v>7</v>
      </c>
      <c r="CU612" s="27" t="s">
        <v>8</v>
      </c>
      <c r="CV612" s="27" t="s">
        <v>7</v>
      </c>
      <c r="CW612" s="27" t="s">
        <v>8</v>
      </c>
      <c r="DL612" s="27" t="s">
        <v>7</v>
      </c>
      <c r="DM612" s="27" t="s">
        <v>8</v>
      </c>
      <c r="DX612" s="27" t="s">
        <v>7</v>
      </c>
      <c r="DY612" s="27" t="s">
        <v>8</v>
      </c>
      <c r="DZ612" s="27" t="s">
        <v>7</v>
      </c>
    </row>
    <row r="613" spans="1:219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I613" s="27" t="s">
        <v>8</v>
      </c>
      <c r="J613" s="27" t="s">
        <v>7</v>
      </c>
      <c r="K613" s="27" t="s">
        <v>8</v>
      </c>
      <c r="L613" s="27" t="s">
        <v>7</v>
      </c>
      <c r="CA613" s="27" t="s">
        <v>8</v>
      </c>
      <c r="CB613" s="27" t="s">
        <v>7</v>
      </c>
      <c r="CC613" s="27" t="s">
        <v>8</v>
      </c>
      <c r="CD613" s="27" t="s">
        <v>7</v>
      </c>
      <c r="CE613" s="27" t="s">
        <v>8</v>
      </c>
      <c r="CF613" s="27" t="s">
        <v>7</v>
      </c>
      <c r="CG613" s="27" t="s">
        <v>8</v>
      </c>
      <c r="CH613" s="27" t="s">
        <v>7</v>
      </c>
      <c r="CU613" s="27" t="s">
        <v>8</v>
      </c>
      <c r="CV613" s="27" t="s">
        <v>7</v>
      </c>
      <c r="CW613" s="27" t="s">
        <v>8</v>
      </c>
      <c r="DL613" s="27" t="s">
        <v>7</v>
      </c>
      <c r="DM613" s="27" t="s">
        <v>8</v>
      </c>
      <c r="DX613" s="27" t="s">
        <v>7</v>
      </c>
      <c r="DY613" s="27" t="s">
        <v>8</v>
      </c>
      <c r="DZ613" s="27" t="s">
        <v>7</v>
      </c>
    </row>
    <row r="614" spans="1:219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I614" s="27" t="s">
        <v>8</v>
      </c>
      <c r="J614" s="27" t="s">
        <v>7</v>
      </c>
      <c r="K614" s="27" t="s">
        <v>8</v>
      </c>
      <c r="L614" s="27" t="s">
        <v>7</v>
      </c>
      <c r="CA614" s="27" t="s">
        <v>8</v>
      </c>
      <c r="CB614" s="27" t="s">
        <v>7</v>
      </c>
      <c r="CC614" s="27" t="s">
        <v>8</v>
      </c>
      <c r="CD614" s="27" t="s">
        <v>7</v>
      </c>
      <c r="CE614" s="27" t="s">
        <v>8</v>
      </c>
      <c r="CF614" s="27" t="s">
        <v>7</v>
      </c>
      <c r="CG614" s="27" t="s">
        <v>8</v>
      </c>
      <c r="CH614" s="27" t="s">
        <v>7</v>
      </c>
      <c r="CU614" s="27" t="s">
        <v>8</v>
      </c>
      <c r="CV614" s="27" t="s">
        <v>7</v>
      </c>
      <c r="CW614" s="27" t="s">
        <v>8</v>
      </c>
      <c r="DL614" s="27" t="s">
        <v>7</v>
      </c>
      <c r="DM614" s="27" t="s">
        <v>8</v>
      </c>
      <c r="DX614" s="27" t="s">
        <v>7</v>
      </c>
      <c r="DZ614" s="27" t="s">
        <v>7</v>
      </c>
    </row>
    <row r="615" spans="1:219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I615" s="27" t="s">
        <v>8</v>
      </c>
      <c r="J615" s="27" t="s">
        <v>7</v>
      </c>
      <c r="K615" s="27" t="s">
        <v>8</v>
      </c>
      <c r="L615" s="27" t="s">
        <v>7</v>
      </c>
      <c r="BY615" s="27" t="s">
        <v>8</v>
      </c>
      <c r="CA615" s="27" t="s">
        <v>8</v>
      </c>
      <c r="CB615" s="27" t="s">
        <v>7</v>
      </c>
      <c r="CC615" s="27" t="s">
        <v>8</v>
      </c>
      <c r="CD615" s="27" t="s">
        <v>7</v>
      </c>
      <c r="CE615" s="27" t="s">
        <v>8</v>
      </c>
      <c r="CF615" s="27" t="s">
        <v>7</v>
      </c>
      <c r="CG615" s="27" t="s">
        <v>8</v>
      </c>
      <c r="CH615" s="27" t="s">
        <v>7</v>
      </c>
      <c r="CQ615" s="27" t="s">
        <v>8</v>
      </c>
      <c r="CU615" s="27" t="s">
        <v>8</v>
      </c>
      <c r="CV615" s="27" t="s">
        <v>7</v>
      </c>
      <c r="CW615" s="27" t="s">
        <v>8</v>
      </c>
      <c r="DL615" s="27" t="s">
        <v>7</v>
      </c>
      <c r="DM615" s="27" t="s">
        <v>8</v>
      </c>
      <c r="DZ615" s="27" t="s">
        <v>7</v>
      </c>
    </row>
    <row r="616" spans="1:219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I616" s="27" t="s">
        <v>8</v>
      </c>
      <c r="J616" s="27" t="s">
        <v>7</v>
      </c>
      <c r="K616" s="27" t="s">
        <v>8</v>
      </c>
      <c r="L616" s="27" t="s">
        <v>7</v>
      </c>
      <c r="BY616" s="27" t="s">
        <v>8</v>
      </c>
      <c r="BZ616" s="27" t="s">
        <v>7</v>
      </c>
      <c r="CA616" s="27" t="s">
        <v>8</v>
      </c>
      <c r="CB616" s="27" t="s">
        <v>7</v>
      </c>
      <c r="CC616" s="27" t="s">
        <v>8</v>
      </c>
      <c r="CD616" s="27" t="s">
        <v>7</v>
      </c>
      <c r="CE616" s="27" t="s">
        <v>8</v>
      </c>
      <c r="CF616" s="27" t="s">
        <v>7</v>
      </c>
      <c r="CG616" s="27" t="s">
        <v>8</v>
      </c>
      <c r="CH616" s="27" t="s">
        <v>7</v>
      </c>
      <c r="CQ616" s="27" t="s">
        <v>8</v>
      </c>
      <c r="CR616" s="27" t="s">
        <v>7</v>
      </c>
      <c r="CU616" s="27" t="s">
        <v>8</v>
      </c>
      <c r="CV616" s="27" t="s">
        <v>7</v>
      </c>
      <c r="CW616" s="27" t="s">
        <v>8</v>
      </c>
      <c r="DL616" s="27" t="s">
        <v>7</v>
      </c>
      <c r="DM616" s="27" t="s">
        <v>8</v>
      </c>
      <c r="DZ616" s="27" t="s">
        <v>7</v>
      </c>
    </row>
    <row r="617" spans="1:219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I617" s="27" t="s">
        <v>8</v>
      </c>
      <c r="J617" s="27" t="s">
        <v>7</v>
      </c>
      <c r="K617" s="27" t="s">
        <v>8</v>
      </c>
      <c r="L617" s="27" t="s">
        <v>7</v>
      </c>
      <c r="BY617" s="27" t="s">
        <v>8</v>
      </c>
      <c r="BZ617" s="27" t="s">
        <v>7</v>
      </c>
      <c r="CA617" s="27" t="s">
        <v>8</v>
      </c>
      <c r="CB617" s="27" t="s">
        <v>7</v>
      </c>
      <c r="CC617" s="27" t="s">
        <v>8</v>
      </c>
      <c r="CD617" s="27" t="s">
        <v>7</v>
      </c>
      <c r="CE617" s="27" t="s">
        <v>8</v>
      </c>
      <c r="CF617" s="27" t="s">
        <v>7</v>
      </c>
      <c r="CH617" s="27" t="s">
        <v>7</v>
      </c>
      <c r="CQ617" s="27" t="s">
        <v>8</v>
      </c>
      <c r="CR617" s="27" t="s">
        <v>7</v>
      </c>
      <c r="CS617" s="27" t="s">
        <v>8</v>
      </c>
      <c r="CU617" s="27" t="s">
        <v>8</v>
      </c>
      <c r="CV617" s="27" t="s">
        <v>7</v>
      </c>
      <c r="CW617" s="27" t="s">
        <v>8</v>
      </c>
      <c r="DL617" s="27" t="s">
        <v>7</v>
      </c>
      <c r="DM617" s="27" t="s">
        <v>8</v>
      </c>
      <c r="DZ617" s="27" t="s">
        <v>7</v>
      </c>
    </row>
    <row r="618" spans="1:219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I618" s="27" t="s">
        <v>8</v>
      </c>
      <c r="J618" s="27" t="s">
        <v>7</v>
      </c>
      <c r="K618" s="27" t="s">
        <v>8</v>
      </c>
      <c r="L618" s="27" t="s">
        <v>7</v>
      </c>
      <c r="BY618" s="27" t="s">
        <v>8</v>
      </c>
      <c r="BZ618" s="27" t="s">
        <v>7</v>
      </c>
      <c r="CA618" s="27" t="s">
        <v>8</v>
      </c>
      <c r="CB618" s="27" t="s">
        <v>7</v>
      </c>
      <c r="CC618" s="27" t="s">
        <v>8</v>
      </c>
      <c r="CD618" s="27" t="s">
        <v>7</v>
      </c>
      <c r="CH618" s="27" t="s">
        <v>7</v>
      </c>
      <c r="CQ618" s="27" t="s">
        <v>8</v>
      </c>
      <c r="CR618" s="27" t="s">
        <v>7</v>
      </c>
      <c r="CS618" s="27" t="s">
        <v>8</v>
      </c>
      <c r="CT618" s="27" t="s">
        <v>7</v>
      </c>
      <c r="CU618" s="27" t="s">
        <v>8</v>
      </c>
      <c r="CV618" s="27" t="s">
        <v>7</v>
      </c>
      <c r="CW618" s="27" t="s">
        <v>8</v>
      </c>
      <c r="DL618" s="27" t="s">
        <v>7</v>
      </c>
      <c r="DM618" s="27" t="s">
        <v>8</v>
      </c>
      <c r="DZ618" s="27" t="s">
        <v>7</v>
      </c>
    </row>
    <row r="619" spans="1:219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I619" s="27" t="s">
        <v>8</v>
      </c>
      <c r="J619" s="27" t="s">
        <v>7</v>
      </c>
      <c r="K619" s="27" t="s">
        <v>8</v>
      </c>
      <c r="L619" s="27" t="s">
        <v>7</v>
      </c>
      <c r="M619" s="27" t="s">
        <v>8</v>
      </c>
      <c r="BW619" s="27" t="s">
        <v>8</v>
      </c>
      <c r="BY619" s="27" t="s">
        <v>8</v>
      </c>
      <c r="BZ619" s="27" t="s">
        <v>7</v>
      </c>
      <c r="CA619" s="27" t="s">
        <v>8</v>
      </c>
      <c r="CB619" s="27" t="s">
        <v>7</v>
      </c>
      <c r="CC619" s="27" t="s">
        <v>8</v>
      </c>
      <c r="CH619" s="27" t="s">
        <v>7</v>
      </c>
      <c r="CQ619" s="27" t="s">
        <v>8</v>
      </c>
      <c r="CR619" s="27" t="s">
        <v>7</v>
      </c>
      <c r="CS619" s="27" t="s">
        <v>8</v>
      </c>
      <c r="CT619" s="27" t="s">
        <v>7</v>
      </c>
      <c r="CU619" s="27" t="s">
        <v>8</v>
      </c>
      <c r="CV619" s="27" t="s">
        <v>7</v>
      </c>
      <c r="CW619" s="27" t="s">
        <v>8</v>
      </c>
      <c r="DL619" s="27" t="s">
        <v>7</v>
      </c>
      <c r="DZ619" s="27" t="s">
        <v>7</v>
      </c>
    </row>
    <row r="620" spans="1:219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I620" s="27" t="s">
        <v>8</v>
      </c>
      <c r="J620" s="27" t="s">
        <v>7</v>
      </c>
      <c r="L620" s="27" t="s">
        <v>7</v>
      </c>
      <c r="M620" s="27" t="s">
        <v>8</v>
      </c>
      <c r="N620" s="27" t="s">
        <v>7</v>
      </c>
      <c r="BW620" s="27" t="s">
        <v>8</v>
      </c>
      <c r="BX620" s="27" t="s">
        <v>7</v>
      </c>
      <c r="BY620" s="27" t="s">
        <v>8</v>
      </c>
      <c r="BZ620" s="27" t="s">
        <v>7</v>
      </c>
      <c r="CA620" s="27" t="s">
        <v>8</v>
      </c>
      <c r="CB620" s="27" t="s">
        <v>7</v>
      </c>
      <c r="CC620" s="27" t="s">
        <v>8</v>
      </c>
      <c r="CH620" s="27" t="s">
        <v>7</v>
      </c>
      <c r="CQ620" s="27" t="s">
        <v>8</v>
      </c>
      <c r="CR620" s="27" t="s">
        <v>7</v>
      </c>
      <c r="CS620" s="27" t="s">
        <v>8</v>
      </c>
      <c r="CT620" s="27" t="s">
        <v>7</v>
      </c>
      <c r="CU620" s="27" t="s">
        <v>8</v>
      </c>
      <c r="CV620" s="27" t="s">
        <v>7</v>
      </c>
      <c r="CW620" s="27" t="s">
        <v>8</v>
      </c>
      <c r="DZ620" s="27" t="s">
        <v>7</v>
      </c>
    </row>
    <row r="621" spans="1:219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I621" s="27" t="s">
        <v>8</v>
      </c>
      <c r="L621" s="27" t="s">
        <v>7</v>
      </c>
      <c r="M621" s="27" t="s">
        <v>8</v>
      </c>
      <c r="N621" s="27" t="s">
        <v>7</v>
      </c>
      <c r="BW621" s="27" t="s">
        <v>8</v>
      </c>
      <c r="BX621" s="27" t="s">
        <v>7</v>
      </c>
      <c r="BY621" s="27" t="s">
        <v>8</v>
      </c>
      <c r="BZ621" s="27" t="s">
        <v>7</v>
      </c>
      <c r="CA621" s="27" t="s">
        <v>8</v>
      </c>
      <c r="CB621" s="27" t="s">
        <v>7</v>
      </c>
      <c r="CC621" s="27" t="s">
        <v>8</v>
      </c>
      <c r="CH621" s="27" t="s">
        <v>7</v>
      </c>
      <c r="CQ621" s="27" t="s">
        <v>8</v>
      </c>
      <c r="CR621" s="27" t="s">
        <v>7</v>
      </c>
      <c r="CS621" s="27" t="s">
        <v>8</v>
      </c>
      <c r="CT621" s="27" t="s">
        <v>7</v>
      </c>
      <c r="CU621" s="27" t="s">
        <v>8</v>
      </c>
      <c r="CV621" s="27" t="s">
        <v>7</v>
      </c>
      <c r="CW621" s="27" t="s">
        <v>8</v>
      </c>
      <c r="DZ621" s="27" t="s">
        <v>7</v>
      </c>
    </row>
    <row r="622" spans="1:219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I622" s="27" t="s">
        <v>8</v>
      </c>
      <c r="L622" s="27" t="s">
        <v>7</v>
      </c>
      <c r="M622" s="27" t="s">
        <v>8</v>
      </c>
      <c r="N622" s="27" t="s">
        <v>7</v>
      </c>
      <c r="BW622" s="27" t="s">
        <v>8</v>
      </c>
      <c r="BX622" s="27" t="s">
        <v>7</v>
      </c>
      <c r="BY622" s="27" t="s">
        <v>8</v>
      </c>
      <c r="BZ622" s="27" t="s">
        <v>7</v>
      </c>
      <c r="CA622" s="27" t="s">
        <v>8</v>
      </c>
      <c r="CB622" s="27" t="s">
        <v>7</v>
      </c>
      <c r="CC622" s="27" t="s">
        <v>8</v>
      </c>
      <c r="CH622" s="27" t="s">
        <v>7</v>
      </c>
      <c r="CI622" s="27" t="s">
        <v>8</v>
      </c>
      <c r="CM622" s="27" t="s">
        <v>8</v>
      </c>
      <c r="CQ622" s="27" t="s">
        <v>8</v>
      </c>
      <c r="CR622" s="27" t="s">
        <v>7</v>
      </c>
      <c r="CS622" s="27" t="s">
        <v>8</v>
      </c>
      <c r="CT622" s="27" t="s">
        <v>7</v>
      </c>
      <c r="CU622" s="27" t="s">
        <v>8</v>
      </c>
      <c r="CV622" s="27" t="s">
        <v>7</v>
      </c>
      <c r="CW622" s="27" t="s">
        <v>8</v>
      </c>
      <c r="DZ622" s="27" t="s">
        <v>7</v>
      </c>
    </row>
    <row r="623" spans="1:219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I623" s="27" t="s">
        <v>8</v>
      </c>
      <c r="L623" s="27" t="s">
        <v>7</v>
      </c>
      <c r="M623" s="27" t="s">
        <v>8</v>
      </c>
      <c r="N623" s="27" t="s">
        <v>7</v>
      </c>
      <c r="BW623" s="27" t="s">
        <v>8</v>
      </c>
      <c r="BX623" s="27" t="s">
        <v>7</v>
      </c>
      <c r="BY623" s="27" t="s">
        <v>8</v>
      </c>
      <c r="BZ623" s="27" t="s">
        <v>7</v>
      </c>
      <c r="CA623" s="27" t="s">
        <v>8</v>
      </c>
      <c r="CB623" s="27" t="s">
        <v>7</v>
      </c>
      <c r="CH623" s="27" t="s">
        <v>7</v>
      </c>
      <c r="CI623" s="27" t="s">
        <v>8</v>
      </c>
      <c r="CJ623" s="27" t="s">
        <v>7</v>
      </c>
      <c r="CM623" s="27" t="s">
        <v>8</v>
      </c>
      <c r="CN623" s="27" t="s">
        <v>7</v>
      </c>
      <c r="CQ623" s="27" t="s">
        <v>8</v>
      </c>
      <c r="CR623" s="27" t="s">
        <v>7</v>
      </c>
      <c r="CS623" s="27" t="s">
        <v>8</v>
      </c>
      <c r="CT623" s="27" t="s">
        <v>7</v>
      </c>
      <c r="CU623" s="27" t="s">
        <v>8</v>
      </c>
      <c r="CV623" s="27" t="s">
        <v>7</v>
      </c>
      <c r="CW623" s="27" t="s">
        <v>8</v>
      </c>
      <c r="DZ623" s="27" t="s">
        <v>7</v>
      </c>
    </row>
    <row r="624" spans="1:219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I624" s="27" t="s">
        <v>8</v>
      </c>
      <c r="L624" s="27" t="s">
        <v>7</v>
      </c>
      <c r="M624" s="27" t="s">
        <v>8</v>
      </c>
      <c r="N624" s="27" t="s">
        <v>7</v>
      </c>
      <c r="BW624" s="27" t="s">
        <v>8</v>
      </c>
      <c r="BX624" s="27" t="s">
        <v>7</v>
      </c>
      <c r="BY624" s="27" t="s">
        <v>8</v>
      </c>
      <c r="BZ624" s="27" t="s">
        <v>7</v>
      </c>
      <c r="CH624" s="27" t="s">
        <v>7</v>
      </c>
      <c r="CI624" s="27" t="s">
        <v>8</v>
      </c>
      <c r="CJ624" s="27" t="s">
        <v>7</v>
      </c>
      <c r="CM624" s="27" t="s">
        <v>8</v>
      </c>
      <c r="CN624" s="27" t="s">
        <v>7</v>
      </c>
      <c r="CQ624" s="27" t="s">
        <v>8</v>
      </c>
      <c r="CR624" s="27" t="s">
        <v>7</v>
      </c>
      <c r="CS624" s="27" t="s">
        <v>8</v>
      </c>
      <c r="CT624" s="27" t="s">
        <v>7</v>
      </c>
      <c r="CU624" s="27" t="s">
        <v>8</v>
      </c>
      <c r="CV624" s="27" t="s">
        <v>7</v>
      </c>
      <c r="CW624" s="27" t="s">
        <v>8</v>
      </c>
      <c r="DZ624" s="27" t="s">
        <v>7</v>
      </c>
      <c r="HI624" s="27" t="s">
        <v>8</v>
      </c>
      <c r="HK624" s="27" t="s">
        <v>8</v>
      </c>
    </row>
    <row r="625" spans="1:234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L625" s="27" t="s">
        <v>7</v>
      </c>
      <c r="M625" s="27" t="s">
        <v>8</v>
      </c>
      <c r="N625" s="27" t="s">
        <v>7</v>
      </c>
      <c r="BW625" s="27" t="s">
        <v>8</v>
      </c>
      <c r="BX625" s="27" t="s">
        <v>7</v>
      </c>
      <c r="BY625" s="27" t="s">
        <v>8</v>
      </c>
      <c r="CH625" s="27" t="s">
        <v>7</v>
      </c>
      <c r="CI625" s="27" t="s">
        <v>8</v>
      </c>
      <c r="CJ625" s="27" t="s">
        <v>7</v>
      </c>
      <c r="CM625" s="27" t="s">
        <v>8</v>
      </c>
      <c r="CN625" s="27" t="s">
        <v>7</v>
      </c>
      <c r="CO625" s="27" t="s">
        <v>8</v>
      </c>
      <c r="CQ625" s="27" t="s">
        <v>8</v>
      </c>
      <c r="CR625" s="27" t="s">
        <v>7</v>
      </c>
      <c r="CS625" s="27" t="s">
        <v>8</v>
      </c>
      <c r="CT625" s="27" t="s">
        <v>7</v>
      </c>
      <c r="CU625" s="27" t="s">
        <v>8</v>
      </c>
      <c r="CV625" s="27" t="s">
        <v>7</v>
      </c>
      <c r="CW625" s="27" t="s">
        <v>8</v>
      </c>
      <c r="DZ625" s="27" t="s">
        <v>7</v>
      </c>
      <c r="HI625" s="27" t="s">
        <v>8</v>
      </c>
      <c r="HJ625" s="27" t="s">
        <v>7</v>
      </c>
      <c r="HK625" s="27" t="s">
        <v>8</v>
      </c>
      <c r="HL625" s="27" t="s">
        <v>7</v>
      </c>
    </row>
    <row r="626" spans="1:234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I626" s="27" t="s">
        <v>8</v>
      </c>
      <c r="L626" s="27" t="s">
        <v>7</v>
      </c>
      <c r="M626" s="27" t="s">
        <v>8</v>
      </c>
      <c r="N626" s="27" t="s">
        <v>7</v>
      </c>
      <c r="BW626" s="27" t="s">
        <v>8</v>
      </c>
      <c r="BX626" s="27" t="s">
        <v>7</v>
      </c>
      <c r="BY626" s="27" t="s">
        <v>8</v>
      </c>
      <c r="CH626" s="27" t="s">
        <v>7</v>
      </c>
      <c r="CI626" s="27" t="s">
        <v>8</v>
      </c>
      <c r="CJ626" s="27" t="s">
        <v>7</v>
      </c>
      <c r="CM626" s="27" t="s">
        <v>8</v>
      </c>
      <c r="CN626" s="27" t="s">
        <v>7</v>
      </c>
      <c r="CO626" s="27" t="s">
        <v>8</v>
      </c>
      <c r="CP626" s="27" t="s">
        <v>7</v>
      </c>
      <c r="CQ626" s="27" t="s">
        <v>8</v>
      </c>
      <c r="CR626" s="27" t="s">
        <v>7</v>
      </c>
      <c r="CT626" s="27" t="s">
        <v>7</v>
      </c>
      <c r="CV626" s="27" t="s">
        <v>7</v>
      </c>
      <c r="CW626" s="27" t="s">
        <v>8</v>
      </c>
      <c r="DZ626" s="27" t="s">
        <v>7</v>
      </c>
      <c r="FY626" s="27" t="s">
        <v>8</v>
      </c>
      <c r="HI626" s="27" t="s">
        <v>8</v>
      </c>
      <c r="HJ626" s="27" t="s">
        <v>7</v>
      </c>
      <c r="HK626" s="27" t="s">
        <v>8</v>
      </c>
      <c r="HL626" s="27" t="s">
        <v>7</v>
      </c>
    </row>
    <row r="627" spans="1:234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L627" s="27" t="s">
        <v>7</v>
      </c>
      <c r="M627" s="27" t="s">
        <v>8</v>
      </c>
      <c r="N627" s="27" t="s">
        <v>7</v>
      </c>
      <c r="BW627" s="27" t="s">
        <v>8</v>
      </c>
      <c r="BX627" s="27" t="s">
        <v>7</v>
      </c>
      <c r="BY627" s="27" t="s">
        <v>8</v>
      </c>
      <c r="CH627" s="27" t="s">
        <v>7</v>
      </c>
      <c r="CI627" s="27" t="s">
        <v>8</v>
      </c>
      <c r="CJ627" s="27" t="s">
        <v>7</v>
      </c>
      <c r="CM627" s="27" t="s">
        <v>8</v>
      </c>
      <c r="CN627" s="27" t="s">
        <v>7</v>
      </c>
      <c r="CO627" s="27" t="s">
        <v>8</v>
      </c>
      <c r="CP627" s="27" t="s">
        <v>7</v>
      </c>
      <c r="CQ627" s="27" t="s">
        <v>8</v>
      </c>
      <c r="CV627" s="27" t="s">
        <v>7</v>
      </c>
      <c r="CW627" s="27" t="s">
        <v>8</v>
      </c>
      <c r="DZ627" s="27" t="s">
        <v>7</v>
      </c>
      <c r="FY627" s="27" t="s">
        <v>8</v>
      </c>
      <c r="FZ627" s="27" t="s">
        <v>7</v>
      </c>
      <c r="HI627" s="27" t="s">
        <v>8</v>
      </c>
      <c r="HJ627" s="27" t="s">
        <v>7</v>
      </c>
      <c r="HK627" s="27" t="s">
        <v>8</v>
      </c>
      <c r="HL627" s="27" t="s">
        <v>7</v>
      </c>
    </row>
    <row r="628" spans="1:234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L628" s="27" t="s">
        <v>7</v>
      </c>
      <c r="M628" s="27" t="s">
        <v>8</v>
      </c>
      <c r="N628" s="27" t="s">
        <v>7</v>
      </c>
      <c r="BW628" s="27" t="s">
        <v>8</v>
      </c>
      <c r="BX628" s="27" t="s">
        <v>7</v>
      </c>
      <c r="BY628" s="27" t="s">
        <v>8</v>
      </c>
      <c r="CH628" s="27" t="s">
        <v>7</v>
      </c>
      <c r="CI628" s="27" t="s">
        <v>8</v>
      </c>
      <c r="CJ628" s="27" t="s">
        <v>7</v>
      </c>
      <c r="CK628" s="27" t="s">
        <v>8</v>
      </c>
      <c r="CM628" s="27" t="s">
        <v>8</v>
      </c>
      <c r="CN628" s="27" t="s">
        <v>7</v>
      </c>
      <c r="CO628" s="27" t="s">
        <v>8</v>
      </c>
      <c r="CP628" s="27" t="s">
        <v>7</v>
      </c>
      <c r="CV628" s="27" t="s">
        <v>7</v>
      </c>
      <c r="CW628" s="27" t="s">
        <v>8</v>
      </c>
      <c r="DZ628" s="27" t="s">
        <v>7</v>
      </c>
      <c r="FY628" s="27" t="s">
        <v>8</v>
      </c>
      <c r="FZ628" s="27" t="s">
        <v>7</v>
      </c>
      <c r="HI628" s="27" t="s">
        <v>8</v>
      </c>
      <c r="HJ628" s="27" t="s">
        <v>7</v>
      </c>
      <c r="HK628" s="27" t="s">
        <v>8</v>
      </c>
      <c r="HL628" s="27" t="s">
        <v>7</v>
      </c>
    </row>
    <row r="629" spans="1:234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L629" s="27" t="s">
        <v>7</v>
      </c>
      <c r="M629" s="27" t="s">
        <v>8</v>
      </c>
      <c r="N629" s="27" t="s">
        <v>7</v>
      </c>
      <c r="BW629" s="27" t="s">
        <v>8</v>
      </c>
      <c r="BX629" s="27" t="s">
        <v>7</v>
      </c>
      <c r="BY629" s="27" t="s">
        <v>8</v>
      </c>
      <c r="CH629" s="27" t="s">
        <v>7</v>
      </c>
      <c r="CI629" s="27" t="s">
        <v>8</v>
      </c>
      <c r="CJ629" s="27" t="s">
        <v>7</v>
      </c>
      <c r="CK629" s="27" t="s">
        <v>8</v>
      </c>
      <c r="CL629" s="27" t="s">
        <v>7</v>
      </c>
      <c r="CM629" s="27" t="s">
        <v>8</v>
      </c>
      <c r="CN629" s="27" t="s">
        <v>7</v>
      </c>
      <c r="CO629" s="27" t="s">
        <v>8</v>
      </c>
      <c r="CV629" s="27" t="s">
        <v>7</v>
      </c>
      <c r="CW629" s="27" t="s">
        <v>8</v>
      </c>
      <c r="DZ629" s="27" t="s">
        <v>7</v>
      </c>
      <c r="FW629" s="27" t="s">
        <v>8</v>
      </c>
      <c r="FY629" s="27" t="s">
        <v>8</v>
      </c>
      <c r="FZ629" s="27" t="s">
        <v>7</v>
      </c>
      <c r="GE629" s="27" t="s">
        <v>8</v>
      </c>
      <c r="HI629" s="27" t="s">
        <v>8</v>
      </c>
      <c r="HJ629" s="27" t="s">
        <v>7</v>
      </c>
      <c r="HK629" s="27" t="s">
        <v>8</v>
      </c>
      <c r="HL629" s="27" t="s">
        <v>7</v>
      </c>
    </row>
    <row r="630" spans="1:234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L630" s="27" t="s">
        <v>7</v>
      </c>
      <c r="M630" s="27" t="s">
        <v>8</v>
      </c>
      <c r="N630" s="27" t="s">
        <v>7</v>
      </c>
      <c r="BW630" s="27" t="s">
        <v>8</v>
      </c>
      <c r="BX630" s="27" t="s">
        <v>7</v>
      </c>
      <c r="BY630" s="27" t="s">
        <v>8</v>
      </c>
      <c r="CH630" s="27" t="s">
        <v>7</v>
      </c>
      <c r="CI630" s="27" t="s">
        <v>8</v>
      </c>
      <c r="CJ630" s="27" t="s">
        <v>7</v>
      </c>
      <c r="CK630" s="27" t="s">
        <v>8</v>
      </c>
      <c r="CL630" s="27" t="s">
        <v>7</v>
      </c>
      <c r="CM630" s="27" t="s">
        <v>8</v>
      </c>
      <c r="CN630" s="27" t="s">
        <v>7</v>
      </c>
      <c r="CO630" s="27" t="s">
        <v>8</v>
      </c>
      <c r="CV630" s="27" t="s">
        <v>7</v>
      </c>
      <c r="DZ630" s="27" t="s">
        <v>7</v>
      </c>
      <c r="FU630" s="27" t="s">
        <v>8</v>
      </c>
      <c r="FW630" s="27" t="s">
        <v>8</v>
      </c>
      <c r="FX630" s="27" t="s">
        <v>7</v>
      </c>
      <c r="FY630" s="27" t="s">
        <v>8</v>
      </c>
      <c r="FZ630" s="27" t="s">
        <v>7</v>
      </c>
      <c r="GC630" s="27" t="s">
        <v>8</v>
      </c>
      <c r="GE630" s="27" t="s">
        <v>8</v>
      </c>
      <c r="GF630" s="27" t="s">
        <v>7</v>
      </c>
      <c r="HG630" s="27" t="s">
        <v>8</v>
      </c>
      <c r="HI630" s="27" t="s">
        <v>8</v>
      </c>
      <c r="HJ630" s="27" t="s">
        <v>7</v>
      </c>
      <c r="HK630" s="27" t="s">
        <v>8</v>
      </c>
      <c r="HL630" s="27" t="s">
        <v>7</v>
      </c>
    </row>
    <row r="631" spans="1:234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L631" s="27" t="s">
        <v>7</v>
      </c>
      <c r="M631" s="27" t="s">
        <v>8</v>
      </c>
      <c r="N631" s="27" t="s">
        <v>7</v>
      </c>
      <c r="BQ631" s="27" t="s">
        <v>8</v>
      </c>
      <c r="BW631" s="27" t="s">
        <v>8</v>
      </c>
      <c r="BX631" s="27" t="s">
        <v>7</v>
      </c>
      <c r="BY631" s="27" t="s">
        <v>8</v>
      </c>
      <c r="CH631" s="27" t="s">
        <v>7</v>
      </c>
      <c r="CI631" s="27" t="s">
        <v>8</v>
      </c>
      <c r="CJ631" s="27" t="s">
        <v>7</v>
      </c>
      <c r="CK631" s="27" t="s">
        <v>8</v>
      </c>
      <c r="CL631" s="27" t="s">
        <v>7</v>
      </c>
      <c r="CM631" s="27" t="s">
        <v>8</v>
      </c>
      <c r="CN631" s="27" t="s">
        <v>7</v>
      </c>
      <c r="CO631" s="27" t="s">
        <v>8</v>
      </c>
      <c r="DZ631" s="27" t="s">
        <v>7</v>
      </c>
      <c r="EA631" s="27" t="s">
        <v>8</v>
      </c>
      <c r="FU631" s="27" t="s">
        <v>8</v>
      </c>
      <c r="FV631" s="27" t="s">
        <v>7</v>
      </c>
      <c r="FW631" s="27" t="s">
        <v>8</v>
      </c>
      <c r="FX631" s="27" t="s">
        <v>7</v>
      </c>
      <c r="FY631" s="27" t="s">
        <v>8</v>
      </c>
      <c r="FZ631" s="27" t="s">
        <v>7</v>
      </c>
      <c r="GC631" s="27" t="s">
        <v>8</v>
      </c>
      <c r="GD631" s="27" t="s">
        <v>7</v>
      </c>
      <c r="GE631" s="27" t="s">
        <v>8</v>
      </c>
      <c r="GF631" s="27" t="s">
        <v>7</v>
      </c>
      <c r="HG631" s="27" t="s">
        <v>8</v>
      </c>
      <c r="HH631" s="27" t="s">
        <v>7</v>
      </c>
      <c r="HI631" s="27" t="s">
        <v>8</v>
      </c>
      <c r="HJ631" s="27" t="s">
        <v>7</v>
      </c>
      <c r="HL631" s="27" t="s">
        <v>7</v>
      </c>
      <c r="HY631" s="27" t="s">
        <v>8</v>
      </c>
    </row>
    <row r="632" spans="1:234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L632" s="27" t="s">
        <v>7</v>
      </c>
      <c r="N632" s="27" t="s">
        <v>7</v>
      </c>
      <c r="BQ632" s="27" t="s">
        <v>8</v>
      </c>
      <c r="BR632" s="27" t="s">
        <v>7</v>
      </c>
      <c r="BW632" s="27" t="s">
        <v>8</v>
      </c>
      <c r="BX632" s="27" t="s">
        <v>7</v>
      </c>
      <c r="BY632" s="27" t="s">
        <v>8</v>
      </c>
      <c r="CH632" s="27" t="s">
        <v>7</v>
      </c>
      <c r="CI632" s="27" t="s">
        <v>8</v>
      </c>
      <c r="CJ632" s="27" t="s">
        <v>7</v>
      </c>
      <c r="CK632" s="27" t="s">
        <v>8</v>
      </c>
      <c r="CL632" s="27" t="s">
        <v>7</v>
      </c>
      <c r="CM632" s="27" t="s">
        <v>8</v>
      </c>
      <c r="CN632" s="27" t="s">
        <v>7</v>
      </c>
      <c r="DZ632" s="27" t="s">
        <v>7</v>
      </c>
      <c r="EA632" s="27" t="s">
        <v>8</v>
      </c>
      <c r="EB632" s="27" t="s">
        <v>7</v>
      </c>
      <c r="FU632" s="27" t="s">
        <v>8</v>
      </c>
      <c r="FV632" s="27" t="s">
        <v>7</v>
      </c>
      <c r="FW632" s="27" t="s">
        <v>8</v>
      </c>
      <c r="FX632" s="27" t="s">
        <v>7</v>
      </c>
      <c r="FZ632" s="27" t="s">
        <v>7</v>
      </c>
      <c r="GC632" s="27" t="s">
        <v>8</v>
      </c>
      <c r="GD632" s="27" t="s">
        <v>7</v>
      </c>
      <c r="GE632" s="27" t="s">
        <v>8</v>
      </c>
      <c r="GF632" s="27" t="s">
        <v>7</v>
      </c>
      <c r="HE632" s="27" t="s">
        <v>8</v>
      </c>
      <c r="HG632" s="27" t="s">
        <v>8</v>
      </c>
      <c r="HH632" s="27" t="s">
        <v>7</v>
      </c>
      <c r="HI632" s="27" t="s">
        <v>8</v>
      </c>
      <c r="HL632" s="27" t="s">
        <v>7</v>
      </c>
      <c r="HY632" s="27" t="s">
        <v>8</v>
      </c>
      <c r="HZ632" s="27" t="s">
        <v>7</v>
      </c>
    </row>
    <row r="633" spans="1:234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N633" s="27" t="s">
        <v>7</v>
      </c>
      <c r="BQ633" s="27" t="s">
        <v>8</v>
      </c>
      <c r="BR633" s="27" t="s">
        <v>7</v>
      </c>
      <c r="BW633" s="27" t="s">
        <v>8</v>
      </c>
      <c r="BX633" s="27" t="s">
        <v>7</v>
      </c>
      <c r="BY633" s="27" t="s">
        <v>8</v>
      </c>
      <c r="CH633" s="27" t="s">
        <v>7</v>
      </c>
      <c r="CI633" s="27" t="s">
        <v>8</v>
      </c>
      <c r="CJ633" s="27" t="s">
        <v>7</v>
      </c>
      <c r="CK633" s="27" t="s">
        <v>8</v>
      </c>
      <c r="CL633" s="27" t="s">
        <v>7</v>
      </c>
      <c r="CM633" s="27" t="s">
        <v>8</v>
      </c>
      <c r="DZ633" s="27" t="s">
        <v>7</v>
      </c>
      <c r="EA633" s="27" t="s">
        <v>8</v>
      </c>
      <c r="EB633" s="27" t="s">
        <v>7</v>
      </c>
      <c r="FU633" s="27" t="s">
        <v>8</v>
      </c>
      <c r="FV633" s="27" t="s">
        <v>7</v>
      </c>
      <c r="FW633" s="27" t="s">
        <v>8</v>
      </c>
      <c r="FZ633" s="27" t="s">
        <v>7</v>
      </c>
      <c r="GA633" s="27" t="s">
        <v>8</v>
      </c>
      <c r="GC633" s="27" t="s">
        <v>8</v>
      </c>
      <c r="GD633" s="27" t="s">
        <v>7</v>
      </c>
      <c r="GE633" s="27" t="s">
        <v>8</v>
      </c>
      <c r="GF633" s="27" t="s">
        <v>7</v>
      </c>
      <c r="HE633" s="27" t="s">
        <v>8</v>
      </c>
      <c r="HF633" s="27" t="s">
        <v>7</v>
      </c>
      <c r="HG633" s="27" t="s">
        <v>8</v>
      </c>
      <c r="HH633" s="27" t="s">
        <v>7</v>
      </c>
      <c r="HI633" s="27" t="s">
        <v>8</v>
      </c>
      <c r="HL633" s="27" t="s">
        <v>7</v>
      </c>
      <c r="HY633" s="27" t="s">
        <v>8</v>
      </c>
      <c r="HZ633" s="27" t="s">
        <v>7</v>
      </c>
    </row>
    <row r="634" spans="1:234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N634" s="27" t="s">
        <v>7</v>
      </c>
      <c r="BQ634" s="27" t="s">
        <v>8</v>
      </c>
      <c r="BR634" s="27" t="s">
        <v>7</v>
      </c>
      <c r="BW634" s="27" t="s">
        <v>8</v>
      </c>
      <c r="BX634" s="27" t="s">
        <v>7</v>
      </c>
      <c r="CH634" s="27" t="s">
        <v>7</v>
      </c>
      <c r="CI634" s="27" t="s">
        <v>8</v>
      </c>
      <c r="CJ634" s="27" t="s">
        <v>7</v>
      </c>
      <c r="CK634" s="27" t="s">
        <v>8</v>
      </c>
      <c r="CL634" s="27" t="s">
        <v>7</v>
      </c>
      <c r="CM634" s="27" t="s">
        <v>8</v>
      </c>
      <c r="DZ634" s="27" t="s">
        <v>7</v>
      </c>
      <c r="EA634" s="27" t="s">
        <v>8</v>
      </c>
      <c r="EB634" s="27" t="s">
        <v>7</v>
      </c>
      <c r="EE634" s="27" t="s">
        <v>8</v>
      </c>
      <c r="FU634" s="27" t="s">
        <v>8</v>
      </c>
      <c r="FV634" s="27" t="s">
        <v>7</v>
      </c>
      <c r="FW634" s="27" t="s">
        <v>8</v>
      </c>
      <c r="FZ634" s="27" t="s">
        <v>7</v>
      </c>
      <c r="GA634" s="27" t="s">
        <v>8</v>
      </c>
      <c r="GB634" s="27" t="s">
        <v>7</v>
      </c>
      <c r="GC634" s="27" t="s">
        <v>8</v>
      </c>
      <c r="GD634" s="27" t="s">
        <v>7</v>
      </c>
      <c r="GF634" s="27" t="s">
        <v>7</v>
      </c>
      <c r="HE634" s="27" t="s">
        <v>8</v>
      </c>
      <c r="HF634" s="27" t="s">
        <v>7</v>
      </c>
      <c r="HG634" s="27" t="s">
        <v>8</v>
      </c>
      <c r="HH634" s="27" t="s">
        <v>7</v>
      </c>
      <c r="HI634" s="27" t="s">
        <v>8</v>
      </c>
      <c r="HL634" s="27" t="s">
        <v>7</v>
      </c>
      <c r="HY634" s="27" t="s">
        <v>8</v>
      </c>
      <c r="HZ634" s="27" t="s">
        <v>7</v>
      </c>
    </row>
    <row r="635" spans="1:234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N635" s="27" t="s">
        <v>7</v>
      </c>
      <c r="BQ635" s="27" t="s">
        <v>8</v>
      </c>
      <c r="BR635" s="27" t="s">
        <v>7</v>
      </c>
      <c r="BW635" s="27" t="s">
        <v>8</v>
      </c>
      <c r="CH635" s="27" t="s">
        <v>7</v>
      </c>
      <c r="CI635" s="27" t="s">
        <v>8</v>
      </c>
      <c r="CJ635" s="27" t="s">
        <v>7</v>
      </c>
      <c r="CK635" s="27" t="s">
        <v>8</v>
      </c>
      <c r="CL635" s="27" t="s">
        <v>7</v>
      </c>
      <c r="CM635" s="27" t="s">
        <v>8</v>
      </c>
      <c r="DZ635" s="27" t="s">
        <v>7</v>
      </c>
      <c r="EA635" s="27" t="s">
        <v>8</v>
      </c>
      <c r="EB635" s="27" t="s">
        <v>7</v>
      </c>
      <c r="EE635" s="27" t="s">
        <v>8</v>
      </c>
      <c r="EF635" s="27" t="s">
        <v>7</v>
      </c>
      <c r="FU635" s="27" t="s">
        <v>8</v>
      </c>
      <c r="FV635" s="27" t="s">
        <v>7</v>
      </c>
      <c r="FW635" s="27" t="s">
        <v>8</v>
      </c>
      <c r="FZ635" s="27" t="s">
        <v>7</v>
      </c>
      <c r="GA635" s="27" t="s">
        <v>8</v>
      </c>
      <c r="GB635" s="27" t="s">
        <v>7</v>
      </c>
      <c r="GC635" s="27" t="s">
        <v>8</v>
      </c>
      <c r="GF635" s="27" t="s">
        <v>7</v>
      </c>
      <c r="HE635" s="27" t="s">
        <v>8</v>
      </c>
      <c r="HF635" s="27" t="s">
        <v>7</v>
      </c>
      <c r="HG635" s="27" t="s">
        <v>8</v>
      </c>
      <c r="HH635" s="27" t="s">
        <v>7</v>
      </c>
      <c r="HI635" s="27" t="s">
        <v>8</v>
      </c>
      <c r="HL635" s="27" t="s">
        <v>7</v>
      </c>
      <c r="HM635" s="27" t="s">
        <v>8</v>
      </c>
      <c r="HY635" s="27" t="s">
        <v>8</v>
      </c>
      <c r="HZ635" s="27" t="s">
        <v>7</v>
      </c>
    </row>
    <row r="636" spans="1:234" x14ac:dyDescent="0.25">
      <c r="A636" s="7">
        <v>0.37895843976950117</v>
      </c>
      <c r="B636"/>
      <c r="C636"/>
      <c r="D636"/>
      <c r="E636"/>
      <c r="F636" s="27" t="s">
        <v>7</v>
      </c>
      <c r="N636" s="27" t="s">
        <v>7</v>
      </c>
      <c r="BQ636" s="27" t="s">
        <v>8</v>
      </c>
      <c r="BR636" s="27" t="s">
        <v>7</v>
      </c>
      <c r="BW636" s="27" t="s">
        <v>8</v>
      </c>
      <c r="CH636" s="27" t="s">
        <v>7</v>
      </c>
      <c r="CI636" s="27" t="s">
        <v>8</v>
      </c>
      <c r="CJ636" s="27" t="s">
        <v>7</v>
      </c>
      <c r="CK636" s="27" t="s">
        <v>8</v>
      </c>
      <c r="CL636" s="27" t="s">
        <v>7</v>
      </c>
      <c r="CM636" s="27" t="s">
        <v>8</v>
      </c>
      <c r="DZ636" s="27" t="s">
        <v>7</v>
      </c>
      <c r="EA636" s="27" t="s">
        <v>8</v>
      </c>
      <c r="EB636" s="27" t="s">
        <v>7</v>
      </c>
      <c r="EE636" s="27" t="s">
        <v>8</v>
      </c>
      <c r="EF636" s="27" t="s">
        <v>7</v>
      </c>
      <c r="EI636" s="27" t="s">
        <v>8</v>
      </c>
      <c r="FU636" s="27" t="s">
        <v>8</v>
      </c>
      <c r="FV636" s="27" t="s">
        <v>7</v>
      </c>
      <c r="FW636" s="27" t="s">
        <v>8</v>
      </c>
      <c r="FZ636" s="27" t="s">
        <v>7</v>
      </c>
      <c r="GA636" s="27" t="s">
        <v>8</v>
      </c>
      <c r="GB636" s="27" t="s">
        <v>7</v>
      </c>
      <c r="GC636" s="27" t="s">
        <v>8</v>
      </c>
      <c r="GF636" s="27" t="s">
        <v>7</v>
      </c>
      <c r="HC636" s="27" t="s">
        <v>8</v>
      </c>
      <c r="HE636" s="27" t="s">
        <v>8</v>
      </c>
      <c r="HF636" s="27" t="s">
        <v>7</v>
      </c>
      <c r="HH636" s="27" t="s">
        <v>7</v>
      </c>
      <c r="HL636" s="27" t="s">
        <v>7</v>
      </c>
      <c r="HM636" s="27" t="s">
        <v>8</v>
      </c>
      <c r="HN636" s="27" t="s">
        <v>7</v>
      </c>
      <c r="HY636" s="27" t="s">
        <v>8</v>
      </c>
      <c r="HZ636" s="27" t="s">
        <v>7</v>
      </c>
    </row>
    <row r="637" spans="1:234" x14ac:dyDescent="0.25">
      <c r="A637" s="7">
        <v>0.37152788212696197</v>
      </c>
      <c r="B637"/>
      <c r="C637"/>
      <c r="D637"/>
      <c r="E637"/>
      <c r="N637" s="27" t="s">
        <v>7</v>
      </c>
      <c r="AM637" s="27" t="s">
        <v>8</v>
      </c>
      <c r="BQ637" s="27" t="s">
        <v>8</v>
      </c>
      <c r="BR637" s="27" t="s">
        <v>7</v>
      </c>
      <c r="BW637" s="27" t="s">
        <v>8</v>
      </c>
      <c r="CH637" s="27" t="s">
        <v>7</v>
      </c>
      <c r="CI637" s="27" t="s">
        <v>8</v>
      </c>
      <c r="CJ637" s="27" t="s">
        <v>7</v>
      </c>
      <c r="CK637" s="27" t="s">
        <v>8</v>
      </c>
      <c r="CL637" s="27" t="s">
        <v>7</v>
      </c>
      <c r="CM637" s="27" t="s">
        <v>8</v>
      </c>
      <c r="DZ637" s="27" t="s">
        <v>7</v>
      </c>
      <c r="EA637" s="27" t="s">
        <v>8</v>
      </c>
      <c r="EB637" s="27" t="s">
        <v>7</v>
      </c>
      <c r="EE637" s="27" t="s">
        <v>8</v>
      </c>
      <c r="EF637" s="27" t="s">
        <v>7</v>
      </c>
      <c r="EI637" s="27" t="s">
        <v>8</v>
      </c>
      <c r="EJ637" s="27" t="s">
        <v>7</v>
      </c>
      <c r="FU637" s="27" t="s">
        <v>8</v>
      </c>
      <c r="FV637" s="27" t="s">
        <v>7</v>
      </c>
      <c r="FW637" s="27" t="s">
        <v>8</v>
      </c>
      <c r="FZ637" s="27" t="s">
        <v>7</v>
      </c>
      <c r="GA637" s="27" t="s">
        <v>8</v>
      </c>
      <c r="GB637" s="27" t="s">
        <v>7</v>
      </c>
      <c r="GC637" s="27" t="s">
        <v>8</v>
      </c>
      <c r="GF637" s="27" t="s">
        <v>7</v>
      </c>
      <c r="HC637" s="27" t="s">
        <v>8</v>
      </c>
      <c r="HD637" s="27" t="s">
        <v>7</v>
      </c>
      <c r="HE637" s="27" t="s">
        <v>8</v>
      </c>
      <c r="HL637" s="27" t="s">
        <v>7</v>
      </c>
      <c r="HM637" s="27" t="s">
        <v>8</v>
      </c>
      <c r="HN637" s="27" t="s">
        <v>7</v>
      </c>
      <c r="HO637" s="27" t="s">
        <v>8</v>
      </c>
      <c r="HY637" s="27" t="s">
        <v>8</v>
      </c>
      <c r="HZ637" s="27" t="s">
        <v>7</v>
      </c>
    </row>
    <row r="638" spans="1:234" x14ac:dyDescent="0.25">
      <c r="A638" s="7">
        <v>0.36424302169310002</v>
      </c>
      <c r="B638"/>
      <c r="C638"/>
      <c r="D638"/>
      <c r="E638"/>
      <c r="N638" s="27" t="s">
        <v>7</v>
      </c>
      <c r="AK638" s="27" t="s">
        <v>8</v>
      </c>
      <c r="AM638" s="27" t="s">
        <v>8</v>
      </c>
      <c r="AN638" s="27" t="s">
        <v>7</v>
      </c>
      <c r="BQ638" s="27" t="s">
        <v>8</v>
      </c>
      <c r="BR638" s="27" t="s">
        <v>7</v>
      </c>
      <c r="BW638" s="27" t="s">
        <v>8</v>
      </c>
      <c r="CH638" s="27" t="s">
        <v>7</v>
      </c>
      <c r="CI638" s="27" t="s">
        <v>8</v>
      </c>
      <c r="CJ638" s="27" t="s">
        <v>7</v>
      </c>
      <c r="CK638" s="27" t="s">
        <v>8</v>
      </c>
      <c r="CL638" s="27" t="s">
        <v>7</v>
      </c>
      <c r="CM638" s="27" t="s">
        <v>8</v>
      </c>
      <c r="DZ638" s="27" t="s">
        <v>7</v>
      </c>
      <c r="EA638" s="27" t="s">
        <v>8</v>
      </c>
      <c r="EB638" s="27" t="s">
        <v>7</v>
      </c>
      <c r="EE638" s="27" t="s">
        <v>8</v>
      </c>
      <c r="EF638" s="27" t="s">
        <v>7</v>
      </c>
      <c r="EI638" s="27" t="s">
        <v>8</v>
      </c>
      <c r="EJ638" s="27" t="s">
        <v>7</v>
      </c>
      <c r="FS638" s="27" t="s">
        <v>8</v>
      </c>
      <c r="FU638" s="27" t="s">
        <v>8</v>
      </c>
      <c r="FV638" s="27" t="s">
        <v>7</v>
      </c>
      <c r="FW638" s="27" t="s">
        <v>8</v>
      </c>
      <c r="FZ638" s="27" t="s">
        <v>7</v>
      </c>
      <c r="GA638" s="27" t="s">
        <v>8</v>
      </c>
      <c r="GB638" s="27" t="s">
        <v>7</v>
      </c>
      <c r="GF638" s="27" t="s">
        <v>7</v>
      </c>
      <c r="GK638" s="27" t="s">
        <v>8</v>
      </c>
      <c r="HC638" s="27" t="s">
        <v>8</v>
      </c>
      <c r="HD638" s="27" t="s">
        <v>7</v>
      </c>
      <c r="HE638" s="27" t="s">
        <v>8</v>
      </c>
      <c r="HL638" s="27" t="s">
        <v>7</v>
      </c>
      <c r="HM638" s="27" t="s">
        <v>8</v>
      </c>
      <c r="HN638" s="27" t="s">
        <v>7</v>
      </c>
      <c r="HO638" s="27" t="s">
        <v>8</v>
      </c>
      <c r="HP638" s="27" t="s">
        <v>7</v>
      </c>
      <c r="HY638" s="27" t="s">
        <v>8</v>
      </c>
      <c r="HZ638" s="27" t="s">
        <v>7</v>
      </c>
    </row>
    <row r="639" spans="1:234" x14ac:dyDescent="0.25">
      <c r="A639" s="7">
        <v>0.35710100165990194</v>
      </c>
      <c r="B639"/>
      <c r="C639"/>
      <c r="D639"/>
      <c r="E639"/>
      <c r="N639" s="27" t="s">
        <v>7</v>
      </c>
      <c r="AK639" s="27" t="s">
        <v>8</v>
      </c>
      <c r="AL639" s="27" t="s">
        <v>7</v>
      </c>
      <c r="AM639" s="27" t="s">
        <v>8</v>
      </c>
      <c r="AN639" s="27" t="s">
        <v>7</v>
      </c>
      <c r="BQ639" s="27" t="s">
        <v>8</v>
      </c>
      <c r="BR639" s="27" t="s">
        <v>7</v>
      </c>
      <c r="BW639" s="27" t="s">
        <v>8</v>
      </c>
      <c r="CH639" s="27" t="s">
        <v>7</v>
      </c>
      <c r="CJ639" s="27" t="s">
        <v>7</v>
      </c>
      <c r="CL639" s="27" t="s">
        <v>7</v>
      </c>
      <c r="CM639" s="27" t="s">
        <v>8</v>
      </c>
      <c r="DZ639" s="27" t="s">
        <v>7</v>
      </c>
      <c r="EA639" s="27" t="s">
        <v>8</v>
      </c>
      <c r="EB639" s="27" t="s">
        <v>7</v>
      </c>
      <c r="EE639" s="27" t="s">
        <v>8</v>
      </c>
      <c r="EF639" s="27" t="s">
        <v>7</v>
      </c>
      <c r="EI639" s="27" t="s">
        <v>8</v>
      </c>
      <c r="EJ639" s="27" t="s">
        <v>7</v>
      </c>
      <c r="EQ639" s="27" t="s">
        <v>8</v>
      </c>
      <c r="FS639" s="27" t="s">
        <v>8</v>
      </c>
      <c r="FT639" s="27" t="s">
        <v>7</v>
      </c>
      <c r="FU639" s="27" t="s">
        <v>8</v>
      </c>
      <c r="FV639" s="27" t="s">
        <v>7</v>
      </c>
      <c r="FW639" s="27" t="s">
        <v>8</v>
      </c>
      <c r="FZ639" s="27" t="s">
        <v>7</v>
      </c>
      <c r="GA639" s="27" t="s">
        <v>8</v>
      </c>
      <c r="GF639" s="27" t="s">
        <v>7</v>
      </c>
      <c r="GK639" s="27" t="s">
        <v>8</v>
      </c>
      <c r="GL639" s="27" t="s">
        <v>7</v>
      </c>
      <c r="GW639" s="27" t="s">
        <v>8</v>
      </c>
      <c r="HA639" s="27" t="s">
        <v>8</v>
      </c>
      <c r="HC639" s="27" t="s">
        <v>8</v>
      </c>
      <c r="HD639" s="27" t="s">
        <v>7</v>
      </c>
      <c r="HE639" s="27" t="s">
        <v>8</v>
      </c>
      <c r="HL639" s="27" t="s">
        <v>7</v>
      </c>
      <c r="HN639" s="27" t="s">
        <v>7</v>
      </c>
      <c r="HO639" s="27" t="s">
        <v>8</v>
      </c>
      <c r="HP639" s="27" t="s">
        <v>7</v>
      </c>
      <c r="HY639" s="27" t="s">
        <v>8</v>
      </c>
      <c r="HZ639" s="27" t="s">
        <v>7</v>
      </c>
    </row>
    <row r="640" spans="1:234" x14ac:dyDescent="0.25">
      <c r="A640" s="7">
        <v>0.35009902123519804</v>
      </c>
      <c r="B640"/>
      <c r="C640"/>
      <c r="D640"/>
      <c r="E640"/>
      <c r="N640" s="27" t="s">
        <v>7</v>
      </c>
      <c r="AK640" s="27" t="s">
        <v>8</v>
      </c>
      <c r="AL640" s="27" t="s">
        <v>7</v>
      </c>
      <c r="AM640" s="27" t="s">
        <v>8</v>
      </c>
      <c r="AN640" s="27" t="s">
        <v>7</v>
      </c>
      <c r="BQ640" s="27" t="s">
        <v>8</v>
      </c>
      <c r="BR640" s="27" t="s">
        <v>7</v>
      </c>
      <c r="BU640" s="27" t="s">
        <v>8</v>
      </c>
      <c r="BW640" s="27" t="s">
        <v>8</v>
      </c>
      <c r="CL640" s="27" t="s">
        <v>7</v>
      </c>
      <c r="CM640" s="27" t="s">
        <v>8</v>
      </c>
      <c r="DZ640" s="27" t="s">
        <v>7</v>
      </c>
      <c r="EA640" s="27" t="s">
        <v>8</v>
      </c>
      <c r="EB640" s="27" t="s">
        <v>7</v>
      </c>
      <c r="EE640" s="27" t="s">
        <v>8</v>
      </c>
      <c r="EF640" s="27" t="s">
        <v>7</v>
      </c>
      <c r="EI640" s="27" t="s">
        <v>8</v>
      </c>
      <c r="EJ640" s="27" t="s">
        <v>7</v>
      </c>
      <c r="EQ640" s="27" t="s">
        <v>8</v>
      </c>
      <c r="ER640" s="27" t="s">
        <v>7</v>
      </c>
      <c r="FS640" s="27" t="s">
        <v>8</v>
      </c>
      <c r="FT640" s="27" t="s">
        <v>7</v>
      </c>
      <c r="FU640" s="27" t="s">
        <v>8</v>
      </c>
      <c r="FV640" s="27" t="s">
        <v>7</v>
      </c>
      <c r="FW640" s="27" t="s">
        <v>8</v>
      </c>
      <c r="FZ640" s="27" t="s">
        <v>7</v>
      </c>
      <c r="GF640" s="27" t="s">
        <v>7</v>
      </c>
      <c r="GK640" s="27" t="s">
        <v>8</v>
      </c>
      <c r="GL640" s="27" t="s">
        <v>7</v>
      </c>
      <c r="GW640" s="27" t="s">
        <v>8</v>
      </c>
      <c r="GX640" s="27" t="s">
        <v>7</v>
      </c>
      <c r="HA640" s="27" t="s">
        <v>8</v>
      </c>
      <c r="HB640" s="27" t="s">
        <v>7</v>
      </c>
      <c r="HC640" s="27" t="s">
        <v>8</v>
      </c>
      <c r="HD640" s="27" t="s">
        <v>7</v>
      </c>
      <c r="HE640" s="27" t="s">
        <v>8</v>
      </c>
      <c r="HN640" s="27" t="s">
        <v>7</v>
      </c>
      <c r="HO640" s="27" t="s">
        <v>8</v>
      </c>
      <c r="HP640" s="27" t="s">
        <v>7</v>
      </c>
      <c r="HY640" s="27" t="s">
        <v>8</v>
      </c>
      <c r="HZ640" s="27" t="s">
        <v>7</v>
      </c>
    </row>
    <row r="641" spans="1:244" x14ac:dyDescent="0.25">
      <c r="A641" s="7">
        <v>0.34323433454431179</v>
      </c>
      <c r="B641"/>
      <c r="C641"/>
      <c r="D641"/>
      <c r="E641"/>
      <c r="N641" s="27" t="s">
        <v>7</v>
      </c>
      <c r="O641" s="27" t="s">
        <v>8</v>
      </c>
      <c r="AK641" s="27" t="s">
        <v>8</v>
      </c>
      <c r="AL641" s="27" t="s">
        <v>7</v>
      </c>
      <c r="AM641" s="27" t="s">
        <v>8</v>
      </c>
      <c r="AN641" s="27" t="s">
        <v>7</v>
      </c>
      <c r="BQ641" s="27" t="s">
        <v>8</v>
      </c>
      <c r="BR641" s="27" t="s">
        <v>7</v>
      </c>
      <c r="BU641" s="27" t="s">
        <v>8</v>
      </c>
      <c r="BV641" s="27" t="s">
        <v>7</v>
      </c>
      <c r="BW641" s="27" t="s">
        <v>8</v>
      </c>
      <c r="CL641" s="27" t="s">
        <v>7</v>
      </c>
      <c r="DZ641" s="27" t="s">
        <v>7</v>
      </c>
      <c r="EA641" s="27" t="s">
        <v>8</v>
      </c>
      <c r="EB641" s="27" t="s">
        <v>7</v>
      </c>
      <c r="EE641" s="27" t="s">
        <v>8</v>
      </c>
      <c r="EF641" s="27" t="s">
        <v>7</v>
      </c>
      <c r="EG641" s="27" t="s">
        <v>8</v>
      </c>
      <c r="EI641" s="27" t="s">
        <v>8</v>
      </c>
      <c r="EJ641" s="27" t="s">
        <v>7</v>
      </c>
      <c r="EK641" s="27" t="s">
        <v>8</v>
      </c>
      <c r="EQ641" s="27" t="s">
        <v>8</v>
      </c>
      <c r="ER641" s="27" t="s">
        <v>7</v>
      </c>
      <c r="FS641" s="27" t="s">
        <v>8</v>
      </c>
      <c r="FT641" s="27" t="s">
        <v>7</v>
      </c>
      <c r="FU641" s="27" t="s">
        <v>8</v>
      </c>
      <c r="FV641" s="27" t="s">
        <v>7</v>
      </c>
      <c r="FW641" s="27" t="s">
        <v>8</v>
      </c>
      <c r="GF641" s="27" t="s">
        <v>7</v>
      </c>
      <c r="GK641" s="27" t="s">
        <v>8</v>
      </c>
      <c r="GL641" s="27" t="s">
        <v>7</v>
      </c>
      <c r="GM641" s="27" t="s">
        <v>8</v>
      </c>
      <c r="GQ641" s="27" t="s">
        <v>8</v>
      </c>
      <c r="GW641" s="27" t="s">
        <v>8</v>
      </c>
      <c r="GX641" s="27" t="s">
        <v>7</v>
      </c>
      <c r="HA641" s="27" t="s">
        <v>8</v>
      </c>
      <c r="HB641" s="27" t="s">
        <v>7</v>
      </c>
      <c r="HC641" s="27" t="s">
        <v>8</v>
      </c>
      <c r="HD641" s="27" t="s">
        <v>7</v>
      </c>
      <c r="HE641" s="27" t="s">
        <v>8</v>
      </c>
      <c r="HN641" s="27" t="s">
        <v>7</v>
      </c>
      <c r="HO641" s="27" t="s">
        <v>8</v>
      </c>
      <c r="HP641" s="27" t="s">
        <v>7</v>
      </c>
      <c r="HY641" s="27" t="s">
        <v>8</v>
      </c>
      <c r="HZ641" s="27" t="s">
        <v>7</v>
      </c>
    </row>
    <row r="642" spans="1:244" x14ac:dyDescent="0.25">
      <c r="A642" s="7">
        <v>0.33650424955324681</v>
      </c>
      <c r="B642"/>
      <c r="C642"/>
      <c r="D642"/>
      <c r="E642"/>
      <c r="N642" s="27" t="s">
        <v>7</v>
      </c>
      <c r="O642" s="27" t="s">
        <v>8</v>
      </c>
      <c r="P642" s="27" t="s">
        <v>7</v>
      </c>
      <c r="AK642" s="27" t="s">
        <v>8</v>
      </c>
      <c r="AL642" s="27" t="s">
        <v>7</v>
      </c>
      <c r="AM642" s="27" t="s">
        <v>8</v>
      </c>
      <c r="AN642" s="27" t="s">
        <v>7</v>
      </c>
      <c r="BQ642" s="27" t="s">
        <v>8</v>
      </c>
      <c r="BR642" s="27" t="s">
        <v>7</v>
      </c>
      <c r="BS642" s="27" t="s">
        <v>8</v>
      </c>
      <c r="BU642" s="27" t="s">
        <v>8</v>
      </c>
      <c r="BV642" s="27" t="s">
        <v>7</v>
      </c>
      <c r="BW642" s="27" t="s">
        <v>8</v>
      </c>
      <c r="DZ642" s="27" t="s">
        <v>7</v>
      </c>
      <c r="EA642" s="27" t="s">
        <v>8</v>
      </c>
      <c r="EB642" s="27" t="s">
        <v>7</v>
      </c>
      <c r="EE642" s="27" t="s">
        <v>8</v>
      </c>
      <c r="EF642" s="27" t="s">
        <v>7</v>
      </c>
      <c r="EG642" s="27" t="s">
        <v>8</v>
      </c>
      <c r="EH642" s="27" t="s">
        <v>7</v>
      </c>
      <c r="EI642" s="27" t="s">
        <v>8</v>
      </c>
      <c r="EJ642" s="27" t="s">
        <v>7</v>
      </c>
      <c r="EK642" s="27" t="s">
        <v>8</v>
      </c>
      <c r="EL642" s="27" t="s">
        <v>7</v>
      </c>
      <c r="EQ642" s="27" t="s">
        <v>8</v>
      </c>
      <c r="ER642" s="27" t="s">
        <v>7</v>
      </c>
      <c r="FS642" s="27" t="s">
        <v>8</v>
      </c>
      <c r="FT642" s="27" t="s">
        <v>7</v>
      </c>
      <c r="FU642" s="27" t="s">
        <v>8</v>
      </c>
      <c r="FV642" s="27" t="s">
        <v>7</v>
      </c>
      <c r="FW642" s="27" t="s">
        <v>8</v>
      </c>
      <c r="GF642" s="27" t="s">
        <v>7</v>
      </c>
      <c r="GI642" s="27" t="s">
        <v>8</v>
      </c>
      <c r="GK642" s="27" t="s">
        <v>8</v>
      </c>
      <c r="GL642" s="27" t="s">
        <v>7</v>
      </c>
      <c r="GM642" s="27" t="s">
        <v>8</v>
      </c>
      <c r="GN642" s="27" t="s">
        <v>7</v>
      </c>
      <c r="GQ642" s="27" t="s">
        <v>8</v>
      </c>
      <c r="GR642" s="27" t="s">
        <v>7</v>
      </c>
      <c r="GW642" s="27" t="s">
        <v>8</v>
      </c>
      <c r="GX642" s="27" t="s">
        <v>7</v>
      </c>
      <c r="HA642" s="27" t="s">
        <v>8</v>
      </c>
      <c r="HB642" s="27" t="s">
        <v>7</v>
      </c>
      <c r="HC642" s="27" t="s">
        <v>8</v>
      </c>
      <c r="HD642" s="27" t="s">
        <v>7</v>
      </c>
      <c r="HE642" s="27" t="s">
        <v>8</v>
      </c>
      <c r="HN642" s="27" t="s">
        <v>7</v>
      </c>
      <c r="HO642" s="27" t="s">
        <v>8</v>
      </c>
      <c r="HP642" s="27" t="s">
        <v>7</v>
      </c>
      <c r="HU642" s="27" t="s">
        <v>8</v>
      </c>
      <c r="HY642" s="27" t="s">
        <v>8</v>
      </c>
      <c r="HZ642" s="27" t="s">
        <v>7</v>
      </c>
    </row>
    <row r="643" spans="1:244" x14ac:dyDescent="0.25">
      <c r="A643" s="7">
        <v>0.3299061270129871</v>
      </c>
      <c r="B643"/>
      <c r="C643"/>
      <c r="D643"/>
      <c r="E643"/>
      <c r="N643" s="27" t="s">
        <v>7</v>
      </c>
      <c r="O643" s="27" t="s">
        <v>8</v>
      </c>
      <c r="P643" s="27" t="s">
        <v>7</v>
      </c>
      <c r="AK643" s="27" t="s">
        <v>8</v>
      </c>
      <c r="AL643" s="27" t="s">
        <v>7</v>
      </c>
      <c r="AM643" s="27" t="s">
        <v>8</v>
      </c>
      <c r="AN643" s="27" t="s">
        <v>7</v>
      </c>
      <c r="BQ643" s="27" t="s">
        <v>8</v>
      </c>
      <c r="BR643" s="27" t="s">
        <v>7</v>
      </c>
      <c r="BS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DZ643" s="27" t="s">
        <v>7</v>
      </c>
      <c r="EA643" s="27" t="s">
        <v>8</v>
      </c>
      <c r="EB643" s="27" t="s">
        <v>7</v>
      </c>
      <c r="EE643" s="27" t="s">
        <v>8</v>
      </c>
      <c r="EF643" s="27" t="s">
        <v>7</v>
      </c>
      <c r="EG643" s="27" t="s">
        <v>8</v>
      </c>
      <c r="EH643" s="27" t="s">
        <v>7</v>
      </c>
      <c r="EI643" s="27" t="s">
        <v>8</v>
      </c>
      <c r="EJ643" s="27" t="s">
        <v>7</v>
      </c>
      <c r="EK643" s="27" t="s">
        <v>8</v>
      </c>
      <c r="EL643" s="27" t="s">
        <v>7</v>
      </c>
      <c r="EQ643" s="27" t="s">
        <v>8</v>
      </c>
      <c r="ER643" s="27" t="s">
        <v>7</v>
      </c>
      <c r="FQ643" s="27" t="s">
        <v>8</v>
      </c>
      <c r="FS643" s="27" t="s">
        <v>8</v>
      </c>
      <c r="FT643" s="27" t="s">
        <v>7</v>
      </c>
      <c r="FU643" s="27" t="s">
        <v>8</v>
      </c>
      <c r="FV643" s="27" t="s">
        <v>7</v>
      </c>
      <c r="FW643" s="27" t="s">
        <v>8</v>
      </c>
      <c r="GF643" s="27" t="s">
        <v>7</v>
      </c>
      <c r="GI643" s="27" t="s">
        <v>8</v>
      </c>
      <c r="GJ643" s="27" t="s">
        <v>7</v>
      </c>
      <c r="GK643" s="27" t="s">
        <v>8</v>
      </c>
      <c r="GL643" s="27" t="s">
        <v>7</v>
      </c>
      <c r="GM643" s="27" t="s">
        <v>8</v>
      </c>
      <c r="GN643" s="27" t="s">
        <v>7</v>
      </c>
      <c r="GQ643" s="27" t="s">
        <v>8</v>
      </c>
      <c r="GR643" s="27" t="s">
        <v>7</v>
      </c>
      <c r="GW643" s="27" t="s">
        <v>8</v>
      </c>
      <c r="GX643" s="27" t="s">
        <v>7</v>
      </c>
      <c r="HA643" s="27" t="s">
        <v>8</v>
      </c>
      <c r="HB643" s="27" t="s">
        <v>7</v>
      </c>
      <c r="HC643" s="27" t="s">
        <v>8</v>
      </c>
      <c r="HD643" s="27" t="s">
        <v>7</v>
      </c>
      <c r="HE643" s="27" t="s">
        <v>8</v>
      </c>
      <c r="HN643" s="27" t="s">
        <v>7</v>
      </c>
      <c r="HO643" s="27" t="s">
        <v>8</v>
      </c>
      <c r="HP643" s="27" t="s">
        <v>7</v>
      </c>
      <c r="HU643" s="27" t="s">
        <v>8</v>
      </c>
      <c r="HV643" s="27" t="s">
        <v>7</v>
      </c>
      <c r="HY643" s="27" t="s">
        <v>8</v>
      </c>
      <c r="HZ643" s="27" t="s">
        <v>7</v>
      </c>
    </row>
    <row r="644" spans="1:244" x14ac:dyDescent="0.25">
      <c r="A644" s="7">
        <v>0.32343737942449713</v>
      </c>
      <c r="B644"/>
      <c r="C644"/>
      <c r="D644"/>
      <c r="E644"/>
      <c r="N644" s="27" t="s">
        <v>7</v>
      </c>
      <c r="O644" s="27" t="s">
        <v>8</v>
      </c>
      <c r="P644" s="27" t="s">
        <v>7</v>
      </c>
      <c r="AK644" s="27" t="s">
        <v>8</v>
      </c>
      <c r="AL644" s="27" t="s">
        <v>7</v>
      </c>
      <c r="AM644" s="27" t="s">
        <v>8</v>
      </c>
      <c r="AN644" s="27" t="s">
        <v>7</v>
      </c>
      <c r="BQ644" s="27" t="s">
        <v>8</v>
      </c>
      <c r="BR644" s="27" t="s">
        <v>7</v>
      </c>
      <c r="BS644" s="27" t="s">
        <v>8</v>
      </c>
      <c r="BT644" s="27" t="s">
        <v>7</v>
      </c>
      <c r="BU644" s="27" t="s">
        <v>8</v>
      </c>
      <c r="BV644" s="27" t="s">
        <v>7</v>
      </c>
      <c r="BW644" s="27" t="s">
        <v>8</v>
      </c>
      <c r="DZ644" s="27" t="s">
        <v>7</v>
      </c>
      <c r="EA644" s="27" t="s">
        <v>8</v>
      </c>
      <c r="EB644" s="27" t="s">
        <v>7</v>
      </c>
      <c r="EE644" s="27" t="s">
        <v>8</v>
      </c>
      <c r="EF644" s="27" t="s">
        <v>7</v>
      </c>
      <c r="EG644" s="27" t="s">
        <v>8</v>
      </c>
      <c r="EH644" s="27" t="s">
        <v>7</v>
      </c>
      <c r="EI644" s="27" t="s">
        <v>8</v>
      </c>
      <c r="EJ644" s="27" t="s">
        <v>7</v>
      </c>
      <c r="EK644" s="27" t="s">
        <v>8</v>
      </c>
      <c r="EL644" s="27" t="s">
        <v>7</v>
      </c>
      <c r="EO644" s="27" t="s">
        <v>8</v>
      </c>
      <c r="EQ644" s="27" t="s">
        <v>8</v>
      </c>
      <c r="ER644" s="27" t="s">
        <v>7</v>
      </c>
      <c r="FQ644" s="27" t="s">
        <v>8</v>
      </c>
      <c r="FR644" s="27" t="s">
        <v>7</v>
      </c>
      <c r="FS644" s="27" t="s">
        <v>8</v>
      </c>
      <c r="FT644" s="27" t="s">
        <v>7</v>
      </c>
      <c r="FU644" s="27" t="s">
        <v>8</v>
      </c>
      <c r="FV644" s="27" t="s">
        <v>7</v>
      </c>
      <c r="FW644" s="27" t="s">
        <v>8</v>
      </c>
      <c r="GF644" s="27" t="s">
        <v>7</v>
      </c>
      <c r="GG644" s="27" t="s">
        <v>8</v>
      </c>
      <c r="GI644" s="27" t="s">
        <v>8</v>
      </c>
      <c r="GJ644" s="27" t="s">
        <v>7</v>
      </c>
      <c r="GK644" s="27" t="s">
        <v>8</v>
      </c>
      <c r="GL644" s="27" t="s">
        <v>7</v>
      </c>
      <c r="GN644" s="27" t="s">
        <v>7</v>
      </c>
      <c r="GQ644" s="27" t="s">
        <v>8</v>
      </c>
      <c r="GR644" s="27" t="s">
        <v>7</v>
      </c>
      <c r="GW644" s="27" t="s">
        <v>8</v>
      </c>
      <c r="GX644" s="27" t="s">
        <v>7</v>
      </c>
      <c r="GY644" s="27" t="s">
        <v>8</v>
      </c>
      <c r="HA644" s="27" t="s">
        <v>8</v>
      </c>
      <c r="HB644" s="27" t="s">
        <v>7</v>
      </c>
      <c r="HD644" s="27" t="s">
        <v>7</v>
      </c>
      <c r="HN644" s="27" t="s">
        <v>7</v>
      </c>
      <c r="HO644" s="27" t="s">
        <v>8</v>
      </c>
      <c r="HP644" s="27" t="s">
        <v>7</v>
      </c>
      <c r="HU644" s="27" t="s">
        <v>8</v>
      </c>
      <c r="HV644" s="27" t="s">
        <v>7</v>
      </c>
      <c r="HY644" s="27" t="s">
        <v>8</v>
      </c>
      <c r="HZ644" s="27" t="s">
        <v>7</v>
      </c>
      <c r="IG644" s="27" t="s">
        <v>8</v>
      </c>
    </row>
    <row r="645" spans="1:244" x14ac:dyDescent="0.25">
      <c r="A645" s="7">
        <v>0.31709547002401678</v>
      </c>
      <c r="B645"/>
      <c r="C645"/>
      <c r="D645"/>
      <c r="E645"/>
      <c r="N645" s="27" t="s">
        <v>7</v>
      </c>
      <c r="O645" s="27" t="s">
        <v>8</v>
      </c>
      <c r="P645" s="27" t="s">
        <v>7</v>
      </c>
      <c r="AK645" s="27" t="s">
        <v>8</v>
      </c>
      <c r="AL645" s="27" t="s">
        <v>7</v>
      </c>
      <c r="AM645" s="27" t="s">
        <v>8</v>
      </c>
      <c r="AN645" s="27" t="s">
        <v>7</v>
      </c>
      <c r="BQ645" s="27" t="s">
        <v>8</v>
      </c>
      <c r="BR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BW645" s="27" t="s">
        <v>8</v>
      </c>
      <c r="DZ645" s="27" t="s">
        <v>7</v>
      </c>
      <c r="EA645" s="27" t="s">
        <v>8</v>
      </c>
      <c r="EB645" s="27" t="s">
        <v>7</v>
      </c>
      <c r="EC645" s="27" t="s">
        <v>8</v>
      </c>
      <c r="EE645" s="27" t="s">
        <v>8</v>
      </c>
      <c r="EF645" s="27" t="s">
        <v>7</v>
      </c>
      <c r="EG645" s="27" t="s">
        <v>8</v>
      </c>
      <c r="EH645" s="27" t="s">
        <v>7</v>
      </c>
      <c r="EJ645" s="27" t="s">
        <v>7</v>
      </c>
      <c r="EK645" s="27" t="s">
        <v>8</v>
      </c>
      <c r="EL645" s="27" t="s">
        <v>7</v>
      </c>
      <c r="EO645" s="27" t="s">
        <v>8</v>
      </c>
      <c r="EP645" s="27" t="s">
        <v>7</v>
      </c>
      <c r="EQ645" s="27" t="s">
        <v>8</v>
      </c>
      <c r="ER645" s="27" t="s">
        <v>7</v>
      </c>
      <c r="FQ645" s="27" t="s">
        <v>8</v>
      </c>
      <c r="FR645" s="27" t="s">
        <v>7</v>
      </c>
      <c r="FS645" s="27" t="s">
        <v>8</v>
      </c>
      <c r="FT645" s="27" t="s">
        <v>7</v>
      </c>
      <c r="FV645" s="27" t="s">
        <v>7</v>
      </c>
      <c r="GF645" s="27" t="s">
        <v>7</v>
      </c>
      <c r="GG645" s="27" t="s">
        <v>8</v>
      </c>
      <c r="GH645" s="27" t="s">
        <v>7</v>
      </c>
      <c r="GI645" s="27" t="s">
        <v>8</v>
      </c>
      <c r="GJ645" s="27" t="s">
        <v>7</v>
      </c>
      <c r="GK645" s="27" t="s">
        <v>8</v>
      </c>
      <c r="GN645" s="27" t="s">
        <v>7</v>
      </c>
      <c r="GQ645" s="27" t="s">
        <v>8</v>
      </c>
      <c r="GR645" s="27" t="s">
        <v>7</v>
      </c>
      <c r="GU645" s="27" t="s">
        <v>8</v>
      </c>
      <c r="GW645" s="27" t="s">
        <v>8</v>
      </c>
      <c r="GX645" s="27" t="s">
        <v>7</v>
      </c>
      <c r="GY645" s="27" t="s">
        <v>8</v>
      </c>
      <c r="GZ645" s="27" t="s">
        <v>7</v>
      </c>
      <c r="HA645" s="27" t="s">
        <v>8</v>
      </c>
      <c r="HN645" s="27" t="s">
        <v>7</v>
      </c>
      <c r="HO645" s="27" t="s">
        <v>8</v>
      </c>
      <c r="HP645" s="27" t="s">
        <v>7</v>
      </c>
      <c r="HU645" s="27" t="s">
        <v>8</v>
      </c>
      <c r="HV645" s="27" t="s">
        <v>7</v>
      </c>
      <c r="HY645" s="27" t="s">
        <v>8</v>
      </c>
      <c r="HZ645" s="27" t="s">
        <v>7</v>
      </c>
      <c r="IG645" s="27" t="s">
        <v>8</v>
      </c>
      <c r="IH645" s="27" t="s">
        <v>7</v>
      </c>
      <c r="II645" s="27" t="s">
        <v>8</v>
      </c>
    </row>
    <row r="646" spans="1:244" x14ac:dyDescent="0.25">
      <c r="A646" s="7">
        <v>0.31087791178825175</v>
      </c>
      <c r="B646"/>
      <c r="C646"/>
      <c r="D646"/>
      <c r="E646"/>
      <c r="N646" s="27" t="s">
        <v>7</v>
      </c>
      <c r="O646" s="27" t="s">
        <v>8</v>
      </c>
      <c r="P646" s="27" t="s">
        <v>7</v>
      </c>
      <c r="AK646" s="27" t="s">
        <v>8</v>
      </c>
      <c r="AL646" s="27" t="s">
        <v>7</v>
      </c>
      <c r="AM646" s="27" t="s">
        <v>8</v>
      </c>
      <c r="AN646" s="27" t="s">
        <v>7</v>
      </c>
      <c r="AS646" s="27" t="s">
        <v>8</v>
      </c>
      <c r="BM646" s="27" t="s">
        <v>8</v>
      </c>
      <c r="BQ646" s="27" t="s">
        <v>8</v>
      </c>
      <c r="BR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BW646" s="27" t="s">
        <v>8</v>
      </c>
      <c r="DZ646" s="27" t="s">
        <v>7</v>
      </c>
      <c r="EA646" s="27" t="s">
        <v>8</v>
      </c>
      <c r="EB646" s="27" t="s">
        <v>7</v>
      </c>
      <c r="EC646" s="27" t="s">
        <v>8</v>
      </c>
      <c r="ED646" s="27" t="s">
        <v>7</v>
      </c>
      <c r="EE646" s="27" t="s">
        <v>8</v>
      </c>
      <c r="EF646" s="27" t="s">
        <v>7</v>
      </c>
      <c r="EG646" s="27" t="s">
        <v>8</v>
      </c>
      <c r="EJ646" s="27" t="s">
        <v>7</v>
      </c>
      <c r="EK646" s="27" t="s">
        <v>8</v>
      </c>
      <c r="EL646" s="27" t="s">
        <v>7</v>
      </c>
      <c r="EM646" s="27" t="s">
        <v>8</v>
      </c>
      <c r="EO646" s="27" t="s">
        <v>8</v>
      </c>
      <c r="EP646" s="27" t="s">
        <v>7</v>
      </c>
      <c r="EQ646" s="27" t="s">
        <v>8</v>
      </c>
      <c r="ER646" s="27" t="s">
        <v>7</v>
      </c>
      <c r="FQ646" s="27" t="s">
        <v>8</v>
      </c>
      <c r="FR646" s="27" t="s">
        <v>7</v>
      </c>
      <c r="FS646" s="27" t="s">
        <v>8</v>
      </c>
      <c r="GF646" s="27" t="s">
        <v>7</v>
      </c>
      <c r="GG646" s="27" t="s">
        <v>8</v>
      </c>
      <c r="GH646" s="27" t="s">
        <v>7</v>
      </c>
      <c r="GI646" s="27" t="s">
        <v>8</v>
      </c>
      <c r="GJ646" s="27" t="s">
        <v>7</v>
      </c>
      <c r="GK646" s="27" t="s">
        <v>8</v>
      </c>
      <c r="GN646" s="27" t="s">
        <v>7</v>
      </c>
      <c r="GQ646" s="27" t="s">
        <v>8</v>
      </c>
      <c r="GR646" s="27" t="s">
        <v>7</v>
      </c>
      <c r="GU646" s="27" t="s">
        <v>8</v>
      </c>
      <c r="GV646" s="27" t="s">
        <v>7</v>
      </c>
      <c r="GW646" s="27" t="s">
        <v>8</v>
      </c>
      <c r="GX646" s="27" t="s">
        <v>7</v>
      </c>
      <c r="GY646" s="27" t="s">
        <v>8</v>
      </c>
      <c r="GZ646" s="27" t="s">
        <v>7</v>
      </c>
      <c r="HA646" s="27" t="s">
        <v>8</v>
      </c>
      <c r="HN646" s="27" t="s">
        <v>7</v>
      </c>
      <c r="HP646" s="27" t="s">
        <v>7</v>
      </c>
      <c r="HU646" s="27" t="s">
        <v>8</v>
      </c>
      <c r="HV646" s="27" t="s">
        <v>7</v>
      </c>
      <c r="HY646" s="27" t="s">
        <v>8</v>
      </c>
      <c r="HZ646" s="27" t="s">
        <v>7</v>
      </c>
      <c r="IG646" s="27" t="s">
        <v>8</v>
      </c>
      <c r="IH646" s="27" t="s">
        <v>7</v>
      </c>
      <c r="II646" s="27" t="s">
        <v>8</v>
      </c>
      <c r="IJ646" s="27" t="s">
        <v>7</v>
      </c>
    </row>
    <row r="647" spans="1:244" x14ac:dyDescent="0.25">
      <c r="A647" s="7">
        <v>0.30478226645907036</v>
      </c>
      <c r="B647"/>
      <c r="C647"/>
      <c r="D647"/>
      <c r="E647"/>
      <c r="N647" s="27" t="s">
        <v>7</v>
      </c>
      <c r="O647" s="27" t="s">
        <v>8</v>
      </c>
      <c r="P647" s="27" t="s">
        <v>7</v>
      </c>
      <c r="AK647" s="27" t="s">
        <v>8</v>
      </c>
      <c r="AL647" s="27" t="s">
        <v>7</v>
      </c>
      <c r="AM647" s="27" t="s">
        <v>8</v>
      </c>
      <c r="AN647" s="27" t="s">
        <v>7</v>
      </c>
      <c r="AS647" s="27" t="s">
        <v>8</v>
      </c>
      <c r="AT647" s="27" t="s">
        <v>7</v>
      </c>
      <c r="BM647" s="27" t="s">
        <v>8</v>
      </c>
      <c r="BN647" s="27" t="s">
        <v>7</v>
      </c>
      <c r="BQ647" s="27" t="s">
        <v>8</v>
      </c>
      <c r="BR647" s="27" t="s">
        <v>7</v>
      </c>
      <c r="BS647" s="27" t="s">
        <v>8</v>
      </c>
      <c r="BT647" s="27" t="s">
        <v>7</v>
      </c>
      <c r="BU647" s="27" t="s">
        <v>8</v>
      </c>
      <c r="BV647" s="27" t="s">
        <v>7</v>
      </c>
      <c r="BW647" s="27" t="s">
        <v>8</v>
      </c>
      <c r="DZ647" s="27" t="s">
        <v>7</v>
      </c>
      <c r="EA647" s="27" t="s">
        <v>8</v>
      </c>
      <c r="EB647" s="27" t="s">
        <v>7</v>
      </c>
      <c r="EC647" s="27" t="s">
        <v>8</v>
      </c>
      <c r="ED647" s="27" t="s">
        <v>7</v>
      </c>
      <c r="EE647" s="27" t="s">
        <v>8</v>
      </c>
      <c r="EF647" s="27" t="s">
        <v>7</v>
      </c>
      <c r="EG647" s="27" t="s">
        <v>8</v>
      </c>
      <c r="EJ647" s="27" t="s">
        <v>7</v>
      </c>
      <c r="EL647" s="27" t="s">
        <v>7</v>
      </c>
      <c r="EM647" s="27" t="s">
        <v>8</v>
      </c>
      <c r="EN647" s="27" t="s">
        <v>7</v>
      </c>
      <c r="EO647" s="27" t="s">
        <v>8</v>
      </c>
      <c r="EP647" s="27" t="s">
        <v>7</v>
      </c>
      <c r="ER647" s="27" t="s">
        <v>7</v>
      </c>
      <c r="FQ647" s="27" t="s">
        <v>8</v>
      </c>
      <c r="FR647" s="27" t="s">
        <v>7</v>
      </c>
      <c r="FS647" s="27" t="s">
        <v>8</v>
      </c>
      <c r="GF647" s="27" t="s">
        <v>7</v>
      </c>
      <c r="GG647" s="27" t="s">
        <v>8</v>
      </c>
      <c r="GH647" s="27" t="s">
        <v>7</v>
      </c>
      <c r="GI647" s="27" t="s">
        <v>8</v>
      </c>
      <c r="GJ647" s="27" t="s">
        <v>7</v>
      </c>
      <c r="GK647" s="27" t="s">
        <v>8</v>
      </c>
      <c r="GN647" s="27" t="s">
        <v>7</v>
      </c>
      <c r="GQ647" s="27" t="s">
        <v>8</v>
      </c>
      <c r="GR647" s="27" t="s">
        <v>7</v>
      </c>
      <c r="GU647" s="27" t="s">
        <v>8</v>
      </c>
      <c r="GV647" s="27" t="s">
        <v>7</v>
      </c>
      <c r="GW647" s="27" t="s">
        <v>8</v>
      </c>
      <c r="GX647" s="27" t="s">
        <v>7</v>
      </c>
      <c r="GZ647" s="27" t="s">
        <v>7</v>
      </c>
      <c r="HP647" s="27" t="s">
        <v>7</v>
      </c>
      <c r="HQ647" s="27" t="s">
        <v>8</v>
      </c>
      <c r="HS647" s="27" t="s">
        <v>8</v>
      </c>
      <c r="HU647" s="27" t="s">
        <v>8</v>
      </c>
      <c r="HV647" s="27" t="s">
        <v>7</v>
      </c>
      <c r="HY647" s="27" t="s">
        <v>8</v>
      </c>
      <c r="HZ647" s="27" t="s">
        <v>7</v>
      </c>
      <c r="IC647" s="27" t="s">
        <v>8</v>
      </c>
      <c r="IG647" s="27" t="s">
        <v>8</v>
      </c>
      <c r="IH647" s="27" t="s">
        <v>7</v>
      </c>
      <c r="II647" s="27" t="s">
        <v>8</v>
      </c>
      <c r="IJ647" s="27" t="s">
        <v>7</v>
      </c>
    </row>
    <row r="648" spans="1:244" x14ac:dyDescent="0.25">
      <c r="A648" s="7">
        <v>0.29880614358732388</v>
      </c>
      <c r="B648"/>
      <c r="C648"/>
      <c r="D648"/>
      <c r="E648"/>
      <c r="N648" s="27" t="s">
        <v>7</v>
      </c>
      <c r="O648" s="27" t="s">
        <v>8</v>
      </c>
      <c r="P648" s="27" t="s">
        <v>7</v>
      </c>
      <c r="AK648" s="27" t="s">
        <v>8</v>
      </c>
      <c r="AL648" s="27" t="s">
        <v>7</v>
      </c>
      <c r="AN648" s="27" t="s">
        <v>7</v>
      </c>
      <c r="AS648" s="27" t="s">
        <v>8</v>
      </c>
      <c r="AT648" s="27" t="s">
        <v>7</v>
      </c>
      <c r="BM648" s="27" t="s">
        <v>8</v>
      </c>
      <c r="BN648" s="27" t="s">
        <v>7</v>
      </c>
      <c r="BQ648" s="27" t="s">
        <v>8</v>
      </c>
      <c r="BR648" s="27" t="s">
        <v>7</v>
      </c>
      <c r="BS648" s="27" t="s">
        <v>8</v>
      </c>
      <c r="BT648" s="27" t="s">
        <v>7</v>
      </c>
      <c r="BU648" s="27" t="s">
        <v>8</v>
      </c>
      <c r="BV648" s="27" t="s">
        <v>7</v>
      </c>
      <c r="BW648" s="27" t="s">
        <v>8</v>
      </c>
      <c r="DZ648" s="27" t="s">
        <v>7</v>
      </c>
      <c r="EA648" s="27" t="s">
        <v>8</v>
      </c>
      <c r="EB648" s="27" t="s">
        <v>7</v>
      </c>
      <c r="EC648" s="27" t="s">
        <v>8</v>
      </c>
      <c r="ED648" s="27" t="s">
        <v>7</v>
      </c>
      <c r="EE648" s="27" t="s">
        <v>8</v>
      </c>
      <c r="EF648" s="27" t="s">
        <v>7</v>
      </c>
      <c r="EG648" s="27" t="s">
        <v>8</v>
      </c>
      <c r="EL648" s="27" t="s">
        <v>7</v>
      </c>
      <c r="EM648" s="27" t="s">
        <v>8</v>
      </c>
      <c r="EN648" s="27" t="s">
        <v>7</v>
      </c>
      <c r="EO648" s="27" t="s">
        <v>8</v>
      </c>
      <c r="ER648" s="27" t="s">
        <v>7</v>
      </c>
      <c r="FQ648" s="27" t="s">
        <v>8</v>
      </c>
      <c r="FR648" s="27" t="s">
        <v>7</v>
      </c>
      <c r="FS648" s="27" t="s">
        <v>8</v>
      </c>
      <c r="GF648" s="27" t="s">
        <v>7</v>
      </c>
      <c r="GG648" s="27" t="s">
        <v>8</v>
      </c>
      <c r="GH648" s="27" t="s">
        <v>7</v>
      </c>
      <c r="GI648" s="27" t="s">
        <v>8</v>
      </c>
      <c r="GJ648" s="27" t="s">
        <v>7</v>
      </c>
      <c r="GK648" s="27" t="s">
        <v>8</v>
      </c>
      <c r="GN648" s="27" t="s">
        <v>7</v>
      </c>
      <c r="GQ648" s="27" t="s">
        <v>8</v>
      </c>
      <c r="GR648" s="27" t="s">
        <v>7</v>
      </c>
      <c r="GS648" s="27" t="s">
        <v>8</v>
      </c>
      <c r="GU648" s="27" t="s">
        <v>8</v>
      </c>
      <c r="GV648" s="27" t="s">
        <v>7</v>
      </c>
      <c r="GW648" s="27" t="s">
        <v>8</v>
      </c>
      <c r="HP648" s="27" t="s">
        <v>7</v>
      </c>
      <c r="HQ648" s="27" t="s">
        <v>8</v>
      </c>
      <c r="HR648" s="27" t="s">
        <v>7</v>
      </c>
      <c r="HS648" s="27" t="s">
        <v>8</v>
      </c>
      <c r="HT648" s="27" t="s">
        <v>7</v>
      </c>
      <c r="HU648" s="27" t="s">
        <v>8</v>
      </c>
      <c r="HV648" s="27" t="s">
        <v>7</v>
      </c>
      <c r="HW648" s="27" t="s">
        <v>8</v>
      </c>
      <c r="HY648" s="27" t="s">
        <v>8</v>
      </c>
      <c r="HZ648" s="27" t="s">
        <v>7</v>
      </c>
      <c r="IC648" s="27" t="s">
        <v>8</v>
      </c>
      <c r="ID648" s="27" t="s">
        <v>7</v>
      </c>
      <c r="IE648" s="27" t="s">
        <v>8</v>
      </c>
      <c r="IG648" s="27" t="s">
        <v>8</v>
      </c>
      <c r="IH648" s="27" t="s">
        <v>7</v>
      </c>
      <c r="II648" s="27" t="s">
        <v>8</v>
      </c>
      <c r="IJ648" s="27" t="s">
        <v>7</v>
      </c>
    </row>
    <row r="649" spans="1:244" x14ac:dyDescent="0.25">
      <c r="A649" s="7">
        <v>0.2929471995954156</v>
      </c>
      <c r="B649"/>
      <c r="C649"/>
      <c r="D649"/>
      <c r="E649"/>
      <c r="N649" s="27" t="s">
        <v>7</v>
      </c>
      <c r="O649" s="27" t="s">
        <v>8</v>
      </c>
      <c r="P649" s="27" t="s">
        <v>7</v>
      </c>
      <c r="AK649" s="27" t="s">
        <v>8</v>
      </c>
      <c r="AN649" s="27" t="s">
        <v>7</v>
      </c>
      <c r="AS649" s="27" t="s">
        <v>8</v>
      </c>
      <c r="AT649" s="27" t="s">
        <v>7</v>
      </c>
      <c r="BM649" s="27" t="s">
        <v>8</v>
      </c>
      <c r="BN649" s="27" t="s">
        <v>7</v>
      </c>
      <c r="BO649" s="27" t="s">
        <v>8</v>
      </c>
      <c r="BQ649" s="27" t="s">
        <v>8</v>
      </c>
      <c r="BR649" s="27" t="s">
        <v>7</v>
      </c>
      <c r="BS649" s="27" t="s">
        <v>8</v>
      </c>
      <c r="BT649" s="27" t="s">
        <v>7</v>
      </c>
      <c r="BU649" s="27" t="s">
        <v>8</v>
      </c>
      <c r="BV649" s="27" t="s">
        <v>7</v>
      </c>
      <c r="BW649" s="27" t="s">
        <v>8</v>
      </c>
      <c r="DZ649" s="27" t="s">
        <v>7</v>
      </c>
      <c r="EA649" s="27" t="s">
        <v>8</v>
      </c>
      <c r="EB649" s="27" t="s">
        <v>7</v>
      </c>
      <c r="EC649" s="27" t="s">
        <v>8</v>
      </c>
      <c r="ED649" s="27" t="s">
        <v>7</v>
      </c>
      <c r="EE649" s="27" t="s">
        <v>8</v>
      </c>
      <c r="EF649" s="27" t="s">
        <v>7</v>
      </c>
      <c r="EG649" s="27" t="s">
        <v>8</v>
      </c>
      <c r="EL649" s="27" t="s">
        <v>7</v>
      </c>
      <c r="EM649" s="27" t="s">
        <v>8</v>
      </c>
      <c r="EN649" s="27" t="s">
        <v>7</v>
      </c>
      <c r="EO649" s="27" t="s">
        <v>8</v>
      </c>
      <c r="ER649" s="27" t="s">
        <v>7</v>
      </c>
      <c r="FQ649" s="27" t="s">
        <v>8</v>
      </c>
      <c r="FR649" s="27" t="s">
        <v>7</v>
      </c>
      <c r="GF649" s="27" t="s">
        <v>7</v>
      </c>
      <c r="GG649" s="27" t="s">
        <v>8</v>
      </c>
      <c r="GH649" s="27" t="s">
        <v>7</v>
      </c>
      <c r="GI649" s="27" t="s">
        <v>8</v>
      </c>
      <c r="GJ649" s="27" t="s">
        <v>7</v>
      </c>
      <c r="GK649" s="27" t="s">
        <v>8</v>
      </c>
      <c r="GN649" s="27" t="s">
        <v>7</v>
      </c>
      <c r="GQ649" s="27" t="s">
        <v>8</v>
      </c>
      <c r="GR649" s="27" t="s">
        <v>7</v>
      </c>
      <c r="GS649" s="27" t="s">
        <v>8</v>
      </c>
      <c r="GT649" s="27" t="s">
        <v>7</v>
      </c>
      <c r="GU649" s="27" t="s">
        <v>8</v>
      </c>
      <c r="GV649" s="27" t="s">
        <v>7</v>
      </c>
      <c r="GW649" s="27" t="s">
        <v>8</v>
      </c>
      <c r="HP649" s="27" t="s">
        <v>7</v>
      </c>
      <c r="HQ649" s="27" t="s">
        <v>8</v>
      </c>
      <c r="HR649" s="27" t="s">
        <v>7</v>
      </c>
      <c r="HS649" s="27" t="s">
        <v>8</v>
      </c>
      <c r="HT649" s="27" t="s">
        <v>7</v>
      </c>
      <c r="HU649" s="27" t="s">
        <v>8</v>
      </c>
      <c r="HV649" s="27" t="s">
        <v>7</v>
      </c>
      <c r="HW649" s="27" t="s">
        <v>8</v>
      </c>
      <c r="HX649" s="27" t="s">
        <v>7</v>
      </c>
      <c r="HY649" s="27" t="s">
        <v>8</v>
      </c>
      <c r="HZ649" s="27" t="s">
        <v>7</v>
      </c>
      <c r="IC649" s="27" t="s">
        <v>8</v>
      </c>
      <c r="ID649" s="27" t="s">
        <v>7</v>
      </c>
      <c r="IE649" s="27" t="s">
        <v>8</v>
      </c>
      <c r="IF649" s="27" t="s">
        <v>7</v>
      </c>
      <c r="IG649" s="27" t="s">
        <v>8</v>
      </c>
      <c r="IH649" s="27" t="s">
        <v>7</v>
      </c>
      <c r="II649" s="27" t="s">
        <v>8</v>
      </c>
      <c r="IJ649" s="27" t="s">
        <v>7</v>
      </c>
    </row>
    <row r="650" spans="1:244" x14ac:dyDescent="0.25">
      <c r="A650" s="7">
        <v>0.28720313685825055</v>
      </c>
      <c r="B650"/>
      <c r="C650"/>
      <c r="D650"/>
      <c r="E650"/>
      <c r="N650" s="27" t="s">
        <v>7</v>
      </c>
      <c r="O650" s="27" t="s">
        <v>8</v>
      </c>
      <c r="P650" s="27" t="s">
        <v>7</v>
      </c>
      <c r="AK650" s="27" t="s">
        <v>8</v>
      </c>
      <c r="AN650" s="27" t="s">
        <v>7</v>
      </c>
      <c r="AS650" s="27" t="s">
        <v>8</v>
      </c>
      <c r="AT650" s="27" t="s">
        <v>7</v>
      </c>
      <c r="BM650" s="27" t="s">
        <v>8</v>
      </c>
      <c r="BN650" s="27" t="s">
        <v>7</v>
      </c>
      <c r="BO650" s="27" t="s">
        <v>8</v>
      </c>
      <c r="BP650" s="27" t="s">
        <v>7</v>
      </c>
      <c r="BQ650" s="27" t="s">
        <v>8</v>
      </c>
      <c r="BR650" s="27" t="s">
        <v>7</v>
      </c>
      <c r="BS650" s="27" t="s">
        <v>8</v>
      </c>
      <c r="BT650" s="27" t="s">
        <v>7</v>
      </c>
      <c r="BV650" s="27" t="s">
        <v>7</v>
      </c>
      <c r="DZ650" s="27" t="s">
        <v>7</v>
      </c>
      <c r="EA650" s="27" t="s">
        <v>8</v>
      </c>
      <c r="EB650" s="27" t="s">
        <v>7</v>
      </c>
      <c r="EC650" s="27" t="s">
        <v>8</v>
      </c>
      <c r="ED650" s="27" t="s">
        <v>7</v>
      </c>
      <c r="EE650" s="27" t="s">
        <v>8</v>
      </c>
      <c r="EF650" s="27" t="s">
        <v>7</v>
      </c>
      <c r="EG650" s="27" t="s">
        <v>8</v>
      </c>
      <c r="EL650" s="27" t="s">
        <v>7</v>
      </c>
      <c r="EM650" s="27" t="s">
        <v>8</v>
      </c>
      <c r="EN650" s="27" t="s">
        <v>7</v>
      </c>
      <c r="EO650" s="27" t="s">
        <v>8</v>
      </c>
      <c r="ER650" s="27" t="s">
        <v>7</v>
      </c>
      <c r="FQ650" s="27" t="s">
        <v>8</v>
      </c>
      <c r="GF650" s="27" t="s">
        <v>7</v>
      </c>
      <c r="GG650" s="27" t="s">
        <v>8</v>
      </c>
      <c r="GH650" s="27" t="s">
        <v>7</v>
      </c>
      <c r="GI650" s="27" t="s">
        <v>8</v>
      </c>
      <c r="GJ650" s="27" t="s">
        <v>7</v>
      </c>
      <c r="GN650" s="27" t="s">
        <v>7</v>
      </c>
      <c r="GQ650" s="27" t="s">
        <v>8</v>
      </c>
      <c r="GR650" s="27" t="s">
        <v>7</v>
      </c>
      <c r="GS650" s="27" t="s">
        <v>8</v>
      </c>
      <c r="GT650" s="27" t="s">
        <v>7</v>
      </c>
      <c r="GU650" s="27" t="s">
        <v>8</v>
      </c>
      <c r="GV650" s="27" t="s">
        <v>7</v>
      </c>
      <c r="GW650" s="27" t="s">
        <v>8</v>
      </c>
      <c r="HP650" s="27" t="s">
        <v>7</v>
      </c>
      <c r="HQ650" s="27" t="s">
        <v>8</v>
      </c>
      <c r="HR650" s="27" t="s">
        <v>7</v>
      </c>
      <c r="HS650" s="27" t="s">
        <v>8</v>
      </c>
      <c r="HT650" s="27" t="s">
        <v>7</v>
      </c>
      <c r="HU650" s="27" t="s">
        <v>8</v>
      </c>
      <c r="HV650" s="27" t="s">
        <v>7</v>
      </c>
      <c r="HW650" s="27" t="s">
        <v>8</v>
      </c>
      <c r="HX650" s="27" t="s">
        <v>7</v>
      </c>
      <c r="HY650" s="27" t="s">
        <v>8</v>
      </c>
      <c r="HZ650" s="27" t="s">
        <v>7</v>
      </c>
      <c r="IC650" s="27" t="s">
        <v>8</v>
      </c>
      <c r="ID650" s="27" t="s">
        <v>7</v>
      </c>
      <c r="IE650" s="27" t="s">
        <v>8</v>
      </c>
      <c r="IF650" s="27" t="s">
        <v>7</v>
      </c>
      <c r="IG650" s="27" t="s">
        <v>8</v>
      </c>
      <c r="IH650" s="27" t="s">
        <v>7</v>
      </c>
      <c r="II650" s="27" t="s">
        <v>8</v>
      </c>
      <c r="IJ650" s="27" t="s">
        <v>7</v>
      </c>
    </row>
    <row r="651" spans="1:244" x14ac:dyDescent="0.25">
      <c r="A651" s="7">
        <v>0.28157170280220645</v>
      </c>
      <c r="B651"/>
      <c r="C651"/>
      <c r="D651"/>
      <c r="E651"/>
      <c r="N651" s="27" t="s">
        <v>7</v>
      </c>
      <c r="O651" s="27" t="s">
        <v>8</v>
      </c>
      <c r="P651" s="27" t="s">
        <v>7</v>
      </c>
      <c r="AK651" s="27" t="s">
        <v>8</v>
      </c>
      <c r="AN651" s="27" t="s">
        <v>7</v>
      </c>
      <c r="AS651" s="27" t="s">
        <v>8</v>
      </c>
      <c r="AT651" s="27" t="s">
        <v>7</v>
      </c>
      <c r="BM651" s="27" t="s">
        <v>8</v>
      </c>
      <c r="BN651" s="27" t="s">
        <v>7</v>
      </c>
      <c r="BO651" s="27" t="s">
        <v>8</v>
      </c>
      <c r="BP651" s="27" t="s">
        <v>7</v>
      </c>
      <c r="BQ651" s="27" t="s">
        <v>8</v>
      </c>
      <c r="BR651" s="27" t="s">
        <v>7</v>
      </c>
      <c r="DZ651" s="27" t="s">
        <v>7</v>
      </c>
      <c r="EA651" s="27" t="s">
        <v>8</v>
      </c>
      <c r="EB651" s="27" t="s">
        <v>7</v>
      </c>
      <c r="EC651" s="27" t="s">
        <v>8</v>
      </c>
      <c r="ED651" s="27" t="s">
        <v>7</v>
      </c>
      <c r="EE651" s="27" t="s">
        <v>8</v>
      </c>
      <c r="EF651" s="27" t="s">
        <v>7</v>
      </c>
      <c r="EG651" s="27" t="s">
        <v>8</v>
      </c>
      <c r="EL651" s="27" t="s">
        <v>7</v>
      </c>
      <c r="EM651" s="27" t="s">
        <v>8</v>
      </c>
      <c r="EN651" s="27" t="s">
        <v>7</v>
      </c>
      <c r="EO651" s="27" t="s">
        <v>8</v>
      </c>
      <c r="ER651" s="27" t="s">
        <v>7</v>
      </c>
      <c r="FO651" s="27" t="s">
        <v>8</v>
      </c>
      <c r="FQ651" s="27" t="s">
        <v>8</v>
      </c>
      <c r="GF651" s="27" t="s">
        <v>7</v>
      </c>
      <c r="GG651" s="27" t="s">
        <v>8</v>
      </c>
      <c r="GH651" s="27" t="s">
        <v>7</v>
      </c>
      <c r="GN651" s="27" t="s">
        <v>7</v>
      </c>
      <c r="GQ651" s="27" t="s">
        <v>8</v>
      </c>
      <c r="GR651" s="27" t="s">
        <v>7</v>
      </c>
      <c r="GS651" s="27" t="s">
        <v>8</v>
      </c>
      <c r="GT651" s="27" t="s">
        <v>7</v>
      </c>
      <c r="GU651" s="27" t="s">
        <v>8</v>
      </c>
      <c r="GV651" s="27" t="s">
        <v>7</v>
      </c>
      <c r="GW651" s="27" t="s">
        <v>8</v>
      </c>
      <c r="HP651" s="27" t="s">
        <v>7</v>
      </c>
      <c r="HQ651" s="27" t="s">
        <v>8</v>
      </c>
      <c r="HR651" s="27" t="s">
        <v>7</v>
      </c>
      <c r="HS651" s="27" t="s">
        <v>8</v>
      </c>
      <c r="HT651" s="27" t="s">
        <v>7</v>
      </c>
      <c r="HU651" s="27" t="s">
        <v>8</v>
      </c>
      <c r="HV651" s="27" t="s">
        <v>7</v>
      </c>
      <c r="HW651" s="27" t="s">
        <v>8</v>
      </c>
      <c r="HX651" s="27" t="s">
        <v>7</v>
      </c>
      <c r="HY651" s="27" t="s">
        <v>8</v>
      </c>
      <c r="HZ651" s="27" t="s">
        <v>7</v>
      </c>
      <c r="IC651" s="27" t="s">
        <v>8</v>
      </c>
      <c r="ID651" s="27" t="s">
        <v>7</v>
      </c>
      <c r="IE651" s="27" t="s">
        <v>8</v>
      </c>
      <c r="IF651" s="27" t="s">
        <v>7</v>
      </c>
      <c r="IG651" s="27" t="s">
        <v>8</v>
      </c>
      <c r="IH651" s="27" t="s">
        <v>7</v>
      </c>
      <c r="II651" s="27" t="s">
        <v>8</v>
      </c>
      <c r="IJ651" s="27" t="s">
        <v>7</v>
      </c>
    </row>
    <row r="652" spans="1:244" x14ac:dyDescent="0.25">
      <c r="A652" s="7">
        <v>0.27605068902177105</v>
      </c>
      <c r="B652"/>
      <c r="C652"/>
      <c r="D652"/>
      <c r="E652"/>
      <c r="N652" s="27" t="s">
        <v>7</v>
      </c>
      <c r="O652" s="27" t="s">
        <v>8</v>
      </c>
      <c r="P652" s="27" t="s">
        <v>7</v>
      </c>
      <c r="AK652" s="27" t="s">
        <v>8</v>
      </c>
      <c r="AN652" s="27" t="s">
        <v>7</v>
      </c>
      <c r="AS652" s="27" t="s">
        <v>8</v>
      </c>
      <c r="AT652" s="27" t="s">
        <v>7</v>
      </c>
      <c r="BM652" s="27" t="s">
        <v>8</v>
      </c>
      <c r="BN652" s="27" t="s">
        <v>7</v>
      </c>
      <c r="BO652" s="27" t="s">
        <v>8</v>
      </c>
      <c r="BP652" s="27" t="s">
        <v>7</v>
      </c>
      <c r="BQ652" s="27" t="s">
        <v>8</v>
      </c>
      <c r="DZ652" s="27" t="s">
        <v>7</v>
      </c>
      <c r="EA652" s="27" t="s">
        <v>8</v>
      </c>
      <c r="EB652" s="27" t="s">
        <v>7</v>
      </c>
      <c r="EC652" s="27" t="s">
        <v>8</v>
      </c>
      <c r="ED652" s="27" t="s">
        <v>7</v>
      </c>
      <c r="EE652" s="27" t="s">
        <v>8</v>
      </c>
      <c r="EF652" s="27" t="s">
        <v>7</v>
      </c>
      <c r="EG652" s="27" t="s">
        <v>8</v>
      </c>
      <c r="EL652" s="27" t="s">
        <v>7</v>
      </c>
      <c r="EM652" s="27" t="s">
        <v>8</v>
      </c>
      <c r="EN652" s="27" t="s">
        <v>7</v>
      </c>
      <c r="EO652" s="27" t="s">
        <v>8</v>
      </c>
      <c r="ER652" s="27" t="s">
        <v>7</v>
      </c>
      <c r="FO652" s="27" t="s">
        <v>8</v>
      </c>
      <c r="FP652" s="27" t="s">
        <v>7</v>
      </c>
      <c r="FQ652" s="27" t="s">
        <v>8</v>
      </c>
      <c r="GF652" s="27" t="s">
        <v>7</v>
      </c>
      <c r="GG652" s="27" t="s">
        <v>8</v>
      </c>
      <c r="GN652" s="27" t="s">
        <v>7</v>
      </c>
      <c r="GO652" s="27" t="s">
        <v>8</v>
      </c>
      <c r="GQ652" s="27" t="s">
        <v>8</v>
      </c>
      <c r="GR652" s="27" t="s">
        <v>7</v>
      </c>
      <c r="GS652" s="27" t="s">
        <v>8</v>
      </c>
      <c r="GT652" s="27" t="s">
        <v>7</v>
      </c>
      <c r="GU652" s="27" t="s">
        <v>8</v>
      </c>
      <c r="GV652" s="27" t="s">
        <v>7</v>
      </c>
      <c r="GW652" s="27" t="s">
        <v>8</v>
      </c>
      <c r="HP652" s="27" t="s">
        <v>7</v>
      </c>
      <c r="HQ652" s="27" t="s">
        <v>8</v>
      </c>
      <c r="HR652" s="27" t="s">
        <v>7</v>
      </c>
      <c r="HT652" s="27" t="s">
        <v>7</v>
      </c>
      <c r="HU652" s="27" t="s">
        <v>8</v>
      </c>
      <c r="HV652" s="27" t="s">
        <v>7</v>
      </c>
      <c r="HW652" s="27" t="s">
        <v>8</v>
      </c>
      <c r="HX652" s="27" t="s">
        <v>7</v>
      </c>
      <c r="HZ652" s="27" t="s">
        <v>7</v>
      </c>
      <c r="IA652" s="27" t="s">
        <v>8</v>
      </c>
      <c r="IC652" s="27" t="s">
        <v>8</v>
      </c>
      <c r="ID652" s="27" t="s">
        <v>7</v>
      </c>
      <c r="IE652" s="27" t="s">
        <v>8</v>
      </c>
      <c r="IF652" s="27" t="s">
        <v>7</v>
      </c>
      <c r="IH652" s="27" t="s">
        <v>7</v>
      </c>
      <c r="II652" s="27" t="s">
        <v>8</v>
      </c>
      <c r="IJ652" s="27" t="s">
        <v>7</v>
      </c>
    </row>
    <row r="653" spans="1:244" x14ac:dyDescent="0.25">
      <c r="A653" s="7">
        <v>0.27063793041350104</v>
      </c>
      <c r="B653"/>
      <c r="C653"/>
      <c r="D653"/>
      <c r="E653"/>
      <c r="N653" s="27" t="s">
        <v>7</v>
      </c>
      <c r="O653" s="27" t="s">
        <v>8</v>
      </c>
      <c r="P653" s="27" t="s">
        <v>7</v>
      </c>
      <c r="AK653" s="27" t="s">
        <v>8</v>
      </c>
      <c r="AN653" s="27" t="s">
        <v>7</v>
      </c>
      <c r="AS653" s="27" t="s">
        <v>8</v>
      </c>
      <c r="AT653" s="27" t="s">
        <v>7</v>
      </c>
      <c r="AU653" s="27" t="s">
        <v>8</v>
      </c>
      <c r="BM653" s="27" t="s">
        <v>8</v>
      </c>
      <c r="BN653" s="27" t="s">
        <v>7</v>
      </c>
      <c r="BO653" s="27" t="s">
        <v>8</v>
      </c>
      <c r="BP653" s="27" t="s">
        <v>7</v>
      </c>
      <c r="BQ653" s="27" t="s">
        <v>8</v>
      </c>
      <c r="DZ653" s="27" t="s">
        <v>7</v>
      </c>
      <c r="EA653" s="27" t="s">
        <v>8</v>
      </c>
      <c r="EB653" s="27" t="s">
        <v>7</v>
      </c>
      <c r="EC653" s="27" t="s">
        <v>8</v>
      </c>
      <c r="ED653" s="27" t="s">
        <v>7</v>
      </c>
      <c r="EE653" s="27" t="s">
        <v>8</v>
      </c>
      <c r="EF653" s="27" t="s">
        <v>7</v>
      </c>
      <c r="EG653" s="27" t="s">
        <v>8</v>
      </c>
      <c r="EL653" s="27" t="s">
        <v>7</v>
      </c>
      <c r="EM653" s="27" t="s">
        <v>8</v>
      </c>
      <c r="EN653" s="27" t="s">
        <v>7</v>
      </c>
      <c r="EO653" s="27" t="s">
        <v>8</v>
      </c>
      <c r="ER653" s="27" t="s">
        <v>7</v>
      </c>
      <c r="FO653" s="27" t="s">
        <v>8</v>
      </c>
      <c r="FP653" s="27" t="s">
        <v>7</v>
      </c>
      <c r="FQ653" s="27" t="s">
        <v>8</v>
      </c>
      <c r="GF653" s="27" t="s">
        <v>7</v>
      </c>
      <c r="GG653" s="27" t="s">
        <v>8</v>
      </c>
      <c r="GN653" s="27" t="s">
        <v>7</v>
      </c>
      <c r="GO653" s="27" t="s">
        <v>8</v>
      </c>
      <c r="GP653" s="27" t="s">
        <v>7</v>
      </c>
      <c r="GQ653" s="27" t="s">
        <v>8</v>
      </c>
      <c r="GR653" s="27" t="s">
        <v>7</v>
      </c>
      <c r="GS653" s="27" t="s">
        <v>8</v>
      </c>
      <c r="GT653" s="27" t="s">
        <v>7</v>
      </c>
      <c r="GV653" s="27" t="s">
        <v>7</v>
      </c>
      <c r="GW653" s="27" t="s">
        <v>8</v>
      </c>
      <c r="HP653" s="27" t="s">
        <v>7</v>
      </c>
      <c r="HQ653" s="27" t="s">
        <v>8</v>
      </c>
      <c r="HT653" s="27" t="s">
        <v>7</v>
      </c>
      <c r="HU653" s="27" t="s">
        <v>8</v>
      </c>
      <c r="HV653" s="27" t="s">
        <v>7</v>
      </c>
      <c r="HZ653" s="27" t="s">
        <v>7</v>
      </c>
      <c r="IA653" s="27" t="s">
        <v>8</v>
      </c>
      <c r="IB653" s="27" t="s">
        <v>7</v>
      </c>
      <c r="IC653" s="27" t="s">
        <v>8</v>
      </c>
      <c r="ID653" s="27" t="s">
        <v>7</v>
      </c>
      <c r="IE653" s="27" t="s">
        <v>8</v>
      </c>
      <c r="IH653" s="27" t="s">
        <v>7</v>
      </c>
      <c r="II653" s="27" t="s">
        <v>8</v>
      </c>
      <c r="IJ653" s="27" t="s">
        <v>7</v>
      </c>
    </row>
    <row r="654" spans="1:244" x14ac:dyDescent="0.25">
      <c r="A654" s="7">
        <v>0.26533130432696184</v>
      </c>
      <c r="B654"/>
      <c r="C654"/>
      <c r="D654"/>
      <c r="E654"/>
      <c r="N654" s="27" t="s">
        <v>7</v>
      </c>
      <c r="O654" s="27" t="s">
        <v>8</v>
      </c>
      <c r="P654" s="27" t="s">
        <v>7</v>
      </c>
      <c r="AK654" s="27" t="s">
        <v>8</v>
      </c>
      <c r="AN654" s="27" t="s">
        <v>7</v>
      </c>
      <c r="AS654" s="27" t="s">
        <v>8</v>
      </c>
      <c r="AT654" s="27" t="s">
        <v>7</v>
      </c>
      <c r="AU654" s="27" t="s">
        <v>8</v>
      </c>
      <c r="AV654" s="27" t="s">
        <v>7</v>
      </c>
      <c r="AW654" s="27" t="s">
        <v>8</v>
      </c>
      <c r="BM654" s="27" t="s">
        <v>8</v>
      </c>
      <c r="BN654" s="27" t="s">
        <v>7</v>
      </c>
      <c r="BO654" s="27" t="s">
        <v>8</v>
      </c>
      <c r="BP654" s="27" t="s">
        <v>7</v>
      </c>
      <c r="BQ654" s="27" t="s">
        <v>8</v>
      </c>
      <c r="DZ654" s="27" t="s">
        <v>7</v>
      </c>
      <c r="EA654" s="27" t="s">
        <v>8</v>
      </c>
      <c r="EB654" s="27" t="s">
        <v>7</v>
      </c>
      <c r="ED654" s="27" t="s">
        <v>7</v>
      </c>
      <c r="EE654" s="27" t="s">
        <v>8</v>
      </c>
      <c r="EF654" s="27" t="s">
        <v>7</v>
      </c>
      <c r="EG654" s="27" t="s">
        <v>8</v>
      </c>
      <c r="EL654" s="27" t="s">
        <v>7</v>
      </c>
      <c r="EM654" s="27" t="s">
        <v>8</v>
      </c>
      <c r="EN654" s="27" t="s">
        <v>7</v>
      </c>
      <c r="EO654" s="27" t="s">
        <v>8</v>
      </c>
      <c r="ER654" s="27" t="s">
        <v>7</v>
      </c>
      <c r="FM654" s="27" t="s">
        <v>8</v>
      </c>
      <c r="FO654" s="27" t="s">
        <v>8</v>
      </c>
      <c r="FP654" s="27" t="s">
        <v>7</v>
      </c>
      <c r="GF654" s="27" t="s">
        <v>7</v>
      </c>
      <c r="GN654" s="27" t="s">
        <v>7</v>
      </c>
      <c r="GO654" s="27" t="s">
        <v>8</v>
      </c>
      <c r="GP654" s="27" t="s">
        <v>7</v>
      </c>
      <c r="GQ654" s="27" t="s">
        <v>8</v>
      </c>
      <c r="GR654" s="27" t="s">
        <v>7</v>
      </c>
      <c r="GS654" s="27" t="s">
        <v>8</v>
      </c>
      <c r="GV654" s="27" t="s">
        <v>7</v>
      </c>
      <c r="GW654" s="27" t="s">
        <v>8</v>
      </c>
      <c r="HP654" s="27" t="s">
        <v>7</v>
      </c>
      <c r="HQ654" s="27" t="s">
        <v>8</v>
      </c>
      <c r="HT654" s="27" t="s">
        <v>7</v>
      </c>
      <c r="HU654" s="27" t="s">
        <v>8</v>
      </c>
      <c r="HZ654" s="27" t="s">
        <v>7</v>
      </c>
      <c r="IA654" s="27" t="s">
        <v>8</v>
      </c>
      <c r="IB654" s="27" t="s">
        <v>7</v>
      </c>
      <c r="IC654" s="27" t="s">
        <v>8</v>
      </c>
      <c r="ID654" s="27" t="s">
        <v>7</v>
      </c>
      <c r="IE654" s="27" t="s">
        <v>8</v>
      </c>
      <c r="IH654" s="27" t="s">
        <v>7</v>
      </c>
      <c r="II654" s="27" t="s">
        <v>8</v>
      </c>
      <c r="IJ654" s="27" t="s">
        <v>7</v>
      </c>
    </row>
    <row r="655" spans="1:244" x14ac:dyDescent="0.25">
      <c r="A655" s="7">
        <v>0.26012872973231554</v>
      </c>
      <c r="B655"/>
      <c r="C655"/>
      <c r="D655"/>
      <c r="E655"/>
      <c r="N655" s="27" t="s">
        <v>7</v>
      </c>
      <c r="O655" s="27" t="s">
        <v>8</v>
      </c>
      <c r="P655" s="27" t="s">
        <v>7</v>
      </c>
      <c r="AK655" s="27" t="s">
        <v>8</v>
      </c>
      <c r="AN655" s="27" t="s">
        <v>7</v>
      </c>
      <c r="AS655" s="27" t="s">
        <v>8</v>
      </c>
      <c r="AT655" s="27" t="s">
        <v>7</v>
      </c>
      <c r="AU655" s="27" t="s">
        <v>8</v>
      </c>
      <c r="AV655" s="27" t="s">
        <v>7</v>
      </c>
      <c r="AW655" s="27" t="s">
        <v>8</v>
      </c>
      <c r="AX655" s="27" t="s">
        <v>7</v>
      </c>
      <c r="AY655" s="27" t="s">
        <v>8</v>
      </c>
      <c r="BM655" s="27" t="s">
        <v>8</v>
      </c>
      <c r="BN655" s="27" t="s">
        <v>7</v>
      </c>
      <c r="BO655" s="27" t="s">
        <v>8</v>
      </c>
      <c r="BP655" s="27" t="s">
        <v>7</v>
      </c>
      <c r="BQ655" s="27" t="s">
        <v>8</v>
      </c>
      <c r="DZ655" s="27" t="s">
        <v>7</v>
      </c>
      <c r="ED655" s="27" t="s">
        <v>7</v>
      </c>
      <c r="EE655" s="27" t="s">
        <v>8</v>
      </c>
      <c r="EF655" s="27" t="s">
        <v>7</v>
      </c>
      <c r="EL655" s="27" t="s">
        <v>7</v>
      </c>
      <c r="EM655" s="27" t="s">
        <v>8</v>
      </c>
      <c r="EN655" s="27" t="s">
        <v>7</v>
      </c>
      <c r="EO655" s="27" t="s">
        <v>8</v>
      </c>
      <c r="ER655" s="27" t="s">
        <v>7</v>
      </c>
      <c r="FM655" s="27" t="s">
        <v>8</v>
      </c>
      <c r="FN655" s="27" t="s">
        <v>7</v>
      </c>
      <c r="FO655" s="27" t="s">
        <v>8</v>
      </c>
      <c r="GN655" s="27" t="s">
        <v>7</v>
      </c>
      <c r="GO655" s="27" t="s">
        <v>8</v>
      </c>
      <c r="GP655" s="27" t="s">
        <v>7</v>
      </c>
      <c r="GQ655" s="27" t="s">
        <v>8</v>
      </c>
      <c r="GR655" s="27" t="s">
        <v>7</v>
      </c>
      <c r="GS655" s="27" t="s">
        <v>8</v>
      </c>
      <c r="GV655" s="27" t="s">
        <v>7</v>
      </c>
      <c r="HP655" s="27" t="s">
        <v>7</v>
      </c>
      <c r="HQ655" s="27" t="s">
        <v>8</v>
      </c>
      <c r="HT655" s="27" t="s">
        <v>7</v>
      </c>
      <c r="HU655" s="27" t="s">
        <v>8</v>
      </c>
      <c r="HZ655" s="27" t="s">
        <v>7</v>
      </c>
      <c r="IA655" s="27" t="s">
        <v>8</v>
      </c>
      <c r="IB655" s="27" t="s">
        <v>7</v>
      </c>
      <c r="IC655" s="27" t="s">
        <v>8</v>
      </c>
      <c r="ID655" s="27" t="s">
        <v>7</v>
      </c>
      <c r="IH655" s="27" t="s">
        <v>7</v>
      </c>
      <c r="II655" s="27" t="s">
        <v>8</v>
      </c>
      <c r="IJ655" s="27" t="s">
        <v>7</v>
      </c>
    </row>
    <row r="656" spans="1:244" x14ac:dyDescent="0.25">
      <c r="A656" s="7">
        <v>0.25502816640423093</v>
      </c>
      <c r="B656"/>
      <c r="C656"/>
      <c r="D656"/>
      <c r="E656"/>
      <c r="N656" s="27" t="s">
        <v>7</v>
      </c>
      <c r="P656" s="27" t="s">
        <v>7</v>
      </c>
      <c r="AK656" s="27" t="s">
        <v>8</v>
      </c>
      <c r="AN656" s="27" t="s">
        <v>7</v>
      </c>
      <c r="AQ656" s="27" t="s">
        <v>8</v>
      </c>
      <c r="AS656" s="27" t="s">
        <v>8</v>
      </c>
      <c r="AT656" s="27" t="s">
        <v>7</v>
      </c>
      <c r="AU656" s="27" t="s">
        <v>8</v>
      </c>
      <c r="AV656" s="27" t="s">
        <v>7</v>
      </c>
      <c r="AW656" s="27" t="s">
        <v>8</v>
      </c>
      <c r="AX656" s="27" t="s">
        <v>7</v>
      </c>
      <c r="AY656" s="27" t="s">
        <v>8</v>
      </c>
      <c r="AZ656" s="27" t="s">
        <v>7</v>
      </c>
      <c r="BK656" s="27" t="s">
        <v>8</v>
      </c>
      <c r="BM656" s="27" t="s">
        <v>8</v>
      </c>
      <c r="BN656" s="27" t="s">
        <v>7</v>
      </c>
      <c r="BO656" s="27" t="s">
        <v>8</v>
      </c>
      <c r="BP656" s="27" t="s">
        <v>7</v>
      </c>
      <c r="BQ656" s="27" t="s">
        <v>8</v>
      </c>
      <c r="ED656" s="27" t="s">
        <v>7</v>
      </c>
      <c r="EE656" s="27" t="s">
        <v>8</v>
      </c>
      <c r="EL656" s="27" t="s">
        <v>7</v>
      </c>
      <c r="EM656" s="27" t="s">
        <v>8</v>
      </c>
      <c r="EN656" s="27" t="s">
        <v>7</v>
      </c>
      <c r="EO656" s="27" t="s">
        <v>8</v>
      </c>
      <c r="ER656" s="27" t="s">
        <v>7</v>
      </c>
      <c r="FM656" s="27" t="s">
        <v>8</v>
      </c>
      <c r="FN656" s="27" t="s">
        <v>7</v>
      </c>
      <c r="FO656" s="27" t="s">
        <v>8</v>
      </c>
      <c r="GN656" s="27" t="s">
        <v>7</v>
      </c>
      <c r="GO656" s="27" t="s">
        <v>8</v>
      </c>
      <c r="GP656" s="27" t="s">
        <v>7</v>
      </c>
      <c r="GQ656" s="27" t="s">
        <v>8</v>
      </c>
      <c r="GR656" s="27" t="s">
        <v>7</v>
      </c>
      <c r="HP656" s="27" t="s">
        <v>7</v>
      </c>
      <c r="HQ656" s="27" t="s">
        <v>8</v>
      </c>
      <c r="HT656" s="27" t="s">
        <v>7</v>
      </c>
      <c r="HZ656" s="27" t="s">
        <v>7</v>
      </c>
      <c r="IA656" s="27" t="s">
        <v>8</v>
      </c>
      <c r="IB656" s="27" t="s">
        <v>7</v>
      </c>
      <c r="IC656" s="27" t="s">
        <v>8</v>
      </c>
      <c r="IH656" s="27" t="s">
        <v>7</v>
      </c>
      <c r="II656" s="27" t="s">
        <v>8</v>
      </c>
      <c r="IJ656" s="27" t="s">
        <v>7</v>
      </c>
    </row>
    <row r="657" spans="1:246" x14ac:dyDescent="0.25">
      <c r="A657" s="7">
        <v>0.25002761412179503</v>
      </c>
      <c r="B657"/>
      <c r="C657"/>
      <c r="D657"/>
      <c r="E657"/>
      <c r="P657" s="27" t="s">
        <v>7</v>
      </c>
      <c r="AK657" s="27" t="s">
        <v>8</v>
      </c>
      <c r="AN657" s="27" t="s">
        <v>7</v>
      </c>
      <c r="AQ657" s="27" t="s">
        <v>8</v>
      </c>
      <c r="AR657" s="27" t="s">
        <v>7</v>
      </c>
      <c r="AS657" s="27" t="s">
        <v>8</v>
      </c>
      <c r="AT657" s="27" t="s">
        <v>7</v>
      </c>
      <c r="AU657" s="27" t="s">
        <v>8</v>
      </c>
      <c r="AV657" s="27" t="s">
        <v>7</v>
      </c>
      <c r="AW657" s="27" t="s">
        <v>8</v>
      </c>
      <c r="AX657" s="27" t="s">
        <v>7</v>
      </c>
      <c r="AY657" s="27" t="s">
        <v>8</v>
      </c>
      <c r="AZ657" s="27" t="s">
        <v>7</v>
      </c>
      <c r="BK657" s="27" t="s">
        <v>8</v>
      </c>
      <c r="BL657" s="27" t="s">
        <v>7</v>
      </c>
      <c r="BM657" s="27" t="s">
        <v>8</v>
      </c>
      <c r="BN657" s="27" t="s">
        <v>7</v>
      </c>
      <c r="BO657" s="27" t="s">
        <v>8</v>
      </c>
      <c r="BP657" s="27" t="s">
        <v>7</v>
      </c>
      <c r="BQ657" s="27" t="s">
        <v>8</v>
      </c>
      <c r="ED657" s="27" t="s">
        <v>7</v>
      </c>
      <c r="EE657" s="27" t="s">
        <v>8</v>
      </c>
      <c r="EL657" s="27" t="s">
        <v>7</v>
      </c>
      <c r="EN657" s="27" t="s">
        <v>7</v>
      </c>
      <c r="EO657" s="27" t="s">
        <v>8</v>
      </c>
      <c r="ER657" s="27" t="s">
        <v>7</v>
      </c>
      <c r="FM657" s="27" t="s">
        <v>8</v>
      </c>
      <c r="FN657" s="27" t="s">
        <v>7</v>
      </c>
      <c r="FO657" s="27" t="s">
        <v>8</v>
      </c>
      <c r="GN657" s="27" t="s">
        <v>7</v>
      </c>
      <c r="GO657" s="27" t="s">
        <v>8</v>
      </c>
      <c r="GP657" s="27" t="s">
        <v>7</v>
      </c>
      <c r="GQ657" s="27" t="s">
        <v>8</v>
      </c>
      <c r="HP657" s="27" t="s">
        <v>7</v>
      </c>
      <c r="HQ657" s="27" t="s">
        <v>8</v>
      </c>
      <c r="HZ657" s="27" t="s">
        <v>7</v>
      </c>
      <c r="IA657" s="27" t="s">
        <v>8</v>
      </c>
      <c r="IB657" s="27" t="s">
        <v>7</v>
      </c>
      <c r="IC657" s="27" t="s">
        <v>8</v>
      </c>
      <c r="IH657" s="27" t="s">
        <v>7</v>
      </c>
      <c r="II657" s="27" t="s">
        <v>8</v>
      </c>
      <c r="IJ657" s="27" t="s">
        <v>7</v>
      </c>
    </row>
    <row r="658" spans="1:246" x14ac:dyDescent="0.25">
      <c r="A658" s="7">
        <v>0.24512511188411276</v>
      </c>
      <c r="B658"/>
      <c r="C658"/>
      <c r="D658"/>
      <c r="E658"/>
      <c r="P658" s="27" t="s">
        <v>7</v>
      </c>
      <c r="AK658" s="27" t="s">
        <v>8</v>
      </c>
      <c r="AN658" s="27" t="s">
        <v>7</v>
      </c>
      <c r="AQ658" s="27" t="s">
        <v>8</v>
      </c>
      <c r="AR658" s="27" t="s">
        <v>7</v>
      </c>
      <c r="AS658" s="27" t="s">
        <v>8</v>
      </c>
      <c r="AT658" s="27" t="s">
        <v>7</v>
      </c>
      <c r="AU658" s="27" t="s">
        <v>8</v>
      </c>
      <c r="AV658" s="27" t="s">
        <v>7</v>
      </c>
      <c r="AW658" s="27" t="s">
        <v>8</v>
      </c>
      <c r="AX658" s="27" t="s">
        <v>7</v>
      </c>
      <c r="AY658" s="27" t="s">
        <v>8</v>
      </c>
      <c r="AZ658" s="27" t="s">
        <v>7</v>
      </c>
      <c r="BI658" s="27" t="s">
        <v>8</v>
      </c>
      <c r="BK658" s="27" t="s">
        <v>8</v>
      </c>
      <c r="BL658" s="27" t="s">
        <v>7</v>
      </c>
      <c r="BM658" s="27" t="s">
        <v>8</v>
      </c>
      <c r="BN658" s="27" t="s">
        <v>7</v>
      </c>
      <c r="BP658" s="27" t="s">
        <v>7</v>
      </c>
      <c r="BQ658" s="27" t="s">
        <v>8</v>
      </c>
      <c r="ED658" s="27" t="s">
        <v>7</v>
      </c>
      <c r="EE658" s="27" t="s">
        <v>8</v>
      </c>
      <c r="EN658" s="27" t="s">
        <v>7</v>
      </c>
      <c r="ER658" s="27" t="s">
        <v>7</v>
      </c>
      <c r="FM658" s="27" t="s">
        <v>8</v>
      </c>
      <c r="FN658" s="27" t="s">
        <v>7</v>
      </c>
      <c r="FO658" s="27" t="s">
        <v>8</v>
      </c>
      <c r="GN658" s="27" t="s">
        <v>7</v>
      </c>
      <c r="GO658" s="27" t="s">
        <v>8</v>
      </c>
      <c r="GP658" s="27" t="s">
        <v>7</v>
      </c>
      <c r="GQ658" s="27" t="s">
        <v>8</v>
      </c>
      <c r="HP658" s="27" t="s">
        <v>7</v>
      </c>
      <c r="HZ658" s="27" t="s">
        <v>7</v>
      </c>
      <c r="IA658" s="27" t="s">
        <v>8</v>
      </c>
      <c r="IB658" s="27" t="s">
        <v>7</v>
      </c>
      <c r="IC658" s="27" t="s">
        <v>8</v>
      </c>
      <c r="IH658" s="27" t="s">
        <v>7</v>
      </c>
      <c r="IJ658" s="27" t="s">
        <v>7</v>
      </c>
    </row>
    <row r="659" spans="1:246" x14ac:dyDescent="0.25">
      <c r="A659" s="7">
        <v>0.24031873714128701</v>
      </c>
      <c r="B659"/>
      <c r="C659"/>
      <c r="D659"/>
      <c r="E659"/>
      <c r="P659" s="27" t="s">
        <v>7</v>
      </c>
      <c r="AK659" s="27" t="s">
        <v>8</v>
      </c>
      <c r="AN659" s="27" t="s">
        <v>7</v>
      </c>
      <c r="AQ659" s="27" t="s">
        <v>8</v>
      </c>
      <c r="AR659" s="27" t="s">
        <v>7</v>
      </c>
      <c r="AS659" s="27" t="s">
        <v>8</v>
      </c>
      <c r="AT659" s="27" t="s">
        <v>7</v>
      </c>
      <c r="AV659" s="27" t="s">
        <v>7</v>
      </c>
      <c r="AW659" s="27" t="s">
        <v>8</v>
      </c>
      <c r="AX659" s="27" t="s">
        <v>7</v>
      </c>
      <c r="AY659" s="27" t="s">
        <v>8</v>
      </c>
      <c r="AZ659" s="27" t="s">
        <v>7</v>
      </c>
      <c r="BI659" s="27" t="s">
        <v>8</v>
      </c>
      <c r="BJ659" s="27" t="s">
        <v>7</v>
      </c>
      <c r="BK659" s="27" t="s">
        <v>8</v>
      </c>
      <c r="BL659" s="27" t="s">
        <v>7</v>
      </c>
      <c r="BM659" s="27" t="s">
        <v>8</v>
      </c>
      <c r="BP659" s="27" t="s">
        <v>7</v>
      </c>
      <c r="BQ659" s="27" t="s">
        <v>8</v>
      </c>
      <c r="ED659" s="27" t="s">
        <v>7</v>
      </c>
      <c r="EE659" s="27" t="s">
        <v>8</v>
      </c>
      <c r="ER659" s="27" t="s">
        <v>7</v>
      </c>
      <c r="EY659" s="27" t="s">
        <v>8</v>
      </c>
      <c r="FM659" s="27" t="s">
        <v>8</v>
      </c>
      <c r="FN659" s="27" t="s">
        <v>7</v>
      </c>
      <c r="FO659" s="27" t="s">
        <v>8</v>
      </c>
      <c r="GN659" s="27" t="s">
        <v>7</v>
      </c>
      <c r="GO659" s="27" t="s">
        <v>8</v>
      </c>
      <c r="GP659" s="27" t="s">
        <v>7</v>
      </c>
      <c r="GQ659" s="27" t="s">
        <v>8</v>
      </c>
      <c r="HZ659" s="27" t="s">
        <v>7</v>
      </c>
      <c r="IA659" s="27" t="s">
        <v>8</v>
      </c>
      <c r="IB659" s="27" t="s">
        <v>7</v>
      </c>
      <c r="IC659" s="27" t="s">
        <v>8</v>
      </c>
      <c r="IJ659" s="27" t="s">
        <v>7</v>
      </c>
      <c r="IK659" s="27" t="s">
        <v>8</v>
      </c>
    </row>
    <row r="660" spans="1:246" x14ac:dyDescent="0.25">
      <c r="A660" s="7">
        <v>0.23560660504047748</v>
      </c>
      <c r="B660"/>
      <c r="C660"/>
      <c r="D660"/>
      <c r="E660"/>
      <c r="P660" s="27" t="s">
        <v>7</v>
      </c>
      <c r="Q660" s="27" t="s">
        <v>8</v>
      </c>
      <c r="AK660" s="27" t="s">
        <v>8</v>
      </c>
      <c r="AN660" s="27" t="s">
        <v>7</v>
      </c>
      <c r="AO660" s="27" t="s">
        <v>8</v>
      </c>
      <c r="AQ660" s="27" t="s">
        <v>8</v>
      </c>
      <c r="AR660" s="27" t="s">
        <v>7</v>
      </c>
      <c r="AS660" s="27" t="s">
        <v>8</v>
      </c>
      <c r="AV660" s="27" t="s">
        <v>7</v>
      </c>
      <c r="AW660" s="27" t="s">
        <v>8</v>
      </c>
      <c r="AX660" s="27" t="s">
        <v>7</v>
      </c>
      <c r="AY660" s="27" t="s">
        <v>8</v>
      </c>
      <c r="AZ660" s="27" t="s">
        <v>7</v>
      </c>
      <c r="BI660" s="27" t="s">
        <v>8</v>
      </c>
      <c r="BJ660" s="27" t="s">
        <v>7</v>
      </c>
      <c r="BK660" s="27" t="s">
        <v>8</v>
      </c>
      <c r="BL660" s="27" t="s">
        <v>7</v>
      </c>
      <c r="BM660" s="27" t="s">
        <v>8</v>
      </c>
      <c r="BP660" s="27" t="s">
        <v>7</v>
      </c>
      <c r="BQ660" s="27" t="s">
        <v>8</v>
      </c>
      <c r="ED660" s="27" t="s">
        <v>7</v>
      </c>
      <c r="EE660" s="27" t="s">
        <v>8</v>
      </c>
      <c r="ER660" s="27" t="s">
        <v>7</v>
      </c>
      <c r="EY660" s="27" t="s">
        <v>8</v>
      </c>
      <c r="EZ660" s="27" t="s">
        <v>7</v>
      </c>
      <c r="FM660" s="27" t="s">
        <v>8</v>
      </c>
      <c r="FN660" s="27" t="s">
        <v>7</v>
      </c>
      <c r="FO660" s="27" t="s">
        <v>8</v>
      </c>
      <c r="GN660" s="27" t="s">
        <v>7</v>
      </c>
      <c r="GO660" s="27" t="s">
        <v>8</v>
      </c>
      <c r="GP660" s="27" t="s">
        <v>7</v>
      </c>
      <c r="HZ660" s="27" t="s">
        <v>7</v>
      </c>
      <c r="IB660" s="27" t="s">
        <v>7</v>
      </c>
      <c r="IC660" s="27" t="s">
        <v>8</v>
      </c>
      <c r="IJ660" s="27" t="s">
        <v>7</v>
      </c>
      <c r="IK660" s="27" t="s">
        <v>8</v>
      </c>
      <c r="IL660" s="27" t="s">
        <v>7</v>
      </c>
    </row>
    <row r="661" spans="1:246" x14ac:dyDescent="0.25">
      <c r="A661" s="7">
        <v>0.23098686768674265</v>
      </c>
      <c r="B661"/>
      <c r="C661"/>
      <c r="D661"/>
      <c r="E661"/>
      <c r="P661" s="27" t="s">
        <v>7</v>
      </c>
      <c r="Q661" s="27" t="s">
        <v>8</v>
      </c>
      <c r="R661" s="27" t="s">
        <v>7</v>
      </c>
      <c r="AK661" s="27" t="s">
        <v>8</v>
      </c>
      <c r="AN661" s="27" t="s">
        <v>7</v>
      </c>
      <c r="AO661" s="27" t="s">
        <v>8</v>
      </c>
      <c r="AP661" s="27" t="s">
        <v>7</v>
      </c>
      <c r="AQ661" s="27" t="s">
        <v>8</v>
      </c>
      <c r="AR661" s="27" t="s">
        <v>7</v>
      </c>
      <c r="AS661" s="27" t="s">
        <v>8</v>
      </c>
      <c r="AV661" s="27" t="s">
        <v>7</v>
      </c>
      <c r="AW661" s="27" t="s">
        <v>8</v>
      </c>
      <c r="AX661" s="27" t="s">
        <v>7</v>
      </c>
      <c r="AY661" s="27" t="s">
        <v>8</v>
      </c>
      <c r="AZ661" s="27" t="s">
        <v>7</v>
      </c>
      <c r="BI661" s="27" t="s">
        <v>8</v>
      </c>
      <c r="BJ661" s="27" t="s">
        <v>7</v>
      </c>
      <c r="BK661" s="27" t="s">
        <v>8</v>
      </c>
      <c r="BL661" s="27" t="s">
        <v>7</v>
      </c>
      <c r="BM661" s="27" t="s">
        <v>8</v>
      </c>
      <c r="BP661" s="27" t="s">
        <v>7</v>
      </c>
      <c r="ED661" s="27" t="s">
        <v>7</v>
      </c>
      <c r="EE661" s="27" t="s">
        <v>8</v>
      </c>
      <c r="ER661" s="27" t="s">
        <v>7</v>
      </c>
      <c r="EY661" s="27" t="s">
        <v>8</v>
      </c>
      <c r="EZ661" s="27" t="s">
        <v>7</v>
      </c>
      <c r="FM661" s="27" t="s">
        <v>8</v>
      </c>
      <c r="FN661" s="27" t="s">
        <v>7</v>
      </c>
      <c r="GN661" s="27" t="s">
        <v>7</v>
      </c>
      <c r="GO661" s="27" t="s">
        <v>8</v>
      </c>
      <c r="IB661" s="27" t="s">
        <v>7</v>
      </c>
      <c r="IC661" s="27" t="s">
        <v>8</v>
      </c>
      <c r="IJ661" s="27" t="s">
        <v>7</v>
      </c>
      <c r="IK661" s="27" t="s">
        <v>8</v>
      </c>
      <c r="IL661" s="27" t="s">
        <v>7</v>
      </c>
    </row>
    <row r="662" spans="1:246" x14ac:dyDescent="0.25">
      <c r="A662" s="7">
        <v>0.22645771341837515</v>
      </c>
      <c r="B662"/>
      <c r="C662"/>
      <c r="D662"/>
      <c r="E662"/>
      <c r="P662" s="27" t="s">
        <v>7</v>
      </c>
      <c r="Q662" s="27" t="s">
        <v>8</v>
      </c>
      <c r="R662" s="27" t="s">
        <v>7</v>
      </c>
      <c r="AK662" s="27" t="s">
        <v>8</v>
      </c>
      <c r="AN662" s="27" t="s">
        <v>7</v>
      </c>
      <c r="AO662" s="27" t="s">
        <v>8</v>
      </c>
      <c r="AP662" s="27" t="s">
        <v>7</v>
      </c>
      <c r="AQ662" s="27" t="s">
        <v>8</v>
      </c>
      <c r="AR662" s="27" t="s">
        <v>7</v>
      </c>
      <c r="AV662" s="27" t="s">
        <v>7</v>
      </c>
      <c r="AW662" s="27" t="s">
        <v>8</v>
      </c>
      <c r="AX662" s="27" t="s">
        <v>7</v>
      </c>
      <c r="AY662" s="27" t="s">
        <v>8</v>
      </c>
      <c r="AZ662" s="27" t="s">
        <v>7</v>
      </c>
      <c r="BA662" s="27" t="s">
        <v>8</v>
      </c>
      <c r="BI662" s="27" t="s">
        <v>8</v>
      </c>
      <c r="BJ662" s="27" t="s">
        <v>7</v>
      </c>
      <c r="BK662" s="27" t="s">
        <v>8</v>
      </c>
      <c r="BL662" s="27" t="s">
        <v>7</v>
      </c>
      <c r="BM662" s="27" t="s">
        <v>8</v>
      </c>
      <c r="ED662" s="27" t="s">
        <v>7</v>
      </c>
      <c r="EE662" s="27" t="s">
        <v>8</v>
      </c>
      <c r="ER662" s="27" t="s">
        <v>7</v>
      </c>
      <c r="EU662" s="27" t="s">
        <v>8</v>
      </c>
      <c r="EY662" s="27" t="s">
        <v>8</v>
      </c>
      <c r="EZ662" s="27" t="s">
        <v>7</v>
      </c>
      <c r="FK662" s="27" t="s">
        <v>8</v>
      </c>
      <c r="FM662" s="27" t="s">
        <v>8</v>
      </c>
      <c r="GN662" s="27" t="s">
        <v>7</v>
      </c>
      <c r="IB662" s="27" t="s">
        <v>7</v>
      </c>
      <c r="IJ662" s="27" t="s">
        <v>7</v>
      </c>
      <c r="IL662" s="27" t="s">
        <v>7</v>
      </c>
    </row>
    <row r="663" spans="1:246" x14ac:dyDescent="0.25">
      <c r="A663" s="7">
        <v>0.22201736609644623</v>
      </c>
      <c r="B663"/>
      <c r="C663"/>
      <c r="D663"/>
      <c r="E663"/>
      <c r="P663" s="27" t="s">
        <v>7</v>
      </c>
      <c r="Q663" s="27" t="s">
        <v>8</v>
      </c>
      <c r="R663" s="27" t="s">
        <v>7</v>
      </c>
      <c r="AK663" s="27" t="s">
        <v>8</v>
      </c>
      <c r="AN663" s="27" t="s">
        <v>7</v>
      </c>
      <c r="AO663" s="27" t="s">
        <v>8</v>
      </c>
      <c r="AP663" s="27" t="s">
        <v>7</v>
      </c>
      <c r="AQ663" s="27" t="s">
        <v>8</v>
      </c>
      <c r="AV663" s="27" t="s">
        <v>7</v>
      </c>
      <c r="AW663" s="27" t="s">
        <v>8</v>
      </c>
      <c r="AX663" s="27" t="s">
        <v>7</v>
      </c>
      <c r="AY663" s="27" t="s">
        <v>8</v>
      </c>
      <c r="AZ663" s="27" t="s">
        <v>7</v>
      </c>
      <c r="BA663" s="27" t="s">
        <v>8</v>
      </c>
      <c r="BB663" s="27" t="s">
        <v>7</v>
      </c>
      <c r="BI663" s="27" t="s">
        <v>8</v>
      </c>
      <c r="BJ663" s="27" t="s">
        <v>7</v>
      </c>
      <c r="BK663" s="27" t="s">
        <v>8</v>
      </c>
      <c r="BL663" s="27" t="s">
        <v>7</v>
      </c>
      <c r="BM663" s="27" t="s">
        <v>8</v>
      </c>
      <c r="ED663" s="27" t="s">
        <v>7</v>
      </c>
      <c r="EE663" s="27" t="s">
        <v>8</v>
      </c>
      <c r="ER663" s="27" t="s">
        <v>7</v>
      </c>
      <c r="EU663" s="27" t="s">
        <v>8</v>
      </c>
      <c r="EV663" s="27" t="s">
        <v>7</v>
      </c>
      <c r="EW663" s="27" t="s">
        <v>8</v>
      </c>
      <c r="EY663" s="27" t="s">
        <v>8</v>
      </c>
      <c r="EZ663" s="27" t="s">
        <v>7</v>
      </c>
      <c r="FI663" s="27" t="s">
        <v>8</v>
      </c>
      <c r="FK663" s="27" t="s">
        <v>8</v>
      </c>
      <c r="FL663" s="27" t="s">
        <v>7</v>
      </c>
      <c r="FM663" s="27" t="s">
        <v>8</v>
      </c>
      <c r="IL663" s="27" t="s">
        <v>7</v>
      </c>
    </row>
    <row r="664" spans="1:246" x14ac:dyDescent="0.25">
      <c r="A664" s="7">
        <v>0.21766408440828061</v>
      </c>
      <c r="B664"/>
      <c r="C664"/>
      <c r="D664"/>
      <c r="E664"/>
      <c r="P664" s="27" t="s">
        <v>7</v>
      </c>
      <c r="Q664" s="27" t="s">
        <v>8</v>
      </c>
      <c r="R664" s="27" t="s">
        <v>7</v>
      </c>
      <c r="AK664" s="27" t="s">
        <v>8</v>
      </c>
      <c r="AN664" s="27" t="s">
        <v>7</v>
      </c>
      <c r="AO664" s="27" t="s">
        <v>8</v>
      </c>
      <c r="AP664" s="27" t="s">
        <v>7</v>
      </c>
      <c r="AQ664" s="27" t="s">
        <v>8</v>
      </c>
      <c r="AV664" s="27" t="s">
        <v>7</v>
      </c>
      <c r="AW664" s="27" t="s">
        <v>8</v>
      </c>
      <c r="AX664" s="27" t="s">
        <v>7</v>
      </c>
      <c r="AZ664" s="27" t="s">
        <v>7</v>
      </c>
      <c r="BA664" s="27" t="s">
        <v>8</v>
      </c>
      <c r="BB664" s="27" t="s">
        <v>7</v>
      </c>
      <c r="BI664" s="27" t="s">
        <v>8</v>
      </c>
      <c r="BJ664" s="27" t="s">
        <v>7</v>
      </c>
      <c r="BK664" s="27" t="s">
        <v>8</v>
      </c>
      <c r="BL664" s="27" t="s">
        <v>7</v>
      </c>
      <c r="BM664" s="27" t="s">
        <v>8</v>
      </c>
      <c r="ED664" s="27" t="s">
        <v>7</v>
      </c>
      <c r="EE664" s="27" t="s">
        <v>8</v>
      </c>
      <c r="ER664" s="27" t="s">
        <v>7</v>
      </c>
      <c r="EU664" s="27" t="s">
        <v>8</v>
      </c>
      <c r="EV664" s="27" t="s">
        <v>7</v>
      </c>
      <c r="EW664" s="27" t="s">
        <v>8</v>
      </c>
      <c r="EX664" s="27" t="s">
        <v>7</v>
      </c>
      <c r="EY664" s="27" t="s">
        <v>8</v>
      </c>
      <c r="EZ664" s="27" t="s">
        <v>7</v>
      </c>
      <c r="FA664" s="27" t="s">
        <v>8</v>
      </c>
      <c r="FI664" s="27" t="s">
        <v>8</v>
      </c>
      <c r="FJ664" s="27" t="s">
        <v>7</v>
      </c>
      <c r="FK664" s="27" t="s">
        <v>8</v>
      </c>
      <c r="FL664" s="27" t="s">
        <v>7</v>
      </c>
      <c r="FM664" s="27" t="s">
        <v>8</v>
      </c>
      <c r="IL664" s="27" t="s">
        <v>7</v>
      </c>
    </row>
    <row r="665" spans="1:246" x14ac:dyDescent="0.25">
      <c r="A665" s="7">
        <v>0.21339616118458882</v>
      </c>
      <c r="B665"/>
      <c r="C665"/>
      <c r="D665"/>
      <c r="E665"/>
      <c r="P665" s="27" t="s">
        <v>7</v>
      </c>
      <c r="Q665" s="27" t="s">
        <v>8</v>
      </c>
      <c r="R665" s="27" t="s">
        <v>7</v>
      </c>
      <c r="AK665" s="27" t="s">
        <v>8</v>
      </c>
      <c r="AN665" s="27" t="s">
        <v>7</v>
      </c>
      <c r="AO665" s="27" t="s">
        <v>8</v>
      </c>
      <c r="AP665" s="27" t="s">
        <v>7</v>
      </c>
      <c r="AQ665" s="27" t="s">
        <v>8</v>
      </c>
      <c r="AV665" s="27" t="s">
        <v>7</v>
      </c>
      <c r="AW665" s="27" t="s">
        <v>8</v>
      </c>
      <c r="AZ665" s="27" t="s">
        <v>7</v>
      </c>
      <c r="BA665" s="27" t="s">
        <v>8</v>
      </c>
      <c r="BB665" s="27" t="s">
        <v>7</v>
      </c>
      <c r="BI665" s="27" t="s">
        <v>8</v>
      </c>
      <c r="BJ665" s="27" t="s">
        <v>7</v>
      </c>
      <c r="BK665" s="27" t="s">
        <v>8</v>
      </c>
      <c r="BL665" s="27" t="s">
        <v>7</v>
      </c>
      <c r="BM665" s="27" t="s">
        <v>8</v>
      </c>
      <c r="ED665" s="27" t="s">
        <v>7</v>
      </c>
      <c r="EE665" s="27" t="s">
        <v>8</v>
      </c>
      <c r="ER665" s="27" t="s">
        <v>7</v>
      </c>
      <c r="EU665" s="27" t="s">
        <v>8</v>
      </c>
      <c r="EV665" s="27" t="s">
        <v>7</v>
      </c>
      <c r="EW665" s="27" t="s">
        <v>8</v>
      </c>
      <c r="EX665" s="27" t="s">
        <v>7</v>
      </c>
      <c r="EY665" s="27" t="s">
        <v>8</v>
      </c>
      <c r="EZ665" s="27" t="s">
        <v>7</v>
      </c>
      <c r="FA665" s="27" t="s">
        <v>8</v>
      </c>
      <c r="FB665" s="27" t="s">
        <v>7</v>
      </c>
      <c r="FI665" s="27" t="s">
        <v>8</v>
      </c>
      <c r="FJ665" s="27" t="s">
        <v>7</v>
      </c>
      <c r="FK665" s="27" t="s">
        <v>8</v>
      </c>
      <c r="FL665" s="27" t="s">
        <v>7</v>
      </c>
      <c r="FM665" s="27" t="s">
        <v>8</v>
      </c>
      <c r="IL665" s="27" t="s">
        <v>7</v>
      </c>
    </row>
    <row r="666" spans="1:246" x14ac:dyDescent="0.25">
      <c r="A666" s="7">
        <v>0.20921192272998904</v>
      </c>
      <c r="B666"/>
      <c r="C666"/>
      <c r="D666"/>
      <c r="E666"/>
      <c r="P666" s="27" t="s">
        <v>7</v>
      </c>
      <c r="Q666" s="27" t="s">
        <v>8</v>
      </c>
      <c r="R666" s="27" t="s">
        <v>7</v>
      </c>
      <c r="AK666" s="27" t="s">
        <v>8</v>
      </c>
      <c r="AN666" s="27" t="s">
        <v>7</v>
      </c>
      <c r="AO666" s="27" t="s">
        <v>8</v>
      </c>
      <c r="AP666" s="27" t="s">
        <v>7</v>
      </c>
      <c r="AQ666" s="27" t="s">
        <v>8</v>
      </c>
      <c r="AV666" s="27" t="s">
        <v>7</v>
      </c>
      <c r="AW666" s="27" t="s">
        <v>8</v>
      </c>
      <c r="AZ666" s="27" t="s">
        <v>7</v>
      </c>
      <c r="BA666" s="27" t="s">
        <v>8</v>
      </c>
      <c r="BB666" s="27" t="s">
        <v>7</v>
      </c>
      <c r="BI666" s="27" t="s">
        <v>8</v>
      </c>
      <c r="BJ666" s="27" t="s">
        <v>7</v>
      </c>
      <c r="BK666" s="27" t="s">
        <v>8</v>
      </c>
      <c r="BL666" s="27" t="s">
        <v>7</v>
      </c>
      <c r="BM666" s="27" t="s">
        <v>8</v>
      </c>
      <c r="ED666" s="27" t="s">
        <v>7</v>
      </c>
      <c r="EE666" s="27" t="s">
        <v>8</v>
      </c>
      <c r="ER666" s="27" t="s">
        <v>7</v>
      </c>
      <c r="EU666" s="27" t="s">
        <v>8</v>
      </c>
      <c r="EV666" s="27" t="s">
        <v>7</v>
      </c>
      <c r="EW666" s="27" t="s">
        <v>8</v>
      </c>
      <c r="EX666" s="27" t="s">
        <v>7</v>
      </c>
      <c r="EY666" s="27" t="s">
        <v>8</v>
      </c>
      <c r="EZ666" s="27" t="s">
        <v>7</v>
      </c>
      <c r="FA666" s="27" t="s">
        <v>8</v>
      </c>
      <c r="FB666" s="27" t="s">
        <v>7</v>
      </c>
      <c r="FC666" s="27" t="s">
        <v>8</v>
      </c>
      <c r="FI666" s="27" t="s">
        <v>8</v>
      </c>
      <c r="FJ666" s="27" t="s">
        <v>7</v>
      </c>
      <c r="FK666" s="27" t="s">
        <v>8</v>
      </c>
      <c r="FL666" s="27" t="s">
        <v>7</v>
      </c>
      <c r="FM666" s="27" t="s">
        <v>8</v>
      </c>
      <c r="IL666" s="27" t="s">
        <v>7</v>
      </c>
    </row>
    <row r="667" spans="1:246" x14ac:dyDescent="0.25">
      <c r="A667" s="7">
        <v>0.20510972816665593</v>
      </c>
      <c r="B667"/>
      <c r="C667"/>
      <c r="D667"/>
      <c r="E667"/>
      <c r="P667" s="27" t="s">
        <v>7</v>
      </c>
      <c r="Q667" s="27" t="s">
        <v>8</v>
      </c>
      <c r="R667" s="27" t="s">
        <v>7</v>
      </c>
      <c r="AK667" s="27" t="s">
        <v>8</v>
      </c>
      <c r="AN667" s="27" t="s">
        <v>7</v>
      </c>
      <c r="AO667" s="27" t="s">
        <v>8</v>
      </c>
      <c r="AP667" s="27" t="s">
        <v>7</v>
      </c>
      <c r="AV667" s="27" t="s">
        <v>7</v>
      </c>
      <c r="AW667" s="27" t="s">
        <v>8</v>
      </c>
      <c r="AZ667" s="27" t="s">
        <v>7</v>
      </c>
      <c r="BA667" s="27" t="s">
        <v>8</v>
      </c>
      <c r="BB667" s="27" t="s">
        <v>7</v>
      </c>
      <c r="BI667" s="27" t="s">
        <v>8</v>
      </c>
      <c r="BJ667" s="27" t="s">
        <v>7</v>
      </c>
      <c r="BK667" s="27" t="s">
        <v>8</v>
      </c>
      <c r="BL667" s="27" t="s">
        <v>7</v>
      </c>
      <c r="BM667" s="27" t="s">
        <v>8</v>
      </c>
      <c r="ED667" s="27" t="s">
        <v>7</v>
      </c>
      <c r="EE667" s="27" t="s">
        <v>8</v>
      </c>
      <c r="ER667" s="27" t="s">
        <v>7</v>
      </c>
      <c r="ES667" s="27" t="s">
        <v>8</v>
      </c>
      <c r="EU667" s="27" t="s">
        <v>8</v>
      </c>
      <c r="EV667" s="27" t="s">
        <v>7</v>
      </c>
      <c r="EW667" s="27" t="s">
        <v>8</v>
      </c>
      <c r="EX667" s="27" t="s">
        <v>7</v>
      </c>
      <c r="EY667" s="27" t="s">
        <v>8</v>
      </c>
      <c r="EZ667" s="27" t="s">
        <v>7</v>
      </c>
      <c r="FA667" s="27" t="s">
        <v>8</v>
      </c>
      <c r="FB667" s="27" t="s">
        <v>7</v>
      </c>
      <c r="FC667" s="27" t="s">
        <v>8</v>
      </c>
      <c r="FD667" s="27" t="s">
        <v>7</v>
      </c>
      <c r="FI667" s="27" t="s">
        <v>8</v>
      </c>
      <c r="FJ667" s="27" t="s">
        <v>7</v>
      </c>
      <c r="FK667" s="27" t="s">
        <v>8</v>
      </c>
      <c r="FL667" s="27" t="s">
        <v>7</v>
      </c>
      <c r="FM667" s="27" t="s">
        <v>8</v>
      </c>
    </row>
    <row r="668" spans="1:246" x14ac:dyDescent="0.25">
      <c r="A668" s="7">
        <v>0.20108796879083912</v>
      </c>
      <c r="B668"/>
      <c r="C668"/>
      <c r="D668"/>
      <c r="E668"/>
      <c r="P668" s="27" t="s">
        <v>7</v>
      </c>
      <c r="Q668" s="27" t="s">
        <v>8</v>
      </c>
      <c r="R668" s="27" t="s">
        <v>7</v>
      </c>
      <c r="AK668" s="27" t="s">
        <v>8</v>
      </c>
      <c r="AN668" s="27" t="s">
        <v>7</v>
      </c>
      <c r="AO668" s="27" t="s">
        <v>8</v>
      </c>
      <c r="AV668" s="27" t="s">
        <v>7</v>
      </c>
      <c r="AW668" s="27" t="s">
        <v>8</v>
      </c>
      <c r="AZ668" s="27" t="s">
        <v>7</v>
      </c>
      <c r="BA668" s="27" t="s">
        <v>8</v>
      </c>
      <c r="BB668" s="27" t="s">
        <v>7</v>
      </c>
      <c r="BI668" s="27" t="s">
        <v>8</v>
      </c>
      <c r="BJ668" s="27" t="s">
        <v>7</v>
      </c>
      <c r="BK668" s="27" t="s">
        <v>8</v>
      </c>
      <c r="BL668" s="27" t="s">
        <v>7</v>
      </c>
      <c r="BM668" s="27" t="s">
        <v>8</v>
      </c>
      <c r="ED668" s="27" t="s">
        <v>7</v>
      </c>
      <c r="EE668" s="27" t="s">
        <v>8</v>
      </c>
      <c r="ER668" s="27" t="s">
        <v>7</v>
      </c>
      <c r="ES668" s="27" t="s">
        <v>8</v>
      </c>
      <c r="ET668" s="27" t="s">
        <v>7</v>
      </c>
      <c r="EU668" s="27" t="s">
        <v>8</v>
      </c>
      <c r="EV668" s="27" t="s">
        <v>7</v>
      </c>
      <c r="EW668" s="27" t="s">
        <v>8</v>
      </c>
      <c r="EX668" s="27" t="s">
        <v>7</v>
      </c>
      <c r="EY668" s="27" t="s">
        <v>8</v>
      </c>
      <c r="EZ668" s="27" t="s">
        <v>7</v>
      </c>
      <c r="FA668" s="27" t="s">
        <v>8</v>
      </c>
      <c r="FB668" s="27" t="s">
        <v>7</v>
      </c>
      <c r="FC668" s="27" t="s">
        <v>8</v>
      </c>
      <c r="FD668" s="27" t="s">
        <v>7</v>
      </c>
      <c r="FI668" s="27" t="s">
        <v>8</v>
      </c>
      <c r="FJ668" s="27" t="s">
        <v>7</v>
      </c>
      <c r="FK668" s="27" t="s">
        <v>8</v>
      </c>
      <c r="FL668" s="27" t="s">
        <v>7</v>
      </c>
      <c r="FM668" s="27" t="s">
        <v>8</v>
      </c>
    </row>
    <row r="669" spans="1:246" x14ac:dyDescent="0.25">
      <c r="A669" s="7">
        <v>0.19714506744199917</v>
      </c>
      <c r="B669"/>
      <c r="C669"/>
      <c r="D669"/>
      <c r="E669"/>
      <c r="P669" s="27" t="s">
        <v>7</v>
      </c>
      <c r="Q669" s="27" t="s">
        <v>8</v>
      </c>
      <c r="R669" s="27" t="s">
        <v>7</v>
      </c>
      <c r="AK669" s="27" t="s">
        <v>8</v>
      </c>
      <c r="AN669" s="27" t="s">
        <v>7</v>
      </c>
      <c r="AO669" s="27" t="s">
        <v>8</v>
      </c>
      <c r="AV669" s="27" t="s">
        <v>7</v>
      </c>
      <c r="AW669" s="27" t="s">
        <v>8</v>
      </c>
      <c r="AZ669" s="27" t="s">
        <v>7</v>
      </c>
      <c r="BB669" s="27" t="s">
        <v>7</v>
      </c>
      <c r="BI669" s="27" t="s">
        <v>8</v>
      </c>
      <c r="BJ669" s="27" t="s">
        <v>7</v>
      </c>
      <c r="BK669" s="27" t="s">
        <v>8</v>
      </c>
      <c r="BL669" s="27" t="s">
        <v>7</v>
      </c>
      <c r="BM669" s="27" t="s">
        <v>8</v>
      </c>
      <c r="ED669" s="27" t="s">
        <v>7</v>
      </c>
      <c r="EE669" s="27" t="s">
        <v>8</v>
      </c>
      <c r="ER669" s="27" t="s">
        <v>7</v>
      </c>
      <c r="ES669" s="27" t="s">
        <v>8</v>
      </c>
      <c r="ET669" s="27" t="s">
        <v>7</v>
      </c>
      <c r="EU669" s="27" t="s">
        <v>8</v>
      </c>
      <c r="EV669" s="27" t="s">
        <v>7</v>
      </c>
      <c r="EW669" s="27" t="s">
        <v>8</v>
      </c>
      <c r="EX669" s="27" t="s">
        <v>7</v>
      </c>
      <c r="EZ669" s="27" t="s">
        <v>7</v>
      </c>
      <c r="FA669" s="27" t="s">
        <v>8</v>
      </c>
      <c r="FB669" s="27" t="s">
        <v>7</v>
      </c>
      <c r="FC669" s="27" t="s">
        <v>8</v>
      </c>
      <c r="FD669" s="27" t="s">
        <v>7</v>
      </c>
      <c r="FI669" s="27" t="s">
        <v>8</v>
      </c>
      <c r="FJ669" s="27" t="s">
        <v>7</v>
      </c>
      <c r="FK669" s="27" t="s">
        <v>8</v>
      </c>
      <c r="FL669" s="27" t="s">
        <v>7</v>
      </c>
      <c r="FM669" s="27" t="s">
        <v>8</v>
      </c>
    </row>
    <row r="670" spans="1:246" x14ac:dyDescent="0.25">
      <c r="A670" s="7">
        <v>0.19327947788431293</v>
      </c>
      <c r="B670"/>
      <c r="C670"/>
      <c r="D670"/>
      <c r="E670"/>
      <c r="P670" s="27" t="s">
        <v>7</v>
      </c>
      <c r="Q670" s="27" t="s">
        <v>8</v>
      </c>
      <c r="R670" s="27" t="s">
        <v>7</v>
      </c>
      <c r="AK670" s="27" t="s">
        <v>8</v>
      </c>
      <c r="AN670" s="27" t="s">
        <v>7</v>
      </c>
      <c r="AO670" s="27" t="s">
        <v>8</v>
      </c>
      <c r="AV670" s="27" t="s">
        <v>7</v>
      </c>
      <c r="AW670" s="27" t="s">
        <v>8</v>
      </c>
      <c r="BB670" s="27" t="s">
        <v>7</v>
      </c>
      <c r="BI670" s="27" t="s">
        <v>8</v>
      </c>
      <c r="BJ670" s="27" t="s">
        <v>7</v>
      </c>
      <c r="BL670" s="27" t="s">
        <v>7</v>
      </c>
      <c r="BM670" s="27" t="s">
        <v>8</v>
      </c>
      <c r="ED670" s="27" t="s">
        <v>7</v>
      </c>
      <c r="EE670" s="27" t="s">
        <v>8</v>
      </c>
      <c r="ER670" s="27" t="s">
        <v>7</v>
      </c>
      <c r="ES670" s="27" t="s">
        <v>8</v>
      </c>
      <c r="ET670" s="27" t="s">
        <v>7</v>
      </c>
      <c r="EU670" s="27" t="s">
        <v>8</v>
      </c>
      <c r="EV670" s="27" t="s">
        <v>7</v>
      </c>
      <c r="EW670" s="27" t="s">
        <v>8</v>
      </c>
      <c r="EZ670" s="27" t="s">
        <v>7</v>
      </c>
      <c r="FA670" s="27" t="s">
        <v>8</v>
      </c>
      <c r="FB670" s="27" t="s">
        <v>7</v>
      </c>
      <c r="FC670" s="27" t="s">
        <v>8</v>
      </c>
      <c r="FD670" s="27" t="s">
        <v>7</v>
      </c>
      <c r="FI670" s="27" t="s">
        <v>8</v>
      </c>
      <c r="FJ670" s="27" t="s">
        <v>7</v>
      </c>
      <c r="FK670" s="27" t="s">
        <v>8</v>
      </c>
      <c r="FL670" s="27" t="s">
        <v>7</v>
      </c>
      <c r="FM670" s="27" t="s">
        <v>8</v>
      </c>
    </row>
    <row r="671" spans="1:246" x14ac:dyDescent="0.25">
      <c r="A671" s="7">
        <v>0.18948968420030682</v>
      </c>
      <c r="B671"/>
      <c r="C671"/>
      <c r="D671"/>
      <c r="E671"/>
      <c r="P671" s="27" t="s">
        <v>7</v>
      </c>
      <c r="Q671" s="27" t="s">
        <v>8</v>
      </c>
      <c r="R671" s="27" t="s">
        <v>7</v>
      </c>
      <c r="AK671" s="27" t="s">
        <v>8</v>
      </c>
      <c r="AN671" s="27" t="s">
        <v>7</v>
      </c>
      <c r="AO671" s="27" t="s">
        <v>8</v>
      </c>
      <c r="AV671" s="27" t="s">
        <v>7</v>
      </c>
      <c r="AW671" s="27" t="s">
        <v>8</v>
      </c>
      <c r="BB671" s="27" t="s">
        <v>7</v>
      </c>
      <c r="BI671" s="27" t="s">
        <v>8</v>
      </c>
      <c r="BL671" s="27" t="s">
        <v>7</v>
      </c>
      <c r="BM671" s="27" t="s">
        <v>8</v>
      </c>
      <c r="ED671" s="27" t="s">
        <v>7</v>
      </c>
      <c r="EE671" s="27" t="s">
        <v>8</v>
      </c>
      <c r="ER671" s="27" t="s">
        <v>7</v>
      </c>
      <c r="ES671" s="27" t="s">
        <v>8</v>
      </c>
      <c r="ET671" s="27" t="s">
        <v>7</v>
      </c>
      <c r="EU671" s="27" t="s">
        <v>8</v>
      </c>
      <c r="EV671" s="27" t="s">
        <v>7</v>
      </c>
      <c r="EZ671" s="27" t="s">
        <v>7</v>
      </c>
      <c r="FB671" s="27" t="s">
        <v>7</v>
      </c>
      <c r="FC671" s="27" t="s">
        <v>8</v>
      </c>
      <c r="FD671" s="27" t="s">
        <v>7</v>
      </c>
      <c r="FG671" s="27" t="s">
        <v>8</v>
      </c>
      <c r="FI671" s="27" t="s">
        <v>8</v>
      </c>
      <c r="FJ671" s="27" t="s">
        <v>7</v>
      </c>
      <c r="FL671" s="27" t="s">
        <v>7</v>
      </c>
    </row>
    <row r="672" spans="1:246" x14ac:dyDescent="0.25">
      <c r="A672" s="7">
        <v>0.18577420019637925</v>
      </c>
      <c r="B672"/>
      <c r="C672"/>
      <c r="D672"/>
      <c r="E672"/>
      <c r="P672" s="27" t="s">
        <v>7</v>
      </c>
      <c r="Q672" s="27" t="s">
        <v>8</v>
      </c>
      <c r="R672" s="27" t="s">
        <v>7</v>
      </c>
      <c r="AK672" s="27" t="s">
        <v>8</v>
      </c>
      <c r="AN672" s="27" t="s">
        <v>7</v>
      </c>
      <c r="AO672" s="27" t="s">
        <v>8</v>
      </c>
      <c r="AV672" s="27" t="s">
        <v>7</v>
      </c>
      <c r="BB672" s="27" t="s">
        <v>7</v>
      </c>
      <c r="BE672" s="27" t="s">
        <v>8</v>
      </c>
      <c r="BI672" s="27" t="s">
        <v>8</v>
      </c>
      <c r="BL672" s="27" t="s">
        <v>7</v>
      </c>
      <c r="BM672" s="27" t="s">
        <v>8</v>
      </c>
      <c r="ED672" s="27" t="s">
        <v>7</v>
      </c>
      <c r="ER672" s="27" t="s">
        <v>7</v>
      </c>
      <c r="ES672" s="27" t="s">
        <v>8</v>
      </c>
      <c r="ET672" s="27" t="s">
        <v>7</v>
      </c>
      <c r="EU672" s="27" t="s">
        <v>8</v>
      </c>
      <c r="FB672" s="27" t="s">
        <v>7</v>
      </c>
      <c r="FC672" s="27" t="s">
        <v>8</v>
      </c>
      <c r="FD672" s="27" t="s">
        <v>7</v>
      </c>
      <c r="FE672" s="27" t="s">
        <v>8</v>
      </c>
      <c r="FG672" s="27" t="s">
        <v>8</v>
      </c>
      <c r="FH672" s="27" t="s">
        <v>7</v>
      </c>
      <c r="FI672" s="27" t="s">
        <v>8</v>
      </c>
    </row>
    <row r="673" spans="1:165" x14ac:dyDescent="0.25">
      <c r="A673" s="7">
        <v>0.18213156881997963</v>
      </c>
      <c r="B673"/>
      <c r="C673"/>
      <c r="D673"/>
      <c r="E673"/>
      <c r="P673" s="27" t="s">
        <v>7</v>
      </c>
      <c r="Q673" s="27" t="s">
        <v>8</v>
      </c>
      <c r="R673" s="27" t="s">
        <v>7</v>
      </c>
      <c r="AK673" s="27" t="s">
        <v>8</v>
      </c>
      <c r="AN673" s="27" t="s">
        <v>7</v>
      </c>
      <c r="AO673" s="27" t="s">
        <v>8</v>
      </c>
      <c r="BB673" s="27" t="s">
        <v>7</v>
      </c>
      <c r="BE673" s="27" t="s">
        <v>8</v>
      </c>
      <c r="BF673" s="27" t="s">
        <v>7</v>
      </c>
      <c r="BI673" s="27" t="s">
        <v>8</v>
      </c>
      <c r="BL673" s="27" t="s">
        <v>7</v>
      </c>
      <c r="BM673" s="27" t="s">
        <v>8</v>
      </c>
      <c r="ER673" s="27" t="s">
        <v>7</v>
      </c>
      <c r="ES673" s="27" t="s">
        <v>8</v>
      </c>
      <c r="ET673" s="27" t="s">
        <v>7</v>
      </c>
      <c r="EU673" s="27" t="s">
        <v>8</v>
      </c>
      <c r="FB673" s="27" t="s">
        <v>7</v>
      </c>
      <c r="FC673" s="27" t="s">
        <v>8</v>
      </c>
      <c r="FD673" s="27" t="s">
        <v>7</v>
      </c>
      <c r="FE673" s="27" t="s">
        <v>8</v>
      </c>
      <c r="FF673" s="27" t="s">
        <v>7</v>
      </c>
      <c r="FG673" s="27" t="s">
        <v>8</v>
      </c>
      <c r="FH673" s="27" t="s">
        <v>7</v>
      </c>
      <c r="FI673" s="27" t="s">
        <v>8</v>
      </c>
    </row>
    <row r="674" spans="1:165" x14ac:dyDescent="0.25">
      <c r="A674" s="7">
        <v>0.17856036158821534</v>
      </c>
      <c r="B674"/>
      <c r="C674"/>
      <c r="D674"/>
      <c r="E674"/>
      <c r="P674" s="27" t="s">
        <v>7</v>
      </c>
      <c r="Q674" s="27" t="s">
        <v>8</v>
      </c>
      <c r="R674" s="27" t="s">
        <v>7</v>
      </c>
      <c r="AK674" s="27" t="s">
        <v>8</v>
      </c>
      <c r="AN674" s="27" t="s">
        <v>7</v>
      </c>
      <c r="BB674" s="27" t="s">
        <v>7</v>
      </c>
      <c r="BC674" s="27" t="s">
        <v>8</v>
      </c>
      <c r="BE674" s="27" t="s">
        <v>8</v>
      </c>
      <c r="BF674" s="27" t="s">
        <v>7</v>
      </c>
      <c r="BI674" s="27" t="s">
        <v>8</v>
      </c>
      <c r="BL674" s="27" t="s">
        <v>7</v>
      </c>
      <c r="BM674" s="27" t="s">
        <v>8</v>
      </c>
      <c r="ER674" s="27" t="s">
        <v>7</v>
      </c>
      <c r="ES674" s="27" t="s">
        <v>8</v>
      </c>
      <c r="ET674" s="27" t="s">
        <v>7</v>
      </c>
      <c r="EU674" s="27" t="s">
        <v>8</v>
      </c>
      <c r="FB674" s="27" t="s">
        <v>7</v>
      </c>
      <c r="FD674" s="27" t="s">
        <v>7</v>
      </c>
      <c r="FE674" s="27" t="s">
        <v>8</v>
      </c>
      <c r="FF674" s="27" t="s">
        <v>7</v>
      </c>
      <c r="FG674" s="27" t="s">
        <v>8</v>
      </c>
      <c r="FH674" s="27" t="s">
        <v>7</v>
      </c>
      <c r="FI674" s="27" t="s">
        <v>8</v>
      </c>
    </row>
    <row r="675" spans="1:165" x14ac:dyDescent="0.25">
      <c r="A675" s="7">
        <v>0.17505917802766208</v>
      </c>
      <c r="B675"/>
      <c r="C675"/>
      <c r="D675"/>
      <c r="E675"/>
      <c r="P675" s="27" t="s">
        <v>7</v>
      </c>
      <c r="Q675" s="27" t="s">
        <v>8</v>
      </c>
      <c r="R675" s="27" t="s">
        <v>7</v>
      </c>
      <c r="AK675" s="27" t="s">
        <v>8</v>
      </c>
      <c r="BB675" s="27" t="s">
        <v>7</v>
      </c>
      <c r="BC675" s="27" t="s">
        <v>8</v>
      </c>
      <c r="BD675" s="27" t="s">
        <v>7</v>
      </c>
      <c r="BE675" s="27" t="s">
        <v>8</v>
      </c>
      <c r="BF675" s="27" t="s">
        <v>7</v>
      </c>
      <c r="BI675" s="27" t="s">
        <v>8</v>
      </c>
      <c r="BL675" s="27" t="s">
        <v>7</v>
      </c>
      <c r="BM675" s="27" t="s">
        <v>8</v>
      </c>
      <c r="ER675" s="27" t="s">
        <v>7</v>
      </c>
      <c r="ES675" s="27" t="s">
        <v>8</v>
      </c>
      <c r="ET675" s="27" t="s">
        <v>7</v>
      </c>
      <c r="EU675" s="27" t="s">
        <v>8</v>
      </c>
      <c r="FD675" s="27" t="s">
        <v>7</v>
      </c>
      <c r="FF675" s="27" t="s">
        <v>7</v>
      </c>
      <c r="FG675" s="27" t="s">
        <v>8</v>
      </c>
      <c r="FH675" s="27" t="s">
        <v>7</v>
      </c>
      <c r="FI675" s="27" t="s">
        <v>8</v>
      </c>
    </row>
    <row r="676" spans="1:165" x14ac:dyDescent="0.25">
      <c r="A676" s="7">
        <v>0.17162664512515888</v>
      </c>
      <c r="B676"/>
      <c r="C676"/>
      <c r="D676"/>
      <c r="E676"/>
      <c r="P676" s="27" t="s">
        <v>7</v>
      </c>
      <c r="R676" s="27" t="s">
        <v>7</v>
      </c>
      <c r="S676" s="27" t="s">
        <v>8</v>
      </c>
      <c r="AK676" s="27" t="s">
        <v>8</v>
      </c>
      <c r="BB676" s="27" t="s">
        <v>7</v>
      </c>
      <c r="BC676" s="27" t="s">
        <v>8</v>
      </c>
      <c r="BD676" s="27" t="s">
        <v>7</v>
      </c>
      <c r="BE676" s="27" t="s">
        <v>8</v>
      </c>
      <c r="BF676" s="27" t="s">
        <v>7</v>
      </c>
      <c r="BG676" s="27" t="s">
        <v>8</v>
      </c>
      <c r="BI676" s="27" t="s">
        <v>8</v>
      </c>
      <c r="BL676" s="27" t="s">
        <v>7</v>
      </c>
      <c r="ER676" s="27" t="s">
        <v>7</v>
      </c>
      <c r="ES676" s="27" t="s">
        <v>8</v>
      </c>
      <c r="ET676" s="27" t="s">
        <v>7</v>
      </c>
      <c r="EU676" s="27" t="s">
        <v>8</v>
      </c>
      <c r="FF676" s="27" t="s">
        <v>7</v>
      </c>
      <c r="FG676" s="27" t="s">
        <v>8</v>
      </c>
      <c r="FH676" s="27" t="s">
        <v>7</v>
      </c>
      <c r="FI676" s="27" t="s">
        <v>8</v>
      </c>
    </row>
    <row r="677" spans="1:165" x14ac:dyDescent="0.25">
      <c r="A677" s="7">
        <v>0.16826141678937145</v>
      </c>
      <c r="B677"/>
      <c r="C677"/>
      <c r="D677"/>
      <c r="E677"/>
      <c r="R677" s="27" t="s">
        <v>7</v>
      </c>
      <c r="S677" s="27" t="s">
        <v>8</v>
      </c>
      <c r="T677" s="27" t="s">
        <v>7</v>
      </c>
      <c r="AK677" s="27" t="s">
        <v>8</v>
      </c>
      <c r="BB677" s="27" t="s">
        <v>7</v>
      </c>
      <c r="BC677" s="27" t="s">
        <v>8</v>
      </c>
      <c r="BD677" s="27" t="s">
        <v>7</v>
      </c>
      <c r="BE677" s="27" t="s">
        <v>8</v>
      </c>
      <c r="BF677" s="27" t="s">
        <v>7</v>
      </c>
      <c r="BG677" s="27" t="s">
        <v>8</v>
      </c>
      <c r="BH677" s="27" t="s">
        <v>7</v>
      </c>
      <c r="BI677" s="27" t="s">
        <v>8</v>
      </c>
      <c r="ER677" s="27" t="s">
        <v>7</v>
      </c>
      <c r="ES677" s="27" t="s">
        <v>8</v>
      </c>
      <c r="ET677" s="27" t="s">
        <v>7</v>
      </c>
      <c r="EU677" s="27" t="s">
        <v>8</v>
      </c>
      <c r="FF677" s="27" t="s">
        <v>7</v>
      </c>
      <c r="FG677" s="27" t="s">
        <v>8</v>
      </c>
      <c r="FH677" s="27" t="s">
        <v>7</v>
      </c>
    </row>
    <row r="678" spans="1:165" x14ac:dyDescent="0.25">
      <c r="A678" s="7">
        <v>0.16496217332291319</v>
      </c>
      <c r="B678"/>
      <c r="C678"/>
      <c r="D678"/>
      <c r="E678"/>
      <c r="R678" s="27" t="s">
        <v>7</v>
      </c>
      <c r="S678" s="27" t="s">
        <v>8</v>
      </c>
      <c r="T678" s="27" t="s">
        <v>7</v>
      </c>
      <c r="AK678" s="27" t="s">
        <v>8</v>
      </c>
      <c r="BB678" s="27" t="s">
        <v>7</v>
      </c>
      <c r="BC678" s="27" t="s">
        <v>8</v>
      </c>
      <c r="BD678" s="27" t="s">
        <v>7</v>
      </c>
      <c r="BE678" s="27" t="s">
        <v>8</v>
      </c>
      <c r="BF678" s="27" t="s">
        <v>7</v>
      </c>
      <c r="BG678" s="27" t="s">
        <v>8</v>
      </c>
      <c r="BH678" s="27" t="s">
        <v>7</v>
      </c>
      <c r="BI678" s="27" t="s">
        <v>8</v>
      </c>
      <c r="ER678" s="27" t="s">
        <v>7</v>
      </c>
      <c r="ES678" s="27" t="s">
        <v>8</v>
      </c>
      <c r="ET678" s="27" t="s">
        <v>7</v>
      </c>
      <c r="EU678" s="27" t="s">
        <v>8</v>
      </c>
      <c r="FF678" s="27" t="s">
        <v>7</v>
      </c>
      <c r="FG678" s="27" t="s">
        <v>8</v>
      </c>
    </row>
    <row r="679" spans="1:165" x14ac:dyDescent="0.25">
      <c r="A679" s="7">
        <v>0.16172762090481685</v>
      </c>
      <c r="B679"/>
      <c r="C679"/>
      <c r="D679"/>
      <c r="E679"/>
      <c r="R679" s="27" t="s">
        <v>7</v>
      </c>
      <c r="S679" s="27" t="s">
        <v>8</v>
      </c>
      <c r="T679" s="27" t="s">
        <v>7</v>
      </c>
      <c r="AK679" s="27" t="s">
        <v>8</v>
      </c>
      <c r="BB679" s="27" t="s">
        <v>7</v>
      </c>
      <c r="BC679" s="27" t="s">
        <v>8</v>
      </c>
      <c r="BD679" s="27" t="s">
        <v>7</v>
      </c>
      <c r="BE679" s="27" t="s">
        <v>8</v>
      </c>
      <c r="BF679" s="27" t="s">
        <v>7</v>
      </c>
      <c r="BG679" s="27" t="s">
        <v>8</v>
      </c>
      <c r="BH679" s="27" t="s">
        <v>7</v>
      </c>
      <c r="BI679" s="27" t="s">
        <v>8</v>
      </c>
      <c r="ER679" s="27" t="s">
        <v>7</v>
      </c>
      <c r="ES679" s="27" t="s">
        <v>8</v>
      </c>
      <c r="ET679" s="27" t="s">
        <v>7</v>
      </c>
      <c r="EU679" s="27" t="s">
        <v>8</v>
      </c>
      <c r="FF679" s="18" t="s">
        <v>7</v>
      </c>
      <c r="FG679" s="27" t="s">
        <v>8</v>
      </c>
    </row>
    <row r="680" spans="1:165" x14ac:dyDescent="0.25">
      <c r="A680" s="7">
        <v>0.15855649108315376</v>
      </c>
      <c r="B680"/>
      <c r="C680"/>
      <c r="D680"/>
      <c r="E680"/>
      <c r="R680" s="27" t="s">
        <v>7</v>
      </c>
      <c r="T680" s="27" t="s">
        <v>7</v>
      </c>
      <c r="U680" s="27" t="s">
        <v>8</v>
      </c>
      <c r="AK680" s="27" t="s">
        <v>8</v>
      </c>
      <c r="BB680" s="27" t="s">
        <v>7</v>
      </c>
      <c r="BC680" s="27" t="s">
        <v>8</v>
      </c>
      <c r="BD680" s="27" t="s">
        <v>7</v>
      </c>
      <c r="BE680" s="27" t="s">
        <v>8</v>
      </c>
      <c r="BF680" s="27" t="s">
        <v>7</v>
      </c>
      <c r="BG680" s="27" t="s">
        <v>8</v>
      </c>
      <c r="BH680" s="27" t="s">
        <v>7</v>
      </c>
      <c r="BI680" s="27" t="s">
        <v>8</v>
      </c>
      <c r="ER680" s="27" t="s">
        <v>7</v>
      </c>
      <c r="ES680" s="27" t="s">
        <v>8</v>
      </c>
      <c r="ET680" s="27" t="s">
        <v>7</v>
      </c>
      <c r="FF680" s="27" t="s">
        <v>7</v>
      </c>
      <c r="FG680" s="27" t="s">
        <v>8</v>
      </c>
    </row>
    <row r="681" spans="1:165" x14ac:dyDescent="0.25">
      <c r="A681" s="7">
        <v>0.15544754027760171</v>
      </c>
      <c r="B681"/>
      <c r="C681"/>
      <c r="D681"/>
      <c r="E681"/>
      <c r="T681" s="27" t="s">
        <v>7</v>
      </c>
      <c r="U681" s="27" t="s">
        <v>8</v>
      </c>
      <c r="V681" s="27" t="s">
        <v>7</v>
      </c>
      <c r="AI681" s="27" t="s">
        <v>8</v>
      </c>
      <c r="AK681" s="27" t="s">
        <v>8</v>
      </c>
      <c r="BB681" s="27" t="s">
        <v>7</v>
      </c>
      <c r="BC681" s="27" t="s">
        <v>8</v>
      </c>
      <c r="BD681" s="27" t="s">
        <v>7</v>
      </c>
      <c r="BE681" s="27" t="s">
        <v>8</v>
      </c>
      <c r="BF681" s="27" t="s">
        <v>7</v>
      </c>
      <c r="BG681" s="27" t="s">
        <v>8</v>
      </c>
      <c r="BH681" s="27" t="s">
        <v>7</v>
      </c>
      <c r="ER681" s="27" t="s">
        <v>7</v>
      </c>
      <c r="ES681" s="27" t="s">
        <v>8</v>
      </c>
      <c r="FF681" s="27" t="s">
        <v>7</v>
      </c>
      <c r="FG681" s="27" t="s">
        <v>8</v>
      </c>
    </row>
    <row r="682" spans="1:165" x14ac:dyDescent="0.25">
      <c r="A682" s="7">
        <v>0.15239954929176638</v>
      </c>
      <c r="B682"/>
      <c r="C682"/>
      <c r="D682"/>
      <c r="E682"/>
      <c r="T682" s="27" t="s">
        <v>7</v>
      </c>
      <c r="U682" s="27" t="s">
        <v>8</v>
      </c>
      <c r="V682" s="27" t="s">
        <v>7</v>
      </c>
      <c r="AI682" s="27" t="s">
        <v>8</v>
      </c>
      <c r="AJ682" s="27" t="s">
        <v>7</v>
      </c>
      <c r="AK682" s="27" t="s">
        <v>8</v>
      </c>
      <c r="BB682" s="27" t="s">
        <v>7</v>
      </c>
      <c r="BC682" s="27" t="s">
        <v>8</v>
      </c>
      <c r="BD682" s="27" t="s">
        <v>7</v>
      </c>
      <c r="BE682" s="27" t="s">
        <v>8</v>
      </c>
      <c r="BF682" s="27" t="s">
        <v>7</v>
      </c>
      <c r="BG682" s="27" t="s">
        <v>8</v>
      </c>
      <c r="ER682" s="27" t="s">
        <v>7</v>
      </c>
      <c r="FF682" s="27" t="s">
        <v>7</v>
      </c>
      <c r="FG682" s="27" t="s">
        <v>8</v>
      </c>
    </row>
    <row r="683" spans="1:165" x14ac:dyDescent="0.25">
      <c r="A683" s="7">
        <v>0.14941132283506509</v>
      </c>
      <c r="B683"/>
      <c r="C683"/>
      <c r="D683"/>
      <c r="E683"/>
      <c r="T683" s="27" t="s">
        <v>7</v>
      </c>
      <c r="U683" s="27" t="s">
        <v>8</v>
      </c>
      <c r="V683" s="27" t="s">
        <v>7</v>
      </c>
      <c r="AI683" s="27" t="s">
        <v>8</v>
      </c>
      <c r="AJ683" s="27" t="s">
        <v>7</v>
      </c>
      <c r="AK683" s="27" t="s">
        <v>8</v>
      </c>
      <c r="BB683" s="27" t="s">
        <v>7</v>
      </c>
      <c r="BD683" s="27" t="s">
        <v>7</v>
      </c>
      <c r="BE683" s="27" t="s">
        <v>8</v>
      </c>
      <c r="BF683" s="27" t="s">
        <v>7</v>
      </c>
      <c r="FF683" s="27" t="s">
        <v>7</v>
      </c>
      <c r="FG683" s="27" t="s">
        <v>8</v>
      </c>
    </row>
    <row r="684" spans="1:165" x14ac:dyDescent="0.25">
      <c r="A684" s="7">
        <v>0.14648168905398537</v>
      </c>
      <c r="B684"/>
      <c r="C684"/>
      <c r="D684"/>
      <c r="E684"/>
      <c r="T684" s="27" t="s">
        <v>7</v>
      </c>
      <c r="U684" s="27" t="s">
        <v>8</v>
      </c>
      <c r="V684" s="27" t="s">
        <v>7</v>
      </c>
      <c r="AI684" s="27" t="s">
        <v>8</v>
      </c>
      <c r="AJ684" s="27" t="s">
        <v>7</v>
      </c>
      <c r="AK684" s="27" t="s">
        <v>8</v>
      </c>
      <c r="BD684" s="27" t="s">
        <v>7</v>
      </c>
      <c r="BE684" s="27" t="s">
        <v>8</v>
      </c>
      <c r="FF684" s="27" t="s">
        <v>7</v>
      </c>
    </row>
    <row r="685" spans="1:165" x14ac:dyDescent="0.25">
      <c r="A685" s="7">
        <v>0.14360949907253467</v>
      </c>
      <c r="B685"/>
      <c r="C685"/>
      <c r="D685"/>
      <c r="E685"/>
      <c r="T685" s="27" t="s">
        <v>7</v>
      </c>
      <c r="U685" s="27" t="s">
        <v>8</v>
      </c>
      <c r="V685" s="27" t="s">
        <v>7</v>
      </c>
      <c r="AI685" s="27" t="s">
        <v>8</v>
      </c>
      <c r="AJ685" s="27" t="s">
        <v>7</v>
      </c>
      <c r="AK685" s="27" t="s">
        <v>8</v>
      </c>
      <c r="BD685" s="27" t="s">
        <v>7</v>
      </c>
    </row>
    <row r="686" spans="1:165" x14ac:dyDescent="0.25">
      <c r="A686" s="7">
        <v>0.14079362654170066</v>
      </c>
      <c r="B686"/>
      <c r="C686"/>
      <c r="D686"/>
      <c r="E686"/>
      <c r="T686" s="27" t="s">
        <v>7</v>
      </c>
      <c r="U686" s="27" t="s">
        <v>8</v>
      </c>
      <c r="V686" s="27" t="s">
        <v>7</v>
      </c>
      <c r="AC686" s="27" t="s">
        <v>8</v>
      </c>
      <c r="AI686" s="27" t="s">
        <v>8</v>
      </c>
      <c r="AJ686" s="27" t="s">
        <v>7</v>
      </c>
      <c r="AK686" s="27" t="s">
        <v>8</v>
      </c>
    </row>
    <row r="687" spans="1:165" x14ac:dyDescent="0.25">
      <c r="A687" s="7">
        <v>0.13803296719774574</v>
      </c>
      <c r="B687"/>
      <c r="C687"/>
      <c r="D687"/>
      <c r="E687"/>
      <c r="T687" s="27" t="s">
        <v>7</v>
      </c>
      <c r="U687" s="27" t="s">
        <v>8</v>
      </c>
      <c r="V687" s="27" t="s">
        <v>7</v>
      </c>
      <c r="AC687" s="27" t="s">
        <v>8</v>
      </c>
      <c r="AD687" s="27" t="s">
        <v>7</v>
      </c>
      <c r="AG687" s="27" t="s">
        <v>8</v>
      </c>
      <c r="AI687" s="27" t="s">
        <v>8</v>
      </c>
      <c r="AJ687" s="27" t="s">
        <v>7</v>
      </c>
      <c r="AK687" s="27" t="s">
        <v>8</v>
      </c>
    </row>
    <row r="688" spans="1:165" x14ac:dyDescent="0.25">
      <c r="A688" s="7">
        <v>0.1353264384291625</v>
      </c>
      <c r="B688"/>
      <c r="C688"/>
      <c r="D688"/>
      <c r="E688"/>
      <c r="T688" s="27" t="s">
        <v>7</v>
      </c>
      <c r="U688" s="27" t="s">
        <v>8</v>
      </c>
      <c r="V688" s="27" t="s">
        <v>7</v>
      </c>
      <c r="AC688" s="27" t="s">
        <v>8</v>
      </c>
      <c r="AD688" s="27" t="s">
        <v>7</v>
      </c>
      <c r="AG688" s="27" t="s">
        <v>8</v>
      </c>
      <c r="AH688" s="27" t="s">
        <v>7</v>
      </c>
      <c r="AI688" s="27" t="s">
        <v>8</v>
      </c>
      <c r="AJ688" s="27" t="s">
        <v>7</v>
      </c>
      <c r="AK688" s="27" t="s">
        <v>8</v>
      </c>
    </row>
    <row r="689" spans="1:37" x14ac:dyDescent="0.25">
      <c r="A689" s="7">
        <v>0.13267297885212009</v>
      </c>
      <c r="B689"/>
      <c r="C689"/>
      <c r="D689"/>
      <c r="E689"/>
      <c r="T689" s="27" t="s">
        <v>7</v>
      </c>
      <c r="U689" s="27" t="s">
        <v>8</v>
      </c>
      <c r="V689" s="27" t="s">
        <v>7</v>
      </c>
      <c r="Y689" s="27" t="s">
        <v>8</v>
      </c>
      <c r="AC689" s="27" t="s">
        <v>8</v>
      </c>
      <c r="AD689" s="27" t="s">
        <v>7</v>
      </c>
      <c r="AG689" s="27" t="s">
        <v>8</v>
      </c>
      <c r="AH689" s="27" t="s">
        <v>7</v>
      </c>
      <c r="AI689" s="27" t="s">
        <v>8</v>
      </c>
      <c r="AJ689" s="27" t="s">
        <v>7</v>
      </c>
      <c r="AK689" s="27" t="s">
        <v>8</v>
      </c>
    </row>
    <row r="690" spans="1:37" x14ac:dyDescent="0.25">
      <c r="A690" s="7">
        <v>0.13007154789423539</v>
      </c>
      <c r="B690"/>
      <c r="C690"/>
      <c r="D690"/>
      <c r="E690"/>
      <c r="T690" s="27" t="s">
        <v>7</v>
      </c>
      <c r="U690" s="27" t="s">
        <v>8</v>
      </c>
      <c r="V690" s="27" t="s">
        <v>7</v>
      </c>
      <c r="Y690" s="27" t="s">
        <v>8</v>
      </c>
      <c r="Z690" s="27" t="s">
        <v>7</v>
      </c>
      <c r="AC690" s="27" t="s">
        <v>8</v>
      </c>
      <c r="AD690" s="27" t="s">
        <v>7</v>
      </c>
      <c r="AG690" s="27" t="s">
        <v>8</v>
      </c>
      <c r="AH690" s="27" t="s">
        <v>7</v>
      </c>
      <c r="AI690" s="27" t="s">
        <v>8</v>
      </c>
      <c r="AJ690" s="27" t="s">
        <v>7</v>
      </c>
      <c r="AK690" s="27" t="s">
        <v>8</v>
      </c>
    </row>
    <row r="691" spans="1:37" x14ac:dyDescent="0.25">
      <c r="A691" s="7">
        <v>0.12752112538650529</v>
      </c>
      <c r="B691"/>
      <c r="C691"/>
      <c r="D691"/>
      <c r="E691"/>
      <c r="T691" s="27" t="s">
        <v>7</v>
      </c>
      <c r="U691" s="27" t="s">
        <v>8</v>
      </c>
      <c r="V691" s="27" t="s">
        <v>7</v>
      </c>
      <c r="Y691" s="27" t="s">
        <v>8</v>
      </c>
      <c r="Z691" s="27" t="s">
        <v>7</v>
      </c>
      <c r="AC691" s="27" t="s">
        <v>8</v>
      </c>
      <c r="AD691" s="27" t="s">
        <v>7</v>
      </c>
      <c r="AG691" s="27" t="s">
        <v>8</v>
      </c>
      <c r="AH691" s="27" t="s">
        <v>7</v>
      </c>
      <c r="AI691" s="27" t="s">
        <v>8</v>
      </c>
      <c r="AJ691" s="27" t="s">
        <v>7</v>
      </c>
    </row>
    <row r="692" spans="1:37" x14ac:dyDescent="0.25">
      <c r="A692" s="7">
        <v>0.12502071116324048</v>
      </c>
      <c r="B692"/>
      <c r="C692"/>
      <c r="D692"/>
      <c r="E692"/>
      <c r="T692" s="27" t="s">
        <v>7</v>
      </c>
      <c r="U692" s="27" t="s">
        <v>8</v>
      </c>
      <c r="V692" s="27" t="s">
        <v>7</v>
      </c>
      <c r="W692" s="27" t="s">
        <v>8</v>
      </c>
      <c r="Y692" s="27" t="s">
        <v>8</v>
      </c>
      <c r="Z692" s="27" t="s">
        <v>7</v>
      </c>
      <c r="AC692" s="27" t="s">
        <v>8</v>
      </c>
      <c r="AD692" s="27" t="s">
        <v>7</v>
      </c>
      <c r="AG692" s="27" t="s">
        <v>8</v>
      </c>
      <c r="AH692" s="27" t="s">
        <v>7</v>
      </c>
      <c r="AI692" s="27" t="s">
        <v>8</v>
      </c>
    </row>
    <row r="693" spans="1:37" x14ac:dyDescent="0.25">
      <c r="A693" s="7">
        <v>0.1225693246698436</v>
      </c>
      <c r="B693"/>
      <c r="C693"/>
      <c r="D693"/>
      <c r="E693"/>
      <c r="T693" s="27" t="s">
        <v>7</v>
      </c>
      <c r="U693" s="27" t="s">
        <v>8</v>
      </c>
      <c r="V693" s="27" t="s">
        <v>7</v>
      </c>
      <c r="W693" s="27" t="s">
        <v>8</v>
      </c>
      <c r="X693" s="27" t="s">
        <v>7</v>
      </c>
      <c r="Y693" s="27" t="s">
        <v>8</v>
      </c>
      <c r="Z693" s="27" t="s">
        <v>7</v>
      </c>
      <c r="AA693" s="27" t="s">
        <v>8</v>
      </c>
      <c r="AC693" s="27" t="s">
        <v>8</v>
      </c>
      <c r="AD693" s="27" t="s">
        <v>7</v>
      </c>
      <c r="AG693" s="27" t="s">
        <v>8</v>
      </c>
      <c r="AH693" s="27" t="s">
        <v>7</v>
      </c>
      <c r="AI693" s="27" t="s">
        <v>8</v>
      </c>
    </row>
    <row r="694" spans="1:37" x14ac:dyDescent="0.25">
      <c r="A694" s="7">
        <v>0.12016600457827803</v>
      </c>
      <c r="B694"/>
      <c r="C694"/>
      <c r="D694"/>
      <c r="E694"/>
      <c r="T694" s="27" t="s">
        <v>7</v>
      </c>
      <c r="U694" s="27" t="s">
        <v>8</v>
      </c>
      <c r="V694" s="27" t="s">
        <v>7</v>
      </c>
      <c r="W694" s="27" t="s">
        <v>8</v>
      </c>
      <c r="X694" s="27" t="s">
        <v>7</v>
      </c>
      <c r="Y694" s="27" t="s">
        <v>8</v>
      </c>
      <c r="Z694" s="27" t="s">
        <v>7</v>
      </c>
      <c r="AA694" s="27" t="s">
        <v>8</v>
      </c>
      <c r="AB694" s="27" t="s">
        <v>7</v>
      </c>
      <c r="AC694" s="27" t="s">
        <v>8</v>
      </c>
      <c r="AD694" s="27" t="s">
        <v>7</v>
      </c>
      <c r="AE694" s="27" t="s">
        <v>8</v>
      </c>
      <c r="AG694" s="27" t="s">
        <v>8</v>
      </c>
      <c r="AH694" s="27" t="s">
        <v>7</v>
      </c>
      <c r="AI694" s="27" t="s">
        <v>8</v>
      </c>
    </row>
    <row r="695" spans="1:37" x14ac:dyDescent="0.25">
      <c r="A695" s="7">
        <v>0.1178098084100765</v>
      </c>
      <c r="B695"/>
      <c r="C695"/>
      <c r="D695"/>
      <c r="E695"/>
      <c r="T695" s="27" t="s">
        <v>7</v>
      </c>
      <c r="U695" s="27" t="s">
        <v>8</v>
      </c>
      <c r="V695" s="27" t="s">
        <v>7</v>
      </c>
      <c r="W695" s="27" t="s">
        <v>8</v>
      </c>
      <c r="X695" s="27" t="s">
        <v>7</v>
      </c>
      <c r="Y695" s="27" t="s">
        <v>8</v>
      </c>
      <c r="Z695" s="27" t="s">
        <v>7</v>
      </c>
      <c r="AA695" s="27" t="s">
        <v>8</v>
      </c>
      <c r="AB695" s="27" t="s">
        <v>7</v>
      </c>
      <c r="AC695" s="27" t="s">
        <v>8</v>
      </c>
      <c r="AD695" s="27" t="s">
        <v>7</v>
      </c>
      <c r="AE695" s="27" t="s">
        <v>8</v>
      </c>
      <c r="AF695" s="27" t="s">
        <v>7</v>
      </c>
      <c r="AG695" s="27" t="s">
        <v>8</v>
      </c>
      <c r="AH695" s="27" t="s">
        <v>7</v>
      </c>
      <c r="AI695" s="27" t="s">
        <v>8</v>
      </c>
    </row>
    <row r="696" spans="1:37" x14ac:dyDescent="0.25">
      <c r="A696" s="7">
        <v>0.11549981216674166</v>
      </c>
      <c r="B696"/>
      <c r="C696"/>
      <c r="D696"/>
      <c r="E696"/>
      <c r="T696" s="27" t="s">
        <v>7</v>
      </c>
      <c r="U696" s="27" t="s">
        <v>8</v>
      </c>
      <c r="V696" s="27" t="s">
        <v>7</v>
      </c>
      <c r="W696" s="27" t="s">
        <v>8</v>
      </c>
      <c r="X696" s="27" t="s">
        <v>7</v>
      </c>
      <c r="Y696" s="27" t="s">
        <v>8</v>
      </c>
      <c r="Z696" s="27" t="s">
        <v>7</v>
      </c>
      <c r="AA696" s="27" t="s">
        <v>8</v>
      </c>
      <c r="AB696" s="27" t="s">
        <v>7</v>
      </c>
      <c r="AC696" s="27" t="s">
        <v>8</v>
      </c>
      <c r="AD696" s="27" t="s">
        <v>7</v>
      </c>
      <c r="AE696" s="27" t="s">
        <v>8</v>
      </c>
      <c r="AF696" s="27" t="s">
        <v>7</v>
      </c>
      <c r="AG696" s="27" t="s">
        <v>8</v>
      </c>
      <c r="AH696" s="27" t="s">
        <v>7</v>
      </c>
      <c r="AI696" s="27" t="s">
        <v>8</v>
      </c>
    </row>
    <row r="697" spans="1:37" x14ac:dyDescent="0.25">
      <c r="A697" s="7">
        <v>0.11323510996739378</v>
      </c>
      <c r="B697"/>
      <c r="C697"/>
      <c r="D697"/>
      <c r="E697"/>
      <c r="T697" s="27" t="s">
        <v>7</v>
      </c>
      <c r="U697" s="27" t="s">
        <v>8</v>
      </c>
      <c r="V697" s="27" t="s">
        <v>7</v>
      </c>
      <c r="W697" s="27" t="s">
        <v>8</v>
      </c>
      <c r="X697" s="27" t="s">
        <v>7</v>
      </c>
      <c r="Y697" s="27" t="s">
        <v>8</v>
      </c>
      <c r="Z697" s="27" t="s">
        <v>7</v>
      </c>
      <c r="AA697" s="27" t="s">
        <v>8</v>
      </c>
      <c r="AB697" s="27" t="s">
        <v>7</v>
      </c>
      <c r="AC697" s="27" t="s">
        <v>8</v>
      </c>
      <c r="AD697" s="27" t="s">
        <v>7</v>
      </c>
      <c r="AE697" s="27" t="s">
        <v>8</v>
      </c>
      <c r="AF697" s="27" t="s">
        <v>7</v>
      </c>
      <c r="AG697" s="27" t="s">
        <v>8</v>
      </c>
      <c r="AH697" s="27" t="s">
        <v>7</v>
      </c>
    </row>
    <row r="698" spans="1:37" x14ac:dyDescent="0.25">
      <c r="A698" s="7">
        <v>0.11101481369352331</v>
      </c>
      <c r="B698"/>
      <c r="C698"/>
      <c r="D698"/>
      <c r="E698"/>
      <c r="T698" s="27" t="s">
        <v>7</v>
      </c>
      <c r="U698" s="27" t="s">
        <v>8</v>
      </c>
      <c r="V698" s="27" t="s">
        <v>7</v>
      </c>
      <c r="X698" s="27" t="s">
        <v>7</v>
      </c>
      <c r="Y698" s="27" t="s">
        <v>8</v>
      </c>
      <c r="Z698" s="27" t="s">
        <v>7</v>
      </c>
      <c r="AA698" s="27" t="s">
        <v>8</v>
      </c>
      <c r="AB698" s="27" t="s">
        <v>7</v>
      </c>
      <c r="AC698" s="27" t="s">
        <v>8</v>
      </c>
      <c r="AD698" s="27" t="s">
        <v>7</v>
      </c>
      <c r="AE698" s="27" t="s">
        <v>8</v>
      </c>
      <c r="AF698" s="27" t="s">
        <v>7</v>
      </c>
      <c r="AG698" s="27" t="s">
        <v>8</v>
      </c>
    </row>
    <row r="699" spans="1:37" x14ac:dyDescent="0.25">
      <c r="A699" s="7">
        <v>0.10883805264070913</v>
      </c>
      <c r="B699"/>
      <c r="C699"/>
      <c r="D699"/>
      <c r="E699"/>
      <c r="T699" s="27" t="s">
        <v>7</v>
      </c>
      <c r="U699" s="27" t="s">
        <v>8</v>
      </c>
      <c r="X699" s="27" t="s">
        <v>7</v>
      </c>
      <c r="Z699" s="27" t="s">
        <v>7</v>
      </c>
      <c r="AA699" s="27" t="s">
        <v>8</v>
      </c>
      <c r="AB699" s="27" t="s">
        <v>7</v>
      </c>
      <c r="AC699" s="27" t="s">
        <v>8</v>
      </c>
      <c r="AD699" s="27" t="s">
        <v>7</v>
      </c>
      <c r="AE699" s="27" t="s">
        <v>8</v>
      </c>
      <c r="AF699" s="27" t="s">
        <v>7</v>
      </c>
      <c r="AG699" s="27" t="s">
        <v>8</v>
      </c>
    </row>
    <row r="700" spans="1:37" x14ac:dyDescent="0.25">
      <c r="A700" s="7">
        <v>0.10670397317716582</v>
      </c>
      <c r="B700"/>
      <c r="C700"/>
      <c r="D700"/>
      <c r="E700"/>
      <c r="T700" s="27" t="s">
        <v>7</v>
      </c>
      <c r="U700" s="27" t="s">
        <v>8</v>
      </c>
      <c r="Z700" s="27" t="s">
        <v>7</v>
      </c>
      <c r="AB700" s="27" t="s">
        <v>7</v>
      </c>
      <c r="AC700" s="27" t="s">
        <v>8</v>
      </c>
      <c r="AD700" s="27" t="s">
        <v>7</v>
      </c>
      <c r="AE700" s="27" t="s">
        <v>8</v>
      </c>
      <c r="AF700" s="27" t="s">
        <v>7</v>
      </c>
      <c r="AG700" s="27" t="s">
        <v>8</v>
      </c>
    </row>
    <row r="701" spans="1:37" x14ac:dyDescent="0.25">
      <c r="A701" s="7">
        <v>0.1046117384089861</v>
      </c>
      <c r="B701"/>
      <c r="C701"/>
      <c r="D701"/>
      <c r="E701"/>
      <c r="T701" s="27" t="s">
        <v>7</v>
      </c>
      <c r="U701" s="27" t="s">
        <v>8</v>
      </c>
      <c r="AB701" s="27" t="s">
        <v>7</v>
      </c>
      <c r="AC701" s="27" t="s">
        <v>8</v>
      </c>
      <c r="AD701" s="27" t="s">
        <v>7</v>
      </c>
      <c r="AE701" s="27" t="s">
        <v>8</v>
      </c>
      <c r="AF701" s="27" t="s">
        <v>7</v>
      </c>
      <c r="AG701" s="27" t="s">
        <v>8</v>
      </c>
    </row>
    <row r="702" spans="1:37" x14ac:dyDescent="0.25">
      <c r="A702" s="7">
        <v>0.10256052785194716</v>
      </c>
      <c r="B702"/>
      <c r="C702"/>
      <c r="D702"/>
      <c r="E702"/>
      <c r="T702" s="27" t="s">
        <v>7</v>
      </c>
      <c r="AB702" s="27" t="s">
        <v>7</v>
      </c>
      <c r="AC702" s="27" t="s">
        <v>8</v>
      </c>
      <c r="AD702" s="27" t="s">
        <v>7</v>
      </c>
      <c r="AE702" s="27" t="s">
        <v>8</v>
      </c>
      <c r="AF702" s="27" t="s">
        <v>7</v>
      </c>
      <c r="AG702" s="27" t="s">
        <v>8</v>
      </c>
    </row>
    <row r="703" spans="1:37" x14ac:dyDescent="0.25">
      <c r="A703" s="7">
        <v>0.10054953710975212</v>
      </c>
      <c r="B703"/>
      <c r="C703"/>
      <c r="D703"/>
      <c r="E703"/>
      <c r="AB703" s="27" t="s">
        <v>7</v>
      </c>
      <c r="AC703" s="27" t="s">
        <v>8</v>
      </c>
      <c r="AD703" s="27" t="s">
        <v>7</v>
      </c>
      <c r="AF703" s="27" t="s">
        <v>7</v>
      </c>
      <c r="AG703" s="27" t="s">
        <v>8</v>
      </c>
    </row>
    <row r="704" spans="1:37" x14ac:dyDescent="0.25">
      <c r="A704" s="7">
        <v>9.8577977558580512E-2</v>
      </c>
      <c r="B704"/>
      <c r="C704"/>
      <c r="D704"/>
      <c r="E704"/>
      <c r="AB704" s="27" t="s">
        <v>7</v>
      </c>
      <c r="AF704" s="27" t="s">
        <v>7</v>
      </c>
      <c r="AG704" s="27" t="s">
        <v>8</v>
      </c>
    </row>
    <row r="705" spans="1:33" x14ac:dyDescent="0.25">
      <c r="A705" s="7">
        <v>9.6645076037824032E-2</v>
      </c>
      <c r="B705"/>
      <c r="C705"/>
      <c r="D705"/>
      <c r="E705"/>
      <c r="AF705" s="27" t="s">
        <v>7</v>
      </c>
      <c r="AG705" s="27" t="s">
        <v>8</v>
      </c>
    </row>
    <row r="706" spans="1:33" x14ac:dyDescent="0.25">
      <c r="A706" s="7">
        <v>9.4750074546886304E-2</v>
      </c>
      <c r="B706"/>
      <c r="C706"/>
      <c r="D706"/>
      <c r="E706"/>
      <c r="AF706" s="27" t="s">
        <v>7</v>
      </c>
      <c r="AG706" s="27" t="s">
        <v>8</v>
      </c>
    </row>
    <row r="707" spans="1:33" x14ac:dyDescent="0.25">
      <c r="A707" s="7">
        <v>9.2892229947927743E-2</v>
      </c>
      <c r="B707"/>
      <c r="C707"/>
      <c r="D707"/>
      <c r="E707"/>
      <c r="AF707" s="27" t="s">
        <v>7</v>
      </c>
      <c r="AG707" s="27" t="s">
        <v>8</v>
      </c>
    </row>
    <row r="708" spans="1:33" x14ac:dyDescent="0.25">
      <c r="A708" s="7">
        <v>9.1070813674438963E-2</v>
      </c>
      <c r="B708"/>
      <c r="C708"/>
      <c r="D708"/>
      <c r="E708"/>
      <c r="AF708" s="27" t="s">
        <v>7</v>
      </c>
      <c r="AG708" s="27" t="s">
        <v>8</v>
      </c>
    </row>
    <row r="709" spans="1:33" x14ac:dyDescent="0.25">
      <c r="A709" s="7">
        <v>8.9285111445528392E-2</v>
      </c>
      <c r="B709"/>
      <c r="C709"/>
      <c r="D709"/>
      <c r="E709"/>
      <c r="AF709" s="27" t="s">
        <v>7</v>
      </c>
    </row>
    <row r="710" spans="1:33" x14ac:dyDescent="0.25">
      <c r="A710" s="7">
        <v>8.7534422985812155E-2</v>
      </c>
      <c r="B710"/>
      <c r="C710"/>
      <c r="D710"/>
      <c r="E710"/>
    </row>
    <row r="711" spans="1:33" x14ac:dyDescent="0.25">
      <c r="A711" s="7">
        <v>8.5818061750796232E-2</v>
      </c>
      <c r="B711"/>
      <c r="C711"/>
      <c r="D711"/>
      <c r="E711"/>
    </row>
    <row r="712" spans="1:33" x14ac:dyDescent="0.25">
      <c r="A712" s="7">
        <v>8.4135354657643366E-2</v>
      </c>
      <c r="B712"/>
      <c r="C712"/>
      <c r="D712"/>
      <c r="E712"/>
    </row>
    <row r="713" spans="1:33" x14ac:dyDescent="0.25">
      <c r="A713" s="7">
        <v>8.248564182121898E-2</v>
      </c>
      <c r="B713"/>
      <c r="C713"/>
      <c r="D713"/>
      <c r="E713"/>
    </row>
    <row r="714" spans="1:33" x14ac:dyDescent="0.25">
      <c r="A714" s="7">
        <v>8.0868276295312735E-2</v>
      </c>
      <c r="B714"/>
      <c r="C714"/>
      <c r="D714"/>
      <c r="E714"/>
    </row>
    <row r="715" spans="1:33" x14ac:dyDescent="0.25">
      <c r="A715" s="7">
        <v>7.9282623818934056E-2</v>
      </c>
      <c r="B715"/>
      <c r="C715"/>
      <c r="D715"/>
      <c r="E715"/>
    </row>
    <row r="716" spans="1:33" x14ac:dyDescent="0.25">
      <c r="A716" s="7">
        <v>7.7728062567582412E-2</v>
      </c>
      <c r="B716"/>
      <c r="C716"/>
      <c r="D716"/>
      <c r="E716"/>
    </row>
    <row r="717" spans="1:33" x14ac:dyDescent="0.25">
      <c r="A717" s="7">
        <v>7.6203982909394521E-2</v>
      </c>
      <c r="B717"/>
      <c r="C717"/>
      <c r="D717"/>
      <c r="E717"/>
    </row>
    <row r="718" spans="1:33" x14ac:dyDescent="0.25">
      <c r="A718" s="7">
        <v>7.4709787166073058E-2</v>
      </c>
      <c r="B718"/>
      <c r="C718"/>
      <c r="D718"/>
      <c r="E718"/>
    </row>
    <row r="719" spans="1:33" x14ac:dyDescent="0.25">
      <c r="A719" s="7">
        <v>7.3244889378503E-2</v>
      </c>
      <c r="B719"/>
      <c r="C719"/>
      <c r="D719"/>
      <c r="E719"/>
    </row>
    <row r="720" spans="1:33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3" operator="equal">
      <formula>$U$1</formula>
    </cfRule>
    <cfRule type="cellIs" dxfId="89" priority="894" operator="equal">
      <formula>$S$1</formula>
    </cfRule>
  </conditionalFormatting>
  <conditionalFormatting sqref="D27">
    <cfRule type="cellIs" dxfId="88" priority="891" operator="equal">
      <formula>$S$1</formula>
    </cfRule>
    <cfRule type="cellIs" dxfId="87" priority="892" operator="equal">
      <formula>$U$1</formula>
    </cfRule>
  </conditionalFormatting>
  <conditionalFormatting sqref="C164">
    <cfRule type="cellIs" dxfId="86" priority="889" operator="equal">
      <formula>$U$1</formula>
    </cfRule>
    <cfRule type="cellIs" dxfId="85" priority="890" operator="equal">
      <formula>$S$1</formula>
    </cfRule>
  </conditionalFormatting>
  <conditionalFormatting sqref="D164">
    <cfRule type="cellIs" dxfId="84" priority="887" operator="equal">
      <formula>$S$1</formula>
    </cfRule>
    <cfRule type="cellIs" dxfId="83" priority="888" operator="equal">
      <formula>$U$1</formula>
    </cfRule>
  </conditionalFormatting>
  <conditionalFormatting sqref="C55">
    <cfRule type="cellIs" dxfId="82" priority="885" operator="equal">
      <formula>$U$1</formula>
    </cfRule>
    <cfRule type="cellIs" dxfId="81" priority="886" operator="equal">
      <formula>$S$1</formula>
    </cfRule>
  </conditionalFormatting>
  <conditionalFormatting sqref="D55">
    <cfRule type="cellIs" dxfId="80" priority="883" operator="equal">
      <formula>$S$1</formula>
    </cfRule>
    <cfRule type="cellIs" dxfId="79" priority="884" operator="equal">
      <formula>$U$1</formula>
    </cfRule>
  </conditionalFormatting>
  <conditionalFormatting sqref="C89">
    <cfRule type="cellIs" dxfId="78" priority="881" operator="equal">
      <formula>$U$1</formula>
    </cfRule>
    <cfRule type="cellIs" dxfId="77" priority="882" operator="equal">
      <formula>$S$1</formula>
    </cfRule>
  </conditionalFormatting>
  <conditionalFormatting sqref="D89">
    <cfRule type="cellIs" dxfId="76" priority="879" operator="equal">
      <formula>$S$1</formula>
    </cfRule>
    <cfRule type="cellIs" dxfId="75" priority="880" operator="equal">
      <formula>$U$1</formula>
    </cfRule>
  </conditionalFormatting>
  <conditionalFormatting sqref="C136">
    <cfRule type="cellIs" dxfId="74" priority="877" operator="equal">
      <formula>$U$1</formula>
    </cfRule>
    <cfRule type="cellIs" dxfId="73" priority="878" operator="equal">
      <formula>$S$1</formula>
    </cfRule>
  </conditionalFormatting>
  <conditionalFormatting sqref="D136">
    <cfRule type="cellIs" dxfId="72" priority="875" operator="equal">
      <formula>$S$1</formula>
    </cfRule>
    <cfRule type="cellIs" dxfId="71" priority="876" operator="equal">
      <formula>$U$1</formula>
    </cfRule>
  </conditionalFormatting>
  <conditionalFormatting sqref="C1">
    <cfRule type="cellIs" dxfId="70" priority="87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9" zoomScale="90" zoomScaleNormal="90" workbookViewId="0">
      <pane xSplit="4" topLeftCell="DB1" activePane="topRight" state="frozen"/>
      <selection activeCell="A109" sqref="A109"/>
      <selection pane="topRight" activeCell="FF272" sqref="FF27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$A$271</v>
      </c>
      <c r="D111" s="1" t="str">
        <f>ADDRESS(C121-1,D121,1,1)</f>
        <v>$FF$271</v>
      </c>
      <c r="E111"/>
    </row>
    <row r="112" spans="1:5" x14ac:dyDescent="0.25">
      <c r="A112" s="30">
        <v>515.50191262726139</v>
      </c>
      <c r="C112" s="1" t="str">
        <f>ADDRESS(C121,1,1,1)</f>
        <v>$A$272</v>
      </c>
      <c r="D112" s="1" t="str">
        <f>ADDRESS(C121,D121-1,1,1)</f>
        <v>$FE$272</v>
      </c>
      <c r="E112"/>
    </row>
    <row r="113" spans="1:5" x14ac:dyDescent="0.25">
      <c r="A113" s="30">
        <v>490.95420250215363</v>
      </c>
      <c r="C113" s="1" t="str">
        <f>ADDRESS(C121+1,1,1,1)</f>
        <v>$A$273</v>
      </c>
      <c r="D113" s="1" t="str">
        <f>ADDRESS(C121-1,D121+1,1,1)</f>
        <v>$FG$271</v>
      </c>
    </row>
    <row r="114" spans="1:5" x14ac:dyDescent="0.25">
      <c r="A114" s="30">
        <v>467.57543095443202</v>
      </c>
      <c r="C114" s="1" t="str">
        <f>ADDRESS(C121,D121,1,1)</f>
        <v>$FF$272</v>
      </c>
      <c r="D114" s="1" t="str">
        <f>ADDRESS(C121+1,D121+1,1,1)</f>
        <v>$FG$273</v>
      </c>
    </row>
    <row r="115" spans="1:5" x14ac:dyDescent="0.25">
      <c r="A115" s="30">
        <v>445.30993424231622</v>
      </c>
      <c r="C115" s="1" t="str">
        <f>ADDRESS(C121+1,D121,1,1)</f>
        <v>$FF$273</v>
      </c>
    </row>
    <row r="116" spans="1:5" x14ac:dyDescent="0.25">
      <c r="A116" s="30">
        <v>424.10469927839637</v>
      </c>
      <c r="C116" s="1">
        <f>C117-1</f>
        <v>271</v>
      </c>
    </row>
    <row r="117" spans="1:5" x14ac:dyDescent="0.25">
      <c r="A117" s="30">
        <v>403.9092374079965</v>
      </c>
      <c r="C117" s="1">
        <f>C121</f>
        <v>272</v>
      </c>
      <c r="D117" s="1">
        <f>D121</f>
        <v>162</v>
      </c>
    </row>
    <row r="118" spans="1:5" x14ac:dyDescent="0.25">
      <c r="A118" s="30">
        <v>384.6754641980919</v>
      </c>
      <c r="C118" s="1">
        <f>C117+1</f>
        <v>273</v>
      </c>
      <c r="D118" s="1">
        <f>D117+1</f>
        <v>163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272</v>
      </c>
      <c r="D121" s="19">
        <v>162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R272</v>
      </c>
      <c r="D123" s="1" t="str">
        <f>"C"&amp;D121</f>
        <v>C162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0.20986616658127455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00" x14ac:dyDescent="0.25">
      <c r="A225" s="30">
        <v>2.0789281794113688</v>
      </c>
      <c r="E225"/>
    </row>
    <row r="226" spans="1:100" x14ac:dyDescent="0.25">
      <c r="A226" s="30">
        <v>1.9799315994393987</v>
      </c>
      <c r="E226"/>
    </row>
    <row r="227" spans="1:100" x14ac:dyDescent="0.25">
      <c r="A227" s="30">
        <v>1.8856491423232367</v>
      </c>
      <c r="E227"/>
    </row>
    <row r="228" spans="1:100" x14ac:dyDescent="0.25">
      <c r="A228" s="30">
        <v>1.7958563260221301</v>
      </c>
      <c r="C228" s="7"/>
      <c r="D228"/>
      <c r="E228"/>
    </row>
    <row r="229" spans="1:100" x14ac:dyDescent="0.25">
      <c r="A229" s="30">
        <v>1.7103393581163142</v>
      </c>
      <c r="E229"/>
    </row>
    <row r="230" spans="1:100" x14ac:dyDescent="0.25">
      <c r="A230" s="30">
        <v>1.628894626777442</v>
      </c>
      <c r="E230"/>
    </row>
    <row r="231" spans="1:100" x14ac:dyDescent="0.25">
      <c r="A231" s="30">
        <v>1.5513282159785162</v>
      </c>
      <c r="C231"/>
      <c r="D231"/>
      <c r="E231"/>
    </row>
    <row r="232" spans="1:100" x14ac:dyDescent="0.25">
      <c r="A232" s="30">
        <v>1.477455443789063</v>
      </c>
      <c r="E232" t="s">
        <v>8</v>
      </c>
    </row>
    <row r="233" spans="1:100" x14ac:dyDescent="0.25">
      <c r="A233" s="30">
        <v>1.4071004226562505</v>
      </c>
      <c r="E233" t="s">
        <v>8</v>
      </c>
      <c r="F233" s="27" t="s">
        <v>7</v>
      </c>
    </row>
    <row r="234" spans="1:100" x14ac:dyDescent="0.25">
      <c r="A234" s="30">
        <v>1.3400956406250004</v>
      </c>
      <c r="E234" t="s">
        <v>8</v>
      </c>
      <c r="F234" s="27" t="s">
        <v>7</v>
      </c>
    </row>
    <row r="235" spans="1:100" x14ac:dyDescent="0.25">
      <c r="A235" s="30">
        <v>1.2762815625000004</v>
      </c>
      <c r="C235"/>
      <c r="E235" t="s">
        <v>8</v>
      </c>
      <c r="F235" s="27" t="s">
        <v>7</v>
      </c>
    </row>
    <row r="236" spans="1:100" x14ac:dyDescent="0.25">
      <c r="A236" s="30">
        <v>1.2155062500000002</v>
      </c>
      <c r="E236" t="s">
        <v>8</v>
      </c>
      <c r="F236" s="27" t="s">
        <v>7</v>
      </c>
    </row>
    <row r="237" spans="1:10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CS237" s="31" t="s">
        <v>8</v>
      </c>
    </row>
    <row r="238" spans="1:100" x14ac:dyDescent="0.25">
      <c r="A238" s="30">
        <v>1.1025</v>
      </c>
      <c r="E238" t="s">
        <v>8</v>
      </c>
      <c r="F238" s="27" t="s">
        <v>7</v>
      </c>
      <c r="CS238" s="27" t="s">
        <v>8</v>
      </c>
      <c r="CT238" s="31" t="s">
        <v>7</v>
      </c>
    </row>
    <row r="239" spans="1:100" x14ac:dyDescent="0.25">
      <c r="A239" s="30">
        <v>1.05</v>
      </c>
      <c r="E239" t="s">
        <v>8</v>
      </c>
      <c r="F239" s="27" t="s">
        <v>7</v>
      </c>
      <c r="CS239" s="27" t="s">
        <v>8</v>
      </c>
      <c r="CT239" s="27" t="s">
        <v>7</v>
      </c>
      <c r="CU239" s="31"/>
    </row>
    <row r="240" spans="1:100" x14ac:dyDescent="0.25">
      <c r="A240" s="30">
        <v>1</v>
      </c>
      <c r="E240" s="29" t="s">
        <v>8</v>
      </c>
      <c r="F240" s="27" t="s">
        <v>7</v>
      </c>
      <c r="CG240" s="27" t="s">
        <v>8</v>
      </c>
      <c r="CI240" s="27" t="s">
        <v>8</v>
      </c>
      <c r="CS240" s="27" t="s">
        <v>8</v>
      </c>
      <c r="CT240" s="27" t="s">
        <v>7</v>
      </c>
      <c r="CV240" s="31"/>
    </row>
    <row r="241" spans="1:150" x14ac:dyDescent="0.25">
      <c r="A241" s="30">
        <v>0.952380952380952</v>
      </c>
      <c r="B241"/>
      <c r="C241"/>
      <c r="D241"/>
      <c r="E241"/>
      <c r="F241" s="27" t="s">
        <v>7</v>
      </c>
      <c r="CE241" s="27" t="s">
        <v>8</v>
      </c>
      <c r="CG241" s="27" t="s">
        <v>8</v>
      </c>
      <c r="CH241" s="27" t="s">
        <v>7</v>
      </c>
      <c r="CI241" s="27" t="s">
        <v>8</v>
      </c>
      <c r="CJ241" s="27" t="s">
        <v>7</v>
      </c>
      <c r="CS241" s="27" t="s">
        <v>8</v>
      </c>
      <c r="CT241" s="27" t="s">
        <v>7</v>
      </c>
      <c r="CW241" s="31"/>
    </row>
    <row r="242" spans="1:150" x14ac:dyDescent="0.25">
      <c r="A242" s="30">
        <v>0.90702947845804915</v>
      </c>
      <c r="B242"/>
      <c r="C242"/>
      <c r="D242"/>
      <c r="E242"/>
      <c r="F242" s="27" t="s">
        <v>7</v>
      </c>
      <c r="CE242" s="27" t="s">
        <v>8</v>
      </c>
      <c r="CF242" s="27" t="s">
        <v>7</v>
      </c>
      <c r="CG242" s="27" t="s">
        <v>8</v>
      </c>
      <c r="CH242" s="27" t="s">
        <v>7</v>
      </c>
      <c r="CI242" s="27" t="s">
        <v>8</v>
      </c>
      <c r="CJ242" s="27" t="s">
        <v>7</v>
      </c>
      <c r="CQ242" s="27" t="s">
        <v>8</v>
      </c>
      <c r="CS242" s="27" t="s">
        <v>8</v>
      </c>
      <c r="CT242" s="27" t="s">
        <v>7</v>
      </c>
      <c r="CX242" s="31"/>
    </row>
    <row r="243" spans="1:150" x14ac:dyDescent="0.25">
      <c r="A243" s="30">
        <v>0.86383759853147501</v>
      </c>
      <c r="B243"/>
      <c r="C243"/>
      <c r="D243"/>
      <c r="E243"/>
      <c r="F243" s="27" t="s">
        <v>7</v>
      </c>
      <c r="CC243" s="27" t="s">
        <v>8</v>
      </c>
      <c r="CE243" s="27" t="s">
        <v>8</v>
      </c>
      <c r="CF243" s="27" t="s">
        <v>7</v>
      </c>
      <c r="CG243" s="27" t="s">
        <v>8</v>
      </c>
      <c r="CH243" s="27" t="s">
        <v>7</v>
      </c>
      <c r="CJ243" s="27" t="s">
        <v>7</v>
      </c>
      <c r="CQ243" s="27" t="s">
        <v>8</v>
      </c>
      <c r="CR243" s="27" t="s">
        <v>7</v>
      </c>
      <c r="CS243" s="27" t="s">
        <v>8</v>
      </c>
      <c r="CT243" s="27" t="s">
        <v>7</v>
      </c>
      <c r="CU243" s="27" t="s">
        <v>8</v>
      </c>
      <c r="CY243" s="31"/>
    </row>
    <row r="244" spans="1:150" x14ac:dyDescent="0.25">
      <c r="A244" s="30">
        <v>0.82270247479188063</v>
      </c>
      <c r="B244"/>
      <c r="C244"/>
      <c r="D244"/>
      <c r="E244"/>
      <c r="F244" s="27" t="s">
        <v>7</v>
      </c>
      <c r="BI244" s="27" t="s">
        <v>8</v>
      </c>
      <c r="CC244" s="27" t="s">
        <v>8</v>
      </c>
      <c r="CD244" s="27" t="s">
        <v>7</v>
      </c>
      <c r="CE244" s="27" t="s">
        <v>8</v>
      </c>
      <c r="CF244" s="27" t="s">
        <v>7</v>
      </c>
      <c r="CG244" s="27" t="s">
        <v>8</v>
      </c>
      <c r="CJ244" s="27" t="s">
        <v>7</v>
      </c>
      <c r="CM244" s="27" t="s">
        <v>8</v>
      </c>
      <c r="CO244" s="27" t="s">
        <v>8</v>
      </c>
      <c r="CQ244" s="27" t="s">
        <v>8</v>
      </c>
      <c r="CR244" s="27" t="s">
        <v>7</v>
      </c>
      <c r="CS244" s="27" t="s">
        <v>8</v>
      </c>
      <c r="CT244" s="27" t="s">
        <v>7</v>
      </c>
      <c r="CU244" s="27" t="s">
        <v>8</v>
      </c>
      <c r="CV244" s="27" t="s">
        <v>7</v>
      </c>
      <c r="CZ244" s="31"/>
    </row>
    <row r="245" spans="1:150" x14ac:dyDescent="0.25">
      <c r="A245" s="30">
        <v>0.78352616646845741</v>
      </c>
      <c r="B245"/>
      <c r="C245"/>
      <c r="D245"/>
      <c r="E245"/>
      <c r="F245" s="27" t="s">
        <v>7</v>
      </c>
      <c r="BI245" s="27" t="s">
        <v>8</v>
      </c>
      <c r="BJ245" s="27" t="s">
        <v>7</v>
      </c>
      <c r="CC245" s="27" t="s">
        <v>8</v>
      </c>
      <c r="CD245" s="27" t="s">
        <v>7</v>
      </c>
      <c r="CE245" s="27" t="s">
        <v>8</v>
      </c>
      <c r="CF245" s="27" t="s">
        <v>7</v>
      </c>
      <c r="CJ245" s="27" t="s">
        <v>7</v>
      </c>
      <c r="CK245" s="27" t="s">
        <v>8</v>
      </c>
      <c r="CM245" s="27" t="s">
        <v>8</v>
      </c>
      <c r="CN245" s="27" t="s">
        <v>7</v>
      </c>
      <c r="CO245" s="27" t="s">
        <v>8</v>
      </c>
      <c r="CP245" s="27" t="s">
        <v>7</v>
      </c>
      <c r="CQ245" s="27" t="s">
        <v>8</v>
      </c>
      <c r="CR245" s="27" t="s">
        <v>7</v>
      </c>
      <c r="CT245" s="27" t="s">
        <v>7</v>
      </c>
      <c r="CU245" s="27" t="s">
        <v>8</v>
      </c>
      <c r="CV245" s="27" t="s">
        <v>7</v>
      </c>
      <c r="CW245" s="27" t="s">
        <v>8</v>
      </c>
      <c r="DA245" s="31"/>
    </row>
    <row r="246" spans="1:150" x14ac:dyDescent="0.25">
      <c r="A246" s="30">
        <v>0.74621539663662584</v>
      </c>
      <c r="B246"/>
      <c r="C246"/>
      <c r="D246"/>
      <c r="E246"/>
      <c r="F246" s="27" t="s">
        <v>7</v>
      </c>
      <c r="I246" s="27" t="s">
        <v>8</v>
      </c>
      <c r="BI246" s="27" t="s">
        <v>8</v>
      </c>
      <c r="BJ246" s="27" t="s">
        <v>7</v>
      </c>
      <c r="BM246" s="27" t="s">
        <v>8</v>
      </c>
      <c r="CA246" s="27" t="s">
        <v>8</v>
      </c>
      <c r="CC246" s="27" t="s">
        <v>8</v>
      </c>
      <c r="CD246" s="27" t="s">
        <v>7</v>
      </c>
      <c r="CJ246" s="27" t="s">
        <v>7</v>
      </c>
      <c r="CK246" s="27" t="s">
        <v>8</v>
      </c>
      <c r="CL246" s="27" t="s">
        <v>7</v>
      </c>
      <c r="CM246" s="27" t="s">
        <v>8</v>
      </c>
      <c r="CN246" s="27" t="s">
        <v>7</v>
      </c>
      <c r="CO246" s="27" t="s">
        <v>8</v>
      </c>
      <c r="CP246" s="27" t="s">
        <v>7</v>
      </c>
      <c r="CQ246" s="27" t="s">
        <v>8</v>
      </c>
      <c r="CT246" s="27" t="s">
        <v>7</v>
      </c>
      <c r="CU246" s="27" t="s">
        <v>8</v>
      </c>
      <c r="CV246" s="27" t="s">
        <v>7</v>
      </c>
      <c r="CW246" s="27" t="s">
        <v>8</v>
      </c>
      <c r="CX246" s="27" t="s">
        <v>7</v>
      </c>
      <c r="DB246" s="31"/>
    </row>
    <row r="247" spans="1:150" x14ac:dyDescent="0.25">
      <c r="A247" s="30">
        <v>0.71068133013011958</v>
      </c>
      <c r="B247"/>
      <c r="C247"/>
      <c r="D247"/>
      <c r="E247"/>
      <c r="F247" s="27" t="s">
        <v>7</v>
      </c>
      <c r="I247" s="27" t="s">
        <v>8</v>
      </c>
      <c r="J247" s="27" t="s">
        <v>7</v>
      </c>
      <c r="BI247" s="27" t="s">
        <v>8</v>
      </c>
      <c r="BJ247" s="27" t="s">
        <v>7</v>
      </c>
      <c r="BM247" s="27" t="s">
        <v>8</v>
      </c>
      <c r="BN247" s="27" t="s">
        <v>7</v>
      </c>
      <c r="CA247" s="27" t="s">
        <v>8</v>
      </c>
      <c r="CB247" s="27" t="s">
        <v>7</v>
      </c>
      <c r="CC247" s="27" t="s">
        <v>8</v>
      </c>
      <c r="CJ247" s="27" t="s">
        <v>7</v>
      </c>
      <c r="CK247" s="27" t="s">
        <v>8</v>
      </c>
      <c r="CL247" s="27" t="s">
        <v>7</v>
      </c>
      <c r="CM247" s="27" t="s">
        <v>8</v>
      </c>
      <c r="CN247" s="27" t="s">
        <v>7</v>
      </c>
      <c r="CO247" s="27" t="s">
        <v>8</v>
      </c>
      <c r="CP247" s="27" t="s">
        <v>7</v>
      </c>
      <c r="CT247" s="27" t="s">
        <v>7</v>
      </c>
      <c r="CU247" s="27" t="s">
        <v>8</v>
      </c>
      <c r="CV247" s="27" t="s">
        <v>7</v>
      </c>
      <c r="CW247" s="27" t="s">
        <v>8</v>
      </c>
      <c r="CX247" s="27" t="s">
        <v>7</v>
      </c>
      <c r="CY247" s="27" t="s">
        <v>8</v>
      </c>
      <c r="DC247" s="31"/>
    </row>
    <row r="248" spans="1:150" x14ac:dyDescent="0.25">
      <c r="A248" s="30">
        <v>0.676839362028685</v>
      </c>
      <c r="B248"/>
      <c r="C248"/>
      <c r="D248"/>
      <c r="E248"/>
      <c r="F248" s="27" t="s">
        <v>7</v>
      </c>
      <c r="I248" s="27" t="s">
        <v>8</v>
      </c>
      <c r="J248" s="27" t="s">
        <v>7</v>
      </c>
      <c r="K248" s="27" t="s">
        <v>8</v>
      </c>
      <c r="BI248" s="27" t="s">
        <v>8</v>
      </c>
      <c r="BJ248" s="27" t="s">
        <v>7</v>
      </c>
      <c r="BM248" s="27" t="s">
        <v>8</v>
      </c>
      <c r="BN248" s="27" t="s">
        <v>7</v>
      </c>
      <c r="BY248" s="27" t="s">
        <v>8</v>
      </c>
      <c r="CA248" s="27" t="s">
        <v>8</v>
      </c>
      <c r="CB248" s="27" t="s">
        <v>7</v>
      </c>
      <c r="CC248" s="27" t="s">
        <v>8</v>
      </c>
      <c r="CJ248" s="27" t="s">
        <v>7</v>
      </c>
      <c r="CK248" s="27" t="s">
        <v>8</v>
      </c>
      <c r="CL248" s="27" t="s">
        <v>7</v>
      </c>
      <c r="CM248" s="27" t="s">
        <v>8</v>
      </c>
      <c r="CN248" s="27" t="s">
        <v>7</v>
      </c>
      <c r="CO248" s="27" t="s">
        <v>8</v>
      </c>
      <c r="CT248" s="27" t="s">
        <v>7</v>
      </c>
      <c r="CV248" s="27" t="s">
        <v>7</v>
      </c>
      <c r="CW248" s="27" t="s">
        <v>8</v>
      </c>
      <c r="CX248" s="27" t="s">
        <v>7</v>
      </c>
      <c r="CY248" s="27" t="s">
        <v>8</v>
      </c>
      <c r="CZ248" s="27" t="s">
        <v>7</v>
      </c>
      <c r="DD248" s="31"/>
    </row>
    <row r="249" spans="1:150" x14ac:dyDescent="0.25">
      <c r="A249" s="30">
        <v>0.64460891621779492</v>
      </c>
      <c r="B249"/>
      <c r="C249"/>
      <c r="D249"/>
      <c r="E249"/>
      <c r="F249" s="27" t="s">
        <v>7</v>
      </c>
      <c r="I249" s="27" t="s">
        <v>8</v>
      </c>
      <c r="J249" s="27" t="s">
        <v>7</v>
      </c>
      <c r="K249" s="27" t="s">
        <v>8</v>
      </c>
      <c r="L249" s="27" t="s">
        <v>7</v>
      </c>
      <c r="BI249" s="27" t="s">
        <v>8</v>
      </c>
      <c r="BJ249" s="27" t="s">
        <v>7</v>
      </c>
      <c r="BK249" s="27" t="s">
        <v>8</v>
      </c>
      <c r="BM249" s="27" t="s">
        <v>8</v>
      </c>
      <c r="BN249" s="27" t="s">
        <v>7</v>
      </c>
      <c r="BY249" s="27" t="s">
        <v>8</v>
      </c>
      <c r="BZ249" s="27" t="s">
        <v>7</v>
      </c>
      <c r="CA249" s="27" t="s">
        <v>8</v>
      </c>
      <c r="CB249" s="27" t="s">
        <v>7</v>
      </c>
      <c r="CJ249" s="27" t="s">
        <v>7</v>
      </c>
      <c r="CL249" s="27" t="s">
        <v>7</v>
      </c>
      <c r="CM249" s="27" t="s">
        <v>8</v>
      </c>
      <c r="CN249" s="27" t="s">
        <v>7</v>
      </c>
      <c r="CO249" s="27" t="s">
        <v>8</v>
      </c>
      <c r="CV249" s="27" t="s">
        <v>7</v>
      </c>
      <c r="CX249" s="27" t="s">
        <v>7</v>
      </c>
      <c r="CY249" s="27" t="s">
        <v>8</v>
      </c>
      <c r="CZ249" s="27" t="s">
        <v>7</v>
      </c>
      <c r="DE249" s="31"/>
    </row>
    <row r="250" spans="1:150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I250" s="27" t="s">
        <v>8</v>
      </c>
      <c r="J250" s="27" t="s">
        <v>7</v>
      </c>
      <c r="K250" s="27" t="s">
        <v>8</v>
      </c>
      <c r="L250" s="27" t="s">
        <v>7</v>
      </c>
      <c r="BI250" s="27" t="s">
        <v>8</v>
      </c>
      <c r="BJ250" s="27" t="s">
        <v>7</v>
      </c>
      <c r="BK250" s="27" t="s">
        <v>8</v>
      </c>
      <c r="BL250" s="27" t="s">
        <v>7</v>
      </c>
      <c r="BM250" s="27" t="s">
        <v>8</v>
      </c>
      <c r="BN250" s="27" t="s">
        <v>7</v>
      </c>
      <c r="BY250" s="27" t="s">
        <v>8</v>
      </c>
      <c r="BZ250" s="27" t="s">
        <v>7</v>
      </c>
      <c r="CA250" s="27" t="s">
        <v>8</v>
      </c>
      <c r="CL250" s="27" t="s">
        <v>7</v>
      </c>
      <c r="CN250" s="27" t="s">
        <v>7</v>
      </c>
      <c r="CO250" s="27" t="s">
        <v>8</v>
      </c>
      <c r="CX250" s="27" t="s">
        <v>7</v>
      </c>
      <c r="CY250" s="27" t="s">
        <v>8</v>
      </c>
      <c r="CZ250" s="27" t="s">
        <v>7</v>
      </c>
      <c r="DF250" s="31"/>
    </row>
    <row r="251" spans="1:150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J251" s="27" t="s">
        <v>7</v>
      </c>
      <c r="K251" s="27" t="s">
        <v>8</v>
      </c>
      <c r="L251" s="27" t="s">
        <v>7</v>
      </c>
      <c r="BI251" s="27" t="s">
        <v>8</v>
      </c>
      <c r="BJ251" s="27" t="s">
        <v>7</v>
      </c>
      <c r="BK251" s="27" t="s">
        <v>8</v>
      </c>
      <c r="BL251" s="27" t="s">
        <v>7</v>
      </c>
      <c r="BM251" s="27" t="s">
        <v>8</v>
      </c>
      <c r="BN251" s="27" t="s">
        <v>7</v>
      </c>
      <c r="BY251" s="27" t="s">
        <v>8</v>
      </c>
      <c r="BZ251" s="27" t="s">
        <v>7</v>
      </c>
      <c r="CA251" s="27" t="s">
        <v>8</v>
      </c>
      <c r="CN251" s="27" t="s">
        <v>7</v>
      </c>
      <c r="CO251" s="27" t="s">
        <v>8</v>
      </c>
      <c r="CX251" s="27" t="s">
        <v>7</v>
      </c>
      <c r="CZ251" s="27" t="s">
        <v>7</v>
      </c>
      <c r="DG251" s="31"/>
    </row>
    <row r="252" spans="1:150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BG252" s="27" t="s">
        <v>8</v>
      </c>
      <c r="BI252" s="27" t="s">
        <v>8</v>
      </c>
      <c r="BJ252" s="27" t="s">
        <v>7</v>
      </c>
      <c r="BK252" s="27" t="s">
        <v>8</v>
      </c>
      <c r="BL252" s="27" t="s">
        <v>7</v>
      </c>
      <c r="BN252" s="27" t="s">
        <v>7</v>
      </c>
      <c r="BU252" s="27" t="s">
        <v>8</v>
      </c>
      <c r="BW252" s="27" t="s">
        <v>8</v>
      </c>
      <c r="BY252" s="27" t="s">
        <v>8</v>
      </c>
      <c r="BZ252" s="27" t="s">
        <v>7</v>
      </c>
      <c r="CA252" s="27" t="s">
        <v>8</v>
      </c>
      <c r="CN252" s="27" t="s">
        <v>7</v>
      </c>
      <c r="CO252" s="27" t="s">
        <v>8</v>
      </c>
      <c r="CZ252" s="27" t="s">
        <v>7</v>
      </c>
      <c r="DH252" s="31"/>
    </row>
    <row r="253" spans="1:150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J253" s="27" t="s">
        <v>7</v>
      </c>
      <c r="L253" s="27" t="s">
        <v>7</v>
      </c>
      <c r="M253" s="27" t="s">
        <v>8</v>
      </c>
      <c r="BE253" s="27" t="s">
        <v>8</v>
      </c>
      <c r="BG253" s="27" t="s">
        <v>8</v>
      </c>
      <c r="BH253" s="27" t="s">
        <v>7</v>
      </c>
      <c r="BI253" s="27" t="s">
        <v>8</v>
      </c>
      <c r="BJ253" s="27" t="s">
        <v>7</v>
      </c>
      <c r="BK253" s="27" t="s">
        <v>8</v>
      </c>
      <c r="BN253" s="27" t="s">
        <v>7</v>
      </c>
      <c r="BU253" s="27" t="s">
        <v>8</v>
      </c>
      <c r="BV253" s="27" t="s">
        <v>7</v>
      </c>
      <c r="BW253" s="27" t="s">
        <v>8</v>
      </c>
      <c r="BX253" s="27" t="s">
        <v>7</v>
      </c>
      <c r="BY253" s="27" t="s">
        <v>8</v>
      </c>
      <c r="BZ253" s="27" t="s">
        <v>7</v>
      </c>
      <c r="CA253" s="27" t="s">
        <v>8</v>
      </c>
      <c r="CN253" s="27" t="s">
        <v>7</v>
      </c>
      <c r="CZ253" s="27" t="s">
        <v>7</v>
      </c>
      <c r="DI253" s="31"/>
    </row>
    <row r="254" spans="1:150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I254" s="27" t="s">
        <v>8</v>
      </c>
      <c r="L254" s="27" t="s">
        <v>7</v>
      </c>
      <c r="M254" s="27" t="s">
        <v>8</v>
      </c>
      <c r="N254" s="27" t="s">
        <v>7</v>
      </c>
      <c r="BE254" s="27" t="s">
        <v>8</v>
      </c>
      <c r="BF254" s="27" t="s">
        <v>7</v>
      </c>
      <c r="BG254" s="27" t="s">
        <v>8</v>
      </c>
      <c r="BH254" s="27" t="s">
        <v>7</v>
      </c>
      <c r="BI254" s="27" t="s">
        <v>8</v>
      </c>
      <c r="BJ254" s="27" t="s">
        <v>7</v>
      </c>
      <c r="BN254" s="27" t="s">
        <v>7</v>
      </c>
      <c r="BS254" s="27" t="s">
        <v>8</v>
      </c>
      <c r="BU254" s="27" t="s">
        <v>8</v>
      </c>
      <c r="BV254" s="27" t="s">
        <v>7</v>
      </c>
      <c r="BW254" s="27" t="s">
        <v>8</v>
      </c>
      <c r="BX254" s="27" t="s">
        <v>7</v>
      </c>
      <c r="BY254" s="27" t="s">
        <v>8</v>
      </c>
      <c r="BZ254" s="27" t="s">
        <v>7</v>
      </c>
      <c r="CA254" s="27" t="s">
        <v>8</v>
      </c>
      <c r="CZ254" s="27" t="s">
        <v>7</v>
      </c>
      <c r="DJ254" s="31"/>
    </row>
    <row r="255" spans="1:150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I255" s="27" t="s">
        <v>8</v>
      </c>
      <c r="L255" s="27" t="s">
        <v>7</v>
      </c>
      <c r="M255" s="27" t="s">
        <v>8</v>
      </c>
      <c r="N255" s="27" t="s">
        <v>7</v>
      </c>
      <c r="BE255" s="27" t="s">
        <v>8</v>
      </c>
      <c r="BF255" s="27" t="s">
        <v>7</v>
      </c>
      <c r="BG255" s="27" t="s">
        <v>8</v>
      </c>
      <c r="BH255" s="27" t="s">
        <v>7</v>
      </c>
      <c r="BN255" s="27" t="s">
        <v>7</v>
      </c>
      <c r="BO255" s="27" t="s">
        <v>8</v>
      </c>
      <c r="BS255" s="27" t="s">
        <v>8</v>
      </c>
      <c r="BT255" s="27" t="s">
        <v>7</v>
      </c>
      <c r="BU255" s="27" t="s">
        <v>8</v>
      </c>
      <c r="BV255" s="27" t="s">
        <v>7</v>
      </c>
      <c r="BW255" s="27" t="s">
        <v>8</v>
      </c>
      <c r="BX255" s="27" t="s">
        <v>7</v>
      </c>
      <c r="BY255" s="27" t="s">
        <v>8</v>
      </c>
      <c r="BZ255" s="27" t="s">
        <v>7</v>
      </c>
      <c r="CA255" s="27" t="s">
        <v>8</v>
      </c>
      <c r="CZ255" s="27" t="s">
        <v>7</v>
      </c>
      <c r="DK255" s="31"/>
      <c r="ES255" s="27" t="s">
        <v>8</v>
      </c>
    </row>
    <row r="256" spans="1:150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L256" s="27" t="s">
        <v>7</v>
      </c>
      <c r="M256" s="27" t="s">
        <v>8</v>
      </c>
      <c r="N256" s="27" t="s">
        <v>7</v>
      </c>
      <c r="BE256" s="27" t="s">
        <v>8</v>
      </c>
      <c r="BF256" s="27" t="s">
        <v>7</v>
      </c>
      <c r="BG256" s="27" t="s">
        <v>8</v>
      </c>
      <c r="BN256" s="27" t="s">
        <v>7</v>
      </c>
      <c r="BO256" s="27" t="s">
        <v>8</v>
      </c>
      <c r="BP256" s="27" t="s">
        <v>7</v>
      </c>
      <c r="BS256" s="27" t="s">
        <v>8</v>
      </c>
      <c r="BT256" s="27" t="s">
        <v>7</v>
      </c>
      <c r="BU256" s="27" t="s">
        <v>8</v>
      </c>
      <c r="BV256" s="27" t="s">
        <v>7</v>
      </c>
      <c r="BX256" s="27" t="s">
        <v>7</v>
      </c>
      <c r="BZ256" s="27" t="s">
        <v>7</v>
      </c>
      <c r="CA256" s="27" t="s">
        <v>8</v>
      </c>
      <c r="CZ256" s="27" t="s">
        <v>7</v>
      </c>
      <c r="DL256" s="31"/>
      <c r="EC256" s="27" t="s">
        <v>8</v>
      </c>
      <c r="ES256" s="27" t="s">
        <v>8</v>
      </c>
      <c r="ET256" s="27" t="s">
        <v>7</v>
      </c>
    </row>
    <row r="257" spans="1:162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L257" s="27" t="s">
        <v>7</v>
      </c>
      <c r="M257" s="27" t="s">
        <v>8</v>
      </c>
      <c r="N257" s="27" t="s">
        <v>7</v>
      </c>
      <c r="BE257" s="27" t="s">
        <v>8</v>
      </c>
      <c r="BF257" s="27" t="s">
        <v>7</v>
      </c>
      <c r="BG257" s="27" t="s">
        <v>8</v>
      </c>
      <c r="BN257" s="27" t="s">
        <v>7</v>
      </c>
      <c r="BO257" s="27" t="s">
        <v>8</v>
      </c>
      <c r="BP257" s="27" t="s">
        <v>7</v>
      </c>
      <c r="BQ257" s="27" t="s">
        <v>8</v>
      </c>
      <c r="BS257" s="27" t="s">
        <v>8</v>
      </c>
      <c r="BT257" s="27" t="s">
        <v>7</v>
      </c>
      <c r="BU257" s="27" t="s">
        <v>8</v>
      </c>
      <c r="BZ257" s="27" t="s">
        <v>7</v>
      </c>
      <c r="CZ257" s="27" t="s">
        <v>7</v>
      </c>
      <c r="DM257" s="31"/>
      <c r="EC257" s="27" t="s">
        <v>8</v>
      </c>
      <c r="ED257" s="27" t="s">
        <v>7</v>
      </c>
      <c r="EE257" s="27" t="s">
        <v>8</v>
      </c>
      <c r="ES257" s="27" t="s">
        <v>8</v>
      </c>
      <c r="ET257" s="27" t="s">
        <v>7</v>
      </c>
    </row>
    <row r="258" spans="1:162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L258" s="27" t="s">
        <v>7</v>
      </c>
      <c r="N258" s="27" t="s">
        <v>7</v>
      </c>
      <c r="BA258" s="27" t="s">
        <v>8</v>
      </c>
      <c r="BE258" s="27" t="s">
        <v>8</v>
      </c>
      <c r="BF258" s="27" t="s">
        <v>7</v>
      </c>
      <c r="BG258" s="27" t="s">
        <v>8</v>
      </c>
      <c r="BN258" s="27" t="s">
        <v>7</v>
      </c>
      <c r="BO258" s="27" t="s">
        <v>8</v>
      </c>
      <c r="BP258" s="27" t="s">
        <v>7</v>
      </c>
      <c r="BQ258" s="27" t="s">
        <v>8</v>
      </c>
      <c r="BR258" s="27" t="s">
        <v>7</v>
      </c>
      <c r="BS258" s="27" t="s">
        <v>8</v>
      </c>
      <c r="BT258" s="27" t="s">
        <v>7</v>
      </c>
      <c r="CZ258" s="27" t="s">
        <v>7</v>
      </c>
      <c r="DA258" s="27" t="s">
        <v>8</v>
      </c>
      <c r="DN258" s="31"/>
      <c r="EA258" s="27" t="s">
        <v>8</v>
      </c>
      <c r="EC258" s="27" t="s">
        <v>8</v>
      </c>
      <c r="ED258" s="27" t="s">
        <v>7</v>
      </c>
      <c r="EE258" s="27" t="s">
        <v>8</v>
      </c>
      <c r="EF258" s="27" t="s">
        <v>7</v>
      </c>
      <c r="ES258" s="27" t="s">
        <v>8</v>
      </c>
      <c r="ET258" s="27" t="s">
        <v>7</v>
      </c>
      <c r="FA258" s="27" t="s">
        <v>8</v>
      </c>
    </row>
    <row r="259" spans="1:162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N259" s="27" t="s">
        <v>7</v>
      </c>
      <c r="BA259" s="27" t="s">
        <v>8</v>
      </c>
      <c r="BB259" s="27" t="s">
        <v>7</v>
      </c>
      <c r="BE259" s="27" t="s">
        <v>8</v>
      </c>
      <c r="BF259" s="27" t="s">
        <v>7</v>
      </c>
      <c r="BN259" s="27" t="s">
        <v>7</v>
      </c>
      <c r="BO259" s="27" t="s">
        <v>8</v>
      </c>
      <c r="BP259" s="27" t="s">
        <v>7</v>
      </c>
      <c r="BQ259" s="27" t="s">
        <v>8</v>
      </c>
      <c r="BR259" s="27" t="s">
        <v>7</v>
      </c>
      <c r="BS259" s="27" t="s">
        <v>8</v>
      </c>
      <c r="CZ259" s="27" t="s">
        <v>7</v>
      </c>
      <c r="DA259" s="27" t="s">
        <v>8</v>
      </c>
      <c r="DB259" s="27" t="s">
        <v>7</v>
      </c>
      <c r="DE259" s="27" t="s">
        <v>8</v>
      </c>
      <c r="DO259" s="31"/>
      <c r="EA259" s="27" t="s">
        <v>8</v>
      </c>
      <c r="EB259" s="27" t="s">
        <v>7</v>
      </c>
      <c r="EC259" s="27" t="s">
        <v>8</v>
      </c>
      <c r="ED259" s="27" t="s">
        <v>7</v>
      </c>
      <c r="EE259" s="27" t="s">
        <v>8</v>
      </c>
      <c r="EF259" s="27" t="s">
        <v>7</v>
      </c>
      <c r="ES259" s="27" t="s">
        <v>8</v>
      </c>
      <c r="ET259" s="27" t="s">
        <v>7</v>
      </c>
      <c r="FA259" s="27" t="s">
        <v>8</v>
      </c>
      <c r="FB259" s="27" t="s">
        <v>7</v>
      </c>
    </row>
    <row r="260" spans="1:162" x14ac:dyDescent="0.25">
      <c r="A260" s="30">
        <v>0.37688948287299762</v>
      </c>
      <c r="B260"/>
      <c r="C260"/>
      <c r="D260"/>
      <c r="E260"/>
      <c r="F260" s="27" t="s">
        <v>7</v>
      </c>
      <c r="N260" s="27" t="s">
        <v>7</v>
      </c>
      <c r="BA260" s="27" t="s">
        <v>8</v>
      </c>
      <c r="BB260" s="27" t="s">
        <v>7</v>
      </c>
      <c r="BE260" s="27" t="s">
        <v>8</v>
      </c>
      <c r="BN260" s="27" t="s">
        <v>7</v>
      </c>
      <c r="BO260" s="27" t="s">
        <v>8</v>
      </c>
      <c r="BP260" s="27" t="s">
        <v>7</v>
      </c>
      <c r="BQ260" s="27" t="s">
        <v>8</v>
      </c>
      <c r="BR260" s="27" t="s">
        <v>7</v>
      </c>
      <c r="BS260" s="27" t="s">
        <v>8</v>
      </c>
      <c r="CZ260" s="27" t="s">
        <v>7</v>
      </c>
      <c r="DA260" s="27" t="s">
        <v>8</v>
      </c>
      <c r="DB260" s="27" t="s">
        <v>7</v>
      </c>
      <c r="DE260" s="27" t="s">
        <v>8</v>
      </c>
      <c r="DF260" s="27" t="s">
        <v>7</v>
      </c>
      <c r="DG260" s="27" t="s">
        <v>8</v>
      </c>
      <c r="DP260" s="31"/>
      <c r="EA260" s="27" t="s">
        <v>8</v>
      </c>
      <c r="EB260" s="27" t="s">
        <v>7</v>
      </c>
      <c r="EC260" s="27" t="s">
        <v>8</v>
      </c>
      <c r="ED260" s="27" t="s">
        <v>7</v>
      </c>
      <c r="EE260" s="27" t="s">
        <v>8</v>
      </c>
      <c r="EF260" s="27" t="s">
        <v>7</v>
      </c>
      <c r="EQ260" s="27" t="s">
        <v>8</v>
      </c>
      <c r="ES260" s="27" t="s">
        <v>8</v>
      </c>
      <c r="ET260" s="27" t="s">
        <v>7</v>
      </c>
      <c r="FA260" s="27" t="s">
        <v>8</v>
      </c>
      <c r="FB260" s="27" t="s">
        <v>7</v>
      </c>
    </row>
    <row r="261" spans="1:162" x14ac:dyDescent="0.25">
      <c r="A261" s="30">
        <v>0.35894236464094997</v>
      </c>
      <c r="B261"/>
      <c r="C261"/>
      <c r="D261"/>
      <c r="E261"/>
      <c r="N261" s="27" t="s">
        <v>7</v>
      </c>
      <c r="AG261" s="27" t="s">
        <v>8</v>
      </c>
      <c r="BA261" s="27" t="s">
        <v>8</v>
      </c>
      <c r="BB261" s="27" t="s">
        <v>7</v>
      </c>
      <c r="BE261" s="27" t="s">
        <v>8</v>
      </c>
      <c r="BN261" s="27" t="s">
        <v>7</v>
      </c>
      <c r="BP261" s="27" t="s">
        <v>7</v>
      </c>
      <c r="BR261" s="27" t="s">
        <v>7</v>
      </c>
      <c r="CZ261" s="27" t="s">
        <v>7</v>
      </c>
      <c r="DA261" s="27" t="s">
        <v>8</v>
      </c>
      <c r="DB261" s="27" t="s">
        <v>7</v>
      </c>
      <c r="DE261" s="27" t="s">
        <v>8</v>
      </c>
      <c r="DF261" s="27" t="s">
        <v>7</v>
      </c>
      <c r="DG261" s="27" t="s">
        <v>8</v>
      </c>
      <c r="DH261" s="27" t="s">
        <v>7</v>
      </c>
      <c r="DQ261" s="31"/>
      <c r="EA261" s="27" t="s">
        <v>8</v>
      </c>
      <c r="EB261" s="27" t="s">
        <v>7</v>
      </c>
      <c r="EC261" s="27" t="s">
        <v>8</v>
      </c>
      <c r="ED261" s="27" t="s">
        <v>7</v>
      </c>
      <c r="EF261" s="27" t="s">
        <v>7</v>
      </c>
      <c r="EK261" s="27" t="s">
        <v>8</v>
      </c>
      <c r="EQ261" s="27" t="s">
        <v>8</v>
      </c>
      <c r="ER261" s="27" t="s">
        <v>7</v>
      </c>
      <c r="ES261" s="27" t="s">
        <v>8</v>
      </c>
      <c r="ET261" s="27" t="s">
        <v>7</v>
      </c>
      <c r="EU261" s="27" t="s">
        <v>8</v>
      </c>
      <c r="FA261" s="27" t="s">
        <v>8</v>
      </c>
      <c r="FB261" s="27" t="s">
        <v>7</v>
      </c>
    </row>
    <row r="262" spans="1:162" x14ac:dyDescent="0.25">
      <c r="A262" s="30">
        <v>0.34184987108661891</v>
      </c>
      <c r="B262"/>
      <c r="C262"/>
      <c r="D262"/>
      <c r="E262"/>
      <c r="N262" s="27" t="s">
        <v>7</v>
      </c>
      <c r="O262" s="27" t="s">
        <v>8</v>
      </c>
      <c r="AG262" s="27" t="s">
        <v>8</v>
      </c>
      <c r="AH262" s="27" t="s">
        <v>7</v>
      </c>
      <c r="BA262" s="27" t="s">
        <v>8</v>
      </c>
      <c r="BB262" s="27" t="s">
        <v>7</v>
      </c>
      <c r="BC262" s="27" t="s">
        <v>8</v>
      </c>
      <c r="BE262" s="27" t="s">
        <v>8</v>
      </c>
      <c r="CZ262" s="27" t="s">
        <v>7</v>
      </c>
      <c r="DA262" s="27" t="s">
        <v>8</v>
      </c>
      <c r="DB262" s="27" t="s">
        <v>7</v>
      </c>
      <c r="DE262" s="27" t="s">
        <v>8</v>
      </c>
      <c r="DF262" s="27" t="s">
        <v>7</v>
      </c>
      <c r="DG262" s="27" t="s">
        <v>8</v>
      </c>
      <c r="DH262" s="27" t="s">
        <v>7</v>
      </c>
      <c r="DK262" s="27" t="s">
        <v>8</v>
      </c>
      <c r="DR262" s="31"/>
      <c r="EA262" s="27" t="s">
        <v>8</v>
      </c>
      <c r="EB262" s="27" t="s">
        <v>7</v>
      </c>
      <c r="EC262" s="27" t="s">
        <v>8</v>
      </c>
      <c r="EF262" s="27" t="s">
        <v>7</v>
      </c>
      <c r="EI262" s="27" t="s">
        <v>8</v>
      </c>
      <c r="EK262" s="27" t="s">
        <v>8</v>
      </c>
      <c r="EL262" s="27" t="s">
        <v>7</v>
      </c>
      <c r="EM262" s="27" t="s">
        <v>8</v>
      </c>
      <c r="EQ262" s="27" t="s">
        <v>8</v>
      </c>
      <c r="ER262" s="27" t="s">
        <v>7</v>
      </c>
      <c r="ES262" s="27" t="s">
        <v>8</v>
      </c>
      <c r="ET262" s="27" t="s">
        <v>7</v>
      </c>
      <c r="EU262" s="27" t="s">
        <v>8</v>
      </c>
      <c r="EV262" s="27" t="s">
        <v>7</v>
      </c>
      <c r="FA262" s="27" t="s">
        <v>8</v>
      </c>
      <c r="FB262" s="27" t="s">
        <v>7</v>
      </c>
    </row>
    <row r="263" spans="1:162" x14ac:dyDescent="0.25">
      <c r="A263" s="30">
        <v>0.32557130579677979</v>
      </c>
      <c r="B263"/>
      <c r="C263"/>
      <c r="D263"/>
      <c r="E263"/>
      <c r="N263" s="27" t="s">
        <v>7</v>
      </c>
      <c r="O263" s="27" t="s">
        <v>8</v>
      </c>
      <c r="P263" s="27" t="s">
        <v>7</v>
      </c>
      <c r="AG263" s="27" t="s">
        <v>8</v>
      </c>
      <c r="AH263" s="27" t="s">
        <v>7</v>
      </c>
      <c r="BA263" s="27" t="s">
        <v>8</v>
      </c>
      <c r="BB263" s="27" t="s">
        <v>7</v>
      </c>
      <c r="BC263" s="27" t="s">
        <v>8</v>
      </c>
      <c r="BD263" s="27" t="s">
        <v>7</v>
      </c>
      <c r="BE263" s="27" t="s">
        <v>8</v>
      </c>
      <c r="CZ263" s="27" t="s">
        <v>7</v>
      </c>
      <c r="DA263" s="27" t="s">
        <v>8</v>
      </c>
      <c r="DB263" s="27" t="s">
        <v>7</v>
      </c>
      <c r="DE263" s="27" t="s">
        <v>8</v>
      </c>
      <c r="DF263" s="27" t="s">
        <v>7</v>
      </c>
      <c r="DG263" s="27" t="s">
        <v>8</v>
      </c>
      <c r="DH263" s="27" t="s">
        <v>7</v>
      </c>
      <c r="DK263" s="27" t="s">
        <v>8</v>
      </c>
      <c r="DL263" s="27" t="s">
        <v>7</v>
      </c>
      <c r="DS263" s="31"/>
      <c r="EA263" s="27" t="s">
        <v>8</v>
      </c>
      <c r="EB263" s="27" t="s">
        <v>7</v>
      </c>
      <c r="EF263" s="27" t="s">
        <v>7</v>
      </c>
      <c r="EG263" s="27" t="s">
        <v>8</v>
      </c>
      <c r="EI263" s="27" t="s">
        <v>8</v>
      </c>
      <c r="EJ263" s="27" t="s">
        <v>7</v>
      </c>
      <c r="EK263" s="27" t="s">
        <v>8</v>
      </c>
      <c r="EL263" s="27" t="s">
        <v>7</v>
      </c>
      <c r="EM263" s="27" t="s">
        <v>8</v>
      </c>
      <c r="EN263" s="27" t="s">
        <v>7</v>
      </c>
      <c r="EQ263" s="27" t="s">
        <v>8</v>
      </c>
      <c r="ER263" s="27" t="s">
        <v>7</v>
      </c>
      <c r="ET263" s="27" t="s">
        <v>7</v>
      </c>
      <c r="EU263" s="27" t="s">
        <v>8</v>
      </c>
      <c r="EV263" s="27" t="s">
        <v>7</v>
      </c>
      <c r="EY263" s="27" t="s">
        <v>8</v>
      </c>
      <c r="FA263" s="27" t="s">
        <v>8</v>
      </c>
      <c r="FB263" s="27" t="s">
        <v>7</v>
      </c>
      <c r="FC263" s="27" t="s">
        <v>8</v>
      </c>
    </row>
    <row r="264" spans="1:162" x14ac:dyDescent="0.25">
      <c r="A264" s="30">
        <v>0.3100679102826473</v>
      </c>
      <c r="B264"/>
      <c r="C264"/>
      <c r="D264"/>
      <c r="E264"/>
      <c r="N264" s="27" t="s">
        <v>7</v>
      </c>
      <c r="O264" s="27" t="s">
        <v>8</v>
      </c>
      <c r="P264" s="27" t="s">
        <v>7</v>
      </c>
      <c r="AG264" s="27" t="s">
        <v>8</v>
      </c>
      <c r="AH264" s="27" t="s">
        <v>7</v>
      </c>
      <c r="AI264" s="27" t="s">
        <v>8</v>
      </c>
      <c r="AW264" s="27" t="s">
        <v>8</v>
      </c>
      <c r="BA264" s="27" t="s">
        <v>8</v>
      </c>
      <c r="BB264" s="27" t="s">
        <v>7</v>
      </c>
      <c r="BC264" s="27" t="s">
        <v>8</v>
      </c>
      <c r="BD264" s="27" t="s">
        <v>7</v>
      </c>
      <c r="BE264" s="27" t="s">
        <v>8</v>
      </c>
      <c r="CZ264" s="27" t="s">
        <v>7</v>
      </c>
      <c r="DA264" s="27" t="s">
        <v>8</v>
      </c>
      <c r="DB264" s="27" t="s">
        <v>7</v>
      </c>
      <c r="DC264" s="27" t="s">
        <v>8</v>
      </c>
      <c r="DE264" s="27" t="s">
        <v>8</v>
      </c>
      <c r="DF264" s="27" t="s">
        <v>7</v>
      </c>
      <c r="DG264" s="27" t="s">
        <v>8</v>
      </c>
      <c r="DH264" s="27" t="s">
        <v>7</v>
      </c>
      <c r="DI264" s="27" t="s">
        <v>8</v>
      </c>
      <c r="DK264" s="27" t="s">
        <v>8</v>
      </c>
      <c r="DL264" s="27" t="s">
        <v>7</v>
      </c>
      <c r="DT264" s="31"/>
      <c r="EA264" s="27" t="s">
        <v>8</v>
      </c>
      <c r="EF264" s="27" t="s">
        <v>7</v>
      </c>
      <c r="EG264" s="27" t="s">
        <v>8</v>
      </c>
      <c r="EH264" s="27" t="s">
        <v>7</v>
      </c>
      <c r="EI264" s="27" t="s">
        <v>8</v>
      </c>
      <c r="EJ264" s="27" t="s">
        <v>7</v>
      </c>
      <c r="EK264" s="27" t="s">
        <v>8</v>
      </c>
      <c r="EL264" s="27" t="s">
        <v>7</v>
      </c>
      <c r="EM264" s="27" t="s">
        <v>8</v>
      </c>
      <c r="EN264" s="27" t="s">
        <v>7</v>
      </c>
      <c r="EO264" s="27" t="s">
        <v>8</v>
      </c>
      <c r="EQ264" s="27" t="s">
        <v>8</v>
      </c>
      <c r="ET264" s="27" t="s">
        <v>7</v>
      </c>
      <c r="EV264" s="27" t="s">
        <v>7</v>
      </c>
      <c r="EY264" s="27" t="s">
        <v>8</v>
      </c>
      <c r="EZ264" s="27" t="s">
        <v>7</v>
      </c>
      <c r="FA264" s="27" t="s">
        <v>8</v>
      </c>
      <c r="FB264" s="27" t="s">
        <v>7</v>
      </c>
      <c r="FC264" s="27" t="s">
        <v>8</v>
      </c>
      <c r="FD264" s="27" t="s">
        <v>7</v>
      </c>
      <c r="FE264" s="27" t="s">
        <v>8</v>
      </c>
    </row>
    <row r="265" spans="1:162" x14ac:dyDescent="0.25">
      <c r="A265" s="30">
        <v>0.2953027716977592</v>
      </c>
      <c r="B265"/>
      <c r="C265"/>
      <c r="D265"/>
      <c r="E265"/>
      <c r="N265" s="27" t="s">
        <v>7</v>
      </c>
      <c r="O265" s="27" t="s">
        <v>8</v>
      </c>
      <c r="P265" s="27" t="s">
        <v>7</v>
      </c>
      <c r="AG265" s="27" t="s">
        <v>8</v>
      </c>
      <c r="AH265" s="27" t="s">
        <v>7</v>
      </c>
      <c r="AI265" s="27" t="s">
        <v>8</v>
      </c>
      <c r="AJ265" s="27" t="s">
        <v>7</v>
      </c>
      <c r="AW265" s="27" t="s">
        <v>8</v>
      </c>
      <c r="AX265" s="27" t="s">
        <v>7</v>
      </c>
      <c r="AY265" s="27" t="s">
        <v>8</v>
      </c>
      <c r="BA265" s="27" t="s">
        <v>8</v>
      </c>
      <c r="BB265" s="27" t="s">
        <v>7</v>
      </c>
      <c r="BC265" s="27" t="s">
        <v>8</v>
      </c>
      <c r="BD265" s="27" t="s">
        <v>7</v>
      </c>
      <c r="CZ265" s="27" t="s">
        <v>7</v>
      </c>
      <c r="DA265" s="27" t="s">
        <v>8</v>
      </c>
      <c r="DB265" s="27" t="s">
        <v>7</v>
      </c>
      <c r="DC265" s="27" t="s">
        <v>8</v>
      </c>
      <c r="DD265" s="27" t="s">
        <v>7</v>
      </c>
      <c r="DE265" s="27" t="s">
        <v>8</v>
      </c>
      <c r="DF265" s="27" t="s">
        <v>7</v>
      </c>
      <c r="DG265" s="27" t="s">
        <v>8</v>
      </c>
      <c r="DH265" s="27" t="s">
        <v>7</v>
      </c>
      <c r="DI265" s="27" t="s">
        <v>8</v>
      </c>
      <c r="DJ265" s="27" t="s">
        <v>7</v>
      </c>
      <c r="DK265" s="27" t="s">
        <v>8</v>
      </c>
      <c r="DL265" s="27" t="s">
        <v>7</v>
      </c>
      <c r="DU265" s="31"/>
      <c r="EA265" s="27" t="s">
        <v>8</v>
      </c>
      <c r="EF265" s="27" t="s">
        <v>7</v>
      </c>
      <c r="EG265" s="27" t="s">
        <v>8</v>
      </c>
      <c r="EH265" s="27" t="s">
        <v>7</v>
      </c>
      <c r="EI265" s="27" t="s">
        <v>8</v>
      </c>
      <c r="EJ265" s="27" t="s">
        <v>7</v>
      </c>
      <c r="EL265" s="27" t="s">
        <v>7</v>
      </c>
      <c r="EM265" s="27" t="s">
        <v>8</v>
      </c>
      <c r="EN265" s="27" t="s">
        <v>7</v>
      </c>
      <c r="EO265" s="27" t="s">
        <v>8</v>
      </c>
      <c r="EP265" s="27" t="s">
        <v>7</v>
      </c>
      <c r="EQ265" s="27" t="s">
        <v>8</v>
      </c>
      <c r="EV265" s="27" t="s">
        <v>7</v>
      </c>
      <c r="EW265" s="27" t="s">
        <v>8</v>
      </c>
      <c r="EY265" s="27" t="s">
        <v>8</v>
      </c>
      <c r="EZ265" s="27" t="s">
        <v>7</v>
      </c>
      <c r="FA265" s="27" t="s">
        <v>8</v>
      </c>
      <c r="FB265" s="27" t="s">
        <v>7</v>
      </c>
      <c r="FC265" s="27" t="s">
        <v>8</v>
      </c>
      <c r="FD265" s="27" t="s">
        <v>7</v>
      </c>
      <c r="FE265" s="27" t="s">
        <v>8</v>
      </c>
      <c r="FF265" s="27" t="s">
        <v>7</v>
      </c>
    </row>
    <row r="266" spans="1:162" x14ac:dyDescent="0.25">
      <c r="A266" s="30">
        <v>0.28124073495024676</v>
      </c>
      <c r="B266"/>
      <c r="C266"/>
      <c r="D266"/>
      <c r="E266"/>
      <c r="N266" s="27" t="s">
        <v>7</v>
      </c>
      <c r="O266" s="27" t="s">
        <v>8</v>
      </c>
      <c r="P266" s="27" t="s">
        <v>7</v>
      </c>
      <c r="AG266" s="27" t="s">
        <v>8</v>
      </c>
      <c r="AH266" s="27" t="s">
        <v>7</v>
      </c>
      <c r="AI266" s="27" t="s">
        <v>8</v>
      </c>
      <c r="AJ266" s="27" t="s">
        <v>7</v>
      </c>
      <c r="AW266" s="27" t="s">
        <v>8</v>
      </c>
      <c r="AX266" s="27" t="s">
        <v>7</v>
      </c>
      <c r="AY266" s="27" t="s">
        <v>8</v>
      </c>
      <c r="AZ266" s="27" t="s">
        <v>7</v>
      </c>
      <c r="BA266" s="27" t="s">
        <v>8</v>
      </c>
      <c r="BB266" s="27" t="s">
        <v>7</v>
      </c>
      <c r="CZ266" s="27" t="s">
        <v>7</v>
      </c>
      <c r="DA266" s="27" t="s">
        <v>8</v>
      </c>
      <c r="DB266" s="27" t="s">
        <v>7</v>
      </c>
      <c r="DC266" s="27" t="s">
        <v>8</v>
      </c>
      <c r="DD266" s="27" t="s">
        <v>7</v>
      </c>
      <c r="DE266" s="27" t="s">
        <v>8</v>
      </c>
      <c r="DF266" s="27" t="s">
        <v>7</v>
      </c>
      <c r="DG266" s="27" t="s">
        <v>8</v>
      </c>
      <c r="DH266" s="27" t="s">
        <v>7</v>
      </c>
      <c r="DI266" s="27" t="s">
        <v>8</v>
      </c>
      <c r="DJ266" s="27" t="s">
        <v>7</v>
      </c>
      <c r="DK266" s="27" t="s">
        <v>8</v>
      </c>
      <c r="DL266" s="27" t="s">
        <v>7</v>
      </c>
      <c r="DV266" s="31"/>
      <c r="EA266" s="27" t="s">
        <v>8</v>
      </c>
      <c r="EF266" s="27" t="s">
        <v>7</v>
      </c>
      <c r="EG266" s="27" t="s">
        <v>8</v>
      </c>
      <c r="EH266" s="27" t="s">
        <v>7</v>
      </c>
      <c r="EL266" s="27" t="s">
        <v>7</v>
      </c>
      <c r="EM266" s="27" t="s">
        <v>8</v>
      </c>
      <c r="EN266" s="27" t="s">
        <v>7</v>
      </c>
      <c r="EO266" s="27" t="s">
        <v>8</v>
      </c>
      <c r="EP266" s="27" t="s">
        <v>7</v>
      </c>
      <c r="EQ266" s="27" t="s">
        <v>8</v>
      </c>
      <c r="EV266" s="27" t="s">
        <v>7</v>
      </c>
      <c r="EW266" s="27" t="s">
        <v>8</v>
      </c>
      <c r="EX266" s="27" t="s">
        <v>7</v>
      </c>
      <c r="EY266" s="27" t="s">
        <v>8</v>
      </c>
      <c r="EZ266" s="27" t="s">
        <v>7</v>
      </c>
      <c r="FB266" s="27" t="s">
        <v>7</v>
      </c>
      <c r="FC266" s="27" t="s">
        <v>8</v>
      </c>
      <c r="FD266" s="27" t="s">
        <v>7</v>
      </c>
      <c r="FE266" s="27" t="s">
        <v>8</v>
      </c>
      <c r="FF266" s="27" t="s">
        <v>7</v>
      </c>
    </row>
    <row r="267" spans="1:162" x14ac:dyDescent="0.25">
      <c r="A267" s="30">
        <v>0.26784831900023492</v>
      </c>
      <c r="B267"/>
      <c r="C267"/>
      <c r="D267"/>
      <c r="E267"/>
      <c r="N267" s="27" t="s">
        <v>7</v>
      </c>
      <c r="O267" s="27" t="s">
        <v>8</v>
      </c>
      <c r="P267" s="27" t="s">
        <v>7</v>
      </c>
      <c r="AG267" s="27" t="s">
        <v>8</v>
      </c>
      <c r="AH267" s="27" t="s">
        <v>7</v>
      </c>
      <c r="AI267" s="27" t="s">
        <v>8</v>
      </c>
      <c r="AJ267" s="27" t="s">
        <v>7</v>
      </c>
      <c r="AW267" s="27" t="s">
        <v>8</v>
      </c>
      <c r="AX267" s="27" t="s">
        <v>7</v>
      </c>
      <c r="AY267" s="27" t="s">
        <v>8</v>
      </c>
      <c r="AZ267" s="27" t="s">
        <v>7</v>
      </c>
      <c r="BA267" s="27" t="s">
        <v>8</v>
      </c>
      <c r="CZ267" s="27" t="s">
        <v>7</v>
      </c>
      <c r="DB267" s="27" t="s">
        <v>7</v>
      </c>
      <c r="DD267" s="27" t="s">
        <v>7</v>
      </c>
      <c r="DE267" s="27" t="s">
        <v>8</v>
      </c>
      <c r="DF267" s="27" t="s">
        <v>7</v>
      </c>
      <c r="DH267" s="27" t="s">
        <v>7</v>
      </c>
      <c r="DI267" s="27" t="s">
        <v>8</v>
      </c>
      <c r="DJ267" s="27" t="s">
        <v>7</v>
      </c>
      <c r="DK267" s="27" t="s">
        <v>8</v>
      </c>
      <c r="DL267" s="27" t="s">
        <v>7</v>
      </c>
      <c r="DW267" s="31"/>
      <c r="DY267" s="27" t="s">
        <v>8</v>
      </c>
      <c r="EA267" s="27" t="s">
        <v>8</v>
      </c>
      <c r="EF267" s="27" t="s">
        <v>7</v>
      </c>
      <c r="EL267" s="27" t="s">
        <v>7</v>
      </c>
      <c r="EM267" s="27" t="s">
        <v>8</v>
      </c>
      <c r="EN267" s="27" t="s">
        <v>7</v>
      </c>
      <c r="EO267" s="27" t="s">
        <v>8</v>
      </c>
      <c r="EP267" s="27" t="s">
        <v>7</v>
      </c>
      <c r="EV267" s="27" t="s">
        <v>7</v>
      </c>
      <c r="EW267" s="27" t="s">
        <v>8</v>
      </c>
      <c r="EX267" s="27" t="s">
        <v>7</v>
      </c>
      <c r="EY267" s="27" t="s">
        <v>8</v>
      </c>
      <c r="FB267" s="27" t="s">
        <v>7</v>
      </c>
      <c r="FC267" s="27" t="s">
        <v>8</v>
      </c>
      <c r="FD267" s="27" t="s">
        <v>7</v>
      </c>
      <c r="FE267" s="27" t="s">
        <v>8</v>
      </c>
      <c r="FF267" s="27" t="s">
        <v>7</v>
      </c>
    </row>
    <row r="268" spans="1:162" x14ac:dyDescent="0.25">
      <c r="A268" s="30">
        <v>0.25509363714308075</v>
      </c>
      <c r="B268"/>
      <c r="C268"/>
      <c r="D268"/>
      <c r="E268"/>
      <c r="N268" s="27" t="s">
        <v>7</v>
      </c>
      <c r="P268" s="27" t="s">
        <v>7</v>
      </c>
      <c r="AG268" s="27" t="s">
        <v>8</v>
      </c>
      <c r="AH268" s="27" t="s">
        <v>7</v>
      </c>
      <c r="AI268" s="27" t="s">
        <v>8</v>
      </c>
      <c r="AJ268" s="27" t="s">
        <v>7</v>
      </c>
      <c r="AK268" s="27" t="s">
        <v>8</v>
      </c>
      <c r="AM268" s="27" t="s">
        <v>8</v>
      </c>
      <c r="AU268" s="27" t="s">
        <v>8</v>
      </c>
      <c r="AW268" s="27" t="s">
        <v>8</v>
      </c>
      <c r="AX268" s="27" t="s">
        <v>7</v>
      </c>
      <c r="AZ268" s="27" t="s">
        <v>7</v>
      </c>
      <c r="BA268" s="27" t="s">
        <v>8</v>
      </c>
      <c r="DD268" s="27" t="s">
        <v>7</v>
      </c>
      <c r="DE268" s="27" t="s">
        <v>8</v>
      </c>
      <c r="DH268" s="27" t="s">
        <v>7</v>
      </c>
      <c r="DJ268" s="27" t="s">
        <v>7</v>
      </c>
      <c r="DK268" s="27" t="s">
        <v>8</v>
      </c>
      <c r="DL268" s="27" t="s">
        <v>7</v>
      </c>
      <c r="DX268" s="31"/>
      <c r="DY268" s="27" t="s">
        <v>8</v>
      </c>
      <c r="DZ268" s="27" t="s">
        <v>7</v>
      </c>
      <c r="EA268" s="27" t="s">
        <v>8</v>
      </c>
      <c r="EL268" s="27" t="s">
        <v>7</v>
      </c>
      <c r="EM268" s="27" t="s">
        <v>8</v>
      </c>
      <c r="EN268" s="27" t="s">
        <v>7</v>
      </c>
      <c r="EV268" s="27" t="s">
        <v>7</v>
      </c>
      <c r="EW268" s="27" t="s">
        <v>8</v>
      </c>
      <c r="EX268" s="27" t="s">
        <v>7</v>
      </c>
      <c r="FB268" s="27" t="s">
        <v>7</v>
      </c>
      <c r="FC268" s="27" t="s">
        <v>8</v>
      </c>
      <c r="FD268" s="27" t="s">
        <v>7</v>
      </c>
      <c r="FE268" s="27" t="s">
        <v>8</v>
      </c>
      <c r="FF268" s="27" t="s">
        <v>7</v>
      </c>
    </row>
    <row r="269" spans="1:162" x14ac:dyDescent="0.25">
      <c r="A269" s="30">
        <v>0.24294632108864825</v>
      </c>
      <c r="B269"/>
      <c r="C269"/>
      <c r="D269"/>
      <c r="E269"/>
      <c r="P269" s="27" t="s">
        <v>7</v>
      </c>
      <c r="AE269" s="27" t="s">
        <v>8</v>
      </c>
      <c r="AG269" s="27" t="s">
        <v>8</v>
      </c>
      <c r="AH269" s="27" t="s">
        <v>7</v>
      </c>
      <c r="AI269" s="27" t="s">
        <v>8</v>
      </c>
      <c r="AJ269" s="27" t="s">
        <v>7</v>
      </c>
      <c r="AK269" s="27" t="s">
        <v>8</v>
      </c>
      <c r="AL269" s="27" t="s">
        <v>7</v>
      </c>
      <c r="AM269" s="27" t="s">
        <v>8</v>
      </c>
      <c r="AN269" s="27" t="s">
        <v>7</v>
      </c>
      <c r="AS269" s="27" t="s">
        <v>8</v>
      </c>
      <c r="AU269" s="27" t="s">
        <v>8</v>
      </c>
      <c r="AV269" s="27" t="s">
        <v>7</v>
      </c>
      <c r="AW269" s="27" t="s">
        <v>8</v>
      </c>
      <c r="AZ269" s="27" t="s">
        <v>7</v>
      </c>
      <c r="BA269" s="27" t="s">
        <v>8</v>
      </c>
      <c r="DD269" s="27" t="s">
        <v>7</v>
      </c>
      <c r="DE269" s="27" t="s">
        <v>8</v>
      </c>
      <c r="DJ269" s="27" t="s">
        <v>7</v>
      </c>
      <c r="DL269" s="27" t="s">
        <v>7</v>
      </c>
      <c r="DY269" s="31" t="s">
        <v>8</v>
      </c>
      <c r="DZ269" s="27" t="s">
        <v>7</v>
      </c>
      <c r="EA269" s="27" t="s">
        <v>8</v>
      </c>
      <c r="EL269" s="27" t="s">
        <v>7</v>
      </c>
      <c r="EM269" s="27" t="s">
        <v>8</v>
      </c>
      <c r="EV269" s="27" t="s">
        <v>7</v>
      </c>
      <c r="FB269" s="27" t="s">
        <v>7</v>
      </c>
      <c r="FC269" s="27" t="s">
        <v>8</v>
      </c>
      <c r="FD269" s="27" t="s">
        <v>7</v>
      </c>
      <c r="FF269" s="27" t="s">
        <v>7</v>
      </c>
    </row>
    <row r="270" spans="1:162" x14ac:dyDescent="0.25">
      <c r="A270" s="30">
        <v>0.23137744865585538</v>
      </c>
      <c r="B270"/>
      <c r="C270"/>
      <c r="D270"/>
      <c r="E270"/>
      <c r="P270" s="27" t="s">
        <v>7</v>
      </c>
      <c r="Q270" s="27" t="s">
        <v>8</v>
      </c>
      <c r="AE270" s="27" t="s">
        <v>8</v>
      </c>
      <c r="AF270" s="27" t="s">
        <v>7</v>
      </c>
      <c r="AG270" s="27" t="s">
        <v>8</v>
      </c>
      <c r="AH270" s="27" t="s">
        <v>7</v>
      </c>
      <c r="AI270" s="27" t="s">
        <v>8</v>
      </c>
      <c r="AJ270" s="27" t="s">
        <v>7</v>
      </c>
      <c r="AK270" s="27" t="s">
        <v>8</v>
      </c>
      <c r="AL270" s="27" t="s">
        <v>7</v>
      </c>
      <c r="AM270" s="27" t="s">
        <v>8</v>
      </c>
      <c r="AN270" s="27" t="s">
        <v>7</v>
      </c>
      <c r="AS270" s="27" t="s">
        <v>8</v>
      </c>
      <c r="AT270" s="27" t="s">
        <v>7</v>
      </c>
      <c r="AU270" s="27" t="s">
        <v>8</v>
      </c>
      <c r="AV270" s="27" t="s">
        <v>7</v>
      </c>
      <c r="AW270" s="27" t="s">
        <v>8</v>
      </c>
      <c r="AZ270" s="27" t="s">
        <v>7</v>
      </c>
      <c r="DD270" s="27" t="s">
        <v>7</v>
      </c>
      <c r="DE270" s="27" t="s">
        <v>8</v>
      </c>
      <c r="DL270" s="27" t="s">
        <v>7</v>
      </c>
      <c r="DQ270" s="27" t="s">
        <v>8</v>
      </c>
      <c r="DY270" s="27" t="s">
        <v>8</v>
      </c>
      <c r="DZ270" s="27" t="s">
        <v>7</v>
      </c>
      <c r="EL270" s="27" t="s">
        <v>7</v>
      </c>
      <c r="FB270" s="27" t="s">
        <v>7</v>
      </c>
      <c r="FF270" s="27" t="s">
        <v>7</v>
      </c>
    </row>
    <row r="271" spans="1:162" x14ac:dyDescent="0.25">
      <c r="A271" s="30">
        <v>0.22035947491033836</v>
      </c>
      <c r="B271"/>
      <c r="C271"/>
      <c r="D271"/>
      <c r="E271"/>
      <c r="P271" s="27" t="s">
        <v>7</v>
      </c>
      <c r="Q271" s="27" t="s">
        <v>8</v>
      </c>
      <c r="R271" s="27" t="s">
        <v>7</v>
      </c>
      <c r="AE271" s="27" t="s">
        <v>8</v>
      </c>
      <c r="AF271" s="27" t="s">
        <v>7</v>
      </c>
      <c r="AG271" s="27" t="s">
        <v>8</v>
      </c>
      <c r="AH271" s="27" t="s">
        <v>7</v>
      </c>
      <c r="AI271" s="27" t="s">
        <v>8</v>
      </c>
      <c r="AJ271" s="27" t="s">
        <v>7</v>
      </c>
      <c r="AK271" s="27" t="s">
        <v>8</v>
      </c>
      <c r="AL271" s="27" t="s">
        <v>7</v>
      </c>
      <c r="AN271" s="27" t="s">
        <v>7</v>
      </c>
      <c r="AS271" s="27" t="s">
        <v>8</v>
      </c>
      <c r="AT271" s="27" t="s">
        <v>7</v>
      </c>
      <c r="AU271" s="27" t="s">
        <v>8</v>
      </c>
      <c r="AV271" s="27" t="s">
        <v>7</v>
      </c>
      <c r="AW271" s="27" t="s">
        <v>8</v>
      </c>
      <c r="DD271" s="27" t="s">
        <v>7</v>
      </c>
      <c r="DE271" s="27" t="s">
        <v>8</v>
      </c>
      <c r="DL271" s="27" t="s">
        <v>7</v>
      </c>
      <c r="DO271" s="27" t="s">
        <v>8</v>
      </c>
      <c r="DQ271" s="27" t="s">
        <v>8</v>
      </c>
      <c r="DR271" s="27" t="s">
        <v>7</v>
      </c>
      <c r="DU271" s="33" t="s">
        <v>8</v>
      </c>
      <c r="DW271" s="27" t="s">
        <v>8</v>
      </c>
      <c r="DY271" s="27" t="s">
        <v>8</v>
      </c>
      <c r="FF271" s="27" t="s">
        <v>7</v>
      </c>
    </row>
    <row r="272" spans="1:162" x14ac:dyDescent="0.25">
      <c r="A272" s="30">
        <v>0.20986616658127455</v>
      </c>
      <c r="B272"/>
      <c r="C272"/>
      <c r="D272"/>
      <c r="E272"/>
      <c r="P272" s="27" t="s">
        <v>7</v>
      </c>
      <c r="Q272" s="27" t="s">
        <v>8</v>
      </c>
      <c r="R272" s="27" t="s">
        <v>7</v>
      </c>
      <c r="AE272" s="27" t="s">
        <v>8</v>
      </c>
      <c r="AF272" s="27" t="s">
        <v>7</v>
      </c>
      <c r="AG272" s="27" t="s">
        <v>8</v>
      </c>
      <c r="AH272" s="27" t="s">
        <v>7</v>
      </c>
      <c r="AI272" s="27" t="s">
        <v>8</v>
      </c>
      <c r="AJ272" s="27" t="s">
        <v>7</v>
      </c>
      <c r="AK272" s="27" t="s">
        <v>8</v>
      </c>
      <c r="AN272" s="27" t="s">
        <v>7</v>
      </c>
      <c r="AS272" s="27" t="s">
        <v>8</v>
      </c>
      <c r="AT272" s="27" t="s">
        <v>7</v>
      </c>
      <c r="AU272" s="27" t="s">
        <v>8</v>
      </c>
      <c r="AV272" s="27" t="s">
        <v>7</v>
      </c>
      <c r="AW272" s="27" t="s">
        <v>8</v>
      </c>
      <c r="DD272" s="27" t="s">
        <v>7</v>
      </c>
      <c r="DE272" s="27" t="s">
        <v>8</v>
      </c>
      <c r="DL272" s="27" t="s">
        <v>7</v>
      </c>
      <c r="DO272" s="27" t="s">
        <v>8</v>
      </c>
      <c r="DP272" s="27" t="s">
        <v>7</v>
      </c>
      <c r="DQ272" s="27" t="s">
        <v>8</v>
      </c>
      <c r="DR272" s="27" t="s">
        <v>7</v>
      </c>
      <c r="DS272" s="27" t="s">
        <v>8</v>
      </c>
      <c r="DU272" s="27" t="s">
        <v>8</v>
      </c>
      <c r="DV272" s="27" t="s">
        <v>7</v>
      </c>
      <c r="DW272" s="27" t="s">
        <v>8</v>
      </c>
      <c r="DX272" s="27" t="s">
        <v>7</v>
      </c>
      <c r="DY272" s="27" t="s">
        <v>8</v>
      </c>
      <c r="FF272" s="27" t="s">
        <v>7</v>
      </c>
    </row>
    <row r="273" spans="1:130" x14ac:dyDescent="0.25">
      <c r="A273" s="30">
        <v>0.19987253960121379</v>
      </c>
      <c r="B273"/>
      <c r="C273"/>
      <c r="D273"/>
      <c r="E273"/>
      <c r="P273" s="27" t="s">
        <v>7</v>
      </c>
      <c r="Q273" s="27" t="s">
        <v>8</v>
      </c>
      <c r="R273" s="27" t="s">
        <v>7</v>
      </c>
      <c r="AE273" s="27" t="s">
        <v>8</v>
      </c>
      <c r="AF273" s="27" t="s">
        <v>7</v>
      </c>
      <c r="AH273" s="27" t="s">
        <v>7</v>
      </c>
      <c r="AI273" s="27" t="s">
        <v>8</v>
      </c>
      <c r="AJ273" s="27" t="s">
        <v>7</v>
      </c>
      <c r="AK273" s="27" t="s">
        <v>8</v>
      </c>
      <c r="AN273" s="27" t="s">
        <v>7</v>
      </c>
      <c r="AS273" s="27" t="s">
        <v>8</v>
      </c>
      <c r="AT273" s="27" t="s">
        <v>7</v>
      </c>
      <c r="AU273" s="27" t="s">
        <v>8</v>
      </c>
      <c r="AV273" s="27" t="s">
        <v>7</v>
      </c>
      <c r="AW273" s="27" t="s">
        <v>8</v>
      </c>
      <c r="DD273" s="27" t="s">
        <v>7</v>
      </c>
      <c r="DE273" s="27" t="s">
        <v>8</v>
      </c>
      <c r="DL273" s="27" t="s">
        <v>7</v>
      </c>
      <c r="DM273" s="27" t="s">
        <v>8</v>
      </c>
      <c r="DO273" s="27" t="s">
        <v>8</v>
      </c>
      <c r="DP273" s="27" t="s">
        <v>7</v>
      </c>
      <c r="DQ273" s="27" t="s">
        <v>8</v>
      </c>
      <c r="DR273" s="27" t="s">
        <v>7</v>
      </c>
      <c r="DS273" s="27" t="s">
        <v>8</v>
      </c>
      <c r="DT273" s="27" t="s">
        <v>7</v>
      </c>
      <c r="DU273" s="27" t="s">
        <v>8</v>
      </c>
      <c r="DV273" s="27" t="s">
        <v>7</v>
      </c>
      <c r="DW273" s="27" t="s">
        <v>8</v>
      </c>
      <c r="DX273" s="27" t="s">
        <v>7</v>
      </c>
      <c r="DY273" s="27" t="s">
        <v>8</v>
      </c>
      <c r="DZ273" s="31"/>
    </row>
    <row r="274" spans="1:130" x14ac:dyDescent="0.25">
      <c r="A274" s="30">
        <v>0.19035479962020352</v>
      </c>
      <c r="B274"/>
      <c r="C274"/>
      <c r="D274"/>
      <c r="E274"/>
      <c r="P274" s="27" t="s">
        <v>7</v>
      </c>
      <c r="Q274" s="27" t="s">
        <v>8</v>
      </c>
      <c r="R274" s="27" t="s">
        <v>7</v>
      </c>
      <c r="AE274" s="27" t="s">
        <v>8</v>
      </c>
      <c r="AH274" s="27" t="s">
        <v>7</v>
      </c>
      <c r="AI274" s="27" t="s">
        <v>8</v>
      </c>
      <c r="AJ274" s="27" t="s">
        <v>7</v>
      </c>
      <c r="AN274" s="27" t="s">
        <v>7</v>
      </c>
      <c r="AS274" s="27" t="s">
        <v>8</v>
      </c>
      <c r="AT274" s="27" t="s">
        <v>7</v>
      </c>
      <c r="AV274" s="27" t="s">
        <v>7</v>
      </c>
      <c r="AW274" s="27" t="s">
        <v>8</v>
      </c>
      <c r="DD274" s="27" t="s">
        <v>7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  <c r="DR274" s="27" t="s">
        <v>7</v>
      </c>
      <c r="DS274" s="27" t="s">
        <v>8</v>
      </c>
      <c r="DT274" s="27" t="s">
        <v>7</v>
      </c>
      <c r="DU274" s="27" t="s">
        <v>8</v>
      </c>
      <c r="DV274" s="27" t="s">
        <v>7</v>
      </c>
      <c r="DX274" s="27" t="s">
        <v>7</v>
      </c>
      <c r="DY274" s="31"/>
    </row>
    <row r="275" spans="1:130" x14ac:dyDescent="0.25">
      <c r="A275" s="30">
        <v>0.18129028535257471</v>
      </c>
      <c r="B275"/>
      <c r="C275"/>
      <c r="D275"/>
      <c r="E275"/>
      <c r="P275" s="27" t="s">
        <v>7</v>
      </c>
      <c r="Q275" s="27" t="s">
        <v>8</v>
      </c>
      <c r="R275" s="27" t="s">
        <v>7</v>
      </c>
      <c r="AE275" s="27" t="s">
        <v>8</v>
      </c>
      <c r="AH275" s="27" t="s">
        <v>7</v>
      </c>
      <c r="AN275" s="27" t="s">
        <v>7</v>
      </c>
      <c r="AQ275" s="27" t="s">
        <v>8</v>
      </c>
      <c r="AS275" s="27" t="s">
        <v>8</v>
      </c>
      <c r="AV275" s="27" t="s">
        <v>7</v>
      </c>
      <c r="AW275" s="27" t="s">
        <v>8</v>
      </c>
      <c r="DL275" s="27" t="s">
        <v>7</v>
      </c>
      <c r="DM275" s="27" t="s">
        <v>8</v>
      </c>
      <c r="DN275" s="27" t="s">
        <v>7</v>
      </c>
      <c r="DO275" s="27" t="s">
        <v>8</v>
      </c>
      <c r="DR275" s="27" t="s">
        <v>7</v>
      </c>
      <c r="DT275" s="27" t="s">
        <v>7</v>
      </c>
      <c r="DU275" s="27" t="s">
        <v>8</v>
      </c>
      <c r="DX275" s="31"/>
    </row>
    <row r="276" spans="1:130" x14ac:dyDescent="0.25">
      <c r="A276" s="30">
        <v>0.17265741462149967</v>
      </c>
      <c r="B276"/>
      <c r="C276"/>
      <c r="D276"/>
      <c r="E276"/>
      <c r="P276" s="27" t="s">
        <v>7</v>
      </c>
      <c r="R276" s="27" t="s">
        <v>7</v>
      </c>
      <c r="AE276" s="27" t="s">
        <v>8</v>
      </c>
      <c r="AN276" s="27" t="s">
        <v>7</v>
      </c>
      <c r="AO276" s="27" t="s">
        <v>8</v>
      </c>
      <c r="AQ276" s="27" t="s">
        <v>8</v>
      </c>
      <c r="AR276" s="27" t="s">
        <v>7</v>
      </c>
      <c r="AS276" s="27" t="s">
        <v>8</v>
      </c>
      <c r="AV276" s="27" t="s">
        <v>7</v>
      </c>
      <c r="DL276" s="27" t="s">
        <v>7</v>
      </c>
      <c r="DM276" s="27" t="s">
        <v>8</v>
      </c>
      <c r="DN276" s="27" t="s">
        <v>7</v>
      </c>
      <c r="DO276" s="27" t="s">
        <v>8</v>
      </c>
      <c r="DT276" s="32" t="s">
        <v>7</v>
      </c>
      <c r="DU276" s="27" t="s">
        <v>8</v>
      </c>
      <c r="DW276" s="31"/>
    </row>
    <row r="277" spans="1:130" x14ac:dyDescent="0.25">
      <c r="A277" s="30">
        <v>0.16443563297285677</v>
      </c>
      <c r="B277"/>
      <c r="C277"/>
      <c r="D277"/>
      <c r="E277"/>
      <c r="R277" s="27" t="s">
        <v>7</v>
      </c>
      <c r="AE277" s="27" t="s">
        <v>8</v>
      </c>
      <c r="AN277" s="27" t="s">
        <v>7</v>
      </c>
      <c r="AO277" s="27" t="s">
        <v>8</v>
      </c>
      <c r="AP277" s="27" t="s">
        <v>7</v>
      </c>
      <c r="AQ277" s="27" t="s">
        <v>8</v>
      </c>
      <c r="AR277" s="27" t="s">
        <v>7</v>
      </c>
      <c r="AS277" s="27" t="s">
        <v>8</v>
      </c>
      <c r="DL277" s="27" t="s">
        <v>7</v>
      </c>
      <c r="DM277" s="27" t="s">
        <v>8</v>
      </c>
      <c r="DN277" s="27" t="s">
        <v>7</v>
      </c>
      <c r="DT277" s="18" t="s">
        <v>7</v>
      </c>
      <c r="DU277" s="27" t="s">
        <v>8</v>
      </c>
      <c r="DV277" s="31"/>
    </row>
    <row r="278" spans="1:130" x14ac:dyDescent="0.25">
      <c r="A278" s="30">
        <v>0.15660536473605399</v>
      </c>
      <c r="B278"/>
      <c r="C278"/>
      <c r="D278"/>
      <c r="E278"/>
      <c r="R278" s="27" t="s">
        <v>7</v>
      </c>
      <c r="S278" s="27" t="s">
        <v>8</v>
      </c>
      <c r="AC278" s="27" t="s">
        <v>8</v>
      </c>
      <c r="AE278" s="27" t="s">
        <v>8</v>
      </c>
      <c r="AN278" s="27" t="s">
        <v>7</v>
      </c>
      <c r="AO278" s="27" t="s">
        <v>8</v>
      </c>
      <c r="AP278" s="27" t="s">
        <v>7</v>
      </c>
      <c r="AQ278" s="27" t="s">
        <v>8</v>
      </c>
      <c r="AR278" s="27" t="s">
        <v>7</v>
      </c>
      <c r="DL278" s="27" t="s">
        <v>7</v>
      </c>
      <c r="DT278" s="27" t="s">
        <v>7</v>
      </c>
      <c r="DU278" s="31" t="s">
        <v>8</v>
      </c>
    </row>
    <row r="279" spans="1:130" x14ac:dyDescent="0.25">
      <c r="A279" s="30">
        <v>0.14914796641528946</v>
      </c>
      <c r="B279"/>
      <c r="C279"/>
      <c r="D279"/>
      <c r="E279"/>
      <c r="R279" s="27" t="s">
        <v>7</v>
      </c>
      <c r="S279" s="27" t="s">
        <v>8</v>
      </c>
      <c r="T279" s="27" t="s">
        <v>7</v>
      </c>
      <c r="AC279" s="27" t="s">
        <v>8</v>
      </c>
      <c r="AD279" s="27" t="s">
        <v>7</v>
      </c>
      <c r="AE279" s="27" t="s">
        <v>8</v>
      </c>
      <c r="AN279" s="27" t="s">
        <v>7</v>
      </c>
      <c r="AP279" s="27" t="s">
        <v>7</v>
      </c>
      <c r="AQ279" s="27" t="s">
        <v>8</v>
      </c>
      <c r="DT279" s="31" t="s">
        <v>7</v>
      </c>
    </row>
    <row r="280" spans="1:130" x14ac:dyDescent="0.25">
      <c r="A280" s="30">
        <v>0.14204568230027562</v>
      </c>
      <c r="B280"/>
      <c r="C280"/>
      <c r="D280"/>
      <c r="E280"/>
      <c r="R280" s="27" t="s">
        <v>7</v>
      </c>
      <c r="S280" s="27" t="s">
        <v>8</v>
      </c>
      <c r="T280" s="27" t="s">
        <v>7</v>
      </c>
      <c r="AC280" s="27" t="s">
        <v>8</v>
      </c>
      <c r="AD280" s="27" t="s">
        <v>7</v>
      </c>
      <c r="AE280" s="27" t="s">
        <v>8</v>
      </c>
      <c r="AP280" s="27" t="s">
        <v>7</v>
      </c>
    </row>
    <row r="281" spans="1:130" x14ac:dyDescent="0.25">
      <c r="A281" s="30">
        <v>0.13528160219073862</v>
      </c>
      <c r="B281"/>
      <c r="C281"/>
      <c r="D281"/>
      <c r="E281"/>
      <c r="R281" s="27" t="s">
        <v>7</v>
      </c>
      <c r="S281" s="27" t="s">
        <v>8</v>
      </c>
      <c r="T281" s="27" t="s">
        <v>7</v>
      </c>
      <c r="W281" s="27" t="s">
        <v>8</v>
      </c>
      <c r="AA281" s="27" t="s">
        <v>8</v>
      </c>
      <c r="AC281" s="27" t="s">
        <v>8</v>
      </c>
      <c r="AD281" s="27" t="s">
        <v>7</v>
      </c>
      <c r="AE281" s="27" t="s">
        <v>8</v>
      </c>
    </row>
    <row r="282" spans="1:130" x14ac:dyDescent="0.25">
      <c r="A282" s="30">
        <v>0.12883962113403674</v>
      </c>
      <c r="B282"/>
      <c r="C282"/>
      <c r="D282"/>
      <c r="E282"/>
      <c r="R282" s="27" t="s">
        <v>7</v>
      </c>
      <c r="S282" s="27" t="s">
        <v>8</v>
      </c>
      <c r="T282" s="27" t="s">
        <v>7</v>
      </c>
      <c r="U282" s="27" t="s">
        <v>8</v>
      </c>
      <c r="W282" s="27" t="s">
        <v>8</v>
      </c>
      <c r="X282" s="27" t="s">
        <v>7</v>
      </c>
      <c r="AA282" s="27" t="s">
        <v>8</v>
      </c>
      <c r="AB282" s="27" t="s">
        <v>7</v>
      </c>
      <c r="AC282" s="27" t="s">
        <v>8</v>
      </c>
      <c r="AD282" s="27" t="s">
        <v>7</v>
      </c>
    </row>
    <row r="283" spans="1:130" x14ac:dyDescent="0.25">
      <c r="A283" s="30">
        <v>0.12270440108003494</v>
      </c>
      <c r="B283"/>
      <c r="C283"/>
      <c r="D283"/>
      <c r="E283"/>
      <c r="R283" s="27" t="s">
        <v>7</v>
      </c>
      <c r="S283" s="27" t="s">
        <v>8</v>
      </c>
      <c r="T283" s="27" t="s">
        <v>7</v>
      </c>
      <c r="U283" s="27" t="s">
        <v>8</v>
      </c>
      <c r="V283" s="27" t="s">
        <v>7</v>
      </c>
      <c r="W283" s="27" t="s">
        <v>8</v>
      </c>
      <c r="X283" s="27" t="s">
        <v>7</v>
      </c>
      <c r="AA283" s="27" t="s">
        <v>8</v>
      </c>
      <c r="AB283" s="27" t="s">
        <v>7</v>
      </c>
      <c r="AC283" s="27" t="s">
        <v>8</v>
      </c>
    </row>
    <row r="284" spans="1:130" x14ac:dyDescent="0.25">
      <c r="A284" s="30">
        <v>0.11686133436193799</v>
      </c>
      <c r="B284"/>
      <c r="C284"/>
      <c r="D284"/>
      <c r="E284"/>
      <c r="R284" s="27" t="s">
        <v>7</v>
      </c>
      <c r="S284" s="27" t="s">
        <v>8</v>
      </c>
      <c r="T284" s="27" t="s">
        <v>7</v>
      </c>
      <c r="U284" s="27" t="s">
        <v>8</v>
      </c>
      <c r="V284" s="27" t="s">
        <v>7</v>
      </c>
      <c r="W284" s="27" t="s">
        <v>8</v>
      </c>
      <c r="X284" s="27" t="s">
        <v>7</v>
      </c>
      <c r="Y284" s="27" t="s">
        <v>8</v>
      </c>
      <c r="AA284" s="27" t="s">
        <v>8</v>
      </c>
      <c r="AB284" s="27" t="s">
        <v>7</v>
      </c>
    </row>
    <row r="285" spans="1:130" x14ac:dyDescent="0.25">
      <c r="A285" s="30">
        <v>0.11129650891613138</v>
      </c>
      <c r="B285"/>
      <c r="C285"/>
      <c r="D285"/>
      <c r="E285"/>
      <c r="R285" s="27" t="s">
        <v>7</v>
      </c>
      <c r="S285" s="27" t="s">
        <v>8</v>
      </c>
      <c r="T285" s="27" t="s">
        <v>7</v>
      </c>
      <c r="V285" s="27" t="s">
        <v>7</v>
      </c>
      <c r="W285" s="27" t="s">
        <v>8</v>
      </c>
      <c r="X285" s="27" t="s">
        <v>7</v>
      </c>
      <c r="Y285" s="27" t="s">
        <v>8</v>
      </c>
      <c r="Z285" s="27" t="s">
        <v>7</v>
      </c>
      <c r="AA285" s="27" t="s">
        <v>8</v>
      </c>
    </row>
    <row r="286" spans="1:130" x14ac:dyDescent="0.25">
      <c r="A286" s="30">
        <v>0.10599667515822032</v>
      </c>
      <c r="B286"/>
      <c r="C286"/>
      <c r="D286"/>
      <c r="E286"/>
      <c r="R286" s="27" t="s">
        <v>7</v>
      </c>
      <c r="V286" s="27" t="s">
        <v>7</v>
      </c>
      <c r="W286" s="27" t="s">
        <v>8</v>
      </c>
      <c r="X286" s="27" t="s">
        <v>7</v>
      </c>
      <c r="Y286" s="27" t="s">
        <v>8</v>
      </c>
      <c r="Z286" s="27" t="s">
        <v>7</v>
      </c>
      <c r="AA286" s="27" t="s">
        <v>8</v>
      </c>
    </row>
    <row r="287" spans="1:130" x14ac:dyDescent="0.25">
      <c r="A287" s="30">
        <v>0.10094921443640027</v>
      </c>
      <c r="B287"/>
      <c r="C287"/>
      <c r="D287"/>
      <c r="E287"/>
      <c r="V287" s="27" t="s">
        <v>7</v>
      </c>
      <c r="X287" s="27" t="s">
        <v>7</v>
      </c>
      <c r="Z287" s="27" t="s">
        <v>7</v>
      </c>
      <c r="AA287" s="27" t="s">
        <v>8</v>
      </c>
    </row>
    <row r="288" spans="1:130" x14ac:dyDescent="0.25">
      <c r="A288" s="30">
        <v>9.6142108987047836E-2</v>
      </c>
      <c r="B288"/>
      <c r="C288"/>
      <c r="D288"/>
      <c r="E288"/>
      <c r="Z288" s="27" t="s">
        <v>7</v>
      </c>
      <c r="AA288" s="27" t="s">
        <v>8</v>
      </c>
    </row>
    <row r="289" spans="1:26" x14ac:dyDescent="0.25">
      <c r="A289" s="30">
        <v>9.1563913320997906E-2</v>
      </c>
      <c r="B289"/>
      <c r="C289"/>
      <c r="D289"/>
      <c r="E289"/>
      <c r="Z289" s="27" t="s">
        <v>7</v>
      </c>
    </row>
    <row r="290" spans="1:26" x14ac:dyDescent="0.25">
      <c r="A290" s="30">
        <v>8.7203726972378923E-2</v>
      </c>
      <c r="B290"/>
      <c r="C290"/>
      <c r="D290"/>
      <c r="E290"/>
    </row>
    <row r="291" spans="1:26" x14ac:dyDescent="0.25">
      <c r="A291" s="30">
        <v>8.3051168545122747E-2</v>
      </c>
      <c r="B291"/>
      <c r="C291"/>
      <c r="D291"/>
      <c r="E291"/>
    </row>
    <row r="292" spans="1:26" x14ac:dyDescent="0.25">
      <c r="A292" s="30">
        <v>7.9096350995354961E-2</v>
      </c>
      <c r="B292"/>
      <c r="C292"/>
      <c r="D292"/>
      <c r="E292"/>
    </row>
    <row r="293" spans="1:26" x14ac:dyDescent="0.25">
      <c r="A293" s="30">
        <v>7.5329858090814217E-2</v>
      </c>
      <c r="B293"/>
      <c r="C293"/>
      <c r="D293"/>
      <c r="E293"/>
    </row>
    <row r="294" spans="1:26" x14ac:dyDescent="0.25">
      <c r="A294" s="30">
        <v>7.1742721991251604E-2</v>
      </c>
      <c r="B294"/>
      <c r="C294"/>
      <c r="D294"/>
      <c r="E294"/>
    </row>
    <row r="295" spans="1:26" x14ac:dyDescent="0.25">
      <c r="A295" s="30">
        <v>6.8326401896430078E-2</v>
      </c>
      <c r="B295"/>
      <c r="C295"/>
      <c r="D295"/>
      <c r="E295"/>
    </row>
    <row r="296" spans="1:26" x14ac:dyDescent="0.25">
      <c r="A296" s="30">
        <v>6.5072763710885759E-2</v>
      </c>
      <c r="B296"/>
      <c r="C296"/>
      <c r="D296"/>
      <c r="E296"/>
    </row>
    <row r="297" spans="1:26" x14ac:dyDescent="0.25">
      <c r="A297" s="30">
        <v>6.197406067703403E-2</v>
      </c>
      <c r="B297"/>
      <c r="C297"/>
      <c r="D297"/>
      <c r="E297"/>
    </row>
    <row r="298" spans="1:26" x14ac:dyDescent="0.25">
      <c r="A298" s="30">
        <v>5.9022914930508576E-2</v>
      </c>
      <c r="B298"/>
      <c r="C298"/>
      <c r="D298"/>
      <c r="E298"/>
    </row>
    <row r="299" spans="1:26" x14ac:dyDescent="0.25">
      <c r="A299" s="30">
        <v>5.6212299933817669E-2</v>
      </c>
      <c r="B299"/>
      <c r="C299"/>
      <c r="D299"/>
      <c r="E299"/>
    </row>
    <row r="300" spans="1:26" x14ac:dyDescent="0.25">
      <c r="A300" s="30">
        <v>5.3535523746492994E-2</v>
      </c>
      <c r="B300"/>
      <c r="C300"/>
      <c r="D300"/>
      <c r="E300"/>
    </row>
    <row r="301" spans="1:26" x14ac:dyDescent="0.25">
      <c r="A301" s="30">
        <v>5.0986213091898068E-2</v>
      </c>
      <c r="B301"/>
      <c r="C301"/>
      <c r="D301"/>
      <c r="E301"/>
    </row>
    <row r="302" spans="1:26" x14ac:dyDescent="0.25">
      <c r="A302" s="30">
        <v>4.8558298182760043E-2</v>
      </c>
      <c r="B302"/>
      <c r="C302"/>
      <c r="D302"/>
      <c r="E302"/>
    </row>
    <row r="303" spans="1:26" x14ac:dyDescent="0.25">
      <c r="A303" s="30">
        <v>4.6245998269295263E-2</v>
      </c>
      <c r="B303"/>
      <c r="C303"/>
      <c r="D303"/>
      <c r="E303"/>
    </row>
    <row r="304" spans="1:26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08" operator="equal">
      <formula>$U$1</formula>
    </cfRule>
    <cfRule type="cellIs" dxfId="67" priority="909" operator="equal">
      <formula>$S$1</formula>
    </cfRule>
  </conditionalFormatting>
  <conditionalFormatting sqref="D136">
    <cfRule type="cellIs" dxfId="66" priority="906" operator="equal">
      <formula>$S$1</formula>
    </cfRule>
    <cfRule type="cellIs" dxfId="65" priority="907" operator="equal">
      <formula>$U$1</formula>
    </cfRule>
  </conditionalFormatting>
  <conditionalFormatting sqref="C162">
    <cfRule type="cellIs" dxfId="64" priority="904" operator="equal">
      <formula>$U$1</formula>
    </cfRule>
    <cfRule type="cellIs" dxfId="63" priority="905" operator="equal">
      <formula>$S$1</formula>
    </cfRule>
  </conditionalFormatting>
  <conditionalFormatting sqref="D162">
    <cfRule type="cellIs" dxfId="62" priority="902" operator="equal">
      <formula>$S$1</formula>
    </cfRule>
    <cfRule type="cellIs" dxfId="61" priority="903" operator="equal">
      <formula>$U$1</formula>
    </cfRule>
  </conditionalFormatting>
  <conditionalFormatting sqref="C187">
    <cfRule type="cellIs" dxfId="60" priority="900" operator="equal">
      <formula>$U$1</formula>
    </cfRule>
    <cfRule type="cellIs" dxfId="59" priority="901" operator="equal">
      <formula>$S$1</formula>
    </cfRule>
  </conditionalFormatting>
  <conditionalFormatting sqref="D187">
    <cfRule type="cellIs" dxfId="58" priority="898" operator="equal">
      <formula>$S$1</formula>
    </cfRule>
    <cfRule type="cellIs" dxfId="57" priority="899" operator="equal">
      <formula>$U$1</formula>
    </cfRule>
  </conditionalFormatting>
  <conditionalFormatting sqref="C212">
    <cfRule type="cellIs" dxfId="56" priority="896" operator="equal">
      <formula>$U$1</formula>
    </cfRule>
    <cfRule type="cellIs" dxfId="55" priority="897" operator="equal">
      <formula>$S$1</formula>
    </cfRule>
  </conditionalFormatting>
  <conditionalFormatting sqref="D212">
    <cfRule type="cellIs" dxfId="54" priority="894" operator="equal">
      <formula>$S$1</formula>
    </cfRule>
    <cfRule type="cellIs" dxfId="53" priority="895" operator="equal">
      <formula>$U$1</formula>
    </cfRule>
  </conditionalFormatting>
  <conditionalFormatting sqref="C237">
    <cfRule type="cellIs" dxfId="52" priority="892" operator="equal">
      <formula>$U$1</formula>
    </cfRule>
    <cfRule type="cellIs" dxfId="51" priority="893" operator="equal">
      <formula>$S$1</formula>
    </cfRule>
  </conditionalFormatting>
  <conditionalFormatting sqref="D237">
    <cfRule type="cellIs" dxfId="50" priority="890" operator="equal">
      <formula>$S$1</formula>
    </cfRule>
    <cfRule type="cellIs" dxfId="49" priority="891" operator="equal">
      <formula>$U$1</formula>
    </cfRule>
  </conditionalFormatting>
  <conditionalFormatting sqref="C106">
    <cfRule type="cellIs" dxfId="48" priority="888" operator="equal">
      <formula>$U$1</formula>
    </cfRule>
    <cfRule type="cellIs" dxfId="47" priority="889" operator="equal">
      <formula>$S$1</formula>
    </cfRule>
  </conditionalFormatting>
  <conditionalFormatting sqref="D106">
    <cfRule type="cellIs" dxfId="46" priority="886" operator="equal">
      <formula>$S$1</formula>
    </cfRule>
    <cfRule type="cellIs" dxfId="45" priority="887" operator="equal">
      <formula>$U$1</formula>
    </cfRule>
  </conditionalFormatting>
  <conditionalFormatting sqref="C81">
    <cfRule type="cellIs" dxfId="44" priority="884" operator="equal">
      <formula>$U$1</formula>
    </cfRule>
    <cfRule type="cellIs" dxfId="43" priority="885" operator="equal">
      <formula>$S$1</formula>
    </cfRule>
  </conditionalFormatting>
  <conditionalFormatting sqref="D81">
    <cfRule type="cellIs" dxfId="42" priority="882" operator="equal">
      <formula>$S$1</formula>
    </cfRule>
    <cfRule type="cellIs" dxfId="41" priority="883" operator="equal">
      <formula>$U$1</formula>
    </cfRule>
  </conditionalFormatting>
  <conditionalFormatting sqref="C56">
    <cfRule type="cellIs" dxfId="40" priority="880" operator="equal">
      <formula>$U$1</formula>
    </cfRule>
    <cfRule type="cellIs" dxfId="39" priority="881" operator="equal">
      <formula>$S$1</formula>
    </cfRule>
  </conditionalFormatting>
  <conditionalFormatting sqref="D56">
    <cfRule type="cellIs" dxfId="38" priority="878" operator="equal">
      <formula>$S$1</formula>
    </cfRule>
    <cfRule type="cellIs" dxfId="37" priority="879" operator="equal">
      <formula>$U$1</formula>
    </cfRule>
  </conditionalFormatting>
  <conditionalFormatting sqref="C31">
    <cfRule type="cellIs" dxfId="36" priority="876" operator="equal">
      <formula>$U$1</formula>
    </cfRule>
    <cfRule type="cellIs" dxfId="35" priority="877" operator="equal">
      <formula>$S$1</formula>
    </cfRule>
  </conditionalFormatting>
  <conditionalFormatting sqref="D31">
    <cfRule type="cellIs" dxfId="34" priority="874" operator="equal">
      <formula>$S$1</formula>
    </cfRule>
    <cfRule type="cellIs" dxfId="33" priority="87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9" zoomScale="90" zoomScaleNormal="90" workbookViewId="0">
      <pane xSplit="4" topLeftCell="G1" activePane="topRight" state="frozen"/>
      <selection activeCell="A109" sqref="A109"/>
      <selection pane="topRight" activeCell="BH137" sqref="BH13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$A$136</v>
      </c>
      <c r="D111" s="1" t="str">
        <f>ADDRESS(C121-1,D121,1,1)</f>
        <v>$BH$136</v>
      </c>
      <c r="E111"/>
    </row>
    <row r="112" spans="1:5" x14ac:dyDescent="0.25">
      <c r="A112" s="30">
        <v>2.3579476910000019</v>
      </c>
      <c r="C112" s="1" t="str">
        <f>ADDRESS(C121,1,1,1)</f>
        <v>$A$137</v>
      </c>
      <c r="D112" s="1" t="str">
        <f>ADDRESS(C121,D121-1,1,1)</f>
        <v>$BG$137</v>
      </c>
      <c r="E112"/>
    </row>
    <row r="113" spans="1:45" x14ac:dyDescent="0.25">
      <c r="A113" s="30">
        <v>2.1435888100000016</v>
      </c>
      <c r="C113" s="1" t="str">
        <f>ADDRESS(C121+1,1,1,1)</f>
        <v>$A$138</v>
      </c>
      <c r="D113" s="1" t="str">
        <f>ADDRESS(C121-1,D121+1,1,1)</f>
        <v>$BI$136</v>
      </c>
    </row>
    <row r="114" spans="1:45" x14ac:dyDescent="0.25">
      <c r="A114" s="30">
        <v>1.9487171000000014</v>
      </c>
      <c r="C114" s="1" t="str">
        <f>ADDRESS(C121,D121,1,1)</f>
        <v>$BH$137</v>
      </c>
      <c r="D114" s="1" t="str">
        <f>ADDRESS(C121+1,D121+1,1,1)</f>
        <v>$BI$138</v>
      </c>
    </row>
    <row r="115" spans="1:45" x14ac:dyDescent="0.25">
      <c r="A115" s="30">
        <v>1.7715610000000011</v>
      </c>
      <c r="C115" s="1" t="str">
        <f>ADDRESS(C121+1,D121,1,1)</f>
        <v>$BH$138</v>
      </c>
    </row>
    <row r="116" spans="1:45" x14ac:dyDescent="0.25">
      <c r="A116" s="30">
        <v>1.6105100000000008</v>
      </c>
      <c r="C116" s="1">
        <f>C117-1</f>
        <v>136</v>
      </c>
    </row>
    <row r="117" spans="1:45" x14ac:dyDescent="0.25">
      <c r="A117" s="30">
        <v>1.4641000000000006</v>
      </c>
      <c r="C117" s="1">
        <f>C121</f>
        <v>137</v>
      </c>
      <c r="D117" s="1">
        <f>D121</f>
        <v>60</v>
      </c>
      <c r="E117" s="1" t="s">
        <v>8</v>
      </c>
    </row>
    <row r="118" spans="1:45" x14ac:dyDescent="0.25">
      <c r="A118" s="30">
        <v>1.3310000000000004</v>
      </c>
      <c r="C118" s="1">
        <f>C117+1</f>
        <v>138</v>
      </c>
      <c r="D118" s="1">
        <f>D117+1</f>
        <v>61</v>
      </c>
      <c r="E118" s="1" t="s">
        <v>8</v>
      </c>
      <c r="F118" s="27" t="s">
        <v>7</v>
      </c>
    </row>
    <row r="119" spans="1:45" x14ac:dyDescent="0.25">
      <c r="A119" s="30">
        <v>1.2100000000000002</v>
      </c>
      <c r="E119" s="1" t="s">
        <v>8</v>
      </c>
      <c r="F119" s="27" t="s">
        <v>7</v>
      </c>
    </row>
    <row r="120" spans="1:45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AK120" s="31" t="s">
        <v>8</v>
      </c>
    </row>
    <row r="121" spans="1:45" x14ac:dyDescent="0.25">
      <c r="A121" s="30">
        <v>1</v>
      </c>
      <c r="C121" s="18">
        <v>137</v>
      </c>
      <c r="D121" s="19">
        <v>60</v>
      </c>
      <c r="E121" s="18" t="s">
        <v>8</v>
      </c>
      <c r="F121" s="27" t="s">
        <v>7</v>
      </c>
      <c r="AG121" s="27" t="s">
        <v>8</v>
      </c>
      <c r="AK121" s="27" t="s">
        <v>8</v>
      </c>
      <c r="AL121" s="31" t="s">
        <v>7</v>
      </c>
    </row>
    <row r="122" spans="1:45" x14ac:dyDescent="0.25">
      <c r="A122" s="30">
        <v>0.90909090909090895</v>
      </c>
      <c r="C122" s="1" t="str">
        <f>INDEX(1:1048576,C117,D117)</f>
        <v>O</v>
      </c>
      <c r="F122" s="27" t="s">
        <v>7</v>
      </c>
      <c r="AG122" s="27" t="s">
        <v>8</v>
      </c>
      <c r="AH122" s="27" t="s">
        <v>7</v>
      </c>
      <c r="AK122" s="27" t="s">
        <v>8</v>
      </c>
      <c r="AL122" s="27" t="s">
        <v>7</v>
      </c>
      <c r="AM122" s="31"/>
    </row>
    <row r="123" spans="1:45" x14ac:dyDescent="0.25">
      <c r="A123" s="30">
        <v>0.82644628099173523</v>
      </c>
      <c r="C123" s="1" t="str">
        <f>"R"&amp;C121</f>
        <v>R137</v>
      </c>
      <c r="D123" s="1" t="str">
        <f>"C"&amp;D121</f>
        <v>C60</v>
      </c>
      <c r="F123" s="27" t="s">
        <v>7</v>
      </c>
      <c r="AA123" s="27" t="s">
        <v>8</v>
      </c>
      <c r="AG123" s="27" t="s">
        <v>8</v>
      </c>
      <c r="AH123" s="27" t="s">
        <v>7</v>
      </c>
      <c r="AI123" s="27" t="s">
        <v>8</v>
      </c>
      <c r="AK123" s="27" t="s">
        <v>8</v>
      </c>
      <c r="AL123" s="27" t="s">
        <v>7</v>
      </c>
      <c r="AN123" s="31"/>
    </row>
    <row r="124" spans="1:45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I124" s="27" t="s">
        <v>8</v>
      </c>
      <c r="AA124" s="27" t="s">
        <v>8</v>
      </c>
      <c r="AB124" s="27" t="s">
        <v>7</v>
      </c>
      <c r="AC124" s="27" t="s">
        <v>8</v>
      </c>
      <c r="AG124" s="27" t="s">
        <v>8</v>
      </c>
      <c r="AH124" s="27" t="s">
        <v>7</v>
      </c>
      <c r="AI124" s="27" t="s">
        <v>8</v>
      </c>
      <c r="AJ124" s="27" t="s">
        <v>7</v>
      </c>
      <c r="AK124" s="27" t="s">
        <v>8</v>
      </c>
      <c r="AL124" s="27" t="s">
        <v>7</v>
      </c>
      <c r="AO124" s="31"/>
    </row>
    <row r="125" spans="1:45" x14ac:dyDescent="0.25">
      <c r="A125" s="30">
        <v>0.68301345536507019</v>
      </c>
      <c r="F125" s="27" t="s">
        <v>7</v>
      </c>
      <c r="I125" s="27" t="s">
        <v>8</v>
      </c>
      <c r="J125" s="27" t="s">
        <v>7</v>
      </c>
      <c r="AA125" s="27" t="s">
        <v>8</v>
      </c>
      <c r="AB125" s="27" t="s">
        <v>7</v>
      </c>
      <c r="AC125" s="27" t="s">
        <v>8</v>
      </c>
      <c r="AD125" s="27" t="s">
        <v>7</v>
      </c>
      <c r="AE125" s="27" t="s">
        <v>8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L125" s="27" t="s">
        <v>7</v>
      </c>
      <c r="AP125" s="31"/>
    </row>
    <row r="126" spans="1:45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I126" s="27" t="s">
        <v>8</v>
      </c>
      <c r="J126" s="27" t="s">
        <v>7</v>
      </c>
      <c r="AA126" s="27" t="s">
        <v>8</v>
      </c>
      <c r="AB126" s="27" t="s">
        <v>7</v>
      </c>
      <c r="AC126" s="27" t="s">
        <v>8</v>
      </c>
      <c r="AD126" s="27" t="s">
        <v>7</v>
      </c>
      <c r="AE126" s="27" t="s">
        <v>8</v>
      </c>
      <c r="AF126" s="27" t="s">
        <v>7</v>
      </c>
      <c r="AG126" s="27" t="s">
        <v>8</v>
      </c>
      <c r="AH126" s="27" t="s">
        <v>7</v>
      </c>
      <c r="AJ126" s="27" t="s">
        <v>7</v>
      </c>
      <c r="AK126" s="27" t="s">
        <v>8</v>
      </c>
      <c r="AL126" s="27" t="s">
        <v>7</v>
      </c>
      <c r="AQ126" s="31"/>
    </row>
    <row r="127" spans="1:45" x14ac:dyDescent="0.25">
      <c r="A127" s="30">
        <v>0.56447393005377677</v>
      </c>
      <c r="C127" s="30">
        <v>0.2176291357901482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J127" s="27" t="s">
        <v>7</v>
      </c>
      <c r="AA127" s="27" t="s">
        <v>8</v>
      </c>
      <c r="AB127" s="27" t="s">
        <v>7</v>
      </c>
      <c r="AC127" s="27" t="s">
        <v>8</v>
      </c>
      <c r="AD127" s="27" t="s">
        <v>7</v>
      </c>
      <c r="AE127" s="27" t="s">
        <v>8</v>
      </c>
      <c r="AF127" s="27" t="s">
        <v>7</v>
      </c>
      <c r="AG127" s="27" t="s">
        <v>8</v>
      </c>
      <c r="AJ127" s="27" t="s">
        <v>7</v>
      </c>
      <c r="AL127" s="27" t="s">
        <v>7</v>
      </c>
      <c r="AR127" s="31"/>
    </row>
    <row r="128" spans="1:45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J128" s="27" t="s">
        <v>7</v>
      </c>
      <c r="AA128" s="27" t="s">
        <v>8</v>
      </c>
      <c r="AB128" s="27" t="s">
        <v>7</v>
      </c>
      <c r="AD128" s="27" t="s">
        <v>7</v>
      </c>
      <c r="AE128" s="27" t="s">
        <v>8</v>
      </c>
      <c r="AF128" s="27" t="s">
        <v>7</v>
      </c>
      <c r="AG128" s="27" t="s">
        <v>8</v>
      </c>
      <c r="AL128" s="27" t="s">
        <v>7</v>
      </c>
      <c r="AS128" s="31"/>
    </row>
    <row r="129" spans="1:6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J129" s="27" t="s">
        <v>7</v>
      </c>
      <c r="AA129" s="27" t="s">
        <v>8</v>
      </c>
      <c r="AD129" s="27" t="s">
        <v>7</v>
      </c>
      <c r="AE129" s="27" t="s">
        <v>8</v>
      </c>
      <c r="AF129" s="27" t="s">
        <v>7</v>
      </c>
      <c r="AL129" s="27" t="s">
        <v>7</v>
      </c>
      <c r="AT129" s="31"/>
      <c r="BC129" s="27" t="s">
        <v>8</v>
      </c>
    </row>
    <row r="130" spans="1:60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J130" s="27" t="s">
        <v>7</v>
      </c>
      <c r="AA130" s="27" t="s">
        <v>8</v>
      </c>
      <c r="AD130" s="27" t="s">
        <v>7</v>
      </c>
      <c r="AE130" s="27" t="s">
        <v>8</v>
      </c>
      <c r="AL130" s="27" t="s">
        <v>7</v>
      </c>
      <c r="AM130" s="27" t="s">
        <v>8</v>
      </c>
      <c r="AU130" s="31"/>
      <c r="AW130" s="27" t="s">
        <v>8</v>
      </c>
      <c r="AY130" s="27" t="s">
        <v>8</v>
      </c>
      <c r="BC130" s="27" t="s">
        <v>8</v>
      </c>
      <c r="BD130" s="27" t="s">
        <v>7</v>
      </c>
    </row>
    <row r="131" spans="1:60" x14ac:dyDescent="0.25">
      <c r="A131" s="30">
        <v>0.38554328942953109</v>
      </c>
      <c r="E131"/>
      <c r="F131" s="27" t="s">
        <v>7</v>
      </c>
      <c r="J131" s="27" t="s">
        <v>7</v>
      </c>
      <c r="Y131" s="27" t="s">
        <v>8</v>
      </c>
      <c r="AA131" s="27" t="s">
        <v>8</v>
      </c>
      <c r="AD131" s="27" t="s">
        <v>7</v>
      </c>
      <c r="AE131" s="27" t="s">
        <v>8</v>
      </c>
      <c r="AL131" s="27" t="s">
        <v>7</v>
      </c>
      <c r="AM131" s="27" t="s">
        <v>8</v>
      </c>
      <c r="AN131" s="27" t="s">
        <v>7</v>
      </c>
      <c r="AO131" s="27" t="s">
        <v>8</v>
      </c>
      <c r="AV131" s="31"/>
      <c r="AW131" s="27" t="s">
        <v>8</v>
      </c>
      <c r="AX131" s="27" t="s">
        <v>7</v>
      </c>
      <c r="AY131" s="27" t="s">
        <v>8</v>
      </c>
      <c r="AZ131" s="27" t="s">
        <v>7</v>
      </c>
      <c r="BC131" s="27" t="s">
        <v>8</v>
      </c>
      <c r="BD131" s="27" t="s">
        <v>7</v>
      </c>
      <c r="BE131" s="27" t="s">
        <v>8</v>
      </c>
    </row>
    <row r="132" spans="1:60" x14ac:dyDescent="0.25">
      <c r="A132" s="30">
        <v>0.35049389948139187</v>
      </c>
      <c r="C132" s="1" t="s">
        <v>13</v>
      </c>
      <c r="E132"/>
      <c r="J132" s="27" t="s">
        <v>7</v>
      </c>
      <c r="Q132" s="27" t="s">
        <v>8</v>
      </c>
      <c r="Y132" s="27" t="s">
        <v>8</v>
      </c>
      <c r="Z132" s="27" t="s">
        <v>7</v>
      </c>
      <c r="AA132" s="27" t="s">
        <v>8</v>
      </c>
      <c r="AD132" s="27" t="s">
        <v>7</v>
      </c>
      <c r="AL132" s="27" t="s">
        <v>7</v>
      </c>
      <c r="AM132" s="27" t="s">
        <v>8</v>
      </c>
      <c r="AN132" s="27" t="s">
        <v>7</v>
      </c>
      <c r="AO132" s="27" t="s">
        <v>8</v>
      </c>
      <c r="AP132" s="27" t="s">
        <v>7</v>
      </c>
      <c r="AQ132" s="27" t="s">
        <v>8</v>
      </c>
      <c r="AS132" s="27" t="s">
        <v>8</v>
      </c>
      <c r="AW132" s="31" t="s">
        <v>8</v>
      </c>
      <c r="AX132" s="27" t="s">
        <v>7</v>
      </c>
      <c r="AY132" s="27" t="s">
        <v>8</v>
      </c>
      <c r="AZ132" s="27" t="s">
        <v>7</v>
      </c>
      <c r="BA132" s="27" t="s">
        <v>8</v>
      </c>
      <c r="BC132" s="27" t="s">
        <v>8</v>
      </c>
      <c r="BD132" s="27" t="s">
        <v>7</v>
      </c>
      <c r="BE132" s="27" t="s">
        <v>8</v>
      </c>
      <c r="BF132" s="27" t="s">
        <v>7</v>
      </c>
    </row>
    <row r="133" spans="1:60" x14ac:dyDescent="0.25">
      <c r="A133" s="30">
        <v>0.31863081771035617</v>
      </c>
      <c r="C133" s="1" t="str">
        <f>C122</f>
        <v>O</v>
      </c>
      <c r="E133"/>
      <c r="J133" s="27" t="s">
        <v>7</v>
      </c>
      <c r="Q133" s="27" t="s">
        <v>8</v>
      </c>
      <c r="R133" s="27" t="s">
        <v>7</v>
      </c>
      <c r="Y133" s="27" t="s">
        <v>8</v>
      </c>
      <c r="Z133" s="27" t="s">
        <v>7</v>
      </c>
      <c r="AA133" s="27" t="s">
        <v>8</v>
      </c>
      <c r="AL133" s="27" t="s">
        <v>7</v>
      </c>
      <c r="AM133" s="27" t="s">
        <v>8</v>
      </c>
      <c r="AN133" s="27" t="s">
        <v>7</v>
      </c>
      <c r="AO133" s="27" t="s">
        <v>8</v>
      </c>
      <c r="AP133" s="27" t="s">
        <v>7</v>
      </c>
      <c r="AQ133" s="27" t="s">
        <v>8</v>
      </c>
      <c r="AR133" s="27" t="s">
        <v>7</v>
      </c>
      <c r="AS133" s="27" t="s">
        <v>8</v>
      </c>
      <c r="AT133" s="27" t="s">
        <v>7</v>
      </c>
      <c r="AW133" s="27" t="s">
        <v>8</v>
      </c>
      <c r="AX133" s="31" t="s">
        <v>7</v>
      </c>
      <c r="AZ133" s="27" t="s">
        <v>7</v>
      </c>
      <c r="BA133" s="27" t="s">
        <v>8</v>
      </c>
      <c r="BB133" s="27" t="s">
        <v>7</v>
      </c>
      <c r="BC133" s="27" t="s">
        <v>8</v>
      </c>
      <c r="BD133" s="27" t="s">
        <v>7</v>
      </c>
      <c r="BE133" s="27" t="s">
        <v>8</v>
      </c>
      <c r="BF133" s="27" t="s">
        <v>7</v>
      </c>
      <c r="BG133" s="27" t="s">
        <v>8</v>
      </c>
    </row>
    <row r="134" spans="1:60" x14ac:dyDescent="0.25">
      <c r="A134" s="30">
        <v>0.28966437973668741</v>
      </c>
      <c r="C134"/>
      <c r="D134"/>
      <c r="E134"/>
      <c r="J134" s="27" t="s">
        <v>7</v>
      </c>
      <c r="Q134" s="27" t="s">
        <v>8</v>
      </c>
      <c r="R134" s="27" t="s">
        <v>7</v>
      </c>
      <c r="S134" s="27" t="s">
        <v>8</v>
      </c>
      <c r="Y134" s="27" t="s">
        <v>8</v>
      </c>
      <c r="Z134" s="27" t="s">
        <v>7</v>
      </c>
      <c r="AL134" s="27" t="s">
        <v>7</v>
      </c>
      <c r="AM134" s="27" t="s">
        <v>8</v>
      </c>
      <c r="AN134" s="27" t="s">
        <v>7</v>
      </c>
      <c r="AO134" s="27" t="s">
        <v>8</v>
      </c>
      <c r="AP134" s="27" t="s">
        <v>7</v>
      </c>
      <c r="AQ134" s="27" t="s">
        <v>8</v>
      </c>
      <c r="AR134" s="27" t="s">
        <v>7</v>
      </c>
      <c r="AS134" s="27" t="s">
        <v>8</v>
      </c>
      <c r="AT134" s="27" t="s">
        <v>7</v>
      </c>
      <c r="AW134" s="27" t="s">
        <v>8</v>
      </c>
      <c r="AZ134" s="27" t="s">
        <v>7</v>
      </c>
      <c r="BA134" s="27" t="s">
        <v>8</v>
      </c>
      <c r="BB134" s="27" t="s">
        <v>7</v>
      </c>
      <c r="BC134" s="27" t="s">
        <v>8</v>
      </c>
      <c r="BD134" s="27" t="s">
        <v>7</v>
      </c>
      <c r="BE134" s="27" t="s">
        <v>8</v>
      </c>
      <c r="BF134" s="27" t="s">
        <v>7</v>
      </c>
      <c r="BG134" s="27" t="s">
        <v>8</v>
      </c>
      <c r="BH134" s="27" t="s">
        <v>7</v>
      </c>
    </row>
    <row r="135" spans="1:60" x14ac:dyDescent="0.25">
      <c r="A135" s="30">
        <v>0.2633312543060794</v>
      </c>
      <c r="C135" s="1" t="s">
        <v>14</v>
      </c>
      <c r="E135"/>
      <c r="J135" s="27" t="s">
        <v>7</v>
      </c>
      <c r="Q135" s="27" t="s">
        <v>8</v>
      </c>
      <c r="R135" s="27" t="s">
        <v>7</v>
      </c>
      <c r="S135" s="27" t="s">
        <v>8</v>
      </c>
      <c r="T135" s="27" t="s">
        <v>7</v>
      </c>
      <c r="U135" s="27" t="s">
        <v>8</v>
      </c>
      <c r="Y135" s="27" t="s">
        <v>8</v>
      </c>
      <c r="AL135" s="27" t="s">
        <v>7</v>
      </c>
      <c r="AN135" s="27" t="s">
        <v>7</v>
      </c>
      <c r="AO135" s="27" t="s">
        <v>8</v>
      </c>
      <c r="AP135" s="27" t="s">
        <v>7</v>
      </c>
      <c r="AR135" s="27" t="s">
        <v>7</v>
      </c>
      <c r="AT135" s="27" t="s">
        <v>7</v>
      </c>
      <c r="AW135" s="27" t="s">
        <v>8</v>
      </c>
      <c r="AZ135" s="27" t="s">
        <v>7</v>
      </c>
      <c r="BB135" s="27" t="s">
        <v>7</v>
      </c>
      <c r="BC135" s="27" t="s">
        <v>8</v>
      </c>
      <c r="BD135" s="27" t="s">
        <v>7</v>
      </c>
      <c r="BF135" s="27" t="s">
        <v>7</v>
      </c>
      <c r="BG135" s="27" t="s">
        <v>8</v>
      </c>
      <c r="BH135" s="27" t="s">
        <v>7</v>
      </c>
    </row>
    <row r="136" spans="1:6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J136" s="27" t="s">
        <v>7</v>
      </c>
      <c r="K136" s="27" t="s">
        <v>8</v>
      </c>
      <c r="Q136" s="27" t="s">
        <v>8</v>
      </c>
      <c r="R136" s="27" t="s">
        <v>7</v>
      </c>
      <c r="S136" s="27" t="s">
        <v>8</v>
      </c>
      <c r="T136" s="27" t="s">
        <v>7</v>
      </c>
      <c r="U136" s="27" t="s">
        <v>8</v>
      </c>
      <c r="V136" s="27" t="s">
        <v>7</v>
      </c>
      <c r="W136" s="27" t="s">
        <v>8</v>
      </c>
      <c r="Y136" s="27" t="s">
        <v>8</v>
      </c>
      <c r="AN136" s="27" t="s">
        <v>7</v>
      </c>
      <c r="AO136" s="27" t="s">
        <v>8</v>
      </c>
      <c r="AT136" s="27" t="s">
        <v>7</v>
      </c>
      <c r="AU136" s="27" t="s">
        <v>8</v>
      </c>
      <c r="AW136" s="27" t="s">
        <v>8</v>
      </c>
      <c r="BB136" s="27" t="s">
        <v>7</v>
      </c>
      <c r="BF136" s="27" t="s">
        <v>7</v>
      </c>
      <c r="BH136" s="27" t="s">
        <v>7</v>
      </c>
    </row>
    <row r="137" spans="1:60" x14ac:dyDescent="0.25">
      <c r="A137" s="30">
        <v>0.2176291357901482</v>
      </c>
      <c r="E137"/>
      <c r="J137" s="27" t="s">
        <v>7</v>
      </c>
      <c r="K137" s="27" t="s">
        <v>8</v>
      </c>
      <c r="L137" s="27" t="s">
        <v>7</v>
      </c>
      <c r="Q137" s="27" t="s">
        <v>8</v>
      </c>
      <c r="R137" s="27" t="s">
        <v>7</v>
      </c>
      <c r="S137" s="27" t="s">
        <v>8</v>
      </c>
      <c r="T137" s="27" t="s">
        <v>7</v>
      </c>
      <c r="U137" s="27" t="s">
        <v>8</v>
      </c>
      <c r="V137" s="27" t="s">
        <v>7</v>
      </c>
      <c r="W137" s="27" t="s">
        <v>8</v>
      </c>
      <c r="X137" s="27" t="s">
        <v>7</v>
      </c>
      <c r="Y137" s="27" t="s">
        <v>8</v>
      </c>
      <c r="AN137" s="27" t="s">
        <v>7</v>
      </c>
      <c r="AO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  <c r="BH137" s="27" t="s">
        <v>7</v>
      </c>
    </row>
    <row r="138" spans="1:6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J138" s="27" t="s">
        <v>7</v>
      </c>
      <c r="K138" s="27" t="s">
        <v>8</v>
      </c>
      <c r="L138" s="27" t="s">
        <v>7</v>
      </c>
      <c r="Q138" s="27" t="s">
        <v>8</v>
      </c>
      <c r="R138" s="27" t="s">
        <v>7</v>
      </c>
      <c r="S138" s="27" t="s">
        <v>8</v>
      </c>
      <c r="T138" s="27" t="s">
        <v>7</v>
      </c>
      <c r="V138" s="27" t="s">
        <v>7</v>
      </c>
      <c r="W138" s="27" t="s">
        <v>8</v>
      </c>
      <c r="X138" s="27" t="s">
        <v>7</v>
      </c>
      <c r="Y138" s="27" t="s">
        <v>8</v>
      </c>
      <c r="AN138" s="27" t="s">
        <v>7</v>
      </c>
      <c r="AT138" s="27" t="s">
        <v>7</v>
      </c>
      <c r="AU138" s="27" t="s">
        <v>8</v>
      </c>
      <c r="AV138" s="27" t="s">
        <v>7</v>
      </c>
      <c r="AW138" s="27" t="s">
        <v>8</v>
      </c>
    </row>
    <row r="139" spans="1:60" x14ac:dyDescent="0.25">
      <c r="A139" s="30">
        <v>0.17985878990921333</v>
      </c>
      <c r="E139"/>
      <c r="J139" s="27" t="s">
        <v>7</v>
      </c>
      <c r="L139" s="27" t="s">
        <v>7</v>
      </c>
      <c r="Q139" s="27" t="s">
        <v>8</v>
      </c>
      <c r="R139" s="27" t="s">
        <v>7</v>
      </c>
      <c r="V139" s="27" t="s">
        <v>7</v>
      </c>
      <c r="W139" s="27" t="s">
        <v>8</v>
      </c>
      <c r="X139" s="27" t="s">
        <v>7</v>
      </c>
      <c r="AT139" s="27" t="s">
        <v>7</v>
      </c>
      <c r="AU139" s="27" t="s">
        <v>8</v>
      </c>
      <c r="AV139" s="27" t="s">
        <v>7</v>
      </c>
      <c r="AW139" s="27" t="s">
        <v>8</v>
      </c>
    </row>
    <row r="140" spans="1:60" x14ac:dyDescent="0.25">
      <c r="A140" s="30">
        <v>0.16350799082655756</v>
      </c>
      <c r="C140" s="1">
        <v>0</v>
      </c>
      <c r="E140"/>
      <c r="L140" s="27" t="s">
        <v>7</v>
      </c>
      <c r="Q140" s="27" t="s">
        <v>8</v>
      </c>
      <c r="V140" s="27" t="s">
        <v>7</v>
      </c>
      <c r="W140" s="27" t="s">
        <v>8</v>
      </c>
      <c r="AT140" s="27" t="s">
        <v>7</v>
      </c>
      <c r="AV140" s="18" t="s">
        <v>7</v>
      </c>
      <c r="AW140" s="27" t="s">
        <v>8</v>
      </c>
    </row>
    <row r="141" spans="1:60" x14ac:dyDescent="0.25">
      <c r="A141" s="30">
        <v>0.14864362802414322</v>
      </c>
      <c r="C141" s="1">
        <v>1</v>
      </c>
      <c r="E141"/>
      <c r="L141" s="27" t="s">
        <v>7</v>
      </c>
      <c r="M141" s="27" t="s">
        <v>8</v>
      </c>
      <c r="Q141" s="27" t="s">
        <v>8</v>
      </c>
      <c r="V141" s="27" t="s">
        <v>7</v>
      </c>
      <c r="AV141" s="27" t="s">
        <v>7</v>
      </c>
    </row>
    <row r="142" spans="1:60" x14ac:dyDescent="0.25">
      <c r="A142" s="30">
        <v>0.13513057093103928</v>
      </c>
      <c r="C142" s="1">
        <v>2</v>
      </c>
      <c r="E142"/>
      <c r="L142" s="27" t="s">
        <v>7</v>
      </c>
      <c r="M142" s="27" t="s">
        <v>8</v>
      </c>
      <c r="N142" s="27" t="s">
        <v>7</v>
      </c>
      <c r="O142" s="27" t="s">
        <v>8</v>
      </c>
      <c r="Q142" s="27" t="s">
        <v>8</v>
      </c>
    </row>
    <row r="143" spans="1:60" x14ac:dyDescent="0.25">
      <c r="A143" s="30">
        <v>0.12284597357367205</v>
      </c>
      <c r="C143" s="1">
        <v>3</v>
      </c>
      <c r="E143"/>
      <c r="L143" s="27" t="s">
        <v>7</v>
      </c>
      <c r="M143" s="27" t="s">
        <v>8</v>
      </c>
      <c r="N143" s="27" t="s">
        <v>7</v>
      </c>
      <c r="O143" s="27" t="s">
        <v>8</v>
      </c>
      <c r="P143" s="27" t="s">
        <v>7</v>
      </c>
      <c r="Q143" s="27" t="s">
        <v>8</v>
      </c>
    </row>
    <row r="144" spans="1:60" x14ac:dyDescent="0.25">
      <c r="A144" s="30">
        <v>0.11167815779424731</v>
      </c>
      <c r="C144" s="1">
        <v>4</v>
      </c>
      <c r="E144"/>
      <c r="L144" s="27" t="s">
        <v>7</v>
      </c>
      <c r="M144" s="27" t="s">
        <v>8</v>
      </c>
      <c r="N144" s="27" t="s">
        <v>7</v>
      </c>
      <c r="O144" s="27" t="s">
        <v>8</v>
      </c>
      <c r="P144" s="27" t="s">
        <v>7</v>
      </c>
      <c r="Q144" s="27" t="s">
        <v>8</v>
      </c>
    </row>
    <row r="145" spans="1:17" x14ac:dyDescent="0.25">
      <c r="A145" s="30">
        <v>0.10152559799477026</v>
      </c>
      <c r="B145"/>
      <c r="C145"/>
      <c r="D145"/>
      <c r="E145"/>
      <c r="L145" s="27" t="s">
        <v>7</v>
      </c>
      <c r="N145" s="27" t="s">
        <v>7</v>
      </c>
      <c r="P145" s="27" t="s">
        <v>7</v>
      </c>
      <c r="Q145" s="27" t="s">
        <v>8</v>
      </c>
    </row>
    <row r="146" spans="1:17" x14ac:dyDescent="0.25">
      <c r="A146" s="30">
        <v>9.2295998177063854E-2</v>
      </c>
      <c r="B146"/>
      <c r="C146"/>
      <c r="D146"/>
      <c r="E146"/>
      <c r="P146" s="27" t="s">
        <v>7</v>
      </c>
    </row>
    <row r="147" spans="1:17" x14ac:dyDescent="0.25">
      <c r="A147" s="30">
        <v>8.3905452888239848E-2</v>
      </c>
      <c r="B147"/>
      <c r="C147"/>
      <c r="D147"/>
      <c r="E147"/>
    </row>
    <row r="148" spans="1:17" x14ac:dyDescent="0.25">
      <c r="A148" s="30">
        <v>7.6277684443854396E-2</v>
      </c>
      <c r="B148"/>
      <c r="C148"/>
      <c r="D148"/>
      <c r="E148"/>
    </row>
    <row r="149" spans="1:17" x14ac:dyDescent="0.25">
      <c r="A149" s="30">
        <v>6.9343349494413078E-2</v>
      </c>
      <c r="B149"/>
      <c r="C149"/>
      <c r="D149"/>
      <c r="E149"/>
    </row>
    <row r="150" spans="1:17" x14ac:dyDescent="0.25">
      <c r="A150" s="30">
        <v>6.3039408631284613E-2</v>
      </c>
      <c r="B150"/>
      <c r="C150"/>
      <c r="D150"/>
      <c r="E150"/>
    </row>
    <row r="151" spans="1:17" x14ac:dyDescent="0.25">
      <c r="A151" s="30">
        <v>5.7308553301167818E-2</v>
      </c>
      <c r="B151"/>
      <c r="C151"/>
      <c r="D151"/>
      <c r="E151"/>
    </row>
    <row r="152" spans="1:17" x14ac:dyDescent="0.25">
      <c r="A152" s="30">
        <v>5.2098684819243464E-2</v>
      </c>
      <c r="B152"/>
      <c r="C152"/>
      <c r="D152"/>
      <c r="E152"/>
    </row>
    <row r="153" spans="1:17" x14ac:dyDescent="0.25">
      <c r="A153" s="30">
        <v>4.7362440744766775E-2</v>
      </c>
      <c r="B153"/>
      <c r="C153"/>
      <c r="D153"/>
      <c r="E153"/>
    </row>
    <row r="154" spans="1:17" x14ac:dyDescent="0.25">
      <c r="A154" s="30">
        <v>4.3056764313424332E-2</v>
      </c>
      <c r="B154"/>
      <c r="C154"/>
      <c r="D154"/>
      <c r="E154"/>
    </row>
    <row r="155" spans="1:17" x14ac:dyDescent="0.25">
      <c r="A155" s="30">
        <v>3.9142513012203929E-2</v>
      </c>
      <c r="B155"/>
      <c r="C155"/>
      <c r="D155"/>
      <c r="E155"/>
    </row>
    <row r="156" spans="1:17" x14ac:dyDescent="0.25">
      <c r="A156" s="30">
        <v>3.55841027383672E-2</v>
      </c>
      <c r="B156"/>
      <c r="C156"/>
      <c r="D156"/>
      <c r="E156"/>
    </row>
    <row r="157" spans="1:17" x14ac:dyDescent="0.25">
      <c r="A157" s="30">
        <v>3.2349184307606541E-2</v>
      </c>
      <c r="B157"/>
      <c r="C157"/>
      <c r="D157"/>
      <c r="E157"/>
    </row>
    <row r="158" spans="1:17" x14ac:dyDescent="0.25">
      <c r="A158" s="30">
        <v>2.9408349370551395E-2</v>
      </c>
      <c r="B158"/>
      <c r="C158"/>
      <c r="D158"/>
      <c r="E158"/>
    </row>
    <row r="159" spans="1:17" x14ac:dyDescent="0.25">
      <c r="A159" s="30">
        <v>2.6734863064137627E-2</v>
      </c>
      <c r="B159"/>
      <c r="C159"/>
      <c r="D159"/>
      <c r="E159"/>
    </row>
    <row r="160" spans="1:17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2" operator="equal">
      <formula>$U$1</formula>
    </cfRule>
    <cfRule type="cellIs" dxfId="30" priority="893" operator="equal">
      <formula>$S$1</formula>
    </cfRule>
  </conditionalFormatting>
  <conditionalFormatting sqref="D136">
    <cfRule type="cellIs" dxfId="29" priority="890" operator="equal">
      <formula>$S$1</formula>
    </cfRule>
    <cfRule type="cellIs" dxfId="28" priority="891" operator="equal">
      <formula>$U$1</formula>
    </cfRule>
  </conditionalFormatting>
  <conditionalFormatting sqref="C102">
    <cfRule type="cellIs" dxfId="27" priority="888" operator="equal">
      <formula>$U$1</formula>
    </cfRule>
    <cfRule type="cellIs" dxfId="26" priority="889" operator="equal">
      <formula>$S$1</formula>
    </cfRule>
  </conditionalFormatting>
  <conditionalFormatting sqref="D102">
    <cfRule type="cellIs" dxfId="25" priority="886" operator="equal">
      <formula>$S$1</formula>
    </cfRule>
    <cfRule type="cellIs" dxfId="24" priority="887" operator="equal">
      <formula>$U$1</formula>
    </cfRule>
  </conditionalFormatting>
  <conditionalFormatting sqref="C77">
    <cfRule type="cellIs" dxfId="23" priority="884" operator="equal">
      <formula>$U$1</formula>
    </cfRule>
    <cfRule type="cellIs" dxfId="22" priority="885" operator="equal">
      <formula>$S$1</formula>
    </cfRule>
  </conditionalFormatting>
  <conditionalFormatting sqref="D77">
    <cfRule type="cellIs" dxfId="21" priority="882" operator="equal">
      <formula>$S$1</formula>
    </cfRule>
    <cfRule type="cellIs" dxfId="20" priority="883" operator="equal">
      <formula>$U$1</formula>
    </cfRule>
  </conditionalFormatting>
  <conditionalFormatting sqref="C52">
    <cfRule type="cellIs" dxfId="19" priority="880" operator="equal">
      <formula>$U$1</formula>
    </cfRule>
    <cfRule type="cellIs" dxfId="18" priority="881" operator="equal">
      <formula>$S$1</formula>
    </cfRule>
  </conditionalFormatting>
  <conditionalFormatting sqref="D52">
    <cfRule type="cellIs" dxfId="17" priority="878" operator="equal">
      <formula>$S$1</formula>
    </cfRule>
    <cfRule type="cellIs" dxfId="16" priority="879" operator="equal">
      <formula>$U$1</formula>
    </cfRule>
  </conditionalFormatting>
  <conditionalFormatting sqref="C26">
    <cfRule type="cellIs" dxfId="15" priority="876" operator="equal">
      <formula>$U$1</formula>
    </cfRule>
    <cfRule type="cellIs" dxfId="14" priority="877" operator="equal">
      <formula>$S$1</formula>
    </cfRule>
  </conditionalFormatting>
  <conditionalFormatting sqref="D26">
    <cfRule type="cellIs" dxfId="13" priority="874" operator="equal">
      <formula>$S$1</formula>
    </cfRule>
    <cfRule type="cellIs" dxfId="12" priority="87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0.14914796641528946</v>
      </c>
      <c r="F3" s="30">
        <v>0.15660536473605399</v>
      </c>
      <c r="G3" s="30">
        <v>0.22035947491033836</v>
      </c>
      <c r="H3" s="25">
        <f>IF(G3="","",(3*(G3-F3))+E3)</f>
        <v>0.34041029693814256</v>
      </c>
      <c r="I3" s="7"/>
      <c r="J3" s="7">
        <f>(E3+G3)/2</f>
        <v>0.18475372066281393</v>
      </c>
      <c r="K3" s="7">
        <f>H3/2</f>
        <v>0.17020514846907128</v>
      </c>
      <c r="M3" s="26">
        <f>IF(OR(J3="",H3=""),"",H3/J3)</f>
        <v>1.8425084794877327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2022-01-19T00:04:23Z</dcterms:modified>
</cp:coreProperties>
</file>