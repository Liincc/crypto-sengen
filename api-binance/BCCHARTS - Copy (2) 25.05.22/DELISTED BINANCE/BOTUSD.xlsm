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C71092D-20C8-4A4D-A20B-61AC68B363D3}" xr6:coauthVersionLast="47" xr6:coauthVersionMax="47" xr10:uidLastSave="{00000000-0000-0000-0000-000000000000}"/>
  <bookViews>
    <workbookView xWindow="1125" yWindow="1125" windowWidth="21315" windowHeight="1771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/>
  <c r="P561" i="1"/>
  <c r="Q561" i="1" s="1"/>
  <c r="P562" i="1"/>
  <c r="Q562" i="1" s="1"/>
  <c r="P563" i="1"/>
  <c r="Q563" i="1" s="1"/>
  <c r="P564" i="1"/>
  <c r="Q564" i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R579" i="1" s="1"/>
  <c r="S579" i="1" s="1"/>
  <c r="T579" i="1" s="1"/>
  <c r="P10" i="1"/>
  <c r="Q10" i="1" s="1"/>
  <c r="R578" i="1" l="1"/>
  <c r="D2" i="7"/>
  <c r="C2" i="7"/>
  <c r="S578" i="1" l="1"/>
  <c r="T578" i="1" s="1"/>
  <c r="R577" i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D77" i="5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C122" i="3" l="1"/>
  <c r="C133" i="3" s="1"/>
  <c r="D136" i="3" s="1"/>
  <c r="C116" i="3"/>
  <c r="C118" i="5"/>
  <c r="R576" i="1"/>
  <c r="S577" i="1"/>
  <c r="T577" i="1" s="1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D136" i="2"/>
  <c r="C136" i="2"/>
  <c r="C136" i="3" l="1"/>
  <c r="C138" i="3" s="1"/>
  <c r="S576" i="1"/>
  <c r="T576" i="1" s="1"/>
  <c r="R575" i="1"/>
  <c r="C136" i="4"/>
  <c r="C138" i="4" s="1"/>
  <c r="D136" i="5"/>
  <c r="C136" i="5"/>
  <c r="C138" i="2"/>
  <c r="S575" i="1" l="1"/>
  <c r="T575" i="1" s="1"/>
  <c r="R574" i="1"/>
  <c r="C138" i="5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R542" i="1" l="1"/>
  <c r="S543" i="1"/>
  <c r="T543" i="1" s="1"/>
  <c r="S542" i="1" l="1"/>
  <c r="T542" i="1" s="1"/>
  <c r="R541" i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R479" i="1" l="1"/>
  <c r="S480" i="1"/>
  <c r="T480" i="1" s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S21" i="1" l="1"/>
  <c r="T21" i="1" s="1"/>
  <c r="R20" i="1"/>
  <c r="S20" i="1" l="1"/>
  <c r="T20" i="1" s="1"/>
  <c r="R19" i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R14" i="1" l="1"/>
  <c r="S15" i="1"/>
  <c r="T15" i="1" s="1"/>
  <c r="R13" i="1" l="1"/>
  <c r="S14" i="1"/>
  <c r="T14" i="1" s="1"/>
  <c r="R12" i="1" l="1"/>
  <c r="S13" i="1"/>
  <c r="T13" i="1" s="1"/>
  <c r="R11" i="1" l="1"/>
  <c r="S12" i="1"/>
  <c r="T12" i="1" s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<sst xmlns="http://schemas.openxmlformats.org/spreadsheetml/2006/main" count="2214" uniqueCount="34">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</sst>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44401</c:v>
                </c:pt>
                <c:pt idx="1">
                  <c:v>44400</c:v>
                </c:pt>
                <c:pt idx="2">
                  <c:v>44399</c:v>
                </c:pt>
                <c:pt idx="3">
                  <c:v>44398</c:v>
                </c:pt>
                <c:pt idx="4">
                  <c:v>44397</c:v>
                </c:pt>
                <c:pt idx="5">
                  <c:v>44247</c:v>
                </c:pt>
                <c:pt idx="6">
                  <c:v>44246</c:v>
                </c:pt>
                <c:pt idx="7">
                  <c:v>44245</c:v>
                </c:pt>
                <c:pt idx="8">
                  <c:v>44244</c:v>
                </c:pt>
                <c:pt idx="9">
                  <c:v>44243</c:v>
                </c:pt>
                <c:pt idx="10">
                  <c:v>44242</c:v>
                </c:pt>
                <c:pt idx="11">
                  <c:v>44241</c:v>
                </c:pt>
                <c:pt idx="12">
                  <c:v>44240</c:v>
                </c:pt>
                <c:pt idx="13">
                  <c:v>44239</c:v>
                </c:pt>
                <c:pt idx="14">
                  <c:v>44238</c:v>
                </c:pt>
                <c:pt idx="15">
                  <c:v>44237</c:v>
                </c:pt>
                <c:pt idx="16">
                  <c:v>44236</c:v>
                </c:pt>
                <c:pt idx="17">
                  <c:v>44235</c:v>
                </c:pt>
                <c:pt idx="18">
                  <c:v>44234</c:v>
                </c:pt>
                <c:pt idx="19">
                  <c:v>44233</c:v>
                </c:pt>
                <c:pt idx="20">
                  <c:v>44232</c:v>
                </c:pt>
                <c:pt idx="21">
                  <c:v>44231</c:v>
                </c:pt>
                <c:pt idx="22">
                  <c:v>44230</c:v>
                </c:pt>
                <c:pt idx="23">
                  <c:v>44229</c:v>
                </c:pt>
                <c:pt idx="24">
                  <c:v>44228</c:v>
                </c:pt>
                <c:pt idx="25">
                  <c:v>44227</c:v>
                </c:pt>
                <c:pt idx="26">
                  <c:v>44226</c:v>
                </c:pt>
                <c:pt idx="27">
                  <c:v>44225</c:v>
                </c:pt>
                <c:pt idx="28">
                  <c:v>44224</c:v>
                </c:pt>
                <c:pt idx="29">
                  <c:v>44223</c:v>
                </c:pt>
                <c:pt idx="30">
                  <c:v>44222</c:v>
                </c:pt>
                <c:pt idx="31">
                  <c:v>44221</c:v>
                </c:pt>
                <c:pt idx="32">
                  <c:v>44220</c:v>
                </c:pt>
                <c:pt idx="33">
                  <c:v>44219</c:v>
                </c:pt>
                <c:pt idx="34">
                  <c:v>44218</c:v>
                </c:pt>
                <c:pt idx="35">
                  <c:v>44217</c:v>
                </c:pt>
                <c:pt idx="36">
                  <c:v>44216</c:v>
                </c:pt>
                <c:pt idx="37">
                  <c:v>44215</c:v>
                </c:pt>
                <c:pt idx="38">
                  <c:v>44214</c:v>
                </c:pt>
                <c:pt idx="39">
                  <c:v>44213</c:v>
                </c:pt>
                <c:pt idx="40">
                  <c:v>44212</c:v>
                </c:pt>
                <c:pt idx="41">
                  <c:v>44211</c:v>
                </c:pt>
                <c:pt idx="42">
                  <c:v>44210</c:v>
                </c:pt>
                <c:pt idx="43">
                  <c:v>44209</c:v>
                </c:pt>
                <c:pt idx="44">
                  <c:v>44208</c:v>
                </c:pt>
                <c:pt idx="45">
                  <c:v>44207</c:v>
                </c:pt>
                <c:pt idx="46">
                  <c:v>44206</c:v>
                </c:pt>
                <c:pt idx="47">
                  <c:v>44205</c:v>
                </c:pt>
                <c:pt idx="48">
                  <c:v>44204</c:v>
                </c:pt>
                <c:pt idx="49">
                  <c:v>44203</c:v>
                </c:pt>
                <c:pt idx="50">
                  <c:v>44202</c:v>
                </c:pt>
                <c:pt idx="51">
                  <c:v>44201</c:v>
                </c:pt>
                <c:pt idx="52">
                  <c:v>44200</c:v>
                </c:pt>
                <c:pt idx="53">
                  <c:v>44199</c:v>
                </c:pt>
                <c:pt idx="54">
                  <c:v>44198</c:v>
                </c:pt>
                <c:pt idx="55">
                  <c:v>44197</c:v>
                </c:pt>
                <c:pt idx="56">
                  <c:v>44196</c:v>
                </c:pt>
                <c:pt idx="57">
                  <c:v>44195</c:v>
                </c:pt>
                <c:pt idx="58">
                  <c:v>44194</c:v>
                </c:pt>
                <c:pt idx="59">
                  <c:v>44193</c:v>
                </c:pt>
                <c:pt idx="60">
                  <c:v>44192</c:v>
                </c:pt>
                <c:pt idx="61">
                  <c:v>44191</c:v>
                </c:pt>
                <c:pt idx="62">
                  <c:v>44190</c:v>
                </c:pt>
                <c:pt idx="63">
                  <c:v>44189</c:v>
                </c:pt>
                <c:pt idx="64">
                  <c:v>44188</c:v>
                </c:pt>
                <c:pt idx="65">
                  <c:v>44187</c:v>
                </c:pt>
                <c:pt idx="66">
                  <c:v>44186</c:v>
                </c:pt>
                <c:pt idx="67">
                  <c:v>44185</c:v>
                </c:pt>
                <c:pt idx="68">
                  <c:v>44184</c:v>
                </c:pt>
                <c:pt idx="69">
                  <c:v>44183</c:v>
                </c:pt>
                <c:pt idx="70">
                  <c:v>44182</c:v>
                </c:pt>
                <c:pt idx="71">
                  <c:v>44181</c:v>
                </c:pt>
                <c:pt idx="72">
                  <c:v>44180</c:v>
                </c:pt>
                <c:pt idx="73">
                  <c:v>44179</c:v>
                </c:pt>
                <c:pt idx="74">
                  <c:v>44178</c:v>
                </c:pt>
                <c:pt idx="75">
                  <c:v>44177</c:v>
                </c:pt>
                <c:pt idx="76">
                  <c:v>44176</c:v>
                </c:pt>
                <c:pt idx="77">
                  <c:v>44175</c:v>
                </c:pt>
                <c:pt idx="78">
                  <c:v>44174</c:v>
                </c:pt>
                <c:pt idx="79">
                  <c:v>44173</c:v>
                </c:pt>
                <c:pt idx="80">
                  <c:v>44172</c:v>
                </c:pt>
                <c:pt idx="81">
                  <c:v>44171</c:v>
                </c:pt>
                <c:pt idx="82">
                  <c:v>44170</c:v>
                </c:pt>
                <c:pt idx="83">
                  <c:v>44169</c:v>
                </c:pt>
                <c:pt idx="84">
                  <c:v>44168</c:v>
                </c:pt>
                <c:pt idx="85">
                  <c:v>44167</c:v>
                </c:pt>
                <c:pt idx="86">
                  <c:v>44166</c:v>
                </c:pt>
                <c:pt idx="87">
                  <c:v>44165</c:v>
                </c:pt>
                <c:pt idx="88">
                  <c:v>44164</c:v>
                </c:pt>
                <c:pt idx="89">
                  <c:v>44163</c:v>
                </c:pt>
                <c:pt idx="90">
                  <c:v>44162</c:v>
                </c:pt>
                <c:pt idx="91">
                  <c:v>44161</c:v>
                </c:pt>
                <c:pt idx="92">
                  <c:v>44160</c:v>
                </c:pt>
                <c:pt idx="93">
                  <c:v>44159</c:v>
                </c:pt>
                <c:pt idx="94">
                  <c:v>44158</c:v>
                </c:pt>
                <c:pt idx="95">
                  <c:v>44157</c:v>
                </c:pt>
                <c:pt idx="96">
                  <c:v>44156</c:v>
                </c:pt>
                <c:pt idx="97">
                  <c:v>44155</c:v>
                </c:pt>
                <c:pt idx="98">
                  <c:v>44154</c:v>
                </c:pt>
                <c:pt idx="99">
                  <c:v>44153</c:v>
                </c:pt>
                <c:pt idx="100">
                  <c:v>44152</c:v>
                </c:pt>
                <c:pt idx="101">
                  <c:v>44151</c:v>
                </c:pt>
                <c:pt idx="102">
                  <c:v>44150</c:v>
                </c:pt>
                <c:pt idx="103">
                  <c:v>44149</c:v>
                </c:pt>
                <c:pt idx="104">
                  <c:v>44148</c:v>
                </c:pt>
                <c:pt idx="105">
                  <c:v>44147</c:v>
                </c:pt>
                <c:pt idx="106">
                  <c:v>44146</c:v>
                </c:pt>
                <c:pt idx="107">
                  <c:v>44145</c:v>
                </c:pt>
                <c:pt idx="108">
                  <c:v>44144</c:v>
                </c:pt>
                <c:pt idx="109">
                  <c:v>44143</c:v>
                </c:pt>
                <c:pt idx="110">
                  <c:v>44142</c:v>
                </c:pt>
                <c:pt idx="111">
                  <c:v>44141</c:v>
                </c:pt>
                <c:pt idx="112">
                  <c:v>44140</c:v>
                </c:pt>
                <c:pt idx="113">
                  <c:v>44139</c:v>
                </c:pt>
                <c:pt idx="114">
                  <c:v>44138</c:v>
                </c:pt>
                <c:pt idx="115">
                  <c:v>44137</c:v>
                </c:pt>
                <c:pt idx="116">
                  <c:v>44136</c:v>
                </c:pt>
                <c:pt idx="117">
                  <c:v>44135</c:v>
                </c:pt>
                <c:pt idx="118">
                  <c:v>44134</c:v>
                </c:pt>
                <c:pt idx="119">
                  <c:v>44133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2770</c:v>
                </c:pt>
                <c:pt idx="6">
                  <c:v>2911.49</c:v>
                </c:pt>
                <c:pt idx="7">
                  <c:v>2548.83</c:v>
                </c:pt>
                <c:pt idx="8">
                  <c:v>2415</c:v>
                </c:pt>
                <c:pt idx="9">
                  <c:v>2506.6999999999998</c:v>
                </c:pt>
                <c:pt idx="10">
                  <c:v>2894.48</c:v>
                </c:pt>
                <c:pt idx="11">
                  <c:v>2161.41</c:v>
                </c:pt>
                <c:pt idx="12">
                  <c:v>1978</c:v>
                </c:pt>
                <c:pt idx="13">
                  <c:v>2030.73</c:v>
                </c:pt>
                <c:pt idx="14">
                  <c:v>1882.9</c:v>
                </c:pt>
                <c:pt idx="15">
                  <c:v>1879.62</c:v>
                </c:pt>
                <c:pt idx="16">
                  <c:v>1863.51</c:v>
                </c:pt>
                <c:pt idx="17">
                  <c:v>1951.16</c:v>
                </c:pt>
                <c:pt idx="18">
                  <c:v>1959.48</c:v>
                </c:pt>
                <c:pt idx="19">
                  <c:v>2315.37</c:v>
                </c:pt>
                <c:pt idx="20">
                  <c:v>1790</c:v>
                </c:pt>
                <c:pt idx="21">
                  <c:v>1917.74</c:v>
                </c:pt>
                <c:pt idx="22">
                  <c:v>2008.52</c:v>
                </c:pt>
                <c:pt idx="23">
                  <c:v>2106.4699999999998</c:v>
                </c:pt>
                <c:pt idx="24">
                  <c:v>1669.02</c:v>
                </c:pt>
                <c:pt idx="25">
                  <c:v>1685.63</c:v>
                </c:pt>
                <c:pt idx="26">
                  <c:v>1254.99</c:v>
                </c:pt>
                <c:pt idx="27">
                  <c:v>1138.79</c:v>
                </c:pt>
                <c:pt idx="28">
                  <c:v>950</c:v>
                </c:pt>
                <c:pt idx="29">
                  <c:v>1106.3499999999999</c:v>
                </c:pt>
                <c:pt idx="30">
                  <c:v>726.73</c:v>
                </c:pt>
                <c:pt idx="31">
                  <c:v>488.69</c:v>
                </c:pt>
                <c:pt idx="32">
                  <c:v>441.99</c:v>
                </c:pt>
                <c:pt idx="33">
                  <c:v>432.87</c:v>
                </c:pt>
                <c:pt idx="34">
                  <c:v>431.05</c:v>
                </c:pt>
                <c:pt idx="35">
                  <c:v>429.06</c:v>
                </c:pt>
                <c:pt idx="36">
                  <c:v>466.06</c:v>
                </c:pt>
                <c:pt idx="37">
                  <c:v>476.2</c:v>
                </c:pt>
                <c:pt idx="38">
                  <c:v>502.88</c:v>
                </c:pt>
                <c:pt idx="39">
                  <c:v>410.03</c:v>
                </c:pt>
                <c:pt idx="40">
                  <c:v>426.88</c:v>
                </c:pt>
                <c:pt idx="41">
                  <c:v>388.51</c:v>
                </c:pt>
                <c:pt idx="42">
                  <c:v>400.82</c:v>
                </c:pt>
                <c:pt idx="43">
                  <c:v>394.36</c:v>
                </c:pt>
                <c:pt idx="44">
                  <c:v>385.35</c:v>
                </c:pt>
                <c:pt idx="45">
                  <c:v>387.27</c:v>
                </c:pt>
                <c:pt idx="46">
                  <c:v>424.91</c:v>
                </c:pt>
                <c:pt idx="47">
                  <c:v>426.08</c:v>
                </c:pt>
                <c:pt idx="48">
                  <c:v>414.81</c:v>
                </c:pt>
                <c:pt idx="49">
                  <c:v>420</c:v>
                </c:pt>
                <c:pt idx="50">
                  <c:v>408.63</c:v>
                </c:pt>
                <c:pt idx="51">
                  <c:v>457.76</c:v>
                </c:pt>
                <c:pt idx="52">
                  <c:v>504.86</c:v>
                </c:pt>
                <c:pt idx="53">
                  <c:v>505</c:v>
                </c:pt>
                <c:pt idx="54">
                  <c:v>536.75</c:v>
                </c:pt>
                <c:pt idx="55">
                  <c:v>530.48</c:v>
                </c:pt>
                <c:pt idx="56">
                  <c:v>538.44000000000005</c:v>
                </c:pt>
                <c:pt idx="57">
                  <c:v>576.41999999999996</c:v>
                </c:pt>
                <c:pt idx="58">
                  <c:v>515.54999999999995</c:v>
                </c:pt>
                <c:pt idx="59">
                  <c:v>418.81</c:v>
                </c:pt>
                <c:pt idx="60">
                  <c:v>392.7</c:v>
                </c:pt>
                <c:pt idx="61">
                  <c:v>406.37</c:v>
                </c:pt>
                <c:pt idx="62">
                  <c:v>400.13</c:v>
                </c:pt>
                <c:pt idx="63">
                  <c:v>392.18</c:v>
                </c:pt>
                <c:pt idx="64">
                  <c:v>383.95</c:v>
                </c:pt>
                <c:pt idx="65">
                  <c:v>467.1</c:v>
                </c:pt>
                <c:pt idx="66">
                  <c:v>416.02</c:v>
                </c:pt>
                <c:pt idx="67">
                  <c:v>430.18</c:v>
                </c:pt>
                <c:pt idx="68">
                  <c:v>441.31</c:v>
                </c:pt>
                <c:pt idx="69">
                  <c:v>449.04</c:v>
                </c:pt>
                <c:pt idx="70">
                  <c:v>434.6</c:v>
                </c:pt>
                <c:pt idx="71">
                  <c:v>459.56</c:v>
                </c:pt>
                <c:pt idx="72">
                  <c:v>451.61</c:v>
                </c:pt>
                <c:pt idx="73">
                  <c:v>441.59</c:v>
                </c:pt>
                <c:pt idx="74">
                  <c:v>429.56</c:v>
                </c:pt>
                <c:pt idx="75">
                  <c:v>411.83</c:v>
                </c:pt>
                <c:pt idx="76">
                  <c:v>405.73</c:v>
                </c:pt>
                <c:pt idx="77">
                  <c:v>433.5</c:v>
                </c:pt>
                <c:pt idx="78">
                  <c:v>464.65</c:v>
                </c:pt>
                <c:pt idx="79">
                  <c:v>453.95</c:v>
                </c:pt>
                <c:pt idx="80">
                  <c:v>482.06</c:v>
                </c:pt>
                <c:pt idx="81">
                  <c:v>466.31</c:v>
                </c:pt>
                <c:pt idx="82">
                  <c:v>445.99</c:v>
                </c:pt>
                <c:pt idx="83">
                  <c:v>447.86</c:v>
                </c:pt>
                <c:pt idx="84">
                  <c:v>468.51</c:v>
                </c:pt>
                <c:pt idx="85">
                  <c:v>473.43</c:v>
                </c:pt>
                <c:pt idx="86">
                  <c:v>468.99</c:v>
                </c:pt>
                <c:pt idx="87">
                  <c:v>454.12</c:v>
                </c:pt>
                <c:pt idx="88">
                  <c:v>446</c:v>
                </c:pt>
                <c:pt idx="89">
                  <c:v>444.3</c:v>
                </c:pt>
                <c:pt idx="90">
                  <c:v>461.3</c:v>
                </c:pt>
                <c:pt idx="91">
                  <c:v>414.72</c:v>
                </c:pt>
                <c:pt idx="92">
                  <c:v>489.87</c:v>
                </c:pt>
                <c:pt idx="93">
                  <c:v>558.15</c:v>
                </c:pt>
                <c:pt idx="94">
                  <c:v>529</c:v>
                </c:pt>
                <c:pt idx="95">
                  <c:v>482.26</c:v>
                </c:pt>
                <c:pt idx="96">
                  <c:v>475.38</c:v>
                </c:pt>
                <c:pt idx="97">
                  <c:v>460.08</c:v>
                </c:pt>
                <c:pt idx="98">
                  <c:v>436.77</c:v>
                </c:pt>
                <c:pt idx="99">
                  <c:v>396.63</c:v>
                </c:pt>
                <c:pt idx="100">
                  <c:v>373.39</c:v>
                </c:pt>
                <c:pt idx="101">
                  <c:v>379.46</c:v>
                </c:pt>
                <c:pt idx="102">
                  <c:v>400</c:v>
                </c:pt>
                <c:pt idx="103">
                  <c:v>369</c:v>
                </c:pt>
                <c:pt idx="104">
                  <c:v>368</c:v>
                </c:pt>
                <c:pt idx="105">
                  <c:v>361.22</c:v>
                </c:pt>
                <c:pt idx="106">
                  <c:v>392.62</c:v>
                </c:pt>
                <c:pt idx="107">
                  <c:v>414.82</c:v>
                </c:pt>
                <c:pt idx="108">
                  <c:v>377</c:v>
                </c:pt>
                <c:pt idx="109">
                  <c:v>387.17</c:v>
                </c:pt>
                <c:pt idx="110">
                  <c:v>356.68</c:v>
                </c:pt>
                <c:pt idx="111">
                  <c:v>387.38</c:v>
                </c:pt>
                <c:pt idx="112">
                  <c:v>326.70999999999998</c:v>
                </c:pt>
                <c:pt idx="113">
                  <c:v>319.66000000000003</c:v>
                </c:pt>
                <c:pt idx="114">
                  <c:v>343.9</c:v>
                </c:pt>
                <c:pt idx="115">
                  <c:v>330.24</c:v>
                </c:pt>
                <c:pt idx="116">
                  <c:v>373</c:v>
                </c:pt>
                <c:pt idx="117">
                  <c:v>349.97</c:v>
                </c:pt>
                <c:pt idx="118">
                  <c:v>331.9</c:v>
                </c:pt>
                <c:pt idx="119">
                  <c:v>398.28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E-4C2A-91AB-7E5935519E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44401</c:v>
                </c:pt>
                <c:pt idx="1">
                  <c:v>44400</c:v>
                </c:pt>
                <c:pt idx="2">
                  <c:v>44399</c:v>
                </c:pt>
                <c:pt idx="3">
                  <c:v>44398</c:v>
                </c:pt>
                <c:pt idx="4">
                  <c:v>44397</c:v>
                </c:pt>
                <c:pt idx="5">
                  <c:v>44247</c:v>
                </c:pt>
                <c:pt idx="6">
                  <c:v>44246</c:v>
                </c:pt>
                <c:pt idx="7">
                  <c:v>44245</c:v>
                </c:pt>
                <c:pt idx="8">
                  <c:v>44244</c:v>
                </c:pt>
                <c:pt idx="9">
                  <c:v>44243</c:v>
                </c:pt>
                <c:pt idx="10">
                  <c:v>44242</c:v>
                </c:pt>
                <c:pt idx="11">
                  <c:v>44241</c:v>
                </c:pt>
                <c:pt idx="12">
                  <c:v>44240</c:v>
                </c:pt>
                <c:pt idx="13">
                  <c:v>44239</c:v>
                </c:pt>
                <c:pt idx="14">
                  <c:v>44238</c:v>
                </c:pt>
                <c:pt idx="15">
                  <c:v>44237</c:v>
                </c:pt>
                <c:pt idx="16">
                  <c:v>44236</c:v>
                </c:pt>
                <c:pt idx="17">
                  <c:v>44235</c:v>
                </c:pt>
                <c:pt idx="18">
                  <c:v>44234</c:v>
                </c:pt>
                <c:pt idx="19">
                  <c:v>44233</c:v>
                </c:pt>
                <c:pt idx="20">
                  <c:v>44232</c:v>
                </c:pt>
                <c:pt idx="21">
                  <c:v>44231</c:v>
                </c:pt>
                <c:pt idx="22">
                  <c:v>44230</c:v>
                </c:pt>
                <c:pt idx="23">
                  <c:v>44229</c:v>
                </c:pt>
                <c:pt idx="24">
                  <c:v>44228</c:v>
                </c:pt>
                <c:pt idx="25">
                  <c:v>44227</c:v>
                </c:pt>
                <c:pt idx="26">
                  <c:v>44226</c:v>
                </c:pt>
                <c:pt idx="27">
                  <c:v>44225</c:v>
                </c:pt>
                <c:pt idx="28">
                  <c:v>44224</c:v>
                </c:pt>
                <c:pt idx="29">
                  <c:v>44223</c:v>
                </c:pt>
                <c:pt idx="30">
                  <c:v>44222</c:v>
                </c:pt>
                <c:pt idx="31">
                  <c:v>44221</c:v>
                </c:pt>
                <c:pt idx="32">
                  <c:v>44220</c:v>
                </c:pt>
                <c:pt idx="33">
                  <c:v>44219</c:v>
                </c:pt>
                <c:pt idx="34">
                  <c:v>44218</c:v>
                </c:pt>
                <c:pt idx="35">
                  <c:v>44217</c:v>
                </c:pt>
                <c:pt idx="36">
                  <c:v>44216</c:v>
                </c:pt>
                <c:pt idx="37">
                  <c:v>44215</c:v>
                </c:pt>
                <c:pt idx="38">
                  <c:v>44214</c:v>
                </c:pt>
                <c:pt idx="39">
                  <c:v>44213</c:v>
                </c:pt>
                <c:pt idx="40">
                  <c:v>44212</c:v>
                </c:pt>
                <c:pt idx="41">
                  <c:v>44211</c:v>
                </c:pt>
                <c:pt idx="42">
                  <c:v>44210</c:v>
                </c:pt>
                <c:pt idx="43">
                  <c:v>44209</c:v>
                </c:pt>
                <c:pt idx="44">
                  <c:v>44208</c:v>
                </c:pt>
                <c:pt idx="45">
                  <c:v>44207</c:v>
                </c:pt>
                <c:pt idx="46">
                  <c:v>44206</c:v>
                </c:pt>
                <c:pt idx="47">
                  <c:v>44205</c:v>
                </c:pt>
                <c:pt idx="48">
                  <c:v>44204</c:v>
                </c:pt>
                <c:pt idx="49">
                  <c:v>44203</c:v>
                </c:pt>
                <c:pt idx="50">
                  <c:v>44202</c:v>
                </c:pt>
                <c:pt idx="51">
                  <c:v>44201</c:v>
                </c:pt>
                <c:pt idx="52">
                  <c:v>44200</c:v>
                </c:pt>
                <c:pt idx="53">
                  <c:v>44199</c:v>
                </c:pt>
                <c:pt idx="54">
                  <c:v>44198</c:v>
                </c:pt>
                <c:pt idx="55">
                  <c:v>44197</c:v>
                </c:pt>
                <c:pt idx="56">
                  <c:v>44196</c:v>
                </c:pt>
                <c:pt idx="57">
                  <c:v>44195</c:v>
                </c:pt>
                <c:pt idx="58">
                  <c:v>44194</c:v>
                </c:pt>
                <c:pt idx="59">
                  <c:v>44193</c:v>
                </c:pt>
                <c:pt idx="60">
                  <c:v>44192</c:v>
                </c:pt>
                <c:pt idx="61">
                  <c:v>44191</c:v>
                </c:pt>
                <c:pt idx="62">
                  <c:v>44190</c:v>
                </c:pt>
                <c:pt idx="63">
                  <c:v>44189</c:v>
                </c:pt>
                <c:pt idx="64">
                  <c:v>44188</c:v>
                </c:pt>
                <c:pt idx="65">
                  <c:v>44187</c:v>
                </c:pt>
                <c:pt idx="66">
                  <c:v>44186</c:v>
                </c:pt>
                <c:pt idx="67">
                  <c:v>44185</c:v>
                </c:pt>
                <c:pt idx="68">
                  <c:v>44184</c:v>
                </c:pt>
                <c:pt idx="69">
                  <c:v>44183</c:v>
                </c:pt>
                <c:pt idx="70">
                  <c:v>44182</c:v>
                </c:pt>
                <c:pt idx="71">
                  <c:v>44181</c:v>
                </c:pt>
                <c:pt idx="72">
                  <c:v>44180</c:v>
                </c:pt>
                <c:pt idx="73">
                  <c:v>44179</c:v>
                </c:pt>
                <c:pt idx="74">
                  <c:v>44178</c:v>
                </c:pt>
                <c:pt idx="75">
                  <c:v>44177</c:v>
                </c:pt>
                <c:pt idx="76">
                  <c:v>44176</c:v>
                </c:pt>
                <c:pt idx="77">
                  <c:v>44175</c:v>
                </c:pt>
                <c:pt idx="78">
                  <c:v>44174</c:v>
                </c:pt>
                <c:pt idx="79">
                  <c:v>44173</c:v>
                </c:pt>
                <c:pt idx="80">
                  <c:v>44172</c:v>
                </c:pt>
                <c:pt idx="81">
                  <c:v>44171</c:v>
                </c:pt>
                <c:pt idx="82">
                  <c:v>44170</c:v>
                </c:pt>
                <c:pt idx="83">
                  <c:v>44169</c:v>
                </c:pt>
                <c:pt idx="84">
                  <c:v>44168</c:v>
                </c:pt>
                <c:pt idx="85">
                  <c:v>44167</c:v>
                </c:pt>
                <c:pt idx="86">
                  <c:v>44166</c:v>
                </c:pt>
                <c:pt idx="87">
                  <c:v>44165</c:v>
                </c:pt>
                <c:pt idx="88">
                  <c:v>44164</c:v>
                </c:pt>
                <c:pt idx="89">
                  <c:v>44163</c:v>
                </c:pt>
                <c:pt idx="90">
                  <c:v>44162</c:v>
                </c:pt>
                <c:pt idx="91">
                  <c:v>44161</c:v>
                </c:pt>
                <c:pt idx="92">
                  <c:v>44160</c:v>
                </c:pt>
                <c:pt idx="93">
                  <c:v>44159</c:v>
                </c:pt>
                <c:pt idx="94">
                  <c:v>44158</c:v>
                </c:pt>
                <c:pt idx="95">
                  <c:v>44157</c:v>
                </c:pt>
                <c:pt idx="96">
                  <c:v>44156</c:v>
                </c:pt>
                <c:pt idx="97">
                  <c:v>44155</c:v>
                </c:pt>
                <c:pt idx="98">
                  <c:v>44154</c:v>
                </c:pt>
                <c:pt idx="99">
                  <c:v>44153</c:v>
                </c:pt>
                <c:pt idx="100">
                  <c:v>44152</c:v>
                </c:pt>
                <c:pt idx="101">
                  <c:v>44151</c:v>
                </c:pt>
                <c:pt idx="102">
                  <c:v>44150</c:v>
                </c:pt>
                <c:pt idx="103">
                  <c:v>44149</c:v>
                </c:pt>
                <c:pt idx="104">
                  <c:v>44148</c:v>
                </c:pt>
                <c:pt idx="105">
                  <c:v>44147</c:v>
                </c:pt>
                <c:pt idx="106">
                  <c:v>44146</c:v>
                </c:pt>
                <c:pt idx="107">
                  <c:v>44145</c:v>
                </c:pt>
                <c:pt idx="108">
                  <c:v>44144</c:v>
                </c:pt>
                <c:pt idx="109">
                  <c:v>44143</c:v>
                </c:pt>
                <c:pt idx="110">
                  <c:v>44142</c:v>
                </c:pt>
                <c:pt idx="111">
                  <c:v>44141</c:v>
                </c:pt>
                <c:pt idx="112">
                  <c:v>44140</c:v>
                </c:pt>
                <c:pt idx="113">
                  <c:v>44139</c:v>
                </c:pt>
                <c:pt idx="114">
                  <c:v>44138</c:v>
                </c:pt>
                <c:pt idx="115">
                  <c:v>44137</c:v>
                </c:pt>
                <c:pt idx="116">
                  <c:v>44136</c:v>
                </c:pt>
                <c:pt idx="117">
                  <c:v>44135</c:v>
                </c:pt>
                <c:pt idx="118">
                  <c:v>44134</c:v>
                </c:pt>
                <c:pt idx="119">
                  <c:v>44133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-1.1890921564540986E-4</c:v>
                </c:pt>
                <c:pt idx="1">
                  <c:v>-1.1890921564540986E-4</c:v>
                </c:pt>
                <c:pt idx="2">
                  <c:v>-1.1890921564540986E-4</c:v>
                </c:pt>
                <c:pt idx="3">
                  <c:v>-1.1890921564540986E-4</c:v>
                </c:pt>
                <c:pt idx="4">
                  <c:v>-1.1890921564540986E-4</c:v>
                </c:pt>
                <c:pt idx="5">
                  <c:v>-1.1890921564540986E-4</c:v>
                </c:pt>
                <c:pt idx="6">
                  <c:v>-1.1613690412850938E-4</c:v>
                </c:pt>
                <c:pt idx="7">
                  <c:v>-1.2047256854695692E-4</c:v>
                </c:pt>
                <c:pt idx="8">
                  <c:v>-1.2031560467437729E-4</c:v>
                </c:pt>
                <c:pt idx="9">
                  <c:v>-1.1842290012473961E-4</c:v>
                </c:pt>
                <c:pt idx="10">
                  <c:v>-1.1138782755423908E-4</c:v>
                </c:pt>
                <c:pt idx="11">
                  <c:v>-1.0327144766430854E-4</c:v>
                </c:pt>
                <c:pt idx="12">
                  <c:v>-9.844496476739299E-5</c:v>
                </c:pt>
                <c:pt idx="13">
                  <c:v>-9.7417799510044438E-5</c:v>
                </c:pt>
                <c:pt idx="14">
                  <c:v>-9.8882565186759664E-5</c:v>
                </c:pt>
                <c:pt idx="15">
                  <c:v>-9.8600967046865963E-5</c:v>
                </c:pt>
                <c:pt idx="16">
                  <c:v>-9.6661282111890816E-5</c:v>
                </c:pt>
                <c:pt idx="17">
                  <c:v>-9.6005278276985032E-5</c:v>
                </c:pt>
                <c:pt idx="18">
                  <c:v>-9.2588896479348887E-5</c:v>
                </c:pt>
                <c:pt idx="19">
                  <c:v>-8.8978022122130748E-5</c:v>
                </c:pt>
                <c:pt idx="20">
                  <c:v>-9.5202686802802768E-5</c:v>
                </c:pt>
                <c:pt idx="21">
                  <c:v>-8.8792293634381702E-5</c:v>
                </c:pt>
                <c:pt idx="22">
                  <c:v>-8.2253687660818791E-5</c:v>
                </c:pt>
                <c:pt idx="23">
                  <c:v>-7.6015333862364468E-5</c:v>
                </c:pt>
                <c:pt idx="24">
                  <c:v>-8.313131051732385E-5</c:v>
                </c:pt>
                <c:pt idx="25">
                  <c:v>-8.1802393501986475E-5</c:v>
                </c:pt>
                <c:pt idx="26">
                  <c:v>-8.9337808563754391E-5</c:v>
                </c:pt>
                <c:pt idx="27">
                  <c:v>-9.6767605852911355E-5</c:v>
                </c:pt>
                <c:pt idx="28">
                  <c:v>-1.0625384997823084E-4</c:v>
                </c:pt>
                <c:pt idx="29">
                  <c:v>-8.4989012078694431E-5</c:v>
                </c:pt>
                <c:pt idx="30">
                  <c:v>-9.0463709215631228E-5</c:v>
                </c:pt>
                <c:pt idx="31">
                  <c:v>-9.4964539511223451E-5</c:v>
                </c:pt>
                <c:pt idx="32">
                  <c:v>-9.2240672663491258E-5</c:v>
                </c:pt>
                <c:pt idx="33">
                  <c:v>-9.273380759463809E-5</c:v>
                </c:pt>
                <c:pt idx="34">
                  <c:v>-9.342429012851757E-5</c:v>
                </c:pt>
                <c:pt idx="35">
                  <c:v>-9.4199179289971687E-5</c:v>
                </c:pt>
                <c:pt idx="36">
                  <c:v>-8.9896501856728369E-5</c:v>
                </c:pt>
                <c:pt idx="37">
                  <c:v>-8.7557117402444512E-5</c:v>
                </c:pt>
                <c:pt idx="38">
                  <c:v>-8.3884620678495374E-5</c:v>
                </c:pt>
                <c:pt idx="39">
                  <c:v>-8.809559066904444E-5</c:v>
                </c:pt>
                <c:pt idx="40">
                  <c:v>-8.8077314169829357E-5</c:v>
                </c:pt>
                <c:pt idx="41">
                  <c:v>-9.1026192839429367E-5</c:v>
                </c:pt>
                <c:pt idx="42">
                  <c:v>-9.0001568727406418E-5</c:v>
                </c:pt>
                <c:pt idx="43">
                  <c:v>-8.9605993583220372E-5</c:v>
                </c:pt>
                <c:pt idx="44">
                  <c:v>-8.9293694373636511E-5</c:v>
                </c:pt>
                <c:pt idx="45">
                  <c:v>-8.8969892728616991E-5</c:v>
                </c:pt>
                <c:pt idx="46">
                  <c:v>-8.8030147412326035E-5</c:v>
                </c:pt>
                <c:pt idx="47">
                  <c:v>-8.8790941337669308E-5</c:v>
                </c:pt>
                <c:pt idx="48">
                  <c:v>-8.8619452212619997E-5</c:v>
                </c:pt>
                <c:pt idx="49">
                  <c:v>-8.9091058412250315E-5</c:v>
                </c:pt>
                <c:pt idx="50">
                  <c:v>-8.8864219459525769E-5</c:v>
                </c:pt>
                <c:pt idx="51">
                  <c:v>-8.3281910770315371E-5</c:v>
                </c:pt>
                <c:pt idx="52">
                  <c:v>-8.0473567460313859E-5</c:v>
                </c:pt>
                <c:pt idx="53">
                  <c:v>-8.0753262261283766E-5</c:v>
                </c:pt>
                <c:pt idx="54">
                  <c:v>-7.9335840036329477E-5</c:v>
                </c:pt>
                <c:pt idx="55">
                  <c:v>-7.9348269893391924E-5</c:v>
                </c:pt>
                <c:pt idx="56">
                  <c:v>-7.9240376657900148E-5</c:v>
                </c:pt>
                <c:pt idx="57">
                  <c:v>-7.7719884060480033E-5</c:v>
                </c:pt>
                <c:pt idx="58">
                  <c:v>-7.9739154532980017E-5</c:v>
                </c:pt>
                <c:pt idx="59">
                  <c:v>-8.4360312448817347E-5</c:v>
                </c:pt>
                <c:pt idx="60">
                  <c:v>-8.5885502797661587E-5</c:v>
                </c:pt>
                <c:pt idx="61">
                  <c:v>-8.5599692815673922E-5</c:v>
                </c:pt>
                <c:pt idx="62">
                  <c:v>-8.5618535439698878E-5</c:v>
                </c:pt>
                <c:pt idx="63">
                  <c:v>-8.5773867945718803E-5</c:v>
                </c:pt>
                <c:pt idx="64">
                  <c:v>-8.600809073241562E-5</c:v>
                </c:pt>
                <c:pt idx="65">
                  <c:v>-8.3944286671226519E-5</c:v>
                </c:pt>
                <c:pt idx="66">
                  <c:v>-1.1576922754179855E-4</c:v>
                </c:pt>
                <c:pt idx="67">
                  <c:v>-9.8974917584101032E-5</c:v>
                </c:pt>
                <c:pt idx="68">
                  <c:v>-4.6081871643079357E-5</c:v>
                </c:pt>
                <c:pt idx="69">
                  <c:v>-3.63338608766132E-6</c:v>
                </c:pt>
                <c:pt idx="70">
                  <c:v>-2.9044354207279218E-5</c:v>
                </c:pt>
                <c:pt idx="71">
                  <c:v>-1.9243089758803182E-5</c:v>
                </c:pt>
                <c:pt idx="72">
                  <c:v>-2.4458562292641433E-5</c:v>
                </c:pt>
                <c:pt idx="73">
                  <c:v>-1.8364375754102975E-5</c:v>
                </c:pt>
                <c:pt idx="74">
                  <c:v>-1.8500042671176145E-5</c:v>
                </c:pt>
                <c:pt idx="75">
                  <c:v>-1.8971952231869018E-5</c:v>
                </c:pt>
                <c:pt idx="76">
                  <c:v>-1.8617247466917063E-5</c:v>
                </c:pt>
                <c:pt idx="77">
                  <c:v>-1.7425720488387904E-5</c:v>
                </c:pt>
                <c:pt idx="78">
                  <c:v>-1.6014089213474772E-5</c:v>
                </c:pt>
                <c:pt idx="79">
                  <c:v>-1.6685768301360483E-5</c:v>
                </c:pt>
                <c:pt idx="80">
                  <c:v>-1.6215600980323669E-5</c:v>
                </c:pt>
                <c:pt idx="81">
                  <c:v>-1.5297539339262893E-5</c:v>
                </c:pt>
                <c:pt idx="82">
                  <c:v>-1.4994952805417195E-5</c:v>
                </c:pt>
                <c:pt idx="83">
                  <c:v>-1.4453134509471527E-5</c:v>
                </c:pt>
                <c:pt idx="84">
                  <c:v>-1.4219895325579216E-5</c:v>
                </c:pt>
                <c:pt idx="85">
                  <c:v>-1.367293080042831E-5</c:v>
                </c:pt>
                <c:pt idx="86">
                  <c:v>-1.3753774894920462E-5</c:v>
                </c:pt>
                <c:pt idx="87">
                  <c:v>-1.3272367726787452E-5</c:v>
                </c:pt>
                <c:pt idx="88">
                  <c:v>-1.3119538569845058E-5</c:v>
                </c:pt>
                <c:pt idx="89">
                  <c:v>-1.2895996343093186E-5</c:v>
                </c:pt>
                <c:pt idx="90">
                  <c:v>-1.2831532356835185E-5</c:v>
                </c:pt>
                <c:pt idx="91">
                  <c:v>-1.1567640760432258E-5</c:v>
                </c:pt>
                <c:pt idx="92">
                  <c:v>-1.1161929024360227E-5</c:v>
                </c:pt>
                <c:pt idx="93">
                  <c:v>-1.0699112624475833E-5</c:v>
                </c:pt>
                <c:pt idx="94">
                  <c:v>-1.2072079365530026E-5</c:v>
                </c:pt>
                <c:pt idx="95">
                  <c:v>-1.2415666695982423E-5</c:v>
                </c:pt>
                <c:pt idx="96">
                  <c:v>-1.2985554947257295E-5</c:v>
                </c:pt>
                <c:pt idx="97">
                  <c:v>-1.2043921868241169E-5</c:v>
                </c:pt>
                <c:pt idx="98">
                  <c:v>-1.2342874650605143E-5</c:v>
                </c:pt>
                <c:pt idx="99">
                  <c:v>-1.1712496440207789E-5</c:v>
                </c:pt>
                <c:pt idx="100">
                  <c:v>-1.1865731774788501E-5</c:v>
                </c:pt>
                <c:pt idx="101">
                  <c:v>-1.083213075293191E-5</c:v>
                </c:pt>
                <c:pt idx="102">
                  <c:v>-9.3887412529319113E-6</c:v>
                </c:pt>
                <c:pt idx="103">
                  <c:v>-7.7061549758320776E-6</c:v>
                </c:pt>
                <c:pt idx="104">
                  <c:v>-7.5821146554269013E-6</c:v>
                </c:pt>
                <c:pt idx="105">
                  <c:v>-7.3409243527441241E-6</c:v>
                </c:pt>
                <c:pt idx="106">
                  <c:v>-7.0652749095196347E-6</c:v>
                </c:pt>
                <c:pt idx="107">
                  <c:v>-6.5013402406634811E-6</c:v>
                </c:pt>
                <c:pt idx="108">
                  <c:v>-7.237939225008118E-6</c:v>
                </c:pt>
                <c:pt idx="109">
                  <c:v>-6.2409304400156016E-6</c:v>
                </c:pt>
                <c:pt idx="110">
                  <c:v>-7.4227436225793648E-6</c:v>
                </c:pt>
                <c:pt idx="111">
                  <c:v>-3.7550109938219036E-6</c:v>
                </c:pt>
                <c:pt idx="112">
                  <c:v>-7.7730433386761722E-6</c:v>
                </c:pt>
                <c:pt idx="113">
                  <c:v>-8.1708670572639196E-6</c:v>
                </c:pt>
                <c:pt idx="114">
                  <c:v>-8.184735380292681E-6</c:v>
                </c:pt>
                <c:pt idx="115">
                  <c:v>-8.7301669185279729E-6</c:v>
                </c:pt>
                <c:pt idx="116">
                  <c:v>-7.295530239925181E-6</c:v>
                </c:pt>
                <c:pt idx="117">
                  <c:v>-6.5918391269953772E-6</c:v>
                </c:pt>
                <c:pt idx="118">
                  <c:v>-6.4562182174760558E-6</c:v>
                </c:pt>
                <c:pt idx="119">
                  <c:v>-4.1294552515882055E-6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E-4C2A-91AB-7E5935519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751311"/>
        <c:axId val="938752143"/>
      </c:lineChart>
      <c:dateAx>
        <c:axId val="938751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752143"/>
        <c:crosses val="autoZero"/>
        <c:auto val="1"/>
        <c:lblOffset val="100"/>
        <c:baseTimeUnit val="days"/>
      </c:dateAx>
      <c:valAx>
        <c:axId val="93875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75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660409-BD96-4314-89CF-A99671E10580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AF1E88-6A93-4704-A413-C023452A63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701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MAX(C3:C1725)</f>
        <v>4500</v>
      </c>
      <c r="D2" s="4">
        <f>MIN(D3:D1725)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7</v>
      </c>
      <c r="N4" t="s">
        <v>7</v>
      </c>
    </row>
    <row r="5" spans="1:20" x14ac:dyDescent="0.25">
      <c r="A5" s="5">
        <v>44401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-11890.921564540986</v>
      </c>
      <c r="S5">
        <f t="shared" ref="S5" si="3">R5/100000</f>
        <v>-0.11890921564540986</v>
      </c>
      <c r="T5">
        <f>S5/1000</f>
        <v>-1.1890921564540986E-4</v>
      </c>
    </row>
    <row r="6" spans="1:20" x14ac:dyDescent="0.25">
      <c r="A6" s="5">
        <v>44400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P6">
        <f t="shared" ref="P6" si="4">IF(C6=D6,0,((E6-D6)-(C6-E6))/(C6-D6))</f>
        <v>0</v>
      </c>
      <c r="Q6">
        <f t="shared" ref="Q6" si="5">F6*P6</f>
        <v>0</v>
      </c>
      <c r="R6">
        <f t="shared" ref="R6" si="6">R7+Q6</f>
        <v>-11890.921564540986</v>
      </c>
      <c r="S6">
        <f t="shared" ref="S6" si="7">R6/100000</f>
        <v>-0.11890921564540986</v>
      </c>
      <c r="T6">
        <f>S6/1000</f>
        <v>-1.1890921564540986E-4</v>
      </c>
    </row>
    <row r="7" spans="1:20" x14ac:dyDescent="0.25">
      <c r="A7" s="5">
        <v>44399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L7" t="s">
        <v>8</v>
      </c>
      <c r="M7" t="s">
        <v>7</v>
      </c>
      <c r="N7" t="s">
        <v>7</v>
      </c>
      <c r="P7">
        <f t="shared" ref="P7" si="8">IF(C7=D7,0,((E7-D7)-(C7-E7))/(C7-D7))</f>
        <v>0</v>
      </c>
      <c r="Q7">
        <f t="shared" ref="Q7" si="9">F7*P7</f>
        <v>0</v>
      </c>
      <c r="R7">
        <f t="shared" ref="R7" si="10">R8+Q7</f>
        <v>-11890.921564540986</v>
      </c>
      <c r="S7">
        <f t="shared" ref="S7" si="11">R7/100000</f>
        <v>-0.11890921564540986</v>
      </c>
      <c r="T7">
        <f>S7/1000</f>
        <v>-1.1890921564540986E-4</v>
      </c>
    </row>
    <row r="8" spans="1:20" x14ac:dyDescent="0.25">
      <c r="A8" s="5">
        <v>44398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L8" t="s">
        <v>8</v>
      </c>
      <c r="M8" t="s">
        <v>7</v>
      </c>
      <c r="N8" t="s">
        <v>7</v>
      </c>
      <c r="P8">
        <f t="shared" ref="P8" si="12">IF(C8=D8,0,((E8-D8)-(C8-E8))/(C8-D8))</f>
        <v>0</v>
      </c>
      <c r="Q8">
        <f t="shared" ref="Q8" si="13">F8*P8</f>
        <v>0</v>
      </c>
      <c r="R8">
        <f t="shared" ref="R8" si="14">R9+Q8</f>
        <v>-11890.921564540986</v>
      </c>
      <c r="S8">
        <f t="shared" ref="S8" si="15">R8/100000</f>
        <v>-0.11890921564540986</v>
      </c>
      <c r="T8">
        <f>S8/1000</f>
        <v>-1.1890921564540986E-4</v>
      </c>
    </row>
    <row r="9" spans="1:20" x14ac:dyDescent="0.25">
      <c r="A9" s="5">
        <v>44397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L9" t="s">
        <v>8</v>
      </c>
      <c r="M9" t="s">
        <v>7</v>
      </c>
      <c r="N9" t="s">
        <v>7</v>
      </c>
      <c r="P9">
        <f t="shared" ref="P9" si="16">IF(C9=D9,0,((E9-D9)-(C9-E9))/(C9-D9))</f>
        <v>0</v>
      </c>
      <c r="Q9">
        <f t="shared" ref="Q9" si="17">F9*P9</f>
        <v>0</v>
      </c>
      <c r="R9">
        <f t="shared" ref="R9" si="18">R10+Q9</f>
        <v>-11890.921564540986</v>
      </c>
      <c r="S9">
        <f t="shared" ref="S9" si="19">R9/100000</f>
        <v>-0.11890921564540986</v>
      </c>
      <c r="T9">
        <f>S9/1000</f>
        <v>-1.1890921564540986E-4</v>
      </c>
    </row>
    <row r="10" spans="1:20" x14ac:dyDescent="0.25">
      <c r="A10" s="5">
        <v>44247</v>
      </c>
      <c r="B10">
        <v>2920.24</v>
      </c>
      <c r="C10">
        <v>3111</v>
      </c>
      <c r="D10">
        <v>2541.4899999999998</v>
      </c>
      <c r="E10">
        <v>2770</v>
      </c>
      <c r="F10">
        <v>1403.5551</v>
      </c>
      <c r="G10">
        <v>0</v>
      </c>
      <c r="L10" t="s">
        <v>8</v>
      </c>
      <c r="M10" t="s">
        <v>7</v>
      </c>
      <c r="N10" t="s">
        <v>7</v>
      </c>
      <c r="P10">
        <f t="shared" ref="P10" si="20">IF(C10=D10,0,((E10-D10)-(C10-E10))/(C10-D10))</f>
        <v>-0.19752067566855672</v>
      </c>
      <c r="Q10">
        <f t="shared" ref="Q10" si="21">F10*P10</f>
        <v>-277.2311516900487</v>
      </c>
      <c r="R10">
        <f t="shared" ref="R10" si="22">R11+Q10</f>
        <v>-11890.921564540986</v>
      </c>
      <c r="S10">
        <f t="shared" ref="S10" si="23">R10/100000</f>
        <v>-0.11890921564540986</v>
      </c>
      <c r="T10">
        <f>S10/1000</f>
        <v>-1.1890921564540986E-4</v>
      </c>
    </row>
    <row r="11" spans="1:20" x14ac:dyDescent="0.25">
      <c r="A11" s="5">
        <v>44246</v>
      </c>
      <c r="B11">
        <v>2557.0100000000002</v>
      </c>
      <c r="C11">
        <v>3087.55</v>
      </c>
      <c r="D11">
        <v>2374.61</v>
      </c>
      <c r="E11">
        <v>2911.49</v>
      </c>
      <c r="F11">
        <v>856.67884000000004</v>
      </c>
      <c r="G11">
        <v>0</v>
      </c>
      <c r="L11" t="s">
        <v>8</v>
      </c>
      <c r="M11" t="s">
        <v>8</v>
      </c>
      <c r="N11" t="s">
        <v>7</v>
      </c>
      <c r="P11">
        <f t="shared" ref="P11:P74" si="24">IF(C11=D11,0,((E11-D11)-(C11-E11))/(C11-D11))</f>
        <v>0.50610149521698777</v>
      </c>
      <c r="Q11">
        <f t="shared" ref="Q11:Q74" si="25">F11*P11</f>
        <v>433.56644184475465</v>
      </c>
      <c r="R11">
        <f t="shared" ref="R11:R74" si="26">R12+Q11</f>
        <v>-11613.690412850938</v>
      </c>
      <c r="S11">
        <f t="shared" ref="S11:S74" si="27">R11/100000</f>
        <v>-0.11613690412850938</v>
      </c>
      <c r="T11">
        <f t="shared" ref="T11:T74" si="28">S11/1000</f>
        <v>-1.1613690412850938E-4</v>
      </c>
    </row>
    <row r="12" spans="1:20" x14ac:dyDescent="0.25">
      <c r="A12" s="5">
        <v>44245</v>
      </c>
      <c r="B12">
        <v>2401.39</v>
      </c>
      <c r="C12">
        <v>2712.98</v>
      </c>
      <c r="D12">
        <v>2398.98</v>
      </c>
      <c r="E12">
        <v>2548.83</v>
      </c>
      <c r="F12">
        <v>344.66192999999998</v>
      </c>
      <c r="G12">
        <v>0</v>
      </c>
      <c r="L12" t="s">
        <v>8</v>
      </c>
      <c r="M12" t="s">
        <v>8</v>
      </c>
      <c r="N12" t="s">
        <v>7</v>
      </c>
      <c r="P12">
        <f t="shared" si="24"/>
        <v>-4.554140127388593E-2</v>
      </c>
      <c r="Q12">
        <f t="shared" si="25"/>
        <v>-15.696387257961982</v>
      </c>
      <c r="R12">
        <f t="shared" si="26"/>
        <v>-12047.256854695692</v>
      </c>
      <c r="S12">
        <f t="shared" si="27"/>
        <v>-0.12047256854695691</v>
      </c>
      <c r="T12">
        <f t="shared" si="28"/>
        <v>-1.2047256854695692E-4</v>
      </c>
    </row>
    <row r="13" spans="1:20" x14ac:dyDescent="0.25">
      <c r="A13" s="5">
        <v>44244</v>
      </c>
      <c r="B13">
        <v>2506.6799999999998</v>
      </c>
      <c r="C13">
        <v>2671.64</v>
      </c>
      <c r="D13">
        <v>2305.9299999999998</v>
      </c>
      <c r="E13">
        <v>2415</v>
      </c>
      <c r="F13">
        <v>469.05264</v>
      </c>
      <c r="G13">
        <v>0</v>
      </c>
      <c r="L13" t="s">
        <v>7</v>
      </c>
      <c r="M13" t="s">
        <v>7</v>
      </c>
      <c r="N13" t="s">
        <v>7</v>
      </c>
      <c r="P13">
        <f t="shared" si="24"/>
        <v>-0.40351644745836784</v>
      </c>
      <c r="Q13">
        <f t="shared" si="25"/>
        <v>-189.27045496376871</v>
      </c>
      <c r="R13">
        <f t="shared" si="26"/>
        <v>-12031.56046743773</v>
      </c>
      <c r="S13">
        <f t="shared" si="27"/>
        <v>-0.1203156046743773</v>
      </c>
      <c r="T13">
        <f t="shared" si="28"/>
        <v>-1.2031560467437729E-4</v>
      </c>
    </row>
    <row r="14" spans="1:20" x14ac:dyDescent="0.25">
      <c r="A14" s="5">
        <v>44243</v>
      </c>
      <c r="B14">
        <v>2870.31</v>
      </c>
      <c r="C14">
        <v>2922.28</v>
      </c>
      <c r="D14">
        <v>2410</v>
      </c>
      <c r="E14">
        <v>2506.6999999999998</v>
      </c>
      <c r="F14">
        <v>1130.18282</v>
      </c>
      <c r="G14">
        <v>0</v>
      </c>
      <c r="L14" t="s">
        <v>7</v>
      </c>
      <c r="M14" t="s">
        <v>7</v>
      </c>
      <c r="N14" t="s">
        <v>7</v>
      </c>
      <c r="P14">
        <f t="shared" si="24"/>
        <v>-0.62247208557820033</v>
      </c>
      <c r="Q14">
        <f t="shared" si="25"/>
        <v>-703.50725705005175</v>
      </c>
      <c r="R14">
        <f t="shared" si="26"/>
        <v>-11842.290012473961</v>
      </c>
      <c r="S14">
        <f t="shared" si="27"/>
        <v>-0.11842290012473961</v>
      </c>
      <c r="T14">
        <f t="shared" si="28"/>
        <v>-1.1842290012473961E-4</v>
      </c>
    </row>
    <row r="15" spans="1:20" x14ac:dyDescent="0.25">
      <c r="A15" s="5">
        <v>44242</v>
      </c>
      <c r="B15">
        <v>2165.65</v>
      </c>
      <c r="C15">
        <v>4500</v>
      </c>
      <c r="D15">
        <v>1995</v>
      </c>
      <c r="E15">
        <v>2894.48</v>
      </c>
      <c r="F15">
        <v>2879.6571899999999</v>
      </c>
      <c r="G15">
        <v>0</v>
      </c>
      <c r="L15" t="s">
        <v>8</v>
      </c>
      <c r="M15" t="s">
        <v>8</v>
      </c>
      <c r="N15" t="s">
        <v>8</v>
      </c>
      <c r="P15">
        <f t="shared" si="24"/>
        <v>-0.28185229540918161</v>
      </c>
      <c r="Q15">
        <f t="shared" si="25"/>
        <v>-811.6379889930538</v>
      </c>
      <c r="R15">
        <f t="shared" si="26"/>
        <v>-11138.782755423908</v>
      </c>
      <c r="S15">
        <f t="shared" si="27"/>
        <v>-0.11138782755423908</v>
      </c>
      <c r="T15">
        <f t="shared" si="28"/>
        <v>-1.1138782755423908E-4</v>
      </c>
    </row>
    <row r="16" spans="1:20" x14ac:dyDescent="0.25">
      <c r="A16" s="5">
        <v>44241</v>
      </c>
      <c r="B16">
        <v>1978.32</v>
      </c>
      <c r="C16">
        <v>2688</v>
      </c>
      <c r="D16">
        <v>1915.74</v>
      </c>
      <c r="E16">
        <v>2161.41</v>
      </c>
      <c r="F16">
        <v>1326.81891</v>
      </c>
      <c r="G16">
        <v>0</v>
      </c>
      <c r="L16" t="s">
        <v>8</v>
      </c>
      <c r="M16" t="s">
        <v>8</v>
      </c>
      <c r="N16" t="s">
        <v>8</v>
      </c>
      <c r="P16">
        <f t="shared" si="24"/>
        <v>-0.36376349933960106</v>
      </c>
      <c r="Q16">
        <f t="shared" si="25"/>
        <v>-482.64828969155519</v>
      </c>
      <c r="R16">
        <f t="shared" si="26"/>
        <v>-10327.144766430854</v>
      </c>
      <c r="S16">
        <f t="shared" si="27"/>
        <v>-0.10327144766430854</v>
      </c>
      <c r="T16">
        <f t="shared" si="28"/>
        <v>-1.0327144766430854E-4</v>
      </c>
    </row>
    <row r="17" spans="1:20" x14ac:dyDescent="0.25">
      <c r="A17" s="5">
        <v>44240</v>
      </c>
      <c r="B17">
        <v>2053.0100000000002</v>
      </c>
      <c r="C17">
        <v>2119.27</v>
      </c>
      <c r="D17">
        <v>1901.88</v>
      </c>
      <c r="E17">
        <v>1978</v>
      </c>
      <c r="F17">
        <v>342.74052999999998</v>
      </c>
      <c r="G17">
        <v>0</v>
      </c>
      <c r="L17" t="s">
        <v>7</v>
      </c>
      <c r="M17" t="s">
        <v>7</v>
      </c>
      <c r="N17" t="s">
        <v>8</v>
      </c>
      <c r="P17">
        <f t="shared" si="24"/>
        <v>-0.2996917981507895</v>
      </c>
      <c r="Q17">
        <f t="shared" si="25"/>
        <v>-102.71652573485461</v>
      </c>
      <c r="R17">
        <f t="shared" si="26"/>
        <v>-9844.4964767392994</v>
      </c>
      <c r="S17">
        <f t="shared" si="27"/>
        <v>-9.8444964767392992E-2</v>
      </c>
      <c r="T17">
        <f t="shared" si="28"/>
        <v>-9.844496476739299E-5</v>
      </c>
    </row>
    <row r="18" spans="1:20" x14ac:dyDescent="0.25">
      <c r="A18" s="5">
        <v>44239</v>
      </c>
      <c r="B18">
        <v>1881</v>
      </c>
      <c r="C18">
        <v>2110</v>
      </c>
      <c r="D18">
        <v>1845.02</v>
      </c>
      <c r="E18">
        <v>2030.73</v>
      </c>
      <c r="F18">
        <v>364.65014000000002</v>
      </c>
      <c r="G18">
        <v>0</v>
      </c>
      <c r="L18" t="s">
        <v>8</v>
      </c>
      <c r="M18" t="s">
        <v>7</v>
      </c>
      <c r="N18" t="s">
        <v>8</v>
      </c>
      <c r="P18">
        <f t="shared" si="24"/>
        <v>0.40169069363725585</v>
      </c>
      <c r="Q18">
        <f t="shared" si="25"/>
        <v>146.47656767152247</v>
      </c>
      <c r="R18">
        <f t="shared" si="26"/>
        <v>-9741.7799510044442</v>
      </c>
      <c r="S18">
        <f t="shared" si="27"/>
        <v>-9.7417799510044437E-2</v>
      </c>
      <c r="T18">
        <f t="shared" si="28"/>
        <v>-9.7417799510044438E-5</v>
      </c>
    </row>
    <row r="19" spans="1:20" x14ac:dyDescent="0.25">
      <c r="A19" s="5">
        <v>44238</v>
      </c>
      <c r="B19">
        <v>1909.81</v>
      </c>
      <c r="C19">
        <v>1977.39</v>
      </c>
      <c r="D19">
        <v>1808.04</v>
      </c>
      <c r="E19">
        <v>1882.9</v>
      </c>
      <c r="F19">
        <v>242.93756999999999</v>
      </c>
      <c r="G19">
        <v>0</v>
      </c>
      <c r="L19" t="s">
        <v>7</v>
      </c>
      <c r="M19" t="s">
        <v>7</v>
      </c>
      <c r="N19" t="s">
        <v>8</v>
      </c>
      <c r="P19">
        <f t="shared" si="24"/>
        <v>-0.11591378801299006</v>
      </c>
      <c r="Q19">
        <f t="shared" si="25"/>
        <v>-28.159813989370932</v>
      </c>
      <c r="R19">
        <f t="shared" si="26"/>
        <v>-9888.2565186759675</v>
      </c>
      <c r="S19">
        <f t="shared" si="27"/>
        <v>-9.8882565186759669E-2</v>
      </c>
      <c r="T19">
        <f t="shared" si="28"/>
        <v>-9.8882565186759664E-5</v>
      </c>
    </row>
    <row r="20" spans="1:20" x14ac:dyDescent="0.25">
      <c r="A20" s="5">
        <v>44237</v>
      </c>
      <c r="B20">
        <v>1870.32</v>
      </c>
      <c r="C20">
        <v>2080</v>
      </c>
      <c r="D20">
        <v>1784.19</v>
      </c>
      <c r="E20">
        <v>1879.62</v>
      </c>
      <c r="F20">
        <v>546.71577000000002</v>
      </c>
      <c r="G20">
        <v>0</v>
      </c>
      <c r="L20" t="s">
        <v>8</v>
      </c>
      <c r="M20" t="s">
        <v>7</v>
      </c>
      <c r="N20" t="s">
        <v>8</v>
      </c>
      <c r="P20">
        <f t="shared" si="24"/>
        <v>-0.35478854670227611</v>
      </c>
      <c r="Q20">
        <f t="shared" si="25"/>
        <v>-193.96849349751585</v>
      </c>
      <c r="R20">
        <f t="shared" si="26"/>
        <v>-9860.0967046865971</v>
      </c>
      <c r="S20">
        <f t="shared" si="27"/>
        <v>-9.8600967046865967E-2</v>
      </c>
      <c r="T20">
        <f t="shared" si="28"/>
        <v>-9.8600967046865963E-5</v>
      </c>
    </row>
    <row r="21" spans="1:20" x14ac:dyDescent="0.25">
      <c r="A21" s="5">
        <v>44236</v>
      </c>
      <c r="B21">
        <v>1965.46</v>
      </c>
      <c r="C21">
        <v>1986.85</v>
      </c>
      <c r="D21">
        <v>1761.3</v>
      </c>
      <c r="E21">
        <v>1863.51</v>
      </c>
      <c r="F21">
        <v>700.24450999999999</v>
      </c>
      <c r="G21">
        <v>0</v>
      </c>
      <c r="L21" t="s">
        <v>7</v>
      </c>
      <c r="M21" t="s">
        <v>7</v>
      </c>
      <c r="N21" t="s">
        <v>8</v>
      </c>
      <c r="P21">
        <f t="shared" si="24"/>
        <v>-9.3682110396807294E-2</v>
      </c>
      <c r="Q21">
        <f t="shared" si="25"/>
        <v>-65.600383490578224</v>
      </c>
      <c r="R21">
        <f t="shared" si="26"/>
        <v>-9666.1282111890814</v>
      </c>
      <c r="S21">
        <f t="shared" si="27"/>
        <v>-9.6661282111890817E-2</v>
      </c>
      <c r="T21">
        <f t="shared" si="28"/>
        <v>-9.6661282111890816E-5</v>
      </c>
    </row>
    <row r="22" spans="1:20" x14ac:dyDescent="0.25">
      <c r="A22" s="5">
        <v>44235</v>
      </c>
      <c r="B22">
        <v>1959.42</v>
      </c>
      <c r="C22">
        <v>2200.9899999999998</v>
      </c>
      <c r="D22">
        <v>1865.52</v>
      </c>
      <c r="E22">
        <v>1951.16</v>
      </c>
      <c r="F22">
        <v>698.02886999999998</v>
      </c>
      <c r="G22">
        <v>0</v>
      </c>
      <c r="L22" t="s">
        <v>7</v>
      </c>
      <c r="M22" t="s">
        <v>7</v>
      </c>
      <c r="N22" t="s">
        <v>8</v>
      </c>
      <c r="P22">
        <f t="shared" si="24"/>
        <v>-0.48943273616120575</v>
      </c>
      <c r="Q22">
        <f t="shared" si="25"/>
        <v>-341.63817976361457</v>
      </c>
      <c r="R22">
        <f t="shared" si="26"/>
        <v>-9600.5278276985027</v>
      </c>
      <c r="S22">
        <f t="shared" si="27"/>
        <v>-9.6005278276985032E-2</v>
      </c>
      <c r="T22">
        <f t="shared" si="28"/>
        <v>-9.6005278276985032E-5</v>
      </c>
    </row>
    <row r="23" spans="1:20" x14ac:dyDescent="0.25">
      <c r="A23" s="5">
        <v>44234</v>
      </c>
      <c r="B23">
        <v>2300.2399999999998</v>
      </c>
      <c r="C23">
        <v>2349.35</v>
      </c>
      <c r="D23">
        <v>1783.83</v>
      </c>
      <c r="E23">
        <v>1959.48</v>
      </c>
      <c r="F23">
        <v>953.23577</v>
      </c>
      <c r="G23">
        <v>0</v>
      </c>
      <c r="L23" t="s">
        <v>8</v>
      </c>
      <c r="M23" t="s">
        <v>8</v>
      </c>
      <c r="N23" t="s">
        <v>8</v>
      </c>
      <c r="P23">
        <f t="shared" si="24"/>
        <v>-0.37880181072287417</v>
      </c>
      <c r="Q23">
        <f t="shared" si="25"/>
        <v>-361.08743572181322</v>
      </c>
      <c r="R23">
        <f t="shared" si="26"/>
        <v>-9258.8896479348878</v>
      </c>
      <c r="S23">
        <f t="shared" si="27"/>
        <v>-9.2588896479348884E-2</v>
      </c>
      <c r="T23">
        <f t="shared" si="28"/>
        <v>-9.2588896479348887E-5</v>
      </c>
    </row>
    <row r="24" spans="1:20" x14ac:dyDescent="0.25">
      <c r="A24" s="5">
        <v>44233</v>
      </c>
      <c r="B24">
        <v>1799.09</v>
      </c>
      <c r="C24">
        <v>2449.98</v>
      </c>
      <c r="D24">
        <v>1650</v>
      </c>
      <c r="E24">
        <v>2315.37</v>
      </c>
      <c r="F24">
        <v>938.20318999999995</v>
      </c>
      <c r="G24">
        <v>0</v>
      </c>
      <c r="L24" t="s">
        <v>7</v>
      </c>
      <c r="M24" t="s">
        <v>7</v>
      </c>
      <c r="N24" t="s">
        <v>7</v>
      </c>
      <c r="P24">
        <f t="shared" si="24"/>
        <v>0.66346658666466629</v>
      </c>
      <c r="Q24">
        <f t="shared" si="25"/>
        <v>622.46646806720139</v>
      </c>
      <c r="R24">
        <f t="shared" si="26"/>
        <v>-8897.8022122130751</v>
      </c>
      <c r="S24">
        <f t="shared" si="27"/>
        <v>-8.8978022122130754E-2</v>
      </c>
      <c r="T24">
        <f t="shared" si="28"/>
        <v>-8.8978022122130748E-5</v>
      </c>
    </row>
    <row r="25" spans="1:20" x14ac:dyDescent="0.25">
      <c r="A25" s="5">
        <v>44232</v>
      </c>
      <c r="B25">
        <v>1917.74</v>
      </c>
      <c r="C25">
        <v>1988</v>
      </c>
      <c r="D25">
        <v>1760</v>
      </c>
      <c r="E25">
        <v>1790</v>
      </c>
      <c r="F25">
        <v>869.98193000000003</v>
      </c>
      <c r="G25">
        <v>0</v>
      </c>
      <c r="L25" t="s">
        <v>7</v>
      </c>
      <c r="M25" t="s">
        <v>7</v>
      </c>
      <c r="N25" t="s">
        <v>8</v>
      </c>
      <c r="P25">
        <f t="shared" si="24"/>
        <v>-0.73684210526315785</v>
      </c>
      <c r="Q25">
        <f t="shared" si="25"/>
        <v>-641.03931684210522</v>
      </c>
      <c r="R25">
        <f t="shared" si="26"/>
        <v>-9520.2686802802764</v>
      </c>
      <c r="S25">
        <f t="shared" si="27"/>
        <v>-9.5202686802802763E-2</v>
      </c>
      <c r="T25">
        <f t="shared" si="28"/>
        <v>-9.5202686802802768E-5</v>
      </c>
    </row>
    <row r="26" spans="1:20" x14ac:dyDescent="0.25">
      <c r="A26" s="5">
        <v>44231</v>
      </c>
      <c r="B26">
        <v>2011.95</v>
      </c>
      <c r="C26">
        <v>2297</v>
      </c>
      <c r="D26">
        <v>1844</v>
      </c>
      <c r="E26">
        <v>1917.74</v>
      </c>
      <c r="F26">
        <v>969.49086999999997</v>
      </c>
      <c r="G26">
        <v>0</v>
      </c>
      <c r="L26" t="s">
        <v>7</v>
      </c>
      <c r="M26" t="s">
        <v>7</v>
      </c>
      <c r="N26" t="s">
        <v>8</v>
      </c>
      <c r="P26">
        <f t="shared" si="24"/>
        <v>-0.67443708609271524</v>
      </c>
      <c r="Q26">
        <f t="shared" si="25"/>
        <v>-653.86059735629135</v>
      </c>
      <c r="R26">
        <f t="shared" si="26"/>
        <v>-8879.2293634381713</v>
      </c>
      <c r="S26">
        <f t="shared" si="27"/>
        <v>-8.8792293634381708E-2</v>
      </c>
      <c r="T26">
        <f t="shared" si="28"/>
        <v>-8.8792293634381702E-5</v>
      </c>
    </row>
    <row r="27" spans="1:20" x14ac:dyDescent="0.25">
      <c r="A27" s="5">
        <v>44230</v>
      </c>
      <c r="B27">
        <v>2106.5</v>
      </c>
      <c r="C27">
        <v>2388</v>
      </c>
      <c r="D27">
        <v>1939.65</v>
      </c>
      <c r="E27">
        <v>2008.52</v>
      </c>
      <c r="F27">
        <v>900.47517000000005</v>
      </c>
      <c r="G27">
        <v>0</v>
      </c>
      <c r="L27" t="s">
        <v>8</v>
      </c>
      <c r="M27" t="s">
        <v>8</v>
      </c>
      <c r="N27" t="s">
        <v>8</v>
      </c>
      <c r="P27">
        <f t="shared" si="24"/>
        <v>-0.69278465484554519</v>
      </c>
      <c r="Q27">
        <f t="shared" si="25"/>
        <v>-623.83537984543364</v>
      </c>
      <c r="R27">
        <f t="shared" si="26"/>
        <v>-8225.3687660818796</v>
      </c>
      <c r="S27">
        <f t="shared" si="27"/>
        <v>-8.2253687660818794E-2</v>
      </c>
      <c r="T27">
        <f t="shared" si="28"/>
        <v>-8.2253687660818791E-5</v>
      </c>
    </row>
    <row r="28" spans="1:20" x14ac:dyDescent="0.25">
      <c r="A28" s="5">
        <v>44229</v>
      </c>
      <c r="B28">
        <v>1669.02</v>
      </c>
      <c r="C28">
        <v>2324.2399999999998</v>
      </c>
      <c r="D28">
        <v>1606.51</v>
      </c>
      <c r="E28">
        <v>2106.4699999999998</v>
      </c>
      <c r="F28">
        <v>1809.8975600000001</v>
      </c>
      <c r="G28">
        <v>0</v>
      </c>
      <c r="L28" t="s">
        <v>8</v>
      </c>
      <c r="M28" t="s">
        <v>8</v>
      </c>
      <c r="N28" t="s">
        <v>8</v>
      </c>
      <c r="P28">
        <f t="shared" si="24"/>
        <v>0.39317013361570496</v>
      </c>
      <c r="Q28">
        <f t="shared" si="25"/>
        <v>711.59766549593849</v>
      </c>
      <c r="R28">
        <f t="shared" si="26"/>
        <v>-7601.5333862364469</v>
      </c>
      <c r="S28">
        <f t="shared" si="27"/>
        <v>-7.6015333862364462E-2</v>
      </c>
      <c r="T28">
        <f t="shared" si="28"/>
        <v>-7.6015333862364468E-5</v>
      </c>
    </row>
    <row r="29" spans="1:20" x14ac:dyDescent="0.25">
      <c r="A29" s="5">
        <v>44228</v>
      </c>
      <c r="B29">
        <v>1710.23</v>
      </c>
      <c r="C29">
        <v>1814.36</v>
      </c>
      <c r="D29">
        <v>1575.01</v>
      </c>
      <c r="E29">
        <v>1669.02</v>
      </c>
      <c r="F29">
        <v>619.66936999999996</v>
      </c>
      <c r="G29">
        <v>0</v>
      </c>
      <c r="L29" t="s">
        <v>7</v>
      </c>
      <c r="M29" t="s">
        <v>7</v>
      </c>
      <c r="N29" t="s">
        <v>8</v>
      </c>
      <c r="P29">
        <f t="shared" si="24"/>
        <v>-0.21445581783998308</v>
      </c>
      <c r="Q29">
        <f t="shared" si="25"/>
        <v>-132.89170153373706</v>
      </c>
      <c r="R29">
        <f t="shared" si="26"/>
        <v>-8313.1310517323855</v>
      </c>
      <c r="S29">
        <f t="shared" si="27"/>
        <v>-8.313131051732385E-2</v>
      </c>
      <c r="T29">
        <f t="shared" si="28"/>
        <v>-8.313131051732385E-5</v>
      </c>
    </row>
    <row r="30" spans="1:20" x14ac:dyDescent="0.25">
      <c r="A30" s="5">
        <v>44227</v>
      </c>
      <c r="B30">
        <v>1254.99</v>
      </c>
      <c r="C30">
        <v>1950</v>
      </c>
      <c r="D30">
        <v>1205.05</v>
      </c>
      <c r="E30">
        <v>1685.63</v>
      </c>
      <c r="F30">
        <v>2596.3218400000001</v>
      </c>
      <c r="G30">
        <v>0</v>
      </c>
      <c r="L30" t="s">
        <v>8</v>
      </c>
      <c r="M30" t="s">
        <v>8</v>
      </c>
      <c r="N30" t="s">
        <v>8</v>
      </c>
      <c r="P30">
        <f t="shared" si="24"/>
        <v>0.2902342439089875</v>
      </c>
      <c r="Q30">
        <f t="shared" si="25"/>
        <v>753.54150617679124</v>
      </c>
      <c r="R30">
        <f t="shared" si="26"/>
        <v>-8180.239350198648</v>
      </c>
      <c r="S30">
        <f t="shared" si="27"/>
        <v>-8.1802393501986481E-2</v>
      </c>
      <c r="T30">
        <f t="shared" si="28"/>
        <v>-8.1802393501986475E-5</v>
      </c>
    </row>
    <row r="31" spans="1:20" x14ac:dyDescent="0.25">
      <c r="A31" s="5">
        <v>44226</v>
      </c>
      <c r="B31">
        <v>1123.23</v>
      </c>
      <c r="C31">
        <v>1277.01</v>
      </c>
      <c r="D31">
        <v>1069.78</v>
      </c>
      <c r="E31">
        <v>1254.99</v>
      </c>
      <c r="F31">
        <v>943.48728000000006</v>
      </c>
      <c r="G31">
        <v>0</v>
      </c>
      <c r="L31" t="s">
        <v>8</v>
      </c>
      <c r="M31" t="s">
        <v>8</v>
      </c>
      <c r="N31" t="s">
        <v>8</v>
      </c>
      <c r="P31">
        <f t="shared" si="24"/>
        <v>0.78748250735897329</v>
      </c>
      <c r="Q31">
        <f t="shared" si="25"/>
        <v>742.97972891569771</v>
      </c>
      <c r="R31">
        <f t="shared" si="26"/>
        <v>-8933.7808563754388</v>
      </c>
      <c r="S31">
        <f t="shared" si="27"/>
        <v>-8.9337808563754395E-2</v>
      </c>
      <c r="T31">
        <f t="shared" si="28"/>
        <v>-8.9337808563754391E-5</v>
      </c>
    </row>
    <row r="32" spans="1:20" x14ac:dyDescent="0.25">
      <c r="A32" s="5">
        <v>44225</v>
      </c>
      <c r="B32">
        <v>949.99</v>
      </c>
      <c r="C32">
        <v>1251.2</v>
      </c>
      <c r="D32">
        <v>885</v>
      </c>
      <c r="E32">
        <v>1138.79</v>
      </c>
      <c r="F32">
        <v>2457.1103400000002</v>
      </c>
      <c r="G32">
        <v>0</v>
      </c>
      <c r="L32" t="s">
        <v>7</v>
      </c>
      <c r="M32" t="s">
        <v>7</v>
      </c>
      <c r="N32" t="s">
        <v>7</v>
      </c>
      <c r="P32">
        <f t="shared" si="24"/>
        <v>0.38607318405243002</v>
      </c>
      <c r="Q32">
        <f t="shared" si="25"/>
        <v>948.62441253194902</v>
      </c>
      <c r="R32">
        <f t="shared" si="26"/>
        <v>-9676.7605852911365</v>
      </c>
      <c r="S32">
        <f t="shared" si="27"/>
        <v>-9.6767605852911359E-2</v>
      </c>
      <c r="T32">
        <f t="shared" si="28"/>
        <v>-9.6767605852911355E-5</v>
      </c>
    </row>
    <row r="33" spans="1:20" x14ac:dyDescent="0.25">
      <c r="A33" s="5">
        <v>44224</v>
      </c>
      <c r="B33">
        <v>1102.18</v>
      </c>
      <c r="C33">
        <v>1240.6199999999999</v>
      </c>
      <c r="D33">
        <v>930</v>
      </c>
      <c r="E33">
        <v>950</v>
      </c>
      <c r="F33">
        <v>2440.7966700000002</v>
      </c>
      <c r="G33">
        <v>0</v>
      </c>
      <c r="L33" t="s">
        <v>7</v>
      </c>
      <c r="M33" t="s">
        <v>7</v>
      </c>
      <c r="N33" t="s">
        <v>7</v>
      </c>
      <c r="P33">
        <f t="shared" si="24"/>
        <v>-0.87122529135277826</v>
      </c>
      <c r="Q33">
        <f t="shared" si="25"/>
        <v>-2126.483789953641</v>
      </c>
      <c r="R33">
        <f t="shared" si="26"/>
        <v>-10625.384997823085</v>
      </c>
      <c r="S33">
        <f t="shared" si="27"/>
        <v>-0.10625384997823084</v>
      </c>
      <c r="T33">
        <f t="shared" si="28"/>
        <v>-1.0625384997823084E-4</v>
      </c>
    </row>
    <row r="34" spans="1:20" x14ac:dyDescent="0.25">
      <c r="A34" s="5">
        <v>44223</v>
      </c>
      <c r="B34">
        <v>726.73</v>
      </c>
      <c r="C34">
        <v>1448</v>
      </c>
      <c r="D34">
        <v>720</v>
      </c>
      <c r="E34">
        <v>1106.3499999999999</v>
      </c>
      <c r="F34">
        <v>8916.2852700000003</v>
      </c>
      <c r="G34">
        <v>0</v>
      </c>
      <c r="L34" t="s">
        <v>8</v>
      </c>
      <c r="M34" t="s">
        <v>8</v>
      </c>
      <c r="N34" t="s">
        <v>8</v>
      </c>
      <c r="P34">
        <f t="shared" si="24"/>
        <v>6.1401098901098648E-2</v>
      </c>
      <c r="Q34">
        <f t="shared" si="25"/>
        <v>547.46971369367907</v>
      </c>
      <c r="R34">
        <f t="shared" si="26"/>
        <v>-8498.9012078694432</v>
      </c>
      <c r="S34">
        <f t="shared" si="27"/>
        <v>-8.4989012078694429E-2</v>
      </c>
      <c r="T34">
        <f t="shared" si="28"/>
        <v>-8.4989012078694431E-5</v>
      </c>
    </row>
    <row r="35" spans="1:20" x14ac:dyDescent="0.25">
      <c r="A35" s="5">
        <v>44222</v>
      </c>
      <c r="B35">
        <v>487.01</v>
      </c>
      <c r="C35">
        <v>920.56</v>
      </c>
      <c r="D35">
        <v>487.01</v>
      </c>
      <c r="E35">
        <v>726.73</v>
      </c>
      <c r="F35">
        <v>4252.2008599999999</v>
      </c>
      <c r="G35">
        <v>0</v>
      </c>
      <c r="L35" t="s">
        <v>8</v>
      </c>
      <c r="M35" t="s">
        <v>8</v>
      </c>
      <c r="N35" t="s">
        <v>8</v>
      </c>
      <c r="P35">
        <f t="shared" si="24"/>
        <v>0.10584707646176936</v>
      </c>
      <c r="Q35">
        <f t="shared" si="25"/>
        <v>450.08302955922142</v>
      </c>
      <c r="R35">
        <f t="shared" si="26"/>
        <v>-9046.3709215631225</v>
      </c>
      <c r="S35">
        <f t="shared" si="27"/>
        <v>-9.0463709215631224E-2</v>
      </c>
      <c r="T35">
        <f t="shared" si="28"/>
        <v>-9.0463709215631228E-5</v>
      </c>
    </row>
    <row r="36" spans="1:20" x14ac:dyDescent="0.25">
      <c r="A36" s="5">
        <v>44221</v>
      </c>
      <c r="B36">
        <v>441.99</v>
      </c>
      <c r="C36">
        <v>584.37</v>
      </c>
      <c r="D36">
        <v>440.84</v>
      </c>
      <c r="E36">
        <v>488.69</v>
      </c>
      <c r="F36">
        <v>817.38784999999996</v>
      </c>
      <c r="G36">
        <v>0</v>
      </c>
      <c r="L36" t="s">
        <v>8</v>
      </c>
      <c r="M36" t="s">
        <v>8</v>
      </c>
      <c r="N36" t="s">
        <v>8</v>
      </c>
      <c r="P36">
        <f t="shared" si="24"/>
        <v>-0.33324043753919025</v>
      </c>
      <c r="Q36">
        <f t="shared" si="25"/>
        <v>-272.38668477321801</v>
      </c>
      <c r="R36">
        <f t="shared" si="26"/>
        <v>-9496.4539511223447</v>
      </c>
      <c r="S36">
        <f t="shared" si="27"/>
        <v>-9.4964539511223453E-2</v>
      </c>
      <c r="T36">
        <f t="shared" si="28"/>
        <v>-9.4964539511223451E-5</v>
      </c>
    </row>
    <row r="37" spans="1:20" x14ac:dyDescent="0.25">
      <c r="A37" s="5">
        <v>44220</v>
      </c>
      <c r="B37">
        <v>432.57</v>
      </c>
      <c r="C37">
        <v>460</v>
      </c>
      <c r="D37">
        <v>413.96</v>
      </c>
      <c r="E37">
        <v>441.99</v>
      </c>
      <c r="F37">
        <v>226.58615</v>
      </c>
      <c r="G37">
        <v>0</v>
      </c>
      <c r="L37" t="s">
        <v>8</v>
      </c>
      <c r="M37" t="s">
        <v>7</v>
      </c>
      <c r="N37" t="s">
        <v>7</v>
      </c>
      <c r="P37">
        <f t="shared" si="24"/>
        <v>0.21763683753258112</v>
      </c>
      <c r="Q37">
        <f t="shared" si="25"/>
        <v>49.313493114683055</v>
      </c>
      <c r="R37">
        <f t="shared" si="26"/>
        <v>-9224.0672663491259</v>
      </c>
      <c r="S37">
        <f t="shared" si="27"/>
        <v>-9.2240672663491258E-2</v>
      </c>
      <c r="T37">
        <f t="shared" si="28"/>
        <v>-9.2240672663491258E-5</v>
      </c>
    </row>
    <row r="38" spans="1:20" x14ac:dyDescent="0.25">
      <c r="A38" s="5">
        <v>44219</v>
      </c>
      <c r="B38">
        <v>430.28</v>
      </c>
      <c r="C38">
        <v>446.95</v>
      </c>
      <c r="D38">
        <v>410.94</v>
      </c>
      <c r="E38">
        <v>432.87</v>
      </c>
      <c r="F38">
        <v>316.74236999999999</v>
      </c>
      <c r="G38">
        <v>0</v>
      </c>
      <c r="L38" t="s">
        <v>8</v>
      </c>
      <c r="M38" t="s">
        <v>7</v>
      </c>
      <c r="N38" t="s">
        <v>7</v>
      </c>
      <c r="P38">
        <f t="shared" si="24"/>
        <v>0.21799500138850389</v>
      </c>
      <c r="Q38">
        <f t="shared" si="25"/>
        <v>69.048253387948009</v>
      </c>
      <c r="R38">
        <f t="shared" si="26"/>
        <v>-9273.3807594638092</v>
      </c>
      <c r="S38">
        <f t="shared" si="27"/>
        <v>-9.273380759463809E-2</v>
      </c>
      <c r="T38">
        <f t="shared" si="28"/>
        <v>-9.273380759463809E-5</v>
      </c>
    </row>
    <row r="39" spans="1:20" x14ac:dyDescent="0.25">
      <c r="A39" s="5">
        <v>44218</v>
      </c>
      <c r="B39">
        <v>427.82</v>
      </c>
      <c r="C39">
        <v>447.85</v>
      </c>
      <c r="D39">
        <v>395.86</v>
      </c>
      <c r="E39">
        <v>431.05</v>
      </c>
      <c r="F39">
        <v>219.06736000000001</v>
      </c>
      <c r="G39">
        <v>0</v>
      </c>
      <c r="L39" t="s">
        <v>7</v>
      </c>
      <c r="M39" t="s">
        <v>7</v>
      </c>
      <c r="N39" t="s">
        <v>7</v>
      </c>
      <c r="P39">
        <f t="shared" si="24"/>
        <v>0.35372186959030549</v>
      </c>
      <c r="Q39">
        <f t="shared" si="25"/>
        <v>77.488916145412503</v>
      </c>
      <c r="R39">
        <f t="shared" si="26"/>
        <v>-9342.4290128517569</v>
      </c>
      <c r="S39">
        <f t="shared" si="27"/>
        <v>-9.3424290128517565E-2</v>
      </c>
      <c r="T39">
        <f t="shared" si="28"/>
        <v>-9.342429012851757E-5</v>
      </c>
    </row>
    <row r="40" spans="1:20" x14ac:dyDescent="0.25">
      <c r="A40" s="5">
        <v>44217</v>
      </c>
      <c r="B40">
        <v>464.37</v>
      </c>
      <c r="C40">
        <v>492.1</v>
      </c>
      <c r="D40">
        <v>425.44</v>
      </c>
      <c r="E40">
        <v>429.06</v>
      </c>
      <c r="F40">
        <v>482.69349999999997</v>
      </c>
      <c r="G40">
        <v>0</v>
      </c>
      <c r="L40" t="s">
        <v>7</v>
      </c>
      <c r="M40" t="s">
        <v>7</v>
      </c>
      <c r="N40" t="s">
        <v>8</v>
      </c>
      <c r="P40">
        <f t="shared" si="24"/>
        <v>-0.89138913891389127</v>
      </c>
      <c r="Q40">
        <f t="shared" si="25"/>
        <v>-430.26774332433234</v>
      </c>
      <c r="R40">
        <f t="shared" si="26"/>
        <v>-9419.9179289971689</v>
      </c>
      <c r="S40">
        <f t="shared" si="27"/>
        <v>-9.4199179289971693E-2</v>
      </c>
      <c r="T40">
        <f t="shared" si="28"/>
        <v>-9.4199179289971687E-5</v>
      </c>
    </row>
    <row r="41" spans="1:20" x14ac:dyDescent="0.25">
      <c r="A41" s="5">
        <v>44216</v>
      </c>
      <c r="B41">
        <v>476.18</v>
      </c>
      <c r="C41">
        <v>540</v>
      </c>
      <c r="D41">
        <v>432.27</v>
      </c>
      <c r="E41">
        <v>466.06</v>
      </c>
      <c r="F41">
        <v>627.70083999999997</v>
      </c>
      <c r="G41">
        <v>0</v>
      </c>
      <c r="L41" t="s">
        <v>7</v>
      </c>
      <c r="M41" t="s">
        <v>7</v>
      </c>
      <c r="N41" t="s">
        <v>8</v>
      </c>
      <c r="P41">
        <f t="shared" si="24"/>
        <v>-0.37269098672607415</v>
      </c>
      <c r="Q41">
        <f t="shared" si="25"/>
        <v>-233.93844542838559</v>
      </c>
      <c r="R41">
        <f t="shared" si="26"/>
        <v>-8989.6501856728373</v>
      </c>
      <c r="S41">
        <f t="shared" si="27"/>
        <v>-8.9896501856728372E-2</v>
      </c>
      <c r="T41">
        <f t="shared" si="28"/>
        <v>-8.9896501856728369E-5</v>
      </c>
    </row>
    <row r="42" spans="1:20" x14ac:dyDescent="0.25">
      <c r="A42" s="5">
        <v>44215</v>
      </c>
      <c r="B42">
        <v>502.88</v>
      </c>
      <c r="C42">
        <v>546.73</v>
      </c>
      <c r="D42">
        <v>453.95</v>
      </c>
      <c r="E42">
        <v>476.2</v>
      </c>
      <c r="F42">
        <v>705.74616000000003</v>
      </c>
      <c r="G42">
        <v>0</v>
      </c>
      <c r="L42" t="s">
        <v>7</v>
      </c>
      <c r="M42" t="s">
        <v>7</v>
      </c>
      <c r="N42" t="s">
        <v>8</v>
      </c>
      <c r="P42">
        <f t="shared" si="24"/>
        <v>-0.5203707695624058</v>
      </c>
      <c r="Q42">
        <f t="shared" si="25"/>
        <v>-367.24967239491281</v>
      </c>
      <c r="R42">
        <f t="shared" si="26"/>
        <v>-8755.711740244451</v>
      </c>
      <c r="S42">
        <f t="shared" si="27"/>
        <v>-8.7557117402444512E-2</v>
      </c>
      <c r="T42">
        <f t="shared" si="28"/>
        <v>-8.7557117402444512E-5</v>
      </c>
    </row>
    <row r="43" spans="1:20" x14ac:dyDescent="0.25">
      <c r="A43" s="5">
        <v>44214</v>
      </c>
      <c r="B43">
        <v>410.97</v>
      </c>
      <c r="C43">
        <v>550</v>
      </c>
      <c r="D43">
        <v>407.58</v>
      </c>
      <c r="E43">
        <v>502.88</v>
      </c>
      <c r="F43">
        <v>1244.7620300000001</v>
      </c>
      <c r="G43">
        <v>0</v>
      </c>
      <c r="L43" t="s">
        <v>8</v>
      </c>
      <c r="M43" t="s">
        <v>8</v>
      </c>
      <c r="N43" t="s">
        <v>8</v>
      </c>
      <c r="P43">
        <f t="shared" si="24"/>
        <v>0.33829518326077801</v>
      </c>
      <c r="Q43">
        <f t="shared" si="25"/>
        <v>421.09699905490811</v>
      </c>
      <c r="R43">
        <f t="shared" si="26"/>
        <v>-8388.4620678495376</v>
      </c>
      <c r="S43">
        <f t="shared" si="27"/>
        <v>-8.3884620678495378E-2</v>
      </c>
      <c r="T43">
        <f t="shared" si="28"/>
        <v>-8.3884620678495374E-5</v>
      </c>
    </row>
    <row r="44" spans="1:20" x14ac:dyDescent="0.25">
      <c r="A44" s="5">
        <v>44213</v>
      </c>
      <c r="B44">
        <v>426.09</v>
      </c>
      <c r="C44">
        <v>426.09</v>
      </c>
      <c r="D44">
        <v>394.24</v>
      </c>
      <c r="E44">
        <v>410.03</v>
      </c>
      <c r="F44">
        <v>215.595</v>
      </c>
      <c r="G44">
        <v>0</v>
      </c>
      <c r="L44" t="s">
        <v>7</v>
      </c>
      <c r="M44" t="s">
        <v>8</v>
      </c>
      <c r="N44" t="s">
        <v>7</v>
      </c>
      <c r="P44">
        <f t="shared" si="24"/>
        <v>-8.4772370486668434E-3</v>
      </c>
      <c r="Q44">
        <f t="shared" si="25"/>
        <v>-1.8276499215073281</v>
      </c>
      <c r="R44">
        <f t="shared" si="26"/>
        <v>-8809.559066904445</v>
      </c>
      <c r="S44">
        <f t="shared" si="27"/>
        <v>-8.8095590669044446E-2</v>
      </c>
      <c r="T44">
        <f t="shared" si="28"/>
        <v>-8.809559066904444E-5</v>
      </c>
    </row>
    <row r="45" spans="1:20" x14ac:dyDescent="0.25">
      <c r="A45" s="5">
        <v>44212</v>
      </c>
      <c r="B45">
        <v>389.06</v>
      </c>
      <c r="C45">
        <v>427.77</v>
      </c>
      <c r="D45">
        <v>377.77</v>
      </c>
      <c r="E45">
        <v>426.88</v>
      </c>
      <c r="F45">
        <v>305.77339999999998</v>
      </c>
      <c r="G45">
        <v>0</v>
      </c>
      <c r="L45" t="s">
        <v>8</v>
      </c>
      <c r="M45" t="s">
        <v>8</v>
      </c>
      <c r="N45" t="s">
        <v>7</v>
      </c>
      <c r="P45">
        <f t="shared" si="24"/>
        <v>0.96440000000000059</v>
      </c>
      <c r="Q45">
        <f t="shared" si="25"/>
        <v>294.88786696000017</v>
      </c>
      <c r="R45">
        <f t="shared" si="26"/>
        <v>-8807.7314169829369</v>
      </c>
      <c r="S45">
        <f t="shared" si="27"/>
        <v>-8.8077314169829363E-2</v>
      </c>
      <c r="T45">
        <f t="shared" si="28"/>
        <v>-8.8077314169829357E-5</v>
      </c>
    </row>
    <row r="46" spans="1:20" x14ac:dyDescent="0.25">
      <c r="A46" s="5">
        <v>44211</v>
      </c>
      <c r="B46">
        <v>400.69</v>
      </c>
      <c r="C46">
        <v>414.73</v>
      </c>
      <c r="D46">
        <v>379.88</v>
      </c>
      <c r="E46">
        <v>388.51</v>
      </c>
      <c r="F46">
        <v>203.00255999999999</v>
      </c>
      <c r="G46">
        <v>0</v>
      </c>
      <c r="L46" t="s">
        <v>7</v>
      </c>
      <c r="M46" t="s">
        <v>8</v>
      </c>
      <c r="N46" t="s">
        <v>7</v>
      </c>
      <c r="P46">
        <f t="shared" si="24"/>
        <v>-0.50473457675753286</v>
      </c>
      <c r="Q46">
        <f t="shared" si="25"/>
        <v>-102.46241120229567</v>
      </c>
      <c r="R46">
        <f t="shared" si="26"/>
        <v>-9102.6192839429368</v>
      </c>
      <c r="S46">
        <f t="shared" si="27"/>
        <v>-9.1026192839429365E-2</v>
      </c>
      <c r="T46">
        <f t="shared" si="28"/>
        <v>-9.1026192839429367E-5</v>
      </c>
    </row>
    <row r="47" spans="1:20" x14ac:dyDescent="0.25">
      <c r="A47" s="5">
        <v>44210</v>
      </c>
      <c r="B47">
        <v>393.62</v>
      </c>
      <c r="C47">
        <v>426.32</v>
      </c>
      <c r="D47">
        <v>383.32</v>
      </c>
      <c r="E47">
        <v>400.82</v>
      </c>
      <c r="F47">
        <v>212.62164000000001</v>
      </c>
      <c r="G47">
        <v>0</v>
      </c>
      <c r="L47" t="s">
        <v>7</v>
      </c>
      <c r="M47" t="s">
        <v>8</v>
      </c>
      <c r="N47" t="s">
        <v>7</v>
      </c>
      <c r="P47">
        <f t="shared" si="24"/>
        <v>-0.18604651162790697</v>
      </c>
      <c r="Q47">
        <f t="shared" si="25"/>
        <v>-39.557514418604654</v>
      </c>
      <c r="R47">
        <f t="shared" si="26"/>
        <v>-9000.1568727406411</v>
      </c>
      <c r="S47">
        <f t="shared" si="27"/>
        <v>-9.0001568727406417E-2</v>
      </c>
      <c r="T47">
        <f t="shared" si="28"/>
        <v>-9.0001568727406418E-5</v>
      </c>
    </row>
    <row r="48" spans="1:20" x14ac:dyDescent="0.25">
      <c r="A48" s="5">
        <v>44209</v>
      </c>
      <c r="B48">
        <v>386.06</v>
      </c>
      <c r="C48">
        <v>421.38</v>
      </c>
      <c r="D48">
        <v>373.8</v>
      </c>
      <c r="E48">
        <v>394.36</v>
      </c>
      <c r="F48">
        <v>230.01852</v>
      </c>
      <c r="G48">
        <v>0</v>
      </c>
      <c r="L48" t="s">
        <v>8</v>
      </c>
      <c r="M48" t="s">
        <v>7</v>
      </c>
      <c r="N48" t="s">
        <v>7</v>
      </c>
      <c r="P48">
        <f t="shared" si="24"/>
        <v>-0.13577133249264359</v>
      </c>
      <c r="Q48">
        <f t="shared" si="25"/>
        <v>-31.229920958385787</v>
      </c>
      <c r="R48">
        <f t="shared" si="26"/>
        <v>-8960.599358322037</v>
      </c>
      <c r="S48">
        <f t="shared" si="27"/>
        <v>-8.960599358322037E-2</v>
      </c>
      <c r="T48">
        <f t="shared" si="28"/>
        <v>-8.9605993583220372E-5</v>
      </c>
    </row>
    <row r="49" spans="1:20" x14ac:dyDescent="0.25">
      <c r="A49" s="5">
        <v>44208</v>
      </c>
      <c r="B49">
        <v>387.27</v>
      </c>
      <c r="C49">
        <v>408.69</v>
      </c>
      <c r="D49">
        <v>367.73</v>
      </c>
      <c r="E49">
        <v>385.35</v>
      </c>
      <c r="F49">
        <v>231.86914999999999</v>
      </c>
      <c r="G49">
        <v>0</v>
      </c>
      <c r="L49" t="s">
        <v>8</v>
      </c>
      <c r="M49" t="s">
        <v>7</v>
      </c>
      <c r="N49" t="s">
        <v>7</v>
      </c>
      <c r="P49">
        <f t="shared" si="24"/>
        <v>-0.13964843749999936</v>
      </c>
      <c r="Q49">
        <f t="shared" si="25"/>
        <v>-32.380164501952976</v>
      </c>
      <c r="R49">
        <f t="shared" si="26"/>
        <v>-8929.3694373636517</v>
      </c>
      <c r="S49">
        <f t="shared" si="27"/>
        <v>-8.9293694373636517E-2</v>
      </c>
      <c r="T49">
        <f t="shared" si="28"/>
        <v>-8.9293694373636511E-5</v>
      </c>
    </row>
    <row r="50" spans="1:20" x14ac:dyDescent="0.25">
      <c r="A50" s="5">
        <v>44207</v>
      </c>
      <c r="B50">
        <v>423.91</v>
      </c>
      <c r="C50">
        <v>437.9</v>
      </c>
      <c r="D50">
        <v>351.84</v>
      </c>
      <c r="E50">
        <v>387.27</v>
      </c>
      <c r="F50">
        <v>532.06895999999995</v>
      </c>
      <c r="G50">
        <v>0</v>
      </c>
      <c r="L50" t="s">
        <v>7</v>
      </c>
      <c r="M50" t="s">
        <v>7</v>
      </c>
      <c r="N50" t="s">
        <v>7</v>
      </c>
      <c r="P50">
        <f t="shared" si="24"/>
        <v>-0.17662096211945141</v>
      </c>
      <c r="Q50">
        <f t="shared" si="25"/>
        <v>-93.974531629095907</v>
      </c>
      <c r="R50">
        <f t="shared" si="26"/>
        <v>-8896.9892728616996</v>
      </c>
      <c r="S50">
        <f t="shared" si="27"/>
        <v>-8.8969892728616995E-2</v>
      </c>
      <c r="T50">
        <f t="shared" si="28"/>
        <v>-8.8969892728616991E-5</v>
      </c>
    </row>
    <row r="51" spans="1:20" x14ac:dyDescent="0.25">
      <c r="A51" s="5">
        <v>44206</v>
      </c>
      <c r="B51">
        <v>426.66</v>
      </c>
      <c r="C51">
        <v>449.7</v>
      </c>
      <c r="D51">
        <v>389.25</v>
      </c>
      <c r="E51">
        <v>424.91</v>
      </c>
      <c r="F51">
        <v>423.09100999999998</v>
      </c>
      <c r="G51">
        <v>0</v>
      </c>
      <c r="L51" t="s">
        <v>7</v>
      </c>
      <c r="M51" t="s">
        <v>7</v>
      </c>
      <c r="N51" t="s">
        <v>7</v>
      </c>
      <c r="P51">
        <f t="shared" si="24"/>
        <v>0.17981803143093569</v>
      </c>
      <c r="Q51">
        <f t="shared" si="25"/>
        <v>76.079392534326331</v>
      </c>
      <c r="R51">
        <f t="shared" si="26"/>
        <v>-8803.0147412326041</v>
      </c>
      <c r="S51">
        <f t="shared" si="27"/>
        <v>-8.8030147412326037E-2</v>
      </c>
      <c r="T51">
        <f t="shared" si="28"/>
        <v>-8.8030147412326035E-5</v>
      </c>
    </row>
    <row r="52" spans="1:20" x14ac:dyDescent="0.25">
      <c r="A52" s="5">
        <v>44205</v>
      </c>
      <c r="B52">
        <v>414.79</v>
      </c>
      <c r="C52">
        <v>448.2</v>
      </c>
      <c r="D52">
        <v>407.64</v>
      </c>
      <c r="E52">
        <v>426.08</v>
      </c>
      <c r="F52">
        <v>189.01084</v>
      </c>
      <c r="G52">
        <v>0</v>
      </c>
      <c r="L52" t="s">
        <v>8</v>
      </c>
      <c r="M52" t="s">
        <v>7</v>
      </c>
      <c r="N52" t="s">
        <v>7</v>
      </c>
      <c r="P52">
        <f t="shared" si="24"/>
        <v>-9.0729783037475503E-2</v>
      </c>
      <c r="Q52">
        <f t="shared" si="25"/>
        <v>-17.148912504930998</v>
      </c>
      <c r="R52">
        <f t="shared" si="26"/>
        <v>-8879.0941337669301</v>
      </c>
      <c r="S52">
        <f t="shared" si="27"/>
        <v>-8.8790941337669307E-2</v>
      </c>
      <c r="T52">
        <f t="shared" si="28"/>
        <v>-8.8790941337669308E-5</v>
      </c>
    </row>
    <row r="53" spans="1:20" x14ac:dyDescent="0.25">
      <c r="A53" s="5">
        <v>44204</v>
      </c>
      <c r="B53">
        <v>420</v>
      </c>
      <c r="C53">
        <v>427.24</v>
      </c>
      <c r="D53">
        <v>394.78</v>
      </c>
      <c r="E53">
        <v>414.81</v>
      </c>
      <c r="F53">
        <v>201.42549</v>
      </c>
      <c r="G53">
        <v>0</v>
      </c>
      <c r="L53" t="s">
        <v>7</v>
      </c>
      <c r="M53" t="s">
        <v>7</v>
      </c>
      <c r="N53" t="s">
        <v>7</v>
      </c>
      <c r="P53">
        <f t="shared" si="24"/>
        <v>0.23413431916204602</v>
      </c>
      <c r="Q53">
        <f t="shared" si="25"/>
        <v>47.160619963031507</v>
      </c>
      <c r="R53">
        <f t="shared" si="26"/>
        <v>-8861.9452212619999</v>
      </c>
      <c r="S53">
        <f t="shared" si="27"/>
        <v>-8.8619452212619992E-2</v>
      </c>
      <c r="T53">
        <f t="shared" si="28"/>
        <v>-8.8619452212619997E-5</v>
      </c>
    </row>
    <row r="54" spans="1:20" x14ac:dyDescent="0.25">
      <c r="A54" s="5">
        <v>44203</v>
      </c>
      <c r="B54">
        <v>408.63</v>
      </c>
      <c r="C54">
        <v>448</v>
      </c>
      <c r="D54">
        <v>394.78</v>
      </c>
      <c r="E54">
        <v>420</v>
      </c>
      <c r="F54">
        <v>434.25788</v>
      </c>
      <c r="G54">
        <v>0</v>
      </c>
      <c r="L54" t="s">
        <v>8</v>
      </c>
      <c r="M54" t="s">
        <v>7</v>
      </c>
      <c r="N54" t="s">
        <v>7</v>
      </c>
      <c r="P54">
        <f t="shared" si="24"/>
        <v>-5.2236001503193748E-2</v>
      </c>
      <c r="Q54">
        <f t="shared" si="25"/>
        <v>-22.683895272453729</v>
      </c>
      <c r="R54">
        <f t="shared" si="26"/>
        <v>-8909.1058412250313</v>
      </c>
      <c r="S54">
        <f t="shared" si="27"/>
        <v>-8.9091058412250318E-2</v>
      </c>
      <c r="T54">
        <f t="shared" si="28"/>
        <v>-8.9091058412250315E-5</v>
      </c>
    </row>
    <row r="55" spans="1:20" x14ac:dyDescent="0.25">
      <c r="A55" s="5">
        <v>44202</v>
      </c>
      <c r="B55">
        <v>457.79</v>
      </c>
      <c r="C55">
        <v>473.63</v>
      </c>
      <c r="D55">
        <v>392.07</v>
      </c>
      <c r="E55">
        <v>408.63</v>
      </c>
      <c r="F55">
        <v>939.91143</v>
      </c>
      <c r="G55">
        <v>0</v>
      </c>
      <c r="L55" t="s">
        <v>7</v>
      </c>
      <c r="M55" t="s">
        <v>7</v>
      </c>
      <c r="N55" t="s">
        <v>7</v>
      </c>
      <c r="P55">
        <f t="shared" si="24"/>
        <v>-0.59391858754291316</v>
      </c>
      <c r="Q55">
        <f t="shared" si="25"/>
        <v>-558.2308689210397</v>
      </c>
      <c r="R55">
        <f t="shared" si="26"/>
        <v>-8886.4219459525775</v>
      </c>
      <c r="S55">
        <f t="shared" si="27"/>
        <v>-8.8864219459525773E-2</v>
      </c>
      <c r="T55">
        <f t="shared" si="28"/>
        <v>-8.8864219459525769E-5</v>
      </c>
    </row>
    <row r="56" spans="1:20" x14ac:dyDescent="0.25">
      <c r="A56" s="5">
        <v>44201</v>
      </c>
      <c r="B56">
        <v>487.03</v>
      </c>
      <c r="C56">
        <v>516.25</v>
      </c>
      <c r="D56">
        <v>450.06</v>
      </c>
      <c r="E56">
        <v>457.76</v>
      </c>
      <c r="F56">
        <v>365.98590999999999</v>
      </c>
      <c r="G56">
        <v>0</v>
      </c>
      <c r="L56" t="s">
        <v>8</v>
      </c>
      <c r="M56" t="s">
        <v>8</v>
      </c>
      <c r="N56" t="s">
        <v>7</v>
      </c>
      <c r="P56">
        <f t="shared" si="24"/>
        <v>-0.76733645565795472</v>
      </c>
      <c r="Q56">
        <f t="shared" si="25"/>
        <v>-280.83433100015122</v>
      </c>
      <c r="R56">
        <f t="shared" si="26"/>
        <v>-8328.1910770315371</v>
      </c>
      <c r="S56">
        <f t="shared" si="27"/>
        <v>-8.3281910770315368E-2</v>
      </c>
      <c r="T56">
        <f t="shared" si="28"/>
        <v>-8.3281910770315371E-5</v>
      </c>
    </row>
    <row r="57" spans="1:20" x14ac:dyDescent="0.25">
      <c r="A57" s="5">
        <v>44200</v>
      </c>
      <c r="B57">
        <v>502.53</v>
      </c>
      <c r="C57">
        <v>541.53</v>
      </c>
      <c r="D57">
        <v>440.49</v>
      </c>
      <c r="E57">
        <v>504.86</v>
      </c>
      <c r="F57">
        <v>102.02297</v>
      </c>
      <c r="G57">
        <v>0</v>
      </c>
      <c r="L57" t="s">
        <v>7</v>
      </c>
      <c r="M57" t="s">
        <v>7</v>
      </c>
      <c r="N57" t="s">
        <v>7</v>
      </c>
      <c r="P57">
        <f t="shared" si="24"/>
        <v>0.27414885193982635</v>
      </c>
      <c r="Q57">
        <f t="shared" si="25"/>
        <v>27.969480096991347</v>
      </c>
      <c r="R57">
        <f t="shared" si="26"/>
        <v>-8047.3567460313861</v>
      </c>
      <c r="S57">
        <f t="shared" si="27"/>
        <v>-8.0473567460313866E-2</v>
      </c>
      <c r="T57">
        <f t="shared" si="28"/>
        <v>-8.0473567460313859E-5</v>
      </c>
    </row>
    <row r="58" spans="1:20" x14ac:dyDescent="0.25">
      <c r="A58" s="5">
        <v>44199</v>
      </c>
      <c r="B58">
        <v>536.74</v>
      </c>
      <c r="C58">
        <v>543.94000000000005</v>
      </c>
      <c r="D58">
        <v>500.18</v>
      </c>
      <c r="E58">
        <v>505</v>
      </c>
      <c r="F58">
        <v>181.78897000000001</v>
      </c>
      <c r="G58">
        <v>0</v>
      </c>
      <c r="L58" t="s">
        <v>7</v>
      </c>
      <c r="M58" t="s">
        <v>8</v>
      </c>
      <c r="N58" t="s">
        <v>8</v>
      </c>
      <c r="P58">
        <f t="shared" si="24"/>
        <v>-0.77970749542961659</v>
      </c>
      <c r="Q58">
        <f t="shared" si="25"/>
        <v>-141.7422224954297</v>
      </c>
      <c r="R58">
        <f t="shared" si="26"/>
        <v>-8075.3262261283771</v>
      </c>
      <c r="S58">
        <f t="shared" si="27"/>
        <v>-8.0753262261283765E-2</v>
      </c>
      <c r="T58">
        <f t="shared" si="28"/>
        <v>-8.0753262261283766E-5</v>
      </c>
    </row>
    <row r="59" spans="1:20" x14ac:dyDescent="0.25">
      <c r="A59" s="5">
        <v>44198</v>
      </c>
      <c r="B59">
        <v>527.5</v>
      </c>
      <c r="C59">
        <v>555</v>
      </c>
      <c r="D59">
        <v>517.69000000000005</v>
      </c>
      <c r="E59">
        <v>536.75</v>
      </c>
      <c r="F59">
        <v>57.254069999999999</v>
      </c>
      <c r="G59">
        <v>0</v>
      </c>
      <c r="L59" t="s">
        <v>7</v>
      </c>
      <c r="M59" t="s">
        <v>8</v>
      </c>
      <c r="N59" t="s">
        <v>8</v>
      </c>
      <c r="P59">
        <f t="shared" si="24"/>
        <v>2.1709997319751987E-2</v>
      </c>
      <c r="Q59">
        <f t="shared" si="25"/>
        <v>1.2429857062448926</v>
      </c>
      <c r="R59">
        <f t="shared" si="26"/>
        <v>-7933.5840036329473</v>
      </c>
      <c r="S59">
        <f t="shared" si="27"/>
        <v>-7.9335840036329472E-2</v>
      </c>
      <c r="T59">
        <f t="shared" si="28"/>
        <v>-7.9335840036329477E-5</v>
      </c>
    </row>
    <row r="60" spans="1:20" x14ac:dyDescent="0.25">
      <c r="A60" s="5">
        <v>44197</v>
      </c>
      <c r="B60">
        <v>536.79999999999995</v>
      </c>
      <c r="C60">
        <v>552.85</v>
      </c>
      <c r="D60">
        <v>524.28</v>
      </c>
      <c r="E60">
        <v>530.48</v>
      </c>
      <c r="F60">
        <v>19.063140000000001</v>
      </c>
      <c r="G60">
        <v>0</v>
      </c>
      <c r="L60" t="s">
        <v>7</v>
      </c>
      <c r="M60" t="s">
        <v>8</v>
      </c>
      <c r="N60" t="s">
        <v>8</v>
      </c>
      <c r="P60">
        <f t="shared" si="24"/>
        <v>-0.56597829891494333</v>
      </c>
      <c r="Q60">
        <f t="shared" si="25"/>
        <v>-10.789323549177412</v>
      </c>
      <c r="R60">
        <f t="shared" si="26"/>
        <v>-7934.8269893391926</v>
      </c>
      <c r="S60">
        <f t="shared" si="27"/>
        <v>-7.9348269893391929E-2</v>
      </c>
      <c r="T60">
        <f t="shared" si="28"/>
        <v>-7.9348269893391924E-5</v>
      </c>
    </row>
    <row r="61" spans="1:20" x14ac:dyDescent="0.25">
      <c r="A61" s="5">
        <v>44196</v>
      </c>
      <c r="B61">
        <v>582.52</v>
      </c>
      <c r="C61">
        <v>594.5</v>
      </c>
      <c r="D61">
        <v>511.55</v>
      </c>
      <c r="E61">
        <v>538.44000000000005</v>
      </c>
      <c r="F61">
        <v>432.37867999999997</v>
      </c>
      <c r="G61">
        <v>0</v>
      </c>
      <c r="L61" t="s">
        <v>8</v>
      </c>
      <c r="M61" t="s">
        <v>8</v>
      </c>
      <c r="N61" t="s">
        <v>8</v>
      </c>
      <c r="P61">
        <f t="shared" si="24"/>
        <v>-0.35165762507534548</v>
      </c>
      <c r="Q61">
        <f t="shared" si="25"/>
        <v>-152.04925974201277</v>
      </c>
      <c r="R61">
        <f t="shared" si="26"/>
        <v>-7924.0376657900151</v>
      </c>
      <c r="S61">
        <f t="shared" si="27"/>
        <v>-7.9240376657900152E-2</v>
      </c>
      <c r="T61">
        <f t="shared" si="28"/>
        <v>-7.9240376657900148E-5</v>
      </c>
    </row>
    <row r="62" spans="1:20" x14ac:dyDescent="0.25">
      <c r="A62" s="5">
        <v>44195</v>
      </c>
      <c r="B62">
        <v>515.54999999999995</v>
      </c>
      <c r="C62">
        <v>585</v>
      </c>
      <c r="D62">
        <v>501.8</v>
      </c>
      <c r="E62">
        <v>576.41999999999996</v>
      </c>
      <c r="F62">
        <v>254.39627999999999</v>
      </c>
      <c r="G62">
        <v>0</v>
      </c>
      <c r="L62" t="s">
        <v>8</v>
      </c>
      <c r="M62" t="s">
        <v>8</v>
      </c>
      <c r="N62" t="s">
        <v>8</v>
      </c>
      <c r="P62">
        <f t="shared" si="24"/>
        <v>0.79374999999999896</v>
      </c>
      <c r="Q62">
        <f t="shared" si="25"/>
        <v>201.92704724999973</v>
      </c>
      <c r="R62">
        <f t="shared" si="26"/>
        <v>-7771.9884060480026</v>
      </c>
      <c r="S62">
        <f t="shared" si="27"/>
        <v>-7.7719884060480027E-2</v>
      </c>
      <c r="T62">
        <f t="shared" si="28"/>
        <v>-7.7719884060480033E-5</v>
      </c>
    </row>
    <row r="63" spans="1:20" x14ac:dyDescent="0.25">
      <c r="A63" s="5">
        <v>44194</v>
      </c>
      <c r="B63">
        <v>421.67</v>
      </c>
      <c r="C63">
        <v>530</v>
      </c>
      <c r="D63">
        <v>413.44</v>
      </c>
      <c r="E63">
        <v>515.54999999999995</v>
      </c>
      <c r="F63">
        <v>614.46744999999999</v>
      </c>
      <c r="G63">
        <v>0</v>
      </c>
      <c r="L63" t="s">
        <v>8</v>
      </c>
      <c r="M63" t="s">
        <v>8</v>
      </c>
      <c r="N63" t="s">
        <v>8</v>
      </c>
      <c r="P63">
        <f t="shared" si="24"/>
        <v>0.75205902539464575</v>
      </c>
      <c r="Q63">
        <f t="shared" si="25"/>
        <v>462.1157915837332</v>
      </c>
      <c r="R63">
        <f t="shared" si="26"/>
        <v>-7973.9154532980019</v>
      </c>
      <c r="S63">
        <f t="shared" si="27"/>
        <v>-7.9739154532980014E-2</v>
      </c>
      <c r="T63">
        <f t="shared" si="28"/>
        <v>-7.9739154532980017E-5</v>
      </c>
    </row>
    <row r="64" spans="1:20" x14ac:dyDescent="0.25">
      <c r="A64" s="5">
        <v>44193</v>
      </c>
      <c r="B64">
        <v>390.09</v>
      </c>
      <c r="C64">
        <v>430.31</v>
      </c>
      <c r="D64">
        <v>364.12</v>
      </c>
      <c r="E64">
        <v>418.81</v>
      </c>
      <c r="F64">
        <v>233.74010000000001</v>
      </c>
      <c r="G64">
        <v>0</v>
      </c>
      <c r="L64" t="s">
        <v>7</v>
      </c>
      <c r="M64" t="s">
        <v>7</v>
      </c>
      <c r="N64" t="s">
        <v>7</v>
      </c>
      <c r="P64">
        <f t="shared" si="24"/>
        <v>0.65251548572291884</v>
      </c>
      <c r="Q64">
        <f t="shared" si="25"/>
        <v>152.51903488442363</v>
      </c>
      <c r="R64">
        <f t="shared" si="26"/>
        <v>-8436.0312448817349</v>
      </c>
      <c r="S64">
        <f t="shared" si="27"/>
        <v>-8.4360312448817351E-2</v>
      </c>
      <c r="T64">
        <f t="shared" si="28"/>
        <v>-8.4360312448817347E-5</v>
      </c>
    </row>
    <row r="65" spans="1:20" x14ac:dyDescent="0.25">
      <c r="A65" s="5">
        <v>44192</v>
      </c>
      <c r="B65">
        <v>408.95</v>
      </c>
      <c r="C65">
        <v>430.57</v>
      </c>
      <c r="D65">
        <v>367.28</v>
      </c>
      <c r="E65">
        <v>392.7</v>
      </c>
      <c r="F65">
        <v>145.29248000000001</v>
      </c>
      <c r="G65">
        <v>0</v>
      </c>
      <c r="L65" t="s">
        <v>8</v>
      </c>
      <c r="M65" t="s">
        <v>8</v>
      </c>
      <c r="N65" t="s">
        <v>7</v>
      </c>
      <c r="P65">
        <f t="shared" si="24"/>
        <v>-0.19671354084373494</v>
      </c>
      <c r="Q65">
        <f t="shared" si="25"/>
        <v>-28.580998198767542</v>
      </c>
      <c r="R65">
        <f t="shared" si="26"/>
        <v>-8588.5502797661593</v>
      </c>
      <c r="S65">
        <f t="shared" si="27"/>
        <v>-8.5885502797661592E-2</v>
      </c>
      <c r="T65">
        <f t="shared" si="28"/>
        <v>-8.5885502797661587E-5</v>
      </c>
    </row>
    <row r="66" spans="1:20" x14ac:dyDescent="0.25">
      <c r="A66" s="5">
        <v>44191</v>
      </c>
      <c r="B66">
        <v>398.26</v>
      </c>
      <c r="C66">
        <v>415.46</v>
      </c>
      <c r="D66">
        <v>396.23</v>
      </c>
      <c r="E66">
        <v>406.37</v>
      </c>
      <c r="F66">
        <v>34.508920000000003</v>
      </c>
      <c r="G66">
        <v>0</v>
      </c>
      <c r="L66" t="s">
        <v>8</v>
      </c>
      <c r="M66" t="s">
        <v>7</v>
      </c>
      <c r="N66" t="s">
        <v>7</v>
      </c>
      <c r="P66">
        <f t="shared" si="24"/>
        <v>5.4602184087364197E-2</v>
      </c>
      <c r="Q66">
        <f t="shared" si="25"/>
        <v>1.8842624024961243</v>
      </c>
      <c r="R66">
        <f t="shared" si="26"/>
        <v>-8559.9692815673916</v>
      </c>
      <c r="S66">
        <f t="shared" si="27"/>
        <v>-8.5599692815673922E-2</v>
      </c>
      <c r="T66">
        <f t="shared" si="28"/>
        <v>-8.5599692815673922E-5</v>
      </c>
    </row>
    <row r="67" spans="1:20" x14ac:dyDescent="0.25">
      <c r="A67" s="5">
        <v>44190</v>
      </c>
      <c r="B67">
        <v>394.15</v>
      </c>
      <c r="C67">
        <v>405.11</v>
      </c>
      <c r="D67">
        <v>382.02</v>
      </c>
      <c r="E67">
        <v>400.13</v>
      </c>
      <c r="F67">
        <v>27.316279999999999</v>
      </c>
      <c r="G67">
        <v>0</v>
      </c>
      <c r="L67" t="s">
        <v>8</v>
      </c>
      <c r="M67" t="s">
        <v>7</v>
      </c>
      <c r="N67" t="s">
        <v>7</v>
      </c>
      <c r="P67">
        <f t="shared" si="24"/>
        <v>0.5686444348202675</v>
      </c>
      <c r="Q67">
        <f t="shared" si="25"/>
        <v>15.533250601992176</v>
      </c>
      <c r="R67">
        <f t="shared" si="26"/>
        <v>-8561.8535439698881</v>
      </c>
      <c r="S67">
        <f t="shared" si="27"/>
        <v>-8.5618535439698884E-2</v>
      </c>
      <c r="T67">
        <f t="shared" si="28"/>
        <v>-8.5618535439698878E-5</v>
      </c>
    </row>
    <row r="68" spans="1:20" x14ac:dyDescent="0.25">
      <c r="A68" s="5">
        <v>44189</v>
      </c>
      <c r="B68">
        <v>380.03</v>
      </c>
      <c r="C68">
        <v>404.34</v>
      </c>
      <c r="D68">
        <v>360.14</v>
      </c>
      <c r="E68">
        <v>392.18</v>
      </c>
      <c r="F68">
        <v>52.075690000000002</v>
      </c>
      <c r="G68">
        <v>0</v>
      </c>
      <c r="L68" t="s">
        <v>8</v>
      </c>
      <c r="M68" t="s">
        <v>7</v>
      </c>
      <c r="N68" t="s">
        <v>7</v>
      </c>
      <c r="P68">
        <f t="shared" si="24"/>
        <v>0.44977375565610989</v>
      </c>
      <c r="Q68">
        <f t="shared" si="25"/>
        <v>23.422278669683326</v>
      </c>
      <c r="R68">
        <f t="shared" si="26"/>
        <v>-8577.3867945718794</v>
      </c>
      <c r="S68">
        <f t="shared" si="27"/>
        <v>-8.5773867945718799E-2</v>
      </c>
      <c r="T68">
        <f t="shared" si="28"/>
        <v>-8.5773867945718803E-5</v>
      </c>
    </row>
    <row r="69" spans="1:20" x14ac:dyDescent="0.25">
      <c r="A69" s="5">
        <v>44188</v>
      </c>
      <c r="B69">
        <v>467.1</v>
      </c>
      <c r="C69">
        <v>470.38</v>
      </c>
      <c r="D69">
        <v>358.53</v>
      </c>
      <c r="E69">
        <v>383.95</v>
      </c>
      <c r="F69">
        <v>378.35843999999997</v>
      </c>
      <c r="G69">
        <v>0</v>
      </c>
      <c r="L69" t="s">
        <v>7</v>
      </c>
      <c r="M69" t="s">
        <v>7</v>
      </c>
      <c r="N69" t="s">
        <v>7</v>
      </c>
      <c r="P69">
        <f t="shared" si="24"/>
        <v>-0.54546267322306641</v>
      </c>
      <c r="Q69">
        <f t="shared" si="25"/>
        <v>-206.38040611890915</v>
      </c>
      <c r="R69">
        <f t="shared" si="26"/>
        <v>-8600.8090732415621</v>
      </c>
      <c r="S69">
        <f t="shared" si="27"/>
        <v>-8.6008090732415624E-2</v>
      </c>
      <c r="T69">
        <f t="shared" si="28"/>
        <v>-8.600809073241562E-5</v>
      </c>
    </row>
    <row r="70" spans="1:20" x14ac:dyDescent="0.25">
      <c r="A70" s="5">
        <v>44187</v>
      </c>
      <c r="B70">
        <v>416.02</v>
      </c>
      <c r="C70">
        <v>522.58000000000004</v>
      </c>
      <c r="D70">
        <v>406.5</v>
      </c>
      <c r="E70">
        <v>467.1</v>
      </c>
      <c r="F70">
        <v>72153.108129999993</v>
      </c>
      <c r="G70">
        <v>0</v>
      </c>
      <c r="L70" t="s">
        <v>8</v>
      </c>
      <c r="M70" t="s">
        <v>8</v>
      </c>
      <c r="N70" t="s">
        <v>7</v>
      </c>
      <c r="P70">
        <f t="shared" si="24"/>
        <v>4.4107512060647849E-2</v>
      </c>
      <c r="Q70">
        <f t="shared" si="25"/>
        <v>3182.4940870572032</v>
      </c>
      <c r="R70">
        <f t="shared" si="26"/>
        <v>-8394.4286671226528</v>
      </c>
      <c r="S70">
        <f t="shared" si="27"/>
        <v>-8.3944286671226526E-2</v>
      </c>
      <c r="T70">
        <f t="shared" si="28"/>
        <v>-8.3944286671226519E-5</v>
      </c>
    </row>
    <row r="71" spans="1:20" x14ac:dyDescent="0.25">
      <c r="A71" s="5">
        <v>44186</v>
      </c>
      <c r="B71">
        <v>430.18</v>
      </c>
      <c r="C71">
        <v>434.88</v>
      </c>
      <c r="D71">
        <v>405</v>
      </c>
      <c r="E71">
        <v>416.02</v>
      </c>
      <c r="F71">
        <v>6400.6885400000001</v>
      </c>
      <c r="G71">
        <v>0</v>
      </c>
      <c r="L71" t="s">
        <v>7</v>
      </c>
      <c r="M71" t="s">
        <v>7</v>
      </c>
      <c r="N71" t="s">
        <v>7</v>
      </c>
      <c r="P71">
        <f t="shared" si="24"/>
        <v>-0.26238286479250444</v>
      </c>
      <c r="Q71">
        <f t="shared" si="25"/>
        <v>-1679.4309957697526</v>
      </c>
      <c r="R71">
        <f t="shared" si="26"/>
        <v>-11576.922754179855</v>
      </c>
      <c r="S71">
        <f t="shared" si="27"/>
        <v>-0.11576922754179855</v>
      </c>
      <c r="T71">
        <f t="shared" si="28"/>
        <v>-1.1576922754179855E-4</v>
      </c>
    </row>
    <row r="72" spans="1:20" x14ac:dyDescent="0.25">
      <c r="A72" s="5">
        <v>44185</v>
      </c>
      <c r="B72">
        <v>441.32</v>
      </c>
      <c r="C72">
        <v>442.35</v>
      </c>
      <c r="D72">
        <v>428.65</v>
      </c>
      <c r="E72">
        <v>430.18</v>
      </c>
      <c r="F72">
        <v>6810.47678</v>
      </c>
      <c r="G72">
        <v>0</v>
      </c>
      <c r="L72" t="s">
        <v>8</v>
      </c>
      <c r="M72" t="s">
        <v>7</v>
      </c>
      <c r="N72" t="s">
        <v>7</v>
      </c>
      <c r="P72">
        <f t="shared" si="24"/>
        <v>-0.77664233576641983</v>
      </c>
      <c r="Q72">
        <f t="shared" si="25"/>
        <v>-5289.3045941021655</v>
      </c>
      <c r="R72">
        <f t="shared" si="26"/>
        <v>-9897.4917584101022</v>
      </c>
      <c r="S72">
        <f t="shared" si="27"/>
        <v>-9.8974917584101027E-2</v>
      </c>
      <c r="T72">
        <f t="shared" si="28"/>
        <v>-9.8974917584101032E-5</v>
      </c>
    </row>
    <row r="73" spans="1:20" x14ac:dyDescent="0.25">
      <c r="A73" s="5">
        <v>44184</v>
      </c>
      <c r="B73">
        <v>449.17</v>
      </c>
      <c r="C73">
        <v>456.49</v>
      </c>
      <c r="D73">
        <v>437.11</v>
      </c>
      <c r="E73">
        <v>441.31</v>
      </c>
      <c r="F73">
        <v>7492.2736800000002</v>
      </c>
      <c r="G73">
        <v>0</v>
      </c>
      <c r="L73" t="s">
        <v>8</v>
      </c>
      <c r="M73" t="s">
        <v>7</v>
      </c>
      <c r="N73" t="s">
        <v>7</v>
      </c>
      <c r="P73">
        <f t="shared" si="24"/>
        <v>-0.56656346749226116</v>
      </c>
      <c r="Q73">
        <f t="shared" si="25"/>
        <v>-4244.8485555418038</v>
      </c>
      <c r="R73">
        <f t="shared" si="26"/>
        <v>-4608.1871643079357</v>
      </c>
      <c r="S73">
        <f t="shared" si="27"/>
        <v>-4.6081871643079357E-2</v>
      </c>
      <c r="T73">
        <f t="shared" si="28"/>
        <v>-4.6081871643079357E-5</v>
      </c>
    </row>
    <row r="74" spans="1:20" x14ac:dyDescent="0.25">
      <c r="A74" s="5">
        <v>44183</v>
      </c>
      <c r="B74">
        <v>434.6</v>
      </c>
      <c r="C74">
        <v>457.88</v>
      </c>
      <c r="D74">
        <v>426.48</v>
      </c>
      <c r="E74">
        <v>449.04</v>
      </c>
      <c r="F74">
        <v>5815.6297299999997</v>
      </c>
      <c r="G74">
        <v>0</v>
      </c>
      <c r="L74" t="s">
        <v>8</v>
      </c>
      <c r="M74" t="s">
        <v>7</v>
      </c>
      <c r="N74" t="s">
        <v>7</v>
      </c>
      <c r="P74">
        <f t="shared" si="24"/>
        <v>0.43694267515923685</v>
      </c>
      <c r="Q74">
        <f t="shared" si="25"/>
        <v>2541.0968119617901</v>
      </c>
      <c r="R74">
        <f t="shared" si="26"/>
        <v>-363.33860876613198</v>
      </c>
      <c r="S74">
        <f t="shared" si="27"/>
        <v>-3.6333860876613198E-3</v>
      </c>
      <c r="T74">
        <f t="shared" si="28"/>
        <v>-3.63338608766132E-6</v>
      </c>
    </row>
    <row r="75" spans="1:20" x14ac:dyDescent="0.25">
      <c r="A75" s="5">
        <v>44182</v>
      </c>
      <c r="B75">
        <v>458.8</v>
      </c>
      <c r="C75">
        <v>465.97</v>
      </c>
      <c r="D75">
        <v>424.63</v>
      </c>
      <c r="E75">
        <v>434.6</v>
      </c>
      <c r="F75">
        <v>1893.38445</v>
      </c>
      <c r="G75">
        <v>0</v>
      </c>
      <c r="L75" t="s">
        <v>7</v>
      </c>
      <c r="M75" t="s">
        <v>7</v>
      </c>
      <c r="N75" t="s">
        <v>7</v>
      </c>
      <c r="P75">
        <f t="shared" ref="P75:P138" si="29">IF(C75=D75,0,((E75-D75)-(C75-E75))/(C75-D75))</f>
        <v>-0.51765844218674317</v>
      </c>
      <c r="Q75">
        <f t="shared" ref="Q75:Q138" si="30">F75*P75</f>
        <v>-980.12644484760358</v>
      </c>
      <c r="R75">
        <f t="shared" ref="R75:R138" si="31">R76+Q75</f>
        <v>-2904.4354207279221</v>
      </c>
      <c r="S75">
        <f t="shared" ref="S75:S138" si="32">R75/100000</f>
        <v>-2.9044354207279219E-2</v>
      </c>
      <c r="T75">
        <f t="shared" ref="T75:T138" si="33">S75/1000</f>
        <v>-2.9044354207279218E-5</v>
      </c>
    </row>
    <row r="76" spans="1:20" x14ac:dyDescent="0.25">
      <c r="A76" s="5">
        <v>44181</v>
      </c>
      <c r="B76">
        <v>452.57</v>
      </c>
      <c r="C76">
        <v>470.01</v>
      </c>
      <c r="D76">
        <v>435.02</v>
      </c>
      <c r="E76">
        <v>459.56</v>
      </c>
      <c r="F76">
        <v>1295.1695099999999</v>
      </c>
      <c r="G76">
        <v>0</v>
      </c>
      <c r="L76" t="s">
        <v>7</v>
      </c>
      <c r="M76" t="s">
        <v>7</v>
      </c>
      <c r="N76" t="s">
        <v>7</v>
      </c>
      <c r="P76">
        <f t="shared" si="29"/>
        <v>0.40268648185195849</v>
      </c>
      <c r="Q76">
        <f t="shared" si="30"/>
        <v>521.54725338382491</v>
      </c>
      <c r="R76">
        <f t="shared" si="31"/>
        <v>-1924.3089758803183</v>
      </c>
      <c r="S76">
        <f t="shared" si="32"/>
        <v>-1.9243089758803181E-2</v>
      </c>
      <c r="T76">
        <f t="shared" si="33"/>
        <v>-1.9243089758803182E-5</v>
      </c>
    </row>
    <row r="77" spans="1:20" x14ac:dyDescent="0.25">
      <c r="A77" s="5">
        <v>44180</v>
      </c>
      <c r="B77">
        <v>446.83</v>
      </c>
      <c r="C77">
        <v>519</v>
      </c>
      <c r="D77">
        <v>415</v>
      </c>
      <c r="E77">
        <v>451.61</v>
      </c>
      <c r="F77">
        <v>2059.11436</v>
      </c>
      <c r="G77">
        <v>0</v>
      </c>
      <c r="L77" t="s">
        <v>8</v>
      </c>
      <c r="M77" t="s">
        <v>8</v>
      </c>
      <c r="N77" t="s">
        <v>7</v>
      </c>
      <c r="P77">
        <f t="shared" si="29"/>
        <v>-0.29596153846153822</v>
      </c>
      <c r="Q77">
        <f t="shared" si="30"/>
        <v>-609.41865385384563</v>
      </c>
      <c r="R77">
        <f t="shared" si="31"/>
        <v>-2445.8562292641432</v>
      </c>
      <c r="S77">
        <f t="shared" si="32"/>
        <v>-2.4458562292641432E-2</v>
      </c>
      <c r="T77">
        <f t="shared" si="33"/>
        <v>-2.4458562292641433E-5</v>
      </c>
    </row>
    <row r="78" spans="1:20" x14ac:dyDescent="0.25">
      <c r="A78" s="5">
        <v>44179</v>
      </c>
      <c r="B78">
        <v>429.2</v>
      </c>
      <c r="C78">
        <v>466.38</v>
      </c>
      <c r="D78">
        <v>411.44</v>
      </c>
      <c r="E78">
        <v>441.59</v>
      </c>
      <c r="F78">
        <v>139.05859000000001</v>
      </c>
      <c r="G78">
        <v>0</v>
      </c>
      <c r="L78" t="s">
        <v>8</v>
      </c>
      <c r="M78" t="s">
        <v>7</v>
      </c>
      <c r="N78" t="s">
        <v>7</v>
      </c>
      <c r="P78">
        <f t="shared" si="29"/>
        <v>9.756097560975531E-2</v>
      </c>
      <c r="Q78">
        <f t="shared" si="30"/>
        <v>13.566691707316965</v>
      </c>
      <c r="R78">
        <f t="shared" si="31"/>
        <v>-1836.4375754102975</v>
      </c>
      <c r="S78">
        <f t="shared" si="32"/>
        <v>-1.8364375754102977E-2</v>
      </c>
      <c r="T78">
        <f t="shared" si="33"/>
        <v>-1.8364375754102975E-5</v>
      </c>
    </row>
    <row r="79" spans="1:20" x14ac:dyDescent="0.25">
      <c r="A79" s="5">
        <v>44178</v>
      </c>
      <c r="B79">
        <v>416.03</v>
      </c>
      <c r="C79">
        <v>439.99</v>
      </c>
      <c r="D79">
        <v>409.97</v>
      </c>
      <c r="E79">
        <v>429.56</v>
      </c>
      <c r="F79">
        <v>154.65857</v>
      </c>
      <c r="G79">
        <v>0</v>
      </c>
      <c r="L79" t="s">
        <v>8</v>
      </c>
      <c r="M79" t="s">
        <v>7</v>
      </c>
      <c r="N79" t="s">
        <v>7</v>
      </c>
      <c r="P79">
        <f t="shared" si="29"/>
        <v>0.30512991339107176</v>
      </c>
      <c r="Q79">
        <f t="shared" si="30"/>
        <v>47.190956069287012</v>
      </c>
      <c r="R79">
        <f t="shared" si="31"/>
        <v>-1850.0042671176145</v>
      </c>
      <c r="S79">
        <f t="shared" si="32"/>
        <v>-1.8500042671176144E-2</v>
      </c>
      <c r="T79">
        <f t="shared" si="33"/>
        <v>-1.8500042671176145E-5</v>
      </c>
    </row>
    <row r="80" spans="1:20" x14ac:dyDescent="0.25">
      <c r="A80" s="5">
        <v>44177</v>
      </c>
      <c r="B80">
        <v>419.97</v>
      </c>
      <c r="C80">
        <v>422.83</v>
      </c>
      <c r="D80">
        <v>405.14</v>
      </c>
      <c r="E80">
        <v>411.83</v>
      </c>
      <c r="F80">
        <v>145.58532</v>
      </c>
      <c r="G80">
        <v>0</v>
      </c>
      <c r="L80" t="s">
        <v>7</v>
      </c>
      <c r="M80" t="s">
        <v>7</v>
      </c>
      <c r="N80" t="s">
        <v>7</v>
      </c>
      <c r="P80">
        <f t="shared" si="29"/>
        <v>-0.2436404748445451</v>
      </c>
      <c r="Q80">
        <f t="shared" si="30"/>
        <v>-35.470476495195044</v>
      </c>
      <c r="R80">
        <f t="shared" si="31"/>
        <v>-1897.1952231869016</v>
      </c>
      <c r="S80">
        <f t="shared" si="32"/>
        <v>-1.8971952231869017E-2</v>
      </c>
      <c r="T80">
        <f t="shared" si="33"/>
        <v>-1.8971952231869018E-5</v>
      </c>
    </row>
    <row r="81" spans="1:20" x14ac:dyDescent="0.25">
      <c r="A81" s="5">
        <v>44176</v>
      </c>
      <c r="B81">
        <v>437.61</v>
      </c>
      <c r="C81">
        <v>437.63</v>
      </c>
      <c r="D81">
        <v>402.14</v>
      </c>
      <c r="E81">
        <v>405.73</v>
      </c>
      <c r="F81">
        <v>149.37227999999999</v>
      </c>
      <c r="G81">
        <v>0</v>
      </c>
      <c r="L81" t="s">
        <v>7</v>
      </c>
      <c r="M81" t="s">
        <v>7</v>
      </c>
      <c r="N81" t="s">
        <v>7</v>
      </c>
      <c r="P81">
        <f t="shared" si="29"/>
        <v>-0.79768948999718059</v>
      </c>
      <c r="Q81">
        <f t="shared" si="30"/>
        <v>-119.15269785291605</v>
      </c>
      <c r="R81">
        <f t="shared" si="31"/>
        <v>-1861.7247466917065</v>
      </c>
      <c r="S81">
        <f t="shared" si="32"/>
        <v>-1.8617247466917064E-2</v>
      </c>
      <c r="T81">
        <f t="shared" si="33"/>
        <v>-1.8617247466917063E-5</v>
      </c>
    </row>
    <row r="82" spans="1:20" x14ac:dyDescent="0.25">
      <c r="A82" s="5">
        <v>44175</v>
      </c>
      <c r="B82">
        <v>475.71</v>
      </c>
      <c r="C82">
        <v>476.4</v>
      </c>
      <c r="D82">
        <v>433.23</v>
      </c>
      <c r="E82">
        <v>433.5</v>
      </c>
      <c r="F82">
        <v>142.95125999999999</v>
      </c>
      <c r="G82">
        <v>0</v>
      </c>
      <c r="L82" t="s">
        <v>8</v>
      </c>
      <c r="M82" t="s">
        <v>7</v>
      </c>
      <c r="N82" t="s">
        <v>8</v>
      </c>
      <c r="P82">
        <f t="shared" si="29"/>
        <v>-0.98749131341209251</v>
      </c>
      <c r="Q82">
        <f t="shared" si="30"/>
        <v>-141.1631274913135</v>
      </c>
      <c r="R82">
        <f t="shared" si="31"/>
        <v>-1742.5720488387906</v>
      </c>
      <c r="S82">
        <f t="shared" si="32"/>
        <v>-1.7425720488387905E-2</v>
      </c>
      <c r="T82">
        <f t="shared" si="33"/>
        <v>-1.7425720488387904E-5</v>
      </c>
    </row>
    <row r="83" spans="1:20" x14ac:dyDescent="0.25">
      <c r="A83" s="5">
        <v>44174</v>
      </c>
      <c r="B83">
        <v>457.16</v>
      </c>
      <c r="C83">
        <v>465.01</v>
      </c>
      <c r="D83">
        <v>430.01</v>
      </c>
      <c r="E83">
        <v>464.65</v>
      </c>
      <c r="F83">
        <v>68.578670000000002</v>
      </c>
      <c r="G83">
        <v>0</v>
      </c>
      <c r="L83" t="s">
        <v>7</v>
      </c>
      <c r="M83" t="s">
        <v>7</v>
      </c>
      <c r="N83" t="s">
        <v>8</v>
      </c>
      <c r="P83">
        <f t="shared" si="29"/>
        <v>0.97942857142857065</v>
      </c>
      <c r="Q83">
        <f t="shared" si="30"/>
        <v>67.167908788571381</v>
      </c>
      <c r="R83">
        <f t="shared" si="31"/>
        <v>-1601.408921347477</v>
      </c>
      <c r="S83">
        <f t="shared" si="32"/>
        <v>-1.6014089213474771E-2</v>
      </c>
      <c r="T83">
        <f t="shared" si="33"/>
        <v>-1.6014089213474772E-5</v>
      </c>
    </row>
    <row r="84" spans="1:20" x14ac:dyDescent="0.25">
      <c r="A84" s="5">
        <v>44173</v>
      </c>
      <c r="B84">
        <v>474.21</v>
      </c>
      <c r="C84">
        <v>485.93</v>
      </c>
      <c r="D84">
        <v>446</v>
      </c>
      <c r="E84">
        <v>453.95</v>
      </c>
      <c r="F84">
        <v>78.126429999999999</v>
      </c>
      <c r="G84">
        <v>0</v>
      </c>
      <c r="L84" t="s">
        <v>7</v>
      </c>
      <c r="M84" t="s">
        <v>7</v>
      </c>
      <c r="N84" t="s">
        <v>8</v>
      </c>
      <c r="P84">
        <f t="shared" si="29"/>
        <v>-0.60180315552216446</v>
      </c>
      <c r="Q84">
        <f t="shared" si="30"/>
        <v>-47.016732103681491</v>
      </c>
      <c r="R84">
        <f t="shared" si="31"/>
        <v>-1668.5768301360483</v>
      </c>
      <c r="S84">
        <f t="shared" si="32"/>
        <v>-1.6685768301360482E-2</v>
      </c>
      <c r="T84">
        <f t="shared" si="33"/>
        <v>-1.6685768301360483E-5</v>
      </c>
    </row>
    <row r="85" spans="1:20" x14ac:dyDescent="0.25">
      <c r="A85" s="5">
        <v>44172</v>
      </c>
      <c r="B85">
        <v>467.04</v>
      </c>
      <c r="C85">
        <v>545.5</v>
      </c>
      <c r="D85">
        <v>455</v>
      </c>
      <c r="E85">
        <v>482.06</v>
      </c>
      <c r="F85">
        <v>228.37982</v>
      </c>
      <c r="G85">
        <v>0</v>
      </c>
      <c r="L85" t="s">
        <v>8</v>
      </c>
      <c r="M85" t="s">
        <v>8</v>
      </c>
      <c r="N85" t="s">
        <v>8</v>
      </c>
      <c r="P85">
        <f t="shared" si="29"/>
        <v>-0.40198895027624304</v>
      </c>
      <c r="Q85">
        <f t="shared" si="30"/>
        <v>-91.806164106077333</v>
      </c>
      <c r="R85">
        <f t="shared" si="31"/>
        <v>-1621.5600980323668</v>
      </c>
      <c r="S85">
        <f t="shared" si="32"/>
        <v>-1.621560098032367E-2</v>
      </c>
      <c r="T85">
        <f t="shared" si="33"/>
        <v>-1.6215600980323669E-5</v>
      </c>
    </row>
    <row r="86" spans="1:20" x14ac:dyDescent="0.25">
      <c r="A86" s="5">
        <v>44171</v>
      </c>
      <c r="B86">
        <v>450.15</v>
      </c>
      <c r="C86">
        <v>508</v>
      </c>
      <c r="D86">
        <v>440.34</v>
      </c>
      <c r="E86">
        <v>466.31</v>
      </c>
      <c r="F86">
        <v>130.2354</v>
      </c>
      <c r="G86">
        <v>0</v>
      </c>
      <c r="L86" t="s">
        <v>8</v>
      </c>
      <c r="M86" t="s">
        <v>8</v>
      </c>
      <c r="N86" t="s">
        <v>8</v>
      </c>
      <c r="P86">
        <f t="shared" si="29"/>
        <v>-0.23233816139521082</v>
      </c>
      <c r="Q86">
        <f t="shared" si="30"/>
        <v>-30.25865338456984</v>
      </c>
      <c r="R86">
        <f t="shared" si="31"/>
        <v>-1529.7539339262894</v>
      </c>
      <c r="S86">
        <f t="shared" si="32"/>
        <v>-1.5297539339262894E-2</v>
      </c>
      <c r="T86">
        <f t="shared" si="33"/>
        <v>-1.5297539339262893E-5</v>
      </c>
    </row>
    <row r="87" spans="1:20" x14ac:dyDescent="0.25">
      <c r="A87" s="5">
        <v>44170</v>
      </c>
      <c r="B87">
        <v>447.89</v>
      </c>
      <c r="C87">
        <v>486.91</v>
      </c>
      <c r="D87">
        <v>438.32</v>
      </c>
      <c r="E87">
        <v>445.99</v>
      </c>
      <c r="F87">
        <v>79.178799999999995</v>
      </c>
      <c r="G87">
        <v>0</v>
      </c>
      <c r="L87" t="s">
        <v>8</v>
      </c>
      <c r="M87" t="s">
        <v>8</v>
      </c>
      <c r="N87" t="s">
        <v>8</v>
      </c>
      <c r="P87">
        <f t="shared" si="29"/>
        <v>-0.68429718048981225</v>
      </c>
      <c r="Q87">
        <f t="shared" si="30"/>
        <v>-54.181829594566743</v>
      </c>
      <c r="R87">
        <f t="shared" si="31"/>
        <v>-1499.4952805417195</v>
      </c>
      <c r="S87">
        <f t="shared" si="32"/>
        <v>-1.4994952805417195E-2</v>
      </c>
      <c r="T87">
        <f t="shared" si="33"/>
        <v>-1.4994952805417195E-5</v>
      </c>
    </row>
    <row r="88" spans="1:20" x14ac:dyDescent="0.25">
      <c r="A88" s="5">
        <v>44169</v>
      </c>
      <c r="B88">
        <v>464.91</v>
      </c>
      <c r="C88">
        <v>475</v>
      </c>
      <c r="D88">
        <v>431.17</v>
      </c>
      <c r="E88">
        <v>447.86</v>
      </c>
      <c r="F88">
        <v>97.826539999999994</v>
      </c>
      <c r="G88">
        <v>0</v>
      </c>
      <c r="L88" t="s">
        <v>7</v>
      </c>
      <c r="M88" t="s">
        <v>8</v>
      </c>
      <c r="N88" t="s">
        <v>8</v>
      </c>
      <c r="P88">
        <f t="shared" si="29"/>
        <v>-0.23842117271275365</v>
      </c>
      <c r="Q88">
        <f t="shared" si="30"/>
        <v>-23.323918389231103</v>
      </c>
      <c r="R88">
        <f t="shared" si="31"/>
        <v>-1445.3134509471527</v>
      </c>
      <c r="S88">
        <f t="shared" si="32"/>
        <v>-1.4453134509471527E-2</v>
      </c>
      <c r="T88">
        <f t="shared" si="33"/>
        <v>-1.4453134509471527E-5</v>
      </c>
    </row>
    <row r="89" spans="1:20" x14ac:dyDescent="0.25">
      <c r="A89" s="5">
        <v>44168</v>
      </c>
      <c r="B89">
        <v>469.04</v>
      </c>
      <c r="C89">
        <v>510</v>
      </c>
      <c r="D89">
        <v>450.36</v>
      </c>
      <c r="E89">
        <v>468.51</v>
      </c>
      <c r="F89">
        <v>139.76419999999999</v>
      </c>
      <c r="G89">
        <v>0</v>
      </c>
      <c r="L89" t="s">
        <v>8</v>
      </c>
      <c r="M89" t="s">
        <v>8</v>
      </c>
      <c r="N89" t="s">
        <v>8</v>
      </c>
      <c r="P89">
        <f t="shared" si="29"/>
        <v>-0.39134808853118774</v>
      </c>
      <c r="Q89">
        <f t="shared" si="30"/>
        <v>-54.696452515090627</v>
      </c>
      <c r="R89">
        <f t="shared" si="31"/>
        <v>-1421.9895325579216</v>
      </c>
      <c r="S89">
        <f t="shared" si="32"/>
        <v>-1.4219895325579216E-2</v>
      </c>
      <c r="T89">
        <f t="shared" si="33"/>
        <v>-1.4219895325579216E-5</v>
      </c>
    </row>
    <row r="90" spans="1:20" x14ac:dyDescent="0.25">
      <c r="A90" s="5">
        <v>44167</v>
      </c>
      <c r="B90">
        <v>460.21</v>
      </c>
      <c r="C90">
        <v>487.22</v>
      </c>
      <c r="D90">
        <v>453.45</v>
      </c>
      <c r="E90">
        <v>473.43</v>
      </c>
      <c r="F90">
        <v>44.105089999999997</v>
      </c>
      <c r="G90">
        <v>0</v>
      </c>
      <c r="L90" t="s">
        <v>7</v>
      </c>
      <c r="M90" t="s">
        <v>8</v>
      </c>
      <c r="N90" t="s">
        <v>8</v>
      </c>
      <c r="P90">
        <f t="shared" si="29"/>
        <v>0.18329878590464882</v>
      </c>
      <c r="Q90">
        <f t="shared" si="30"/>
        <v>8.0844094492152667</v>
      </c>
      <c r="R90">
        <f t="shared" si="31"/>
        <v>-1367.293080042831</v>
      </c>
      <c r="S90">
        <f t="shared" si="32"/>
        <v>-1.367293080042831E-2</v>
      </c>
      <c r="T90">
        <f t="shared" si="33"/>
        <v>-1.367293080042831E-5</v>
      </c>
    </row>
    <row r="91" spans="1:20" x14ac:dyDescent="0.25">
      <c r="A91" s="5">
        <v>44166</v>
      </c>
      <c r="B91">
        <v>458.99</v>
      </c>
      <c r="C91">
        <v>508.3</v>
      </c>
      <c r="D91">
        <v>450.56</v>
      </c>
      <c r="E91">
        <v>468.99</v>
      </c>
      <c r="F91">
        <v>133.12476000000001</v>
      </c>
      <c r="G91">
        <v>0</v>
      </c>
      <c r="L91" t="s">
        <v>8</v>
      </c>
      <c r="M91" t="s">
        <v>8</v>
      </c>
      <c r="N91" t="s">
        <v>8</v>
      </c>
      <c r="P91">
        <f t="shared" si="29"/>
        <v>-0.36162105992379617</v>
      </c>
      <c r="Q91">
        <f t="shared" si="30"/>
        <v>-48.14071681330099</v>
      </c>
      <c r="R91">
        <f t="shared" si="31"/>
        <v>-1375.3774894920462</v>
      </c>
      <c r="S91">
        <f t="shared" si="32"/>
        <v>-1.3753774894920462E-2</v>
      </c>
      <c r="T91">
        <f t="shared" si="33"/>
        <v>-1.3753774894920462E-5</v>
      </c>
    </row>
    <row r="92" spans="1:20" x14ac:dyDescent="0.25">
      <c r="A92" s="5">
        <v>44165</v>
      </c>
      <c r="B92">
        <v>451.52</v>
      </c>
      <c r="C92">
        <v>469.99</v>
      </c>
      <c r="D92">
        <v>442.91</v>
      </c>
      <c r="E92">
        <v>454.12</v>
      </c>
      <c r="F92">
        <v>88.811449999999994</v>
      </c>
      <c r="G92">
        <v>0</v>
      </c>
      <c r="L92" t="s">
        <v>8</v>
      </c>
      <c r="M92" t="s">
        <v>7</v>
      </c>
      <c r="N92" t="s">
        <v>8</v>
      </c>
      <c r="P92">
        <f t="shared" si="29"/>
        <v>-0.17208271787297</v>
      </c>
      <c r="Q92">
        <f t="shared" si="30"/>
        <v>-15.28291569423938</v>
      </c>
      <c r="R92">
        <f t="shared" si="31"/>
        <v>-1327.2367726787452</v>
      </c>
      <c r="S92">
        <f t="shared" si="32"/>
        <v>-1.3272367726787452E-2</v>
      </c>
      <c r="T92">
        <f t="shared" si="33"/>
        <v>-1.3272367726787452E-5</v>
      </c>
    </row>
    <row r="93" spans="1:20" x14ac:dyDescent="0.25">
      <c r="A93" s="5">
        <v>44164</v>
      </c>
      <c r="B93">
        <v>444.52</v>
      </c>
      <c r="C93">
        <v>459.47</v>
      </c>
      <c r="D93">
        <v>436.78</v>
      </c>
      <c r="E93">
        <v>446</v>
      </c>
      <c r="F93">
        <v>119.34524999999999</v>
      </c>
      <c r="G93">
        <v>0</v>
      </c>
      <c r="L93" t="s">
        <v>8</v>
      </c>
      <c r="M93" t="s">
        <v>7</v>
      </c>
      <c r="N93" t="s">
        <v>8</v>
      </c>
      <c r="P93">
        <f t="shared" si="29"/>
        <v>-0.18730718378140104</v>
      </c>
      <c r="Q93">
        <f t="shared" si="30"/>
        <v>-22.354222675187252</v>
      </c>
      <c r="R93">
        <f t="shared" si="31"/>
        <v>-1311.9538569845058</v>
      </c>
      <c r="S93">
        <f t="shared" si="32"/>
        <v>-1.3119538569845058E-2</v>
      </c>
      <c r="T93">
        <f t="shared" si="33"/>
        <v>-1.3119538569845058E-5</v>
      </c>
    </row>
    <row r="94" spans="1:20" x14ac:dyDescent="0.25">
      <c r="A94" s="5">
        <v>44163</v>
      </c>
      <c r="B94">
        <v>461.3</v>
      </c>
      <c r="C94">
        <v>474.67</v>
      </c>
      <c r="D94">
        <v>415.29</v>
      </c>
      <c r="E94">
        <v>444.3</v>
      </c>
      <c r="F94">
        <v>281.46114</v>
      </c>
      <c r="G94">
        <v>0</v>
      </c>
      <c r="L94" t="s">
        <v>7</v>
      </c>
      <c r="M94" t="s">
        <v>7</v>
      </c>
      <c r="N94" t="s">
        <v>8</v>
      </c>
      <c r="P94">
        <f t="shared" si="29"/>
        <v>-2.2903334456046039E-2</v>
      </c>
      <c r="Q94">
        <f t="shared" si="30"/>
        <v>-6.4463986257999979</v>
      </c>
      <c r="R94">
        <f t="shared" si="31"/>
        <v>-1289.5996343093186</v>
      </c>
      <c r="S94">
        <f t="shared" si="32"/>
        <v>-1.2895996343093186E-2</v>
      </c>
      <c r="T94">
        <f t="shared" si="33"/>
        <v>-1.2895996343093186E-5</v>
      </c>
    </row>
    <row r="95" spans="1:20" x14ac:dyDescent="0.25">
      <c r="A95" s="5">
        <v>44162</v>
      </c>
      <c r="B95">
        <v>428.98</v>
      </c>
      <c r="C95">
        <v>543.03</v>
      </c>
      <c r="D95">
        <v>407.92</v>
      </c>
      <c r="E95">
        <v>461.3</v>
      </c>
      <c r="F95">
        <v>602.34353999999996</v>
      </c>
      <c r="G95">
        <v>0</v>
      </c>
      <c r="L95" t="s">
        <v>8</v>
      </c>
      <c r="M95" t="s">
        <v>8</v>
      </c>
      <c r="N95" t="s">
        <v>8</v>
      </c>
      <c r="P95">
        <f t="shared" si="29"/>
        <v>-0.20982902819924487</v>
      </c>
      <c r="Q95">
        <f t="shared" si="30"/>
        <v>-126.38915964029297</v>
      </c>
      <c r="R95">
        <f t="shared" si="31"/>
        <v>-1283.1532356835187</v>
      </c>
      <c r="S95">
        <f t="shared" si="32"/>
        <v>-1.2831532356835186E-2</v>
      </c>
      <c r="T95">
        <f t="shared" si="33"/>
        <v>-1.2831532356835185E-5</v>
      </c>
    </row>
    <row r="96" spans="1:20" x14ac:dyDescent="0.25">
      <c r="A96" s="5">
        <v>44161</v>
      </c>
      <c r="B96">
        <v>474.97</v>
      </c>
      <c r="C96">
        <v>474.97</v>
      </c>
      <c r="D96">
        <v>368.35</v>
      </c>
      <c r="E96">
        <v>414.72</v>
      </c>
      <c r="F96">
        <v>311.64974999999998</v>
      </c>
      <c r="G96">
        <v>0</v>
      </c>
      <c r="L96" t="s">
        <v>7</v>
      </c>
      <c r="M96" t="s">
        <v>7</v>
      </c>
      <c r="N96" t="s">
        <v>7</v>
      </c>
      <c r="P96">
        <f t="shared" si="29"/>
        <v>-0.1301819546051397</v>
      </c>
      <c r="Q96">
        <f t="shared" si="30"/>
        <v>-40.571173607203136</v>
      </c>
      <c r="R96">
        <f t="shared" si="31"/>
        <v>-1156.7640760432257</v>
      </c>
      <c r="S96">
        <f t="shared" si="32"/>
        <v>-1.1567640760432258E-2</v>
      </c>
      <c r="T96">
        <f t="shared" si="33"/>
        <v>-1.1567640760432258E-5</v>
      </c>
    </row>
    <row r="97" spans="1:20" x14ac:dyDescent="0.25">
      <c r="A97" s="5">
        <v>44160</v>
      </c>
      <c r="B97">
        <v>543.04</v>
      </c>
      <c r="C97">
        <v>555.26</v>
      </c>
      <c r="D97">
        <v>460.11</v>
      </c>
      <c r="E97">
        <v>489.87</v>
      </c>
      <c r="F97">
        <v>123.59523</v>
      </c>
      <c r="G97">
        <v>0</v>
      </c>
      <c r="L97" t="s">
        <v>7</v>
      </c>
      <c r="M97" t="s">
        <v>7</v>
      </c>
      <c r="N97" t="s">
        <v>8</v>
      </c>
      <c r="P97">
        <f t="shared" si="29"/>
        <v>-0.37446137677351554</v>
      </c>
      <c r="Q97">
        <f t="shared" si="30"/>
        <v>-46.281639988439309</v>
      </c>
      <c r="R97">
        <f t="shared" si="31"/>
        <v>-1116.1929024360227</v>
      </c>
      <c r="S97">
        <f t="shared" si="32"/>
        <v>-1.1161929024360227E-2</v>
      </c>
      <c r="T97">
        <f t="shared" si="33"/>
        <v>-1.1161929024360227E-5</v>
      </c>
    </row>
    <row r="98" spans="1:20" x14ac:dyDescent="0.25">
      <c r="A98" s="5">
        <v>44159</v>
      </c>
      <c r="B98">
        <v>535.44000000000005</v>
      </c>
      <c r="C98">
        <v>580</v>
      </c>
      <c r="D98">
        <v>512.65</v>
      </c>
      <c r="E98">
        <v>558.15</v>
      </c>
      <c r="F98">
        <v>390.99074000000002</v>
      </c>
      <c r="G98">
        <v>0</v>
      </c>
      <c r="L98" t="s">
        <v>7</v>
      </c>
      <c r="M98" t="s">
        <v>8</v>
      </c>
      <c r="N98" t="s">
        <v>8</v>
      </c>
      <c r="P98">
        <f t="shared" si="29"/>
        <v>0.35115070527097209</v>
      </c>
      <c r="Q98">
        <f t="shared" si="30"/>
        <v>137.29667410541927</v>
      </c>
      <c r="R98">
        <f t="shared" si="31"/>
        <v>-1069.9112624475833</v>
      </c>
      <c r="S98">
        <f t="shared" si="32"/>
        <v>-1.0699112624475834E-2</v>
      </c>
      <c r="T98">
        <f t="shared" si="33"/>
        <v>-1.0699112624475833E-5</v>
      </c>
    </row>
    <row r="99" spans="1:20" x14ac:dyDescent="0.25">
      <c r="A99" s="5">
        <v>44158</v>
      </c>
      <c r="B99">
        <v>467.09</v>
      </c>
      <c r="C99">
        <v>580</v>
      </c>
      <c r="D99">
        <v>461.52</v>
      </c>
      <c r="E99">
        <v>529</v>
      </c>
      <c r="F99">
        <v>247.01594</v>
      </c>
      <c r="G99">
        <v>0</v>
      </c>
      <c r="L99" t="s">
        <v>8</v>
      </c>
      <c r="M99" t="s">
        <v>8</v>
      </c>
      <c r="N99" t="s">
        <v>8</v>
      </c>
      <c r="P99">
        <f t="shared" si="29"/>
        <v>0.13909520594193125</v>
      </c>
      <c r="Q99">
        <f t="shared" si="30"/>
        <v>34.358733045239731</v>
      </c>
      <c r="R99">
        <f t="shared" si="31"/>
        <v>-1207.2079365530026</v>
      </c>
      <c r="S99">
        <f t="shared" si="32"/>
        <v>-1.2072079365530026E-2</v>
      </c>
      <c r="T99">
        <f t="shared" si="33"/>
        <v>-1.2072079365530026E-5</v>
      </c>
    </row>
    <row r="100" spans="1:20" x14ac:dyDescent="0.25">
      <c r="A100" s="5">
        <v>44157</v>
      </c>
      <c r="B100">
        <v>475.38</v>
      </c>
      <c r="C100">
        <v>521</v>
      </c>
      <c r="D100">
        <v>420.99</v>
      </c>
      <c r="E100">
        <v>482.26</v>
      </c>
      <c r="F100">
        <v>252.9717</v>
      </c>
      <c r="G100">
        <v>0</v>
      </c>
      <c r="L100" t="s">
        <v>8</v>
      </c>
      <c r="M100" t="s">
        <v>8</v>
      </c>
      <c r="N100" t="s">
        <v>8</v>
      </c>
      <c r="P100">
        <f t="shared" si="29"/>
        <v>0.22527747225277447</v>
      </c>
      <c r="Q100">
        <f t="shared" si="30"/>
        <v>56.988825127487189</v>
      </c>
      <c r="R100">
        <f t="shared" si="31"/>
        <v>-1241.5666695982422</v>
      </c>
      <c r="S100">
        <f t="shared" si="32"/>
        <v>-1.2415666695982423E-2</v>
      </c>
      <c r="T100">
        <f t="shared" si="33"/>
        <v>-1.2415666695982423E-5</v>
      </c>
    </row>
    <row r="101" spans="1:20" x14ac:dyDescent="0.25">
      <c r="A101" s="5">
        <v>44156</v>
      </c>
      <c r="B101">
        <v>469.47</v>
      </c>
      <c r="C101">
        <v>509.99</v>
      </c>
      <c r="D101">
        <v>461</v>
      </c>
      <c r="E101">
        <v>475.38</v>
      </c>
      <c r="F101">
        <v>228.03066999999999</v>
      </c>
      <c r="G101">
        <v>0</v>
      </c>
      <c r="L101" t="s">
        <v>8</v>
      </c>
      <c r="M101" t="s">
        <v>8</v>
      </c>
      <c r="N101" t="s">
        <v>8</v>
      </c>
      <c r="P101">
        <f t="shared" si="29"/>
        <v>-0.41294141661563616</v>
      </c>
      <c r="Q101">
        <f t="shared" si="30"/>
        <v>-94.16330790161264</v>
      </c>
      <c r="R101">
        <f t="shared" si="31"/>
        <v>-1298.5554947257294</v>
      </c>
      <c r="S101">
        <f t="shared" si="32"/>
        <v>-1.2985554947257295E-2</v>
      </c>
      <c r="T101">
        <f t="shared" si="33"/>
        <v>-1.2985554947257295E-5</v>
      </c>
    </row>
    <row r="102" spans="1:20" x14ac:dyDescent="0.25">
      <c r="A102" s="5">
        <v>44155</v>
      </c>
      <c r="B102">
        <v>438.04</v>
      </c>
      <c r="C102">
        <v>500</v>
      </c>
      <c r="D102">
        <v>414.72</v>
      </c>
      <c r="E102">
        <v>460.08</v>
      </c>
      <c r="F102">
        <v>468.65244999999999</v>
      </c>
      <c r="G102">
        <v>0</v>
      </c>
      <c r="L102" t="s">
        <v>7</v>
      </c>
      <c r="M102" t="s">
        <v>7</v>
      </c>
      <c r="N102" t="s">
        <v>8</v>
      </c>
      <c r="P102">
        <f t="shared" si="29"/>
        <v>6.3789868667916777E-2</v>
      </c>
      <c r="Q102">
        <f t="shared" si="30"/>
        <v>29.895278236397434</v>
      </c>
      <c r="R102">
        <f t="shared" si="31"/>
        <v>-1204.3921868241168</v>
      </c>
      <c r="S102">
        <f t="shared" si="32"/>
        <v>-1.2043921868241169E-2</v>
      </c>
      <c r="T102">
        <f t="shared" si="33"/>
        <v>-1.2043921868241169E-5</v>
      </c>
    </row>
    <row r="103" spans="1:20" x14ac:dyDescent="0.25">
      <c r="A103" s="5">
        <v>44154</v>
      </c>
      <c r="B103">
        <v>399</v>
      </c>
      <c r="C103">
        <v>521</v>
      </c>
      <c r="D103">
        <v>370</v>
      </c>
      <c r="E103">
        <v>436.77</v>
      </c>
      <c r="F103">
        <v>545.17245000000003</v>
      </c>
      <c r="G103">
        <v>0</v>
      </c>
      <c r="L103" t="s">
        <v>8</v>
      </c>
      <c r="M103" t="s">
        <v>8</v>
      </c>
      <c r="N103" t="s">
        <v>8</v>
      </c>
      <c r="P103">
        <f t="shared" si="29"/>
        <v>-0.11562913907284793</v>
      </c>
      <c r="Q103">
        <f t="shared" si="30"/>
        <v>-63.037821039735235</v>
      </c>
      <c r="R103">
        <f t="shared" si="31"/>
        <v>-1234.2874650605143</v>
      </c>
      <c r="S103">
        <f t="shared" si="32"/>
        <v>-1.2342874650605143E-2</v>
      </c>
      <c r="T103">
        <f t="shared" si="33"/>
        <v>-1.2342874650605143E-5</v>
      </c>
    </row>
    <row r="104" spans="1:20" x14ac:dyDescent="0.25">
      <c r="A104" s="5">
        <v>44153</v>
      </c>
      <c r="B104">
        <v>373.39</v>
      </c>
      <c r="C104">
        <v>420</v>
      </c>
      <c r="D104">
        <v>361.21</v>
      </c>
      <c r="E104">
        <v>396.63</v>
      </c>
      <c r="F104">
        <v>74.761039999999994</v>
      </c>
      <c r="G104">
        <v>0</v>
      </c>
      <c r="L104" t="s">
        <v>8</v>
      </c>
      <c r="M104" t="s">
        <v>7</v>
      </c>
      <c r="N104" t="s">
        <v>7</v>
      </c>
      <c r="P104">
        <f t="shared" si="29"/>
        <v>0.20496683109372354</v>
      </c>
      <c r="Q104">
        <f t="shared" si="30"/>
        <v>15.323533458071109</v>
      </c>
      <c r="R104">
        <f t="shared" si="31"/>
        <v>-1171.249644020779</v>
      </c>
      <c r="S104">
        <f t="shared" si="32"/>
        <v>-1.171249644020779E-2</v>
      </c>
      <c r="T104">
        <f t="shared" si="33"/>
        <v>-1.1712496440207789E-5</v>
      </c>
    </row>
    <row r="105" spans="1:20" x14ac:dyDescent="0.25">
      <c r="A105" s="5">
        <v>44152</v>
      </c>
      <c r="B105">
        <v>380.06</v>
      </c>
      <c r="C105">
        <v>420</v>
      </c>
      <c r="D105">
        <v>350.41</v>
      </c>
      <c r="E105">
        <v>373.39</v>
      </c>
      <c r="F105">
        <v>304.39397000000002</v>
      </c>
      <c r="G105">
        <v>0</v>
      </c>
      <c r="L105" t="s">
        <v>7</v>
      </c>
      <c r="M105" t="s">
        <v>7</v>
      </c>
      <c r="N105" t="s">
        <v>7</v>
      </c>
      <c r="P105">
        <f t="shared" si="29"/>
        <v>-0.33956028164966318</v>
      </c>
      <c r="Q105">
        <f t="shared" si="30"/>
        <v>-103.36010218565913</v>
      </c>
      <c r="R105">
        <f t="shared" si="31"/>
        <v>-1186.5731774788501</v>
      </c>
      <c r="S105">
        <f t="shared" si="32"/>
        <v>-1.1865731774788502E-2</v>
      </c>
      <c r="T105">
        <f t="shared" si="33"/>
        <v>-1.1865731774788501E-5</v>
      </c>
    </row>
    <row r="106" spans="1:20" x14ac:dyDescent="0.25">
      <c r="A106" s="5">
        <v>44151</v>
      </c>
      <c r="B106">
        <v>405.4</v>
      </c>
      <c r="C106">
        <v>475.65</v>
      </c>
      <c r="D106">
        <v>379.46</v>
      </c>
      <c r="E106">
        <v>379.46</v>
      </c>
      <c r="F106">
        <v>144.33895000000001</v>
      </c>
      <c r="G106">
        <v>0</v>
      </c>
      <c r="L106" t="s">
        <v>7</v>
      </c>
      <c r="M106" t="s">
        <v>7</v>
      </c>
      <c r="N106" t="s">
        <v>7</v>
      </c>
      <c r="P106">
        <f t="shared" si="29"/>
        <v>-1</v>
      </c>
      <c r="Q106">
        <f t="shared" si="30"/>
        <v>-144.33895000000001</v>
      </c>
      <c r="R106">
        <f t="shared" si="31"/>
        <v>-1083.213075293191</v>
      </c>
      <c r="S106">
        <f t="shared" si="32"/>
        <v>-1.083213075293191E-2</v>
      </c>
      <c r="T106">
        <f t="shared" si="33"/>
        <v>-1.083213075293191E-5</v>
      </c>
    </row>
    <row r="107" spans="1:20" x14ac:dyDescent="0.25">
      <c r="A107" s="5">
        <v>44150</v>
      </c>
      <c r="B107">
        <v>370.02</v>
      </c>
      <c r="C107">
        <v>565.04</v>
      </c>
      <c r="D107">
        <v>360.5</v>
      </c>
      <c r="E107">
        <v>400</v>
      </c>
      <c r="F107">
        <v>274.14067</v>
      </c>
      <c r="G107">
        <v>0</v>
      </c>
      <c r="L107" t="s">
        <v>8</v>
      </c>
      <c r="M107" t="s">
        <v>8</v>
      </c>
      <c r="N107" t="s">
        <v>8</v>
      </c>
      <c r="P107">
        <f t="shared" si="29"/>
        <v>-0.61376747824386424</v>
      </c>
      <c r="Q107">
        <f t="shared" si="30"/>
        <v>-168.25862770998336</v>
      </c>
      <c r="R107">
        <f t="shared" si="31"/>
        <v>-938.87412529319101</v>
      </c>
      <c r="S107">
        <f t="shared" si="32"/>
        <v>-9.3887412529319106E-3</v>
      </c>
      <c r="T107">
        <f t="shared" si="33"/>
        <v>-9.3887412529319113E-6</v>
      </c>
    </row>
    <row r="108" spans="1:20" x14ac:dyDescent="0.25">
      <c r="A108" s="5">
        <v>44149</v>
      </c>
      <c r="B108">
        <v>381.67</v>
      </c>
      <c r="C108">
        <v>391.07</v>
      </c>
      <c r="D108">
        <v>350.1</v>
      </c>
      <c r="E108">
        <v>369</v>
      </c>
      <c r="F108">
        <v>160.31331</v>
      </c>
      <c r="G108">
        <v>0</v>
      </c>
      <c r="L108" t="s">
        <v>7</v>
      </c>
      <c r="M108" t="s">
        <v>8</v>
      </c>
      <c r="N108" t="s">
        <v>8</v>
      </c>
      <c r="P108">
        <f t="shared" si="29"/>
        <v>-7.737368806443784E-2</v>
      </c>
      <c r="Q108">
        <f t="shared" si="30"/>
        <v>-12.404032040517524</v>
      </c>
      <c r="R108">
        <f t="shared" si="31"/>
        <v>-770.61549758320768</v>
      </c>
      <c r="S108">
        <f t="shared" si="32"/>
        <v>-7.7061549758320773E-3</v>
      </c>
      <c r="T108">
        <f t="shared" si="33"/>
        <v>-7.7061549758320776E-6</v>
      </c>
    </row>
    <row r="109" spans="1:20" x14ac:dyDescent="0.25">
      <c r="A109" s="5">
        <v>44148</v>
      </c>
      <c r="B109">
        <v>371.34</v>
      </c>
      <c r="C109">
        <v>399.96</v>
      </c>
      <c r="D109">
        <v>351.13</v>
      </c>
      <c r="E109">
        <v>368</v>
      </c>
      <c r="F109">
        <v>78.047200000000004</v>
      </c>
      <c r="G109">
        <v>0</v>
      </c>
      <c r="L109" t="s">
        <v>8</v>
      </c>
      <c r="M109" t="s">
        <v>8</v>
      </c>
      <c r="N109" t="s">
        <v>8</v>
      </c>
      <c r="P109">
        <f t="shared" si="29"/>
        <v>-0.30903133319680481</v>
      </c>
      <c r="Q109">
        <f t="shared" si="30"/>
        <v>-24.119030268277665</v>
      </c>
      <c r="R109">
        <f t="shared" si="31"/>
        <v>-758.21146554269012</v>
      </c>
      <c r="S109">
        <f t="shared" si="32"/>
        <v>-7.5821146554269012E-3</v>
      </c>
      <c r="T109">
        <f t="shared" si="33"/>
        <v>-7.5821146554269013E-6</v>
      </c>
    </row>
    <row r="110" spans="1:20" x14ac:dyDescent="0.25">
      <c r="A110" s="5">
        <v>44147</v>
      </c>
      <c r="B110">
        <v>387.28</v>
      </c>
      <c r="C110">
        <v>425</v>
      </c>
      <c r="D110">
        <v>327</v>
      </c>
      <c r="E110">
        <v>361.22</v>
      </c>
      <c r="F110">
        <v>91.385810000000006</v>
      </c>
      <c r="G110">
        <v>0</v>
      </c>
      <c r="L110" t="s">
        <v>7</v>
      </c>
      <c r="M110" t="s">
        <v>7</v>
      </c>
      <c r="N110" t="s">
        <v>8</v>
      </c>
      <c r="P110">
        <f t="shared" si="29"/>
        <v>-0.30163265306122394</v>
      </c>
      <c r="Q110">
        <f t="shared" si="30"/>
        <v>-27.56494432244893</v>
      </c>
      <c r="R110">
        <f t="shared" si="31"/>
        <v>-734.09243527441242</v>
      </c>
      <c r="S110">
        <f t="shared" si="32"/>
        <v>-7.3409243527441242E-3</v>
      </c>
      <c r="T110">
        <f t="shared" si="33"/>
        <v>-7.3409243527441241E-6</v>
      </c>
    </row>
    <row r="111" spans="1:20" x14ac:dyDescent="0.25">
      <c r="A111" s="5">
        <v>44146</v>
      </c>
      <c r="B111">
        <v>429.96</v>
      </c>
      <c r="C111">
        <v>438.8</v>
      </c>
      <c r="D111">
        <v>372.27</v>
      </c>
      <c r="E111">
        <v>392.62</v>
      </c>
      <c r="F111">
        <v>145.25192999999999</v>
      </c>
      <c r="G111">
        <v>0</v>
      </c>
      <c r="L111" t="s">
        <v>8</v>
      </c>
      <c r="M111" t="s">
        <v>8</v>
      </c>
      <c r="N111" t="s">
        <v>8</v>
      </c>
      <c r="P111">
        <f t="shared" si="29"/>
        <v>-0.38824590410341159</v>
      </c>
      <c r="Q111">
        <f t="shared" si="30"/>
        <v>-56.393466885615446</v>
      </c>
      <c r="R111">
        <f t="shared" si="31"/>
        <v>-706.5274909519635</v>
      </c>
      <c r="S111">
        <f t="shared" si="32"/>
        <v>-7.0652749095196348E-3</v>
      </c>
      <c r="T111">
        <f t="shared" si="33"/>
        <v>-7.0652749095196347E-6</v>
      </c>
    </row>
    <row r="112" spans="1:20" x14ac:dyDescent="0.25">
      <c r="A112" s="5">
        <v>44145</v>
      </c>
      <c r="B112">
        <v>378.67</v>
      </c>
      <c r="C112">
        <v>426.55</v>
      </c>
      <c r="D112">
        <v>372</v>
      </c>
      <c r="E112">
        <v>414.82</v>
      </c>
      <c r="F112">
        <v>129.24243999999999</v>
      </c>
      <c r="G112">
        <v>0</v>
      </c>
      <c r="L112" t="s">
        <v>7</v>
      </c>
      <c r="M112" t="s">
        <v>8</v>
      </c>
      <c r="N112" t="s">
        <v>8</v>
      </c>
      <c r="P112">
        <f t="shared" si="29"/>
        <v>0.56993583868010944</v>
      </c>
      <c r="Q112">
        <f t="shared" si="30"/>
        <v>73.659898434463713</v>
      </c>
      <c r="R112">
        <f t="shared" si="31"/>
        <v>-650.13402406634805</v>
      </c>
      <c r="S112">
        <f t="shared" si="32"/>
        <v>-6.5013402406634809E-3</v>
      </c>
      <c r="T112">
        <f t="shared" si="33"/>
        <v>-6.5013402406634811E-6</v>
      </c>
    </row>
    <row r="113" spans="1:20" x14ac:dyDescent="0.25">
      <c r="A113" s="5">
        <v>44144</v>
      </c>
      <c r="B113">
        <v>387.32</v>
      </c>
      <c r="C113">
        <v>426.17</v>
      </c>
      <c r="D113">
        <v>372.73</v>
      </c>
      <c r="E113">
        <v>377</v>
      </c>
      <c r="F113">
        <v>118.66403</v>
      </c>
      <c r="G113">
        <v>0</v>
      </c>
      <c r="L113" t="s">
        <v>8</v>
      </c>
      <c r="M113" t="s">
        <v>8</v>
      </c>
      <c r="N113" t="s">
        <v>8</v>
      </c>
      <c r="P113">
        <f t="shared" si="29"/>
        <v>-0.84019461077844382</v>
      </c>
      <c r="Q113">
        <f t="shared" si="30"/>
        <v>-99.700878499251573</v>
      </c>
      <c r="R113">
        <f t="shared" si="31"/>
        <v>-723.79392250081173</v>
      </c>
      <c r="S113">
        <f t="shared" si="32"/>
        <v>-7.2379392250081177E-3</v>
      </c>
      <c r="T113">
        <f t="shared" si="33"/>
        <v>-7.237939225008118E-6</v>
      </c>
    </row>
    <row r="114" spans="1:20" x14ac:dyDescent="0.25">
      <c r="A114" s="5">
        <v>44143</v>
      </c>
      <c r="B114">
        <v>345.01</v>
      </c>
      <c r="C114">
        <v>405</v>
      </c>
      <c r="D114">
        <v>345.01</v>
      </c>
      <c r="E114">
        <v>387.17</v>
      </c>
      <c r="F114">
        <v>291.39733999999999</v>
      </c>
      <c r="G114">
        <v>0</v>
      </c>
      <c r="L114" t="s">
        <v>7</v>
      </c>
      <c r="M114" t="s">
        <v>8</v>
      </c>
      <c r="N114" t="s">
        <v>8</v>
      </c>
      <c r="P114">
        <f t="shared" si="29"/>
        <v>0.40556759459910047</v>
      </c>
      <c r="Q114">
        <f t="shared" si="30"/>
        <v>118.18131825637623</v>
      </c>
      <c r="R114">
        <f t="shared" si="31"/>
        <v>-624.0930440015602</v>
      </c>
      <c r="S114">
        <f t="shared" si="32"/>
        <v>-6.2409304400156016E-3</v>
      </c>
      <c r="T114">
        <f t="shared" si="33"/>
        <v>-6.2409304400156016E-6</v>
      </c>
    </row>
    <row r="115" spans="1:20" x14ac:dyDescent="0.25">
      <c r="A115" s="5">
        <v>44142</v>
      </c>
      <c r="B115">
        <v>387.37</v>
      </c>
      <c r="C115">
        <v>413.72</v>
      </c>
      <c r="D115">
        <v>340</v>
      </c>
      <c r="E115">
        <v>356.68</v>
      </c>
      <c r="F115">
        <v>669.93371999999999</v>
      </c>
      <c r="G115">
        <v>0</v>
      </c>
      <c r="L115" t="s">
        <v>8</v>
      </c>
      <c r="M115" t="s">
        <v>7</v>
      </c>
      <c r="N115" t="s">
        <v>8</v>
      </c>
      <c r="P115">
        <f t="shared" si="29"/>
        <v>-0.54747693977211065</v>
      </c>
      <c r="Q115">
        <f t="shared" si="30"/>
        <v>-366.77326287574601</v>
      </c>
      <c r="R115">
        <f t="shared" si="31"/>
        <v>-742.27436225793645</v>
      </c>
      <c r="S115">
        <f t="shared" si="32"/>
        <v>-7.4227436225793647E-3</v>
      </c>
      <c r="T115">
        <f t="shared" si="33"/>
        <v>-7.4227436225793648E-6</v>
      </c>
    </row>
    <row r="116" spans="1:20" x14ac:dyDescent="0.25">
      <c r="A116" s="5">
        <v>44141</v>
      </c>
      <c r="B116">
        <v>345.13</v>
      </c>
      <c r="C116">
        <v>406</v>
      </c>
      <c r="D116">
        <v>328.46</v>
      </c>
      <c r="E116">
        <v>387.38</v>
      </c>
      <c r="F116">
        <v>773.09734000000003</v>
      </c>
      <c r="G116">
        <v>0</v>
      </c>
      <c r="L116" t="s">
        <v>8</v>
      </c>
      <c r="M116" t="s">
        <v>8</v>
      </c>
      <c r="N116" t="s">
        <v>8</v>
      </c>
      <c r="P116">
        <f t="shared" si="29"/>
        <v>0.51973175135413985</v>
      </c>
      <c r="Q116">
        <f t="shared" si="30"/>
        <v>401.80323448542691</v>
      </c>
      <c r="R116">
        <f t="shared" si="31"/>
        <v>-375.50109938219038</v>
      </c>
      <c r="S116">
        <f t="shared" si="32"/>
        <v>-3.7550109938219037E-3</v>
      </c>
      <c r="T116">
        <f t="shared" si="33"/>
        <v>-3.7550109938219036E-6</v>
      </c>
    </row>
    <row r="117" spans="1:20" x14ac:dyDescent="0.25">
      <c r="A117" s="5">
        <v>44140</v>
      </c>
      <c r="B117">
        <v>328.51</v>
      </c>
      <c r="C117">
        <v>337.52</v>
      </c>
      <c r="D117">
        <v>299</v>
      </c>
      <c r="E117">
        <v>326.70999999999998</v>
      </c>
      <c r="F117">
        <v>90.675560000000004</v>
      </c>
      <c r="G117">
        <v>0</v>
      </c>
      <c r="L117" t="s">
        <v>8</v>
      </c>
      <c r="M117" t="s">
        <v>7</v>
      </c>
      <c r="N117" t="s">
        <v>7</v>
      </c>
      <c r="P117">
        <f t="shared" si="29"/>
        <v>0.43873312564901312</v>
      </c>
      <c r="Q117">
        <f t="shared" si="30"/>
        <v>39.782371858774631</v>
      </c>
      <c r="R117">
        <f t="shared" si="31"/>
        <v>-777.30433386761729</v>
      </c>
      <c r="S117">
        <f t="shared" si="32"/>
        <v>-7.7730433386761725E-3</v>
      </c>
      <c r="T117">
        <f t="shared" si="33"/>
        <v>-7.7730433386761722E-6</v>
      </c>
    </row>
    <row r="118" spans="1:20" x14ac:dyDescent="0.25">
      <c r="A118" s="5">
        <v>44139</v>
      </c>
      <c r="B118">
        <v>340.02</v>
      </c>
      <c r="C118">
        <v>344.97</v>
      </c>
      <c r="D118">
        <v>293.86</v>
      </c>
      <c r="E118">
        <v>319.66000000000003</v>
      </c>
      <c r="F118">
        <v>144.6551</v>
      </c>
      <c r="G118">
        <v>0</v>
      </c>
      <c r="L118" t="s">
        <v>7</v>
      </c>
      <c r="M118" t="s">
        <v>7</v>
      </c>
      <c r="N118" t="s">
        <v>7</v>
      </c>
      <c r="P118">
        <f t="shared" si="29"/>
        <v>9.5871649383684008E-3</v>
      </c>
      <c r="Q118">
        <f t="shared" si="30"/>
        <v>1.3868323028761749</v>
      </c>
      <c r="R118">
        <f t="shared" si="31"/>
        <v>-817.08670572639187</v>
      </c>
      <c r="S118">
        <f t="shared" si="32"/>
        <v>-8.1708670572639194E-3</v>
      </c>
      <c r="T118">
        <f t="shared" si="33"/>
        <v>-8.1708670572639196E-6</v>
      </c>
    </row>
    <row r="119" spans="1:20" x14ac:dyDescent="0.25">
      <c r="A119" s="5">
        <v>44138</v>
      </c>
      <c r="B119">
        <v>329.29</v>
      </c>
      <c r="C119">
        <v>348.95</v>
      </c>
      <c r="D119">
        <v>316.31</v>
      </c>
      <c r="E119">
        <v>343.9</v>
      </c>
      <c r="F119">
        <v>78.983519999999999</v>
      </c>
      <c r="G119">
        <v>0</v>
      </c>
      <c r="L119" t="s">
        <v>7</v>
      </c>
      <c r="M119" t="s">
        <v>7</v>
      </c>
      <c r="N119" t="s">
        <v>8</v>
      </c>
      <c r="P119">
        <f t="shared" si="29"/>
        <v>0.69056372549019529</v>
      </c>
      <c r="Q119">
        <f t="shared" si="30"/>
        <v>54.543153823529352</v>
      </c>
      <c r="R119">
        <f t="shared" si="31"/>
        <v>-818.47353802926807</v>
      </c>
      <c r="S119">
        <f t="shared" si="32"/>
        <v>-8.1847353802926813E-3</v>
      </c>
      <c r="T119">
        <f t="shared" si="33"/>
        <v>-8.184735380292681E-6</v>
      </c>
    </row>
    <row r="120" spans="1:20" x14ac:dyDescent="0.25">
      <c r="A120" s="5">
        <v>44137</v>
      </c>
      <c r="B120">
        <v>372</v>
      </c>
      <c r="C120">
        <v>399.6</v>
      </c>
      <c r="D120">
        <v>324.45</v>
      </c>
      <c r="E120">
        <v>330.24</v>
      </c>
      <c r="F120">
        <v>169.59720999999999</v>
      </c>
      <c r="G120">
        <v>0</v>
      </c>
      <c r="L120" t="s">
        <v>7</v>
      </c>
      <c r="M120" t="s">
        <v>7</v>
      </c>
      <c r="N120" t="s">
        <v>8</v>
      </c>
      <c r="P120">
        <f t="shared" si="29"/>
        <v>-0.84590818363273401</v>
      </c>
      <c r="Q120">
        <f t="shared" si="30"/>
        <v>-143.46366786027934</v>
      </c>
      <c r="R120">
        <f t="shared" si="31"/>
        <v>-873.01669185279741</v>
      </c>
      <c r="S120">
        <f t="shared" si="32"/>
        <v>-8.7301669185279734E-3</v>
      </c>
      <c r="T120">
        <f t="shared" si="33"/>
        <v>-8.7301669185279729E-6</v>
      </c>
    </row>
    <row r="121" spans="1:20" x14ac:dyDescent="0.25">
      <c r="A121" s="5">
        <v>44136</v>
      </c>
      <c r="B121">
        <v>350.06</v>
      </c>
      <c r="C121">
        <v>413</v>
      </c>
      <c r="D121">
        <v>349.89</v>
      </c>
      <c r="E121">
        <v>373</v>
      </c>
      <c r="F121">
        <v>262.93633</v>
      </c>
      <c r="G121">
        <v>0</v>
      </c>
      <c r="L121" t="s">
        <v>8</v>
      </c>
      <c r="M121" t="s">
        <v>8</v>
      </c>
      <c r="N121" t="s">
        <v>8</v>
      </c>
      <c r="P121">
        <f t="shared" si="29"/>
        <v>-0.2676279511963236</v>
      </c>
      <c r="Q121">
        <f t="shared" si="30"/>
        <v>-70.369111292980435</v>
      </c>
      <c r="R121">
        <f t="shared" si="31"/>
        <v>-729.55302399251809</v>
      </c>
      <c r="S121">
        <f t="shared" si="32"/>
        <v>-7.295530239925181E-3</v>
      </c>
      <c r="T121">
        <f t="shared" si="33"/>
        <v>-7.295530239925181E-6</v>
      </c>
    </row>
    <row r="122" spans="1:20" x14ac:dyDescent="0.25">
      <c r="A122" s="5">
        <v>44135</v>
      </c>
      <c r="B122">
        <v>329.18</v>
      </c>
      <c r="C122">
        <v>383.66</v>
      </c>
      <c r="D122">
        <v>320</v>
      </c>
      <c r="E122">
        <v>349.97</v>
      </c>
      <c r="F122">
        <v>232.08674999999999</v>
      </c>
      <c r="G122">
        <v>0</v>
      </c>
      <c r="L122" t="s">
        <v>7</v>
      </c>
      <c r="M122" t="s">
        <v>7</v>
      </c>
      <c r="N122" t="s">
        <v>8</v>
      </c>
      <c r="P122">
        <f t="shared" si="29"/>
        <v>-5.8435438265786503E-2</v>
      </c>
      <c r="Q122">
        <f t="shared" si="30"/>
        <v>-13.562090951932026</v>
      </c>
      <c r="R122">
        <f t="shared" si="31"/>
        <v>-659.1839126995377</v>
      </c>
      <c r="S122">
        <f t="shared" si="32"/>
        <v>-6.5918391269953773E-3</v>
      </c>
      <c r="T122">
        <f t="shared" si="33"/>
        <v>-6.5918391269953772E-6</v>
      </c>
    </row>
    <row r="123" spans="1:20" x14ac:dyDescent="0.25">
      <c r="A123" s="5">
        <v>44134</v>
      </c>
      <c r="B123">
        <v>398.28</v>
      </c>
      <c r="C123">
        <v>421.99</v>
      </c>
      <c r="D123">
        <v>302.14999999999998</v>
      </c>
      <c r="E123">
        <v>331.9</v>
      </c>
      <c r="F123">
        <v>462.11347999999998</v>
      </c>
      <c r="G123">
        <v>0</v>
      </c>
      <c r="L123" t="s">
        <v>8</v>
      </c>
      <c r="M123" t="s">
        <v>8</v>
      </c>
      <c r="N123" t="s">
        <v>8</v>
      </c>
      <c r="P123">
        <f t="shared" si="29"/>
        <v>-0.50350467289719636</v>
      </c>
      <c r="Q123">
        <f t="shared" si="30"/>
        <v>-232.67629658878508</v>
      </c>
      <c r="R123">
        <f t="shared" si="31"/>
        <v>-645.62182174760562</v>
      </c>
      <c r="S123">
        <f t="shared" si="32"/>
        <v>-6.4562182174760559E-3</v>
      </c>
      <c r="T123">
        <f t="shared" si="33"/>
        <v>-6.4562182174760558E-6</v>
      </c>
    </row>
    <row r="124" spans="1:20" x14ac:dyDescent="0.25">
      <c r="A124" s="5">
        <v>44133</v>
      </c>
      <c r="B124">
        <v>501.17</v>
      </c>
      <c r="C124">
        <v>501.17</v>
      </c>
      <c r="D124">
        <v>351</v>
      </c>
      <c r="E124">
        <v>398.28</v>
      </c>
      <c r="F124">
        <v>1115.1237100000001</v>
      </c>
      <c r="G124">
        <v>0</v>
      </c>
      <c r="P124">
        <f t="shared" si="29"/>
        <v>-0.37031364453619275</v>
      </c>
      <c r="Q124">
        <f t="shared" si="30"/>
        <v>-412.94552515882054</v>
      </c>
      <c r="R124">
        <f t="shared" si="31"/>
        <v>-412.94552515882054</v>
      </c>
      <c r="S124">
        <f t="shared" si="32"/>
        <v>-4.1294552515882058E-3</v>
      </c>
      <c r="T124">
        <f t="shared" si="33"/>
        <v>-4.1294552515882055E-6</v>
      </c>
    </row>
    <row r="125" spans="1:20" x14ac:dyDescent="0.25">
      <c r="A125" s="5"/>
      <c r="B125" s="1"/>
      <c r="C125" s="2"/>
      <c r="D125" s="2"/>
      <c r="E125" s="1"/>
      <c r="F125" s="1"/>
      <c r="P125">
        <f t="shared" si="29"/>
        <v>0</v>
      </c>
      <c r="Q125">
        <f t="shared" si="30"/>
        <v>0</v>
      </c>
      <c r="R125">
        <f t="shared" si="31"/>
        <v>0</v>
      </c>
      <c r="S125">
        <f t="shared" si="32"/>
        <v>0</v>
      </c>
      <c r="T125">
        <f t="shared" si="33"/>
        <v>0</v>
      </c>
    </row>
    <row r="126" spans="1:20" x14ac:dyDescent="0.25">
      <c r="A126" s="5"/>
      <c r="B126" s="1"/>
      <c r="C126" s="2"/>
      <c r="D126" s="2"/>
      <c r="E126" s="1"/>
      <c r="F126" s="1"/>
      <c r="P126">
        <f t="shared" si="29"/>
        <v>0</v>
      </c>
      <c r="Q126">
        <f t="shared" si="30"/>
        <v>0</v>
      </c>
      <c r="R126">
        <f t="shared" si="31"/>
        <v>0</v>
      </c>
      <c r="S126">
        <f t="shared" si="32"/>
        <v>0</v>
      </c>
      <c r="T126">
        <f t="shared" si="33"/>
        <v>0</v>
      </c>
    </row>
    <row r="127" spans="1:20" x14ac:dyDescent="0.25">
      <c r="A127" s="5"/>
      <c r="P127">
        <f t="shared" si="29"/>
        <v>0</v>
      </c>
      <c r="Q127">
        <f t="shared" si="30"/>
        <v>0</v>
      </c>
      <c r="R127">
        <f t="shared" si="31"/>
        <v>0</v>
      </c>
      <c r="S127">
        <f t="shared" si="32"/>
        <v>0</v>
      </c>
      <c r="T127">
        <f t="shared" si="33"/>
        <v>0</v>
      </c>
    </row>
    <row r="128" spans="1:20" x14ac:dyDescent="0.25">
      <c r="A128" s="5"/>
      <c r="P128">
        <f t="shared" si="29"/>
        <v>0</v>
      </c>
      <c r="Q128">
        <f t="shared" si="30"/>
        <v>0</v>
      </c>
      <c r="R128">
        <f t="shared" si="31"/>
        <v>0</v>
      </c>
      <c r="S128">
        <f t="shared" si="32"/>
        <v>0</v>
      </c>
      <c r="T128">
        <f t="shared" si="33"/>
        <v>0</v>
      </c>
    </row>
    <row r="129" spans="1:20" x14ac:dyDescent="0.25">
      <c r="A129" s="5"/>
      <c r="P129">
        <f t="shared" si="29"/>
        <v>0</v>
      </c>
      <c r="Q129">
        <f t="shared" si="30"/>
        <v>0</v>
      </c>
      <c r="R129">
        <f t="shared" si="31"/>
        <v>0</v>
      </c>
      <c r="S129">
        <f t="shared" si="32"/>
        <v>0</v>
      </c>
      <c r="T129">
        <f t="shared" si="33"/>
        <v>0</v>
      </c>
    </row>
    <row r="130" spans="1:20" x14ac:dyDescent="0.25">
      <c r="A130" s="5"/>
      <c r="P130">
        <f t="shared" si="29"/>
        <v>0</v>
      </c>
      <c r="Q130">
        <f t="shared" si="30"/>
        <v>0</v>
      </c>
      <c r="R130">
        <f t="shared" si="31"/>
        <v>0</v>
      </c>
      <c r="S130">
        <f t="shared" si="32"/>
        <v>0</v>
      </c>
      <c r="T130">
        <f t="shared" si="33"/>
        <v>0</v>
      </c>
    </row>
    <row r="131" spans="1:20" x14ac:dyDescent="0.25">
      <c r="A131" s="5"/>
      <c r="P131">
        <f t="shared" si="29"/>
        <v>0</v>
      </c>
      <c r="Q131">
        <f t="shared" si="30"/>
        <v>0</v>
      </c>
      <c r="R131">
        <f t="shared" si="31"/>
        <v>0</v>
      </c>
      <c r="S131">
        <f t="shared" si="32"/>
        <v>0</v>
      </c>
      <c r="T131">
        <f t="shared" si="33"/>
        <v>0</v>
      </c>
    </row>
    <row r="132" spans="1:20" x14ac:dyDescent="0.25">
      <c r="A132" s="5"/>
      <c r="P132">
        <f t="shared" si="29"/>
        <v>0</v>
      </c>
      <c r="Q132">
        <f t="shared" si="30"/>
        <v>0</v>
      </c>
      <c r="R132">
        <f t="shared" si="31"/>
        <v>0</v>
      </c>
      <c r="S132">
        <f t="shared" si="32"/>
        <v>0</v>
      </c>
      <c r="T132">
        <f t="shared" si="33"/>
        <v>0</v>
      </c>
    </row>
    <row r="133" spans="1:20" x14ac:dyDescent="0.25">
      <c r="A133" s="5"/>
      <c r="P133">
        <f t="shared" si="29"/>
        <v>0</v>
      </c>
      <c r="Q133">
        <f t="shared" si="30"/>
        <v>0</v>
      </c>
      <c r="R133">
        <f t="shared" si="31"/>
        <v>0</v>
      </c>
      <c r="S133">
        <f t="shared" si="32"/>
        <v>0</v>
      </c>
      <c r="T133">
        <f t="shared" si="33"/>
        <v>0</v>
      </c>
    </row>
    <row r="134" spans="1:20" x14ac:dyDescent="0.25">
      <c r="A134" s="5"/>
      <c r="P134">
        <f t="shared" si="29"/>
        <v>0</v>
      </c>
      <c r="Q134">
        <f t="shared" si="30"/>
        <v>0</v>
      </c>
      <c r="R134">
        <f t="shared" si="31"/>
        <v>0</v>
      </c>
      <c r="S134">
        <f t="shared" si="32"/>
        <v>0</v>
      </c>
      <c r="T134">
        <f t="shared" si="33"/>
        <v>0</v>
      </c>
    </row>
    <row r="135" spans="1:20" x14ac:dyDescent="0.25">
      <c r="A135" s="5"/>
      <c r="P135">
        <f t="shared" si="29"/>
        <v>0</v>
      </c>
      <c r="Q135">
        <f t="shared" si="30"/>
        <v>0</v>
      </c>
      <c r="R135">
        <f t="shared" si="31"/>
        <v>0</v>
      </c>
      <c r="S135">
        <f t="shared" si="32"/>
        <v>0</v>
      </c>
      <c r="T135">
        <f t="shared" si="33"/>
        <v>0</v>
      </c>
    </row>
    <row r="136" spans="1:20" x14ac:dyDescent="0.25">
      <c r="A136" s="5"/>
      <c r="P136">
        <f t="shared" si="29"/>
        <v>0</v>
      </c>
      <c r="Q136">
        <f t="shared" si="30"/>
        <v>0</v>
      </c>
      <c r="R136">
        <f t="shared" si="31"/>
        <v>0</v>
      </c>
      <c r="S136">
        <f t="shared" si="32"/>
        <v>0</v>
      </c>
      <c r="T136">
        <f t="shared" si="33"/>
        <v>0</v>
      </c>
    </row>
    <row r="137" spans="1:20" x14ac:dyDescent="0.25">
      <c r="A137" s="5"/>
      <c r="P137">
        <f t="shared" si="29"/>
        <v>0</v>
      </c>
      <c r="Q137">
        <f t="shared" si="30"/>
        <v>0</v>
      </c>
      <c r="R137">
        <f t="shared" si="31"/>
        <v>0</v>
      </c>
      <c r="S137">
        <f t="shared" si="32"/>
        <v>0</v>
      </c>
      <c r="T137">
        <f t="shared" si="33"/>
        <v>0</v>
      </c>
    </row>
    <row r="138" spans="1:20" x14ac:dyDescent="0.25">
      <c r="A138" s="5"/>
      <c r="C138"/>
      <c r="D138"/>
      <c r="P138">
        <f t="shared" si="29"/>
        <v>0</v>
      </c>
      <c r="Q138">
        <f t="shared" si="30"/>
        <v>0</v>
      </c>
      <c r="R138">
        <f t="shared" si="31"/>
        <v>0</v>
      </c>
      <c r="S138">
        <f t="shared" si="32"/>
        <v>0</v>
      </c>
      <c r="T138">
        <f t="shared" si="33"/>
        <v>0</v>
      </c>
    </row>
    <row r="139" spans="1:20" x14ac:dyDescent="0.25">
      <c r="A139" s="5"/>
      <c r="C139"/>
      <c r="D139"/>
      <c r="P139">
        <f t="shared" ref="P139:P202" si="34">IF(C139=D139,0,((E139-D139)-(C139-E139))/(C139-D139))</f>
        <v>0</v>
      </c>
      <c r="Q139">
        <f t="shared" ref="Q139:Q202" si="35">F139*P139</f>
        <v>0</v>
      </c>
      <c r="R139">
        <f t="shared" ref="R139:R202" si="36">R140+Q139</f>
        <v>0</v>
      </c>
      <c r="S139">
        <f t="shared" ref="S139:S202" si="37">R139/100000</f>
        <v>0</v>
      </c>
      <c r="T139">
        <f t="shared" ref="T139:T202" si="38">S139/1000</f>
        <v>0</v>
      </c>
    </row>
    <row r="140" spans="1:20" x14ac:dyDescent="0.25">
      <c r="A140" s="5"/>
      <c r="C140"/>
      <c r="D140"/>
      <c r="P140">
        <f t="shared" si="34"/>
        <v>0</v>
      </c>
      <c r="Q140">
        <f t="shared" si="35"/>
        <v>0</v>
      </c>
      <c r="R140">
        <f t="shared" si="36"/>
        <v>0</v>
      </c>
      <c r="S140">
        <f t="shared" si="37"/>
        <v>0</v>
      </c>
      <c r="T140">
        <f t="shared" si="38"/>
        <v>0</v>
      </c>
    </row>
    <row r="141" spans="1:20" x14ac:dyDescent="0.25">
      <c r="A141" s="5"/>
      <c r="C141"/>
      <c r="D141"/>
      <c r="P141">
        <f t="shared" si="34"/>
        <v>0</v>
      </c>
      <c r="Q141">
        <f t="shared" si="35"/>
        <v>0</v>
      </c>
      <c r="R141">
        <f t="shared" si="36"/>
        <v>0</v>
      </c>
      <c r="S141">
        <f t="shared" si="37"/>
        <v>0</v>
      </c>
      <c r="T141">
        <f t="shared" si="38"/>
        <v>0</v>
      </c>
    </row>
    <row r="142" spans="1:20" x14ac:dyDescent="0.25">
      <c r="A142" s="5"/>
      <c r="C142"/>
      <c r="D142"/>
      <c r="P142">
        <f t="shared" si="34"/>
        <v>0</v>
      </c>
      <c r="Q142">
        <f t="shared" si="35"/>
        <v>0</v>
      </c>
      <c r="R142">
        <f t="shared" si="36"/>
        <v>0</v>
      </c>
      <c r="S142">
        <f t="shared" si="37"/>
        <v>0</v>
      </c>
      <c r="T142">
        <f t="shared" si="38"/>
        <v>0</v>
      </c>
    </row>
    <row r="143" spans="1:20" x14ac:dyDescent="0.25">
      <c r="A143" s="5"/>
      <c r="C143"/>
      <c r="D143"/>
      <c r="P143">
        <f t="shared" si="34"/>
        <v>0</v>
      </c>
      <c r="Q143">
        <f t="shared" si="35"/>
        <v>0</v>
      </c>
      <c r="R143">
        <f t="shared" si="36"/>
        <v>0</v>
      </c>
      <c r="S143">
        <f t="shared" si="37"/>
        <v>0</v>
      </c>
      <c r="T143">
        <f t="shared" si="38"/>
        <v>0</v>
      </c>
    </row>
    <row r="144" spans="1:20" x14ac:dyDescent="0.25">
      <c r="A144" s="5"/>
      <c r="C144"/>
      <c r="D144"/>
      <c r="P144">
        <f t="shared" si="34"/>
        <v>0</v>
      </c>
      <c r="Q144">
        <f t="shared" si="35"/>
        <v>0</v>
      </c>
      <c r="R144">
        <f t="shared" si="36"/>
        <v>0</v>
      </c>
      <c r="S144">
        <f t="shared" si="37"/>
        <v>0</v>
      </c>
      <c r="T144">
        <f t="shared" si="38"/>
        <v>0</v>
      </c>
    </row>
    <row r="145" spans="1:20" x14ac:dyDescent="0.25">
      <c r="A145" s="5"/>
      <c r="C145"/>
      <c r="D145"/>
      <c r="P145">
        <f t="shared" si="34"/>
        <v>0</v>
      </c>
      <c r="Q145">
        <f t="shared" si="35"/>
        <v>0</v>
      </c>
      <c r="R145">
        <f t="shared" si="36"/>
        <v>0</v>
      </c>
      <c r="S145">
        <f t="shared" si="37"/>
        <v>0</v>
      </c>
      <c r="T145">
        <f t="shared" si="38"/>
        <v>0</v>
      </c>
    </row>
    <row r="146" spans="1:20" x14ac:dyDescent="0.25">
      <c r="A146" s="5"/>
      <c r="C146"/>
      <c r="D146"/>
      <c r="P146">
        <f t="shared" si="34"/>
        <v>0</v>
      </c>
      <c r="Q146">
        <f t="shared" si="35"/>
        <v>0</v>
      </c>
      <c r="R146">
        <f t="shared" si="36"/>
        <v>0</v>
      </c>
      <c r="S146">
        <f t="shared" si="37"/>
        <v>0</v>
      </c>
      <c r="T146">
        <f t="shared" si="38"/>
        <v>0</v>
      </c>
    </row>
    <row r="147" spans="1:20" x14ac:dyDescent="0.25">
      <c r="A147" s="5"/>
      <c r="C147"/>
      <c r="D147"/>
      <c r="P147">
        <f t="shared" si="34"/>
        <v>0</v>
      </c>
      <c r="Q147">
        <f t="shared" si="35"/>
        <v>0</v>
      </c>
      <c r="R147">
        <f t="shared" si="36"/>
        <v>0</v>
      </c>
      <c r="S147">
        <f t="shared" si="37"/>
        <v>0</v>
      </c>
      <c r="T147">
        <f t="shared" si="38"/>
        <v>0</v>
      </c>
    </row>
    <row r="148" spans="1:20" x14ac:dyDescent="0.25">
      <c r="A148" s="5"/>
      <c r="C148"/>
      <c r="D148"/>
      <c r="P148">
        <f t="shared" si="34"/>
        <v>0</v>
      </c>
      <c r="Q148">
        <f t="shared" si="35"/>
        <v>0</v>
      </c>
      <c r="R148">
        <f t="shared" si="36"/>
        <v>0</v>
      </c>
      <c r="S148">
        <f t="shared" si="37"/>
        <v>0</v>
      </c>
      <c r="T148">
        <f t="shared" si="38"/>
        <v>0</v>
      </c>
    </row>
    <row r="149" spans="1:20" x14ac:dyDescent="0.25">
      <c r="A149" s="5"/>
      <c r="C149"/>
      <c r="D149"/>
      <c r="P149">
        <f t="shared" si="34"/>
        <v>0</v>
      </c>
      <c r="Q149">
        <f t="shared" si="35"/>
        <v>0</v>
      </c>
      <c r="R149">
        <f t="shared" si="36"/>
        <v>0</v>
      </c>
      <c r="S149">
        <f t="shared" si="37"/>
        <v>0</v>
      </c>
      <c r="T149">
        <f t="shared" si="38"/>
        <v>0</v>
      </c>
    </row>
    <row r="150" spans="1:20" x14ac:dyDescent="0.25">
      <c r="A150" s="5"/>
      <c r="C150"/>
      <c r="D150"/>
      <c r="P150">
        <f t="shared" si="34"/>
        <v>0</v>
      </c>
      <c r="Q150">
        <f t="shared" si="35"/>
        <v>0</v>
      </c>
      <c r="R150">
        <f t="shared" si="36"/>
        <v>0</v>
      </c>
      <c r="S150">
        <f t="shared" si="37"/>
        <v>0</v>
      </c>
      <c r="T150">
        <f t="shared" si="38"/>
        <v>0</v>
      </c>
    </row>
    <row r="151" spans="1:20" x14ac:dyDescent="0.25">
      <c r="A151" s="5"/>
      <c r="C151"/>
      <c r="D151"/>
      <c r="P151">
        <f t="shared" si="34"/>
        <v>0</v>
      </c>
      <c r="Q151">
        <f t="shared" si="35"/>
        <v>0</v>
      </c>
      <c r="R151">
        <f t="shared" si="36"/>
        <v>0</v>
      </c>
      <c r="S151">
        <f t="shared" si="37"/>
        <v>0</v>
      </c>
      <c r="T151">
        <f t="shared" si="38"/>
        <v>0</v>
      </c>
    </row>
    <row r="152" spans="1:20" x14ac:dyDescent="0.25">
      <c r="A152" s="5"/>
      <c r="C152"/>
      <c r="D152"/>
      <c r="P152">
        <f t="shared" si="34"/>
        <v>0</v>
      </c>
      <c r="Q152">
        <f t="shared" si="35"/>
        <v>0</v>
      </c>
      <c r="R152">
        <f t="shared" si="36"/>
        <v>0</v>
      </c>
      <c r="S152">
        <f t="shared" si="37"/>
        <v>0</v>
      </c>
      <c r="T152">
        <f t="shared" si="38"/>
        <v>0</v>
      </c>
    </row>
    <row r="153" spans="1:20" x14ac:dyDescent="0.25">
      <c r="A153" s="5"/>
      <c r="C153"/>
      <c r="D153"/>
      <c r="P153">
        <f t="shared" si="34"/>
        <v>0</v>
      </c>
      <c r="Q153">
        <f t="shared" si="35"/>
        <v>0</v>
      </c>
      <c r="R153">
        <f t="shared" si="36"/>
        <v>0</v>
      </c>
      <c r="S153">
        <f t="shared" si="37"/>
        <v>0</v>
      </c>
      <c r="T153">
        <f t="shared" si="38"/>
        <v>0</v>
      </c>
    </row>
    <row r="154" spans="1:20" x14ac:dyDescent="0.25">
      <c r="A154" s="5"/>
      <c r="C154"/>
      <c r="D154"/>
      <c r="P154">
        <f t="shared" si="34"/>
        <v>0</v>
      </c>
      <c r="Q154">
        <f t="shared" si="35"/>
        <v>0</v>
      </c>
      <c r="R154">
        <f t="shared" si="36"/>
        <v>0</v>
      </c>
      <c r="S154">
        <f t="shared" si="37"/>
        <v>0</v>
      </c>
      <c r="T154">
        <f t="shared" si="38"/>
        <v>0</v>
      </c>
    </row>
    <row r="155" spans="1:20" x14ac:dyDescent="0.25">
      <c r="A155" s="5"/>
      <c r="C155"/>
      <c r="D155"/>
      <c r="P155">
        <f t="shared" si="34"/>
        <v>0</v>
      </c>
      <c r="Q155">
        <f t="shared" si="35"/>
        <v>0</v>
      </c>
      <c r="R155">
        <f t="shared" si="36"/>
        <v>0</v>
      </c>
      <c r="S155">
        <f t="shared" si="37"/>
        <v>0</v>
      </c>
      <c r="T155">
        <f t="shared" si="38"/>
        <v>0</v>
      </c>
    </row>
    <row r="156" spans="1:20" x14ac:dyDescent="0.25">
      <c r="A156" s="5"/>
      <c r="C156"/>
      <c r="D156"/>
      <c r="P156">
        <f t="shared" si="34"/>
        <v>0</v>
      </c>
      <c r="Q156">
        <f t="shared" si="35"/>
        <v>0</v>
      </c>
      <c r="R156">
        <f t="shared" si="36"/>
        <v>0</v>
      </c>
      <c r="S156">
        <f t="shared" si="37"/>
        <v>0</v>
      </c>
      <c r="T156">
        <f t="shared" si="38"/>
        <v>0</v>
      </c>
    </row>
    <row r="157" spans="1:20" x14ac:dyDescent="0.25">
      <c r="A157" s="5"/>
      <c r="C157"/>
      <c r="D157"/>
      <c r="P157">
        <f t="shared" si="34"/>
        <v>0</v>
      </c>
      <c r="Q157">
        <f t="shared" si="35"/>
        <v>0</v>
      </c>
      <c r="R157">
        <f t="shared" si="36"/>
        <v>0</v>
      </c>
      <c r="S157">
        <f t="shared" si="37"/>
        <v>0</v>
      </c>
      <c r="T157">
        <f t="shared" si="38"/>
        <v>0</v>
      </c>
    </row>
    <row r="158" spans="1:20" x14ac:dyDescent="0.25">
      <c r="A158" s="5"/>
      <c r="C158"/>
      <c r="D158"/>
      <c r="P158">
        <f t="shared" si="34"/>
        <v>0</v>
      </c>
      <c r="Q158">
        <f t="shared" si="35"/>
        <v>0</v>
      </c>
      <c r="R158">
        <f t="shared" si="36"/>
        <v>0</v>
      </c>
      <c r="S158">
        <f t="shared" si="37"/>
        <v>0</v>
      </c>
      <c r="T158">
        <f t="shared" si="38"/>
        <v>0</v>
      </c>
    </row>
    <row r="159" spans="1:20" x14ac:dyDescent="0.25">
      <c r="A159" s="5"/>
      <c r="C159"/>
      <c r="D159"/>
      <c r="P159">
        <f t="shared" si="34"/>
        <v>0</v>
      </c>
      <c r="Q159">
        <f t="shared" si="35"/>
        <v>0</v>
      </c>
      <c r="R159">
        <f t="shared" si="36"/>
        <v>0</v>
      </c>
      <c r="S159">
        <f t="shared" si="37"/>
        <v>0</v>
      </c>
      <c r="T159">
        <f t="shared" si="38"/>
        <v>0</v>
      </c>
    </row>
    <row r="160" spans="1:20" x14ac:dyDescent="0.25">
      <c r="A160" s="5"/>
      <c r="C160"/>
      <c r="D160"/>
      <c r="P160">
        <f t="shared" si="34"/>
        <v>0</v>
      </c>
      <c r="Q160">
        <f t="shared" si="35"/>
        <v>0</v>
      </c>
      <c r="R160">
        <f t="shared" si="36"/>
        <v>0</v>
      </c>
      <c r="S160">
        <f t="shared" si="37"/>
        <v>0</v>
      </c>
      <c r="T160">
        <f t="shared" si="38"/>
        <v>0</v>
      </c>
    </row>
    <row r="161" spans="1:20" x14ac:dyDescent="0.25">
      <c r="A161" s="5"/>
      <c r="C161"/>
      <c r="D161"/>
      <c r="P161">
        <f t="shared" si="34"/>
        <v>0</v>
      </c>
      <c r="Q161">
        <f t="shared" si="35"/>
        <v>0</v>
      </c>
      <c r="R161">
        <f t="shared" si="36"/>
        <v>0</v>
      </c>
      <c r="S161">
        <f t="shared" si="37"/>
        <v>0</v>
      </c>
      <c r="T161">
        <f t="shared" si="38"/>
        <v>0</v>
      </c>
    </row>
    <row r="162" spans="1:20" x14ac:dyDescent="0.25">
      <c r="A162" s="5"/>
      <c r="C162"/>
      <c r="D162"/>
      <c r="P162">
        <f t="shared" si="34"/>
        <v>0</v>
      </c>
      <c r="Q162">
        <f t="shared" si="35"/>
        <v>0</v>
      </c>
      <c r="R162">
        <f t="shared" si="36"/>
        <v>0</v>
      </c>
      <c r="S162">
        <f t="shared" si="37"/>
        <v>0</v>
      </c>
      <c r="T162">
        <f t="shared" si="38"/>
        <v>0</v>
      </c>
    </row>
    <row r="163" spans="1:20" x14ac:dyDescent="0.25">
      <c r="A163" s="5"/>
      <c r="C163"/>
      <c r="D163"/>
      <c r="P163">
        <f t="shared" si="34"/>
        <v>0</v>
      </c>
      <c r="Q163">
        <f t="shared" si="35"/>
        <v>0</v>
      </c>
      <c r="R163">
        <f t="shared" si="36"/>
        <v>0</v>
      </c>
      <c r="S163">
        <f t="shared" si="37"/>
        <v>0</v>
      </c>
      <c r="T163">
        <f t="shared" si="38"/>
        <v>0</v>
      </c>
    </row>
    <row r="164" spans="1:20" x14ac:dyDescent="0.25">
      <c r="A164" s="5"/>
      <c r="C164"/>
      <c r="D164"/>
      <c r="P164">
        <f t="shared" si="34"/>
        <v>0</v>
      </c>
      <c r="Q164">
        <f t="shared" si="35"/>
        <v>0</v>
      </c>
      <c r="R164">
        <f t="shared" si="36"/>
        <v>0</v>
      </c>
      <c r="S164">
        <f t="shared" si="37"/>
        <v>0</v>
      </c>
      <c r="T164">
        <f t="shared" si="38"/>
        <v>0</v>
      </c>
    </row>
    <row r="165" spans="1:20" x14ac:dyDescent="0.25">
      <c r="A165" s="5"/>
      <c r="C165"/>
      <c r="D165"/>
      <c r="P165">
        <f t="shared" si="34"/>
        <v>0</v>
      </c>
      <c r="Q165">
        <f t="shared" si="35"/>
        <v>0</v>
      </c>
      <c r="R165">
        <f t="shared" si="36"/>
        <v>0</v>
      </c>
      <c r="S165">
        <f t="shared" si="37"/>
        <v>0</v>
      </c>
      <c r="T165">
        <f t="shared" si="38"/>
        <v>0</v>
      </c>
    </row>
    <row r="166" spans="1:20" x14ac:dyDescent="0.25">
      <c r="A166" s="5"/>
      <c r="C166"/>
      <c r="D166"/>
      <c r="P166">
        <f t="shared" si="34"/>
        <v>0</v>
      </c>
      <c r="Q166">
        <f t="shared" si="35"/>
        <v>0</v>
      </c>
      <c r="R166">
        <f t="shared" si="36"/>
        <v>0</v>
      </c>
      <c r="S166">
        <f t="shared" si="37"/>
        <v>0</v>
      </c>
      <c r="T166">
        <f t="shared" si="38"/>
        <v>0</v>
      </c>
    </row>
    <row r="167" spans="1:20" x14ac:dyDescent="0.25">
      <c r="A167" s="5"/>
      <c r="C167"/>
      <c r="D167"/>
      <c r="P167">
        <f t="shared" si="34"/>
        <v>0</v>
      </c>
      <c r="Q167">
        <f t="shared" si="35"/>
        <v>0</v>
      </c>
      <c r="R167">
        <f t="shared" si="36"/>
        <v>0</v>
      </c>
      <c r="S167">
        <f t="shared" si="37"/>
        <v>0</v>
      </c>
      <c r="T167">
        <f t="shared" si="38"/>
        <v>0</v>
      </c>
    </row>
    <row r="168" spans="1:20" x14ac:dyDescent="0.25">
      <c r="A168" s="5"/>
      <c r="C168"/>
      <c r="D168"/>
      <c r="P168">
        <f t="shared" si="34"/>
        <v>0</v>
      </c>
      <c r="Q168">
        <f t="shared" si="35"/>
        <v>0</v>
      </c>
      <c r="R168">
        <f t="shared" si="36"/>
        <v>0</v>
      </c>
      <c r="S168">
        <f t="shared" si="37"/>
        <v>0</v>
      </c>
      <c r="T168">
        <f t="shared" si="38"/>
        <v>0</v>
      </c>
    </row>
    <row r="169" spans="1:20" x14ac:dyDescent="0.25">
      <c r="A169" s="5"/>
      <c r="C169"/>
      <c r="D169"/>
      <c r="P169">
        <f t="shared" si="34"/>
        <v>0</v>
      </c>
      <c r="Q169">
        <f t="shared" si="35"/>
        <v>0</v>
      </c>
      <c r="R169">
        <f t="shared" si="36"/>
        <v>0</v>
      </c>
      <c r="S169">
        <f t="shared" si="37"/>
        <v>0</v>
      </c>
      <c r="T169">
        <f t="shared" si="38"/>
        <v>0</v>
      </c>
    </row>
    <row r="170" spans="1:20" x14ac:dyDescent="0.25">
      <c r="A170" s="5"/>
      <c r="C170"/>
      <c r="D170"/>
      <c r="P170">
        <f t="shared" si="34"/>
        <v>0</v>
      </c>
      <c r="Q170">
        <f t="shared" si="35"/>
        <v>0</v>
      </c>
      <c r="R170">
        <f t="shared" si="36"/>
        <v>0</v>
      </c>
      <c r="S170">
        <f t="shared" si="37"/>
        <v>0</v>
      </c>
      <c r="T170">
        <f t="shared" si="38"/>
        <v>0</v>
      </c>
    </row>
    <row r="171" spans="1:20" x14ac:dyDescent="0.25">
      <c r="A171" s="5"/>
      <c r="C171"/>
      <c r="D171"/>
      <c r="P171">
        <f t="shared" si="34"/>
        <v>0</v>
      </c>
      <c r="Q171">
        <f t="shared" si="35"/>
        <v>0</v>
      </c>
      <c r="R171">
        <f t="shared" si="36"/>
        <v>0</v>
      </c>
      <c r="S171">
        <f t="shared" si="37"/>
        <v>0</v>
      </c>
      <c r="T171">
        <f t="shared" si="38"/>
        <v>0</v>
      </c>
    </row>
    <row r="172" spans="1:20" x14ac:dyDescent="0.25">
      <c r="A172" s="5"/>
      <c r="C172"/>
      <c r="D172"/>
      <c r="P172">
        <f t="shared" si="34"/>
        <v>0</v>
      </c>
      <c r="Q172">
        <f t="shared" si="35"/>
        <v>0</v>
      </c>
      <c r="R172">
        <f t="shared" si="36"/>
        <v>0</v>
      </c>
      <c r="S172">
        <f t="shared" si="37"/>
        <v>0</v>
      </c>
      <c r="T172">
        <f t="shared" si="38"/>
        <v>0</v>
      </c>
    </row>
    <row r="173" spans="1:20" x14ac:dyDescent="0.25">
      <c r="A173" s="5"/>
      <c r="C173"/>
      <c r="D173"/>
      <c r="P173">
        <f t="shared" si="34"/>
        <v>0</v>
      </c>
      <c r="Q173">
        <f t="shared" si="35"/>
        <v>0</v>
      </c>
      <c r="R173">
        <f t="shared" si="36"/>
        <v>0</v>
      </c>
      <c r="S173">
        <f t="shared" si="37"/>
        <v>0</v>
      </c>
      <c r="T173">
        <f t="shared" si="38"/>
        <v>0</v>
      </c>
    </row>
    <row r="174" spans="1:20" x14ac:dyDescent="0.25">
      <c r="A174" s="5"/>
      <c r="C174"/>
      <c r="D174"/>
      <c r="P174">
        <f t="shared" si="34"/>
        <v>0</v>
      </c>
      <c r="Q174">
        <f t="shared" si="35"/>
        <v>0</v>
      </c>
      <c r="R174">
        <f t="shared" si="36"/>
        <v>0</v>
      </c>
      <c r="S174">
        <f t="shared" si="37"/>
        <v>0</v>
      </c>
      <c r="T174">
        <f t="shared" si="38"/>
        <v>0</v>
      </c>
    </row>
    <row r="175" spans="1:20" x14ac:dyDescent="0.25">
      <c r="A175" s="5"/>
      <c r="C175"/>
      <c r="D175"/>
      <c r="P175">
        <f t="shared" si="34"/>
        <v>0</v>
      </c>
      <c r="Q175">
        <f t="shared" si="35"/>
        <v>0</v>
      </c>
      <c r="R175">
        <f t="shared" si="36"/>
        <v>0</v>
      </c>
      <c r="S175">
        <f t="shared" si="37"/>
        <v>0</v>
      </c>
      <c r="T175">
        <f t="shared" si="38"/>
        <v>0</v>
      </c>
    </row>
    <row r="176" spans="1:20" x14ac:dyDescent="0.25">
      <c r="A176" s="5"/>
      <c r="C176"/>
      <c r="D176"/>
      <c r="P176">
        <f t="shared" si="34"/>
        <v>0</v>
      </c>
      <c r="Q176">
        <f t="shared" si="35"/>
        <v>0</v>
      </c>
      <c r="R176">
        <f t="shared" si="36"/>
        <v>0</v>
      </c>
      <c r="S176">
        <f t="shared" si="37"/>
        <v>0</v>
      </c>
      <c r="T176">
        <f t="shared" si="38"/>
        <v>0</v>
      </c>
    </row>
    <row r="177" spans="1:20" x14ac:dyDescent="0.25">
      <c r="A177" s="5"/>
      <c r="C177"/>
      <c r="D177"/>
      <c r="P177">
        <f t="shared" si="34"/>
        <v>0</v>
      </c>
      <c r="Q177">
        <f t="shared" si="35"/>
        <v>0</v>
      </c>
      <c r="R177">
        <f t="shared" si="36"/>
        <v>0</v>
      </c>
      <c r="S177">
        <f t="shared" si="37"/>
        <v>0</v>
      </c>
      <c r="T177">
        <f t="shared" si="38"/>
        <v>0</v>
      </c>
    </row>
    <row r="178" spans="1:20" x14ac:dyDescent="0.25">
      <c r="A178" s="5"/>
      <c r="C178"/>
      <c r="D178"/>
      <c r="P178">
        <f t="shared" si="34"/>
        <v>0</v>
      </c>
      <c r="Q178">
        <f t="shared" si="35"/>
        <v>0</v>
      </c>
      <c r="R178">
        <f t="shared" si="36"/>
        <v>0</v>
      </c>
      <c r="S178">
        <f t="shared" si="37"/>
        <v>0</v>
      </c>
      <c r="T178">
        <f t="shared" si="38"/>
        <v>0</v>
      </c>
    </row>
    <row r="179" spans="1:20" x14ac:dyDescent="0.25">
      <c r="A179" s="5"/>
      <c r="C179"/>
      <c r="D179"/>
      <c r="P179">
        <f t="shared" si="34"/>
        <v>0</v>
      </c>
      <c r="Q179">
        <f t="shared" si="35"/>
        <v>0</v>
      </c>
      <c r="R179">
        <f t="shared" si="36"/>
        <v>0</v>
      </c>
      <c r="S179">
        <f t="shared" si="37"/>
        <v>0</v>
      </c>
      <c r="T179">
        <f t="shared" si="38"/>
        <v>0</v>
      </c>
    </row>
    <row r="180" spans="1:20" x14ac:dyDescent="0.25">
      <c r="A180" s="5"/>
      <c r="C180"/>
      <c r="D180"/>
      <c r="P180">
        <f t="shared" si="34"/>
        <v>0</v>
      </c>
      <c r="Q180">
        <f t="shared" si="35"/>
        <v>0</v>
      </c>
      <c r="R180">
        <f t="shared" si="36"/>
        <v>0</v>
      </c>
      <c r="S180">
        <f t="shared" si="37"/>
        <v>0</v>
      </c>
      <c r="T180">
        <f t="shared" si="38"/>
        <v>0</v>
      </c>
    </row>
    <row r="181" spans="1:20" x14ac:dyDescent="0.25">
      <c r="A181" s="5"/>
      <c r="C181"/>
      <c r="D181"/>
      <c r="P181">
        <f t="shared" si="34"/>
        <v>0</v>
      </c>
      <c r="Q181">
        <f t="shared" si="35"/>
        <v>0</v>
      </c>
      <c r="R181">
        <f t="shared" si="36"/>
        <v>0</v>
      </c>
      <c r="S181">
        <f t="shared" si="37"/>
        <v>0</v>
      </c>
      <c r="T181">
        <f t="shared" si="38"/>
        <v>0</v>
      </c>
    </row>
    <row r="182" spans="1:20" x14ac:dyDescent="0.25">
      <c r="A182" s="5"/>
      <c r="C182"/>
      <c r="D182"/>
      <c r="P182">
        <f t="shared" si="34"/>
        <v>0</v>
      </c>
      <c r="Q182">
        <f t="shared" si="35"/>
        <v>0</v>
      </c>
      <c r="R182">
        <f t="shared" si="36"/>
        <v>0</v>
      </c>
      <c r="S182">
        <f t="shared" si="37"/>
        <v>0</v>
      </c>
      <c r="T182">
        <f t="shared" si="38"/>
        <v>0</v>
      </c>
    </row>
    <row r="183" spans="1:20" x14ac:dyDescent="0.25">
      <c r="A183" s="5"/>
      <c r="C183"/>
      <c r="D183"/>
      <c r="P183">
        <f t="shared" si="34"/>
        <v>0</v>
      </c>
      <c r="Q183">
        <f t="shared" si="35"/>
        <v>0</v>
      </c>
      <c r="R183">
        <f t="shared" si="36"/>
        <v>0</v>
      </c>
      <c r="S183">
        <f t="shared" si="37"/>
        <v>0</v>
      </c>
      <c r="T183">
        <f t="shared" si="38"/>
        <v>0</v>
      </c>
    </row>
    <row r="184" spans="1:20" x14ac:dyDescent="0.25">
      <c r="A184" s="5"/>
      <c r="C184"/>
      <c r="D184"/>
      <c r="P184">
        <f t="shared" si="34"/>
        <v>0</v>
      </c>
      <c r="Q184">
        <f t="shared" si="35"/>
        <v>0</v>
      </c>
      <c r="R184">
        <f t="shared" si="36"/>
        <v>0</v>
      </c>
      <c r="S184">
        <f t="shared" si="37"/>
        <v>0</v>
      </c>
      <c r="T184">
        <f t="shared" si="38"/>
        <v>0</v>
      </c>
    </row>
    <row r="185" spans="1:20" x14ac:dyDescent="0.25">
      <c r="A185" s="5"/>
      <c r="C185"/>
      <c r="D185"/>
      <c r="P185">
        <f t="shared" si="34"/>
        <v>0</v>
      </c>
      <c r="Q185">
        <f t="shared" si="35"/>
        <v>0</v>
      </c>
      <c r="R185">
        <f t="shared" si="36"/>
        <v>0</v>
      </c>
      <c r="S185">
        <f t="shared" si="37"/>
        <v>0</v>
      </c>
      <c r="T185">
        <f t="shared" si="38"/>
        <v>0</v>
      </c>
    </row>
    <row r="186" spans="1:20" x14ac:dyDescent="0.25">
      <c r="A186" s="5"/>
      <c r="C186"/>
      <c r="D186"/>
      <c r="P186">
        <f t="shared" si="34"/>
        <v>0</v>
      </c>
      <c r="Q186">
        <f t="shared" si="35"/>
        <v>0</v>
      </c>
      <c r="R186">
        <f t="shared" si="36"/>
        <v>0</v>
      </c>
      <c r="S186">
        <f t="shared" si="37"/>
        <v>0</v>
      </c>
      <c r="T186">
        <f t="shared" si="38"/>
        <v>0</v>
      </c>
    </row>
    <row r="187" spans="1:20" x14ac:dyDescent="0.25">
      <c r="A187" s="5"/>
      <c r="C187"/>
      <c r="D187"/>
      <c r="P187">
        <f t="shared" si="34"/>
        <v>0</v>
      </c>
      <c r="Q187">
        <f t="shared" si="35"/>
        <v>0</v>
      </c>
      <c r="R187">
        <f t="shared" si="36"/>
        <v>0</v>
      </c>
      <c r="S187">
        <f t="shared" si="37"/>
        <v>0</v>
      </c>
      <c r="T187">
        <f t="shared" si="38"/>
        <v>0</v>
      </c>
    </row>
    <row r="188" spans="1:20" x14ac:dyDescent="0.25">
      <c r="A188" s="5"/>
      <c r="C188"/>
      <c r="D188"/>
      <c r="P188">
        <f t="shared" si="34"/>
        <v>0</v>
      </c>
      <c r="Q188">
        <f t="shared" si="35"/>
        <v>0</v>
      </c>
      <c r="R188">
        <f t="shared" si="36"/>
        <v>0</v>
      </c>
      <c r="S188">
        <f t="shared" si="37"/>
        <v>0</v>
      </c>
      <c r="T188">
        <f t="shared" si="38"/>
        <v>0</v>
      </c>
    </row>
    <row r="189" spans="1:20" x14ac:dyDescent="0.25">
      <c r="A189" s="5"/>
      <c r="C189"/>
      <c r="D189"/>
      <c r="P189">
        <f t="shared" si="34"/>
        <v>0</v>
      </c>
      <c r="Q189">
        <f t="shared" si="35"/>
        <v>0</v>
      </c>
      <c r="R189">
        <f t="shared" si="36"/>
        <v>0</v>
      </c>
      <c r="S189">
        <f t="shared" si="37"/>
        <v>0</v>
      </c>
      <c r="T189">
        <f t="shared" si="38"/>
        <v>0</v>
      </c>
    </row>
    <row r="190" spans="1:20" x14ac:dyDescent="0.25">
      <c r="A190" s="5"/>
      <c r="C190"/>
      <c r="D190"/>
      <c r="P190">
        <f t="shared" si="34"/>
        <v>0</v>
      </c>
      <c r="Q190">
        <f t="shared" si="35"/>
        <v>0</v>
      </c>
      <c r="R190">
        <f t="shared" si="36"/>
        <v>0</v>
      </c>
      <c r="S190">
        <f t="shared" si="37"/>
        <v>0</v>
      </c>
      <c r="T190">
        <f t="shared" si="38"/>
        <v>0</v>
      </c>
    </row>
    <row r="191" spans="1:20" x14ac:dyDescent="0.25">
      <c r="A191" s="5"/>
      <c r="C191"/>
      <c r="D191"/>
      <c r="P191">
        <f t="shared" si="34"/>
        <v>0</v>
      </c>
      <c r="Q191">
        <f t="shared" si="35"/>
        <v>0</v>
      </c>
      <c r="R191">
        <f t="shared" si="36"/>
        <v>0</v>
      </c>
      <c r="S191">
        <f t="shared" si="37"/>
        <v>0</v>
      </c>
      <c r="T191">
        <f t="shared" si="38"/>
        <v>0</v>
      </c>
    </row>
    <row r="192" spans="1:20" x14ac:dyDescent="0.25">
      <c r="A192" s="5"/>
      <c r="C192"/>
      <c r="D192"/>
      <c r="P192">
        <f t="shared" si="34"/>
        <v>0</v>
      </c>
      <c r="Q192">
        <f t="shared" si="35"/>
        <v>0</v>
      </c>
      <c r="R192">
        <f t="shared" si="36"/>
        <v>0</v>
      </c>
      <c r="S192">
        <f t="shared" si="37"/>
        <v>0</v>
      </c>
      <c r="T192">
        <f t="shared" si="38"/>
        <v>0</v>
      </c>
    </row>
    <row r="193" spans="1:20" x14ac:dyDescent="0.25">
      <c r="A193" s="5"/>
      <c r="C193"/>
      <c r="D193"/>
      <c r="P193">
        <f t="shared" si="34"/>
        <v>0</v>
      </c>
      <c r="Q193">
        <f t="shared" si="35"/>
        <v>0</v>
      </c>
      <c r="R193">
        <f t="shared" si="36"/>
        <v>0</v>
      </c>
      <c r="S193">
        <f t="shared" si="37"/>
        <v>0</v>
      </c>
      <c r="T193">
        <f t="shared" si="38"/>
        <v>0</v>
      </c>
    </row>
    <row r="194" spans="1:20" x14ac:dyDescent="0.25">
      <c r="A194" s="5"/>
      <c r="C194"/>
      <c r="D194"/>
      <c r="P194">
        <f t="shared" si="34"/>
        <v>0</v>
      </c>
      <c r="Q194">
        <f t="shared" si="35"/>
        <v>0</v>
      </c>
      <c r="R194">
        <f t="shared" si="36"/>
        <v>0</v>
      </c>
      <c r="S194">
        <f t="shared" si="37"/>
        <v>0</v>
      </c>
      <c r="T194">
        <f t="shared" si="38"/>
        <v>0</v>
      </c>
    </row>
    <row r="195" spans="1:20" x14ac:dyDescent="0.25">
      <c r="A195" s="5"/>
      <c r="C195"/>
      <c r="D195"/>
      <c r="P195">
        <f t="shared" si="34"/>
        <v>0</v>
      </c>
      <c r="Q195">
        <f t="shared" si="35"/>
        <v>0</v>
      </c>
      <c r="R195">
        <f t="shared" si="36"/>
        <v>0</v>
      </c>
      <c r="S195">
        <f t="shared" si="37"/>
        <v>0</v>
      </c>
      <c r="T195">
        <f t="shared" si="38"/>
        <v>0</v>
      </c>
    </row>
    <row r="196" spans="1:20" x14ac:dyDescent="0.25">
      <c r="A196" s="5"/>
      <c r="C196"/>
      <c r="D196"/>
      <c r="P196">
        <f t="shared" si="34"/>
        <v>0</v>
      </c>
      <c r="Q196">
        <f t="shared" si="35"/>
        <v>0</v>
      </c>
      <c r="R196">
        <f t="shared" si="36"/>
        <v>0</v>
      </c>
      <c r="S196">
        <f t="shared" si="37"/>
        <v>0</v>
      </c>
      <c r="T196">
        <f t="shared" si="38"/>
        <v>0</v>
      </c>
    </row>
    <row r="197" spans="1:20" x14ac:dyDescent="0.25">
      <c r="A197" s="5"/>
      <c r="C197"/>
      <c r="D197"/>
      <c r="P197">
        <f t="shared" si="34"/>
        <v>0</v>
      </c>
      <c r="Q197">
        <f t="shared" si="35"/>
        <v>0</v>
      </c>
      <c r="R197">
        <f t="shared" si="36"/>
        <v>0</v>
      </c>
      <c r="S197">
        <f t="shared" si="37"/>
        <v>0</v>
      </c>
      <c r="T197">
        <f t="shared" si="38"/>
        <v>0</v>
      </c>
    </row>
    <row r="198" spans="1:20" x14ac:dyDescent="0.25">
      <c r="A198" s="5"/>
      <c r="C198"/>
      <c r="D198"/>
      <c r="P198">
        <f t="shared" si="34"/>
        <v>0</v>
      </c>
      <c r="Q198">
        <f t="shared" si="35"/>
        <v>0</v>
      </c>
      <c r="R198">
        <f t="shared" si="36"/>
        <v>0</v>
      </c>
      <c r="S198">
        <f t="shared" si="37"/>
        <v>0</v>
      </c>
      <c r="T198">
        <f t="shared" si="38"/>
        <v>0</v>
      </c>
    </row>
    <row r="199" spans="1:20" x14ac:dyDescent="0.25">
      <c r="A199" s="5"/>
      <c r="C199"/>
      <c r="D199"/>
      <c r="P199">
        <f t="shared" si="34"/>
        <v>0</v>
      </c>
      <c r="Q199">
        <f t="shared" si="35"/>
        <v>0</v>
      </c>
      <c r="R199">
        <f t="shared" si="36"/>
        <v>0</v>
      </c>
      <c r="S199">
        <f t="shared" si="37"/>
        <v>0</v>
      </c>
      <c r="T199">
        <f t="shared" si="38"/>
        <v>0</v>
      </c>
    </row>
    <row r="200" spans="1:20" x14ac:dyDescent="0.25">
      <c r="A200" s="5"/>
      <c r="C200"/>
      <c r="D200"/>
      <c r="P200">
        <f t="shared" si="34"/>
        <v>0</v>
      </c>
      <c r="Q200">
        <f t="shared" si="35"/>
        <v>0</v>
      </c>
      <c r="R200">
        <f t="shared" si="36"/>
        <v>0</v>
      </c>
      <c r="S200">
        <f t="shared" si="37"/>
        <v>0</v>
      </c>
      <c r="T200">
        <f t="shared" si="38"/>
        <v>0</v>
      </c>
    </row>
    <row r="201" spans="1:20" x14ac:dyDescent="0.25">
      <c r="A201" s="5"/>
      <c r="C201"/>
      <c r="D201"/>
      <c r="P201">
        <f t="shared" si="34"/>
        <v>0</v>
      </c>
      <c r="Q201">
        <f t="shared" si="35"/>
        <v>0</v>
      </c>
      <c r="R201">
        <f t="shared" si="36"/>
        <v>0</v>
      </c>
      <c r="S201">
        <f t="shared" si="37"/>
        <v>0</v>
      </c>
      <c r="T201">
        <f t="shared" si="38"/>
        <v>0</v>
      </c>
    </row>
    <row r="202" spans="1:20" x14ac:dyDescent="0.25">
      <c r="A202" s="5"/>
      <c r="C202"/>
      <c r="D202"/>
      <c r="P202">
        <f t="shared" si="34"/>
        <v>0</v>
      </c>
      <c r="Q202">
        <f t="shared" si="35"/>
        <v>0</v>
      </c>
      <c r="R202">
        <f t="shared" si="36"/>
        <v>0</v>
      </c>
      <c r="S202">
        <f t="shared" si="37"/>
        <v>0</v>
      </c>
      <c r="T202">
        <f t="shared" si="38"/>
        <v>0</v>
      </c>
    </row>
    <row r="203" spans="1:20" x14ac:dyDescent="0.25">
      <c r="A203" s="5"/>
      <c r="C203"/>
      <c r="D203"/>
      <c r="P203">
        <f t="shared" ref="P203:P266" si="39">IF(C203=D203,0,((E203-D203)-(C203-E203))/(C203-D203))</f>
        <v>0</v>
      </c>
      <c r="Q203">
        <f t="shared" ref="Q203:Q266" si="40">F203*P203</f>
        <v>0</v>
      </c>
      <c r="R203">
        <f t="shared" ref="R203:R266" si="41">R204+Q203</f>
        <v>0</v>
      </c>
      <c r="S203">
        <f t="shared" ref="S203:S266" si="42">R203/100000</f>
        <v>0</v>
      </c>
      <c r="T203">
        <f t="shared" ref="T203:T266" si="43">S203/1000</f>
        <v>0</v>
      </c>
    </row>
    <row r="204" spans="1:20" x14ac:dyDescent="0.25">
      <c r="A204" s="5"/>
      <c r="C204"/>
      <c r="D204"/>
      <c r="P204">
        <f t="shared" si="39"/>
        <v>0</v>
      </c>
      <c r="Q204">
        <f t="shared" si="40"/>
        <v>0</v>
      </c>
      <c r="R204">
        <f t="shared" si="41"/>
        <v>0</v>
      </c>
      <c r="S204">
        <f t="shared" si="42"/>
        <v>0</v>
      </c>
      <c r="T204">
        <f t="shared" si="43"/>
        <v>0</v>
      </c>
    </row>
    <row r="205" spans="1:20" x14ac:dyDescent="0.25">
      <c r="A205" s="5"/>
      <c r="C205"/>
      <c r="D205"/>
      <c r="P205">
        <f t="shared" si="39"/>
        <v>0</v>
      </c>
      <c r="Q205">
        <f t="shared" si="40"/>
        <v>0</v>
      </c>
      <c r="R205">
        <f t="shared" si="41"/>
        <v>0</v>
      </c>
      <c r="S205">
        <f t="shared" si="42"/>
        <v>0</v>
      </c>
      <c r="T205">
        <f t="shared" si="43"/>
        <v>0</v>
      </c>
    </row>
    <row r="206" spans="1:20" x14ac:dyDescent="0.25">
      <c r="A206" s="5"/>
      <c r="C206"/>
      <c r="D206"/>
      <c r="P206">
        <f t="shared" si="39"/>
        <v>0</v>
      </c>
      <c r="Q206">
        <f t="shared" si="40"/>
        <v>0</v>
      </c>
      <c r="R206">
        <f t="shared" si="41"/>
        <v>0</v>
      </c>
      <c r="S206">
        <f t="shared" si="42"/>
        <v>0</v>
      </c>
      <c r="T206">
        <f t="shared" si="43"/>
        <v>0</v>
      </c>
    </row>
    <row r="207" spans="1:20" x14ac:dyDescent="0.25">
      <c r="A207" s="5"/>
      <c r="C207"/>
      <c r="D207"/>
      <c r="P207">
        <f t="shared" si="39"/>
        <v>0</v>
      </c>
      <c r="Q207">
        <f t="shared" si="40"/>
        <v>0</v>
      </c>
      <c r="R207">
        <f t="shared" si="41"/>
        <v>0</v>
      </c>
      <c r="S207">
        <f t="shared" si="42"/>
        <v>0</v>
      </c>
      <c r="T207">
        <f t="shared" si="43"/>
        <v>0</v>
      </c>
    </row>
    <row r="208" spans="1:20" x14ac:dyDescent="0.25">
      <c r="A208" s="5"/>
      <c r="C208"/>
      <c r="D208"/>
      <c r="P208">
        <f t="shared" si="39"/>
        <v>0</v>
      </c>
      <c r="Q208">
        <f t="shared" si="40"/>
        <v>0</v>
      </c>
      <c r="R208">
        <f t="shared" si="41"/>
        <v>0</v>
      </c>
      <c r="S208">
        <f t="shared" si="42"/>
        <v>0</v>
      </c>
      <c r="T208">
        <f t="shared" si="43"/>
        <v>0</v>
      </c>
    </row>
    <row r="209" spans="1:20" x14ac:dyDescent="0.25">
      <c r="A209" s="5"/>
      <c r="C209"/>
      <c r="D209"/>
      <c r="P209">
        <f t="shared" si="39"/>
        <v>0</v>
      </c>
      <c r="Q209">
        <f t="shared" si="40"/>
        <v>0</v>
      </c>
      <c r="R209">
        <f t="shared" si="41"/>
        <v>0</v>
      </c>
      <c r="S209">
        <f t="shared" si="42"/>
        <v>0</v>
      </c>
      <c r="T209">
        <f t="shared" si="43"/>
        <v>0</v>
      </c>
    </row>
    <row r="210" spans="1:20" x14ac:dyDescent="0.25">
      <c r="A210" s="5"/>
      <c r="C210"/>
      <c r="D210"/>
      <c r="P210">
        <f t="shared" si="39"/>
        <v>0</v>
      </c>
      <c r="Q210">
        <f t="shared" si="40"/>
        <v>0</v>
      </c>
      <c r="R210">
        <f t="shared" si="41"/>
        <v>0</v>
      </c>
      <c r="S210">
        <f t="shared" si="42"/>
        <v>0</v>
      </c>
      <c r="T210">
        <f t="shared" si="43"/>
        <v>0</v>
      </c>
    </row>
    <row r="211" spans="1:20" x14ac:dyDescent="0.25">
      <c r="A211" s="5"/>
      <c r="C211"/>
      <c r="D211"/>
      <c r="P211">
        <f t="shared" si="39"/>
        <v>0</v>
      </c>
      <c r="Q211">
        <f t="shared" si="40"/>
        <v>0</v>
      </c>
      <c r="R211">
        <f t="shared" si="41"/>
        <v>0</v>
      </c>
      <c r="S211">
        <f t="shared" si="42"/>
        <v>0</v>
      </c>
      <c r="T211">
        <f t="shared" si="43"/>
        <v>0</v>
      </c>
    </row>
    <row r="212" spans="1:20" x14ac:dyDescent="0.25">
      <c r="A212" s="5"/>
      <c r="C212"/>
      <c r="D212"/>
      <c r="P212">
        <f t="shared" si="39"/>
        <v>0</v>
      </c>
      <c r="Q212">
        <f t="shared" si="40"/>
        <v>0</v>
      </c>
      <c r="R212">
        <f t="shared" si="41"/>
        <v>0</v>
      </c>
      <c r="S212">
        <f t="shared" si="42"/>
        <v>0</v>
      </c>
      <c r="T212">
        <f t="shared" si="43"/>
        <v>0</v>
      </c>
    </row>
    <row r="213" spans="1:20" x14ac:dyDescent="0.25">
      <c r="A213" s="5"/>
      <c r="C213"/>
      <c r="D213"/>
      <c r="P213">
        <f t="shared" si="39"/>
        <v>0</v>
      </c>
      <c r="Q213">
        <f t="shared" si="40"/>
        <v>0</v>
      </c>
      <c r="R213">
        <f t="shared" si="41"/>
        <v>0</v>
      </c>
      <c r="S213">
        <f t="shared" si="42"/>
        <v>0</v>
      </c>
      <c r="T213">
        <f t="shared" si="43"/>
        <v>0</v>
      </c>
    </row>
    <row r="214" spans="1:20" x14ac:dyDescent="0.25">
      <c r="A214" s="5"/>
      <c r="C214"/>
      <c r="D214"/>
      <c r="P214">
        <f t="shared" si="39"/>
        <v>0</v>
      </c>
      <c r="Q214">
        <f t="shared" si="40"/>
        <v>0</v>
      </c>
      <c r="R214">
        <f t="shared" si="41"/>
        <v>0</v>
      </c>
      <c r="S214">
        <f t="shared" si="42"/>
        <v>0</v>
      </c>
      <c r="T214">
        <f t="shared" si="43"/>
        <v>0</v>
      </c>
    </row>
    <row r="215" spans="1:20" x14ac:dyDescent="0.25">
      <c r="A215" s="5"/>
      <c r="C215"/>
      <c r="D215"/>
      <c r="P215">
        <f t="shared" si="39"/>
        <v>0</v>
      </c>
      <c r="Q215">
        <f t="shared" si="40"/>
        <v>0</v>
      </c>
      <c r="R215">
        <f t="shared" si="41"/>
        <v>0</v>
      </c>
      <c r="S215">
        <f t="shared" si="42"/>
        <v>0</v>
      </c>
      <c r="T215">
        <f t="shared" si="43"/>
        <v>0</v>
      </c>
    </row>
    <row r="216" spans="1:20" x14ac:dyDescent="0.25">
      <c r="A216" s="5"/>
      <c r="C216"/>
      <c r="D216"/>
      <c r="P216">
        <f t="shared" si="39"/>
        <v>0</v>
      </c>
      <c r="Q216">
        <f t="shared" si="40"/>
        <v>0</v>
      </c>
      <c r="R216">
        <f t="shared" si="41"/>
        <v>0</v>
      </c>
      <c r="S216">
        <f t="shared" si="42"/>
        <v>0</v>
      </c>
      <c r="T216">
        <f t="shared" si="43"/>
        <v>0</v>
      </c>
    </row>
    <row r="217" spans="1:20" x14ac:dyDescent="0.25">
      <c r="A217" s="5"/>
      <c r="C217"/>
      <c r="D217"/>
      <c r="P217">
        <f t="shared" si="39"/>
        <v>0</v>
      </c>
      <c r="Q217">
        <f t="shared" si="40"/>
        <v>0</v>
      </c>
      <c r="R217">
        <f t="shared" si="41"/>
        <v>0</v>
      </c>
      <c r="S217">
        <f t="shared" si="42"/>
        <v>0</v>
      </c>
      <c r="T217">
        <f t="shared" si="43"/>
        <v>0</v>
      </c>
    </row>
    <row r="218" spans="1:20" x14ac:dyDescent="0.25">
      <c r="A218" s="5"/>
      <c r="C218"/>
      <c r="D218"/>
      <c r="P218">
        <f t="shared" si="39"/>
        <v>0</v>
      </c>
      <c r="Q218">
        <f t="shared" si="40"/>
        <v>0</v>
      </c>
      <c r="R218">
        <f t="shared" si="41"/>
        <v>0</v>
      </c>
      <c r="S218">
        <f t="shared" si="42"/>
        <v>0</v>
      </c>
      <c r="T218">
        <f t="shared" si="43"/>
        <v>0</v>
      </c>
    </row>
    <row r="219" spans="1:20" x14ac:dyDescent="0.25">
      <c r="A219" s="5"/>
      <c r="C219"/>
      <c r="D219"/>
      <c r="P219">
        <f t="shared" si="39"/>
        <v>0</v>
      </c>
      <c r="Q219">
        <f t="shared" si="40"/>
        <v>0</v>
      </c>
      <c r="R219">
        <f t="shared" si="41"/>
        <v>0</v>
      </c>
      <c r="S219">
        <f t="shared" si="42"/>
        <v>0</v>
      </c>
      <c r="T219">
        <f t="shared" si="43"/>
        <v>0</v>
      </c>
    </row>
    <row r="220" spans="1:20" x14ac:dyDescent="0.25">
      <c r="A220" s="5"/>
      <c r="C220"/>
      <c r="D220"/>
      <c r="P220">
        <f t="shared" si="39"/>
        <v>0</v>
      </c>
      <c r="Q220">
        <f t="shared" si="40"/>
        <v>0</v>
      </c>
      <c r="R220">
        <f t="shared" si="41"/>
        <v>0</v>
      </c>
      <c r="S220">
        <f t="shared" si="42"/>
        <v>0</v>
      </c>
      <c r="T220">
        <f t="shared" si="43"/>
        <v>0</v>
      </c>
    </row>
    <row r="221" spans="1:20" x14ac:dyDescent="0.25">
      <c r="A221" s="5"/>
      <c r="C221"/>
      <c r="D221"/>
      <c r="P221">
        <f t="shared" si="39"/>
        <v>0</v>
      </c>
      <c r="Q221">
        <f t="shared" si="40"/>
        <v>0</v>
      </c>
      <c r="R221">
        <f t="shared" si="41"/>
        <v>0</v>
      </c>
      <c r="S221">
        <f t="shared" si="42"/>
        <v>0</v>
      </c>
      <c r="T221">
        <f t="shared" si="43"/>
        <v>0</v>
      </c>
    </row>
    <row r="222" spans="1:20" x14ac:dyDescent="0.25">
      <c r="A222" s="5"/>
      <c r="C222"/>
      <c r="D222"/>
      <c r="P222">
        <f t="shared" si="39"/>
        <v>0</v>
      </c>
      <c r="Q222">
        <f t="shared" si="40"/>
        <v>0</v>
      </c>
      <c r="R222">
        <f t="shared" si="41"/>
        <v>0</v>
      </c>
      <c r="S222">
        <f t="shared" si="42"/>
        <v>0</v>
      </c>
      <c r="T222">
        <f t="shared" si="43"/>
        <v>0</v>
      </c>
    </row>
    <row r="223" spans="1:20" x14ac:dyDescent="0.25">
      <c r="A223" s="5"/>
      <c r="C223"/>
      <c r="D223"/>
      <c r="P223">
        <f t="shared" si="39"/>
        <v>0</v>
      </c>
      <c r="Q223">
        <f t="shared" si="40"/>
        <v>0</v>
      </c>
      <c r="R223">
        <f t="shared" si="41"/>
        <v>0</v>
      </c>
      <c r="S223">
        <f t="shared" si="42"/>
        <v>0</v>
      </c>
      <c r="T223">
        <f t="shared" si="43"/>
        <v>0</v>
      </c>
    </row>
    <row r="224" spans="1:20" x14ac:dyDescent="0.25">
      <c r="A224" s="5"/>
      <c r="C224"/>
      <c r="D224"/>
      <c r="P224">
        <f t="shared" si="39"/>
        <v>0</v>
      </c>
      <c r="Q224">
        <f t="shared" si="40"/>
        <v>0</v>
      </c>
      <c r="R224">
        <f t="shared" si="41"/>
        <v>0</v>
      </c>
      <c r="S224">
        <f t="shared" si="42"/>
        <v>0</v>
      </c>
      <c r="T224">
        <f t="shared" si="43"/>
        <v>0</v>
      </c>
    </row>
    <row r="225" spans="1:20" x14ac:dyDescent="0.25">
      <c r="A225" s="5"/>
      <c r="C225"/>
      <c r="D225"/>
      <c r="P225">
        <f t="shared" si="39"/>
        <v>0</v>
      </c>
      <c r="Q225">
        <f t="shared" si="40"/>
        <v>0</v>
      </c>
      <c r="R225">
        <f t="shared" si="41"/>
        <v>0</v>
      </c>
      <c r="S225">
        <f t="shared" si="42"/>
        <v>0</v>
      </c>
      <c r="T225">
        <f t="shared" si="43"/>
        <v>0</v>
      </c>
    </row>
    <row r="226" spans="1:20" x14ac:dyDescent="0.25">
      <c r="A226" s="5"/>
      <c r="C226"/>
      <c r="D226"/>
      <c r="P226">
        <f t="shared" si="39"/>
        <v>0</v>
      </c>
      <c r="Q226">
        <f t="shared" si="40"/>
        <v>0</v>
      </c>
      <c r="R226">
        <f t="shared" si="41"/>
        <v>0</v>
      </c>
      <c r="S226">
        <f t="shared" si="42"/>
        <v>0</v>
      </c>
      <c r="T226">
        <f t="shared" si="43"/>
        <v>0</v>
      </c>
    </row>
    <row r="227" spans="1:20" x14ac:dyDescent="0.25">
      <c r="A227" s="5"/>
      <c r="C227"/>
      <c r="D227"/>
      <c r="P227">
        <f t="shared" si="39"/>
        <v>0</v>
      </c>
      <c r="Q227">
        <f t="shared" si="40"/>
        <v>0</v>
      </c>
      <c r="R227">
        <f t="shared" si="41"/>
        <v>0</v>
      </c>
      <c r="S227">
        <f t="shared" si="42"/>
        <v>0</v>
      </c>
      <c r="T227">
        <f t="shared" si="43"/>
        <v>0</v>
      </c>
    </row>
    <row r="228" spans="1:20" x14ac:dyDescent="0.25">
      <c r="A228" s="5"/>
      <c r="C228"/>
      <c r="D228"/>
      <c r="P228">
        <f t="shared" si="39"/>
        <v>0</v>
      </c>
      <c r="Q228">
        <f t="shared" si="40"/>
        <v>0</v>
      </c>
      <c r="R228">
        <f t="shared" si="41"/>
        <v>0</v>
      </c>
      <c r="S228">
        <f t="shared" si="42"/>
        <v>0</v>
      </c>
      <c r="T228">
        <f t="shared" si="43"/>
        <v>0</v>
      </c>
    </row>
    <row r="229" spans="1:20" x14ac:dyDescent="0.25">
      <c r="A229" s="5"/>
      <c r="C229"/>
      <c r="D229"/>
      <c r="P229">
        <f t="shared" si="39"/>
        <v>0</v>
      </c>
      <c r="Q229">
        <f t="shared" si="40"/>
        <v>0</v>
      </c>
      <c r="R229">
        <f t="shared" si="41"/>
        <v>0</v>
      </c>
      <c r="S229">
        <f t="shared" si="42"/>
        <v>0</v>
      </c>
      <c r="T229">
        <f t="shared" si="43"/>
        <v>0</v>
      </c>
    </row>
    <row r="230" spans="1:20" x14ac:dyDescent="0.25">
      <c r="A230" s="5"/>
      <c r="C230"/>
      <c r="D230"/>
      <c r="P230">
        <f t="shared" si="39"/>
        <v>0</v>
      </c>
      <c r="Q230">
        <f t="shared" si="40"/>
        <v>0</v>
      </c>
      <c r="R230">
        <f t="shared" si="41"/>
        <v>0</v>
      </c>
      <c r="S230">
        <f t="shared" si="42"/>
        <v>0</v>
      </c>
      <c r="T230">
        <f t="shared" si="43"/>
        <v>0</v>
      </c>
    </row>
    <row r="231" spans="1:20" x14ac:dyDescent="0.25">
      <c r="A231" s="5"/>
      <c r="C231"/>
      <c r="D231"/>
      <c r="P231">
        <f t="shared" si="39"/>
        <v>0</v>
      </c>
      <c r="Q231">
        <f t="shared" si="40"/>
        <v>0</v>
      </c>
      <c r="R231">
        <f t="shared" si="41"/>
        <v>0</v>
      </c>
      <c r="S231">
        <f t="shared" si="42"/>
        <v>0</v>
      </c>
      <c r="T231">
        <f t="shared" si="43"/>
        <v>0</v>
      </c>
    </row>
    <row r="232" spans="1:20" x14ac:dyDescent="0.25">
      <c r="A232" s="5"/>
      <c r="C232"/>
      <c r="D232"/>
      <c r="P232">
        <f t="shared" si="39"/>
        <v>0</v>
      </c>
      <c r="Q232">
        <f t="shared" si="40"/>
        <v>0</v>
      </c>
      <c r="R232">
        <f t="shared" si="41"/>
        <v>0</v>
      </c>
      <c r="S232">
        <f t="shared" si="42"/>
        <v>0</v>
      </c>
      <c r="T232">
        <f t="shared" si="43"/>
        <v>0</v>
      </c>
    </row>
    <row r="233" spans="1:20" x14ac:dyDescent="0.25">
      <c r="A233" s="5"/>
      <c r="C233"/>
      <c r="D233"/>
      <c r="P233">
        <f t="shared" si="39"/>
        <v>0</v>
      </c>
      <c r="Q233">
        <f t="shared" si="40"/>
        <v>0</v>
      </c>
      <c r="R233">
        <f t="shared" si="41"/>
        <v>0</v>
      </c>
      <c r="S233">
        <f t="shared" si="42"/>
        <v>0</v>
      </c>
      <c r="T233">
        <f t="shared" si="43"/>
        <v>0</v>
      </c>
    </row>
    <row r="234" spans="1:20" x14ac:dyDescent="0.25">
      <c r="A234" s="5"/>
      <c r="C234"/>
      <c r="D234"/>
      <c r="P234">
        <f t="shared" si="39"/>
        <v>0</v>
      </c>
      <c r="Q234">
        <f t="shared" si="40"/>
        <v>0</v>
      </c>
      <c r="R234">
        <f t="shared" si="41"/>
        <v>0</v>
      </c>
      <c r="S234">
        <f t="shared" si="42"/>
        <v>0</v>
      </c>
      <c r="T234">
        <f t="shared" si="43"/>
        <v>0</v>
      </c>
    </row>
    <row r="235" spans="1:20" x14ac:dyDescent="0.25">
      <c r="A235" s="5"/>
      <c r="C235"/>
      <c r="D235"/>
      <c r="P235">
        <f t="shared" si="39"/>
        <v>0</v>
      </c>
      <c r="Q235">
        <f t="shared" si="40"/>
        <v>0</v>
      </c>
      <c r="R235">
        <f t="shared" si="41"/>
        <v>0</v>
      </c>
      <c r="S235">
        <f t="shared" si="42"/>
        <v>0</v>
      </c>
      <c r="T235">
        <f t="shared" si="43"/>
        <v>0</v>
      </c>
    </row>
    <row r="236" spans="1:20" x14ac:dyDescent="0.25">
      <c r="A236" s="5"/>
      <c r="C236"/>
      <c r="D236"/>
      <c r="P236">
        <f t="shared" si="39"/>
        <v>0</v>
      </c>
      <c r="Q236">
        <f t="shared" si="40"/>
        <v>0</v>
      </c>
      <c r="R236">
        <f t="shared" si="41"/>
        <v>0</v>
      </c>
      <c r="S236">
        <f t="shared" si="42"/>
        <v>0</v>
      </c>
      <c r="T236">
        <f t="shared" si="43"/>
        <v>0</v>
      </c>
    </row>
    <row r="237" spans="1:20" x14ac:dyDescent="0.25">
      <c r="A237" s="5"/>
      <c r="C237"/>
      <c r="D237"/>
      <c r="P237">
        <f t="shared" si="39"/>
        <v>0</v>
      </c>
      <c r="Q237">
        <f t="shared" si="40"/>
        <v>0</v>
      </c>
      <c r="R237">
        <f t="shared" si="41"/>
        <v>0</v>
      </c>
      <c r="S237">
        <f t="shared" si="42"/>
        <v>0</v>
      </c>
      <c r="T237">
        <f t="shared" si="43"/>
        <v>0</v>
      </c>
    </row>
    <row r="238" spans="1:20" x14ac:dyDescent="0.25">
      <c r="A238" s="5"/>
      <c r="C238"/>
      <c r="D238"/>
      <c r="P238">
        <f t="shared" si="39"/>
        <v>0</v>
      </c>
      <c r="Q238">
        <f t="shared" si="40"/>
        <v>0</v>
      </c>
      <c r="R238">
        <f t="shared" si="41"/>
        <v>0</v>
      </c>
      <c r="S238">
        <f t="shared" si="42"/>
        <v>0</v>
      </c>
      <c r="T238">
        <f t="shared" si="43"/>
        <v>0</v>
      </c>
    </row>
    <row r="239" spans="1:20" x14ac:dyDescent="0.25">
      <c r="A239" s="5"/>
      <c r="C239"/>
      <c r="D239"/>
      <c r="P239">
        <f t="shared" si="39"/>
        <v>0</v>
      </c>
      <c r="Q239">
        <f t="shared" si="40"/>
        <v>0</v>
      </c>
      <c r="R239">
        <f t="shared" si="41"/>
        <v>0</v>
      </c>
      <c r="S239">
        <f t="shared" si="42"/>
        <v>0</v>
      </c>
      <c r="T239">
        <f t="shared" si="43"/>
        <v>0</v>
      </c>
    </row>
    <row r="240" spans="1:20" x14ac:dyDescent="0.25">
      <c r="A240" s="5"/>
      <c r="C240"/>
      <c r="D240"/>
      <c r="P240">
        <f t="shared" si="39"/>
        <v>0</v>
      </c>
      <c r="Q240">
        <f t="shared" si="40"/>
        <v>0</v>
      </c>
      <c r="R240">
        <f t="shared" si="41"/>
        <v>0</v>
      </c>
      <c r="S240">
        <f t="shared" si="42"/>
        <v>0</v>
      </c>
      <c r="T240">
        <f t="shared" si="43"/>
        <v>0</v>
      </c>
    </row>
    <row r="241" spans="1:20" x14ac:dyDescent="0.25">
      <c r="A241" s="5"/>
      <c r="C241"/>
      <c r="D241"/>
      <c r="P241">
        <f t="shared" si="39"/>
        <v>0</v>
      </c>
      <c r="Q241">
        <f t="shared" si="40"/>
        <v>0</v>
      </c>
      <c r="R241">
        <f t="shared" si="41"/>
        <v>0</v>
      </c>
      <c r="S241">
        <f t="shared" si="42"/>
        <v>0</v>
      </c>
      <c r="T241">
        <f t="shared" si="43"/>
        <v>0</v>
      </c>
    </row>
    <row r="242" spans="1:20" x14ac:dyDescent="0.25">
      <c r="A242" s="5"/>
      <c r="C242"/>
      <c r="D242"/>
      <c r="P242">
        <f t="shared" si="39"/>
        <v>0</v>
      </c>
      <c r="Q242">
        <f t="shared" si="40"/>
        <v>0</v>
      </c>
      <c r="R242">
        <f t="shared" si="41"/>
        <v>0</v>
      </c>
      <c r="S242">
        <f t="shared" si="42"/>
        <v>0</v>
      </c>
      <c r="T242">
        <f t="shared" si="43"/>
        <v>0</v>
      </c>
    </row>
    <row r="243" spans="1:20" x14ac:dyDescent="0.25">
      <c r="A243" s="5"/>
      <c r="C243"/>
      <c r="D243"/>
      <c r="P243">
        <f t="shared" si="39"/>
        <v>0</v>
      </c>
      <c r="Q243">
        <f t="shared" si="40"/>
        <v>0</v>
      </c>
      <c r="R243">
        <f t="shared" si="41"/>
        <v>0</v>
      </c>
      <c r="S243">
        <f t="shared" si="42"/>
        <v>0</v>
      </c>
      <c r="T243">
        <f t="shared" si="43"/>
        <v>0</v>
      </c>
    </row>
    <row r="244" spans="1:20" x14ac:dyDescent="0.25">
      <c r="A244" s="5"/>
      <c r="C244"/>
      <c r="D244"/>
      <c r="P244">
        <f t="shared" si="39"/>
        <v>0</v>
      </c>
      <c r="Q244">
        <f t="shared" si="40"/>
        <v>0</v>
      </c>
      <c r="R244">
        <f t="shared" si="41"/>
        <v>0</v>
      </c>
      <c r="S244">
        <f t="shared" si="42"/>
        <v>0</v>
      </c>
      <c r="T244">
        <f t="shared" si="43"/>
        <v>0</v>
      </c>
    </row>
    <row r="245" spans="1:20" x14ac:dyDescent="0.25">
      <c r="A245" s="5"/>
      <c r="C245"/>
      <c r="D245"/>
      <c r="P245">
        <f t="shared" si="39"/>
        <v>0</v>
      </c>
      <c r="Q245">
        <f t="shared" si="40"/>
        <v>0</v>
      </c>
      <c r="R245">
        <f t="shared" si="41"/>
        <v>0</v>
      </c>
      <c r="S245">
        <f t="shared" si="42"/>
        <v>0</v>
      </c>
      <c r="T245">
        <f t="shared" si="43"/>
        <v>0</v>
      </c>
    </row>
    <row r="246" spans="1:20" x14ac:dyDescent="0.25">
      <c r="A246" s="5"/>
      <c r="C246"/>
      <c r="D246"/>
      <c r="P246">
        <f t="shared" si="39"/>
        <v>0</v>
      </c>
      <c r="Q246">
        <f t="shared" si="40"/>
        <v>0</v>
      </c>
      <c r="R246">
        <f t="shared" si="41"/>
        <v>0</v>
      </c>
      <c r="S246">
        <f t="shared" si="42"/>
        <v>0</v>
      </c>
      <c r="T246">
        <f t="shared" si="43"/>
        <v>0</v>
      </c>
    </row>
    <row r="247" spans="1:20" x14ac:dyDescent="0.25">
      <c r="A247" s="5"/>
      <c r="C247"/>
      <c r="D247"/>
      <c r="P247">
        <f t="shared" si="39"/>
        <v>0</v>
      </c>
      <c r="Q247">
        <f t="shared" si="40"/>
        <v>0</v>
      </c>
      <c r="R247">
        <f t="shared" si="41"/>
        <v>0</v>
      </c>
      <c r="S247">
        <f t="shared" si="42"/>
        <v>0</v>
      </c>
      <c r="T247">
        <f t="shared" si="43"/>
        <v>0</v>
      </c>
    </row>
    <row r="248" spans="1:20" x14ac:dyDescent="0.25">
      <c r="A248" s="5"/>
      <c r="C248"/>
      <c r="D248"/>
      <c r="P248">
        <f t="shared" si="39"/>
        <v>0</v>
      </c>
      <c r="Q248">
        <f t="shared" si="40"/>
        <v>0</v>
      </c>
      <c r="R248">
        <f t="shared" si="41"/>
        <v>0</v>
      </c>
      <c r="S248">
        <f t="shared" si="42"/>
        <v>0</v>
      </c>
      <c r="T248">
        <f t="shared" si="43"/>
        <v>0</v>
      </c>
    </row>
    <row r="249" spans="1:20" x14ac:dyDescent="0.25">
      <c r="A249" s="5"/>
      <c r="C249"/>
      <c r="D249"/>
      <c r="P249">
        <f t="shared" si="39"/>
        <v>0</v>
      </c>
      <c r="Q249">
        <f t="shared" si="40"/>
        <v>0</v>
      </c>
      <c r="R249">
        <f t="shared" si="41"/>
        <v>0</v>
      </c>
      <c r="S249">
        <f t="shared" si="42"/>
        <v>0</v>
      </c>
      <c r="T249">
        <f t="shared" si="43"/>
        <v>0</v>
      </c>
    </row>
    <row r="250" spans="1:20" x14ac:dyDescent="0.25">
      <c r="A250" s="5"/>
      <c r="C250"/>
      <c r="D250"/>
      <c r="P250">
        <f t="shared" si="39"/>
        <v>0</v>
      </c>
      <c r="Q250">
        <f t="shared" si="40"/>
        <v>0</v>
      </c>
      <c r="R250">
        <f t="shared" si="41"/>
        <v>0</v>
      </c>
      <c r="S250">
        <f t="shared" si="42"/>
        <v>0</v>
      </c>
      <c r="T250">
        <f t="shared" si="43"/>
        <v>0</v>
      </c>
    </row>
    <row r="251" spans="1:20" x14ac:dyDescent="0.25">
      <c r="A251" s="5"/>
      <c r="C251"/>
      <c r="D251"/>
      <c r="P251">
        <f t="shared" si="39"/>
        <v>0</v>
      </c>
      <c r="Q251">
        <f t="shared" si="40"/>
        <v>0</v>
      </c>
      <c r="R251">
        <f t="shared" si="41"/>
        <v>0</v>
      </c>
      <c r="S251">
        <f t="shared" si="42"/>
        <v>0</v>
      </c>
      <c r="T251">
        <f t="shared" si="43"/>
        <v>0</v>
      </c>
    </row>
    <row r="252" spans="1:20" x14ac:dyDescent="0.25">
      <c r="A252" s="5"/>
      <c r="C252"/>
      <c r="D252"/>
      <c r="P252">
        <f t="shared" si="39"/>
        <v>0</v>
      </c>
      <c r="Q252">
        <f t="shared" si="40"/>
        <v>0</v>
      </c>
      <c r="R252">
        <f t="shared" si="41"/>
        <v>0</v>
      </c>
      <c r="S252">
        <f t="shared" si="42"/>
        <v>0</v>
      </c>
      <c r="T252">
        <f t="shared" si="43"/>
        <v>0</v>
      </c>
    </row>
    <row r="253" spans="1:20" x14ac:dyDescent="0.25">
      <c r="A253" s="5"/>
      <c r="C253"/>
      <c r="D253"/>
      <c r="P253">
        <f t="shared" si="39"/>
        <v>0</v>
      </c>
      <c r="Q253">
        <f t="shared" si="40"/>
        <v>0</v>
      </c>
      <c r="R253">
        <f t="shared" si="41"/>
        <v>0</v>
      </c>
      <c r="S253">
        <f t="shared" si="42"/>
        <v>0</v>
      </c>
      <c r="T253">
        <f t="shared" si="43"/>
        <v>0</v>
      </c>
    </row>
    <row r="254" spans="1:20" x14ac:dyDescent="0.25">
      <c r="A254" s="5"/>
      <c r="C254"/>
      <c r="D254"/>
      <c r="P254">
        <f t="shared" si="39"/>
        <v>0</v>
      </c>
      <c r="Q254">
        <f t="shared" si="40"/>
        <v>0</v>
      </c>
      <c r="R254">
        <f t="shared" si="41"/>
        <v>0</v>
      </c>
      <c r="S254">
        <f t="shared" si="42"/>
        <v>0</v>
      </c>
      <c r="T254">
        <f t="shared" si="43"/>
        <v>0</v>
      </c>
    </row>
    <row r="255" spans="1:20" x14ac:dyDescent="0.25">
      <c r="A255" s="5"/>
      <c r="C255"/>
      <c r="D255"/>
      <c r="P255">
        <f t="shared" si="39"/>
        <v>0</v>
      </c>
      <c r="Q255">
        <f t="shared" si="40"/>
        <v>0</v>
      </c>
      <c r="R255">
        <f t="shared" si="41"/>
        <v>0</v>
      </c>
      <c r="S255">
        <f t="shared" si="42"/>
        <v>0</v>
      </c>
      <c r="T255">
        <f t="shared" si="43"/>
        <v>0</v>
      </c>
    </row>
    <row r="256" spans="1:20" x14ac:dyDescent="0.25">
      <c r="A256" s="5"/>
      <c r="C256"/>
      <c r="D256"/>
      <c r="P256">
        <f t="shared" si="39"/>
        <v>0</v>
      </c>
      <c r="Q256">
        <f t="shared" si="40"/>
        <v>0</v>
      </c>
      <c r="R256">
        <f t="shared" si="41"/>
        <v>0</v>
      </c>
      <c r="S256">
        <f t="shared" si="42"/>
        <v>0</v>
      </c>
      <c r="T256">
        <f t="shared" si="43"/>
        <v>0</v>
      </c>
    </row>
    <row r="257" spans="1:20" x14ac:dyDescent="0.25">
      <c r="A257" s="5"/>
      <c r="C257"/>
      <c r="D257"/>
      <c r="P257">
        <f t="shared" si="39"/>
        <v>0</v>
      </c>
      <c r="Q257">
        <f t="shared" si="40"/>
        <v>0</v>
      </c>
      <c r="R257">
        <f t="shared" si="41"/>
        <v>0</v>
      </c>
      <c r="S257">
        <f t="shared" si="42"/>
        <v>0</v>
      </c>
      <c r="T257">
        <f t="shared" si="43"/>
        <v>0</v>
      </c>
    </row>
    <row r="258" spans="1:20" x14ac:dyDescent="0.25">
      <c r="A258" s="5"/>
      <c r="C258"/>
      <c r="D258"/>
      <c r="P258">
        <f t="shared" si="39"/>
        <v>0</v>
      </c>
      <c r="Q258">
        <f t="shared" si="40"/>
        <v>0</v>
      </c>
      <c r="R258">
        <f t="shared" si="41"/>
        <v>0</v>
      </c>
      <c r="S258">
        <f t="shared" si="42"/>
        <v>0</v>
      </c>
      <c r="T258">
        <f t="shared" si="43"/>
        <v>0</v>
      </c>
    </row>
    <row r="259" spans="1:20" x14ac:dyDescent="0.25">
      <c r="A259" s="5"/>
      <c r="C259"/>
      <c r="D259"/>
      <c r="P259">
        <f t="shared" si="39"/>
        <v>0</v>
      </c>
      <c r="Q259">
        <f t="shared" si="40"/>
        <v>0</v>
      </c>
      <c r="R259">
        <f t="shared" si="41"/>
        <v>0</v>
      </c>
      <c r="S259">
        <f t="shared" si="42"/>
        <v>0</v>
      </c>
      <c r="T259">
        <f t="shared" si="43"/>
        <v>0</v>
      </c>
    </row>
    <row r="260" spans="1:20" x14ac:dyDescent="0.25">
      <c r="A260" s="5"/>
      <c r="C260"/>
      <c r="D260"/>
      <c r="P260">
        <f t="shared" si="39"/>
        <v>0</v>
      </c>
      <c r="Q260">
        <f t="shared" si="40"/>
        <v>0</v>
      </c>
      <c r="R260">
        <f t="shared" si="41"/>
        <v>0</v>
      </c>
      <c r="S260">
        <f t="shared" si="42"/>
        <v>0</v>
      </c>
      <c r="T260">
        <f t="shared" si="43"/>
        <v>0</v>
      </c>
    </row>
    <row r="261" spans="1:20" x14ac:dyDescent="0.25">
      <c r="A261" s="5"/>
      <c r="C261"/>
      <c r="D261"/>
      <c r="P261">
        <f t="shared" si="39"/>
        <v>0</v>
      </c>
      <c r="Q261">
        <f t="shared" si="40"/>
        <v>0</v>
      </c>
      <c r="R261">
        <f t="shared" si="41"/>
        <v>0</v>
      </c>
      <c r="S261">
        <f t="shared" si="42"/>
        <v>0</v>
      </c>
      <c r="T261">
        <f t="shared" si="43"/>
        <v>0</v>
      </c>
    </row>
    <row r="262" spans="1:20" x14ac:dyDescent="0.25">
      <c r="A262" s="5"/>
      <c r="C262"/>
      <c r="D262"/>
      <c r="P262">
        <f t="shared" si="39"/>
        <v>0</v>
      </c>
      <c r="Q262">
        <f t="shared" si="40"/>
        <v>0</v>
      </c>
      <c r="R262">
        <f t="shared" si="41"/>
        <v>0</v>
      </c>
      <c r="S262">
        <f t="shared" si="42"/>
        <v>0</v>
      </c>
      <c r="T262">
        <f t="shared" si="43"/>
        <v>0</v>
      </c>
    </row>
    <row r="263" spans="1:20" x14ac:dyDescent="0.25">
      <c r="A263" s="5"/>
      <c r="C263"/>
      <c r="D263"/>
      <c r="P263">
        <f t="shared" si="39"/>
        <v>0</v>
      </c>
      <c r="Q263">
        <f t="shared" si="40"/>
        <v>0</v>
      </c>
      <c r="R263">
        <f t="shared" si="41"/>
        <v>0</v>
      </c>
      <c r="S263">
        <f t="shared" si="42"/>
        <v>0</v>
      </c>
      <c r="T263">
        <f t="shared" si="43"/>
        <v>0</v>
      </c>
    </row>
    <row r="264" spans="1:20" x14ac:dyDescent="0.25">
      <c r="A264" s="5"/>
      <c r="C264"/>
      <c r="D264"/>
      <c r="P264">
        <f t="shared" si="39"/>
        <v>0</v>
      </c>
      <c r="Q264">
        <f t="shared" si="40"/>
        <v>0</v>
      </c>
      <c r="R264">
        <f t="shared" si="41"/>
        <v>0</v>
      </c>
      <c r="S264">
        <f t="shared" si="42"/>
        <v>0</v>
      </c>
      <c r="T264">
        <f t="shared" si="43"/>
        <v>0</v>
      </c>
    </row>
    <row r="265" spans="1:20" x14ac:dyDescent="0.25">
      <c r="A265" s="5"/>
      <c r="C265"/>
      <c r="D265"/>
      <c r="P265">
        <f t="shared" si="39"/>
        <v>0</v>
      </c>
      <c r="Q265">
        <f t="shared" si="40"/>
        <v>0</v>
      </c>
      <c r="R265">
        <f t="shared" si="41"/>
        <v>0</v>
      </c>
      <c r="S265">
        <f t="shared" si="42"/>
        <v>0</v>
      </c>
      <c r="T265">
        <f t="shared" si="43"/>
        <v>0</v>
      </c>
    </row>
    <row r="266" spans="1:20" x14ac:dyDescent="0.25">
      <c r="A266" s="5"/>
      <c r="C266"/>
      <c r="D266"/>
      <c r="P266">
        <f t="shared" si="39"/>
        <v>0</v>
      </c>
      <c r="Q266">
        <f t="shared" si="40"/>
        <v>0</v>
      </c>
      <c r="R266">
        <f t="shared" si="41"/>
        <v>0</v>
      </c>
      <c r="S266">
        <f t="shared" si="42"/>
        <v>0</v>
      </c>
      <c r="T266">
        <f t="shared" si="43"/>
        <v>0</v>
      </c>
    </row>
    <row r="267" spans="1:20" x14ac:dyDescent="0.25">
      <c r="A267" s="5"/>
      <c r="C267"/>
      <c r="D267"/>
      <c r="P267">
        <f t="shared" ref="P267:P330" si="44">IF(C267=D267,0,((E267-D267)-(C267-E267))/(C267-D267))</f>
        <v>0</v>
      </c>
      <c r="Q267">
        <f t="shared" ref="Q267:Q330" si="45">F267*P267</f>
        <v>0</v>
      </c>
      <c r="R267">
        <f t="shared" ref="R267:R330" si="46">R268+Q267</f>
        <v>0</v>
      </c>
      <c r="S267">
        <f t="shared" ref="S267:S330" si="47">R267/100000</f>
        <v>0</v>
      </c>
      <c r="T267">
        <f t="shared" ref="T267:T330" si="48">S267/1000</f>
        <v>0</v>
      </c>
    </row>
    <row r="268" spans="1:20" x14ac:dyDescent="0.25">
      <c r="A268" s="5"/>
      <c r="C268"/>
      <c r="D268"/>
      <c r="P268">
        <f t="shared" si="44"/>
        <v>0</v>
      </c>
      <c r="Q268">
        <f t="shared" si="45"/>
        <v>0</v>
      </c>
      <c r="R268">
        <f t="shared" si="46"/>
        <v>0</v>
      </c>
      <c r="S268">
        <f t="shared" si="47"/>
        <v>0</v>
      </c>
      <c r="T268">
        <f t="shared" si="48"/>
        <v>0</v>
      </c>
    </row>
    <row r="269" spans="1:20" x14ac:dyDescent="0.25">
      <c r="A269" s="5"/>
      <c r="C269"/>
      <c r="D269"/>
      <c r="P269">
        <f t="shared" si="44"/>
        <v>0</v>
      </c>
      <c r="Q269">
        <f t="shared" si="45"/>
        <v>0</v>
      </c>
      <c r="R269">
        <f t="shared" si="46"/>
        <v>0</v>
      </c>
      <c r="S269">
        <f t="shared" si="47"/>
        <v>0</v>
      </c>
      <c r="T269">
        <f t="shared" si="48"/>
        <v>0</v>
      </c>
    </row>
    <row r="270" spans="1:20" x14ac:dyDescent="0.25">
      <c r="A270" s="5"/>
      <c r="C270"/>
      <c r="D270"/>
      <c r="P270">
        <f t="shared" si="44"/>
        <v>0</v>
      </c>
      <c r="Q270">
        <f t="shared" si="45"/>
        <v>0</v>
      </c>
      <c r="R270">
        <f t="shared" si="46"/>
        <v>0</v>
      </c>
      <c r="S270">
        <f t="shared" si="47"/>
        <v>0</v>
      </c>
      <c r="T270">
        <f t="shared" si="48"/>
        <v>0</v>
      </c>
    </row>
    <row r="271" spans="1:20" x14ac:dyDescent="0.25">
      <c r="A271" s="5"/>
      <c r="C271"/>
      <c r="D271"/>
      <c r="P271">
        <f t="shared" si="44"/>
        <v>0</v>
      </c>
      <c r="Q271">
        <f t="shared" si="45"/>
        <v>0</v>
      </c>
      <c r="R271">
        <f t="shared" si="46"/>
        <v>0</v>
      </c>
      <c r="S271">
        <f t="shared" si="47"/>
        <v>0</v>
      </c>
      <c r="T271">
        <f t="shared" si="48"/>
        <v>0</v>
      </c>
    </row>
    <row r="272" spans="1:20" x14ac:dyDescent="0.25">
      <c r="A272" s="5"/>
      <c r="C272"/>
      <c r="D272"/>
      <c r="P272">
        <f t="shared" si="44"/>
        <v>0</v>
      </c>
      <c r="Q272">
        <f t="shared" si="45"/>
        <v>0</v>
      </c>
      <c r="R272">
        <f t="shared" si="46"/>
        <v>0</v>
      </c>
      <c r="S272">
        <f t="shared" si="47"/>
        <v>0</v>
      </c>
      <c r="T272">
        <f t="shared" si="48"/>
        <v>0</v>
      </c>
    </row>
    <row r="273" spans="1:20" x14ac:dyDescent="0.25">
      <c r="A273" s="5"/>
      <c r="C273"/>
      <c r="D273"/>
      <c r="P273">
        <f t="shared" si="44"/>
        <v>0</v>
      </c>
      <c r="Q273">
        <f t="shared" si="45"/>
        <v>0</v>
      </c>
      <c r="R273">
        <f t="shared" si="46"/>
        <v>0</v>
      </c>
      <c r="S273">
        <f t="shared" si="47"/>
        <v>0</v>
      </c>
      <c r="T273">
        <f t="shared" si="48"/>
        <v>0</v>
      </c>
    </row>
    <row r="274" spans="1:20" x14ac:dyDescent="0.25">
      <c r="A274" s="5"/>
      <c r="C274"/>
      <c r="D274"/>
      <c r="P274">
        <f t="shared" si="44"/>
        <v>0</v>
      </c>
      <c r="Q274">
        <f t="shared" si="45"/>
        <v>0</v>
      </c>
      <c r="R274">
        <f t="shared" si="46"/>
        <v>0</v>
      </c>
      <c r="S274">
        <f t="shared" si="47"/>
        <v>0</v>
      </c>
      <c r="T274">
        <f t="shared" si="48"/>
        <v>0</v>
      </c>
    </row>
    <row r="275" spans="1:20" x14ac:dyDescent="0.25">
      <c r="A275" s="5"/>
      <c r="C275"/>
      <c r="D275"/>
      <c r="P275">
        <f t="shared" si="44"/>
        <v>0</v>
      </c>
      <c r="Q275">
        <f t="shared" si="45"/>
        <v>0</v>
      </c>
      <c r="R275">
        <f t="shared" si="46"/>
        <v>0</v>
      </c>
      <c r="S275">
        <f t="shared" si="47"/>
        <v>0</v>
      </c>
      <c r="T275">
        <f t="shared" si="48"/>
        <v>0</v>
      </c>
    </row>
    <row r="276" spans="1:20" x14ac:dyDescent="0.25">
      <c r="A276" s="5"/>
      <c r="C276"/>
      <c r="D276"/>
      <c r="P276">
        <f t="shared" si="44"/>
        <v>0</v>
      </c>
      <c r="Q276">
        <f t="shared" si="45"/>
        <v>0</v>
      </c>
      <c r="R276">
        <f t="shared" si="46"/>
        <v>0</v>
      </c>
      <c r="S276">
        <f t="shared" si="47"/>
        <v>0</v>
      </c>
      <c r="T276">
        <f t="shared" si="48"/>
        <v>0</v>
      </c>
    </row>
    <row r="277" spans="1:20" x14ac:dyDescent="0.25">
      <c r="A277" s="5"/>
      <c r="C277"/>
      <c r="D277"/>
      <c r="P277">
        <f t="shared" si="44"/>
        <v>0</v>
      </c>
      <c r="Q277">
        <f t="shared" si="45"/>
        <v>0</v>
      </c>
      <c r="R277">
        <f t="shared" si="46"/>
        <v>0</v>
      </c>
      <c r="S277">
        <f t="shared" si="47"/>
        <v>0</v>
      </c>
      <c r="T277">
        <f t="shared" si="48"/>
        <v>0</v>
      </c>
    </row>
    <row r="278" spans="1:20" x14ac:dyDescent="0.25">
      <c r="A278" s="5"/>
      <c r="C278"/>
      <c r="D278"/>
      <c r="P278">
        <f t="shared" si="44"/>
        <v>0</v>
      </c>
      <c r="Q278">
        <f t="shared" si="45"/>
        <v>0</v>
      </c>
      <c r="R278">
        <f t="shared" si="46"/>
        <v>0</v>
      </c>
      <c r="S278">
        <f t="shared" si="47"/>
        <v>0</v>
      </c>
      <c r="T278">
        <f t="shared" si="48"/>
        <v>0</v>
      </c>
    </row>
    <row r="279" spans="1:20" x14ac:dyDescent="0.25">
      <c r="A279" s="5"/>
      <c r="C279"/>
      <c r="D279"/>
      <c r="P279">
        <f t="shared" si="44"/>
        <v>0</v>
      </c>
      <c r="Q279">
        <f t="shared" si="45"/>
        <v>0</v>
      </c>
      <c r="R279">
        <f t="shared" si="46"/>
        <v>0</v>
      </c>
      <c r="S279">
        <f t="shared" si="47"/>
        <v>0</v>
      </c>
      <c r="T279">
        <f t="shared" si="48"/>
        <v>0</v>
      </c>
    </row>
    <row r="280" spans="1:20" x14ac:dyDescent="0.25">
      <c r="A280" s="5"/>
      <c r="C280"/>
      <c r="D280"/>
      <c r="P280">
        <f t="shared" si="44"/>
        <v>0</v>
      </c>
      <c r="Q280">
        <f t="shared" si="45"/>
        <v>0</v>
      </c>
      <c r="R280">
        <f t="shared" si="46"/>
        <v>0</v>
      </c>
      <c r="S280">
        <f t="shared" si="47"/>
        <v>0</v>
      </c>
      <c r="T280">
        <f t="shared" si="48"/>
        <v>0</v>
      </c>
    </row>
    <row r="281" spans="1:20" x14ac:dyDescent="0.25">
      <c r="A281" s="5"/>
      <c r="C281"/>
      <c r="D281"/>
      <c r="P281">
        <f t="shared" si="44"/>
        <v>0</v>
      </c>
      <c r="Q281">
        <f t="shared" si="45"/>
        <v>0</v>
      </c>
      <c r="R281">
        <f t="shared" si="46"/>
        <v>0</v>
      </c>
      <c r="S281">
        <f t="shared" si="47"/>
        <v>0</v>
      </c>
      <c r="T281">
        <f t="shared" si="48"/>
        <v>0</v>
      </c>
    </row>
    <row r="282" spans="1:20" x14ac:dyDescent="0.25">
      <c r="A282" s="5"/>
      <c r="C282"/>
      <c r="D282"/>
      <c r="P282">
        <f t="shared" si="44"/>
        <v>0</v>
      </c>
      <c r="Q282">
        <f t="shared" si="45"/>
        <v>0</v>
      </c>
      <c r="R282">
        <f t="shared" si="46"/>
        <v>0</v>
      </c>
      <c r="S282">
        <f t="shared" si="47"/>
        <v>0</v>
      </c>
      <c r="T282">
        <f t="shared" si="48"/>
        <v>0</v>
      </c>
    </row>
    <row r="283" spans="1:20" x14ac:dyDescent="0.25">
      <c r="A283" s="5"/>
      <c r="C283"/>
      <c r="D283"/>
      <c r="P283">
        <f t="shared" si="44"/>
        <v>0</v>
      </c>
      <c r="Q283">
        <f t="shared" si="45"/>
        <v>0</v>
      </c>
      <c r="R283">
        <f t="shared" si="46"/>
        <v>0</v>
      </c>
      <c r="S283">
        <f t="shared" si="47"/>
        <v>0</v>
      </c>
      <c r="T283">
        <f t="shared" si="48"/>
        <v>0</v>
      </c>
    </row>
    <row r="284" spans="1:20" x14ac:dyDescent="0.25">
      <c r="A284" s="5"/>
      <c r="C284"/>
      <c r="D284"/>
      <c r="P284">
        <f t="shared" si="44"/>
        <v>0</v>
      </c>
      <c r="Q284">
        <f t="shared" si="45"/>
        <v>0</v>
      </c>
      <c r="R284">
        <f t="shared" si="46"/>
        <v>0</v>
      </c>
      <c r="S284">
        <f t="shared" si="47"/>
        <v>0</v>
      </c>
      <c r="T284">
        <f t="shared" si="48"/>
        <v>0</v>
      </c>
    </row>
    <row r="285" spans="1:20" x14ac:dyDescent="0.25">
      <c r="A285" s="5"/>
      <c r="C285"/>
      <c r="D285"/>
      <c r="P285">
        <f t="shared" si="44"/>
        <v>0</v>
      </c>
      <c r="Q285">
        <f t="shared" si="45"/>
        <v>0</v>
      </c>
      <c r="R285">
        <f t="shared" si="46"/>
        <v>0</v>
      </c>
      <c r="S285">
        <f t="shared" si="47"/>
        <v>0</v>
      </c>
      <c r="T285">
        <f t="shared" si="48"/>
        <v>0</v>
      </c>
    </row>
    <row r="286" spans="1:20" x14ac:dyDescent="0.25">
      <c r="A286" s="5"/>
      <c r="C286"/>
      <c r="D286"/>
      <c r="P286">
        <f t="shared" si="44"/>
        <v>0</v>
      </c>
      <c r="Q286">
        <f t="shared" si="45"/>
        <v>0</v>
      </c>
      <c r="R286">
        <f t="shared" si="46"/>
        <v>0</v>
      </c>
      <c r="S286">
        <f t="shared" si="47"/>
        <v>0</v>
      </c>
      <c r="T286">
        <f t="shared" si="48"/>
        <v>0</v>
      </c>
    </row>
    <row r="287" spans="1:20" x14ac:dyDescent="0.25">
      <c r="A287" s="5"/>
      <c r="C287"/>
      <c r="D287"/>
      <c r="P287">
        <f t="shared" si="44"/>
        <v>0</v>
      </c>
      <c r="Q287">
        <f t="shared" si="45"/>
        <v>0</v>
      </c>
      <c r="R287">
        <f t="shared" si="46"/>
        <v>0</v>
      </c>
      <c r="S287">
        <f t="shared" si="47"/>
        <v>0</v>
      </c>
      <c r="T287">
        <f t="shared" si="48"/>
        <v>0</v>
      </c>
    </row>
    <row r="288" spans="1:20" x14ac:dyDescent="0.25">
      <c r="A288" s="5"/>
      <c r="C288"/>
      <c r="D288"/>
      <c r="P288">
        <f t="shared" si="44"/>
        <v>0</v>
      </c>
      <c r="Q288">
        <f t="shared" si="45"/>
        <v>0</v>
      </c>
      <c r="R288">
        <f t="shared" si="46"/>
        <v>0</v>
      </c>
      <c r="S288">
        <f t="shared" si="47"/>
        <v>0</v>
      </c>
      <c r="T288">
        <f t="shared" si="48"/>
        <v>0</v>
      </c>
    </row>
    <row r="289" spans="1:20" x14ac:dyDescent="0.25">
      <c r="A289" s="5"/>
      <c r="C289"/>
      <c r="D289"/>
      <c r="P289">
        <f t="shared" si="44"/>
        <v>0</v>
      </c>
      <c r="Q289">
        <f t="shared" si="45"/>
        <v>0</v>
      </c>
      <c r="R289">
        <f t="shared" si="46"/>
        <v>0</v>
      </c>
      <c r="S289">
        <f t="shared" si="47"/>
        <v>0</v>
      </c>
      <c r="T289">
        <f t="shared" si="48"/>
        <v>0</v>
      </c>
    </row>
    <row r="290" spans="1:20" x14ac:dyDescent="0.25">
      <c r="A290" s="5"/>
      <c r="C290"/>
      <c r="D290"/>
      <c r="P290">
        <f t="shared" si="44"/>
        <v>0</v>
      </c>
      <c r="Q290">
        <f t="shared" si="45"/>
        <v>0</v>
      </c>
      <c r="R290">
        <f t="shared" si="46"/>
        <v>0</v>
      </c>
      <c r="S290">
        <f t="shared" si="47"/>
        <v>0</v>
      </c>
      <c r="T290">
        <f t="shared" si="48"/>
        <v>0</v>
      </c>
    </row>
    <row r="291" spans="1:20" x14ac:dyDescent="0.25">
      <c r="A291" s="5"/>
      <c r="C291"/>
      <c r="D291"/>
      <c r="P291">
        <f t="shared" si="44"/>
        <v>0</v>
      </c>
      <c r="Q291">
        <f t="shared" si="45"/>
        <v>0</v>
      </c>
      <c r="R291">
        <f t="shared" si="46"/>
        <v>0</v>
      </c>
      <c r="S291">
        <f t="shared" si="47"/>
        <v>0</v>
      </c>
      <c r="T291">
        <f t="shared" si="48"/>
        <v>0</v>
      </c>
    </row>
    <row r="292" spans="1:20" x14ac:dyDescent="0.25">
      <c r="A292" s="5"/>
      <c r="C292"/>
      <c r="D292"/>
      <c r="P292">
        <f t="shared" si="44"/>
        <v>0</v>
      </c>
      <c r="Q292">
        <f t="shared" si="45"/>
        <v>0</v>
      </c>
      <c r="R292">
        <f t="shared" si="46"/>
        <v>0</v>
      </c>
      <c r="S292">
        <f t="shared" si="47"/>
        <v>0</v>
      </c>
      <c r="T292">
        <f t="shared" si="48"/>
        <v>0</v>
      </c>
    </row>
    <row r="293" spans="1:20" x14ac:dyDescent="0.25">
      <c r="A293" s="5"/>
      <c r="C293"/>
      <c r="D293"/>
      <c r="P293">
        <f t="shared" si="44"/>
        <v>0</v>
      </c>
      <c r="Q293">
        <f t="shared" si="45"/>
        <v>0</v>
      </c>
      <c r="R293">
        <f t="shared" si="46"/>
        <v>0</v>
      </c>
      <c r="S293">
        <f t="shared" si="47"/>
        <v>0</v>
      </c>
      <c r="T293">
        <f t="shared" si="48"/>
        <v>0</v>
      </c>
    </row>
    <row r="294" spans="1:20" x14ac:dyDescent="0.25">
      <c r="A294" s="5"/>
      <c r="C294"/>
      <c r="D294"/>
      <c r="P294">
        <f t="shared" si="44"/>
        <v>0</v>
      </c>
      <c r="Q294">
        <f t="shared" si="45"/>
        <v>0</v>
      </c>
      <c r="R294">
        <f t="shared" si="46"/>
        <v>0</v>
      </c>
      <c r="S294">
        <f t="shared" si="47"/>
        <v>0</v>
      </c>
      <c r="T294">
        <f t="shared" si="48"/>
        <v>0</v>
      </c>
    </row>
    <row r="295" spans="1:20" x14ac:dyDescent="0.25">
      <c r="A295" s="5"/>
      <c r="C295"/>
      <c r="D295"/>
      <c r="P295">
        <f t="shared" si="44"/>
        <v>0</v>
      </c>
      <c r="Q295">
        <f t="shared" si="45"/>
        <v>0</v>
      </c>
      <c r="R295">
        <f t="shared" si="46"/>
        <v>0</v>
      </c>
      <c r="S295">
        <f t="shared" si="47"/>
        <v>0</v>
      </c>
      <c r="T295">
        <f t="shared" si="48"/>
        <v>0</v>
      </c>
    </row>
    <row r="296" spans="1:20" x14ac:dyDescent="0.25">
      <c r="A296" s="5"/>
      <c r="C296"/>
      <c r="D296"/>
      <c r="P296">
        <f t="shared" si="44"/>
        <v>0</v>
      </c>
      <c r="Q296">
        <f t="shared" si="45"/>
        <v>0</v>
      </c>
      <c r="R296">
        <f t="shared" si="46"/>
        <v>0</v>
      </c>
      <c r="S296">
        <f t="shared" si="47"/>
        <v>0</v>
      </c>
      <c r="T296">
        <f t="shared" si="48"/>
        <v>0</v>
      </c>
    </row>
    <row r="297" spans="1:20" x14ac:dyDescent="0.25">
      <c r="A297" s="5"/>
      <c r="C297"/>
      <c r="D297"/>
      <c r="P297">
        <f t="shared" si="44"/>
        <v>0</v>
      </c>
      <c r="Q297">
        <f t="shared" si="45"/>
        <v>0</v>
      </c>
      <c r="R297">
        <f t="shared" si="46"/>
        <v>0</v>
      </c>
      <c r="S297">
        <f t="shared" si="47"/>
        <v>0</v>
      </c>
      <c r="T297">
        <f t="shared" si="48"/>
        <v>0</v>
      </c>
    </row>
    <row r="298" spans="1:20" x14ac:dyDescent="0.25">
      <c r="A298" s="5"/>
      <c r="C298"/>
      <c r="D298"/>
      <c r="P298">
        <f t="shared" si="44"/>
        <v>0</v>
      </c>
      <c r="Q298">
        <f t="shared" si="45"/>
        <v>0</v>
      </c>
      <c r="R298">
        <f t="shared" si="46"/>
        <v>0</v>
      </c>
      <c r="S298">
        <f t="shared" si="47"/>
        <v>0</v>
      </c>
      <c r="T298">
        <f t="shared" si="48"/>
        <v>0</v>
      </c>
    </row>
    <row r="299" spans="1:20" x14ac:dyDescent="0.25">
      <c r="A299" s="5"/>
      <c r="C299"/>
      <c r="D299"/>
      <c r="P299">
        <f t="shared" si="44"/>
        <v>0</v>
      </c>
      <c r="Q299">
        <f t="shared" si="45"/>
        <v>0</v>
      </c>
      <c r="R299">
        <f t="shared" si="46"/>
        <v>0</v>
      </c>
      <c r="S299">
        <f t="shared" si="47"/>
        <v>0</v>
      </c>
      <c r="T299">
        <f t="shared" si="48"/>
        <v>0</v>
      </c>
    </row>
    <row r="300" spans="1:20" x14ac:dyDescent="0.25">
      <c r="A300" s="5"/>
      <c r="C300"/>
      <c r="D300"/>
      <c r="P300">
        <f t="shared" si="44"/>
        <v>0</v>
      </c>
      <c r="Q300">
        <f t="shared" si="45"/>
        <v>0</v>
      </c>
      <c r="R300">
        <f t="shared" si="46"/>
        <v>0</v>
      </c>
      <c r="S300">
        <f t="shared" si="47"/>
        <v>0</v>
      </c>
      <c r="T300">
        <f t="shared" si="48"/>
        <v>0</v>
      </c>
    </row>
    <row r="301" spans="1:20" x14ac:dyDescent="0.25">
      <c r="A301" s="5"/>
      <c r="C301"/>
      <c r="D301"/>
      <c r="P301">
        <f t="shared" si="44"/>
        <v>0</v>
      </c>
      <c r="Q301">
        <f t="shared" si="45"/>
        <v>0</v>
      </c>
      <c r="R301">
        <f t="shared" si="46"/>
        <v>0</v>
      </c>
      <c r="S301">
        <f t="shared" si="47"/>
        <v>0</v>
      </c>
      <c r="T301">
        <f t="shared" si="48"/>
        <v>0</v>
      </c>
    </row>
    <row r="302" spans="1:20" x14ac:dyDescent="0.25">
      <c r="A302" s="5"/>
      <c r="C302"/>
      <c r="D302"/>
      <c r="P302">
        <f t="shared" si="44"/>
        <v>0</v>
      </c>
      <c r="Q302">
        <f t="shared" si="45"/>
        <v>0</v>
      </c>
      <c r="R302">
        <f t="shared" si="46"/>
        <v>0</v>
      </c>
      <c r="S302">
        <f t="shared" si="47"/>
        <v>0</v>
      </c>
      <c r="T302">
        <f t="shared" si="48"/>
        <v>0</v>
      </c>
    </row>
    <row r="303" spans="1:20" x14ac:dyDescent="0.25">
      <c r="A303" s="5"/>
      <c r="C303"/>
      <c r="D303"/>
      <c r="P303">
        <f t="shared" si="44"/>
        <v>0</v>
      </c>
      <c r="Q303">
        <f t="shared" si="45"/>
        <v>0</v>
      </c>
      <c r="R303">
        <f t="shared" si="46"/>
        <v>0</v>
      </c>
      <c r="S303">
        <f t="shared" si="47"/>
        <v>0</v>
      </c>
      <c r="T303">
        <f t="shared" si="48"/>
        <v>0</v>
      </c>
    </row>
    <row r="304" spans="1:20" x14ac:dyDescent="0.25">
      <c r="A304" s="5"/>
      <c r="C304"/>
      <c r="D304"/>
      <c r="P304">
        <f t="shared" si="44"/>
        <v>0</v>
      </c>
      <c r="Q304">
        <f t="shared" si="45"/>
        <v>0</v>
      </c>
      <c r="R304">
        <f t="shared" si="46"/>
        <v>0</v>
      </c>
      <c r="S304">
        <f t="shared" si="47"/>
        <v>0</v>
      </c>
      <c r="T304">
        <f t="shared" si="48"/>
        <v>0</v>
      </c>
    </row>
    <row r="305" spans="1:20" x14ac:dyDescent="0.25">
      <c r="A305" s="5"/>
      <c r="C305"/>
      <c r="D305"/>
      <c r="P305">
        <f t="shared" si="44"/>
        <v>0</v>
      </c>
      <c r="Q305">
        <f t="shared" si="45"/>
        <v>0</v>
      </c>
      <c r="R305">
        <f t="shared" si="46"/>
        <v>0</v>
      </c>
      <c r="S305">
        <f t="shared" si="47"/>
        <v>0</v>
      </c>
      <c r="T305">
        <f t="shared" si="48"/>
        <v>0</v>
      </c>
    </row>
    <row r="306" spans="1:20" x14ac:dyDescent="0.25">
      <c r="A306" s="5"/>
      <c r="C306"/>
      <c r="D306"/>
      <c r="P306">
        <f t="shared" si="44"/>
        <v>0</v>
      </c>
      <c r="Q306">
        <f t="shared" si="45"/>
        <v>0</v>
      </c>
      <c r="R306">
        <f t="shared" si="46"/>
        <v>0</v>
      </c>
      <c r="S306">
        <f t="shared" si="47"/>
        <v>0</v>
      </c>
      <c r="T306">
        <f t="shared" si="48"/>
        <v>0</v>
      </c>
    </row>
    <row r="307" spans="1:20" x14ac:dyDescent="0.25">
      <c r="A307" s="5"/>
      <c r="C307"/>
      <c r="D307"/>
      <c r="P307">
        <f t="shared" si="44"/>
        <v>0</v>
      </c>
      <c r="Q307">
        <f t="shared" si="45"/>
        <v>0</v>
      </c>
      <c r="R307">
        <f t="shared" si="46"/>
        <v>0</v>
      </c>
      <c r="S307">
        <f t="shared" si="47"/>
        <v>0</v>
      </c>
      <c r="T307">
        <f t="shared" si="48"/>
        <v>0</v>
      </c>
    </row>
    <row r="308" spans="1:20" x14ac:dyDescent="0.25">
      <c r="A308" s="5"/>
      <c r="C308"/>
      <c r="D308"/>
      <c r="P308">
        <f t="shared" si="44"/>
        <v>0</v>
      </c>
      <c r="Q308">
        <f t="shared" si="45"/>
        <v>0</v>
      </c>
      <c r="R308">
        <f t="shared" si="46"/>
        <v>0</v>
      </c>
      <c r="S308">
        <f t="shared" si="47"/>
        <v>0</v>
      </c>
      <c r="T308">
        <f t="shared" si="48"/>
        <v>0</v>
      </c>
    </row>
    <row r="309" spans="1:20" x14ac:dyDescent="0.25">
      <c r="A309" s="5"/>
      <c r="C309"/>
      <c r="D309"/>
      <c r="P309">
        <f t="shared" si="44"/>
        <v>0</v>
      </c>
      <c r="Q309">
        <f t="shared" si="45"/>
        <v>0</v>
      </c>
      <c r="R309">
        <f t="shared" si="46"/>
        <v>0</v>
      </c>
      <c r="S309">
        <f t="shared" si="47"/>
        <v>0</v>
      </c>
      <c r="T309">
        <f t="shared" si="48"/>
        <v>0</v>
      </c>
    </row>
    <row r="310" spans="1:20" x14ac:dyDescent="0.25">
      <c r="A310" s="5"/>
      <c r="C310"/>
      <c r="D310"/>
      <c r="P310">
        <f t="shared" si="44"/>
        <v>0</v>
      </c>
      <c r="Q310">
        <f t="shared" si="45"/>
        <v>0</v>
      </c>
      <c r="R310">
        <f t="shared" si="46"/>
        <v>0</v>
      </c>
      <c r="S310">
        <f t="shared" si="47"/>
        <v>0</v>
      </c>
      <c r="T310">
        <f t="shared" si="48"/>
        <v>0</v>
      </c>
    </row>
    <row r="311" spans="1:20" x14ac:dyDescent="0.25">
      <c r="A311" s="5"/>
      <c r="C311"/>
      <c r="D311"/>
      <c r="P311">
        <f t="shared" si="44"/>
        <v>0</v>
      </c>
      <c r="Q311">
        <f t="shared" si="45"/>
        <v>0</v>
      </c>
      <c r="R311">
        <f t="shared" si="46"/>
        <v>0</v>
      </c>
      <c r="S311">
        <f t="shared" si="47"/>
        <v>0</v>
      </c>
      <c r="T311">
        <f t="shared" si="48"/>
        <v>0</v>
      </c>
    </row>
    <row r="312" spans="1:20" x14ac:dyDescent="0.25">
      <c r="A312" s="5"/>
      <c r="C312"/>
      <c r="D312"/>
      <c r="P312">
        <f t="shared" si="44"/>
        <v>0</v>
      </c>
      <c r="Q312">
        <f t="shared" si="45"/>
        <v>0</v>
      </c>
      <c r="R312">
        <f t="shared" si="46"/>
        <v>0</v>
      </c>
      <c r="S312">
        <f t="shared" si="47"/>
        <v>0</v>
      </c>
      <c r="T312">
        <f t="shared" si="48"/>
        <v>0</v>
      </c>
    </row>
    <row r="313" spans="1:20" x14ac:dyDescent="0.25">
      <c r="A313" s="5"/>
      <c r="C313"/>
      <c r="D313"/>
      <c r="P313">
        <f t="shared" si="44"/>
        <v>0</v>
      </c>
      <c r="Q313">
        <f t="shared" si="45"/>
        <v>0</v>
      </c>
      <c r="R313">
        <f t="shared" si="46"/>
        <v>0</v>
      </c>
      <c r="S313">
        <f t="shared" si="47"/>
        <v>0</v>
      </c>
      <c r="T313">
        <f t="shared" si="48"/>
        <v>0</v>
      </c>
    </row>
    <row r="314" spans="1:20" x14ac:dyDescent="0.25">
      <c r="A314" s="5"/>
      <c r="C314"/>
      <c r="D314"/>
      <c r="P314">
        <f t="shared" si="44"/>
        <v>0</v>
      </c>
      <c r="Q314">
        <f t="shared" si="45"/>
        <v>0</v>
      </c>
      <c r="R314">
        <f t="shared" si="46"/>
        <v>0</v>
      </c>
      <c r="S314">
        <f t="shared" si="47"/>
        <v>0</v>
      </c>
      <c r="T314">
        <f t="shared" si="48"/>
        <v>0</v>
      </c>
    </row>
    <row r="315" spans="1:20" x14ac:dyDescent="0.25">
      <c r="A315" s="5"/>
      <c r="C315"/>
      <c r="D315"/>
      <c r="P315">
        <f t="shared" si="44"/>
        <v>0</v>
      </c>
      <c r="Q315">
        <f t="shared" si="45"/>
        <v>0</v>
      </c>
      <c r="R315">
        <f t="shared" si="46"/>
        <v>0</v>
      </c>
      <c r="S315">
        <f t="shared" si="47"/>
        <v>0</v>
      </c>
      <c r="T315">
        <f t="shared" si="48"/>
        <v>0</v>
      </c>
    </row>
    <row r="316" spans="1:20" x14ac:dyDescent="0.25">
      <c r="A316" s="5"/>
      <c r="C316"/>
      <c r="D316"/>
      <c r="P316">
        <f t="shared" si="44"/>
        <v>0</v>
      </c>
      <c r="Q316">
        <f t="shared" si="45"/>
        <v>0</v>
      </c>
      <c r="R316">
        <f t="shared" si="46"/>
        <v>0</v>
      </c>
      <c r="S316">
        <f t="shared" si="47"/>
        <v>0</v>
      </c>
      <c r="T316">
        <f t="shared" si="48"/>
        <v>0</v>
      </c>
    </row>
    <row r="317" spans="1:20" x14ac:dyDescent="0.25">
      <c r="A317" s="5"/>
      <c r="C317"/>
      <c r="D317"/>
      <c r="P317">
        <f t="shared" si="44"/>
        <v>0</v>
      </c>
      <c r="Q317">
        <f t="shared" si="45"/>
        <v>0</v>
      </c>
      <c r="R317">
        <f t="shared" si="46"/>
        <v>0</v>
      </c>
      <c r="S317">
        <f t="shared" si="47"/>
        <v>0</v>
      </c>
      <c r="T317">
        <f t="shared" si="48"/>
        <v>0</v>
      </c>
    </row>
    <row r="318" spans="1:20" x14ac:dyDescent="0.25">
      <c r="A318" s="5"/>
      <c r="C318"/>
      <c r="D318"/>
      <c r="P318">
        <f t="shared" si="44"/>
        <v>0</v>
      </c>
      <c r="Q318">
        <f t="shared" si="45"/>
        <v>0</v>
      </c>
      <c r="R318">
        <f t="shared" si="46"/>
        <v>0</v>
      </c>
      <c r="S318">
        <f t="shared" si="47"/>
        <v>0</v>
      </c>
      <c r="T318">
        <f t="shared" si="48"/>
        <v>0</v>
      </c>
    </row>
    <row r="319" spans="1:20" x14ac:dyDescent="0.25">
      <c r="A319" s="5"/>
      <c r="C319"/>
      <c r="D319"/>
      <c r="P319">
        <f t="shared" si="44"/>
        <v>0</v>
      </c>
      <c r="Q319">
        <f t="shared" si="45"/>
        <v>0</v>
      </c>
      <c r="R319">
        <f t="shared" si="46"/>
        <v>0</v>
      </c>
      <c r="S319">
        <f t="shared" si="47"/>
        <v>0</v>
      </c>
      <c r="T319">
        <f t="shared" si="48"/>
        <v>0</v>
      </c>
    </row>
    <row r="320" spans="1:20" x14ac:dyDescent="0.25">
      <c r="A320" s="5"/>
      <c r="C320"/>
      <c r="D320"/>
      <c r="P320">
        <f t="shared" si="44"/>
        <v>0</v>
      </c>
      <c r="Q320">
        <f t="shared" si="45"/>
        <v>0</v>
      </c>
      <c r="R320">
        <f t="shared" si="46"/>
        <v>0</v>
      </c>
      <c r="S320">
        <f t="shared" si="47"/>
        <v>0</v>
      </c>
      <c r="T320">
        <f t="shared" si="48"/>
        <v>0</v>
      </c>
    </row>
    <row r="321" spans="1:20" x14ac:dyDescent="0.25">
      <c r="A321" s="5"/>
      <c r="C321"/>
      <c r="D321"/>
      <c r="P321">
        <f t="shared" si="44"/>
        <v>0</v>
      </c>
      <c r="Q321">
        <f t="shared" si="45"/>
        <v>0</v>
      </c>
      <c r="R321">
        <f t="shared" si="46"/>
        <v>0</v>
      </c>
      <c r="S321">
        <f t="shared" si="47"/>
        <v>0</v>
      </c>
      <c r="T321">
        <f t="shared" si="48"/>
        <v>0</v>
      </c>
    </row>
    <row r="322" spans="1:20" x14ac:dyDescent="0.25">
      <c r="A322" s="5"/>
      <c r="C322"/>
      <c r="D322"/>
      <c r="P322">
        <f t="shared" si="44"/>
        <v>0</v>
      </c>
      <c r="Q322">
        <f t="shared" si="45"/>
        <v>0</v>
      </c>
      <c r="R322">
        <f t="shared" si="46"/>
        <v>0</v>
      </c>
      <c r="S322">
        <f t="shared" si="47"/>
        <v>0</v>
      </c>
      <c r="T322">
        <f t="shared" si="48"/>
        <v>0</v>
      </c>
    </row>
    <row r="323" spans="1:20" x14ac:dyDescent="0.25">
      <c r="A323" s="5"/>
      <c r="C323"/>
      <c r="D323"/>
      <c r="P323">
        <f t="shared" si="44"/>
        <v>0</v>
      </c>
      <c r="Q323">
        <f t="shared" si="45"/>
        <v>0</v>
      </c>
      <c r="R323">
        <f t="shared" si="46"/>
        <v>0</v>
      </c>
      <c r="S323">
        <f t="shared" si="47"/>
        <v>0</v>
      </c>
      <c r="T323">
        <f t="shared" si="48"/>
        <v>0</v>
      </c>
    </row>
    <row r="324" spans="1:20" x14ac:dyDescent="0.25">
      <c r="A324" s="5"/>
      <c r="C324"/>
      <c r="D324"/>
      <c r="P324">
        <f t="shared" si="44"/>
        <v>0</v>
      </c>
      <c r="Q324">
        <f t="shared" si="45"/>
        <v>0</v>
      </c>
      <c r="R324">
        <f t="shared" si="46"/>
        <v>0</v>
      </c>
      <c r="S324">
        <f t="shared" si="47"/>
        <v>0</v>
      </c>
      <c r="T324">
        <f t="shared" si="48"/>
        <v>0</v>
      </c>
    </row>
    <row r="325" spans="1:20" x14ac:dyDescent="0.25">
      <c r="A325" s="5"/>
      <c r="C325"/>
      <c r="D325"/>
      <c r="P325">
        <f t="shared" si="44"/>
        <v>0</v>
      </c>
      <c r="Q325">
        <f t="shared" si="45"/>
        <v>0</v>
      </c>
      <c r="R325">
        <f t="shared" si="46"/>
        <v>0</v>
      </c>
      <c r="S325">
        <f t="shared" si="47"/>
        <v>0</v>
      </c>
      <c r="T325">
        <f t="shared" si="48"/>
        <v>0</v>
      </c>
    </row>
    <row r="326" spans="1:20" x14ac:dyDescent="0.25">
      <c r="A326" s="5"/>
      <c r="C326"/>
      <c r="D326"/>
      <c r="P326">
        <f t="shared" si="44"/>
        <v>0</v>
      </c>
      <c r="Q326">
        <f t="shared" si="45"/>
        <v>0</v>
      </c>
      <c r="R326">
        <f t="shared" si="46"/>
        <v>0</v>
      </c>
      <c r="S326">
        <f t="shared" si="47"/>
        <v>0</v>
      </c>
      <c r="T326">
        <f t="shared" si="48"/>
        <v>0</v>
      </c>
    </row>
    <row r="327" spans="1:20" x14ac:dyDescent="0.25">
      <c r="A327" s="5"/>
      <c r="C327"/>
      <c r="D327"/>
      <c r="P327">
        <f t="shared" si="44"/>
        <v>0</v>
      </c>
      <c r="Q327">
        <f t="shared" si="45"/>
        <v>0</v>
      </c>
      <c r="R327">
        <f t="shared" si="46"/>
        <v>0</v>
      </c>
      <c r="S327">
        <f t="shared" si="47"/>
        <v>0</v>
      </c>
      <c r="T327">
        <f t="shared" si="48"/>
        <v>0</v>
      </c>
    </row>
    <row r="328" spans="1:20" x14ac:dyDescent="0.25">
      <c r="A328" s="5"/>
      <c r="C328"/>
      <c r="D328"/>
      <c r="P328">
        <f t="shared" si="44"/>
        <v>0</v>
      </c>
      <c r="Q328">
        <f t="shared" si="45"/>
        <v>0</v>
      </c>
      <c r="R328">
        <f t="shared" si="46"/>
        <v>0</v>
      </c>
      <c r="S328">
        <f t="shared" si="47"/>
        <v>0</v>
      </c>
      <c r="T328">
        <f t="shared" si="48"/>
        <v>0</v>
      </c>
    </row>
    <row r="329" spans="1:20" x14ac:dyDescent="0.25">
      <c r="A329" s="5"/>
      <c r="C329"/>
      <c r="D329"/>
      <c r="P329">
        <f t="shared" si="44"/>
        <v>0</v>
      </c>
      <c r="Q329">
        <f t="shared" si="45"/>
        <v>0</v>
      </c>
      <c r="R329">
        <f t="shared" si="46"/>
        <v>0</v>
      </c>
      <c r="S329">
        <f t="shared" si="47"/>
        <v>0</v>
      </c>
      <c r="T329">
        <f t="shared" si="48"/>
        <v>0</v>
      </c>
    </row>
    <row r="330" spans="1:20" x14ac:dyDescent="0.25">
      <c r="A330" s="5"/>
      <c r="C330"/>
      <c r="D330"/>
      <c r="P330">
        <f t="shared" si="44"/>
        <v>0</v>
      </c>
      <c r="Q330">
        <f t="shared" si="45"/>
        <v>0</v>
      </c>
      <c r="R330">
        <f t="shared" si="46"/>
        <v>0</v>
      </c>
      <c r="S330">
        <f t="shared" si="47"/>
        <v>0</v>
      </c>
      <c r="T330">
        <f t="shared" si="48"/>
        <v>0</v>
      </c>
    </row>
    <row r="331" spans="1:20" x14ac:dyDescent="0.25">
      <c r="A331" s="5"/>
      <c r="C331"/>
      <c r="D331"/>
      <c r="P331">
        <f t="shared" ref="P331:P394" si="49">IF(C331=D331,0,((E331-D331)-(C331-E331))/(C331-D331))</f>
        <v>0</v>
      </c>
      <c r="Q331">
        <f t="shared" ref="Q331:Q394" si="50">F331*P331</f>
        <v>0</v>
      </c>
      <c r="R331">
        <f t="shared" ref="R331:R394" si="51">R332+Q331</f>
        <v>0</v>
      </c>
      <c r="S331">
        <f t="shared" ref="S331:S394" si="52">R331/100000</f>
        <v>0</v>
      </c>
      <c r="T331">
        <f t="shared" ref="T331:T394" si="53">S331/1000</f>
        <v>0</v>
      </c>
    </row>
    <row r="332" spans="1:20" x14ac:dyDescent="0.25">
      <c r="A332" s="5"/>
      <c r="C332"/>
      <c r="D332"/>
      <c r="P332">
        <f t="shared" si="49"/>
        <v>0</v>
      </c>
      <c r="Q332">
        <f t="shared" si="50"/>
        <v>0</v>
      </c>
      <c r="R332">
        <f t="shared" si="51"/>
        <v>0</v>
      </c>
      <c r="S332">
        <f t="shared" si="52"/>
        <v>0</v>
      </c>
      <c r="T332">
        <f t="shared" si="53"/>
        <v>0</v>
      </c>
    </row>
    <row r="333" spans="1:20" x14ac:dyDescent="0.25">
      <c r="A333" s="5"/>
      <c r="C333"/>
      <c r="D333"/>
      <c r="P333">
        <f t="shared" si="49"/>
        <v>0</v>
      </c>
      <c r="Q333">
        <f t="shared" si="50"/>
        <v>0</v>
      </c>
      <c r="R333">
        <f t="shared" si="51"/>
        <v>0</v>
      </c>
      <c r="S333">
        <f t="shared" si="52"/>
        <v>0</v>
      </c>
      <c r="T333">
        <f t="shared" si="53"/>
        <v>0</v>
      </c>
    </row>
    <row r="334" spans="1:20" x14ac:dyDescent="0.25">
      <c r="A334" s="5"/>
      <c r="C334"/>
      <c r="D334"/>
      <c r="P334">
        <f t="shared" si="49"/>
        <v>0</v>
      </c>
      <c r="Q334">
        <f t="shared" si="50"/>
        <v>0</v>
      </c>
      <c r="R334">
        <f t="shared" si="51"/>
        <v>0</v>
      </c>
      <c r="S334">
        <f t="shared" si="52"/>
        <v>0</v>
      </c>
      <c r="T334">
        <f t="shared" si="53"/>
        <v>0</v>
      </c>
    </row>
    <row r="335" spans="1:20" x14ac:dyDescent="0.25">
      <c r="A335" s="5"/>
      <c r="C335"/>
      <c r="D335"/>
      <c r="P335">
        <f t="shared" si="49"/>
        <v>0</v>
      </c>
      <c r="Q335">
        <f t="shared" si="50"/>
        <v>0</v>
      </c>
      <c r="R335">
        <f t="shared" si="51"/>
        <v>0</v>
      </c>
      <c r="S335">
        <f t="shared" si="52"/>
        <v>0</v>
      </c>
      <c r="T335">
        <f t="shared" si="53"/>
        <v>0</v>
      </c>
    </row>
    <row r="336" spans="1:20" x14ac:dyDescent="0.25">
      <c r="A336" s="5"/>
      <c r="C336"/>
      <c r="D336"/>
      <c r="P336">
        <f t="shared" si="49"/>
        <v>0</v>
      </c>
      <c r="Q336">
        <f t="shared" si="50"/>
        <v>0</v>
      </c>
      <c r="R336">
        <f t="shared" si="51"/>
        <v>0</v>
      </c>
      <c r="S336">
        <f t="shared" si="52"/>
        <v>0</v>
      </c>
      <c r="T336">
        <f t="shared" si="53"/>
        <v>0</v>
      </c>
    </row>
    <row r="337" spans="1:20" x14ac:dyDescent="0.25">
      <c r="A337" s="5"/>
      <c r="C337"/>
      <c r="D337"/>
      <c r="P337">
        <f t="shared" si="49"/>
        <v>0</v>
      </c>
      <c r="Q337">
        <f t="shared" si="50"/>
        <v>0</v>
      </c>
      <c r="R337">
        <f t="shared" si="51"/>
        <v>0</v>
      </c>
      <c r="S337">
        <f t="shared" si="52"/>
        <v>0</v>
      </c>
      <c r="T337">
        <f t="shared" si="53"/>
        <v>0</v>
      </c>
    </row>
    <row r="338" spans="1:20" x14ac:dyDescent="0.25">
      <c r="A338" s="5"/>
      <c r="C338"/>
      <c r="D338"/>
      <c r="P338">
        <f t="shared" si="49"/>
        <v>0</v>
      </c>
      <c r="Q338">
        <f t="shared" si="50"/>
        <v>0</v>
      </c>
      <c r="R338">
        <f t="shared" si="51"/>
        <v>0</v>
      </c>
      <c r="S338">
        <f t="shared" si="52"/>
        <v>0</v>
      </c>
      <c r="T338">
        <f t="shared" si="53"/>
        <v>0</v>
      </c>
    </row>
    <row r="339" spans="1:20" x14ac:dyDescent="0.25">
      <c r="A339" s="5"/>
      <c r="C339"/>
      <c r="D339"/>
      <c r="P339">
        <f t="shared" si="49"/>
        <v>0</v>
      </c>
      <c r="Q339">
        <f t="shared" si="50"/>
        <v>0</v>
      </c>
      <c r="R339">
        <f t="shared" si="51"/>
        <v>0</v>
      </c>
      <c r="S339">
        <f t="shared" si="52"/>
        <v>0</v>
      </c>
      <c r="T339">
        <f t="shared" si="53"/>
        <v>0</v>
      </c>
    </row>
    <row r="340" spans="1:20" x14ac:dyDescent="0.25">
      <c r="A340" s="5"/>
      <c r="C340"/>
      <c r="D340"/>
      <c r="P340">
        <f t="shared" si="49"/>
        <v>0</v>
      </c>
      <c r="Q340">
        <f t="shared" si="50"/>
        <v>0</v>
      </c>
      <c r="R340">
        <f t="shared" si="51"/>
        <v>0</v>
      </c>
      <c r="S340">
        <f t="shared" si="52"/>
        <v>0</v>
      </c>
      <c r="T340">
        <f t="shared" si="53"/>
        <v>0</v>
      </c>
    </row>
    <row r="341" spans="1:20" x14ac:dyDescent="0.25">
      <c r="A341" s="5"/>
      <c r="C341"/>
      <c r="D341"/>
      <c r="P341">
        <f t="shared" si="49"/>
        <v>0</v>
      </c>
      <c r="Q341">
        <f t="shared" si="50"/>
        <v>0</v>
      </c>
      <c r="R341">
        <f t="shared" si="51"/>
        <v>0</v>
      </c>
      <c r="S341">
        <f t="shared" si="52"/>
        <v>0</v>
      </c>
      <c r="T341">
        <f t="shared" si="53"/>
        <v>0</v>
      </c>
    </row>
    <row r="342" spans="1:20" x14ac:dyDescent="0.25">
      <c r="A342" s="5"/>
      <c r="C342"/>
      <c r="D342"/>
      <c r="P342">
        <f t="shared" si="49"/>
        <v>0</v>
      </c>
      <c r="Q342">
        <f t="shared" si="50"/>
        <v>0</v>
      </c>
      <c r="R342">
        <f t="shared" si="51"/>
        <v>0</v>
      </c>
      <c r="S342">
        <f t="shared" si="52"/>
        <v>0</v>
      </c>
      <c r="T342">
        <f t="shared" si="53"/>
        <v>0</v>
      </c>
    </row>
    <row r="343" spans="1:20" x14ac:dyDescent="0.25">
      <c r="A343" s="5"/>
      <c r="C343"/>
      <c r="D343"/>
      <c r="P343">
        <f t="shared" si="49"/>
        <v>0</v>
      </c>
      <c r="Q343">
        <f t="shared" si="50"/>
        <v>0</v>
      </c>
      <c r="R343">
        <f t="shared" si="51"/>
        <v>0</v>
      </c>
      <c r="S343">
        <f t="shared" si="52"/>
        <v>0</v>
      </c>
      <c r="T343">
        <f t="shared" si="53"/>
        <v>0</v>
      </c>
    </row>
    <row r="344" spans="1:20" x14ac:dyDescent="0.25">
      <c r="A344" s="5"/>
      <c r="C344"/>
      <c r="D344"/>
      <c r="P344">
        <f t="shared" si="49"/>
        <v>0</v>
      </c>
      <c r="Q344">
        <f t="shared" si="50"/>
        <v>0</v>
      </c>
      <c r="R344">
        <f t="shared" si="51"/>
        <v>0</v>
      </c>
      <c r="S344">
        <f t="shared" si="52"/>
        <v>0</v>
      </c>
      <c r="T344">
        <f t="shared" si="53"/>
        <v>0</v>
      </c>
    </row>
    <row r="345" spans="1:20" x14ac:dyDescent="0.25">
      <c r="A345" s="5"/>
      <c r="C345"/>
      <c r="D345"/>
      <c r="P345">
        <f t="shared" si="49"/>
        <v>0</v>
      </c>
      <c r="Q345">
        <f t="shared" si="50"/>
        <v>0</v>
      </c>
      <c r="R345">
        <f t="shared" si="51"/>
        <v>0</v>
      </c>
      <c r="S345">
        <f t="shared" si="52"/>
        <v>0</v>
      </c>
      <c r="T345">
        <f t="shared" si="53"/>
        <v>0</v>
      </c>
    </row>
    <row r="346" spans="1:20" x14ac:dyDescent="0.25">
      <c r="A346" s="5"/>
      <c r="C346"/>
      <c r="D346"/>
      <c r="P346">
        <f t="shared" si="49"/>
        <v>0</v>
      </c>
      <c r="Q346">
        <f t="shared" si="50"/>
        <v>0</v>
      </c>
      <c r="R346">
        <f t="shared" si="51"/>
        <v>0</v>
      </c>
      <c r="S346">
        <f t="shared" si="52"/>
        <v>0</v>
      </c>
      <c r="T346">
        <f t="shared" si="53"/>
        <v>0</v>
      </c>
    </row>
    <row r="347" spans="1:20" x14ac:dyDescent="0.25">
      <c r="A347" s="5"/>
      <c r="C347"/>
      <c r="D347"/>
      <c r="P347">
        <f t="shared" si="49"/>
        <v>0</v>
      </c>
      <c r="Q347">
        <f t="shared" si="50"/>
        <v>0</v>
      </c>
      <c r="R347">
        <f t="shared" si="51"/>
        <v>0</v>
      </c>
      <c r="S347">
        <f t="shared" si="52"/>
        <v>0</v>
      </c>
      <c r="T347">
        <f t="shared" si="53"/>
        <v>0</v>
      </c>
    </row>
    <row r="348" spans="1:20" x14ac:dyDescent="0.25">
      <c r="A348" s="5"/>
      <c r="C348"/>
      <c r="D348"/>
      <c r="P348">
        <f t="shared" si="49"/>
        <v>0</v>
      </c>
      <c r="Q348">
        <f t="shared" si="50"/>
        <v>0</v>
      </c>
      <c r="R348">
        <f t="shared" si="51"/>
        <v>0</v>
      </c>
      <c r="S348">
        <f t="shared" si="52"/>
        <v>0</v>
      </c>
      <c r="T348">
        <f t="shared" si="53"/>
        <v>0</v>
      </c>
    </row>
    <row r="349" spans="1:20" x14ac:dyDescent="0.25">
      <c r="A349" s="5"/>
      <c r="C349"/>
      <c r="D349"/>
      <c r="P349">
        <f t="shared" si="49"/>
        <v>0</v>
      </c>
      <c r="Q349">
        <f t="shared" si="50"/>
        <v>0</v>
      </c>
      <c r="R349">
        <f t="shared" si="51"/>
        <v>0</v>
      </c>
      <c r="S349">
        <f t="shared" si="52"/>
        <v>0</v>
      </c>
      <c r="T349">
        <f t="shared" si="53"/>
        <v>0</v>
      </c>
    </row>
    <row r="350" spans="1:20" x14ac:dyDescent="0.25">
      <c r="A350" s="5"/>
      <c r="C350"/>
      <c r="D350"/>
      <c r="P350">
        <f t="shared" si="49"/>
        <v>0</v>
      </c>
      <c r="Q350">
        <f t="shared" si="50"/>
        <v>0</v>
      </c>
      <c r="R350">
        <f t="shared" si="51"/>
        <v>0</v>
      </c>
      <c r="S350">
        <f t="shared" si="52"/>
        <v>0</v>
      </c>
      <c r="T350">
        <f t="shared" si="53"/>
        <v>0</v>
      </c>
    </row>
    <row r="351" spans="1:20" x14ac:dyDescent="0.25">
      <c r="A351" s="5"/>
      <c r="C351"/>
      <c r="D351"/>
      <c r="P351">
        <f t="shared" si="49"/>
        <v>0</v>
      </c>
      <c r="Q351">
        <f t="shared" si="50"/>
        <v>0</v>
      </c>
      <c r="R351">
        <f t="shared" si="51"/>
        <v>0</v>
      </c>
      <c r="S351">
        <f t="shared" si="52"/>
        <v>0</v>
      </c>
      <c r="T351">
        <f t="shared" si="53"/>
        <v>0</v>
      </c>
    </row>
    <row r="352" spans="1:20" x14ac:dyDescent="0.25">
      <c r="A352" s="5"/>
      <c r="C352"/>
      <c r="D352"/>
      <c r="P352">
        <f t="shared" si="49"/>
        <v>0</v>
      </c>
      <c r="Q352">
        <f t="shared" si="50"/>
        <v>0</v>
      </c>
      <c r="R352">
        <f t="shared" si="51"/>
        <v>0</v>
      </c>
      <c r="S352">
        <f t="shared" si="52"/>
        <v>0</v>
      </c>
      <c r="T352">
        <f t="shared" si="53"/>
        <v>0</v>
      </c>
    </row>
    <row r="353" spans="1:20" x14ac:dyDescent="0.25">
      <c r="A353" s="5"/>
      <c r="C353"/>
      <c r="D353"/>
      <c r="P353">
        <f t="shared" si="49"/>
        <v>0</v>
      </c>
      <c r="Q353">
        <f t="shared" si="50"/>
        <v>0</v>
      </c>
      <c r="R353">
        <f t="shared" si="51"/>
        <v>0</v>
      </c>
      <c r="S353">
        <f t="shared" si="52"/>
        <v>0</v>
      </c>
      <c r="T353">
        <f t="shared" si="53"/>
        <v>0</v>
      </c>
    </row>
    <row r="354" spans="1:20" x14ac:dyDescent="0.25">
      <c r="A354" s="5"/>
      <c r="C354"/>
      <c r="D354"/>
      <c r="P354">
        <f t="shared" si="49"/>
        <v>0</v>
      </c>
      <c r="Q354">
        <f t="shared" si="50"/>
        <v>0</v>
      </c>
      <c r="R354">
        <f t="shared" si="51"/>
        <v>0</v>
      </c>
      <c r="S354">
        <f t="shared" si="52"/>
        <v>0</v>
      </c>
      <c r="T354">
        <f t="shared" si="53"/>
        <v>0</v>
      </c>
    </row>
    <row r="355" spans="1:20" x14ac:dyDescent="0.25">
      <c r="A355" s="5"/>
      <c r="C355"/>
      <c r="D355"/>
      <c r="P355">
        <f t="shared" si="49"/>
        <v>0</v>
      </c>
      <c r="Q355">
        <f t="shared" si="50"/>
        <v>0</v>
      </c>
      <c r="R355">
        <f t="shared" si="51"/>
        <v>0</v>
      </c>
      <c r="S355">
        <f t="shared" si="52"/>
        <v>0</v>
      </c>
      <c r="T355">
        <f t="shared" si="53"/>
        <v>0</v>
      </c>
    </row>
    <row r="356" spans="1:20" x14ac:dyDescent="0.25">
      <c r="A356" s="5"/>
      <c r="C356"/>
      <c r="D356"/>
      <c r="P356">
        <f t="shared" si="49"/>
        <v>0</v>
      </c>
      <c r="Q356">
        <f t="shared" si="50"/>
        <v>0</v>
      </c>
      <c r="R356">
        <f t="shared" si="51"/>
        <v>0</v>
      </c>
      <c r="S356">
        <f t="shared" si="52"/>
        <v>0</v>
      </c>
      <c r="T356">
        <f t="shared" si="53"/>
        <v>0</v>
      </c>
    </row>
    <row r="357" spans="1:20" x14ac:dyDescent="0.25">
      <c r="A357" s="5"/>
      <c r="C357"/>
      <c r="D357"/>
      <c r="P357">
        <f t="shared" si="49"/>
        <v>0</v>
      </c>
      <c r="Q357">
        <f t="shared" si="50"/>
        <v>0</v>
      </c>
      <c r="R357">
        <f t="shared" si="51"/>
        <v>0</v>
      </c>
      <c r="S357">
        <f t="shared" si="52"/>
        <v>0</v>
      </c>
      <c r="T357">
        <f t="shared" si="53"/>
        <v>0</v>
      </c>
    </row>
    <row r="358" spans="1:20" x14ac:dyDescent="0.25">
      <c r="A358" s="5"/>
      <c r="C358"/>
      <c r="D358"/>
      <c r="P358">
        <f t="shared" si="49"/>
        <v>0</v>
      </c>
      <c r="Q358">
        <f t="shared" si="50"/>
        <v>0</v>
      </c>
      <c r="R358">
        <f t="shared" si="51"/>
        <v>0</v>
      </c>
      <c r="S358">
        <f t="shared" si="52"/>
        <v>0</v>
      </c>
      <c r="T358">
        <f t="shared" si="53"/>
        <v>0</v>
      </c>
    </row>
    <row r="359" spans="1:20" x14ac:dyDescent="0.25">
      <c r="A359" s="5"/>
      <c r="C359"/>
      <c r="D359"/>
      <c r="P359">
        <f t="shared" si="49"/>
        <v>0</v>
      </c>
      <c r="Q359">
        <f t="shared" si="50"/>
        <v>0</v>
      </c>
      <c r="R359">
        <f t="shared" si="51"/>
        <v>0</v>
      </c>
      <c r="S359">
        <f t="shared" si="52"/>
        <v>0</v>
      </c>
      <c r="T359">
        <f t="shared" si="53"/>
        <v>0</v>
      </c>
    </row>
    <row r="360" spans="1:20" x14ac:dyDescent="0.25">
      <c r="A360" s="5"/>
      <c r="C360"/>
      <c r="D360"/>
      <c r="P360">
        <f t="shared" si="49"/>
        <v>0</v>
      </c>
      <c r="Q360">
        <f t="shared" si="50"/>
        <v>0</v>
      </c>
      <c r="R360">
        <f t="shared" si="51"/>
        <v>0</v>
      </c>
      <c r="S360">
        <f t="shared" si="52"/>
        <v>0</v>
      </c>
      <c r="T360">
        <f t="shared" si="53"/>
        <v>0</v>
      </c>
    </row>
    <row r="361" spans="1:20" x14ac:dyDescent="0.25">
      <c r="A361" s="5"/>
      <c r="C361"/>
      <c r="D361"/>
      <c r="P361">
        <f t="shared" si="49"/>
        <v>0</v>
      </c>
      <c r="Q361">
        <f t="shared" si="50"/>
        <v>0</v>
      </c>
      <c r="R361">
        <f t="shared" si="51"/>
        <v>0</v>
      </c>
      <c r="S361">
        <f t="shared" si="52"/>
        <v>0</v>
      </c>
      <c r="T361">
        <f t="shared" si="53"/>
        <v>0</v>
      </c>
    </row>
    <row r="362" spans="1:20" x14ac:dyDescent="0.25">
      <c r="A362" s="5"/>
      <c r="P362">
        <f t="shared" si="49"/>
        <v>0</v>
      </c>
      <c r="Q362">
        <f t="shared" si="50"/>
        <v>0</v>
      </c>
      <c r="R362">
        <f t="shared" si="51"/>
        <v>0</v>
      </c>
      <c r="S362">
        <f t="shared" si="52"/>
        <v>0</v>
      </c>
      <c r="T362">
        <f t="shared" si="53"/>
        <v>0</v>
      </c>
    </row>
    <row r="363" spans="1:20" x14ac:dyDescent="0.25">
      <c r="A363" s="5"/>
      <c r="P363">
        <f t="shared" si="49"/>
        <v>0</v>
      </c>
      <c r="Q363">
        <f t="shared" si="50"/>
        <v>0</v>
      </c>
      <c r="R363">
        <f t="shared" si="51"/>
        <v>0</v>
      </c>
      <c r="S363">
        <f t="shared" si="52"/>
        <v>0</v>
      </c>
      <c r="T363">
        <f t="shared" si="53"/>
        <v>0</v>
      </c>
    </row>
    <row r="364" spans="1:20" x14ac:dyDescent="0.25">
      <c r="A364" s="5"/>
      <c r="P364">
        <f t="shared" si="49"/>
        <v>0</v>
      </c>
      <c r="Q364">
        <f t="shared" si="50"/>
        <v>0</v>
      </c>
      <c r="R364">
        <f t="shared" si="51"/>
        <v>0</v>
      </c>
      <c r="S364">
        <f t="shared" si="52"/>
        <v>0</v>
      </c>
      <c r="T364">
        <f t="shared" si="53"/>
        <v>0</v>
      </c>
    </row>
    <row r="365" spans="1:20" x14ac:dyDescent="0.25">
      <c r="A365" s="5"/>
      <c r="P365">
        <f t="shared" si="49"/>
        <v>0</v>
      </c>
      <c r="Q365">
        <f t="shared" si="50"/>
        <v>0</v>
      </c>
      <c r="R365">
        <f t="shared" si="51"/>
        <v>0</v>
      </c>
      <c r="S365">
        <f t="shared" si="52"/>
        <v>0</v>
      </c>
      <c r="T365">
        <f t="shared" si="53"/>
        <v>0</v>
      </c>
    </row>
    <row r="366" spans="1:20" x14ac:dyDescent="0.25">
      <c r="A366" s="5"/>
      <c r="P366">
        <f t="shared" si="49"/>
        <v>0</v>
      </c>
      <c r="Q366">
        <f t="shared" si="50"/>
        <v>0</v>
      </c>
      <c r="R366">
        <f t="shared" si="51"/>
        <v>0</v>
      </c>
      <c r="S366">
        <f t="shared" si="52"/>
        <v>0</v>
      </c>
      <c r="T366">
        <f t="shared" si="53"/>
        <v>0</v>
      </c>
    </row>
    <row r="367" spans="1:20" x14ac:dyDescent="0.25">
      <c r="A367" s="5"/>
      <c r="P367">
        <f t="shared" si="49"/>
        <v>0</v>
      </c>
      <c r="Q367">
        <f t="shared" si="50"/>
        <v>0</v>
      </c>
      <c r="R367">
        <f t="shared" si="51"/>
        <v>0</v>
      </c>
      <c r="S367">
        <f t="shared" si="52"/>
        <v>0</v>
      </c>
      <c r="T367">
        <f t="shared" si="53"/>
        <v>0</v>
      </c>
    </row>
    <row r="368" spans="1:20" x14ac:dyDescent="0.25">
      <c r="A368" s="5"/>
      <c r="P368">
        <f t="shared" si="49"/>
        <v>0</v>
      </c>
      <c r="Q368">
        <f t="shared" si="50"/>
        <v>0</v>
      </c>
      <c r="R368">
        <f t="shared" si="51"/>
        <v>0</v>
      </c>
      <c r="S368">
        <f t="shared" si="52"/>
        <v>0</v>
      </c>
      <c r="T368">
        <f t="shared" si="53"/>
        <v>0</v>
      </c>
    </row>
    <row r="369" spans="1:104" x14ac:dyDescent="0.25">
      <c r="A369" s="5"/>
      <c r="P369">
        <f t="shared" si="49"/>
        <v>0</v>
      </c>
      <c r="Q369">
        <f t="shared" si="50"/>
        <v>0</v>
      </c>
      <c r="R369">
        <f t="shared" si="51"/>
        <v>0</v>
      </c>
      <c r="S369">
        <f t="shared" si="52"/>
        <v>0</v>
      </c>
      <c r="T369">
        <f t="shared" si="53"/>
        <v>0</v>
      </c>
    </row>
    <row r="370" spans="1:104" x14ac:dyDescent="0.25">
      <c r="A370" s="5"/>
      <c r="P370">
        <f t="shared" si="49"/>
        <v>0</v>
      </c>
      <c r="Q370">
        <f t="shared" si="50"/>
        <v>0</v>
      </c>
      <c r="R370">
        <f t="shared" si="51"/>
        <v>0</v>
      </c>
      <c r="S370">
        <f t="shared" si="52"/>
        <v>0</v>
      </c>
      <c r="T370">
        <f t="shared" si="53"/>
        <v>0</v>
      </c>
    </row>
    <row r="371" spans="1:104" x14ac:dyDescent="0.25">
      <c r="A371" s="5"/>
      <c r="P371">
        <f t="shared" si="49"/>
        <v>0</v>
      </c>
      <c r="Q371">
        <f t="shared" si="50"/>
        <v>0</v>
      </c>
      <c r="R371">
        <f t="shared" si="51"/>
        <v>0</v>
      </c>
      <c r="S371">
        <f t="shared" si="52"/>
        <v>0</v>
      </c>
      <c r="T371">
        <f t="shared" si="53"/>
        <v>0</v>
      </c>
    </row>
    <row r="372" spans="1:104" x14ac:dyDescent="0.25">
      <c r="A372" s="5"/>
      <c r="P372">
        <f t="shared" si="49"/>
        <v>0</v>
      </c>
      <c r="Q372">
        <f t="shared" si="50"/>
        <v>0</v>
      </c>
      <c r="R372">
        <f t="shared" si="51"/>
        <v>0</v>
      </c>
      <c r="S372">
        <f t="shared" si="52"/>
        <v>0</v>
      </c>
      <c r="T372">
        <f t="shared" si="53"/>
        <v>0</v>
      </c>
    </row>
    <row r="373" spans="1:104" x14ac:dyDescent="0.25">
      <c r="A373" s="5"/>
      <c r="P373">
        <f t="shared" si="49"/>
        <v>0</v>
      </c>
      <c r="Q373">
        <f t="shared" si="50"/>
        <v>0</v>
      </c>
      <c r="R373">
        <f t="shared" si="51"/>
        <v>0</v>
      </c>
      <c r="S373">
        <f t="shared" si="52"/>
        <v>0</v>
      </c>
      <c r="T373">
        <f t="shared" si="53"/>
        <v>0</v>
      </c>
    </row>
    <row r="374" spans="1:104" x14ac:dyDescent="0.25">
      <c r="A374" s="5"/>
      <c r="P374">
        <f t="shared" si="49"/>
        <v>0</v>
      </c>
      <c r="Q374">
        <f t="shared" si="50"/>
        <v>0</v>
      </c>
      <c r="R374">
        <f t="shared" si="51"/>
        <v>0</v>
      </c>
      <c r="S374">
        <f t="shared" si="52"/>
        <v>0</v>
      </c>
      <c r="T374">
        <f t="shared" si="53"/>
        <v>0</v>
      </c>
      <c r="CZ374" t="s">
        <v>7</v>
      </c>
    </row>
    <row r="375" spans="1:104" x14ac:dyDescent="0.25">
      <c r="A375" s="5"/>
      <c r="P375">
        <f t="shared" si="49"/>
        <v>0</v>
      </c>
      <c r="Q375">
        <f t="shared" si="50"/>
        <v>0</v>
      </c>
      <c r="R375">
        <f t="shared" si="51"/>
        <v>0</v>
      </c>
      <c r="S375">
        <f t="shared" si="52"/>
        <v>0</v>
      </c>
      <c r="T375">
        <f t="shared" si="53"/>
        <v>0</v>
      </c>
      <c r="CZ375" t="s">
        <v>7</v>
      </c>
    </row>
    <row r="376" spans="1:104" x14ac:dyDescent="0.25">
      <c r="A376" s="5"/>
      <c r="P376">
        <f t="shared" si="49"/>
        <v>0</v>
      </c>
      <c r="Q376">
        <f t="shared" si="50"/>
        <v>0</v>
      </c>
      <c r="R376">
        <f t="shared" si="51"/>
        <v>0</v>
      </c>
      <c r="S376">
        <f t="shared" si="52"/>
        <v>0</v>
      </c>
      <c r="T376">
        <f t="shared" si="53"/>
        <v>0</v>
      </c>
      <c r="CZ376" t="s">
        <v>7</v>
      </c>
    </row>
    <row r="377" spans="1:104" x14ac:dyDescent="0.25">
      <c r="A377" s="5"/>
      <c r="P377">
        <f t="shared" si="49"/>
        <v>0</v>
      </c>
      <c r="Q377">
        <f t="shared" si="50"/>
        <v>0</v>
      </c>
      <c r="R377">
        <f t="shared" si="51"/>
        <v>0</v>
      </c>
      <c r="S377">
        <f t="shared" si="52"/>
        <v>0</v>
      </c>
      <c r="T377">
        <f t="shared" si="53"/>
        <v>0</v>
      </c>
    </row>
    <row r="378" spans="1:104" x14ac:dyDescent="0.25">
      <c r="A378" s="5"/>
      <c r="C378"/>
      <c r="D378"/>
      <c r="P378">
        <f t="shared" si="49"/>
        <v>0</v>
      </c>
      <c r="Q378">
        <f t="shared" si="50"/>
        <v>0</v>
      </c>
      <c r="R378">
        <f t="shared" si="51"/>
        <v>0</v>
      </c>
      <c r="S378">
        <f t="shared" si="52"/>
        <v>0</v>
      </c>
      <c r="T378">
        <f t="shared" si="53"/>
        <v>0</v>
      </c>
    </row>
    <row r="379" spans="1:104" x14ac:dyDescent="0.25">
      <c r="A379" s="5"/>
      <c r="C379"/>
      <c r="D379"/>
      <c r="P379">
        <f t="shared" si="49"/>
        <v>0</v>
      </c>
      <c r="Q379">
        <f t="shared" si="50"/>
        <v>0</v>
      </c>
      <c r="R379">
        <f t="shared" si="51"/>
        <v>0</v>
      </c>
      <c r="S379">
        <f t="shared" si="52"/>
        <v>0</v>
      </c>
      <c r="T379">
        <f t="shared" si="53"/>
        <v>0</v>
      </c>
    </row>
    <row r="380" spans="1:104" x14ac:dyDescent="0.25">
      <c r="A380" s="5"/>
      <c r="C380"/>
      <c r="D380"/>
      <c r="P380">
        <f t="shared" si="49"/>
        <v>0</v>
      </c>
      <c r="Q380">
        <f t="shared" si="50"/>
        <v>0</v>
      </c>
      <c r="R380">
        <f t="shared" si="51"/>
        <v>0</v>
      </c>
      <c r="S380">
        <f t="shared" si="52"/>
        <v>0</v>
      </c>
      <c r="T380">
        <f t="shared" si="53"/>
        <v>0</v>
      </c>
    </row>
    <row r="381" spans="1:104" x14ac:dyDescent="0.25">
      <c r="A381" s="5"/>
      <c r="C381"/>
      <c r="D381"/>
      <c r="P381">
        <f t="shared" si="49"/>
        <v>0</v>
      </c>
      <c r="Q381">
        <f t="shared" si="50"/>
        <v>0</v>
      </c>
      <c r="R381">
        <f t="shared" si="51"/>
        <v>0</v>
      </c>
      <c r="S381">
        <f t="shared" si="52"/>
        <v>0</v>
      </c>
      <c r="T381">
        <f t="shared" si="53"/>
        <v>0</v>
      </c>
    </row>
    <row r="382" spans="1:104" x14ac:dyDescent="0.25">
      <c r="A382" s="5"/>
      <c r="C382"/>
      <c r="D382"/>
      <c r="P382">
        <f t="shared" si="49"/>
        <v>0</v>
      </c>
      <c r="Q382">
        <f t="shared" si="50"/>
        <v>0</v>
      </c>
      <c r="R382">
        <f t="shared" si="51"/>
        <v>0</v>
      </c>
      <c r="S382">
        <f t="shared" si="52"/>
        <v>0</v>
      </c>
      <c r="T382">
        <f t="shared" si="53"/>
        <v>0</v>
      </c>
    </row>
    <row r="383" spans="1:104" x14ac:dyDescent="0.25">
      <c r="A383" s="5"/>
      <c r="C383"/>
      <c r="D383"/>
      <c r="P383">
        <f t="shared" si="49"/>
        <v>0</v>
      </c>
      <c r="Q383">
        <f t="shared" si="50"/>
        <v>0</v>
      </c>
      <c r="R383">
        <f t="shared" si="51"/>
        <v>0</v>
      </c>
      <c r="S383">
        <f t="shared" si="52"/>
        <v>0</v>
      </c>
      <c r="T383">
        <f t="shared" si="53"/>
        <v>0</v>
      </c>
    </row>
    <row r="384" spans="1:104" x14ac:dyDescent="0.25">
      <c r="A384" s="5"/>
      <c r="C384"/>
      <c r="D384"/>
      <c r="P384">
        <f t="shared" si="49"/>
        <v>0</v>
      </c>
      <c r="Q384">
        <f t="shared" si="50"/>
        <v>0</v>
      </c>
      <c r="R384">
        <f t="shared" si="51"/>
        <v>0</v>
      </c>
      <c r="S384">
        <f t="shared" si="52"/>
        <v>0</v>
      </c>
      <c r="T384">
        <f t="shared" si="53"/>
        <v>0</v>
      </c>
    </row>
    <row r="385" spans="1:20" x14ac:dyDescent="0.25">
      <c r="A385" s="5"/>
      <c r="C385"/>
      <c r="D385"/>
      <c r="P385">
        <f t="shared" si="49"/>
        <v>0</v>
      </c>
      <c r="Q385">
        <f t="shared" si="50"/>
        <v>0</v>
      </c>
      <c r="R385">
        <f t="shared" si="51"/>
        <v>0</v>
      </c>
      <c r="S385">
        <f t="shared" si="52"/>
        <v>0</v>
      </c>
      <c r="T385">
        <f t="shared" si="53"/>
        <v>0</v>
      </c>
    </row>
    <row r="386" spans="1:20" x14ac:dyDescent="0.25">
      <c r="A386" s="5"/>
      <c r="C386"/>
      <c r="D386"/>
      <c r="P386">
        <f t="shared" si="49"/>
        <v>0</v>
      </c>
      <c r="Q386">
        <f t="shared" si="50"/>
        <v>0</v>
      </c>
      <c r="R386">
        <f t="shared" si="51"/>
        <v>0</v>
      </c>
      <c r="S386">
        <f t="shared" si="52"/>
        <v>0</v>
      </c>
      <c r="T386">
        <f t="shared" si="53"/>
        <v>0</v>
      </c>
    </row>
    <row r="387" spans="1:20" x14ac:dyDescent="0.25">
      <c r="A387" s="5"/>
      <c r="C387"/>
      <c r="D387"/>
      <c r="P387">
        <f t="shared" si="49"/>
        <v>0</v>
      </c>
      <c r="Q387">
        <f t="shared" si="50"/>
        <v>0</v>
      </c>
      <c r="R387">
        <f t="shared" si="51"/>
        <v>0</v>
      </c>
      <c r="S387">
        <f t="shared" si="52"/>
        <v>0</v>
      </c>
      <c r="T387">
        <f t="shared" si="53"/>
        <v>0</v>
      </c>
    </row>
    <row r="388" spans="1:20" x14ac:dyDescent="0.25">
      <c r="A388" s="5"/>
      <c r="C388"/>
      <c r="D388"/>
      <c r="P388">
        <f t="shared" si="49"/>
        <v>0</v>
      </c>
      <c r="Q388">
        <f t="shared" si="50"/>
        <v>0</v>
      </c>
      <c r="R388">
        <f t="shared" si="51"/>
        <v>0</v>
      </c>
      <c r="S388">
        <f t="shared" si="52"/>
        <v>0</v>
      </c>
      <c r="T388">
        <f t="shared" si="53"/>
        <v>0</v>
      </c>
    </row>
    <row r="389" spans="1:20" x14ac:dyDescent="0.25">
      <c r="A389" s="5"/>
      <c r="C389"/>
      <c r="D389"/>
      <c r="P389">
        <f t="shared" si="49"/>
        <v>0</v>
      </c>
      <c r="Q389">
        <f t="shared" si="50"/>
        <v>0</v>
      </c>
      <c r="R389">
        <f t="shared" si="51"/>
        <v>0</v>
      </c>
      <c r="S389">
        <f t="shared" si="52"/>
        <v>0</v>
      </c>
      <c r="T389">
        <f t="shared" si="53"/>
        <v>0</v>
      </c>
    </row>
    <row r="390" spans="1:20" x14ac:dyDescent="0.25">
      <c r="A390" s="5"/>
      <c r="C390"/>
      <c r="D390"/>
      <c r="P390">
        <f t="shared" si="49"/>
        <v>0</v>
      </c>
      <c r="Q390">
        <f t="shared" si="50"/>
        <v>0</v>
      </c>
      <c r="R390">
        <f t="shared" si="51"/>
        <v>0</v>
      </c>
      <c r="S390">
        <f t="shared" si="52"/>
        <v>0</v>
      </c>
      <c r="T390">
        <f t="shared" si="53"/>
        <v>0</v>
      </c>
    </row>
    <row r="391" spans="1:20" x14ac:dyDescent="0.25">
      <c r="A391" s="5"/>
      <c r="C391"/>
      <c r="D391"/>
      <c r="P391">
        <f t="shared" si="49"/>
        <v>0</v>
      </c>
      <c r="Q391">
        <f t="shared" si="50"/>
        <v>0</v>
      </c>
      <c r="R391">
        <f t="shared" si="51"/>
        <v>0</v>
      </c>
      <c r="S391">
        <f t="shared" si="52"/>
        <v>0</v>
      </c>
      <c r="T391">
        <f t="shared" si="53"/>
        <v>0</v>
      </c>
    </row>
    <row r="392" spans="1:20" x14ac:dyDescent="0.25">
      <c r="A392" s="5"/>
      <c r="C392"/>
      <c r="D392"/>
      <c r="P392">
        <f t="shared" si="49"/>
        <v>0</v>
      </c>
      <c r="Q392">
        <f t="shared" si="50"/>
        <v>0</v>
      </c>
      <c r="R392">
        <f t="shared" si="51"/>
        <v>0</v>
      </c>
      <c r="S392">
        <f t="shared" si="52"/>
        <v>0</v>
      </c>
      <c r="T392">
        <f t="shared" si="53"/>
        <v>0</v>
      </c>
    </row>
    <row r="393" spans="1:20" x14ac:dyDescent="0.25">
      <c r="A393" s="5"/>
      <c r="C393"/>
      <c r="D393"/>
      <c r="P393">
        <f t="shared" si="49"/>
        <v>0</v>
      </c>
      <c r="Q393">
        <f t="shared" si="50"/>
        <v>0</v>
      </c>
      <c r="R393">
        <f t="shared" si="51"/>
        <v>0</v>
      </c>
      <c r="S393">
        <f t="shared" si="52"/>
        <v>0</v>
      </c>
      <c r="T393">
        <f t="shared" si="53"/>
        <v>0</v>
      </c>
    </row>
    <row r="394" spans="1:20" x14ac:dyDescent="0.25">
      <c r="A394" s="5"/>
      <c r="C394"/>
      <c r="D394"/>
      <c r="P394">
        <f t="shared" si="49"/>
        <v>0</v>
      </c>
      <c r="Q394">
        <f t="shared" si="50"/>
        <v>0</v>
      </c>
      <c r="R394">
        <f t="shared" si="51"/>
        <v>0</v>
      </c>
      <c r="S394">
        <f t="shared" si="52"/>
        <v>0</v>
      </c>
      <c r="T394">
        <f t="shared" si="53"/>
        <v>0</v>
      </c>
    </row>
    <row r="395" spans="1:20" x14ac:dyDescent="0.25">
      <c r="A395" s="5"/>
      <c r="C395"/>
      <c r="D395"/>
      <c r="P395">
        <f t="shared" ref="P395:P458" si="54">IF(C395=D395,0,((E395-D395)-(C395-E395))/(C395-D395))</f>
        <v>0</v>
      </c>
      <c r="Q395">
        <f t="shared" ref="Q395:Q458" si="55">F395*P395</f>
        <v>0</v>
      </c>
      <c r="R395">
        <f t="shared" ref="R395:R458" si="56">R396+Q395</f>
        <v>0</v>
      </c>
      <c r="S395">
        <f t="shared" ref="S395:S458" si="57">R395/100000</f>
        <v>0</v>
      </c>
      <c r="T395">
        <f t="shared" ref="T395:T458" si="58">S395/1000</f>
        <v>0</v>
      </c>
    </row>
    <row r="396" spans="1:20" x14ac:dyDescent="0.25">
      <c r="A396" s="5"/>
      <c r="C396"/>
      <c r="D396"/>
      <c r="P396">
        <f t="shared" si="54"/>
        <v>0</v>
      </c>
      <c r="Q396">
        <f t="shared" si="55"/>
        <v>0</v>
      </c>
      <c r="R396">
        <f t="shared" si="56"/>
        <v>0</v>
      </c>
      <c r="S396">
        <f t="shared" si="57"/>
        <v>0</v>
      </c>
      <c r="T396">
        <f t="shared" si="58"/>
        <v>0</v>
      </c>
    </row>
    <row r="397" spans="1:20" x14ac:dyDescent="0.25">
      <c r="A397" s="5"/>
      <c r="C397"/>
      <c r="D397"/>
      <c r="P397">
        <f t="shared" si="54"/>
        <v>0</v>
      </c>
      <c r="Q397">
        <f t="shared" si="55"/>
        <v>0</v>
      </c>
      <c r="R397">
        <f t="shared" si="56"/>
        <v>0</v>
      </c>
      <c r="S397">
        <f t="shared" si="57"/>
        <v>0</v>
      </c>
      <c r="T397">
        <f t="shared" si="58"/>
        <v>0</v>
      </c>
    </row>
    <row r="398" spans="1:20" x14ac:dyDescent="0.25">
      <c r="A398" s="5"/>
      <c r="C398"/>
      <c r="D398"/>
      <c r="P398">
        <f t="shared" si="54"/>
        <v>0</v>
      </c>
      <c r="Q398">
        <f t="shared" si="55"/>
        <v>0</v>
      </c>
      <c r="R398">
        <f t="shared" si="56"/>
        <v>0</v>
      </c>
      <c r="S398">
        <f t="shared" si="57"/>
        <v>0</v>
      </c>
      <c r="T398">
        <f t="shared" si="58"/>
        <v>0</v>
      </c>
    </row>
    <row r="399" spans="1:20" x14ac:dyDescent="0.25">
      <c r="A399" s="5"/>
      <c r="C399"/>
      <c r="D399"/>
      <c r="P399">
        <f t="shared" si="54"/>
        <v>0</v>
      </c>
      <c r="Q399">
        <f t="shared" si="55"/>
        <v>0</v>
      </c>
      <c r="R399">
        <f t="shared" si="56"/>
        <v>0</v>
      </c>
      <c r="S399">
        <f t="shared" si="57"/>
        <v>0</v>
      </c>
      <c r="T399">
        <f t="shared" si="58"/>
        <v>0</v>
      </c>
    </row>
    <row r="400" spans="1:20" x14ac:dyDescent="0.25">
      <c r="A400" s="5"/>
      <c r="C400"/>
      <c r="D400"/>
      <c r="P400">
        <f t="shared" si="54"/>
        <v>0</v>
      </c>
      <c r="Q400">
        <f t="shared" si="55"/>
        <v>0</v>
      </c>
      <c r="R400">
        <f t="shared" si="56"/>
        <v>0</v>
      </c>
      <c r="S400">
        <f t="shared" si="57"/>
        <v>0</v>
      </c>
      <c r="T400">
        <f t="shared" si="58"/>
        <v>0</v>
      </c>
    </row>
    <row r="401" spans="1:20" x14ac:dyDescent="0.25">
      <c r="A401" s="5"/>
      <c r="C401"/>
      <c r="D401"/>
      <c r="P401">
        <f t="shared" si="54"/>
        <v>0</v>
      </c>
      <c r="Q401">
        <f t="shared" si="55"/>
        <v>0</v>
      </c>
      <c r="R401">
        <f t="shared" si="56"/>
        <v>0</v>
      </c>
      <c r="S401">
        <f t="shared" si="57"/>
        <v>0</v>
      </c>
      <c r="T401">
        <f t="shared" si="58"/>
        <v>0</v>
      </c>
    </row>
    <row r="402" spans="1:20" x14ac:dyDescent="0.25">
      <c r="A402" s="5"/>
      <c r="C402"/>
      <c r="D402"/>
      <c r="P402">
        <f t="shared" si="54"/>
        <v>0</v>
      </c>
      <c r="Q402">
        <f t="shared" si="55"/>
        <v>0</v>
      </c>
      <c r="R402">
        <f t="shared" si="56"/>
        <v>0</v>
      </c>
      <c r="S402">
        <f t="shared" si="57"/>
        <v>0</v>
      </c>
      <c r="T402">
        <f t="shared" si="58"/>
        <v>0</v>
      </c>
    </row>
    <row r="403" spans="1:20" x14ac:dyDescent="0.25">
      <c r="A403" s="5"/>
      <c r="C403"/>
      <c r="D403"/>
      <c r="P403">
        <f t="shared" si="54"/>
        <v>0</v>
      </c>
      <c r="Q403">
        <f t="shared" si="55"/>
        <v>0</v>
      </c>
      <c r="R403">
        <f t="shared" si="56"/>
        <v>0</v>
      </c>
      <c r="S403">
        <f t="shared" si="57"/>
        <v>0</v>
      </c>
      <c r="T403">
        <f t="shared" si="58"/>
        <v>0</v>
      </c>
    </row>
    <row r="404" spans="1:20" x14ac:dyDescent="0.25">
      <c r="A404" s="5"/>
      <c r="C404"/>
      <c r="D404"/>
      <c r="P404">
        <f t="shared" si="54"/>
        <v>0</v>
      </c>
      <c r="Q404">
        <f t="shared" si="55"/>
        <v>0</v>
      </c>
      <c r="R404">
        <f t="shared" si="56"/>
        <v>0</v>
      </c>
      <c r="S404">
        <f t="shared" si="57"/>
        <v>0</v>
      </c>
      <c r="T404">
        <f t="shared" si="58"/>
        <v>0</v>
      </c>
    </row>
    <row r="405" spans="1:20" x14ac:dyDescent="0.25">
      <c r="A405" s="5"/>
      <c r="C405"/>
      <c r="D405"/>
      <c r="P405">
        <f t="shared" si="54"/>
        <v>0</v>
      </c>
      <c r="Q405">
        <f t="shared" si="55"/>
        <v>0</v>
      </c>
      <c r="R405">
        <f t="shared" si="56"/>
        <v>0</v>
      </c>
      <c r="S405">
        <f t="shared" si="57"/>
        <v>0</v>
      </c>
      <c r="T405">
        <f t="shared" si="58"/>
        <v>0</v>
      </c>
    </row>
    <row r="406" spans="1:20" x14ac:dyDescent="0.25">
      <c r="A406" s="5"/>
      <c r="C406"/>
      <c r="D406"/>
      <c r="P406">
        <f t="shared" si="54"/>
        <v>0</v>
      </c>
      <c r="Q406">
        <f t="shared" si="55"/>
        <v>0</v>
      </c>
      <c r="R406">
        <f t="shared" si="56"/>
        <v>0</v>
      </c>
      <c r="S406">
        <f t="shared" si="57"/>
        <v>0</v>
      </c>
      <c r="T406">
        <f t="shared" si="58"/>
        <v>0</v>
      </c>
    </row>
    <row r="407" spans="1:20" x14ac:dyDescent="0.25">
      <c r="A407" s="5"/>
      <c r="C407"/>
      <c r="D407"/>
      <c r="P407">
        <f t="shared" si="54"/>
        <v>0</v>
      </c>
      <c r="Q407">
        <f t="shared" si="55"/>
        <v>0</v>
      </c>
      <c r="R407">
        <f t="shared" si="56"/>
        <v>0</v>
      </c>
      <c r="S407">
        <f t="shared" si="57"/>
        <v>0</v>
      </c>
      <c r="T407">
        <f t="shared" si="58"/>
        <v>0</v>
      </c>
    </row>
    <row r="408" spans="1:20" x14ac:dyDescent="0.25">
      <c r="A408" s="5"/>
      <c r="C408"/>
      <c r="D408"/>
      <c r="P408">
        <f t="shared" si="54"/>
        <v>0</v>
      </c>
      <c r="Q408">
        <f t="shared" si="55"/>
        <v>0</v>
      </c>
      <c r="R408">
        <f t="shared" si="56"/>
        <v>0</v>
      </c>
      <c r="S408">
        <f t="shared" si="57"/>
        <v>0</v>
      </c>
      <c r="T408">
        <f t="shared" si="58"/>
        <v>0</v>
      </c>
    </row>
    <row r="409" spans="1:20" x14ac:dyDescent="0.25">
      <c r="A409" s="5"/>
      <c r="C409"/>
      <c r="D409"/>
      <c r="P409">
        <f t="shared" si="54"/>
        <v>0</v>
      </c>
      <c r="Q409">
        <f t="shared" si="55"/>
        <v>0</v>
      </c>
      <c r="R409">
        <f t="shared" si="56"/>
        <v>0</v>
      </c>
      <c r="S409">
        <f t="shared" si="57"/>
        <v>0</v>
      </c>
      <c r="T409">
        <f t="shared" si="58"/>
        <v>0</v>
      </c>
    </row>
    <row r="410" spans="1:20" x14ac:dyDescent="0.25">
      <c r="A410" s="5"/>
      <c r="C410"/>
      <c r="D410"/>
      <c r="P410">
        <f t="shared" si="54"/>
        <v>0</v>
      </c>
      <c r="Q410">
        <f t="shared" si="55"/>
        <v>0</v>
      </c>
      <c r="R410">
        <f t="shared" si="56"/>
        <v>0</v>
      </c>
      <c r="S410">
        <f t="shared" si="57"/>
        <v>0</v>
      </c>
      <c r="T410">
        <f t="shared" si="58"/>
        <v>0</v>
      </c>
    </row>
    <row r="411" spans="1:20" x14ac:dyDescent="0.25">
      <c r="A411" s="5"/>
      <c r="C411"/>
      <c r="D411"/>
      <c r="P411">
        <f t="shared" si="54"/>
        <v>0</v>
      </c>
      <c r="Q411">
        <f t="shared" si="55"/>
        <v>0</v>
      </c>
      <c r="R411">
        <f t="shared" si="56"/>
        <v>0</v>
      </c>
      <c r="S411">
        <f t="shared" si="57"/>
        <v>0</v>
      </c>
      <c r="T411">
        <f t="shared" si="58"/>
        <v>0</v>
      </c>
    </row>
    <row r="412" spans="1:20" x14ac:dyDescent="0.25">
      <c r="A412" s="5"/>
      <c r="C412"/>
      <c r="D412"/>
      <c r="P412">
        <f t="shared" si="54"/>
        <v>0</v>
      </c>
      <c r="Q412">
        <f t="shared" si="55"/>
        <v>0</v>
      </c>
      <c r="R412">
        <f t="shared" si="56"/>
        <v>0</v>
      </c>
      <c r="S412">
        <f t="shared" si="57"/>
        <v>0</v>
      </c>
      <c r="T412">
        <f t="shared" si="58"/>
        <v>0</v>
      </c>
    </row>
    <row r="413" spans="1:20" x14ac:dyDescent="0.25">
      <c r="A413" s="5"/>
      <c r="C413"/>
      <c r="D413"/>
      <c r="P413">
        <f t="shared" si="54"/>
        <v>0</v>
      </c>
      <c r="Q413">
        <f t="shared" si="55"/>
        <v>0</v>
      </c>
      <c r="R413">
        <f t="shared" si="56"/>
        <v>0</v>
      </c>
      <c r="S413">
        <f t="shared" si="57"/>
        <v>0</v>
      </c>
      <c r="T413">
        <f t="shared" si="58"/>
        <v>0</v>
      </c>
    </row>
    <row r="414" spans="1:20" x14ac:dyDescent="0.25">
      <c r="A414" s="5"/>
      <c r="C414"/>
      <c r="D414"/>
      <c r="P414">
        <f t="shared" si="54"/>
        <v>0</v>
      </c>
      <c r="Q414">
        <f t="shared" si="55"/>
        <v>0</v>
      </c>
      <c r="R414">
        <f t="shared" si="56"/>
        <v>0</v>
      </c>
      <c r="S414">
        <f t="shared" si="57"/>
        <v>0</v>
      </c>
      <c r="T414">
        <f t="shared" si="58"/>
        <v>0</v>
      </c>
    </row>
    <row r="415" spans="1:20" x14ac:dyDescent="0.25">
      <c r="A415" s="5"/>
      <c r="C415"/>
      <c r="D415"/>
      <c r="P415">
        <f t="shared" si="54"/>
        <v>0</v>
      </c>
      <c r="Q415">
        <f t="shared" si="55"/>
        <v>0</v>
      </c>
      <c r="R415">
        <f t="shared" si="56"/>
        <v>0</v>
      </c>
      <c r="S415">
        <f t="shared" si="57"/>
        <v>0</v>
      </c>
      <c r="T415">
        <f t="shared" si="58"/>
        <v>0</v>
      </c>
    </row>
    <row r="416" spans="1:20" x14ac:dyDescent="0.25">
      <c r="A416" s="5"/>
      <c r="C416"/>
      <c r="D416"/>
      <c r="P416">
        <f t="shared" si="54"/>
        <v>0</v>
      </c>
      <c r="Q416">
        <f t="shared" si="55"/>
        <v>0</v>
      </c>
      <c r="R416">
        <f t="shared" si="56"/>
        <v>0</v>
      </c>
      <c r="S416">
        <f t="shared" si="57"/>
        <v>0</v>
      </c>
      <c r="T416">
        <f t="shared" si="58"/>
        <v>0</v>
      </c>
    </row>
    <row r="417" spans="1:20" x14ac:dyDescent="0.25">
      <c r="A417" s="5"/>
      <c r="C417"/>
      <c r="D417"/>
      <c r="P417">
        <f t="shared" si="54"/>
        <v>0</v>
      </c>
      <c r="Q417">
        <f t="shared" si="55"/>
        <v>0</v>
      </c>
      <c r="R417">
        <f t="shared" si="56"/>
        <v>0</v>
      </c>
      <c r="S417">
        <f t="shared" si="57"/>
        <v>0</v>
      </c>
      <c r="T417">
        <f t="shared" si="58"/>
        <v>0</v>
      </c>
    </row>
    <row r="418" spans="1:20" x14ac:dyDescent="0.25">
      <c r="A418" s="5"/>
      <c r="C418"/>
      <c r="D418"/>
      <c r="P418">
        <f t="shared" si="54"/>
        <v>0</v>
      </c>
      <c r="Q418">
        <f t="shared" si="55"/>
        <v>0</v>
      </c>
      <c r="R418">
        <f t="shared" si="56"/>
        <v>0</v>
      </c>
      <c r="S418">
        <f t="shared" si="57"/>
        <v>0</v>
      </c>
      <c r="T418">
        <f t="shared" si="58"/>
        <v>0</v>
      </c>
    </row>
    <row r="419" spans="1:20" x14ac:dyDescent="0.25">
      <c r="A419" s="5"/>
      <c r="C419"/>
      <c r="D419"/>
      <c r="P419">
        <f t="shared" si="54"/>
        <v>0</v>
      </c>
      <c r="Q419">
        <f t="shared" si="55"/>
        <v>0</v>
      </c>
      <c r="R419">
        <f t="shared" si="56"/>
        <v>0</v>
      </c>
      <c r="S419">
        <f t="shared" si="57"/>
        <v>0</v>
      </c>
      <c r="T419">
        <f t="shared" si="58"/>
        <v>0</v>
      </c>
    </row>
    <row r="420" spans="1:20" x14ac:dyDescent="0.25">
      <c r="A420" s="5"/>
      <c r="C420"/>
      <c r="D420"/>
      <c r="P420">
        <f t="shared" si="54"/>
        <v>0</v>
      </c>
      <c r="Q420">
        <f t="shared" si="55"/>
        <v>0</v>
      </c>
      <c r="R420">
        <f t="shared" si="56"/>
        <v>0</v>
      </c>
      <c r="S420">
        <f t="shared" si="57"/>
        <v>0</v>
      </c>
      <c r="T420">
        <f t="shared" si="58"/>
        <v>0</v>
      </c>
    </row>
    <row r="421" spans="1:20" x14ac:dyDescent="0.25">
      <c r="A421" s="5"/>
      <c r="C421"/>
      <c r="D421"/>
      <c r="P421">
        <f t="shared" si="54"/>
        <v>0</v>
      </c>
      <c r="Q421">
        <f t="shared" si="55"/>
        <v>0</v>
      </c>
      <c r="R421">
        <f t="shared" si="56"/>
        <v>0</v>
      </c>
      <c r="S421">
        <f t="shared" si="57"/>
        <v>0</v>
      </c>
      <c r="T421">
        <f t="shared" si="58"/>
        <v>0</v>
      </c>
    </row>
    <row r="422" spans="1:20" x14ac:dyDescent="0.25">
      <c r="A422" s="5"/>
      <c r="C422"/>
      <c r="D422"/>
      <c r="P422">
        <f t="shared" si="54"/>
        <v>0</v>
      </c>
      <c r="Q422">
        <f t="shared" si="55"/>
        <v>0</v>
      </c>
      <c r="R422">
        <f t="shared" si="56"/>
        <v>0</v>
      </c>
      <c r="S422">
        <f t="shared" si="57"/>
        <v>0</v>
      </c>
      <c r="T422">
        <f t="shared" si="58"/>
        <v>0</v>
      </c>
    </row>
    <row r="423" spans="1:20" x14ac:dyDescent="0.25">
      <c r="A423" s="5"/>
      <c r="C423"/>
      <c r="D423"/>
      <c r="P423">
        <f t="shared" si="54"/>
        <v>0</v>
      </c>
      <c r="Q423">
        <f t="shared" si="55"/>
        <v>0</v>
      </c>
      <c r="R423">
        <f t="shared" si="56"/>
        <v>0</v>
      </c>
      <c r="S423">
        <f t="shared" si="57"/>
        <v>0</v>
      </c>
      <c r="T423">
        <f t="shared" si="58"/>
        <v>0</v>
      </c>
    </row>
    <row r="424" spans="1:20" x14ac:dyDescent="0.25">
      <c r="A424" s="5"/>
      <c r="C424"/>
      <c r="D424"/>
      <c r="P424">
        <f t="shared" si="54"/>
        <v>0</v>
      </c>
      <c r="Q424">
        <f t="shared" si="55"/>
        <v>0</v>
      </c>
      <c r="R424">
        <f t="shared" si="56"/>
        <v>0</v>
      </c>
      <c r="S424">
        <f t="shared" si="57"/>
        <v>0</v>
      </c>
      <c r="T424">
        <f t="shared" si="58"/>
        <v>0</v>
      </c>
    </row>
    <row r="425" spans="1:20" x14ac:dyDescent="0.25">
      <c r="A425" s="5"/>
      <c r="C425"/>
      <c r="D425"/>
      <c r="P425">
        <f t="shared" si="54"/>
        <v>0</v>
      </c>
      <c r="Q425">
        <f t="shared" si="55"/>
        <v>0</v>
      </c>
      <c r="R425">
        <f t="shared" si="56"/>
        <v>0</v>
      </c>
      <c r="S425">
        <f t="shared" si="57"/>
        <v>0</v>
      </c>
      <c r="T425">
        <f t="shared" si="58"/>
        <v>0</v>
      </c>
    </row>
    <row r="426" spans="1:20" x14ac:dyDescent="0.25">
      <c r="A426" s="5"/>
      <c r="C426"/>
      <c r="D426"/>
      <c r="P426">
        <f t="shared" si="54"/>
        <v>0</v>
      </c>
      <c r="Q426">
        <f t="shared" si="55"/>
        <v>0</v>
      </c>
      <c r="R426">
        <f t="shared" si="56"/>
        <v>0</v>
      </c>
      <c r="S426">
        <f t="shared" si="57"/>
        <v>0</v>
      </c>
      <c r="T426">
        <f t="shared" si="58"/>
        <v>0</v>
      </c>
    </row>
    <row r="427" spans="1:20" x14ac:dyDescent="0.25">
      <c r="A427" s="5"/>
      <c r="C427"/>
      <c r="D427"/>
      <c r="P427">
        <f t="shared" si="54"/>
        <v>0</v>
      </c>
      <c r="Q427">
        <f t="shared" si="55"/>
        <v>0</v>
      </c>
      <c r="R427">
        <f t="shared" si="56"/>
        <v>0</v>
      </c>
      <c r="S427">
        <f t="shared" si="57"/>
        <v>0</v>
      </c>
      <c r="T427">
        <f t="shared" si="58"/>
        <v>0</v>
      </c>
    </row>
    <row r="428" spans="1:20" x14ac:dyDescent="0.25">
      <c r="A428" s="5"/>
      <c r="C428"/>
      <c r="D428"/>
      <c r="P428">
        <f t="shared" si="54"/>
        <v>0</v>
      </c>
      <c r="Q428">
        <f t="shared" si="55"/>
        <v>0</v>
      </c>
      <c r="R428">
        <f t="shared" si="56"/>
        <v>0</v>
      </c>
      <c r="S428">
        <f t="shared" si="57"/>
        <v>0</v>
      </c>
      <c r="T428">
        <f t="shared" si="58"/>
        <v>0</v>
      </c>
    </row>
    <row r="429" spans="1:20" x14ac:dyDescent="0.25">
      <c r="A429" s="5"/>
      <c r="C429"/>
      <c r="D429"/>
      <c r="P429">
        <f t="shared" si="54"/>
        <v>0</v>
      </c>
      <c r="Q429">
        <f t="shared" si="55"/>
        <v>0</v>
      </c>
      <c r="R429">
        <f t="shared" si="56"/>
        <v>0</v>
      </c>
      <c r="S429">
        <f t="shared" si="57"/>
        <v>0</v>
      </c>
      <c r="T429">
        <f t="shared" si="58"/>
        <v>0</v>
      </c>
    </row>
    <row r="430" spans="1:20" x14ac:dyDescent="0.25">
      <c r="A430" s="5"/>
      <c r="C430"/>
      <c r="D430"/>
      <c r="P430">
        <f t="shared" si="54"/>
        <v>0</v>
      </c>
      <c r="Q430">
        <f t="shared" si="55"/>
        <v>0</v>
      </c>
      <c r="R430">
        <f t="shared" si="56"/>
        <v>0</v>
      </c>
      <c r="S430">
        <f t="shared" si="57"/>
        <v>0</v>
      </c>
      <c r="T430">
        <f t="shared" si="58"/>
        <v>0</v>
      </c>
    </row>
    <row r="431" spans="1:20" x14ac:dyDescent="0.25">
      <c r="A431" s="5"/>
      <c r="C431"/>
      <c r="D431"/>
      <c r="P431">
        <f t="shared" si="54"/>
        <v>0</v>
      </c>
      <c r="Q431">
        <f t="shared" si="55"/>
        <v>0</v>
      </c>
      <c r="R431">
        <f t="shared" si="56"/>
        <v>0</v>
      </c>
      <c r="S431">
        <f t="shared" si="57"/>
        <v>0</v>
      </c>
      <c r="T431">
        <f t="shared" si="58"/>
        <v>0</v>
      </c>
    </row>
    <row r="432" spans="1:20" x14ac:dyDescent="0.25">
      <c r="A432" s="5"/>
      <c r="C432"/>
      <c r="D432"/>
      <c r="P432">
        <f t="shared" si="54"/>
        <v>0</v>
      </c>
      <c r="Q432">
        <f t="shared" si="55"/>
        <v>0</v>
      </c>
      <c r="R432">
        <f t="shared" si="56"/>
        <v>0</v>
      </c>
      <c r="S432">
        <f t="shared" si="57"/>
        <v>0</v>
      </c>
      <c r="T432">
        <f t="shared" si="58"/>
        <v>0</v>
      </c>
    </row>
    <row r="433" spans="1:20" x14ac:dyDescent="0.25">
      <c r="A433" s="5"/>
      <c r="C433"/>
      <c r="D433"/>
      <c r="P433">
        <f t="shared" si="54"/>
        <v>0</v>
      </c>
      <c r="Q433">
        <f t="shared" si="55"/>
        <v>0</v>
      </c>
      <c r="R433">
        <f t="shared" si="56"/>
        <v>0</v>
      </c>
      <c r="S433">
        <f t="shared" si="57"/>
        <v>0</v>
      </c>
      <c r="T433">
        <f t="shared" si="58"/>
        <v>0</v>
      </c>
    </row>
    <row r="434" spans="1:20" x14ac:dyDescent="0.25">
      <c r="A434" s="5"/>
      <c r="C434"/>
      <c r="D434"/>
      <c r="P434">
        <f t="shared" si="54"/>
        <v>0</v>
      </c>
      <c r="Q434">
        <f t="shared" si="55"/>
        <v>0</v>
      </c>
      <c r="R434">
        <f t="shared" si="56"/>
        <v>0</v>
      </c>
      <c r="S434">
        <f t="shared" si="57"/>
        <v>0</v>
      </c>
      <c r="T434">
        <f t="shared" si="58"/>
        <v>0</v>
      </c>
    </row>
    <row r="435" spans="1:20" x14ac:dyDescent="0.25">
      <c r="A435" s="5"/>
      <c r="C435"/>
      <c r="D435"/>
      <c r="P435">
        <f t="shared" si="54"/>
        <v>0</v>
      </c>
      <c r="Q435">
        <f t="shared" si="55"/>
        <v>0</v>
      </c>
      <c r="R435">
        <f t="shared" si="56"/>
        <v>0</v>
      </c>
      <c r="S435">
        <f t="shared" si="57"/>
        <v>0</v>
      </c>
      <c r="T435">
        <f t="shared" si="58"/>
        <v>0</v>
      </c>
    </row>
    <row r="436" spans="1:20" x14ac:dyDescent="0.25">
      <c r="A436" s="5"/>
      <c r="C436"/>
      <c r="D436"/>
      <c r="P436">
        <f t="shared" si="54"/>
        <v>0</v>
      </c>
      <c r="Q436">
        <f t="shared" si="55"/>
        <v>0</v>
      </c>
      <c r="R436">
        <f t="shared" si="56"/>
        <v>0</v>
      </c>
      <c r="S436">
        <f t="shared" si="57"/>
        <v>0</v>
      </c>
      <c r="T436">
        <f t="shared" si="58"/>
        <v>0</v>
      </c>
    </row>
    <row r="437" spans="1:20" x14ac:dyDescent="0.25">
      <c r="A437" s="5"/>
      <c r="C437"/>
      <c r="D437"/>
      <c r="P437">
        <f t="shared" si="54"/>
        <v>0</v>
      </c>
      <c r="Q437">
        <f t="shared" si="55"/>
        <v>0</v>
      </c>
      <c r="R437">
        <f t="shared" si="56"/>
        <v>0</v>
      </c>
      <c r="S437">
        <f t="shared" si="57"/>
        <v>0</v>
      </c>
      <c r="T437">
        <f t="shared" si="58"/>
        <v>0</v>
      </c>
    </row>
    <row r="438" spans="1:20" x14ac:dyDescent="0.25">
      <c r="A438" s="5"/>
      <c r="C438"/>
      <c r="D438"/>
      <c r="P438">
        <f t="shared" si="54"/>
        <v>0</v>
      </c>
      <c r="Q438">
        <f t="shared" si="55"/>
        <v>0</v>
      </c>
      <c r="R438">
        <f t="shared" si="56"/>
        <v>0</v>
      </c>
      <c r="S438">
        <f t="shared" si="57"/>
        <v>0</v>
      </c>
      <c r="T438">
        <f t="shared" si="58"/>
        <v>0</v>
      </c>
    </row>
    <row r="439" spans="1:20" x14ac:dyDescent="0.25">
      <c r="A439" s="5"/>
      <c r="C439"/>
      <c r="D439"/>
      <c r="P439">
        <f t="shared" si="54"/>
        <v>0</v>
      </c>
      <c r="Q439">
        <f t="shared" si="55"/>
        <v>0</v>
      </c>
      <c r="R439">
        <f t="shared" si="56"/>
        <v>0</v>
      </c>
      <c r="S439">
        <f t="shared" si="57"/>
        <v>0</v>
      </c>
      <c r="T439">
        <f t="shared" si="58"/>
        <v>0</v>
      </c>
    </row>
    <row r="440" spans="1:20" x14ac:dyDescent="0.25">
      <c r="A440" s="5"/>
      <c r="C440"/>
      <c r="D440"/>
      <c r="P440">
        <f t="shared" si="54"/>
        <v>0</v>
      </c>
      <c r="Q440">
        <f t="shared" si="55"/>
        <v>0</v>
      </c>
      <c r="R440">
        <f t="shared" si="56"/>
        <v>0</v>
      </c>
      <c r="S440">
        <f t="shared" si="57"/>
        <v>0</v>
      </c>
      <c r="T440">
        <f t="shared" si="58"/>
        <v>0</v>
      </c>
    </row>
    <row r="441" spans="1:20" x14ac:dyDescent="0.25">
      <c r="A441" s="5"/>
      <c r="C441"/>
      <c r="D441"/>
      <c r="P441">
        <f t="shared" si="54"/>
        <v>0</v>
      </c>
      <c r="Q441">
        <f t="shared" si="55"/>
        <v>0</v>
      </c>
      <c r="R441">
        <f t="shared" si="56"/>
        <v>0</v>
      </c>
      <c r="S441">
        <f t="shared" si="57"/>
        <v>0</v>
      </c>
      <c r="T441">
        <f t="shared" si="58"/>
        <v>0</v>
      </c>
    </row>
    <row r="442" spans="1:20" x14ac:dyDescent="0.25">
      <c r="A442" s="5"/>
      <c r="C442"/>
      <c r="D442"/>
      <c r="P442">
        <f t="shared" si="54"/>
        <v>0</v>
      </c>
      <c r="Q442">
        <f t="shared" si="55"/>
        <v>0</v>
      </c>
      <c r="R442">
        <f t="shared" si="56"/>
        <v>0</v>
      </c>
      <c r="S442">
        <f t="shared" si="57"/>
        <v>0</v>
      </c>
      <c r="T442">
        <f t="shared" si="58"/>
        <v>0</v>
      </c>
    </row>
    <row r="443" spans="1:20" x14ac:dyDescent="0.25">
      <c r="A443" s="5"/>
      <c r="C443"/>
      <c r="D443"/>
      <c r="P443">
        <f t="shared" si="54"/>
        <v>0</v>
      </c>
      <c r="Q443">
        <f t="shared" si="55"/>
        <v>0</v>
      </c>
      <c r="R443">
        <f t="shared" si="56"/>
        <v>0</v>
      </c>
      <c r="S443">
        <f t="shared" si="57"/>
        <v>0</v>
      </c>
      <c r="T443">
        <f t="shared" si="58"/>
        <v>0</v>
      </c>
    </row>
    <row r="444" spans="1:20" x14ac:dyDescent="0.25">
      <c r="A444" s="5"/>
      <c r="C444"/>
      <c r="D444"/>
      <c r="P444">
        <f t="shared" si="54"/>
        <v>0</v>
      </c>
      <c r="Q444">
        <f t="shared" si="55"/>
        <v>0</v>
      </c>
      <c r="R444">
        <f t="shared" si="56"/>
        <v>0</v>
      </c>
      <c r="S444">
        <f t="shared" si="57"/>
        <v>0</v>
      </c>
      <c r="T444">
        <f t="shared" si="58"/>
        <v>0</v>
      </c>
    </row>
    <row r="445" spans="1:20" x14ac:dyDescent="0.25">
      <c r="A445" s="5"/>
      <c r="C445"/>
      <c r="D445"/>
      <c r="P445">
        <f t="shared" si="54"/>
        <v>0</v>
      </c>
      <c r="Q445">
        <f t="shared" si="55"/>
        <v>0</v>
      </c>
      <c r="R445">
        <f t="shared" si="56"/>
        <v>0</v>
      </c>
      <c r="S445">
        <f t="shared" si="57"/>
        <v>0</v>
      </c>
      <c r="T445">
        <f t="shared" si="58"/>
        <v>0</v>
      </c>
    </row>
    <row r="446" spans="1:20" x14ac:dyDescent="0.25">
      <c r="A446" s="5"/>
      <c r="C446"/>
      <c r="D446"/>
      <c r="P446">
        <f t="shared" si="54"/>
        <v>0</v>
      </c>
      <c r="Q446">
        <f t="shared" si="55"/>
        <v>0</v>
      </c>
      <c r="R446">
        <f t="shared" si="56"/>
        <v>0</v>
      </c>
      <c r="S446">
        <f t="shared" si="57"/>
        <v>0</v>
      </c>
      <c r="T446">
        <f t="shared" si="58"/>
        <v>0</v>
      </c>
    </row>
    <row r="447" spans="1:20" x14ac:dyDescent="0.25">
      <c r="A447" s="5"/>
      <c r="C447"/>
      <c r="D447"/>
      <c r="P447">
        <f t="shared" si="54"/>
        <v>0</v>
      </c>
      <c r="Q447">
        <f t="shared" si="55"/>
        <v>0</v>
      </c>
      <c r="R447">
        <f t="shared" si="56"/>
        <v>0</v>
      </c>
      <c r="S447">
        <f t="shared" si="57"/>
        <v>0</v>
      </c>
      <c r="T447">
        <f t="shared" si="58"/>
        <v>0</v>
      </c>
    </row>
    <row r="448" spans="1:20" x14ac:dyDescent="0.25">
      <c r="A448" s="5"/>
      <c r="C448"/>
      <c r="D448"/>
      <c r="P448">
        <f t="shared" si="54"/>
        <v>0</v>
      </c>
      <c r="Q448">
        <f t="shared" si="55"/>
        <v>0</v>
      </c>
      <c r="R448">
        <f t="shared" si="56"/>
        <v>0</v>
      </c>
      <c r="S448">
        <f t="shared" si="57"/>
        <v>0</v>
      </c>
      <c r="T448">
        <f t="shared" si="58"/>
        <v>0</v>
      </c>
    </row>
    <row r="449" spans="1:20" x14ac:dyDescent="0.25">
      <c r="A449" s="5"/>
      <c r="C449"/>
      <c r="D449"/>
      <c r="P449">
        <f t="shared" si="54"/>
        <v>0</v>
      </c>
      <c r="Q449">
        <f t="shared" si="55"/>
        <v>0</v>
      </c>
      <c r="R449">
        <f t="shared" si="56"/>
        <v>0</v>
      </c>
      <c r="S449">
        <f t="shared" si="57"/>
        <v>0</v>
      </c>
      <c r="T449">
        <f t="shared" si="58"/>
        <v>0</v>
      </c>
    </row>
    <row r="450" spans="1:20" x14ac:dyDescent="0.25">
      <c r="A450" s="5"/>
      <c r="C450"/>
      <c r="D450"/>
      <c r="P450">
        <f t="shared" si="54"/>
        <v>0</v>
      </c>
      <c r="Q450">
        <f t="shared" si="55"/>
        <v>0</v>
      </c>
      <c r="R450">
        <f t="shared" si="56"/>
        <v>0</v>
      </c>
      <c r="S450">
        <f t="shared" si="57"/>
        <v>0</v>
      </c>
      <c r="T450">
        <f t="shared" si="58"/>
        <v>0</v>
      </c>
    </row>
    <row r="451" spans="1:20" x14ac:dyDescent="0.25">
      <c r="A451" s="5"/>
      <c r="C451"/>
      <c r="D451"/>
      <c r="P451">
        <f t="shared" si="54"/>
        <v>0</v>
      </c>
      <c r="Q451">
        <f t="shared" si="55"/>
        <v>0</v>
      </c>
      <c r="R451">
        <f t="shared" si="56"/>
        <v>0</v>
      </c>
      <c r="S451">
        <f t="shared" si="57"/>
        <v>0</v>
      </c>
      <c r="T451">
        <f t="shared" si="58"/>
        <v>0</v>
      </c>
    </row>
    <row r="452" spans="1:20" x14ac:dyDescent="0.25">
      <c r="A452" s="5"/>
      <c r="C452"/>
      <c r="D452"/>
      <c r="P452">
        <f t="shared" si="54"/>
        <v>0</v>
      </c>
      <c r="Q452">
        <f t="shared" si="55"/>
        <v>0</v>
      </c>
      <c r="R452">
        <f t="shared" si="56"/>
        <v>0</v>
      </c>
      <c r="S452">
        <f t="shared" si="57"/>
        <v>0</v>
      </c>
      <c r="T452">
        <f t="shared" si="58"/>
        <v>0</v>
      </c>
    </row>
    <row r="453" spans="1:20" x14ac:dyDescent="0.25">
      <c r="A453" s="5"/>
      <c r="C453"/>
      <c r="D453"/>
      <c r="P453">
        <f t="shared" si="54"/>
        <v>0</v>
      </c>
      <c r="Q453">
        <f t="shared" si="55"/>
        <v>0</v>
      </c>
      <c r="R453">
        <f t="shared" si="56"/>
        <v>0</v>
      </c>
      <c r="S453">
        <f t="shared" si="57"/>
        <v>0</v>
      </c>
      <c r="T453">
        <f t="shared" si="58"/>
        <v>0</v>
      </c>
    </row>
    <row r="454" spans="1:20" x14ac:dyDescent="0.25">
      <c r="A454" s="5"/>
      <c r="C454"/>
      <c r="D454"/>
      <c r="P454">
        <f t="shared" si="54"/>
        <v>0</v>
      </c>
      <c r="Q454">
        <f t="shared" si="55"/>
        <v>0</v>
      </c>
      <c r="R454">
        <f t="shared" si="56"/>
        <v>0</v>
      </c>
      <c r="S454">
        <f t="shared" si="57"/>
        <v>0</v>
      </c>
      <c r="T454">
        <f t="shared" si="58"/>
        <v>0</v>
      </c>
    </row>
    <row r="455" spans="1:20" x14ac:dyDescent="0.25">
      <c r="A455" s="5"/>
      <c r="C455"/>
      <c r="D455"/>
      <c r="P455">
        <f t="shared" si="54"/>
        <v>0</v>
      </c>
      <c r="Q455">
        <f t="shared" si="55"/>
        <v>0</v>
      </c>
      <c r="R455">
        <f t="shared" si="56"/>
        <v>0</v>
      </c>
      <c r="S455">
        <f t="shared" si="57"/>
        <v>0</v>
      </c>
      <c r="T455">
        <f t="shared" si="58"/>
        <v>0</v>
      </c>
    </row>
    <row r="456" spans="1:20" x14ac:dyDescent="0.25">
      <c r="A456" s="5"/>
      <c r="C456"/>
      <c r="D456"/>
      <c r="P456">
        <f t="shared" si="54"/>
        <v>0</v>
      </c>
      <c r="Q456">
        <f t="shared" si="55"/>
        <v>0</v>
      </c>
      <c r="R456">
        <f t="shared" si="56"/>
        <v>0</v>
      </c>
      <c r="S456">
        <f t="shared" si="57"/>
        <v>0</v>
      </c>
      <c r="T456">
        <f t="shared" si="58"/>
        <v>0</v>
      </c>
    </row>
    <row r="457" spans="1:20" x14ac:dyDescent="0.25">
      <c r="A457" s="5"/>
      <c r="C457"/>
      <c r="D457"/>
      <c r="P457">
        <f t="shared" si="54"/>
        <v>0</v>
      </c>
      <c r="Q457">
        <f t="shared" si="55"/>
        <v>0</v>
      </c>
      <c r="R457">
        <f t="shared" si="56"/>
        <v>0</v>
      </c>
      <c r="S457">
        <f t="shared" si="57"/>
        <v>0</v>
      </c>
      <c r="T457">
        <f t="shared" si="58"/>
        <v>0</v>
      </c>
    </row>
    <row r="458" spans="1:20" x14ac:dyDescent="0.25">
      <c r="A458" s="5"/>
      <c r="C458"/>
      <c r="D458"/>
      <c r="P458">
        <f t="shared" si="54"/>
        <v>0</v>
      </c>
      <c r="Q458">
        <f t="shared" si="55"/>
        <v>0</v>
      </c>
      <c r="R458">
        <f t="shared" si="56"/>
        <v>0</v>
      </c>
      <c r="S458">
        <f t="shared" si="57"/>
        <v>0</v>
      </c>
      <c r="T458">
        <f t="shared" si="58"/>
        <v>0</v>
      </c>
    </row>
    <row r="459" spans="1:20" x14ac:dyDescent="0.25">
      <c r="A459" s="5"/>
      <c r="C459"/>
      <c r="D459"/>
      <c r="P459">
        <f t="shared" ref="P459:P522" si="59">IF(C459=D459,0,((E459-D459)-(C459-E459))/(C459-D459))</f>
        <v>0</v>
      </c>
      <c r="Q459">
        <f t="shared" ref="Q459:Q522" si="60">F459*P459</f>
        <v>0</v>
      </c>
      <c r="R459">
        <f t="shared" ref="R459:R522" si="61">R460+Q459</f>
        <v>0</v>
      </c>
      <c r="S459">
        <f t="shared" ref="S459:S522" si="62">R459/100000</f>
        <v>0</v>
      </c>
      <c r="T459">
        <f t="shared" ref="T459:T522" si="63">S459/1000</f>
        <v>0</v>
      </c>
    </row>
    <row r="460" spans="1:20" x14ac:dyDescent="0.25">
      <c r="A460" s="5"/>
      <c r="C460"/>
      <c r="D460"/>
      <c r="P460">
        <f t="shared" si="59"/>
        <v>0</v>
      </c>
      <c r="Q460">
        <f t="shared" si="60"/>
        <v>0</v>
      </c>
      <c r="R460">
        <f t="shared" si="61"/>
        <v>0</v>
      </c>
      <c r="S460">
        <f t="shared" si="62"/>
        <v>0</v>
      </c>
      <c r="T460">
        <f t="shared" si="63"/>
        <v>0</v>
      </c>
    </row>
    <row r="461" spans="1:20" x14ac:dyDescent="0.25">
      <c r="A461" s="5"/>
      <c r="C461"/>
      <c r="D461"/>
      <c r="P461">
        <f t="shared" si="59"/>
        <v>0</v>
      </c>
      <c r="Q461">
        <f t="shared" si="60"/>
        <v>0</v>
      </c>
      <c r="R461">
        <f t="shared" si="61"/>
        <v>0</v>
      </c>
      <c r="S461">
        <f t="shared" si="62"/>
        <v>0</v>
      </c>
      <c r="T461">
        <f t="shared" si="63"/>
        <v>0</v>
      </c>
    </row>
    <row r="462" spans="1:20" x14ac:dyDescent="0.25">
      <c r="A462" s="5"/>
      <c r="C462"/>
      <c r="D462"/>
      <c r="P462">
        <f t="shared" si="59"/>
        <v>0</v>
      </c>
      <c r="Q462">
        <f t="shared" si="60"/>
        <v>0</v>
      </c>
      <c r="R462">
        <f t="shared" si="61"/>
        <v>0</v>
      </c>
      <c r="S462">
        <f t="shared" si="62"/>
        <v>0</v>
      </c>
      <c r="T462">
        <f t="shared" si="63"/>
        <v>0</v>
      </c>
    </row>
    <row r="463" spans="1:20" x14ac:dyDescent="0.25">
      <c r="A463" s="5"/>
      <c r="C463"/>
      <c r="D463"/>
      <c r="P463">
        <f t="shared" si="59"/>
        <v>0</v>
      </c>
      <c r="Q463">
        <f t="shared" si="60"/>
        <v>0</v>
      </c>
      <c r="R463">
        <f t="shared" si="61"/>
        <v>0</v>
      </c>
      <c r="S463">
        <f t="shared" si="62"/>
        <v>0</v>
      </c>
      <c r="T463">
        <f t="shared" si="63"/>
        <v>0</v>
      </c>
    </row>
    <row r="464" spans="1:20" x14ac:dyDescent="0.25">
      <c r="A464" s="5"/>
      <c r="C464"/>
      <c r="D464"/>
      <c r="P464">
        <f t="shared" si="59"/>
        <v>0</v>
      </c>
      <c r="Q464">
        <f t="shared" si="60"/>
        <v>0</v>
      </c>
      <c r="R464">
        <f t="shared" si="61"/>
        <v>0</v>
      </c>
      <c r="S464">
        <f t="shared" si="62"/>
        <v>0</v>
      </c>
      <c r="T464">
        <f t="shared" si="63"/>
        <v>0</v>
      </c>
    </row>
    <row r="465" spans="1:20" x14ac:dyDescent="0.25">
      <c r="A465" s="5"/>
      <c r="C465"/>
      <c r="D465"/>
      <c r="P465">
        <f t="shared" si="59"/>
        <v>0</v>
      </c>
      <c r="Q465">
        <f t="shared" si="60"/>
        <v>0</v>
      </c>
      <c r="R465">
        <f t="shared" si="61"/>
        <v>0</v>
      </c>
      <c r="S465">
        <f t="shared" si="62"/>
        <v>0</v>
      </c>
      <c r="T465">
        <f t="shared" si="63"/>
        <v>0</v>
      </c>
    </row>
    <row r="466" spans="1:20" x14ac:dyDescent="0.25">
      <c r="A466" s="5"/>
      <c r="C466"/>
      <c r="D466"/>
      <c r="P466">
        <f t="shared" si="59"/>
        <v>0</v>
      </c>
      <c r="Q466">
        <f t="shared" si="60"/>
        <v>0</v>
      </c>
      <c r="R466">
        <f t="shared" si="61"/>
        <v>0</v>
      </c>
      <c r="S466">
        <f t="shared" si="62"/>
        <v>0</v>
      </c>
      <c r="T466">
        <f t="shared" si="63"/>
        <v>0</v>
      </c>
    </row>
    <row r="467" spans="1:20" x14ac:dyDescent="0.25">
      <c r="A467" s="5"/>
      <c r="C467"/>
      <c r="D467"/>
      <c r="P467">
        <f t="shared" si="59"/>
        <v>0</v>
      </c>
      <c r="Q467">
        <f t="shared" si="60"/>
        <v>0</v>
      </c>
      <c r="R467">
        <f t="shared" si="61"/>
        <v>0</v>
      </c>
      <c r="S467">
        <f t="shared" si="62"/>
        <v>0</v>
      </c>
      <c r="T467">
        <f t="shared" si="63"/>
        <v>0</v>
      </c>
    </row>
    <row r="468" spans="1:20" x14ac:dyDescent="0.25">
      <c r="A468" s="5"/>
      <c r="C468"/>
      <c r="D468"/>
      <c r="P468">
        <f t="shared" si="59"/>
        <v>0</v>
      </c>
      <c r="Q468">
        <f t="shared" si="60"/>
        <v>0</v>
      </c>
      <c r="R468">
        <f t="shared" si="61"/>
        <v>0</v>
      </c>
      <c r="S468">
        <f t="shared" si="62"/>
        <v>0</v>
      </c>
      <c r="T468">
        <f t="shared" si="63"/>
        <v>0</v>
      </c>
    </row>
    <row r="469" spans="1:20" x14ac:dyDescent="0.25">
      <c r="A469" s="5"/>
      <c r="C469"/>
      <c r="D469"/>
      <c r="P469">
        <f t="shared" si="59"/>
        <v>0</v>
      </c>
      <c r="Q469">
        <f t="shared" si="60"/>
        <v>0</v>
      </c>
      <c r="R469">
        <f t="shared" si="61"/>
        <v>0</v>
      </c>
      <c r="S469">
        <f t="shared" si="62"/>
        <v>0</v>
      </c>
      <c r="T469">
        <f t="shared" si="63"/>
        <v>0</v>
      </c>
    </row>
    <row r="470" spans="1:20" x14ac:dyDescent="0.25">
      <c r="A470" s="5"/>
      <c r="C470"/>
      <c r="D470"/>
      <c r="P470">
        <f t="shared" si="59"/>
        <v>0</v>
      </c>
      <c r="Q470">
        <f t="shared" si="60"/>
        <v>0</v>
      </c>
      <c r="R470">
        <f t="shared" si="61"/>
        <v>0</v>
      </c>
      <c r="S470">
        <f t="shared" si="62"/>
        <v>0</v>
      </c>
      <c r="T470">
        <f t="shared" si="63"/>
        <v>0</v>
      </c>
    </row>
    <row r="471" spans="1:20" x14ac:dyDescent="0.25">
      <c r="A471" s="5"/>
      <c r="C471"/>
      <c r="D471"/>
      <c r="P471">
        <f t="shared" si="59"/>
        <v>0</v>
      </c>
      <c r="Q471">
        <f t="shared" si="60"/>
        <v>0</v>
      </c>
      <c r="R471">
        <f t="shared" si="61"/>
        <v>0</v>
      </c>
      <c r="S471">
        <f t="shared" si="62"/>
        <v>0</v>
      </c>
      <c r="T471">
        <f t="shared" si="63"/>
        <v>0</v>
      </c>
    </row>
    <row r="472" spans="1:20" x14ac:dyDescent="0.25">
      <c r="A472" s="5"/>
      <c r="C472"/>
      <c r="D472"/>
      <c r="P472">
        <f t="shared" si="59"/>
        <v>0</v>
      </c>
      <c r="Q472">
        <f t="shared" si="60"/>
        <v>0</v>
      </c>
      <c r="R472">
        <f t="shared" si="61"/>
        <v>0</v>
      </c>
      <c r="S472">
        <f t="shared" si="62"/>
        <v>0</v>
      </c>
      <c r="T472">
        <f t="shared" si="63"/>
        <v>0</v>
      </c>
    </row>
    <row r="473" spans="1:20" x14ac:dyDescent="0.25">
      <c r="A473" s="5"/>
      <c r="C473"/>
      <c r="D473"/>
      <c r="P473">
        <f t="shared" si="59"/>
        <v>0</v>
      </c>
      <c r="Q473">
        <f t="shared" si="60"/>
        <v>0</v>
      </c>
      <c r="R473">
        <f t="shared" si="61"/>
        <v>0</v>
      </c>
      <c r="S473">
        <f t="shared" si="62"/>
        <v>0</v>
      </c>
      <c r="T473">
        <f t="shared" si="63"/>
        <v>0</v>
      </c>
    </row>
    <row r="474" spans="1:20" x14ac:dyDescent="0.25">
      <c r="A474" s="5"/>
      <c r="P474">
        <f t="shared" si="59"/>
        <v>0</v>
      </c>
      <c r="Q474">
        <f t="shared" si="60"/>
        <v>0</v>
      </c>
      <c r="R474">
        <f t="shared" si="61"/>
        <v>0</v>
      </c>
      <c r="S474">
        <f t="shared" si="62"/>
        <v>0</v>
      </c>
      <c r="T474">
        <f t="shared" si="63"/>
        <v>0</v>
      </c>
    </row>
    <row r="475" spans="1:20" x14ac:dyDescent="0.25">
      <c r="A475" s="5"/>
      <c r="P475">
        <f t="shared" si="59"/>
        <v>0</v>
      </c>
      <c r="Q475">
        <f t="shared" si="60"/>
        <v>0</v>
      </c>
      <c r="R475">
        <f t="shared" si="61"/>
        <v>0</v>
      </c>
      <c r="S475">
        <f t="shared" si="62"/>
        <v>0</v>
      </c>
      <c r="T475">
        <f t="shared" si="63"/>
        <v>0</v>
      </c>
    </row>
    <row r="476" spans="1:20" x14ac:dyDescent="0.25">
      <c r="A476" s="5"/>
      <c r="P476">
        <f t="shared" si="59"/>
        <v>0</v>
      </c>
      <c r="Q476">
        <f t="shared" si="60"/>
        <v>0</v>
      </c>
      <c r="R476">
        <f t="shared" si="61"/>
        <v>0</v>
      </c>
      <c r="S476">
        <f t="shared" si="62"/>
        <v>0</v>
      </c>
      <c r="T476">
        <f t="shared" si="63"/>
        <v>0</v>
      </c>
    </row>
    <row r="477" spans="1:20" x14ac:dyDescent="0.25">
      <c r="A477" s="5"/>
      <c r="C477" s="4"/>
      <c r="D477" s="4"/>
      <c r="P477">
        <f t="shared" si="59"/>
        <v>0</v>
      </c>
      <c r="Q477">
        <f t="shared" si="60"/>
        <v>0</v>
      </c>
      <c r="R477">
        <f t="shared" si="61"/>
        <v>0</v>
      </c>
      <c r="S477">
        <f t="shared" si="62"/>
        <v>0</v>
      </c>
      <c r="T477">
        <f t="shared" si="63"/>
        <v>0</v>
      </c>
    </row>
    <row r="478" spans="1:20" x14ac:dyDescent="0.25">
      <c r="A478" s="5"/>
      <c r="C478" s="4"/>
      <c r="D478" s="4"/>
      <c r="P478">
        <f t="shared" si="59"/>
        <v>0</v>
      </c>
      <c r="Q478">
        <f t="shared" si="60"/>
        <v>0</v>
      </c>
      <c r="R478">
        <f t="shared" si="61"/>
        <v>0</v>
      </c>
      <c r="S478">
        <f t="shared" si="62"/>
        <v>0</v>
      </c>
      <c r="T478">
        <f t="shared" si="63"/>
        <v>0</v>
      </c>
    </row>
    <row r="479" spans="1:20" x14ac:dyDescent="0.25">
      <c r="A479" s="5"/>
      <c r="C479" s="4"/>
      <c r="D479" s="4"/>
      <c r="P479">
        <f t="shared" si="59"/>
        <v>0</v>
      </c>
      <c r="Q479">
        <f t="shared" si="60"/>
        <v>0</v>
      </c>
      <c r="R479">
        <f t="shared" si="61"/>
        <v>0</v>
      </c>
      <c r="S479">
        <f t="shared" si="62"/>
        <v>0</v>
      </c>
      <c r="T479">
        <f t="shared" si="63"/>
        <v>0</v>
      </c>
    </row>
    <row r="480" spans="1:20" x14ac:dyDescent="0.25">
      <c r="A480" s="5"/>
      <c r="C480" s="4"/>
      <c r="D480" s="4"/>
      <c r="P480">
        <f t="shared" si="59"/>
        <v>0</v>
      </c>
      <c r="Q480">
        <f t="shared" si="60"/>
        <v>0</v>
      </c>
      <c r="R480">
        <f t="shared" si="61"/>
        <v>0</v>
      </c>
      <c r="S480">
        <f t="shared" si="62"/>
        <v>0</v>
      </c>
      <c r="T480">
        <f t="shared" si="63"/>
        <v>0</v>
      </c>
    </row>
    <row r="481" spans="1:20" x14ac:dyDescent="0.25">
      <c r="A481" s="5"/>
      <c r="C481" s="4"/>
      <c r="D481" s="4"/>
      <c r="P481">
        <f t="shared" si="59"/>
        <v>0</v>
      </c>
      <c r="Q481">
        <f t="shared" si="60"/>
        <v>0</v>
      </c>
      <c r="R481">
        <f t="shared" si="61"/>
        <v>0</v>
      </c>
      <c r="S481">
        <f t="shared" si="62"/>
        <v>0</v>
      </c>
      <c r="T481">
        <f t="shared" si="63"/>
        <v>0</v>
      </c>
    </row>
    <row r="482" spans="1:20" x14ac:dyDescent="0.25">
      <c r="A482" s="5"/>
      <c r="C482" s="4"/>
      <c r="D482" s="4"/>
      <c r="P482">
        <f t="shared" si="59"/>
        <v>0</v>
      </c>
      <c r="Q482">
        <f t="shared" si="60"/>
        <v>0</v>
      </c>
      <c r="R482">
        <f t="shared" si="61"/>
        <v>0</v>
      </c>
      <c r="S482">
        <f t="shared" si="62"/>
        <v>0</v>
      </c>
      <c r="T482">
        <f t="shared" si="63"/>
        <v>0</v>
      </c>
    </row>
    <row r="483" spans="1:20" x14ac:dyDescent="0.25">
      <c r="A483" s="5"/>
      <c r="C483" s="4"/>
      <c r="D483" s="4"/>
      <c r="P483">
        <f t="shared" si="59"/>
        <v>0</v>
      </c>
      <c r="Q483">
        <f t="shared" si="60"/>
        <v>0</v>
      </c>
      <c r="R483">
        <f t="shared" si="61"/>
        <v>0</v>
      </c>
      <c r="S483">
        <f t="shared" si="62"/>
        <v>0</v>
      </c>
      <c r="T483">
        <f t="shared" si="63"/>
        <v>0</v>
      </c>
    </row>
    <row r="484" spans="1:20" x14ac:dyDescent="0.25">
      <c r="A484" s="5"/>
      <c r="C484" s="4"/>
      <c r="D484" s="4"/>
      <c r="P484">
        <f t="shared" si="59"/>
        <v>0</v>
      </c>
      <c r="Q484">
        <f t="shared" si="60"/>
        <v>0</v>
      </c>
      <c r="R484">
        <f t="shared" si="61"/>
        <v>0</v>
      </c>
      <c r="S484">
        <f t="shared" si="62"/>
        <v>0</v>
      </c>
      <c r="T484">
        <f t="shared" si="63"/>
        <v>0</v>
      </c>
    </row>
    <row r="485" spans="1:20" x14ac:dyDescent="0.25">
      <c r="A485" s="5"/>
      <c r="C485" s="4"/>
      <c r="D485" s="4"/>
      <c r="P485">
        <f t="shared" si="59"/>
        <v>0</v>
      </c>
      <c r="Q485">
        <f t="shared" si="60"/>
        <v>0</v>
      </c>
      <c r="R485">
        <f t="shared" si="61"/>
        <v>0</v>
      </c>
      <c r="S485">
        <f t="shared" si="62"/>
        <v>0</v>
      </c>
      <c r="T485">
        <f t="shared" si="63"/>
        <v>0</v>
      </c>
    </row>
    <row r="486" spans="1:20" x14ac:dyDescent="0.25">
      <c r="A486" s="5"/>
      <c r="C486" s="4"/>
      <c r="D486" s="4"/>
      <c r="P486">
        <f t="shared" si="59"/>
        <v>0</v>
      </c>
      <c r="Q486">
        <f t="shared" si="60"/>
        <v>0</v>
      </c>
      <c r="R486">
        <f t="shared" si="61"/>
        <v>0</v>
      </c>
      <c r="S486">
        <f t="shared" si="62"/>
        <v>0</v>
      </c>
      <c r="T486">
        <f t="shared" si="63"/>
        <v>0</v>
      </c>
    </row>
    <row r="487" spans="1:20" x14ac:dyDescent="0.25">
      <c r="A487" s="5"/>
      <c r="C487" s="4"/>
      <c r="D487" s="4"/>
      <c r="P487">
        <f t="shared" si="59"/>
        <v>0</v>
      </c>
      <c r="Q487">
        <f t="shared" si="60"/>
        <v>0</v>
      </c>
      <c r="R487">
        <f t="shared" si="61"/>
        <v>0</v>
      </c>
      <c r="S487">
        <f t="shared" si="62"/>
        <v>0</v>
      </c>
      <c r="T487">
        <f t="shared" si="63"/>
        <v>0</v>
      </c>
    </row>
    <row r="488" spans="1:20" x14ac:dyDescent="0.25">
      <c r="A488" s="5"/>
      <c r="C488" s="4"/>
      <c r="D488" s="4"/>
      <c r="P488">
        <f t="shared" si="59"/>
        <v>0</v>
      </c>
      <c r="Q488">
        <f t="shared" si="60"/>
        <v>0</v>
      </c>
      <c r="R488">
        <f t="shared" si="61"/>
        <v>0</v>
      </c>
      <c r="S488">
        <f t="shared" si="62"/>
        <v>0</v>
      </c>
      <c r="T488">
        <f t="shared" si="63"/>
        <v>0</v>
      </c>
    </row>
    <row r="489" spans="1:20" x14ac:dyDescent="0.25">
      <c r="A489" s="5"/>
      <c r="C489" s="4"/>
      <c r="D489" s="4"/>
      <c r="P489">
        <f t="shared" si="59"/>
        <v>0</v>
      </c>
      <c r="Q489">
        <f t="shared" si="60"/>
        <v>0</v>
      </c>
      <c r="R489">
        <f t="shared" si="61"/>
        <v>0</v>
      </c>
      <c r="S489">
        <f t="shared" si="62"/>
        <v>0</v>
      </c>
      <c r="T489">
        <f t="shared" si="63"/>
        <v>0</v>
      </c>
    </row>
    <row r="490" spans="1:20" x14ac:dyDescent="0.25">
      <c r="A490" s="5"/>
      <c r="C490" s="4"/>
      <c r="D490" s="4"/>
      <c r="P490">
        <f t="shared" si="59"/>
        <v>0</v>
      </c>
      <c r="Q490">
        <f t="shared" si="60"/>
        <v>0</v>
      </c>
      <c r="R490">
        <f t="shared" si="61"/>
        <v>0</v>
      </c>
      <c r="S490">
        <f t="shared" si="62"/>
        <v>0</v>
      </c>
      <c r="T490">
        <f t="shared" si="63"/>
        <v>0</v>
      </c>
    </row>
    <row r="491" spans="1:20" x14ac:dyDescent="0.25">
      <c r="A491" s="5"/>
      <c r="C491" s="4"/>
      <c r="D491" s="4"/>
      <c r="P491">
        <f t="shared" si="59"/>
        <v>0</v>
      </c>
      <c r="Q491">
        <f t="shared" si="60"/>
        <v>0</v>
      </c>
      <c r="R491">
        <f t="shared" si="61"/>
        <v>0</v>
      </c>
      <c r="S491">
        <f t="shared" si="62"/>
        <v>0</v>
      </c>
      <c r="T491">
        <f t="shared" si="63"/>
        <v>0</v>
      </c>
    </row>
    <row r="492" spans="1:20" x14ac:dyDescent="0.25">
      <c r="A492" s="5"/>
      <c r="C492" s="4"/>
      <c r="D492" s="4"/>
      <c r="P492">
        <f t="shared" si="59"/>
        <v>0</v>
      </c>
      <c r="Q492">
        <f t="shared" si="60"/>
        <v>0</v>
      </c>
      <c r="R492">
        <f t="shared" si="61"/>
        <v>0</v>
      </c>
      <c r="S492">
        <f t="shared" si="62"/>
        <v>0</v>
      </c>
      <c r="T492">
        <f t="shared" si="63"/>
        <v>0</v>
      </c>
    </row>
    <row r="493" spans="1:20" x14ac:dyDescent="0.25">
      <c r="A493" s="5"/>
      <c r="C493" s="4"/>
      <c r="D493" s="4"/>
      <c r="P493">
        <f t="shared" si="59"/>
        <v>0</v>
      </c>
      <c r="Q493">
        <f t="shared" si="60"/>
        <v>0</v>
      </c>
      <c r="R493">
        <f t="shared" si="61"/>
        <v>0</v>
      </c>
      <c r="S493">
        <f t="shared" si="62"/>
        <v>0</v>
      </c>
      <c r="T493">
        <f t="shared" si="63"/>
        <v>0</v>
      </c>
    </row>
    <row r="494" spans="1:20" x14ac:dyDescent="0.25">
      <c r="A494" s="5"/>
      <c r="C494" s="4"/>
      <c r="D494" s="4"/>
      <c r="P494">
        <f t="shared" si="59"/>
        <v>0</v>
      </c>
      <c r="Q494">
        <f t="shared" si="60"/>
        <v>0</v>
      </c>
      <c r="R494">
        <f t="shared" si="61"/>
        <v>0</v>
      </c>
      <c r="S494">
        <f t="shared" si="62"/>
        <v>0</v>
      </c>
      <c r="T494">
        <f t="shared" si="63"/>
        <v>0</v>
      </c>
    </row>
    <row r="495" spans="1:20" x14ac:dyDescent="0.25">
      <c r="A495" s="5"/>
      <c r="C495" s="4"/>
      <c r="D495" s="4"/>
      <c r="P495">
        <f t="shared" si="59"/>
        <v>0</v>
      </c>
      <c r="Q495">
        <f t="shared" si="60"/>
        <v>0</v>
      </c>
      <c r="R495">
        <f t="shared" si="61"/>
        <v>0</v>
      </c>
      <c r="S495">
        <f t="shared" si="62"/>
        <v>0</v>
      </c>
      <c r="T495">
        <f t="shared" si="63"/>
        <v>0</v>
      </c>
    </row>
    <row r="496" spans="1:20" x14ac:dyDescent="0.25">
      <c r="A496" s="5"/>
      <c r="C496" s="4"/>
      <c r="D496" s="4"/>
      <c r="P496">
        <f t="shared" si="59"/>
        <v>0</v>
      </c>
      <c r="Q496">
        <f t="shared" si="60"/>
        <v>0</v>
      </c>
      <c r="R496">
        <f t="shared" si="61"/>
        <v>0</v>
      </c>
      <c r="S496">
        <f t="shared" si="62"/>
        <v>0</v>
      </c>
      <c r="T496">
        <f t="shared" si="63"/>
        <v>0</v>
      </c>
    </row>
    <row r="497" spans="1:20" x14ac:dyDescent="0.25">
      <c r="A497" s="5"/>
      <c r="C497" s="4"/>
      <c r="D497" s="4"/>
      <c r="P497">
        <f t="shared" si="59"/>
        <v>0</v>
      </c>
      <c r="Q497">
        <f t="shared" si="60"/>
        <v>0</v>
      </c>
      <c r="R497">
        <f t="shared" si="61"/>
        <v>0</v>
      </c>
      <c r="S497">
        <f t="shared" si="62"/>
        <v>0</v>
      </c>
      <c r="T497">
        <f t="shared" si="63"/>
        <v>0</v>
      </c>
    </row>
    <row r="498" spans="1:20" x14ac:dyDescent="0.25">
      <c r="A498" s="5"/>
      <c r="C498" s="4"/>
      <c r="D498" s="4"/>
      <c r="P498">
        <f t="shared" si="59"/>
        <v>0</v>
      </c>
      <c r="Q498">
        <f t="shared" si="60"/>
        <v>0</v>
      </c>
      <c r="R498">
        <f t="shared" si="61"/>
        <v>0</v>
      </c>
      <c r="S498">
        <f t="shared" si="62"/>
        <v>0</v>
      </c>
      <c r="T498">
        <f t="shared" si="63"/>
        <v>0</v>
      </c>
    </row>
    <row r="499" spans="1:20" x14ac:dyDescent="0.25">
      <c r="A499" s="5"/>
      <c r="C499" s="4"/>
      <c r="D499" s="4"/>
      <c r="P499">
        <f t="shared" si="59"/>
        <v>0</v>
      </c>
      <c r="Q499">
        <f t="shared" si="60"/>
        <v>0</v>
      </c>
      <c r="R499">
        <f t="shared" si="61"/>
        <v>0</v>
      </c>
      <c r="S499">
        <f t="shared" si="62"/>
        <v>0</v>
      </c>
      <c r="T499">
        <f t="shared" si="63"/>
        <v>0</v>
      </c>
    </row>
    <row r="500" spans="1:20" x14ac:dyDescent="0.25">
      <c r="A500" s="5"/>
      <c r="C500" s="4"/>
      <c r="D500" s="4"/>
      <c r="P500">
        <f t="shared" si="59"/>
        <v>0</v>
      </c>
      <c r="Q500">
        <f t="shared" si="60"/>
        <v>0</v>
      </c>
      <c r="R500">
        <f t="shared" si="61"/>
        <v>0</v>
      </c>
      <c r="S500">
        <f t="shared" si="62"/>
        <v>0</v>
      </c>
      <c r="T500">
        <f t="shared" si="63"/>
        <v>0</v>
      </c>
    </row>
    <row r="501" spans="1:20" x14ac:dyDescent="0.25">
      <c r="A501" s="5"/>
      <c r="C501" s="4"/>
      <c r="D501" s="4"/>
      <c r="P501">
        <f t="shared" si="59"/>
        <v>0</v>
      </c>
      <c r="Q501">
        <f t="shared" si="60"/>
        <v>0</v>
      </c>
      <c r="R501">
        <f t="shared" si="61"/>
        <v>0</v>
      </c>
      <c r="S501">
        <f t="shared" si="62"/>
        <v>0</v>
      </c>
      <c r="T501">
        <f t="shared" si="63"/>
        <v>0</v>
      </c>
    </row>
    <row r="502" spans="1:20" x14ac:dyDescent="0.25">
      <c r="A502" s="5"/>
      <c r="C502" s="4"/>
      <c r="D502" s="4"/>
      <c r="P502">
        <f t="shared" si="59"/>
        <v>0</v>
      </c>
      <c r="Q502">
        <f t="shared" si="60"/>
        <v>0</v>
      </c>
      <c r="R502">
        <f t="shared" si="61"/>
        <v>0</v>
      </c>
      <c r="S502">
        <f t="shared" si="62"/>
        <v>0</v>
      </c>
      <c r="T502">
        <f t="shared" si="63"/>
        <v>0</v>
      </c>
    </row>
    <row r="503" spans="1:20" x14ac:dyDescent="0.25">
      <c r="A503" s="5"/>
      <c r="C503" s="4"/>
      <c r="D503" s="4"/>
      <c r="P503">
        <f t="shared" si="59"/>
        <v>0</v>
      </c>
      <c r="Q503">
        <f t="shared" si="60"/>
        <v>0</v>
      </c>
      <c r="R503">
        <f t="shared" si="61"/>
        <v>0</v>
      </c>
      <c r="S503">
        <f t="shared" si="62"/>
        <v>0</v>
      </c>
      <c r="T503">
        <f t="shared" si="63"/>
        <v>0</v>
      </c>
    </row>
    <row r="504" spans="1:20" x14ac:dyDescent="0.25">
      <c r="A504" s="5"/>
      <c r="C504" s="4"/>
      <c r="D504" s="4"/>
      <c r="P504">
        <f t="shared" si="59"/>
        <v>0</v>
      </c>
      <c r="Q504">
        <f t="shared" si="60"/>
        <v>0</v>
      </c>
      <c r="R504">
        <f t="shared" si="61"/>
        <v>0</v>
      </c>
      <c r="S504">
        <f t="shared" si="62"/>
        <v>0</v>
      </c>
      <c r="T504">
        <f t="shared" si="63"/>
        <v>0</v>
      </c>
    </row>
    <row r="505" spans="1:20" x14ac:dyDescent="0.25">
      <c r="A505" s="5"/>
      <c r="C505" s="4"/>
      <c r="D505" s="4"/>
      <c r="P505">
        <f t="shared" si="59"/>
        <v>0</v>
      </c>
      <c r="Q505">
        <f t="shared" si="60"/>
        <v>0</v>
      </c>
      <c r="R505">
        <f t="shared" si="61"/>
        <v>0</v>
      </c>
      <c r="S505">
        <f t="shared" si="62"/>
        <v>0</v>
      </c>
      <c r="T505">
        <f t="shared" si="63"/>
        <v>0</v>
      </c>
    </row>
    <row r="506" spans="1:20" x14ac:dyDescent="0.25">
      <c r="A506" s="5"/>
      <c r="C506" s="4"/>
      <c r="D506" s="4"/>
      <c r="P506">
        <f t="shared" si="59"/>
        <v>0</v>
      </c>
      <c r="Q506">
        <f t="shared" si="60"/>
        <v>0</v>
      </c>
      <c r="R506">
        <f t="shared" si="61"/>
        <v>0</v>
      </c>
      <c r="S506">
        <f t="shared" si="62"/>
        <v>0</v>
      </c>
      <c r="T506">
        <f t="shared" si="63"/>
        <v>0</v>
      </c>
    </row>
    <row r="507" spans="1:20" x14ac:dyDescent="0.25">
      <c r="A507" s="5"/>
      <c r="C507" s="4"/>
      <c r="D507" s="4"/>
      <c r="P507">
        <f t="shared" si="59"/>
        <v>0</v>
      </c>
      <c r="Q507">
        <f t="shared" si="60"/>
        <v>0</v>
      </c>
      <c r="R507">
        <f t="shared" si="61"/>
        <v>0</v>
      </c>
      <c r="S507">
        <f t="shared" si="62"/>
        <v>0</v>
      </c>
      <c r="T507">
        <f t="shared" si="63"/>
        <v>0</v>
      </c>
    </row>
    <row r="508" spans="1:20" x14ac:dyDescent="0.25">
      <c r="A508" s="5"/>
      <c r="C508" s="4"/>
      <c r="D508" s="4"/>
      <c r="P508">
        <f t="shared" si="59"/>
        <v>0</v>
      </c>
      <c r="Q508">
        <f t="shared" si="60"/>
        <v>0</v>
      </c>
      <c r="R508">
        <f t="shared" si="61"/>
        <v>0</v>
      </c>
      <c r="S508">
        <f t="shared" si="62"/>
        <v>0</v>
      </c>
      <c r="T508">
        <f t="shared" si="63"/>
        <v>0</v>
      </c>
    </row>
    <row r="509" spans="1:20" x14ac:dyDescent="0.25">
      <c r="A509" s="5"/>
      <c r="C509" s="4"/>
      <c r="D509" s="4"/>
      <c r="P509">
        <f t="shared" si="59"/>
        <v>0</v>
      </c>
      <c r="Q509">
        <f t="shared" si="60"/>
        <v>0</v>
      </c>
      <c r="R509">
        <f t="shared" si="61"/>
        <v>0</v>
      </c>
      <c r="S509">
        <f t="shared" si="62"/>
        <v>0</v>
      </c>
      <c r="T509">
        <f t="shared" si="63"/>
        <v>0</v>
      </c>
    </row>
    <row r="510" spans="1:20" x14ac:dyDescent="0.25">
      <c r="A510" s="5"/>
      <c r="C510" s="4"/>
      <c r="D510" s="4"/>
      <c r="P510">
        <f t="shared" si="59"/>
        <v>0</v>
      </c>
      <c r="Q510">
        <f t="shared" si="60"/>
        <v>0</v>
      </c>
      <c r="R510">
        <f t="shared" si="61"/>
        <v>0</v>
      </c>
      <c r="S510">
        <f t="shared" si="62"/>
        <v>0</v>
      </c>
      <c r="T510">
        <f t="shared" si="63"/>
        <v>0</v>
      </c>
    </row>
    <row r="511" spans="1:20" x14ac:dyDescent="0.25">
      <c r="A511" s="5"/>
      <c r="C511" s="4"/>
      <c r="D511" s="4"/>
      <c r="P511">
        <f t="shared" si="59"/>
        <v>0</v>
      </c>
      <c r="Q511">
        <f t="shared" si="60"/>
        <v>0</v>
      </c>
      <c r="R511">
        <f t="shared" si="61"/>
        <v>0</v>
      </c>
      <c r="S511">
        <f t="shared" si="62"/>
        <v>0</v>
      </c>
      <c r="T511">
        <f t="shared" si="63"/>
        <v>0</v>
      </c>
    </row>
    <row r="512" spans="1:20" x14ac:dyDescent="0.25">
      <c r="A512" s="5"/>
      <c r="C512" s="4"/>
      <c r="D512" s="4"/>
      <c r="P512">
        <f t="shared" si="59"/>
        <v>0</v>
      </c>
      <c r="Q512">
        <f t="shared" si="60"/>
        <v>0</v>
      </c>
      <c r="R512">
        <f t="shared" si="61"/>
        <v>0</v>
      </c>
      <c r="S512">
        <f t="shared" si="62"/>
        <v>0</v>
      </c>
      <c r="T512">
        <f t="shared" si="63"/>
        <v>0</v>
      </c>
    </row>
    <row r="513" spans="1:20" x14ac:dyDescent="0.25">
      <c r="A513" s="5"/>
      <c r="C513" s="4"/>
      <c r="D513" s="4"/>
      <c r="P513">
        <f t="shared" si="59"/>
        <v>0</v>
      </c>
      <c r="Q513">
        <f t="shared" si="60"/>
        <v>0</v>
      </c>
      <c r="R513">
        <f t="shared" si="61"/>
        <v>0</v>
      </c>
      <c r="S513">
        <f t="shared" si="62"/>
        <v>0</v>
      </c>
      <c r="T513">
        <f t="shared" si="63"/>
        <v>0</v>
      </c>
    </row>
    <row r="514" spans="1:20" x14ac:dyDescent="0.25">
      <c r="A514" s="5"/>
      <c r="C514" s="4"/>
      <c r="D514" s="4"/>
      <c r="P514">
        <f t="shared" si="59"/>
        <v>0</v>
      </c>
      <c r="Q514">
        <f t="shared" si="60"/>
        <v>0</v>
      </c>
      <c r="R514">
        <f t="shared" si="61"/>
        <v>0</v>
      </c>
      <c r="S514">
        <f t="shared" si="62"/>
        <v>0</v>
      </c>
      <c r="T514">
        <f t="shared" si="63"/>
        <v>0</v>
      </c>
    </row>
    <row r="515" spans="1:20" x14ac:dyDescent="0.25">
      <c r="A515" s="5"/>
      <c r="C515" s="4"/>
      <c r="D515" s="4"/>
      <c r="P515">
        <f t="shared" si="59"/>
        <v>0</v>
      </c>
      <c r="Q515">
        <f t="shared" si="60"/>
        <v>0</v>
      </c>
      <c r="R515">
        <f t="shared" si="61"/>
        <v>0</v>
      </c>
      <c r="S515">
        <f t="shared" si="62"/>
        <v>0</v>
      </c>
      <c r="T515">
        <f t="shared" si="63"/>
        <v>0</v>
      </c>
    </row>
    <row r="516" spans="1:20" x14ac:dyDescent="0.25">
      <c r="A516" s="5"/>
      <c r="C516" s="4"/>
      <c r="D516" s="4"/>
      <c r="P516">
        <f t="shared" si="59"/>
        <v>0</v>
      </c>
      <c r="Q516">
        <f t="shared" si="60"/>
        <v>0</v>
      </c>
      <c r="R516">
        <f t="shared" si="61"/>
        <v>0</v>
      </c>
      <c r="S516">
        <f t="shared" si="62"/>
        <v>0</v>
      </c>
      <c r="T516">
        <f t="shared" si="63"/>
        <v>0</v>
      </c>
    </row>
    <row r="517" spans="1:20" x14ac:dyDescent="0.25">
      <c r="A517" s="5"/>
      <c r="C517" s="4"/>
      <c r="D517" s="4"/>
      <c r="P517">
        <f t="shared" si="59"/>
        <v>0</v>
      </c>
      <c r="Q517">
        <f t="shared" si="60"/>
        <v>0</v>
      </c>
      <c r="R517">
        <f t="shared" si="61"/>
        <v>0</v>
      </c>
      <c r="S517">
        <f t="shared" si="62"/>
        <v>0</v>
      </c>
      <c r="T517">
        <f t="shared" si="63"/>
        <v>0</v>
      </c>
    </row>
    <row r="518" spans="1:20" x14ac:dyDescent="0.25">
      <c r="A518" s="5"/>
      <c r="C518" s="4"/>
      <c r="D518" s="4"/>
      <c r="P518">
        <f t="shared" si="59"/>
        <v>0</v>
      </c>
      <c r="Q518">
        <f t="shared" si="60"/>
        <v>0</v>
      </c>
      <c r="R518">
        <f t="shared" si="61"/>
        <v>0</v>
      </c>
      <c r="S518">
        <f t="shared" si="62"/>
        <v>0</v>
      </c>
      <c r="T518">
        <f t="shared" si="63"/>
        <v>0</v>
      </c>
    </row>
    <row r="519" spans="1:20" x14ac:dyDescent="0.25">
      <c r="A519" s="5"/>
      <c r="C519" s="4"/>
      <c r="D519" s="4"/>
      <c r="P519">
        <f t="shared" si="59"/>
        <v>0</v>
      </c>
      <c r="Q519">
        <f t="shared" si="60"/>
        <v>0</v>
      </c>
      <c r="R519">
        <f t="shared" si="61"/>
        <v>0</v>
      </c>
      <c r="S519">
        <f t="shared" si="62"/>
        <v>0</v>
      </c>
      <c r="T519">
        <f t="shared" si="63"/>
        <v>0</v>
      </c>
    </row>
    <row r="520" spans="1:20" x14ac:dyDescent="0.25">
      <c r="A520" s="5"/>
      <c r="C520" s="4"/>
      <c r="D520" s="4"/>
      <c r="P520">
        <f t="shared" si="59"/>
        <v>0</v>
      </c>
      <c r="Q520">
        <f t="shared" si="60"/>
        <v>0</v>
      </c>
      <c r="R520">
        <f t="shared" si="61"/>
        <v>0</v>
      </c>
      <c r="S520">
        <f t="shared" si="62"/>
        <v>0</v>
      </c>
      <c r="T520">
        <f t="shared" si="63"/>
        <v>0</v>
      </c>
    </row>
    <row r="521" spans="1:20" x14ac:dyDescent="0.25">
      <c r="A521" s="5"/>
      <c r="C521" s="4"/>
      <c r="D521" s="4"/>
      <c r="P521">
        <f t="shared" si="59"/>
        <v>0</v>
      </c>
      <c r="Q521">
        <f t="shared" si="60"/>
        <v>0</v>
      </c>
      <c r="R521">
        <f t="shared" si="61"/>
        <v>0</v>
      </c>
      <c r="S521">
        <f t="shared" si="62"/>
        <v>0</v>
      </c>
      <c r="T521">
        <f t="shared" si="63"/>
        <v>0</v>
      </c>
    </row>
    <row r="522" spans="1:20" x14ac:dyDescent="0.25">
      <c r="A522" s="5"/>
      <c r="C522" s="4"/>
      <c r="D522" s="4"/>
      <c r="P522">
        <f t="shared" si="59"/>
        <v>0</v>
      </c>
      <c r="Q522">
        <f t="shared" si="60"/>
        <v>0</v>
      </c>
      <c r="R522">
        <f t="shared" si="61"/>
        <v>0</v>
      </c>
      <c r="S522">
        <f t="shared" si="62"/>
        <v>0</v>
      </c>
      <c r="T522">
        <f t="shared" si="63"/>
        <v>0</v>
      </c>
    </row>
    <row r="523" spans="1:20" x14ac:dyDescent="0.25">
      <c r="A523" s="5"/>
      <c r="C523" s="4"/>
      <c r="D523" s="4"/>
      <c r="P523">
        <f t="shared" ref="P523:P579" si="64">IF(C523=D523,0,((E523-D523)-(C523-E523))/(C523-D523))</f>
        <v>0</v>
      </c>
      <c r="Q523">
        <f t="shared" ref="Q523:Q579" si="65">F523*P523</f>
        <v>0</v>
      </c>
      <c r="R523">
        <f t="shared" ref="R523:R579" si="66">R524+Q523</f>
        <v>0</v>
      </c>
      <c r="S523">
        <f t="shared" ref="S523:S579" si="67">R523/100000</f>
        <v>0</v>
      </c>
      <c r="T523">
        <f t="shared" ref="T523:T579" si="68">S523/1000</f>
        <v>0</v>
      </c>
    </row>
    <row r="524" spans="1:20" x14ac:dyDescent="0.25">
      <c r="A524" s="5"/>
      <c r="C524" s="4"/>
      <c r="D524" s="4"/>
      <c r="P524">
        <f t="shared" si="64"/>
        <v>0</v>
      </c>
      <c r="Q524">
        <f t="shared" si="65"/>
        <v>0</v>
      </c>
      <c r="R524">
        <f t="shared" si="66"/>
        <v>0</v>
      </c>
      <c r="S524">
        <f t="shared" si="67"/>
        <v>0</v>
      </c>
      <c r="T524">
        <f t="shared" si="68"/>
        <v>0</v>
      </c>
    </row>
    <row r="525" spans="1:20" x14ac:dyDescent="0.25">
      <c r="A525" s="5"/>
      <c r="C525" s="4"/>
      <c r="D525" s="4"/>
      <c r="P525">
        <f t="shared" si="64"/>
        <v>0</v>
      </c>
      <c r="Q525">
        <f t="shared" si="65"/>
        <v>0</v>
      </c>
      <c r="R525">
        <f t="shared" si="66"/>
        <v>0</v>
      </c>
      <c r="S525">
        <f t="shared" si="67"/>
        <v>0</v>
      </c>
      <c r="T525">
        <f t="shared" si="68"/>
        <v>0</v>
      </c>
    </row>
    <row r="526" spans="1:20" x14ac:dyDescent="0.25">
      <c r="A526" s="5"/>
      <c r="C526" s="4"/>
      <c r="D526" s="4"/>
      <c r="P526">
        <f t="shared" si="64"/>
        <v>0</v>
      </c>
      <c r="Q526">
        <f t="shared" si="65"/>
        <v>0</v>
      </c>
      <c r="R526">
        <f t="shared" si="66"/>
        <v>0</v>
      </c>
      <c r="S526">
        <f t="shared" si="67"/>
        <v>0</v>
      </c>
      <c r="T526">
        <f t="shared" si="68"/>
        <v>0</v>
      </c>
    </row>
    <row r="527" spans="1:20" x14ac:dyDescent="0.25">
      <c r="A527" s="5"/>
      <c r="C527" s="4"/>
      <c r="D527" s="4"/>
      <c r="P527">
        <f t="shared" si="64"/>
        <v>0</v>
      </c>
      <c r="Q527">
        <f t="shared" si="65"/>
        <v>0</v>
      </c>
      <c r="R527">
        <f t="shared" si="66"/>
        <v>0</v>
      </c>
      <c r="S527">
        <f t="shared" si="67"/>
        <v>0</v>
      </c>
      <c r="T527">
        <f t="shared" si="68"/>
        <v>0</v>
      </c>
    </row>
    <row r="528" spans="1:20" x14ac:dyDescent="0.25">
      <c r="A528" s="5"/>
      <c r="C528" s="4"/>
      <c r="D528" s="4"/>
      <c r="P528">
        <f t="shared" si="64"/>
        <v>0</v>
      </c>
      <c r="Q528">
        <f t="shared" si="65"/>
        <v>0</v>
      </c>
      <c r="R528">
        <f t="shared" si="66"/>
        <v>0</v>
      </c>
      <c r="S528">
        <f t="shared" si="67"/>
        <v>0</v>
      </c>
      <c r="T528">
        <f t="shared" si="68"/>
        <v>0</v>
      </c>
    </row>
    <row r="529" spans="1:20" x14ac:dyDescent="0.25">
      <c r="A529" s="5"/>
      <c r="C529" s="4"/>
      <c r="D529" s="4"/>
      <c r="P529">
        <f t="shared" si="64"/>
        <v>0</v>
      </c>
      <c r="Q529">
        <f t="shared" si="65"/>
        <v>0</v>
      </c>
      <c r="R529">
        <f t="shared" si="66"/>
        <v>0</v>
      </c>
      <c r="S529">
        <f t="shared" si="67"/>
        <v>0</v>
      </c>
      <c r="T529">
        <f t="shared" si="68"/>
        <v>0</v>
      </c>
    </row>
    <row r="530" spans="1:20" x14ac:dyDescent="0.25">
      <c r="A530" s="5"/>
      <c r="C530" s="4"/>
      <c r="D530" s="4"/>
      <c r="P530">
        <f t="shared" si="64"/>
        <v>0</v>
      </c>
      <c r="Q530">
        <f t="shared" si="65"/>
        <v>0</v>
      </c>
      <c r="R530">
        <f t="shared" si="66"/>
        <v>0</v>
      </c>
      <c r="S530">
        <f t="shared" si="67"/>
        <v>0</v>
      </c>
      <c r="T530">
        <f t="shared" si="68"/>
        <v>0</v>
      </c>
    </row>
    <row r="531" spans="1:20" x14ac:dyDescent="0.25">
      <c r="A531" s="5"/>
      <c r="C531" s="4"/>
      <c r="D531" s="4"/>
      <c r="P531">
        <f t="shared" si="64"/>
        <v>0</v>
      </c>
      <c r="Q531">
        <f t="shared" si="65"/>
        <v>0</v>
      </c>
      <c r="R531">
        <f t="shared" si="66"/>
        <v>0</v>
      </c>
      <c r="S531">
        <f t="shared" si="67"/>
        <v>0</v>
      </c>
      <c r="T531">
        <f t="shared" si="68"/>
        <v>0</v>
      </c>
    </row>
    <row r="532" spans="1:20" x14ac:dyDescent="0.25">
      <c r="A532" s="5"/>
      <c r="C532" s="4"/>
      <c r="D532" s="4"/>
      <c r="P532">
        <f t="shared" si="64"/>
        <v>0</v>
      </c>
      <c r="Q532">
        <f t="shared" si="65"/>
        <v>0</v>
      </c>
      <c r="R532">
        <f t="shared" si="66"/>
        <v>0</v>
      </c>
      <c r="S532">
        <f t="shared" si="67"/>
        <v>0</v>
      </c>
      <c r="T532">
        <f t="shared" si="68"/>
        <v>0</v>
      </c>
    </row>
    <row r="533" spans="1:20" x14ac:dyDescent="0.25">
      <c r="A533" s="5"/>
      <c r="C533" s="4"/>
      <c r="D533" s="4"/>
      <c r="P533">
        <f t="shared" si="64"/>
        <v>0</v>
      </c>
      <c r="Q533">
        <f t="shared" si="65"/>
        <v>0</v>
      </c>
      <c r="R533">
        <f t="shared" si="66"/>
        <v>0</v>
      </c>
      <c r="S533">
        <f t="shared" si="67"/>
        <v>0</v>
      </c>
      <c r="T533">
        <f t="shared" si="68"/>
        <v>0</v>
      </c>
    </row>
    <row r="534" spans="1:20" x14ac:dyDescent="0.25">
      <c r="A534" s="5"/>
      <c r="C534" s="4"/>
      <c r="D534" s="4"/>
      <c r="P534">
        <f t="shared" si="64"/>
        <v>0</v>
      </c>
      <c r="Q534">
        <f t="shared" si="65"/>
        <v>0</v>
      </c>
      <c r="R534">
        <f t="shared" si="66"/>
        <v>0</v>
      </c>
      <c r="S534">
        <f t="shared" si="67"/>
        <v>0</v>
      </c>
      <c r="T534">
        <f t="shared" si="68"/>
        <v>0</v>
      </c>
    </row>
    <row r="535" spans="1:20" x14ac:dyDescent="0.25">
      <c r="A535" s="5"/>
      <c r="C535" s="4"/>
      <c r="D535" s="4"/>
      <c r="P535">
        <f t="shared" si="64"/>
        <v>0</v>
      </c>
      <c r="Q535">
        <f t="shared" si="65"/>
        <v>0</v>
      </c>
      <c r="R535">
        <f t="shared" si="66"/>
        <v>0</v>
      </c>
      <c r="S535">
        <f t="shared" si="67"/>
        <v>0</v>
      </c>
      <c r="T535">
        <f t="shared" si="68"/>
        <v>0</v>
      </c>
    </row>
    <row r="536" spans="1:20" x14ac:dyDescent="0.25">
      <c r="A536" s="5"/>
      <c r="C536" s="4"/>
      <c r="D536" s="4"/>
      <c r="P536">
        <f t="shared" si="64"/>
        <v>0</v>
      </c>
      <c r="Q536">
        <f t="shared" si="65"/>
        <v>0</v>
      </c>
      <c r="R536">
        <f t="shared" si="66"/>
        <v>0</v>
      </c>
      <c r="S536">
        <f t="shared" si="67"/>
        <v>0</v>
      </c>
      <c r="T536">
        <f t="shared" si="68"/>
        <v>0</v>
      </c>
    </row>
    <row r="537" spans="1:20" x14ac:dyDescent="0.25">
      <c r="A537" s="5"/>
      <c r="C537" s="4"/>
      <c r="D537" s="4"/>
      <c r="P537">
        <f t="shared" si="64"/>
        <v>0</v>
      </c>
      <c r="Q537">
        <f t="shared" si="65"/>
        <v>0</v>
      </c>
      <c r="R537">
        <f t="shared" si="66"/>
        <v>0</v>
      </c>
      <c r="S537">
        <f t="shared" si="67"/>
        <v>0</v>
      </c>
      <c r="T537">
        <f t="shared" si="68"/>
        <v>0</v>
      </c>
    </row>
    <row r="538" spans="1:20" x14ac:dyDescent="0.25">
      <c r="A538" s="5"/>
      <c r="C538" s="4"/>
      <c r="D538" s="4"/>
      <c r="P538">
        <f t="shared" si="64"/>
        <v>0</v>
      </c>
      <c r="Q538">
        <f t="shared" si="65"/>
        <v>0</v>
      </c>
      <c r="R538">
        <f t="shared" si="66"/>
        <v>0</v>
      </c>
      <c r="S538">
        <f t="shared" si="67"/>
        <v>0</v>
      </c>
      <c r="T538">
        <f t="shared" si="68"/>
        <v>0</v>
      </c>
    </row>
    <row r="539" spans="1:20" x14ac:dyDescent="0.25">
      <c r="A539" s="5"/>
      <c r="C539" s="4"/>
      <c r="D539" s="4"/>
      <c r="P539">
        <f t="shared" si="64"/>
        <v>0</v>
      </c>
      <c r="Q539">
        <f t="shared" si="65"/>
        <v>0</v>
      </c>
      <c r="R539">
        <f t="shared" si="66"/>
        <v>0</v>
      </c>
      <c r="S539">
        <f t="shared" si="67"/>
        <v>0</v>
      </c>
      <c r="T539">
        <f t="shared" si="68"/>
        <v>0</v>
      </c>
    </row>
    <row r="540" spans="1:20" x14ac:dyDescent="0.25">
      <c r="A540" s="5"/>
      <c r="C540" s="4"/>
      <c r="D540" s="4"/>
      <c r="P540">
        <f t="shared" si="64"/>
        <v>0</v>
      </c>
      <c r="Q540">
        <f t="shared" si="65"/>
        <v>0</v>
      </c>
      <c r="R540">
        <f t="shared" si="66"/>
        <v>0</v>
      </c>
      <c r="S540">
        <f t="shared" si="67"/>
        <v>0</v>
      </c>
      <c r="T540">
        <f t="shared" si="68"/>
        <v>0</v>
      </c>
    </row>
    <row r="541" spans="1:20" x14ac:dyDescent="0.25">
      <c r="A541" s="5"/>
      <c r="C541" s="4"/>
      <c r="D541" s="4"/>
      <c r="P541">
        <f t="shared" si="64"/>
        <v>0</v>
      </c>
      <c r="Q541">
        <f t="shared" si="65"/>
        <v>0</v>
      </c>
      <c r="R541">
        <f t="shared" si="66"/>
        <v>0</v>
      </c>
      <c r="S541">
        <f t="shared" si="67"/>
        <v>0</v>
      </c>
      <c r="T541">
        <f t="shared" si="68"/>
        <v>0</v>
      </c>
    </row>
    <row r="542" spans="1:20" x14ac:dyDescent="0.25">
      <c r="A542" s="5"/>
      <c r="C542" s="4"/>
      <c r="D542" s="4"/>
      <c r="P542">
        <f t="shared" si="64"/>
        <v>0</v>
      </c>
      <c r="Q542">
        <f t="shared" si="65"/>
        <v>0</v>
      </c>
      <c r="R542">
        <f t="shared" si="66"/>
        <v>0</v>
      </c>
      <c r="S542">
        <f t="shared" si="67"/>
        <v>0</v>
      </c>
      <c r="T542">
        <f t="shared" si="68"/>
        <v>0</v>
      </c>
    </row>
    <row r="543" spans="1:20" x14ac:dyDescent="0.25">
      <c r="A543" s="5"/>
      <c r="C543" s="4"/>
      <c r="D543" s="4"/>
      <c r="P543">
        <f t="shared" si="64"/>
        <v>0</v>
      </c>
      <c r="Q543">
        <f t="shared" si="65"/>
        <v>0</v>
      </c>
      <c r="R543">
        <f t="shared" si="66"/>
        <v>0</v>
      </c>
      <c r="S543">
        <f t="shared" si="67"/>
        <v>0</v>
      </c>
      <c r="T543">
        <f t="shared" si="68"/>
        <v>0</v>
      </c>
    </row>
    <row r="544" spans="1:20" x14ac:dyDescent="0.25">
      <c r="A544" s="5"/>
      <c r="C544" s="4"/>
      <c r="D544" s="4"/>
      <c r="P544">
        <f t="shared" si="64"/>
        <v>0</v>
      </c>
      <c r="Q544">
        <f t="shared" si="65"/>
        <v>0</v>
      </c>
      <c r="R544">
        <f t="shared" si="66"/>
        <v>0</v>
      </c>
      <c r="S544">
        <f t="shared" si="67"/>
        <v>0</v>
      </c>
      <c r="T544">
        <f t="shared" si="68"/>
        <v>0</v>
      </c>
    </row>
    <row r="545" spans="1:20" x14ac:dyDescent="0.25">
      <c r="A545" s="5"/>
      <c r="C545" s="4"/>
      <c r="D545" s="4"/>
      <c r="P545">
        <f t="shared" si="64"/>
        <v>0</v>
      </c>
      <c r="Q545">
        <f t="shared" si="65"/>
        <v>0</v>
      </c>
      <c r="R545">
        <f t="shared" si="66"/>
        <v>0</v>
      </c>
      <c r="S545">
        <f t="shared" si="67"/>
        <v>0</v>
      </c>
      <c r="T545">
        <f t="shared" si="68"/>
        <v>0</v>
      </c>
    </row>
    <row r="546" spans="1:20" x14ac:dyDescent="0.25">
      <c r="A546" s="5"/>
      <c r="C546" s="4"/>
      <c r="D546" s="4"/>
      <c r="P546">
        <f t="shared" si="64"/>
        <v>0</v>
      </c>
      <c r="Q546">
        <f t="shared" si="65"/>
        <v>0</v>
      </c>
      <c r="R546">
        <f t="shared" si="66"/>
        <v>0</v>
      </c>
      <c r="S546">
        <f t="shared" si="67"/>
        <v>0</v>
      </c>
      <c r="T546">
        <f t="shared" si="68"/>
        <v>0</v>
      </c>
    </row>
    <row r="547" spans="1:20" x14ac:dyDescent="0.25">
      <c r="A547" s="5"/>
      <c r="C547" s="4"/>
      <c r="D547" s="4"/>
      <c r="P547">
        <f t="shared" si="64"/>
        <v>0</v>
      </c>
      <c r="Q547">
        <f t="shared" si="65"/>
        <v>0</v>
      </c>
      <c r="R547">
        <f t="shared" si="66"/>
        <v>0</v>
      </c>
      <c r="S547">
        <f t="shared" si="67"/>
        <v>0</v>
      </c>
      <c r="T547">
        <f t="shared" si="68"/>
        <v>0</v>
      </c>
    </row>
    <row r="548" spans="1:20" x14ac:dyDescent="0.25">
      <c r="A548" s="5"/>
      <c r="C548" s="4"/>
      <c r="D548" s="4"/>
      <c r="P548">
        <f t="shared" si="64"/>
        <v>0</v>
      </c>
      <c r="Q548">
        <f t="shared" si="65"/>
        <v>0</v>
      </c>
      <c r="R548">
        <f t="shared" si="66"/>
        <v>0</v>
      </c>
      <c r="S548">
        <f t="shared" si="67"/>
        <v>0</v>
      </c>
      <c r="T548">
        <f t="shared" si="68"/>
        <v>0</v>
      </c>
    </row>
    <row r="549" spans="1:20" x14ac:dyDescent="0.25">
      <c r="A549" s="5"/>
      <c r="C549" s="4"/>
      <c r="D549" s="4"/>
      <c r="P549">
        <f t="shared" si="64"/>
        <v>0</v>
      </c>
      <c r="Q549">
        <f t="shared" si="65"/>
        <v>0</v>
      </c>
      <c r="R549">
        <f t="shared" si="66"/>
        <v>0</v>
      </c>
      <c r="S549">
        <f t="shared" si="67"/>
        <v>0</v>
      </c>
      <c r="T549">
        <f t="shared" si="68"/>
        <v>0</v>
      </c>
    </row>
    <row r="550" spans="1:20" x14ac:dyDescent="0.25">
      <c r="A550" s="5"/>
      <c r="C550" s="4"/>
      <c r="D550" s="4"/>
      <c r="P550">
        <f t="shared" si="64"/>
        <v>0</v>
      </c>
      <c r="Q550">
        <f t="shared" si="65"/>
        <v>0</v>
      </c>
      <c r="R550">
        <f t="shared" si="66"/>
        <v>0</v>
      </c>
      <c r="S550">
        <f t="shared" si="67"/>
        <v>0</v>
      </c>
      <c r="T550">
        <f t="shared" si="68"/>
        <v>0</v>
      </c>
    </row>
    <row r="551" spans="1:20" x14ac:dyDescent="0.25">
      <c r="A551" s="5"/>
      <c r="C551" s="4"/>
      <c r="D551" s="4"/>
      <c r="P551">
        <f t="shared" si="64"/>
        <v>0</v>
      </c>
      <c r="Q551">
        <f t="shared" si="65"/>
        <v>0</v>
      </c>
      <c r="R551">
        <f t="shared" si="66"/>
        <v>0</v>
      </c>
      <c r="S551">
        <f t="shared" si="67"/>
        <v>0</v>
      </c>
      <c r="T551">
        <f t="shared" si="68"/>
        <v>0</v>
      </c>
    </row>
    <row r="552" spans="1:20" x14ac:dyDescent="0.25">
      <c r="A552" s="5"/>
      <c r="C552" s="4"/>
      <c r="D552" s="4"/>
      <c r="P552">
        <f t="shared" si="64"/>
        <v>0</v>
      </c>
      <c r="Q552">
        <f t="shared" si="65"/>
        <v>0</v>
      </c>
      <c r="R552">
        <f t="shared" si="66"/>
        <v>0</v>
      </c>
      <c r="S552">
        <f t="shared" si="67"/>
        <v>0</v>
      </c>
      <c r="T552">
        <f t="shared" si="68"/>
        <v>0</v>
      </c>
    </row>
    <row r="553" spans="1:20" x14ac:dyDescent="0.25">
      <c r="A553" s="5"/>
      <c r="C553" s="4"/>
      <c r="D553" s="4"/>
      <c r="P553">
        <f t="shared" si="64"/>
        <v>0</v>
      </c>
      <c r="Q553">
        <f t="shared" si="65"/>
        <v>0</v>
      </c>
      <c r="R553">
        <f t="shared" si="66"/>
        <v>0</v>
      </c>
      <c r="S553">
        <f t="shared" si="67"/>
        <v>0</v>
      </c>
      <c r="T553">
        <f t="shared" si="68"/>
        <v>0</v>
      </c>
    </row>
    <row r="554" spans="1:20" x14ac:dyDescent="0.25">
      <c r="A554" s="5"/>
      <c r="C554" s="4"/>
      <c r="D554" s="4"/>
      <c r="P554">
        <f t="shared" si="64"/>
        <v>0</v>
      </c>
      <c r="Q554">
        <f t="shared" si="65"/>
        <v>0</v>
      </c>
      <c r="R554">
        <f t="shared" si="66"/>
        <v>0</v>
      </c>
      <c r="S554">
        <f t="shared" si="67"/>
        <v>0</v>
      </c>
      <c r="T554">
        <f t="shared" si="68"/>
        <v>0</v>
      </c>
    </row>
    <row r="555" spans="1:20" x14ac:dyDescent="0.25">
      <c r="A555" s="5"/>
      <c r="C555" s="4"/>
      <c r="D555" s="4"/>
      <c r="P555">
        <f t="shared" si="64"/>
        <v>0</v>
      </c>
      <c r="Q555">
        <f t="shared" si="65"/>
        <v>0</v>
      </c>
      <c r="R555">
        <f t="shared" si="66"/>
        <v>0</v>
      </c>
      <c r="S555">
        <f t="shared" si="67"/>
        <v>0</v>
      </c>
      <c r="T555">
        <f t="shared" si="68"/>
        <v>0</v>
      </c>
    </row>
    <row r="556" spans="1:20" x14ac:dyDescent="0.25">
      <c r="A556" s="5"/>
      <c r="C556" s="4"/>
      <c r="D556" s="4"/>
      <c r="P556">
        <f t="shared" si="64"/>
        <v>0</v>
      </c>
      <c r="Q556">
        <f t="shared" si="65"/>
        <v>0</v>
      </c>
      <c r="R556">
        <f t="shared" si="66"/>
        <v>0</v>
      </c>
      <c r="S556">
        <f t="shared" si="67"/>
        <v>0</v>
      </c>
      <c r="T556">
        <f t="shared" si="68"/>
        <v>0</v>
      </c>
    </row>
    <row r="557" spans="1:20" x14ac:dyDescent="0.25">
      <c r="A557" s="5"/>
      <c r="C557" s="4"/>
      <c r="D557" s="4"/>
      <c r="P557">
        <f t="shared" si="64"/>
        <v>0</v>
      </c>
      <c r="Q557">
        <f t="shared" si="65"/>
        <v>0</v>
      </c>
      <c r="R557">
        <f t="shared" si="66"/>
        <v>0</v>
      </c>
      <c r="S557">
        <f t="shared" si="67"/>
        <v>0</v>
      </c>
      <c r="T557">
        <f t="shared" si="68"/>
        <v>0</v>
      </c>
    </row>
    <row r="558" spans="1:20" x14ac:dyDescent="0.25">
      <c r="A558" s="5"/>
      <c r="C558" s="4"/>
      <c r="D558" s="4"/>
      <c r="P558">
        <f t="shared" si="64"/>
        <v>0</v>
      </c>
      <c r="Q558">
        <f t="shared" si="65"/>
        <v>0</v>
      </c>
      <c r="R558">
        <f t="shared" si="66"/>
        <v>0</v>
      </c>
      <c r="S558">
        <f t="shared" si="67"/>
        <v>0</v>
      </c>
      <c r="T558">
        <f t="shared" si="68"/>
        <v>0</v>
      </c>
    </row>
    <row r="559" spans="1:20" x14ac:dyDescent="0.25">
      <c r="A559" s="5"/>
      <c r="C559" s="4"/>
      <c r="D559" s="4"/>
      <c r="P559">
        <f t="shared" si="64"/>
        <v>0</v>
      </c>
      <c r="Q559">
        <f t="shared" si="65"/>
        <v>0</v>
      </c>
      <c r="R559">
        <f t="shared" si="66"/>
        <v>0</v>
      </c>
      <c r="S559">
        <f t="shared" si="67"/>
        <v>0</v>
      </c>
      <c r="T559">
        <f t="shared" si="68"/>
        <v>0</v>
      </c>
    </row>
    <row r="560" spans="1:20" x14ac:dyDescent="0.25">
      <c r="A560" s="5"/>
      <c r="C560" s="4"/>
      <c r="D560" s="4"/>
      <c r="P560">
        <f t="shared" si="64"/>
        <v>0</v>
      </c>
      <c r="Q560">
        <f t="shared" si="65"/>
        <v>0</v>
      </c>
      <c r="R560">
        <f t="shared" si="66"/>
        <v>0</v>
      </c>
      <c r="S560">
        <f t="shared" si="67"/>
        <v>0</v>
      </c>
      <c r="T560">
        <f t="shared" si="68"/>
        <v>0</v>
      </c>
    </row>
    <row r="561" spans="1:20" x14ac:dyDescent="0.25">
      <c r="A561" s="5"/>
      <c r="C561" s="4"/>
      <c r="D561" s="4"/>
      <c r="P561">
        <f t="shared" si="64"/>
        <v>0</v>
      </c>
      <c r="Q561">
        <f t="shared" si="65"/>
        <v>0</v>
      </c>
      <c r="R561">
        <f t="shared" si="66"/>
        <v>0</v>
      </c>
      <c r="S561">
        <f t="shared" si="67"/>
        <v>0</v>
      </c>
      <c r="T561">
        <f t="shared" si="68"/>
        <v>0</v>
      </c>
    </row>
    <row r="562" spans="1:20" x14ac:dyDescent="0.25">
      <c r="A562" s="5"/>
      <c r="C562" s="4"/>
      <c r="D562" s="4"/>
      <c r="P562">
        <f t="shared" si="64"/>
        <v>0</v>
      </c>
      <c r="Q562">
        <f t="shared" si="65"/>
        <v>0</v>
      </c>
      <c r="R562">
        <f t="shared" si="66"/>
        <v>0</v>
      </c>
      <c r="S562">
        <f t="shared" si="67"/>
        <v>0</v>
      </c>
      <c r="T562">
        <f t="shared" si="68"/>
        <v>0</v>
      </c>
    </row>
    <row r="563" spans="1:20" x14ac:dyDescent="0.25">
      <c r="A563" s="5"/>
      <c r="C563" s="4"/>
      <c r="D563" s="4"/>
      <c r="P563">
        <f t="shared" si="64"/>
        <v>0</v>
      </c>
      <c r="Q563">
        <f t="shared" si="65"/>
        <v>0</v>
      </c>
      <c r="R563">
        <f t="shared" si="66"/>
        <v>0</v>
      </c>
      <c r="S563">
        <f t="shared" si="67"/>
        <v>0</v>
      </c>
      <c r="T563">
        <f t="shared" si="68"/>
        <v>0</v>
      </c>
    </row>
    <row r="564" spans="1:20" x14ac:dyDescent="0.25">
      <c r="A564" s="5"/>
      <c r="C564" s="4"/>
      <c r="D564" s="4"/>
      <c r="P564">
        <f t="shared" si="64"/>
        <v>0</v>
      </c>
      <c r="Q564">
        <f t="shared" si="65"/>
        <v>0</v>
      </c>
      <c r="R564">
        <f t="shared" si="66"/>
        <v>0</v>
      </c>
      <c r="S564">
        <f t="shared" si="67"/>
        <v>0</v>
      </c>
      <c r="T564">
        <f t="shared" si="68"/>
        <v>0</v>
      </c>
    </row>
    <row r="565" spans="1:20" x14ac:dyDescent="0.25">
      <c r="A565" s="5"/>
      <c r="C565" s="4"/>
      <c r="D565" s="4"/>
      <c r="P565">
        <f t="shared" si="64"/>
        <v>0</v>
      </c>
      <c r="Q565">
        <f t="shared" si="65"/>
        <v>0</v>
      </c>
      <c r="R565">
        <f t="shared" si="66"/>
        <v>0</v>
      </c>
      <c r="S565">
        <f t="shared" si="67"/>
        <v>0</v>
      </c>
      <c r="T565">
        <f t="shared" si="68"/>
        <v>0</v>
      </c>
    </row>
    <row r="566" spans="1:20" x14ac:dyDescent="0.25">
      <c r="A566" s="5"/>
      <c r="C566" s="4"/>
      <c r="D566" s="4"/>
      <c r="P566">
        <f t="shared" si="64"/>
        <v>0</v>
      </c>
      <c r="Q566">
        <f t="shared" si="65"/>
        <v>0</v>
      </c>
      <c r="R566">
        <f t="shared" si="66"/>
        <v>0</v>
      </c>
      <c r="S566">
        <f t="shared" si="67"/>
        <v>0</v>
      </c>
      <c r="T566">
        <f t="shared" si="68"/>
        <v>0</v>
      </c>
    </row>
    <row r="567" spans="1:20" x14ac:dyDescent="0.25">
      <c r="A567" s="5"/>
      <c r="C567" s="4"/>
      <c r="D567" s="4"/>
      <c r="P567">
        <f t="shared" si="64"/>
        <v>0</v>
      </c>
      <c r="Q567">
        <f t="shared" si="65"/>
        <v>0</v>
      </c>
      <c r="R567">
        <f t="shared" si="66"/>
        <v>0</v>
      </c>
      <c r="S567">
        <f t="shared" si="67"/>
        <v>0</v>
      </c>
      <c r="T567">
        <f t="shared" si="68"/>
        <v>0</v>
      </c>
    </row>
    <row r="568" spans="1:20" x14ac:dyDescent="0.25">
      <c r="A568" s="5"/>
      <c r="C568" s="4"/>
      <c r="D568" s="4"/>
      <c r="P568">
        <f t="shared" si="64"/>
        <v>0</v>
      </c>
      <c r="Q568">
        <f t="shared" si="65"/>
        <v>0</v>
      </c>
      <c r="R568">
        <f t="shared" si="66"/>
        <v>0</v>
      </c>
      <c r="S568">
        <f t="shared" si="67"/>
        <v>0</v>
      </c>
      <c r="T568">
        <f t="shared" si="68"/>
        <v>0</v>
      </c>
    </row>
    <row r="569" spans="1:20" x14ac:dyDescent="0.25">
      <c r="A569" s="5"/>
      <c r="C569" s="4"/>
      <c r="D569" s="4"/>
      <c r="P569">
        <f t="shared" si="64"/>
        <v>0</v>
      </c>
      <c r="Q569">
        <f t="shared" si="65"/>
        <v>0</v>
      </c>
      <c r="R569">
        <f t="shared" si="66"/>
        <v>0</v>
      </c>
      <c r="S569">
        <f t="shared" si="67"/>
        <v>0</v>
      </c>
      <c r="T569">
        <f t="shared" si="68"/>
        <v>0</v>
      </c>
    </row>
    <row r="570" spans="1:20" x14ac:dyDescent="0.25">
      <c r="A570" s="5"/>
      <c r="C570" s="4"/>
      <c r="D570" s="4"/>
      <c r="P570">
        <f t="shared" si="64"/>
        <v>0</v>
      </c>
      <c r="Q570">
        <f t="shared" si="65"/>
        <v>0</v>
      </c>
      <c r="R570">
        <f t="shared" si="66"/>
        <v>0</v>
      </c>
      <c r="S570">
        <f t="shared" si="67"/>
        <v>0</v>
      </c>
      <c r="T570">
        <f t="shared" si="68"/>
        <v>0</v>
      </c>
    </row>
    <row r="571" spans="1:20" x14ac:dyDescent="0.25">
      <c r="A571" s="5"/>
      <c r="C571" s="4"/>
      <c r="D571" s="4"/>
      <c r="P571">
        <f t="shared" si="64"/>
        <v>0</v>
      </c>
      <c r="Q571">
        <f t="shared" si="65"/>
        <v>0</v>
      </c>
      <c r="R571">
        <f t="shared" si="66"/>
        <v>0</v>
      </c>
      <c r="S571">
        <f t="shared" si="67"/>
        <v>0</v>
      </c>
      <c r="T571">
        <f t="shared" si="68"/>
        <v>0</v>
      </c>
    </row>
    <row r="572" spans="1:20" x14ac:dyDescent="0.25">
      <c r="A572" s="5"/>
      <c r="C572" s="4"/>
      <c r="D572" s="4"/>
      <c r="P572">
        <f t="shared" si="64"/>
        <v>0</v>
      </c>
      <c r="Q572">
        <f t="shared" si="65"/>
        <v>0</v>
      </c>
      <c r="R572">
        <f t="shared" si="66"/>
        <v>0</v>
      </c>
      <c r="S572">
        <f t="shared" si="67"/>
        <v>0</v>
      </c>
      <c r="T572">
        <f t="shared" si="68"/>
        <v>0</v>
      </c>
    </row>
    <row r="573" spans="1:20" x14ac:dyDescent="0.25">
      <c r="A573" s="5"/>
      <c r="C573" s="4"/>
      <c r="D573" s="4"/>
      <c r="P573">
        <f t="shared" si="64"/>
        <v>0</v>
      </c>
      <c r="Q573">
        <f t="shared" si="65"/>
        <v>0</v>
      </c>
      <c r="R573">
        <f t="shared" si="66"/>
        <v>0</v>
      </c>
      <c r="S573">
        <f t="shared" si="67"/>
        <v>0</v>
      </c>
      <c r="T573">
        <f t="shared" si="68"/>
        <v>0</v>
      </c>
    </row>
    <row r="574" spans="1:20" x14ac:dyDescent="0.25">
      <c r="A574" s="5"/>
      <c r="C574" s="4"/>
      <c r="D574" s="4"/>
      <c r="P574">
        <f t="shared" si="64"/>
        <v>0</v>
      </c>
      <c r="Q574">
        <f t="shared" si="65"/>
        <v>0</v>
      </c>
      <c r="R574">
        <f t="shared" si="66"/>
        <v>0</v>
      </c>
      <c r="S574">
        <f t="shared" si="67"/>
        <v>0</v>
      </c>
      <c r="T574">
        <f t="shared" si="68"/>
        <v>0</v>
      </c>
    </row>
    <row r="575" spans="1:20" x14ac:dyDescent="0.25">
      <c r="A575" s="5"/>
      <c r="C575" s="4"/>
      <c r="D575" s="4"/>
      <c r="P575">
        <f t="shared" si="64"/>
        <v>0</v>
      </c>
      <c r="Q575">
        <f t="shared" si="65"/>
        <v>0</v>
      </c>
      <c r="R575">
        <f t="shared" si="66"/>
        <v>0</v>
      </c>
      <c r="S575">
        <f t="shared" si="67"/>
        <v>0</v>
      </c>
      <c r="T575">
        <f t="shared" si="68"/>
        <v>0</v>
      </c>
    </row>
    <row r="576" spans="1:20" x14ac:dyDescent="0.25">
      <c r="A576" s="5"/>
      <c r="C576" s="4"/>
      <c r="D576" s="4"/>
      <c r="P576">
        <f t="shared" si="64"/>
        <v>0</v>
      </c>
      <c r="Q576">
        <f t="shared" si="65"/>
        <v>0</v>
      </c>
      <c r="R576">
        <f t="shared" si="66"/>
        <v>0</v>
      </c>
      <c r="S576">
        <f t="shared" si="67"/>
        <v>0</v>
      </c>
      <c r="T576">
        <f t="shared" si="68"/>
        <v>0</v>
      </c>
    </row>
    <row r="577" spans="1:20" x14ac:dyDescent="0.25">
      <c r="A577" s="5"/>
      <c r="C577" s="4"/>
      <c r="D577" s="4"/>
      <c r="P577">
        <f t="shared" si="64"/>
        <v>0</v>
      </c>
      <c r="Q577">
        <f t="shared" si="65"/>
        <v>0</v>
      </c>
      <c r="R577">
        <f t="shared" si="66"/>
        <v>0</v>
      </c>
      <c r="S577">
        <f t="shared" si="67"/>
        <v>0</v>
      </c>
      <c r="T577">
        <f t="shared" si="68"/>
        <v>0</v>
      </c>
    </row>
    <row r="578" spans="1:20" x14ac:dyDescent="0.25">
      <c r="A578" s="5"/>
      <c r="C578" s="4"/>
      <c r="D578" s="4"/>
      <c r="P578">
        <f t="shared" si="64"/>
        <v>0</v>
      </c>
      <c r="Q578">
        <f t="shared" si="65"/>
        <v>0</v>
      </c>
      <c r="R578">
        <f t="shared" si="66"/>
        <v>0</v>
      </c>
      <c r="S578">
        <f t="shared" si="67"/>
        <v>0</v>
      </c>
      <c r="T578">
        <f t="shared" si="68"/>
        <v>0</v>
      </c>
    </row>
    <row r="579" spans="1:20" x14ac:dyDescent="0.25">
      <c r="A579" s="5"/>
      <c r="C579" s="4"/>
      <c r="D579" s="4"/>
      <c r="P579">
        <f t="shared" si="64"/>
        <v>0</v>
      </c>
      <c r="Q579">
        <f t="shared" si="65"/>
        <v>0</v>
      </c>
      <c r="R579">
        <f t="shared" si="66"/>
        <v>0</v>
      </c>
      <c r="S579">
        <f t="shared" si="67"/>
        <v>0</v>
      </c>
      <c r="T579">
        <f t="shared" si="68"/>
        <v>0</v>
      </c>
    </row>
    <row r="580" spans="1:20" x14ac:dyDescent="0.25">
      <c r="A580" s="5"/>
      <c r="C580" s="4"/>
      <c r="D580" s="4"/>
    </row>
    <row r="581" spans="1:20" x14ac:dyDescent="0.25">
      <c r="A581" s="5"/>
      <c r="C581" s="4"/>
      <c r="D581" s="4"/>
    </row>
    <row r="582" spans="1:20" x14ac:dyDescent="0.25">
      <c r="A582" s="5"/>
      <c r="C582" s="4"/>
      <c r="D582" s="4"/>
    </row>
    <row r="583" spans="1:20" x14ac:dyDescent="0.25">
      <c r="A583" s="5"/>
      <c r="C583" s="4"/>
      <c r="D583" s="4"/>
    </row>
    <row r="584" spans="1:20" x14ac:dyDescent="0.25">
      <c r="A584" s="5"/>
      <c r="C584" s="4"/>
      <c r="D584" s="4"/>
    </row>
    <row r="585" spans="1:20" x14ac:dyDescent="0.25">
      <c r="A585" s="5"/>
      <c r="C585" s="4"/>
      <c r="D585" s="4"/>
    </row>
    <row r="586" spans="1:20" x14ac:dyDescent="0.25">
      <c r="A586" s="5"/>
      <c r="C586" s="4"/>
      <c r="D586" s="4"/>
    </row>
    <row r="587" spans="1:20" x14ac:dyDescent="0.25">
      <c r="A587" s="5"/>
      <c r="C587" s="4"/>
      <c r="D587" s="4"/>
    </row>
    <row r="588" spans="1:20" x14ac:dyDescent="0.25">
      <c r="A588" s="5"/>
      <c r="C588" s="4"/>
      <c r="D588" s="4"/>
    </row>
    <row r="589" spans="1:20" x14ac:dyDescent="0.25">
      <c r="A589" s="5"/>
      <c r="C589" s="4"/>
      <c r="D589" s="4"/>
    </row>
    <row r="590" spans="1:20" x14ac:dyDescent="0.25">
      <c r="A590" s="5"/>
      <c r="C590" s="4"/>
      <c r="D590" s="4"/>
    </row>
    <row r="591" spans="1:20" x14ac:dyDescent="0.25">
      <c r="A591" s="5"/>
      <c r="C591" s="4"/>
      <c r="D591" s="4"/>
    </row>
    <row r="592" spans="1:20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</row>
    <row r="767" spans="1:4" x14ac:dyDescent="0.25">
      <c r="A767" s="5"/>
    </row>
    <row r="768" spans="1:4" x14ac:dyDescent="0.25">
      <c r="A768" s="5"/>
    </row>
    <row r="769" spans="1:4" x14ac:dyDescent="0.25">
      <c r="A769" s="5"/>
    </row>
    <row r="770" spans="1:4" x14ac:dyDescent="0.25">
      <c r="A770" s="5"/>
    </row>
    <row r="771" spans="1:4" x14ac:dyDescent="0.25">
      <c r="A771" s="5"/>
    </row>
    <row r="772" spans="1:4" x14ac:dyDescent="0.25">
      <c r="A772" s="5"/>
    </row>
    <row r="773" spans="1:4" x14ac:dyDescent="0.25">
      <c r="A773" s="5"/>
    </row>
    <row r="774" spans="1:4" x14ac:dyDescent="0.25">
      <c r="A774" s="5"/>
    </row>
    <row r="775" spans="1:4" x14ac:dyDescent="0.25">
      <c r="A775" s="5"/>
    </row>
    <row r="776" spans="1:4" x14ac:dyDescent="0.25">
      <c r="A776" s="5"/>
    </row>
    <row r="777" spans="1:4" x14ac:dyDescent="0.25">
      <c r="A777" s="5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</row>
    <row r="1530" spans="1:4" x14ac:dyDescent="0.25">
      <c r="A1530" s="5"/>
    </row>
    <row r="1531" spans="1:4" x14ac:dyDescent="0.25">
      <c r="A1531" s="5"/>
    </row>
    <row r="1532" spans="1:4" x14ac:dyDescent="0.25">
      <c r="A1532" s="5"/>
    </row>
    <row r="1533" spans="1:4" x14ac:dyDescent="0.25">
      <c r="A1533" s="5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</sheetData>
  <conditionalFormatting sqref="D1:D4 D15:D1048576 C13:D14 D10:D12">
    <cfRule type="cellIs" dxfId="93" priority="6" operator="lessThan">
      <formula>$A$2</formula>
    </cfRule>
  </conditionalFormatting>
  <conditionalFormatting sqref="C9">
    <cfRule type="cellIs" dxfId="92" priority="5" operator="equal">
      <formula>0</formula>
    </cfRule>
  </conditionalFormatting>
  <conditionalFormatting sqref="C8">
    <cfRule type="cellIs" dxfId="91" priority="4" operator="equal">
      <formula>0</formula>
    </cfRule>
  </conditionalFormatting>
  <conditionalFormatting sqref="C7">
    <cfRule type="cellIs" dxfId="90" priority="3" operator="equal">
      <formula>0</formula>
    </cfRule>
  </conditionalFormatting>
  <conditionalFormatting sqref="C6">
    <cfRule type="cellIs" dxfId="89" priority="2" operator="equal">
      <formula>0</formula>
    </cfRule>
  </conditionalFormatting>
  <conditionalFormatting sqref="C5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88" priority="3" operator="equal">
      <formula>$U$1</formula>
    </cfRule>
    <cfRule type="cellIs" dxfId="87" priority="4" operator="equal">
      <formula>$S$1</formula>
    </cfRule>
  </conditionalFormatting>
  <conditionalFormatting sqref="D136">
    <cfRule type="cellIs" dxfId="86" priority="1" operator="equal">
      <formula>$S$1</formula>
    </cfRule>
    <cfRule type="cellIs" dxfId="85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BQ181" sqref="BQ18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$A$180</v>
      </c>
      <c r="D111" s="1" t="str">
        <f>ADDRESS(C121-1,D121,1,1)</f>
        <v>$BQ$180</v>
      </c>
      <c r="E111"/>
    </row>
    <row r="112" spans="1:5" x14ac:dyDescent="0.25">
      <c r="A112" s="7">
        <v>12164.144957890772</v>
      </c>
      <c r="C112" s="1" t="str">
        <f>ADDRESS(C121,1,1,1)</f>
        <v>$A$181</v>
      </c>
      <c r="D112" s="1" t="str">
        <f>ADDRESS(C121,D121-1,1,1)</f>
        <v>$BP$181</v>
      </c>
      <c r="E112"/>
    </row>
    <row r="113" spans="1:5" x14ac:dyDescent="0.25">
      <c r="A113" s="7">
        <v>11925.63231165762</v>
      </c>
      <c r="C113" s="1" t="str">
        <f>ADDRESS(C121+1,1,1,1)</f>
        <v>$A$182</v>
      </c>
      <c r="D113" s="1" t="str">
        <f>ADDRESS(C121-1,D121+1,1,1)</f>
        <v>$BR$180</v>
      </c>
    </row>
    <row r="114" spans="1:5" x14ac:dyDescent="0.25">
      <c r="A114" s="7">
        <v>11691.796383978059</v>
      </c>
      <c r="C114" s="1" t="str">
        <f>ADDRESS(C121,D121,1,1)</f>
        <v>$BQ$181</v>
      </c>
      <c r="D114" s="1" t="str">
        <f>ADDRESS(C121+1,D121+1,1,1)</f>
        <v>$BR$182</v>
      </c>
    </row>
    <row r="115" spans="1:5" x14ac:dyDescent="0.25">
      <c r="A115" s="7">
        <v>11462.545474488292</v>
      </c>
      <c r="C115" s="1" t="str">
        <f>ADDRESS(C121+1,D121,1,1)</f>
        <v>$BQ$182</v>
      </c>
    </row>
    <row r="116" spans="1:5" x14ac:dyDescent="0.25">
      <c r="A116" s="7">
        <v>11237.789680870874</v>
      </c>
      <c r="C116" s="1">
        <f>C117-1</f>
        <v>180</v>
      </c>
    </row>
    <row r="117" spans="1:5" x14ac:dyDescent="0.25">
      <c r="A117" s="7">
        <v>11017.440863598895</v>
      </c>
      <c r="C117" s="1">
        <f>C121</f>
        <v>181</v>
      </c>
      <c r="D117" s="1">
        <f>D121</f>
        <v>69</v>
      </c>
    </row>
    <row r="118" spans="1:5" x14ac:dyDescent="0.25">
      <c r="A118" s="7">
        <v>10801.412611371465</v>
      </c>
      <c r="C118" s="1">
        <f>C117+1</f>
        <v>182</v>
      </c>
      <c r="D118" s="1">
        <f>D117+1</f>
        <v>70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181</v>
      </c>
      <c r="D121" s="19">
        <v>69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R181</v>
      </c>
      <c r="D123" s="1" t="str">
        <f>"C"&amp;D121</f>
        <v>C69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3102.1995844861485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>
        <v>0</v>
      </c>
      <c r="D130">
        <v>0</v>
      </c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68" x14ac:dyDescent="0.25">
      <c r="A161" s="7">
        <v>4609.7053943723258</v>
      </c>
      <c r="C161" s="1" t="s">
        <v>8</v>
      </c>
      <c r="E161"/>
    </row>
    <row r="162" spans="1:68" x14ac:dyDescent="0.25">
      <c r="A162" s="7">
        <v>4519.3190140905153</v>
      </c>
      <c r="E162"/>
    </row>
    <row r="163" spans="1:68" x14ac:dyDescent="0.25">
      <c r="A163" s="7">
        <v>4430.7049157750153</v>
      </c>
      <c r="C163" s="1" t="s">
        <v>14</v>
      </c>
      <c r="E163"/>
      <c r="BO163" s="27" t="s">
        <v>8</v>
      </c>
    </row>
    <row r="164" spans="1:68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  <c r="BO164" s="27" t="s">
        <v>8</v>
      </c>
      <c r="BP164" s="27" t="s">
        <v>7</v>
      </c>
    </row>
    <row r="165" spans="1:68" x14ac:dyDescent="0.25">
      <c r="A165" s="7">
        <v>4258.6552439206225</v>
      </c>
      <c r="E165"/>
      <c r="BO165" s="27" t="s">
        <v>8</v>
      </c>
      <c r="BP165" s="27" t="s">
        <v>7</v>
      </c>
    </row>
    <row r="166" spans="1:68" x14ac:dyDescent="0.25">
      <c r="A166" s="7">
        <v>4175.1521999221786</v>
      </c>
      <c r="E166"/>
      <c r="BO166" s="27" t="s">
        <v>8</v>
      </c>
      <c r="BP166" s="27" t="s">
        <v>7</v>
      </c>
    </row>
    <row r="167" spans="1:68" x14ac:dyDescent="0.25">
      <c r="A167" s="7">
        <v>4093.2864705119396</v>
      </c>
      <c r="E167"/>
      <c r="BO167" s="27" t="s">
        <v>8</v>
      </c>
      <c r="BP167" s="27" t="s">
        <v>7</v>
      </c>
    </row>
    <row r="168" spans="1:68" x14ac:dyDescent="0.25">
      <c r="A168" s="7">
        <v>4013.0259514822937</v>
      </c>
      <c r="E168"/>
      <c r="BO168" s="27" t="s">
        <v>8</v>
      </c>
      <c r="BP168" s="27" t="s">
        <v>7</v>
      </c>
    </row>
    <row r="169" spans="1:68" x14ac:dyDescent="0.25">
      <c r="A169" s="7">
        <v>3934.3391681198959</v>
      </c>
      <c r="E169"/>
      <c r="BO169" s="27" t="s">
        <v>8</v>
      </c>
      <c r="BP169" s="27" t="s">
        <v>7</v>
      </c>
    </row>
    <row r="170" spans="1:68" x14ac:dyDescent="0.25">
      <c r="A170" s="7">
        <v>3857.1952628626432</v>
      </c>
      <c r="E170"/>
      <c r="BO170" s="27" t="s">
        <v>8</v>
      </c>
      <c r="BP170" s="27" t="s">
        <v>7</v>
      </c>
    </row>
    <row r="171" spans="1:68" x14ac:dyDescent="0.25">
      <c r="A171" s="7">
        <v>3781.5639831986696</v>
      </c>
      <c r="E171"/>
      <c r="BO171" s="27" t="s">
        <v>8</v>
      </c>
      <c r="BP171" s="27" t="s">
        <v>7</v>
      </c>
    </row>
    <row r="172" spans="1:68" x14ac:dyDescent="0.25">
      <c r="A172" s="7">
        <v>3707.4156698026172</v>
      </c>
      <c r="E172"/>
      <c r="BO172" s="27" t="s">
        <v>8</v>
      </c>
      <c r="BP172" s="27" t="s">
        <v>7</v>
      </c>
    </row>
    <row r="173" spans="1:68" x14ac:dyDescent="0.25">
      <c r="A173" s="7">
        <v>3634.7212449045264</v>
      </c>
      <c r="E173"/>
      <c r="BO173" s="27" t="s">
        <v>8</v>
      </c>
      <c r="BP173" s="27" t="s">
        <v>7</v>
      </c>
    </row>
    <row r="174" spans="1:68" x14ac:dyDescent="0.25">
      <c r="A174" s="7">
        <v>3563.4522008867907</v>
      </c>
      <c r="E174"/>
      <c r="BO174" s="27" t="s">
        <v>8</v>
      </c>
      <c r="BP174" s="27" t="s">
        <v>7</v>
      </c>
    </row>
    <row r="175" spans="1:68" x14ac:dyDescent="0.25">
      <c r="A175" s="7">
        <v>3493.5805891046966</v>
      </c>
      <c r="E175"/>
      <c r="BO175" s="27" t="s">
        <v>8</v>
      </c>
      <c r="BP175" s="27" t="s">
        <v>7</v>
      </c>
    </row>
    <row r="176" spans="1:68" x14ac:dyDescent="0.25">
      <c r="A176" s="7">
        <v>3425.0790089261732</v>
      </c>
      <c r="E176"/>
      <c r="BO176" s="27" t="s">
        <v>8</v>
      </c>
      <c r="BP176" s="27" t="s">
        <v>7</v>
      </c>
    </row>
    <row r="177" spans="1:69" x14ac:dyDescent="0.25">
      <c r="A177" s="7">
        <v>3357.9205969864443</v>
      </c>
      <c r="B177"/>
      <c r="C177"/>
      <c r="D177"/>
      <c r="E177"/>
      <c r="BO177" s="27" t="s">
        <v>8</v>
      </c>
      <c r="BP177" s="27" t="s">
        <v>7</v>
      </c>
    </row>
    <row r="178" spans="1:69" x14ac:dyDescent="0.25">
      <c r="A178" s="7">
        <v>3292.0790166533766</v>
      </c>
      <c r="B178"/>
      <c r="C178"/>
      <c r="D178"/>
      <c r="E178"/>
      <c r="BO178" s="27" t="s">
        <v>8</v>
      </c>
      <c r="BP178" s="27" t="s">
        <v>7</v>
      </c>
    </row>
    <row r="179" spans="1:69" x14ac:dyDescent="0.25">
      <c r="A179" s="7">
        <v>3227.5284476993888</v>
      </c>
      <c r="B179"/>
      <c r="C179"/>
      <c r="D179"/>
      <c r="E179"/>
      <c r="BO179" s="27" t="s">
        <v>8</v>
      </c>
      <c r="BP179" s="27" t="s">
        <v>7</v>
      </c>
    </row>
    <row r="180" spans="1:69" x14ac:dyDescent="0.25">
      <c r="A180" s="7">
        <v>3164.2435761758716</v>
      </c>
      <c r="B180"/>
      <c r="C180"/>
      <c r="D180"/>
      <c r="E180"/>
      <c r="BO180" s="27" t="s">
        <v>8</v>
      </c>
      <c r="BP180" s="27" t="s">
        <v>7</v>
      </c>
    </row>
    <row r="181" spans="1:69" x14ac:dyDescent="0.25">
      <c r="A181" s="7">
        <v>3102.1995844861485</v>
      </c>
      <c r="B181"/>
      <c r="C181"/>
      <c r="D181"/>
      <c r="E181"/>
      <c r="BO181" s="27" t="s">
        <v>8</v>
      </c>
      <c r="BP181" s="27" t="s">
        <v>7</v>
      </c>
      <c r="BQ181" s="18" t="s">
        <v>8</v>
      </c>
    </row>
    <row r="182" spans="1:69" x14ac:dyDescent="0.25">
      <c r="A182" s="7">
        <v>3041.3721416530866</v>
      </c>
      <c r="B182"/>
      <c r="C182"/>
      <c r="D182"/>
      <c r="E182"/>
      <c r="BO182" s="27" t="s">
        <v>8</v>
      </c>
      <c r="BP182" s="27" t="s">
        <v>7</v>
      </c>
      <c r="BQ182" s="27" t="s">
        <v>8</v>
      </c>
    </row>
    <row r="183" spans="1:69" x14ac:dyDescent="0.25">
      <c r="A183" s="7">
        <v>2981.737393777536</v>
      </c>
      <c r="B183"/>
      <c r="C183"/>
      <c r="D183"/>
      <c r="E183"/>
      <c r="BO183" s="27" t="s">
        <v>8</v>
      </c>
      <c r="BP183" s="27" t="s">
        <v>7</v>
      </c>
      <c r="BQ183" s="27" t="s">
        <v>8</v>
      </c>
    </row>
    <row r="184" spans="1:69" x14ac:dyDescent="0.25">
      <c r="A184" s="7">
        <v>2923.2719546838589</v>
      </c>
      <c r="B184"/>
      <c r="C184"/>
      <c r="D184"/>
      <c r="E184"/>
      <c r="BO184" s="27" t="s">
        <v>8</v>
      </c>
      <c r="BP184" s="27" t="s">
        <v>7</v>
      </c>
      <c r="BQ184" s="27" t="s">
        <v>8</v>
      </c>
    </row>
    <row r="185" spans="1:69" x14ac:dyDescent="0.25">
      <c r="A185" s="7">
        <v>2865.9528967488814</v>
      </c>
      <c r="B185"/>
      <c r="C185"/>
      <c r="D185"/>
      <c r="E185"/>
      <c r="BO185" s="27" t="s">
        <v>8</v>
      </c>
      <c r="BP185" s="27" t="s">
        <v>7</v>
      </c>
      <c r="BQ185" s="27" t="s">
        <v>8</v>
      </c>
    </row>
    <row r="186" spans="1:69" x14ac:dyDescent="0.25">
      <c r="A186" s="7">
        <v>2809.7577419106678</v>
      </c>
      <c r="B186"/>
      <c r="C186"/>
      <c r="D186"/>
      <c r="E186"/>
      <c r="BO186" s="27" t="s">
        <v>8</v>
      </c>
      <c r="BP186" s="27" t="s">
        <v>7</v>
      </c>
      <c r="BQ186" s="27" t="s">
        <v>8</v>
      </c>
    </row>
    <row r="187" spans="1:69" x14ac:dyDescent="0.25">
      <c r="A187" s="7">
        <v>2754.6644528535958</v>
      </c>
      <c r="B187"/>
      <c r="C187"/>
      <c r="D187"/>
      <c r="E187"/>
      <c r="BO187" s="27" t="s">
        <v>8</v>
      </c>
      <c r="BP187" s="27" t="s">
        <v>7</v>
      </c>
      <c r="BQ187" s="27" t="s">
        <v>8</v>
      </c>
    </row>
    <row r="188" spans="1:69" x14ac:dyDescent="0.25">
      <c r="A188" s="7">
        <v>2700.6514243662705</v>
      </c>
      <c r="B188"/>
      <c r="C188"/>
      <c r="D188"/>
      <c r="E188"/>
      <c r="BO188" s="27" t="s">
        <v>8</v>
      </c>
      <c r="BP188" s="27" t="s">
        <v>7</v>
      </c>
      <c r="BQ188" s="27" t="s">
        <v>8</v>
      </c>
    </row>
    <row r="189" spans="1:69" x14ac:dyDescent="0.25">
      <c r="A189" s="7">
        <v>2647.6974748688926</v>
      </c>
      <c r="B189"/>
      <c r="C189"/>
      <c r="D189"/>
      <c r="E189"/>
      <c r="BO189" s="27" t="s">
        <v>8</v>
      </c>
      <c r="BP189" s="27" t="s">
        <v>7</v>
      </c>
      <c r="BQ189" s="27" t="s">
        <v>8</v>
      </c>
    </row>
    <row r="190" spans="1:69" x14ac:dyDescent="0.25">
      <c r="A190" s="7">
        <v>2595.7818381067573</v>
      </c>
      <c r="B190"/>
      <c r="C190"/>
      <c r="D190"/>
      <c r="E190"/>
      <c r="BO190" s="27" t="s">
        <v>8</v>
      </c>
      <c r="BP190" s="27" t="s">
        <v>7</v>
      </c>
      <c r="BQ190" s="27" t="s">
        <v>8</v>
      </c>
    </row>
    <row r="191" spans="1:69" x14ac:dyDescent="0.25">
      <c r="A191" s="7">
        <v>2544.884155006625</v>
      </c>
      <c r="B191"/>
      <c r="C191"/>
      <c r="D191"/>
      <c r="E191"/>
      <c r="BO191" s="27" t="s">
        <v>8</v>
      </c>
      <c r="BP191" s="27" t="s">
        <v>7</v>
      </c>
      <c r="BQ191" s="27" t="s">
        <v>8</v>
      </c>
    </row>
    <row r="192" spans="1:69" x14ac:dyDescent="0.25">
      <c r="A192" s="7">
        <v>2494.9844656927694</v>
      </c>
      <c r="B192"/>
      <c r="C192"/>
      <c r="D192"/>
      <c r="E192"/>
      <c r="BO192" s="27" t="s">
        <v>8</v>
      </c>
      <c r="BP192" s="27" t="s">
        <v>7</v>
      </c>
      <c r="BQ192" s="27" t="s">
        <v>8</v>
      </c>
    </row>
    <row r="193" spans="1:69" x14ac:dyDescent="0.25">
      <c r="A193" s="7">
        <v>2446.0632016595778</v>
      </c>
      <c r="B193"/>
      <c r="C193"/>
      <c r="D193"/>
      <c r="E193"/>
      <c r="BO193" s="27" t="s">
        <v>8</v>
      </c>
      <c r="BP193" s="27" t="s">
        <v>7</v>
      </c>
      <c r="BQ193" s="27" t="s">
        <v>8</v>
      </c>
    </row>
    <row r="194" spans="1:69" x14ac:dyDescent="0.25">
      <c r="A194" s="7">
        <v>2398.1011780976251</v>
      </c>
      <c r="B194"/>
      <c r="C194"/>
      <c r="D194"/>
      <c r="E194"/>
      <c r="BO194" s="27" t="s">
        <v>8</v>
      </c>
      <c r="BP194" s="27" t="s">
        <v>7</v>
      </c>
      <c r="BQ194" s="27" t="s">
        <v>8</v>
      </c>
    </row>
    <row r="195" spans="1:69" x14ac:dyDescent="0.25">
      <c r="A195" s="7">
        <v>2351.0795863702206</v>
      </c>
      <c r="B195"/>
      <c r="C195"/>
      <c r="D195"/>
      <c r="E195"/>
      <c r="BG195" s="27" t="s">
        <v>8</v>
      </c>
      <c r="BO195" s="27" t="s">
        <v>8</v>
      </c>
      <c r="BP195" s="27" t="s">
        <v>7</v>
      </c>
    </row>
    <row r="196" spans="1:69" x14ac:dyDescent="0.25">
      <c r="A196" s="7">
        <v>2304.979986637471</v>
      </c>
      <c r="B196"/>
      <c r="C196"/>
      <c r="D196"/>
      <c r="E196"/>
      <c r="BG196" s="27" t="s">
        <v>8</v>
      </c>
      <c r="BH196" s="27" t="s">
        <v>7</v>
      </c>
      <c r="BI196" s="27" t="s">
        <v>8</v>
      </c>
      <c r="BO196" s="27" t="s">
        <v>8</v>
      </c>
    </row>
    <row r="197" spans="1:69" x14ac:dyDescent="0.25">
      <c r="A197" s="7">
        <v>2259.7843006249714</v>
      </c>
      <c r="B197"/>
      <c r="C197"/>
      <c r="D197"/>
      <c r="E197"/>
      <c r="BG197" s="27" t="s">
        <v>8</v>
      </c>
      <c r="BH197" s="27" t="s">
        <v>7</v>
      </c>
      <c r="BI197" s="27" t="s">
        <v>8</v>
      </c>
      <c r="BJ197" s="27" t="s">
        <v>7</v>
      </c>
      <c r="BO197" s="27" t="s">
        <v>8</v>
      </c>
    </row>
    <row r="198" spans="1:69" x14ac:dyDescent="0.25">
      <c r="A198" s="7">
        <v>2215.4748045342858</v>
      </c>
      <c r="B198"/>
      <c r="C198"/>
      <c r="D198"/>
      <c r="E198"/>
      <c r="BG198" s="27" t="s">
        <v>8</v>
      </c>
      <c r="BH198" s="27" t="s">
        <v>7</v>
      </c>
      <c r="BI198" s="27" t="s">
        <v>8</v>
      </c>
      <c r="BJ198" s="27" t="s">
        <v>7</v>
      </c>
      <c r="BO198" s="27" t="s">
        <v>8</v>
      </c>
    </row>
    <row r="199" spans="1:69" x14ac:dyDescent="0.25">
      <c r="A199" s="7">
        <v>2172.034122092437</v>
      </c>
      <c r="B199"/>
      <c r="C199"/>
      <c r="D199"/>
      <c r="E199"/>
      <c r="BG199" s="27" t="s">
        <v>8</v>
      </c>
      <c r="BH199" s="27" t="s">
        <v>7</v>
      </c>
      <c r="BI199" s="27" t="s">
        <v>8</v>
      </c>
      <c r="BJ199" s="27" t="s">
        <v>7</v>
      </c>
      <c r="BO199" s="27" t="s">
        <v>8</v>
      </c>
    </row>
    <row r="200" spans="1:69" x14ac:dyDescent="0.25">
      <c r="A200" s="7">
        <v>2129.4452177376834</v>
      </c>
      <c r="B200"/>
      <c r="C200"/>
      <c r="D200"/>
      <c r="E200"/>
      <c r="BG200" s="27" t="s">
        <v>8</v>
      </c>
      <c r="BH200" s="27" t="s">
        <v>7</v>
      </c>
      <c r="BI200" s="27" t="s">
        <v>8</v>
      </c>
      <c r="BJ200" s="27" t="s">
        <v>7</v>
      </c>
      <c r="BO200" s="27" t="s">
        <v>8</v>
      </c>
    </row>
    <row r="201" spans="1:69" x14ac:dyDescent="0.25">
      <c r="A201" s="7">
        <v>2087.6913899389051</v>
      </c>
      <c r="B201"/>
      <c r="C201"/>
      <c r="D201"/>
      <c r="E201"/>
      <c r="BG201" s="27" t="s">
        <v>8</v>
      </c>
      <c r="BH201" s="27" t="s">
        <v>7</v>
      </c>
      <c r="BI201" s="27" t="s">
        <v>8</v>
      </c>
      <c r="BJ201" s="27" t="s">
        <v>7</v>
      </c>
      <c r="BM201" s="27" t="s">
        <v>8</v>
      </c>
      <c r="BO201" s="27" t="s">
        <v>8</v>
      </c>
    </row>
    <row r="202" spans="1:69" x14ac:dyDescent="0.25">
      <c r="A202" s="7">
        <v>2046.7562646459853</v>
      </c>
      <c r="B202"/>
      <c r="C202"/>
      <c r="D202"/>
      <c r="E202"/>
      <c r="BG202" s="27" t="s">
        <v>8</v>
      </c>
      <c r="BH202" s="27" t="s">
        <v>7</v>
      </c>
      <c r="BI202" s="27" t="s">
        <v>8</v>
      </c>
      <c r="BJ202" s="27" t="s">
        <v>7</v>
      </c>
      <c r="BK202" s="27" t="s">
        <v>8</v>
      </c>
      <c r="BM202" s="27" t="s">
        <v>8</v>
      </c>
      <c r="BN202" s="27" t="s">
        <v>7</v>
      </c>
      <c r="BO202" s="27" t="s">
        <v>8</v>
      </c>
    </row>
    <row r="203" spans="1:69" x14ac:dyDescent="0.25">
      <c r="A203" s="7">
        <v>2006.623788868613</v>
      </c>
      <c r="B203"/>
      <c r="C203"/>
      <c r="D203"/>
      <c r="E203"/>
      <c r="BG203" s="27" t="s">
        <v>8</v>
      </c>
      <c r="BH203" s="27" t="s">
        <v>7</v>
      </c>
      <c r="BI203" s="27" t="s">
        <v>8</v>
      </c>
      <c r="BJ203" s="27" t="s">
        <v>7</v>
      </c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</row>
    <row r="204" spans="1:69" x14ac:dyDescent="0.25">
      <c r="A204" s="7">
        <v>1967.2782243809932</v>
      </c>
      <c r="B204"/>
      <c r="C204"/>
      <c r="D204"/>
      <c r="E204"/>
      <c r="BG204" s="27" t="s">
        <v>8</v>
      </c>
      <c r="BH204" s="27" t="s">
        <v>7</v>
      </c>
      <c r="BI204" s="27" t="s">
        <v>8</v>
      </c>
      <c r="BJ204" s="27" t="s">
        <v>7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</row>
    <row r="205" spans="1:69" x14ac:dyDescent="0.25">
      <c r="A205" s="7">
        <v>1928.7041415499932</v>
      </c>
      <c r="B205"/>
      <c r="C205"/>
      <c r="D205"/>
      <c r="E205"/>
      <c r="BE205" s="27" t="s">
        <v>8</v>
      </c>
      <c r="BG205" s="27" t="s">
        <v>8</v>
      </c>
      <c r="BH205" s="27" t="s">
        <v>7</v>
      </c>
      <c r="BI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N205" s="27" t="s">
        <v>7</v>
      </c>
    </row>
    <row r="206" spans="1:69" x14ac:dyDescent="0.25">
      <c r="A206" s="7">
        <v>1890.8864132843071</v>
      </c>
      <c r="B206"/>
      <c r="C206"/>
      <c r="D206"/>
      <c r="E206"/>
      <c r="BE206" s="27" t="s">
        <v>8</v>
      </c>
      <c r="BF206" s="27" t="s">
        <v>7</v>
      </c>
      <c r="BG206" s="27" t="s">
        <v>8</v>
      </c>
      <c r="BH206" s="27" t="s">
        <v>7</v>
      </c>
      <c r="BI206" s="27" t="s">
        <v>8</v>
      </c>
      <c r="BJ206" s="27" t="s">
        <v>7</v>
      </c>
      <c r="BK206" s="27" t="s">
        <v>8</v>
      </c>
      <c r="BL206" s="27" t="s">
        <v>7</v>
      </c>
      <c r="BM206" s="27" t="s">
        <v>8</v>
      </c>
    </row>
    <row r="207" spans="1:69" x14ac:dyDescent="0.25">
      <c r="A207" s="7">
        <v>1853.8102091022618</v>
      </c>
      <c r="B207"/>
      <c r="C207"/>
      <c r="D207"/>
      <c r="E207"/>
      <c r="BE207" s="27" t="s">
        <v>8</v>
      </c>
      <c r="BF207" s="27" t="s">
        <v>7</v>
      </c>
      <c r="BG207" s="27" t="s">
        <v>8</v>
      </c>
      <c r="BH207" s="27" t="s">
        <v>7</v>
      </c>
      <c r="BI207" s="27" t="s">
        <v>8</v>
      </c>
      <c r="BJ207" s="27" t="s">
        <v>7</v>
      </c>
      <c r="BK207" s="27" t="s">
        <v>8</v>
      </c>
      <c r="BL207" s="27" t="s">
        <v>7</v>
      </c>
      <c r="BM207" s="27" t="s">
        <v>8</v>
      </c>
    </row>
    <row r="208" spans="1:69" x14ac:dyDescent="0.25">
      <c r="A208" s="7">
        <v>1817.4609893159429</v>
      </c>
      <c r="B208"/>
      <c r="C208"/>
      <c r="D208"/>
      <c r="E208"/>
      <c r="BE208" s="27" t="s">
        <v>8</v>
      </c>
      <c r="BF208" s="27" t="s">
        <v>7</v>
      </c>
      <c r="BG208" s="27" t="s">
        <v>8</v>
      </c>
      <c r="BH208" s="27" t="s">
        <v>7</v>
      </c>
      <c r="BI208" s="27" t="s">
        <v>8</v>
      </c>
      <c r="BJ208" s="27" t="s">
        <v>7</v>
      </c>
      <c r="BK208" s="27" t="s">
        <v>8</v>
      </c>
      <c r="BL208" s="27" t="s">
        <v>7</v>
      </c>
    </row>
    <row r="209" spans="1:62" x14ac:dyDescent="0.25">
      <c r="A209" s="7">
        <v>1781.8244993293558</v>
      </c>
      <c r="B209"/>
      <c r="C209"/>
      <c r="D209"/>
      <c r="E209"/>
      <c r="BE209" s="27" t="s">
        <v>8</v>
      </c>
      <c r="BF209" s="27" t="s">
        <v>7</v>
      </c>
      <c r="BG209" s="27" t="s">
        <v>8</v>
      </c>
      <c r="BH209" s="27" t="s">
        <v>7</v>
      </c>
      <c r="BI209" s="27" t="s">
        <v>8</v>
      </c>
      <c r="BJ209" s="27" t="s">
        <v>7</v>
      </c>
    </row>
    <row r="210" spans="1:62" x14ac:dyDescent="0.25">
      <c r="A210" s="7">
        <v>1746.8867640483879</v>
      </c>
      <c r="B210"/>
      <c r="C210"/>
      <c r="D210"/>
      <c r="E210"/>
      <c r="BE210" s="27" t="s">
        <v>8</v>
      </c>
      <c r="BF210" s="27" t="s">
        <v>7</v>
      </c>
      <c r="BG210" s="27" t="s">
        <v>8</v>
      </c>
      <c r="BH210" s="27" t="s">
        <v>7</v>
      </c>
      <c r="BI210" s="27" t="s">
        <v>8</v>
      </c>
    </row>
    <row r="211" spans="1:62" x14ac:dyDescent="0.25">
      <c r="A211" s="7">
        <v>1712.6340824003803</v>
      </c>
      <c r="B211"/>
      <c r="C211"/>
      <c r="D211"/>
      <c r="E211"/>
      <c r="BE211" s="27" t="s">
        <v>8</v>
      </c>
      <c r="BF211" s="27" t="s">
        <v>7</v>
      </c>
      <c r="BG211" s="27" t="s">
        <v>8</v>
      </c>
      <c r="BH211" s="27" t="s">
        <v>7</v>
      </c>
      <c r="BI211" s="27" t="s">
        <v>8</v>
      </c>
    </row>
    <row r="212" spans="1:62" x14ac:dyDescent="0.25">
      <c r="A212" s="7">
        <v>1679.0530219611571</v>
      </c>
      <c r="B212"/>
      <c r="C212"/>
      <c r="D212"/>
      <c r="E212"/>
      <c r="BE212" s="27" t="s">
        <v>8</v>
      </c>
      <c r="BF212" s="27" t="s">
        <v>7</v>
      </c>
      <c r="BG212" s="27" t="s">
        <v>8</v>
      </c>
      <c r="BH212" s="27" t="s">
        <v>7</v>
      </c>
    </row>
    <row r="213" spans="1:62" x14ac:dyDescent="0.25">
      <c r="A213" s="7">
        <v>1646.1304136874089</v>
      </c>
      <c r="B213"/>
      <c r="C213"/>
      <c r="D213"/>
      <c r="E213"/>
      <c r="BE213" s="27" t="s">
        <v>8</v>
      </c>
      <c r="BF213" s="27" t="s">
        <v>7</v>
      </c>
      <c r="BG213" s="27" t="s">
        <v>8</v>
      </c>
    </row>
    <row r="214" spans="1:62" x14ac:dyDescent="0.25">
      <c r="A214" s="7">
        <v>1613.8533467523616</v>
      </c>
      <c r="B214"/>
      <c r="C214"/>
      <c r="D214"/>
      <c r="E214"/>
      <c r="BE214" s="27" t="s">
        <v>8</v>
      </c>
      <c r="BF214" s="27" t="s">
        <v>7</v>
      </c>
      <c r="BG214" s="27" t="s">
        <v>8</v>
      </c>
    </row>
    <row r="215" spans="1:62" x14ac:dyDescent="0.25">
      <c r="A215" s="7">
        <v>1582.2091634827075</v>
      </c>
      <c r="B215"/>
      <c r="C215"/>
      <c r="D215"/>
      <c r="E215"/>
      <c r="BE215" s="27" t="s">
        <v>8</v>
      </c>
      <c r="BF215" s="27" t="s">
        <v>7</v>
      </c>
    </row>
    <row r="216" spans="1:62" x14ac:dyDescent="0.25">
      <c r="A216" s="7">
        <v>1551.1854543948111</v>
      </c>
      <c r="B216"/>
      <c r="C216"/>
      <c r="D216"/>
      <c r="E216"/>
      <c r="BE216" s="27" t="s">
        <v>8</v>
      </c>
    </row>
    <row r="217" spans="1:62" x14ac:dyDescent="0.25">
      <c r="A217" s="7">
        <v>1520.7700533282461</v>
      </c>
      <c r="B217"/>
      <c r="C217"/>
      <c r="D217"/>
      <c r="E217"/>
      <c r="BE217" s="27" t="s">
        <v>8</v>
      </c>
    </row>
    <row r="218" spans="1:62" x14ac:dyDescent="0.25">
      <c r="A218" s="7">
        <v>1490.9510326747511</v>
      </c>
      <c r="B218"/>
      <c r="C218"/>
      <c r="D218"/>
      <c r="E218"/>
      <c r="BE218" s="27" t="s">
        <v>8</v>
      </c>
    </row>
    <row r="219" spans="1:62" x14ac:dyDescent="0.25">
      <c r="A219" s="7">
        <v>1461.7166987007363</v>
      </c>
      <c r="B219"/>
      <c r="C219"/>
      <c r="D219"/>
      <c r="E219"/>
      <c r="BE219" s="27" t="s">
        <v>8</v>
      </c>
    </row>
    <row r="220" spans="1:62" x14ac:dyDescent="0.25">
      <c r="A220" s="7">
        <v>1433.0555869615062</v>
      </c>
      <c r="B220"/>
      <c r="C220"/>
      <c r="D220"/>
      <c r="E220"/>
      <c r="BC220" s="27" t="s">
        <v>8</v>
      </c>
      <c r="BE220" s="27" t="s">
        <v>8</v>
      </c>
    </row>
    <row r="221" spans="1:62" x14ac:dyDescent="0.25">
      <c r="A221" s="7">
        <v>1404.9564578053983</v>
      </c>
      <c r="B221"/>
      <c r="C221"/>
      <c r="D221"/>
      <c r="E221"/>
      <c r="BC221" s="27" t="s">
        <v>8</v>
      </c>
      <c r="BD221" s="27" t="s">
        <v>7</v>
      </c>
      <c r="BE221" s="27" t="s">
        <v>8</v>
      </c>
    </row>
    <row r="222" spans="1:62" x14ac:dyDescent="0.25">
      <c r="A222" s="7">
        <v>1377.4082919660766</v>
      </c>
      <c r="B222"/>
      <c r="C222"/>
      <c r="D222"/>
      <c r="E222"/>
      <c r="BC222" s="27" t="s">
        <v>8</v>
      </c>
      <c r="BD222" s="27" t="s">
        <v>7</v>
      </c>
      <c r="BE222" s="27" t="s">
        <v>8</v>
      </c>
    </row>
    <row r="223" spans="1:62" x14ac:dyDescent="0.25">
      <c r="A223" s="7">
        <v>1350.4002862412515</v>
      </c>
      <c r="B223"/>
      <c r="C223"/>
      <c r="D223"/>
      <c r="E223"/>
      <c r="BC223" s="27" t="s">
        <v>8</v>
      </c>
      <c r="BD223" s="27" t="s">
        <v>7</v>
      </c>
      <c r="BE223" s="27" t="s">
        <v>8</v>
      </c>
    </row>
    <row r="224" spans="1:62" x14ac:dyDescent="0.25">
      <c r="A224" s="7">
        <v>1323.9218492561288</v>
      </c>
      <c r="B224"/>
      <c r="C224"/>
      <c r="D224"/>
      <c r="E224"/>
      <c r="BC224" s="27" t="s">
        <v>8</v>
      </c>
      <c r="BD224" s="27" t="s">
        <v>7</v>
      </c>
      <c r="BE224" s="27" t="s">
        <v>8</v>
      </c>
    </row>
    <row r="225" spans="1:57" x14ac:dyDescent="0.25">
      <c r="A225" s="7">
        <v>1297.9625973099301</v>
      </c>
      <c r="B225"/>
      <c r="C225"/>
      <c r="D225"/>
      <c r="E225"/>
      <c r="BC225" s="27" t="s">
        <v>8</v>
      </c>
      <c r="BD225" s="27" t="s">
        <v>7</v>
      </c>
      <c r="BE225" s="27" t="s">
        <v>8</v>
      </c>
    </row>
    <row r="226" spans="1:57" x14ac:dyDescent="0.25">
      <c r="A226" s="7">
        <v>1272.5123503038531</v>
      </c>
      <c r="B226"/>
      <c r="C226"/>
      <c r="D226"/>
      <c r="E226"/>
      <c r="BC226" s="27" t="s">
        <v>8</v>
      </c>
      <c r="BD226" s="27" t="s">
        <v>7</v>
      </c>
      <c r="BE226" s="27" t="s">
        <v>8</v>
      </c>
    </row>
    <row r="227" spans="1:57" x14ac:dyDescent="0.25">
      <c r="A227" s="7">
        <v>1247.5611277488756</v>
      </c>
      <c r="B227"/>
      <c r="C227"/>
      <c r="D227"/>
      <c r="E227"/>
      <c r="BC227" s="27" t="s">
        <v>8</v>
      </c>
      <c r="BD227" s="27" t="s">
        <v>7</v>
      </c>
      <c r="BE227" s="27" t="s">
        <v>8</v>
      </c>
    </row>
    <row r="228" spans="1:57" x14ac:dyDescent="0.25">
      <c r="A228" s="7">
        <v>1223.0991448518389</v>
      </c>
      <c r="B228"/>
      <c r="C228"/>
      <c r="D228"/>
      <c r="E228"/>
      <c r="BC228" s="27" t="s">
        <v>8</v>
      </c>
      <c r="BD228" s="27" t="s">
        <v>7</v>
      </c>
      <c r="BE228" s="27" t="s">
        <v>8</v>
      </c>
    </row>
    <row r="229" spans="1:57" x14ac:dyDescent="0.25">
      <c r="A229" s="7">
        <v>1199.1168086782734</v>
      </c>
      <c r="B229"/>
      <c r="C229"/>
      <c r="D229"/>
      <c r="E229"/>
      <c r="BC229" s="27" t="s">
        <v>8</v>
      </c>
      <c r="BD229" s="27" t="s">
        <v>7</v>
      </c>
      <c r="BE229" s="27" t="s">
        <v>8</v>
      </c>
    </row>
    <row r="230" spans="1:57" x14ac:dyDescent="0.25">
      <c r="A230" s="7">
        <v>1175.6047143904641</v>
      </c>
      <c r="B230"/>
      <c r="C230"/>
      <c r="D230"/>
      <c r="E230"/>
      <c r="BC230" s="27" t="s">
        <v>8</v>
      </c>
      <c r="BD230" s="27" t="s">
        <v>7</v>
      </c>
      <c r="BE230" s="27" t="s">
        <v>8</v>
      </c>
    </row>
    <row r="231" spans="1:57" x14ac:dyDescent="0.25">
      <c r="A231" s="7">
        <v>1152.5536415592785</v>
      </c>
      <c r="B231"/>
      <c r="C231"/>
      <c r="D231"/>
      <c r="E231"/>
      <c r="BC231" s="27" t="s">
        <v>8</v>
      </c>
      <c r="BD231" s="27" t="s">
        <v>7</v>
      </c>
      <c r="BE231" s="27" t="s">
        <v>8</v>
      </c>
    </row>
    <row r="232" spans="1:57" x14ac:dyDescent="0.25">
      <c r="A232" s="7">
        <v>1129.9545505483122</v>
      </c>
      <c r="B232"/>
      <c r="C232"/>
      <c r="D232"/>
      <c r="E232"/>
      <c r="BC232" s="27" t="s">
        <v>8</v>
      </c>
      <c r="BD232" s="27" t="s">
        <v>7</v>
      </c>
      <c r="BE232" s="27" t="s">
        <v>8</v>
      </c>
    </row>
    <row r="233" spans="1:57" x14ac:dyDescent="0.25">
      <c r="A233" s="7">
        <v>1107.7985789689335</v>
      </c>
      <c r="B233"/>
      <c r="C233"/>
      <c r="D233"/>
      <c r="E233"/>
      <c r="BC233" s="27" t="s">
        <v>8</v>
      </c>
      <c r="BD233" s="27" t="s">
        <v>7</v>
      </c>
      <c r="BE233" s="27" t="s">
        <v>8</v>
      </c>
    </row>
    <row r="234" spans="1:57" x14ac:dyDescent="0.25">
      <c r="A234" s="7">
        <v>1086.0770382048368</v>
      </c>
      <c r="B234"/>
      <c r="C234"/>
      <c r="D234"/>
      <c r="E234"/>
      <c r="BC234" s="27" t="s">
        <v>8</v>
      </c>
      <c r="BD234" s="27" t="s">
        <v>7</v>
      </c>
      <c r="BE234" s="27" t="s">
        <v>8</v>
      </c>
    </row>
    <row r="235" spans="1:57" x14ac:dyDescent="0.25">
      <c r="A235" s="7">
        <v>1064.7814100047419</v>
      </c>
      <c r="B235"/>
      <c r="C235"/>
      <c r="D235"/>
      <c r="E235"/>
      <c r="BC235" s="27" t="s">
        <v>8</v>
      </c>
      <c r="BD235" s="27" t="s">
        <v>7</v>
      </c>
      <c r="BE235" s="27" t="s">
        <v>8</v>
      </c>
    </row>
    <row r="236" spans="1:57" x14ac:dyDescent="0.25">
      <c r="A236" s="7">
        <v>1043.9033431419039</v>
      </c>
      <c r="B236"/>
      <c r="C236"/>
      <c r="D236"/>
      <c r="E236"/>
      <c r="BC236" s="27" t="s">
        <v>8</v>
      </c>
      <c r="BD236" s="27" t="s">
        <v>7</v>
      </c>
      <c r="BE236" s="27" t="s">
        <v>8</v>
      </c>
    </row>
    <row r="237" spans="1:57" x14ac:dyDescent="0.25">
      <c r="A237" s="7">
        <v>1023.4346501391215</v>
      </c>
      <c r="B237"/>
      <c r="C237"/>
      <c r="D237"/>
      <c r="E237"/>
      <c r="BC237" s="27" t="s">
        <v>8</v>
      </c>
      <c r="BD237" s="27" t="s">
        <v>7</v>
      </c>
      <c r="BE237" s="27" t="s">
        <v>8</v>
      </c>
    </row>
    <row r="238" spans="1:57" x14ac:dyDescent="0.25">
      <c r="A238" s="7">
        <v>1003.3673040579622</v>
      </c>
      <c r="B238"/>
      <c r="C238"/>
      <c r="D238"/>
      <c r="E238"/>
      <c r="BC238" s="27" t="s">
        <v>8</v>
      </c>
      <c r="BD238" s="27" t="s">
        <v>7</v>
      </c>
      <c r="BE238" s="27" t="s">
        <v>8</v>
      </c>
    </row>
    <row r="239" spans="1:57" x14ac:dyDescent="0.25">
      <c r="A239" s="7">
        <v>983.69343535094333</v>
      </c>
      <c r="B239"/>
      <c r="C239"/>
      <c r="D239"/>
      <c r="E239"/>
      <c r="BC239" s="27" t="s">
        <v>8</v>
      </c>
      <c r="BD239" s="27" t="s">
        <v>7</v>
      </c>
      <c r="BE239" s="27" t="s">
        <v>8</v>
      </c>
    </row>
    <row r="240" spans="1:57" x14ac:dyDescent="0.25">
      <c r="A240" s="7">
        <v>964.40532877543467</v>
      </c>
      <c r="B240"/>
      <c r="C240"/>
      <c r="D240"/>
      <c r="E240"/>
      <c r="BC240" s="27" t="s">
        <v>8</v>
      </c>
      <c r="BD240" s="27" t="s">
        <v>7</v>
      </c>
      <c r="BE240" s="27" t="s">
        <v>8</v>
      </c>
    </row>
    <row r="241" spans="1:57" x14ac:dyDescent="0.25">
      <c r="A241" s="7">
        <v>945.49542036807316</v>
      </c>
      <c r="B241"/>
      <c r="C241"/>
      <c r="D241"/>
      <c r="E241"/>
      <c r="BC241" s="27" t="s">
        <v>8</v>
      </c>
      <c r="BD241" s="27" t="s">
        <v>7</v>
      </c>
      <c r="BE241" s="27" t="s">
        <v>8</v>
      </c>
    </row>
    <row r="242" spans="1:57" x14ac:dyDescent="0.25">
      <c r="A242" s="7">
        <v>926.95629447850308</v>
      </c>
      <c r="B242"/>
      <c r="C242"/>
      <c r="D242"/>
      <c r="E242"/>
      <c r="BC242" s="27" t="s">
        <v>8</v>
      </c>
      <c r="BD242" s="27" t="s">
        <v>7</v>
      </c>
      <c r="BE242" s="27" t="s">
        <v>8</v>
      </c>
    </row>
    <row r="243" spans="1:57" x14ac:dyDescent="0.25">
      <c r="A243" s="7">
        <v>908.78068086127746</v>
      </c>
      <c r="B243"/>
      <c r="C243"/>
      <c r="D243"/>
      <c r="E243"/>
      <c r="BC243" s="27" t="s">
        <v>8</v>
      </c>
      <c r="BD243" s="27" t="s">
        <v>7</v>
      </c>
      <c r="BE243" s="27" t="s">
        <v>8</v>
      </c>
    </row>
    <row r="244" spans="1:57" x14ac:dyDescent="0.25">
      <c r="A244" s="7">
        <v>890.96145182478176</v>
      </c>
      <c r="B244"/>
      <c r="C244"/>
      <c r="D244"/>
      <c r="E244"/>
      <c r="BC244" s="27" t="s">
        <v>8</v>
      </c>
      <c r="BD244" s="27" t="s">
        <v>7</v>
      </c>
    </row>
    <row r="245" spans="1:57" x14ac:dyDescent="0.25">
      <c r="A245" s="7">
        <v>873.49161943606055</v>
      </c>
      <c r="B245"/>
      <c r="C245"/>
      <c r="D245"/>
      <c r="E245"/>
      <c r="BC245" s="27" t="s">
        <v>8</v>
      </c>
    </row>
    <row r="246" spans="1:57" x14ac:dyDescent="0.25">
      <c r="A246" s="7">
        <v>856.36433278045149</v>
      </c>
      <c r="B246"/>
      <c r="C246"/>
      <c r="D246"/>
      <c r="E246"/>
      <c r="BC246" s="27" t="s">
        <v>8</v>
      </c>
    </row>
    <row r="247" spans="1:57" x14ac:dyDescent="0.25">
      <c r="A247" s="7">
        <v>839.57287527495248</v>
      </c>
      <c r="B247"/>
      <c r="C247"/>
      <c r="D247"/>
      <c r="E247"/>
      <c r="BC247" s="27" t="s">
        <v>8</v>
      </c>
    </row>
    <row r="248" spans="1:57" x14ac:dyDescent="0.25">
      <c r="A248" s="7">
        <v>823.11066203426708</v>
      </c>
      <c r="B248"/>
      <c r="C248"/>
      <c r="D248"/>
      <c r="E248"/>
      <c r="BC248" s="27" t="s">
        <v>8</v>
      </c>
    </row>
    <row r="249" spans="1:57" x14ac:dyDescent="0.25">
      <c r="A249" s="7">
        <v>806.97123728849715</v>
      </c>
      <c r="B249"/>
      <c r="C249"/>
      <c r="D249"/>
      <c r="E249"/>
      <c r="BC249" s="27" t="s">
        <v>8</v>
      </c>
    </row>
    <row r="250" spans="1:57" x14ac:dyDescent="0.25">
      <c r="A250" s="7">
        <v>791.14827185146783</v>
      </c>
      <c r="B250"/>
      <c r="C250"/>
      <c r="D250"/>
      <c r="E250"/>
      <c r="BC250" s="27" t="s">
        <v>8</v>
      </c>
    </row>
    <row r="251" spans="1:57" x14ac:dyDescent="0.25">
      <c r="A251" s="7">
        <v>775.63556063869396</v>
      </c>
      <c r="B251"/>
      <c r="C251"/>
      <c r="D251"/>
      <c r="E251"/>
      <c r="BC251" s="27" t="s">
        <v>8</v>
      </c>
    </row>
    <row r="252" spans="1:57" x14ac:dyDescent="0.25">
      <c r="A252" s="7">
        <v>760.42702023401364</v>
      </c>
      <c r="B252"/>
      <c r="C252"/>
      <c r="D252"/>
      <c r="E252"/>
      <c r="BC252" s="27" t="s">
        <v>8</v>
      </c>
    </row>
    <row r="253" spans="1:57" x14ac:dyDescent="0.25">
      <c r="A253" s="7">
        <v>745.51668650393492</v>
      </c>
      <c r="B253"/>
      <c r="C253"/>
      <c r="D253"/>
      <c r="E253"/>
      <c r="BC253" s="27" t="s">
        <v>8</v>
      </c>
    </row>
    <row r="254" spans="1:57" x14ac:dyDescent="0.25">
      <c r="A254" s="7">
        <v>730.8987122587597</v>
      </c>
      <c r="B254"/>
      <c r="C254"/>
      <c r="D254"/>
      <c r="E254"/>
      <c r="BC254" s="27" t="s">
        <v>8</v>
      </c>
    </row>
    <row r="255" spans="1:57" x14ac:dyDescent="0.25">
      <c r="A255" s="7">
        <v>716.56736495956829</v>
      </c>
      <c r="B255"/>
      <c r="C255"/>
      <c r="D255"/>
      <c r="E255"/>
      <c r="BC255" s="27" t="s">
        <v>8</v>
      </c>
    </row>
    <row r="256" spans="1:57" x14ac:dyDescent="0.25">
      <c r="A256" s="7">
        <v>702.51702447016498</v>
      </c>
      <c r="B256"/>
      <c r="C256"/>
      <c r="D256"/>
      <c r="E256"/>
      <c r="BC256" s="27" t="s">
        <v>8</v>
      </c>
    </row>
    <row r="257" spans="1:55" x14ac:dyDescent="0.25">
      <c r="A257" s="7">
        <v>688.74218085310292</v>
      </c>
      <c r="B257"/>
      <c r="C257"/>
      <c r="D257"/>
      <c r="E257"/>
      <c r="BC257" s="27" t="s">
        <v>8</v>
      </c>
    </row>
    <row r="258" spans="1:55" x14ac:dyDescent="0.25">
      <c r="A258" s="7">
        <v>675.23743220892447</v>
      </c>
      <c r="B258"/>
      <c r="C258"/>
      <c r="D258"/>
      <c r="E258"/>
      <c r="BC258" s="27" t="s">
        <v>8</v>
      </c>
    </row>
    <row r="259" spans="1:55" x14ac:dyDescent="0.25">
      <c r="A259" s="7">
        <v>661.9974825577691</v>
      </c>
      <c r="B259"/>
      <c r="C259"/>
      <c r="D259"/>
      <c r="E259"/>
      <c r="BC259" s="27" t="s">
        <v>8</v>
      </c>
    </row>
    <row r="260" spans="1:55" x14ac:dyDescent="0.25">
      <c r="A260" s="7">
        <v>649.0171397625187</v>
      </c>
      <c r="B260"/>
      <c r="C260"/>
      <c r="D260"/>
      <c r="E260"/>
      <c r="BC260" s="27" t="s">
        <v>8</v>
      </c>
    </row>
    <row r="261" spans="1:55" x14ac:dyDescent="0.25">
      <c r="A261" s="7">
        <v>636.29131349266538</v>
      </c>
      <c r="B261"/>
      <c r="C261"/>
      <c r="D261"/>
      <c r="E261"/>
      <c r="BC261" s="27" t="s">
        <v>8</v>
      </c>
    </row>
    <row r="262" spans="1:55" x14ac:dyDescent="0.25">
      <c r="A262" s="7">
        <v>623.81501322810334</v>
      </c>
      <c r="B262"/>
      <c r="C262"/>
      <c r="D262"/>
      <c r="E262"/>
      <c r="BC262" s="27" t="s">
        <v>8</v>
      </c>
    </row>
    <row r="263" spans="1:55" x14ac:dyDescent="0.25">
      <c r="A263" s="7">
        <v>611.58334630206207</v>
      </c>
      <c r="B263"/>
      <c r="C263"/>
      <c r="D263"/>
      <c r="E263"/>
      <c r="BC263" s="27" t="s">
        <v>8</v>
      </c>
    </row>
    <row r="264" spans="1:55" x14ac:dyDescent="0.25">
      <c r="A264" s="7">
        <v>599.59151598241374</v>
      </c>
      <c r="B264"/>
      <c r="C264"/>
      <c r="D264"/>
      <c r="E264"/>
      <c r="BC264" s="27" t="s">
        <v>8</v>
      </c>
    </row>
    <row r="265" spans="1:55" x14ac:dyDescent="0.25">
      <c r="A265" s="7">
        <v>587.83481959060168</v>
      </c>
      <c r="B265"/>
      <c r="C265"/>
      <c r="D265"/>
      <c r="E265"/>
      <c r="AO265" s="27" t="s">
        <v>8</v>
      </c>
      <c r="BC265" s="27" t="s">
        <v>8</v>
      </c>
    </row>
    <row r="266" spans="1:55" x14ac:dyDescent="0.25">
      <c r="A266" s="7">
        <v>576.30864665745264</v>
      </c>
      <c r="B266"/>
      <c r="C266"/>
      <c r="D266"/>
      <c r="E266"/>
      <c r="U266" s="27" t="s">
        <v>8</v>
      </c>
      <c r="AO266" s="27" t="s">
        <v>8</v>
      </c>
      <c r="AP266" s="27" t="s">
        <v>7</v>
      </c>
      <c r="BC266" s="27" t="s">
        <v>8</v>
      </c>
    </row>
    <row r="267" spans="1:55" x14ac:dyDescent="0.25">
      <c r="A267" s="7">
        <v>565.00847711514962</v>
      </c>
      <c r="B267"/>
      <c r="C267"/>
      <c r="D267"/>
      <c r="E267"/>
      <c r="Q267" s="27" t="s">
        <v>8</v>
      </c>
      <c r="U267" s="27" t="s">
        <v>8</v>
      </c>
      <c r="V267" s="27" t="s">
        <v>7</v>
      </c>
      <c r="AO267" s="27" t="s">
        <v>8</v>
      </c>
      <c r="AP267" s="27" t="s">
        <v>7</v>
      </c>
      <c r="BC267" s="27" t="s">
        <v>8</v>
      </c>
    </row>
    <row r="268" spans="1:55" x14ac:dyDescent="0.25">
      <c r="A268" s="7">
        <v>553.92987952465649</v>
      </c>
      <c r="B268"/>
      <c r="C268"/>
      <c r="D268"/>
      <c r="E268"/>
      <c r="Q268" s="27" t="s">
        <v>8</v>
      </c>
      <c r="R268" s="27" t="s">
        <v>7</v>
      </c>
      <c r="U268" s="27" t="s">
        <v>8</v>
      </c>
      <c r="V268" s="27" t="s">
        <v>7</v>
      </c>
      <c r="AO268" s="27" t="s">
        <v>8</v>
      </c>
      <c r="AP268" s="27" t="s">
        <v>7</v>
      </c>
      <c r="BC268" s="27" t="s">
        <v>8</v>
      </c>
    </row>
    <row r="269" spans="1:55" x14ac:dyDescent="0.25">
      <c r="A269" s="7">
        <v>543.06850933789849</v>
      </c>
      <c r="B269"/>
      <c r="C269"/>
      <c r="D269"/>
      <c r="E269"/>
      <c r="Q269" s="27" t="s">
        <v>8</v>
      </c>
      <c r="R269" s="27" t="s">
        <v>7</v>
      </c>
      <c r="U269" s="27" t="s">
        <v>8</v>
      </c>
      <c r="V269" s="27" t="s">
        <v>7</v>
      </c>
      <c r="AC269" s="27" t="s">
        <v>8</v>
      </c>
      <c r="AO269" s="27" t="s">
        <v>8</v>
      </c>
      <c r="AP269" s="27" t="s">
        <v>7</v>
      </c>
      <c r="BA269" s="27" t="s">
        <v>8</v>
      </c>
      <c r="BC269" s="27" t="s">
        <v>8</v>
      </c>
    </row>
    <row r="270" spans="1:55" x14ac:dyDescent="0.25">
      <c r="A270" s="7">
        <v>532.4201071940181</v>
      </c>
      <c r="B270"/>
      <c r="C270"/>
      <c r="D270"/>
      <c r="E270"/>
      <c r="Q270" s="27" t="s">
        <v>8</v>
      </c>
      <c r="R270" s="27" t="s">
        <v>7</v>
      </c>
      <c r="U270" s="27" t="s">
        <v>8</v>
      </c>
      <c r="V270" s="27" t="s">
        <v>7</v>
      </c>
      <c r="W270" s="27" t="s">
        <v>8</v>
      </c>
      <c r="AC270" s="27" t="s">
        <v>8</v>
      </c>
      <c r="AD270" s="27" t="s">
        <v>7</v>
      </c>
      <c r="AO270" s="27" t="s">
        <v>8</v>
      </c>
      <c r="AP270" s="27" t="s">
        <v>7</v>
      </c>
      <c r="BA270" s="27" t="s">
        <v>8</v>
      </c>
      <c r="BB270" s="27" t="s">
        <v>7</v>
      </c>
      <c r="BC270" s="27" t="s">
        <v>8</v>
      </c>
    </row>
    <row r="271" spans="1:55" x14ac:dyDescent="0.25">
      <c r="A271" s="7">
        <v>521.9804972490374</v>
      </c>
      <c r="B271"/>
      <c r="C271"/>
      <c r="D271"/>
      <c r="E271"/>
      <c r="Q271" s="27" t="s">
        <v>8</v>
      </c>
      <c r="R271" s="27" t="s">
        <v>7</v>
      </c>
      <c r="U271" s="27" t="s">
        <v>8</v>
      </c>
      <c r="V271" s="27" t="s">
        <v>7</v>
      </c>
      <c r="W271" s="27" t="s">
        <v>8</v>
      </c>
      <c r="X271" s="27" t="s">
        <v>7</v>
      </c>
      <c r="AC271" s="27" t="s">
        <v>8</v>
      </c>
      <c r="AD271" s="27" t="s">
        <v>7</v>
      </c>
      <c r="AK271" s="27" t="s">
        <v>8</v>
      </c>
      <c r="AO271" s="27" t="s">
        <v>8</v>
      </c>
      <c r="AP271" s="27" t="s">
        <v>7</v>
      </c>
      <c r="BA271" s="27" t="s">
        <v>8</v>
      </c>
      <c r="BB271" s="27" t="s">
        <v>7</v>
      </c>
      <c r="BC271" s="27" t="s">
        <v>8</v>
      </c>
    </row>
    <row r="272" spans="1:55" x14ac:dyDescent="0.25">
      <c r="A272" s="7">
        <v>511.74558553827194</v>
      </c>
      <c r="B272"/>
      <c r="C272"/>
      <c r="D272"/>
      <c r="E272"/>
      <c r="Q272" s="27" t="s">
        <v>8</v>
      </c>
      <c r="R272" s="27" t="s">
        <v>7</v>
      </c>
      <c r="S272" s="27" t="s">
        <v>8</v>
      </c>
      <c r="U272" s="27" t="s">
        <v>8</v>
      </c>
      <c r="V272" s="27" t="s">
        <v>7</v>
      </c>
      <c r="W272" s="27" t="s">
        <v>8</v>
      </c>
      <c r="X272" s="27" t="s">
        <v>7</v>
      </c>
      <c r="AC272" s="27" t="s">
        <v>8</v>
      </c>
      <c r="AD272" s="27" t="s">
        <v>7</v>
      </c>
      <c r="AG272" s="27" t="s">
        <v>8</v>
      </c>
      <c r="AK272" s="27" t="s">
        <v>8</v>
      </c>
      <c r="AL272" s="27" t="s">
        <v>7</v>
      </c>
      <c r="AO272" s="27" t="s">
        <v>8</v>
      </c>
      <c r="AP272" s="27" t="s">
        <v>7</v>
      </c>
      <c r="AQ272" s="27" t="s">
        <v>8</v>
      </c>
      <c r="BA272" s="27" t="s">
        <v>8</v>
      </c>
      <c r="BB272" s="27" t="s">
        <v>7</v>
      </c>
      <c r="BC272" s="27" t="s">
        <v>8</v>
      </c>
    </row>
    <row r="273" spans="1:55" x14ac:dyDescent="0.25">
      <c r="A273" s="7">
        <v>501.71135837085484</v>
      </c>
      <c r="B273"/>
      <c r="C273"/>
      <c r="D273"/>
      <c r="E273"/>
      <c r="Q273" s="27" t="s">
        <v>8</v>
      </c>
      <c r="R273" s="27" t="s">
        <v>7</v>
      </c>
      <c r="S273" s="27" t="s">
        <v>8</v>
      </c>
      <c r="T273" s="27" t="s">
        <v>7</v>
      </c>
      <c r="U273" s="27" t="s">
        <v>8</v>
      </c>
      <c r="V273" s="27" t="s">
        <v>7</v>
      </c>
      <c r="W273" s="27" t="s">
        <v>8</v>
      </c>
      <c r="X273" s="27" t="s">
        <v>7</v>
      </c>
      <c r="Y273" s="27" t="s">
        <v>8</v>
      </c>
      <c r="AA273" s="27" t="s">
        <v>8</v>
      </c>
      <c r="AC273" s="27" t="s">
        <v>8</v>
      </c>
      <c r="AD273" s="27" t="s">
        <v>7</v>
      </c>
      <c r="AG273" s="27" t="s">
        <v>8</v>
      </c>
      <c r="AH273" s="27" t="s">
        <v>7</v>
      </c>
      <c r="AK273" s="27" t="s">
        <v>8</v>
      </c>
      <c r="AL273" s="27" t="s">
        <v>7</v>
      </c>
      <c r="AO273" s="27" t="s">
        <v>8</v>
      </c>
      <c r="AP273" s="27" t="s">
        <v>7</v>
      </c>
      <c r="AQ273" s="27" t="s">
        <v>8</v>
      </c>
      <c r="AR273" s="27" t="s">
        <v>7</v>
      </c>
      <c r="BA273" s="27" t="s">
        <v>8</v>
      </c>
      <c r="BB273" s="27" t="s">
        <v>7</v>
      </c>
      <c r="BC273" s="27" t="s">
        <v>8</v>
      </c>
    </row>
    <row r="274" spans="1:55" x14ac:dyDescent="0.25">
      <c r="A274" s="7">
        <v>491.87388075574</v>
      </c>
      <c r="B274"/>
      <c r="C274"/>
      <c r="D274"/>
      <c r="E274"/>
      <c r="Q274" s="27" t="s">
        <v>8</v>
      </c>
      <c r="R274" s="27" t="s">
        <v>7</v>
      </c>
      <c r="S274" s="27" t="s">
        <v>8</v>
      </c>
      <c r="T274" s="27" t="s">
        <v>7</v>
      </c>
      <c r="U274" s="27" t="s">
        <v>8</v>
      </c>
      <c r="V274" s="27" t="s">
        <v>7</v>
      </c>
      <c r="W274" s="27" t="s">
        <v>8</v>
      </c>
      <c r="X274" s="27" t="s">
        <v>7</v>
      </c>
      <c r="Y274" s="27" t="s">
        <v>8</v>
      </c>
      <c r="Z274" s="27" t="s">
        <v>7</v>
      </c>
      <c r="AA274" s="27" t="s">
        <v>8</v>
      </c>
      <c r="AB274" s="27" t="s">
        <v>7</v>
      </c>
      <c r="AC274" s="27" t="s">
        <v>8</v>
      </c>
      <c r="AD274" s="27" t="s">
        <v>7</v>
      </c>
      <c r="AG274" s="27" t="s">
        <v>8</v>
      </c>
      <c r="AH274" s="27" t="s">
        <v>7</v>
      </c>
      <c r="AK274" s="27" t="s">
        <v>8</v>
      </c>
      <c r="AL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BA274" s="27" t="s">
        <v>8</v>
      </c>
      <c r="BB274" s="27" t="s">
        <v>7</v>
      </c>
      <c r="BC274" s="27" t="s">
        <v>8</v>
      </c>
    </row>
    <row r="275" spans="1:55" x14ac:dyDescent="0.25">
      <c r="A275" s="7">
        <v>482.22929485856861</v>
      </c>
      <c r="B275"/>
      <c r="C275"/>
      <c r="D275"/>
      <c r="E275"/>
      <c r="Q275" s="27" t="s">
        <v>8</v>
      </c>
      <c r="R275" s="27" t="s">
        <v>7</v>
      </c>
      <c r="S275" s="27" t="s">
        <v>8</v>
      </c>
      <c r="T275" s="27" t="s">
        <v>7</v>
      </c>
      <c r="U275" s="27" t="s">
        <v>8</v>
      </c>
      <c r="V275" s="27" t="s">
        <v>7</v>
      </c>
      <c r="W275" s="27" t="s">
        <v>8</v>
      </c>
      <c r="X275" s="27" t="s">
        <v>7</v>
      </c>
      <c r="Y275" s="27" t="s">
        <v>8</v>
      </c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G275" s="27" t="s">
        <v>8</v>
      </c>
      <c r="AH275" s="27" t="s">
        <v>7</v>
      </c>
      <c r="AK275" s="27" t="s">
        <v>8</v>
      </c>
      <c r="AL275" s="27" t="s">
        <v>7</v>
      </c>
      <c r="AO275" s="27" t="s">
        <v>8</v>
      </c>
      <c r="AP275" s="27" t="s">
        <v>7</v>
      </c>
      <c r="AQ275" s="27" t="s">
        <v>8</v>
      </c>
      <c r="AR275" s="27" t="s">
        <v>7</v>
      </c>
      <c r="BA275" s="27" t="s">
        <v>8</v>
      </c>
      <c r="BB275" s="27" t="s">
        <v>7</v>
      </c>
      <c r="BC275" s="27" t="s">
        <v>8</v>
      </c>
    </row>
    <row r="276" spans="1:55" x14ac:dyDescent="0.25">
      <c r="A276" s="7">
        <v>472.77381848879276</v>
      </c>
      <c r="B276"/>
      <c r="C276"/>
      <c r="D276"/>
      <c r="E276"/>
      <c r="Q276" s="27" t="s">
        <v>8</v>
      </c>
      <c r="R276" s="27" t="s">
        <v>7</v>
      </c>
      <c r="S276" s="27" t="s">
        <v>8</v>
      </c>
      <c r="T276" s="27" t="s">
        <v>7</v>
      </c>
      <c r="U276" s="27" t="s">
        <v>8</v>
      </c>
      <c r="V276" s="27" t="s">
        <v>7</v>
      </c>
      <c r="W276" s="27" t="s">
        <v>8</v>
      </c>
      <c r="X276" s="27" t="s">
        <v>7</v>
      </c>
      <c r="Y276" s="27" t="s">
        <v>8</v>
      </c>
      <c r="Z276" s="27" t="s">
        <v>7</v>
      </c>
      <c r="AA276" s="27" t="s">
        <v>8</v>
      </c>
      <c r="AB276" s="27" t="s">
        <v>7</v>
      </c>
      <c r="AC276" s="27" t="s">
        <v>8</v>
      </c>
      <c r="AD276" s="27" t="s">
        <v>7</v>
      </c>
      <c r="AE276" s="27" t="s">
        <v>8</v>
      </c>
      <c r="AG276" s="27" t="s">
        <v>8</v>
      </c>
      <c r="AH276" s="27" t="s">
        <v>7</v>
      </c>
      <c r="AK276" s="27" t="s">
        <v>8</v>
      </c>
      <c r="AL276" s="27" t="s">
        <v>7</v>
      </c>
      <c r="AO276" s="27" t="s">
        <v>8</v>
      </c>
      <c r="AP276" s="27" t="s">
        <v>7</v>
      </c>
      <c r="AQ276" s="27" t="s">
        <v>8</v>
      </c>
      <c r="AR276" s="27" t="s">
        <v>7</v>
      </c>
      <c r="BA276" s="27" t="s">
        <v>8</v>
      </c>
      <c r="BB276" s="27" t="s">
        <v>7</v>
      </c>
      <c r="BC276" s="27" t="s">
        <v>8</v>
      </c>
    </row>
    <row r="277" spans="1:55" x14ac:dyDescent="0.25">
      <c r="A277" s="7">
        <v>463.50374361646345</v>
      </c>
      <c r="B277"/>
      <c r="C277"/>
      <c r="D277"/>
      <c r="E277"/>
      <c r="Q277" s="27" t="s">
        <v>8</v>
      </c>
      <c r="R277" s="27" t="s">
        <v>7</v>
      </c>
      <c r="S277" s="27" t="s">
        <v>8</v>
      </c>
      <c r="T277" s="27" t="s">
        <v>7</v>
      </c>
      <c r="U277" s="27" t="s">
        <v>8</v>
      </c>
      <c r="V277" s="27" t="s">
        <v>7</v>
      </c>
      <c r="W277" s="27" t="s">
        <v>8</v>
      </c>
      <c r="X277" s="27" t="s">
        <v>7</v>
      </c>
      <c r="Y277" s="27" t="s">
        <v>8</v>
      </c>
      <c r="Z277" s="27" t="s">
        <v>7</v>
      </c>
      <c r="AA277" s="27" t="s">
        <v>8</v>
      </c>
      <c r="AB277" s="27" t="s">
        <v>7</v>
      </c>
      <c r="AC277" s="27" t="s">
        <v>8</v>
      </c>
      <c r="AD277" s="27" t="s">
        <v>7</v>
      </c>
      <c r="AE277" s="27" t="s">
        <v>8</v>
      </c>
      <c r="AF277" s="27" t="s">
        <v>7</v>
      </c>
      <c r="AG277" s="27" t="s">
        <v>8</v>
      </c>
      <c r="AH277" s="27" t="s">
        <v>7</v>
      </c>
      <c r="AK277" s="27" t="s">
        <v>8</v>
      </c>
      <c r="AL277" s="27" t="s">
        <v>7</v>
      </c>
      <c r="AO277" s="27" t="s">
        <v>8</v>
      </c>
      <c r="AP277" s="27" t="s">
        <v>7</v>
      </c>
      <c r="AQ277" s="27" t="s">
        <v>8</v>
      </c>
      <c r="AR277" s="27" t="s">
        <v>7</v>
      </c>
      <c r="BA277" s="27" t="s">
        <v>8</v>
      </c>
      <c r="BB277" s="27" t="s">
        <v>7</v>
      </c>
      <c r="BC277" s="27" t="s">
        <v>8</v>
      </c>
    </row>
    <row r="278" spans="1:55" x14ac:dyDescent="0.25">
      <c r="A278" s="7">
        <v>454.41543491810143</v>
      </c>
      <c r="B278"/>
      <c r="C278"/>
      <c r="D278"/>
      <c r="E278"/>
      <c r="Q278" s="27" t="s">
        <v>8</v>
      </c>
      <c r="R278" s="27" t="s">
        <v>7</v>
      </c>
      <c r="S278" s="27" t="s">
        <v>8</v>
      </c>
      <c r="T278" s="27" t="s">
        <v>7</v>
      </c>
      <c r="U278" s="27" t="s">
        <v>8</v>
      </c>
      <c r="V278" s="27" t="s">
        <v>7</v>
      </c>
      <c r="W278" s="27" t="s">
        <v>8</v>
      </c>
      <c r="X278" s="27" t="s">
        <v>7</v>
      </c>
      <c r="Y278" s="27" t="s">
        <v>8</v>
      </c>
      <c r="Z278" s="27" t="s">
        <v>7</v>
      </c>
      <c r="AB278" s="27" t="s">
        <v>7</v>
      </c>
      <c r="AC278" s="27" t="s">
        <v>8</v>
      </c>
      <c r="AD278" s="27" t="s">
        <v>7</v>
      </c>
      <c r="AE278" s="27" t="s">
        <v>8</v>
      </c>
      <c r="AF278" s="27" t="s">
        <v>7</v>
      </c>
      <c r="AG278" s="27" t="s">
        <v>8</v>
      </c>
      <c r="AH278" s="27" t="s">
        <v>7</v>
      </c>
      <c r="AI278" s="27" t="s">
        <v>8</v>
      </c>
      <c r="AK278" s="27" t="s">
        <v>8</v>
      </c>
      <c r="AL278" s="27" t="s">
        <v>7</v>
      </c>
      <c r="AO278" s="27" t="s">
        <v>8</v>
      </c>
      <c r="AP278" s="27" t="s">
        <v>7</v>
      </c>
      <c r="AQ278" s="27" t="s">
        <v>8</v>
      </c>
      <c r="AR278" s="27" t="s">
        <v>7</v>
      </c>
      <c r="BA278" s="27" t="s">
        <v>8</v>
      </c>
      <c r="BB278" s="27" t="s">
        <v>7</v>
      </c>
      <c r="BC278" s="27" t="s">
        <v>8</v>
      </c>
    </row>
    <row r="279" spans="1:55" x14ac:dyDescent="0.25">
      <c r="A279" s="7">
        <v>445.50532835107981</v>
      </c>
      <c r="B279"/>
      <c r="C279"/>
      <c r="D279"/>
      <c r="E279"/>
      <c r="Q279" s="27" t="s">
        <v>8</v>
      </c>
      <c r="R279" s="27" t="s">
        <v>7</v>
      </c>
      <c r="S279" s="27" t="s">
        <v>8</v>
      </c>
      <c r="T279" s="27" t="s">
        <v>7</v>
      </c>
      <c r="U279" s="27" t="s">
        <v>8</v>
      </c>
      <c r="V279" s="27" t="s">
        <v>7</v>
      </c>
      <c r="W279" s="27" t="s">
        <v>8</v>
      </c>
      <c r="X279" s="27" t="s">
        <v>7</v>
      </c>
      <c r="Y279" s="27" t="s">
        <v>8</v>
      </c>
      <c r="AB279" s="27" t="s">
        <v>7</v>
      </c>
      <c r="AC279" s="27" t="s">
        <v>8</v>
      </c>
      <c r="AD279" s="27" t="s">
        <v>7</v>
      </c>
      <c r="AE279" s="27" t="s">
        <v>8</v>
      </c>
      <c r="AF279" s="27" t="s">
        <v>7</v>
      </c>
      <c r="AG279" s="27" t="s">
        <v>8</v>
      </c>
      <c r="AH279" s="27" t="s">
        <v>7</v>
      </c>
      <c r="AI279" s="27" t="s">
        <v>8</v>
      </c>
      <c r="AJ279" s="27" t="s">
        <v>7</v>
      </c>
      <c r="AK279" s="27" t="s">
        <v>8</v>
      </c>
      <c r="AL279" s="27" t="s">
        <v>7</v>
      </c>
      <c r="AO279" s="27" t="s">
        <v>8</v>
      </c>
      <c r="AP279" s="27" t="s">
        <v>7</v>
      </c>
      <c r="AR279" s="27" t="s">
        <v>7</v>
      </c>
      <c r="AS279" s="27" t="s">
        <v>8</v>
      </c>
      <c r="AU279" s="27" t="s">
        <v>8</v>
      </c>
      <c r="BA279" s="27" t="s">
        <v>8</v>
      </c>
      <c r="BB279" s="27" t="s">
        <v>7</v>
      </c>
      <c r="BC279" s="27" t="s">
        <v>8</v>
      </c>
    </row>
    <row r="280" spans="1:55" x14ac:dyDescent="0.25">
      <c r="A280" s="7">
        <v>436.76992975596062</v>
      </c>
      <c r="B280"/>
      <c r="C280"/>
      <c r="D280"/>
      <c r="E280"/>
      <c r="M280" s="27" t="s">
        <v>8</v>
      </c>
      <c r="Q280" s="27" t="s">
        <v>8</v>
      </c>
      <c r="R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  <c r="X280" s="27" t="s">
        <v>7</v>
      </c>
      <c r="Y280" s="27" t="s">
        <v>8</v>
      </c>
      <c r="AB280" s="27" t="s">
        <v>7</v>
      </c>
      <c r="AD280" s="27" t="s">
        <v>7</v>
      </c>
      <c r="AF280" s="27" t="s">
        <v>7</v>
      </c>
      <c r="AG280" s="27" t="s">
        <v>8</v>
      </c>
      <c r="AH280" s="27" t="s">
        <v>7</v>
      </c>
      <c r="AI280" s="27" t="s">
        <v>8</v>
      </c>
      <c r="AJ280" s="27" t="s">
        <v>7</v>
      </c>
      <c r="AK280" s="27" t="s">
        <v>8</v>
      </c>
      <c r="AL280" s="27" t="s">
        <v>7</v>
      </c>
      <c r="AO280" s="27" t="s">
        <v>8</v>
      </c>
      <c r="AR280" s="27" t="s">
        <v>7</v>
      </c>
      <c r="AS280" s="27" t="s">
        <v>8</v>
      </c>
      <c r="AT280" s="27" t="s">
        <v>7</v>
      </c>
      <c r="AU280" s="27" t="s">
        <v>8</v>
      </c>
      <c r="AV280" s="27" t="s">
        <v>7</v>
      </c>
      <c r="BA280" s="27" t="s">
        <v>8</v>
      </c>
      <c r="BB280" s="27" t="s">
        <v>7</v>
      </c>
      <c r="BC280" s="27" t="s">
        <v>8</v>
      </c>
    </row>
    <row r="281" spans="1:55" x14ac:dyDescent="0.25">
      <c r="A281" s="7">
        <v>428.20581348623591</v>
      </c>
      <c r="B281"/>
      <c r="C281"/>
      <c r="D281"/>
      <c r="E281"/>
      <c r="M281" s="27" t="s">
        <v>8</v>
      </c>
      <c r="N281" s="27" t="s">
        <v>7</v>
      </c>
      <c r="Q281" s="27" t="s">
        <v>8</v>
      </c>
      <c r="R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X281" s="27" t="s">
        <v>7</v>
      </c>
      <c r="Y281" s="27" t="s">
        <v>8</v>
      </c>
      <c r="AF281" s="27" t="s">
        <v>7</v>
      </c>
      <c r="AG281" s="27" t="s">
        <v>8</v>
      </c>
      <c r="AH281" s="27" t="s">
        <v>7</v>
      </c>
      <c r="AJ281" s="27" t="s">
        <v>7</v>
      </c>
      <c r="AK281" s="27" t="s">
        <v>8</v>
      </c>
      <c r="AL281" s="27" t="s">
        <v>7</v>
      </c>
      <c r="AM281" s="27" t="s">
        <v>8</v>
      </c>
      <c r="AO281" s="27" t="s">
        <v>8</v>
      </c>
      <c r="AR281" s="27" t="s">
        <v>7</v>
      </c>
      <c r="AS281" s="27" t="s">
        <v>8</v>
      </c>
      <c r="AT281" s="27" t="s">
        <v>7</v>
      </c>
      <c r="AU281" s="27" t="s">
        <v>8</v>
      </c>
      <c r="AV281" s="27" t="s">
        <v>7</v>
      </c>
      <c r="BA281" s="27" t="s">
        <v>8</v>
      </c>
      <c r="BB281" s="27" t="s">
        <v>7</v>
      </c>
      <c r="BC281" s="27" t="s">
        <v>8</v>
      </c>
    </row>
    <row r="282" spans="1:55" x14ac:dyDescent="0.25">
      <c r="A282" s="7">
        <v>419.80962106493718</v>
      </c>
      <c r="B282"/>
      <c r="C282"/>
      <c r="D282"/>
      <c r="E282" t="s">
        <v>8</v>
      </c>
      <c r="K282" s="27" t="s">
        <v>8</v>
      </c>
      <c r="M282" s="27" t="s">
        <v>8</v>
      </c>
      <c r="N282" s="27" t="s">
        <v>7</v>
      </c>
      <c r="Q282" s="27" t="s">
        <v>8</v>
      </c>
      <c r="R282" s="27" t="s">
        <v>7</v>
      </c>
      <c r="S282" s="27" t="s">
        <v>8</v>
      </c>
      <c r="T282" s="27" t="s">
        <v>7</v>
      </c>
      <c r="V282" s="27" t="s">
        <v>7</v>
      </c>
      <c r="W282" s="27" t="s">
        <v>8</v>
      </c>
      <c r="X282" s="27" t="s">
        <v>7</v>
      </c>
      <c r="AF282" s="27" t="s">
        <v>7</v>
      </c>
      <c r="AG282" s="27" t="s">
        <v>8</v>
      </c>
      <c r="AJ282" s="27" t="s">
        <v>7</v>
      </c>
      <c r="AK282" s="27" t="s">
        <v>8</v>
      </c>
      <c r="AL282" s="27" t="s">
        <v>7</v>
      </c>
      <c r="AM282" s="27" t="s">
        <v>8</v>
      </c>
      <c r="AN282" s="27" t="s">
        <v>7</v>
      </c>
      <c r="AO282" s="27" t="s">
        <v>8</v>
      </c>
      <c r="AR282" s="27" t="s">
        <v>7</v>
      </c>
      <c r="AS282" s="27" t="s">
        <v>8</v>
      </c>
      <c r="AT282" s="27" t="s">
        <v>7</v>
      </c>
      <c r="AU282" s="27" t="s">
        <v>8</v>
      </c>
      <c r="AV282" s="27" t="s">
        <v>7</v>
      </c>
      <c r="AW282" s="27" t="s">
        <v>8</v>
      </c>
      <c r="AY282" s="27" t="s">
        <v>8</v>
      </c>
      <c r="BA282" s="27" t="s">
        <v>8</v>
      </c>
      <c r="BB282" s="27" t="s">
        <v>7</v>
      </c>
      <c r="BC282" s="27" t="s">
        <v>8</v>
      </c>
    </row>
    <row r="283" spans="1:55" x14ac:dyDescent="0.25">
      <c r="A283" s="7">
        <v>411.57805986758547</v>
      </c>
      <c r="B283"/>
      <c r="C283"/>
      <c r="D283"/>
      <c r="E283" t="s">
        <v>8</v>
      </c>
      <c r="F283" s="27" t="s">
        <v>7</v>
      </c>
      <c r="G283" s="27" t="s">
        <v>8</v>
      </c>
      <c r="I283" s="27" t="s">
        <v>8</v>
      </c>
      <c r="K283" s="27" t="s">
        <v>8</v>
      </c>
      <c r="L283" s="27" t="s">
        <v>7</v>
      </c>
      <c r="M283" s="27" t="s">
        <v>8</v>
      </c>
      <c r="N283" s="27" t="s">
        <v>7</v>
      </c>
      <c r="Q283" s="27" t="s">
        <v>8</v>
      </c>
      <c r="R283" s="27" t="s">
        <v>7</v>
      </c>
      <c r="S283" s="27" t="s">
        <v>8</v>
      </c>
      <c r="V283" s="27" t="s">
        <v>7</v>
      </c>
      <c r="W283" s="27" t="s">
        <v>8</v>
      </c>
      <c r="AF283" s="27" t="s">
        <v>7</v>
      </c>
      <c r="AG283" s="27" t="s">
        <v>8</v>
      </c>
      <c r="AJ283" s="27" t="s">
        <v>7</v>
      </c>
      <c r="AL283" s="27" t="s">
        <v>7</v>
      </c>
      <c r="AM283" s="27" t="s">
        <v>8</v>
      </c>
      <c r="AN283" s="27" t="s">
        <v>7</v>
      </c>
      <c r="AO283" s="27" t="s">
        <v>8</v>
      </c>
      <c r="AR283" s="27" t="s">
        <v>7</v>
      </c>
      <c r="AS283" s="27" t="s">
        <v>8</v>
      </c>
      <c r="AT283" s="27" t="s">
        <v>7</v>
      </c>
      <c r="AU283" s="27" t="s">
        <v>8</v>
      </c>
      <c r="AV283" s="27" t="s">
        <v>7</v>
      </c>
      <c r="AW283" s="27" t="s">
        <v>8</v>
      </c>
      <c r="AX283" s="27" t="s">
        <v>7</v>
      </c>
      <c r="AY283" s="27" t="s">
        <v>8</v>
      </c>
      <c r="AZ283" s="27" t="s">
        <v>7</v>
      </c>
      <c r="BA283" s="27" t="s">
        <v>8</v>
      </c>
      <c r="BB283" s="27" t="s">
        <v>7</v>
      </c>
      <c r="BC283" s="27" t="s">
        <v>8</v>
      </c>
    </row>
    <row r="284" spans="1:55" x14ac:dyDescent="0.25">
      <c r="A284" s="7">
        <v>403.50790183096615</v>
      </c>
      <c r="B284"/>
      <c r="C284"/>
      <c r="D284"/>
      <c r="E284" t="s">
        <v>8</v>
      </c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Q284" s="27" t="s">
        <v>8</v>
      </c>
      <c r="R284" s="27" t="s">
        <v>7</v>
      </c>
      <c r="S284" s="27" t="s">
        <v>8</v>
      </c>
      <c r="V284" s="27" t="s">
        <v>7</v>
      </c>
      <c r="W284" s="27" t="s">
        <v>8</v>
      </c>
      <c r="AF284" s="27" t="s">
        <v>7</v>
      </c>
      <c r="AL284" s="27" t="s">
        <v>7</v>
      </c>
      <c r="AM284" s="27" t="s">
        <v>8</v>
      </c>
      <c r="AN284" s="27" t="s">
        <v>7</v>
      </c>
      <c r="AO284" s="27" t="s">
        <v>8</v>
      </c>
      <c r="AR284" s="27" t="s">
        <v>7</v>
      </c>
      <c r="AS284" s="27" t="s">
        <v>8</v>
      </c>
      <c r="AT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AY284" s="27" t="s">
        <v>8</v>
      </c>
      <c r="AZ284" s="27" t="s">
        <v>7</v>
      </c>
      <c r="BA284" s="27" t="s">
        <v>8</v>
      </c>
      <c r="BB284" s="27" t="s">
        <v>7</v>
      </c>
    </row>
    <row r="285" spans="1:55" x14ac:dyDescent="0.25">
      <c r="A285" s="7">
        <v>395.59598218722169</v>
      </c>
      <c r="B285"/>
      <c r="C285"/>
      <c r="D285"/>
      <c r="E285" t="s">
        <v>8</v>
      </c>
      <c r="F285" s="27" t="s">
        <v>7</v>
      </c>
      <c r="G285" s="27" t="s">
        <v>8</v>
      </c>
      <c r="H285" s="27" t="s">
        <v>7</v>
      </c>
      <c r="I285" s="27" t="s">
        <v>8</v>
      </c>
      <c r="J285" s="27" t="s">
        <v>7</v>
      </c>
      <c r="K285" s="27" t="s">
        <v>8</v>
      </c>
      <c r="L285" s="27" t="s">
        <v>7</v>
      </c>
      <c r="M285" s="27" t="s">
        <v>8</v>
      </c>
      <c r="N285" s="27" t="s">
        <v>7</v>
      </c>
      <c r="O285" s="27" t="s">
        <v>8</v>
      </c>
      <c r="Q285" s="27" t="s">
        <v>8</v>
      </c>
      <c r="R285" s="27" t="s">
        <v>7</v>
      </c>
      <c r="S285" s="27" t="s">
        <v>8</v>
      </c>
      <c r="V285" s="27" t="s">
        <v>7</v>
      </c>
      <c r="W285" s="27" t="s">
        <v>8</v>
      </c>
      <c r="AL285" s="27" t="s">
        <v>7</v>
      </c>
      <c r="AM285" s="27" t="s">
        <v>8</v>
      </c>
      <c r="AN285" s="27" t="s">
        <v>7</v>
      </c>
      <c r="AO285" s="27" t="s">
        <v>8</v>
      </c>
      <c r="AR285" s="27" t="s">
        <v>7</v>
      </c>
      <c r="AT285" s="27" t="s">
        <v>7</v>
      </c>
      <c r="AV285" s="27" t="s">
        <v>7</v>
      </c>
      <c r="AW285" s="27" t="s">
        <v>8</v>
      </c>
      <c r="AX285" s="27" t="s">
        <v>7</v>
      </c>
      <c r="AY285" s="27" t="s">
        <v>8</v>
      </c>
      <c r="AZ285" s="27" t="s">
        <v>7</v>
      </c>
    </row>
    <row r="286" spans="1:55" x14ac:dyDescent="0.25">
      <c r="A286" s="7">
        <v>387.83919822276636</v>
      </c>
      <c r="B286"/>
      <c r="C286"/>
      <c r="D286"/>
      <c r="E286" t="s">
        <v>8</v>
      </c>
      <c r="F286" s="27" t="s">
        <v>7</v>
      </c>
      <c r="G286" s="27" t="s">
        <v>8</v>
      </c>
      <c r="H286" s="27" t="s">
        <v>7</v>
      </c>
      <c r="I286" s="27" t="s">
        <v>8</v>
      </c>
      <c r="J286" s="27" t="s">
        <v>7</v>
      </c>
      <c r="K286" s="27" t="s">
        <v>8</v>
      </c>
      <c r="L286" s="27" t="s">
        <v>7</v>
      </c>
      <c r="M286" s="27" t="s">
        <v>8</v>
      </c>
      <c r="N286" s="27" t="s">
        <v>7</v>
      </c>
      <c r="O286" s="27" t="s">
        <v>8</v>
      </c>
      <c r="P286" s="27" t="s">
        <v>7</v>
      </c>
      <c r="Q286" s="27" t="s">
        <v>8</v>
      </c>
      <c r="R286" s="27" t="s">
        <v>7</v>
      </c>
      <c r="S286" s="27" t="s">
        <v>8</v>
      </c>
      <c r="V286" s="27" t="s">
        <v>7</v>
      </c>
      <c r="W286" s="27" t="s">
        <v>8</v>
      </c>
      <c r="AL286" s="27" t="s">
        <v>7</v>
      </c>
      <c r="AM286" s="27" t="s">
        <v>8</v>
      </c>
      <c r="AN286" s="27" t="s">
        <v>7</v>
      </c>
      <c r="AO286" s="27" t="s">
        <v>8</v>
      </c>
      <c r="AV286" s="27" t="s">
        <v>7</v>
      </c>
      <c r="AW286" s="27" t="s">
        <v>8</v>
      </c>
      <c r="AX286" s="27" t="s">
        <v>7</v>
      </c>
      <c r="AY286" s="27" t="s">
        <v>8</v>
      </c>
    </row>
    <row r="287" spans="1:55" x14ac:dyDescent="0.25">
      <c r="A287" s="7">
        <v>380.23450806153562</v>
      </c>
      <c r="B287"/>
      <c r="C287"/>
      <c r="D287"/>
      <c r="E287" t="s">
        <v>8</v>
      </c>
      <c r="F287" s="27" t="s">
        <v>7</v>
      </c>
      <c r="G287" s="27" t="s">
        <v>8</v>
      </c>
      <c r="H287" s="27" t="s">
        <v>7</v>
      </c>
      <c r="I287" s="27" t="s">
        <v>8</v>
      </c>
      <c r="J287" s="27" t="s">
        <v>7</v>
      </c>
      <c r="K287" s="27" t="s">
        <v>8</v>
      </c>
      <c r="L287" s="27" t="s">
        <v>7</v>
      </c>
      <c r="M287" s="27" t="s">
        <v>8</v>
      </c>
      <c r="N287" s="27" t="s">
        <v>7</v>
      </c>
      <c r="O287" s="27" t="s">
        <v>8</v>
      </c>
      <c r="P287" s="27" t="s">
        <v>7</v>
      </c>
      <c r="Q287" s="27" t="s">
        <v>8</v>
      </c>
      <c r="R287" s="27" t="s">
        <v>7</v>
      </c>
      <c r="S287" s="27" t="s">
        <v>8</v>
      </c>
      <c r="V287" s="27" t="s">
        <v>7</v>
      </c>
      <c r="W287" s="27" t="s">
        <v>8</v>
      </c>
      <c r="AL287" s="27" t="s">
        <v>7</v>
      </c>
      <c r="AM287" s="27" t="s">
        <v>8</v>
      </c>
      <c r="AN287" s="27" t="s">
        <v>7</v>
      </c>
      <c r="AO287" s="27" t="s">
        <v>8</v>
      </c>
      <c r="AV287" s="27" t="s">
        <v>7</v>
      </c>
      <c r="AW287" s="27" t="s">
        <v>8</v>
      </c>
      <c r="AX287" s="27" t="s">
        <v>7</v>
      </c>
    </row>
    <row r="288" spans="1:55" x14ac:dyDescent="0.25">
      <c r="A288" s="7">
        <v>372.77892947209375</v>
      </c>
      <c r="B288"/>
      <c r="C288"/>
      <c r="D288"/>
      <c r="E288" t="s">
        <v>8</v>
      </c>
      <c r="F288" s="27" t="s">
        <v>7</v>
      </c>
      <c r="G288" s="27" t="s">
        <v>8</v>
      </c>
      <c r="H288" s="27" t="s">
        <v>7</v>
      </c>
      <c r="I288" s="27" t="s">
        <v>8</v>
      </c>
      <c r="J288" s="27" t="s">
        <v>7</v>
      </c>
      <c r="K288" s="27" t="s">
        <v>8</v>
      </c>
      <c r="L288" s="27" t="s">
        <v>7</v>
      </c>
      <c r="N288" s="27" t="s">
        <v>7</v>
      </c>
      <c r="O288" s="27" t="s">
        <v>8</v>
      </c>
      <c r="P288" s="27" t="s">
        <v>7</v>
      </c>
      <c r="Q288" s="27" t="s">
        <v>8</v>
      </c>
      <c r="R288" s="27" t="s">
        <v>7</v>
      </c>
      <c r="S288" s="27" t="s">
        <v>8</v>
      </c>
      <c r="V288" s="27" t="s">
        <v>7</v>
      </c>
      <c r="AL288" s="27" t="s">
        <v>7</v>
      </c>
      <c r="AM288" s="27" t="s">
        <v>8</v>
      </c>
      <c r="AN288" s="27" t="s">
        <v>7</v>
      </c>
      <c r="AO288" s="27" t="s">
        <v>8</v>
      </c>
      <c r="AV288" s="27" t="s">
        <v>7</v>
      </c>
      <c r="AW288" s="27" t="s">
        <v>8</v>
      </c>
    </row>
    <row r="289" spans="1:49" x14ac:dyDescent="0.25">
      <c r="A289" s="7">
        <v>365.46953869813115</v>
      </c>
      <c r="B289"/>
      <c r="C289"/>
      <c r="D289"/>
      <c r="E289" t="s">
        <v>8</v>
      </c>
      <c r="F289" s="27" t="s">
        <v>7</v>
      </c>
      <c r="G289" s="27" t="s">
        <v>8</v>
      </c>
      <c r="H289" s="27" t="s">
        <v>7</v>
      </c>
      <c r="I289" s="27" t="s">
        <v>8</v>
      </c>
      <c r="J289" s="27" t="s">
        <v>7</v>
      </c>
      <c r="K289" s="27" t="s">
        <v>8</v>
      </c>
      <c r="N289" s="27" t="s">
        <v>7</v>
      </c>
      <c r="O289" s="27" t="s">
        <v>8</v>
      </c>
      <c r="P289" s="27" t="s">
        <v>7</v>
      </c>
      <c r="Q289" s="27" t="s">
        <v>8</v>
      </c>
      <c r="R289" s="27" t="s">
        <v>7</v>
      </c>
      <c r="S289" s="27" t="s">
        <v>8</v>
      </c>
      <c r="AL289" s="27" t="s">
        <v>7</v>
      </c>
      <c r="AN289" s="27" t="s">
        <v>7</v>
      </c>
      <c r="AV289" s="27" t="s">
        <v>7</v>
      </c>
      <c r="AW289" s="27" t="s">
        <v>8</v>
      </c>
    </row>
    <row r="290" spans="1:49" x14ac:dyDescent="0.25">
      <c r="A290" s="7">
        <v>358.30346931189325</v>
      </c>
      <c r="B290"/>
      <c r="C290"/>
      <c r="D290"/>
      <c r="E290" t="s">
        <v>8</v>
      </c>
      <c r="F290" s="27" t="s">
        <v>7</v>
      </c>
      <c r="G290" s="27" t="s">
        <v>8</v>
      </c>
      <c r="H290" s="27" t="s">
        <v>7</v>
      </c>
      <c r="I290" s="27" t="s">
        <v>8</v>
      </c>
      <c r="J290" s="27" t="s">
        <v>7</v>
      </c>
      <c r="K290" s="27" t="s">
        <v>8</v>
      </c>
      <c r="N290" s="27" t="s">
        <v>7</v>
      </c>
      <c r="O290" s="27" t="s">
        <v>8</v>
      </c>
      <c r="P290" s="27" t="s">
        <v>7</v>
      </c>
      <c r="Q290" s="27" t="s">
        <v>8</v>
      </c>
      <c r="R290" s="27" t="s">
        <v>7</v>
      </c>
      <c r="S290" s="27" t="s">
        <v>8</v>
      </c>
      <c r="AV290" s="27" t="s">
        <v>7</v>
      </c>
    </row>
    <row r="291" spans="1:49" x14ac:dyDescent="0.25">
      <c r="A291" s="7">
        <v>351.27791109009144</v>
      </c>
      <c r="B291"/>
      <c r="C291"/>
      <c r="D291"/>
      <c r="E291" t="s">
        <v>8</v>
      </c>
      <c r="F291" s="27" t="s">
        <v>7</v>
      </c>
      <c r="G291" s="27" t="s">
        <v>8</v>
      </c>
      <c r="H291" s="27" t="s">
        <v>7</v>
      </c>
      <c r="I291" s="27" t="s">
        <v>8</v>
      </c>
      <c r="J291" s="27" t="s">
        <v>7</v>
      </c>
      <c r="N291" s="27" t="s">
        <v>7</v>
      </c>
      <c r="O291" s="27" t="s">
        <v>8</v>
      </c>
      <c r="P291" s="27" t="s">
        <v>7</v>
      </c>
      <c r="R291" s="27" t="s">
        <v>7</v>
      </c>
    </row>
    <row r="292" spans="1:49" x14ac:dyDescent="0.25">
      <c r="A292" s="7">
        <v>344.39010891185433</v>
      </c>
      <c r="B292"/>
      <c r="C292"/>
      <c r="D292"/>
      <c r="E292" t="s">
        <v>8</v>
      </c>
      <c r="F292" s="27" t="s">
        <v>7</v>
      </c>
      <c r="G292" s="27" t="s">
        <v>8</v>
      </c>
      <c r="H292" s="27" t="s">
        <v>7</v>
      </c>
      <c r="I292" s="27" t="s">
        <v>8</v>
      </c>
      <c r="N292" s="27" t="s">
        <v>7</v>
      </c>
      <c r="O292" s="27" t="s">
        <v>8</v>
      </c>
    </row>
    <row r="293" spans="1:49" x14ac:dyDescent="0.25">
      <c r="A293" s="7">
        <v>337.63736167828853</v>
      </c>
      <c r="B293"/>
      <c r="C293"/>
      <c r="D293"/>
      <c r="E293" t="s">
        <v>8</v>
      </c>
      <c r="F293" s="27" t="s">
        <v>7</v>
      </c>
      <c r="G293" s="27" t="s">
        <v>8</v>
      </c>
      <c r="H293" s="27" t="s">
        <v>7</v>
      </c>
      <c r="I293" s="27" t="s">
        <v>8</v>
      </c>
      <c r="N293" s="27" t="s">
        <v>7</v>
      </c>
      <c r="O293" s="27" t="s">
        <v>8</v>
      </c>
    </row>
    <row r="294" spans="1:49" x14ac:dyDescent="0.25">
      <c r="A294" s="7">
        <v>331.01702125322402</v>
      </c>
      <c r="B294"/>
      <c r="C294"/>
      <c r="D294"/>
      <c r="E294" t="s">
        <v>8</v>
      </c>
      <c r="F294" s="27" t="s">
        <v>7</v>
      </c>
      <c r="G294" s="27" t="s">
        <v>8</v>
      </c>
      <c r="H294" s="27" t="s">
        <v>7</v>
      </c>
      <c r="I294" s="27" t="s">
        <v>8</v>
      </c>
      <c r="N294" s="27" t="s">
        <v>7</v>
      </c>
    </row>
    <row r="295" spans="1:49" x14ac:dyDescent="0.25">
      <c r="A295" s="7">
        <v>324.52649142472944</v>
      </c>
      <c r="B295"/>
      <c r="C295"/>
      <c r="D295"/>
      <c r="E295" t="s">
        <v>8</v>
      </c>
      <c r="F295" s="27" t="s">
        <v>7</v>
      </c>
      <c r="H295" s="27" t="s">
        <v>7</v>
      </c>
      <c r="I295" s="27" t="s">
        <v>8</v>
      </c>
    </row>
    <row r="296" spans="1:49" x14ac:dyDescent="0.25">
      <c r="A296" s="7">
        <v>318.16322688698966</v>
      </c>
      <c r="B296"/>
      <c r="C296"/>
      <c r="D296"/>
      <c r="E296" t="s">
        <v>8</v>
      </c>
      <c r="H296" s="27" t="s">
        <v>7</v>
      </c>
      <c r="I296" s="27" t="s">
        <v>8</v>
      </c>
    </row>
    <row r="297" spans="1:49" x14ac:dyDescent="0.25">
      <c r="A297" s="7">
        <v>311.92473224214672</v>
      </c>
      <c r="B297"/>
      <c r="C297"/>
      <c r="D297"/>
      <c r="E297" t="s">
        <v>8</v>
      </c>
      <c r="H297" s="27" t="s">
        <v>7</v>
      </c>
      <c r="I297" s="27" t="s">
        <v>8</v>
      </c>
    </row>
    <row r="298" spans="1:49" x14ac:dyDescent="0.25">
      <c r="A298" s="7">
        <v>305.80856102171248</v>
      </c>
      <c r="B298"/>
      <c r="C298"/>
      <c r="D298"/>
      <c r="E298" t="s">
        <v>8</v>
      </c>
      <c r="H298" s="27" t="s">
        <v>7</v>
      </c>
      <c r="I298" s="27" t="s">
        <v>8</v>
      </c>
    </row>
    <row r="299" spans="1:49" x14ac:dyDescent="0.25">
      <c r="A299" s="7">
        <v>299.81231472716911</v>
      </c>
      <c r="B299"/>
      <c r="C299"/>
      <c r="D299"/>
      <c r="E299" t="s">
        <v>8</v>
      </c>
      <c r="H299" s="27" t="s">
        <v>7</v>
      </c>
      <c r="I299" s="27" t="s">
        <v>8</v>
      </c>
    </row>
    <row r="300" spans="1:49" x14ac:dyDescent="0.25">
      <c r="A300" s="7">
        <v>293.93364188938148</v>
      </c>
      <c r="B300"/>
      <c r="C300"/>
      <c r="D300"/>
      <c r="E300" t="s">
        <v>8</v>
      </c>
      <c r="H300" s="27" t="s">
        <v>7</v>
      </c>
    </row>
    <row r="301" spans="1:49" x14ac:dyDescent="0.25">
      <c r="A301" s="7">
        <v>288.17023714645245</v>
      </c>
      <c r="B301"/>
      <c r="C301"/>
      <c r="D301"/>
      <c r="E301" t="s">
        <v>8</v>
      </c>
    </row>
    <row r="302" spans="1:49" x14ac:dyDescent="0.25">
      <c r="A302" s="7">
        <v>282.51984033965925</v>
      </c>
      <c r="B302"/>
      <c r="C302"/>
      <c r="D302"/>
      <c r="E302" t="s">
        <v>8</v>
      </c>
    </row>
    <row r="303" spans="1:49" x14ac:dyDescent="0.25">
      <c r="A303" s="7">
        <v>276.98023562711688</v>
      </c>
      <c r="B303"/>
      <c r="C303"/>
      <c r="D303"/>
      <c r="E303" t="s">
        <v>8</v>
      </c>
    </row>
    <row r="304" spans="1:49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84" priority="142" operator="equal">
      <formula>$U$1</formula>
    </cfRule>
    <cfRule type="cellIs" dxfId="83" priority="143" operator="equal">
      <formula>$S$1</formula>
    </cfRule>
  </conditionalFormatting>
  <conditionalFormatting sqref="D27">
    <cfRule type="cellIs" dxfId="82" priority="140" operator="equal">
      <formula>$S$1</formula>
    </cfRule>
    <cfRule type="cellIs" dxfId="81" priority="141" operator="equal">
      <formula>$U$1</formula>
    </cfRule>
  </conditionalFormatting>
  <conditionalFormatting sqref="C164">
    <cfRule type="cellIs" dxfId="80" priority="138" operator="equal">
      <formula>$U$1</formula>
    </cfRule>
    <cfRule type="cellIs" dxfId="79" priority="139" operator="equal">
      <formula>$S$1</formula>
    </cfRule>
  </conditionalFormatting>
  <conditionalFormatting sqref="D164">
    <cfRule type="cellIs" dxfId="78" priority="136" operator="equal">
      <formula>$S$1</formula>
    </cfRule>
    <cfRule type="cellIs" dxfId="77" priority="137" operator="equal">
      <formula>$U$1</formula>
    </cfRule>
  </conditionalFormatting>
  <conditionalFormatting sqref="C55">
    <cfRule type="cellIs" dxfId="76" priority="134" operator="equal">
      <formula>$U$1</formula>
    </cfRule>
    <cfRule type="cellIs" dxfId="75" priority="135" operator="equal">
      <formula>$S$1</formula>
    </cfRule>
  </conditionalFormatting>
  <conditionalFormatting sqref="D55">
    <cfRule type="cellIs" dxfId="74" priority="132" operator="equal">
      <formula>$S$1</formula>
    </cfRule>
    <cfRule type="cellIs" dxfId="73" priority="133" operator="equal">
      <formula>$U$1</formula>
    </cfRule>
  </conditionalFormatting>
  <conditionalFormatting sqref="C89">
    <cfRule type="cellIs" dxfId="72" priority="130" operator="equal">
      <formula>$U$1</formula>
    </cfRule>
    <cfRule type="cellIs" dxfId="71" priority="131" operator="equal">
      <formula>$S$1</formula>
    </cfRule>
  </conditionalFormatting>
  <conditionalFormatting sqref="D89">
    <cfRule type="cellIs" dxfId="70" priority="128" operator="equal">
      <formula>$S$1</formula>
    </cfRule>
    <cfRule type="cellIs" dxfId="69" priority="129" operator="equal">
      <formula>$U$1</formula>
    </cfRule>
  </conditionalFormatting>
  <conditionalFormatting sqref="C136">
    <cfRule type="cellIs" dxfId="68" priority="126" operator="equal">
      <formula>$U$1</formula>
    </cfRule>
    <cfRule type="cellIs" dxfId="67" priority="127" operator="equal">
      <formula>$S$1</formula>
    </cfRule>
  </conditionalFormatting>
  <conditionalFormatting sqref="D136">
    <cfRule type="cellIs" dxfId="66" priority="124" operator="equal">
      <formula>$S$1</formula>
    </cfRule>
    <cfRule type="cellIs" dxfId="65" priority="125" operator="equal">
      <formula>$U$1</formula>
    </cfRule>
  </conditionalFormatting>
  <conditionalFormatting sqref="C1">
    <cfRule type="cellIs" dxfId="64" priority="123" operator="lessThan">
      <formula>$A$2</formula>
    </cfRule>
  </conditionalFormatting>
  <conditionalFormatting sqref="C130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T79" sqref="AT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46" x14ac:dyDescent="0.25">
      <c r="A65" s="30">
        <v>5106.5470445243318</v>
      </c>
      <c r="E65"/>
    </row>
    <row r="66" spans="1:46" x14ac:dyDescent="0.25">
      <c r="A66" s="30">
        <v>4863.3781376422203</v>
      </c>
      <c r="E66"/>
    </row>
    <row r="67" spans="1:46" x14ac:dyDescent="0.25">
      <c r="A67" s="30">
        <v>4631.7887025164</v>
      </c>
      <c r="E67"/>
    </row>
    <row r="68" spans="1:46" x14ac:dyDescent="0.25">
      <c r="A68" s="30">
        <v>4411.2273357299046</v>
      </c>
      <c r="E68"/>
      <c r="AQ68" s="27" t="s">
        <v>8</v>
      </c>
    </row>
    <row r="69" spans="1:46" x14ac:dyDescent="0.25">
      <c r="A69" s="30">
        <v>4201.1688911713372</v>
      </c>
      <c r="E69"/>
      <c r="AQ69" s="27" t="s">
        <v>8</v>
      </c>
      <c r="AR69" s="27" t="s">
        <v>7</v>
      </c>
    </row>
    <row r="70" spans="1:46" x14ac:dyDescent="0.25">
      <c r="A70" s="30">
        <v>4001.1132296869878</v>
      </c>
      <c r="E70"/>
      <c r="AQ70" s="27" t="s">
        <v>8</v>
      </c>
      <c r="AR70" s="27" t="s">
        <v>7</v>
      </c>
    </row>
    <row r="71" spans="1:46" x14ac:dyDescent="0.25">
      <c r="A71" s="30">
        <v>3810.5840282733216</v>
      </c>
      <c r="C71" s="1" t="s">
        <v>15</v>
      </c>
      <c r="E71"/>
      <c r="AQ71" s="27" t="s">
        <v>8</v>
      </c>
      <c r="AR71" s="27" t="s">
        <v>7</v>
      </c>
    </row>
    <row r="72" spans="1:46" x14ac:dyDescent="0.25">
      <c r="A72" s="30">
        <v>3629.1276459745918</v>
      </c>
      <c r="C72" s="7">
        <v>0.11686133436193799</v>
      </c>
      <c r="D72"/>
      <c r="E72"/>
      <c r="AQ72" s="27" t="s">
        <v>8</v>
      </c>
      <c r="AR72" s="27" t="s">
        <v>7</v>
      </c>
    </row>
    <row r="73" spans="1:46" x14ac:dyDescent="0.25">
      <c r="A73" s="30">
        <v>3456.3120437853254</v>
      </c>
      <c r="E73"/>
      <c r="AQ73" s="27" t="s">
        <v>8</v>
      </c>
      <c r="AR73" s="27" t="s">
        <v>7</v>
      </c>
    </row>
    <row r="74" spans="1:46" x14ac:dyDescent="0.25">
      <c r="A74" s="30">
        <v>3291.7257559860241</v>
      </c>
      <c r="C74" s="1" t="s">
        <v>11</v>
      </c>
      <c r="D74" s="1" t="s">
        <v>12</v>
      </c>
      <c r="E74"/>
      <c r="AQ74" s="27" t="s">
        <v>8</v>
      </c>
      <c r="AR74" s="27" t="s">
        <v>7</v>
      </c>
    </row>
    <row r="75" spans="1:46" x14ac:dyDescent="0.25">
      <c r="A75" s="30">
        <v>3134.9769104628799</v>
      </c>
      <c r="C75"/>
      <c r="D75"/>
      <c r="E75"/>
      <c r="AQ75" s="27" t="s">
        <v>8</v>
      </c>
      <c r="AR75" s="27" t="s">
        <v>7</v>
      </c>
    </row>
    <row r="76" spans="1:46" x14ac:dyDescent="0.25">
      <c r="A76" s="30">
        <v>2985.6922956789331</v>
      </c>
      <c r="E76"/>
      <c r="AQ76" s="27" t="s">
        <v>8</v>
      </c>
      <c r="AR76" s="27" t="s">
        <v>7</v>
      </c>
      <c r="AS76" s="27" t="s">
        <v>8</v>
      </c>
    </row>
    <row r="77" spans="1:46" x14ac:dyDescent="0.25">
      <c r="A77" s="30">
        <v>2843.5164720751741</v>
      </c>
      <c r="C77" s="1" t="s">
        <v>13</v>
      </c>
      <c r="E77"/>
      <c r="AQ77" s="27" t="s">
        <v>8</v>
      </c>
      <c r="AR77" s="27" t="s">
        <v>7</v>
      </c>
      <c r="AS77" s="27" t="s">
        <v>8</v>
      </c>
      <c r="AT77" s="27" t="s">
        <v>7</v>
      </c>
    </row>
    <row r="78" spans="1:46" x14ac:dyDescent="0.25">
      <c r="A78" s="30">
        <v>2708.1109257858798</v>
      </c>
      <c r="C78" s="1">
        <f>C67</f>
        <v>0</v>
      </c>
      <c r="E78"/>
      <c r="AQ78" s="27" t="s">
        <v>8</v>
      </c>
      <c r="AR78" s="27" t="s">
        <v>7</v>
      </c>
      <c r="AS78" s="27" t="s">
        <v>8</v>
      </c>
      <c r="AT78" s="27" t="s">
        <v>7</v>
      </c>
    </row>
    <row r="79" spans="1:46" x14ac:dyDescent="0.25">
      <c r="A79" s="30">
        <v>2579.1532626532189</v>
      </c>
      <c r="C79"/>
      <c r="E79"/>
      <c r="AQ79" s="27" t="s">
        <v>8</v>
      </c>
      <c r="AR79" s="27" t="s">
        <v>7</v>
      </c>
      <c r="AS79" s="27" t="s">
        <v>8</v>
      </c>
      <c r="AT79" s="18" t="s">
        <v>7</v>
      </c>
    </row>
    <row r="80" spans="1:46" x14ac:dyDescent="0.25">
      <c r="A80" s="30">
        <v>2456.3364406221131</v>
      </c>
      <c r="C80" s="1" t="s">
        <v>14</v>
      </c>
      <c r="E80"/>
      <c r="AQ80" s="27" t="s">
        <v>8</v>
      </c>
      <c r="AR80" s="27" t="s">
        <v>7</v>
      </c>
      <c r="AS80" s="27" t="s">
        <v>8</v>
      </c>
    </row>
    <row r="81" spans="1:44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  <c r="AM81" s="27" t="s">
        <v>8</v>
      </c>
      <c r="AO81" s="27" t="s">
        <v>8</v>
      </c>
      <c r="AQ81" s="27" t="s">
        <v>8</v>
      </c>
      <c r="AR81" s="27" t="s">
        <v>7</v>
      </c>
    </row>
    <row r="82" spans="1:44" x14ac:dyDescent="0.25">
      <c r="A82" s="30">
        <v>2227.9695606549776</v>
      </c>
      <c r="E82"/>
      <c r="AM82" s="27" t="s">
        <v>8</v>
      </c>
      <c r="AN82" s="27" t="s">
        <v>7</v>
      </c>
      <c r="AO82" s="27" t="s">
        <v>8</v>
      </c>
      <c r="AP82" s="27" t="s">
        <v>7</v>
      </c>
      <c r="AQ82" s="27" t="s">
        <v>8</v>
      </c>
    </row>
    <row r="83" spans="1:44" x14ac:dyDescent="0.25">
      <c r="A83" s="30">
        <v>2121.8757720523595</v>
      </c>
      <c r="E83"/>
      <c r="AM83" s="27" t="s">
        <v>8</v>
      </c>
      <c r="AN83" s="27" t="s">
        <v>7</v>
      </c>
      <c r="AO83" s="27" t="s">
        <v>8</v>
      </c>
      <c r="AP83" s="27" t="s">
        <v>7</v>
      </c>
      <c r="AQ83" s="27" t="s">
        <v>8</v>
      </c>
    </row>
    <row r="84" spans="1:44" x14ac:dyDescent="0.25">
      <c r="A84" s="30">
        <v>2020.8340686212948</v>
      </c>
      <c r="E84"/>
      <c r="AM84" s="27" t="s">
        <v>8</v>
      </c>
      <c r="AN84" s="27" t="s">
        <v>7</v>
      </c>
      <c r="AO84" s="27" t="s">
        <v>8</v>
      </c>
      <c r="AP84" s="27" t="s">
        <v>7</v>
      </c>
      <c r="AQ84" s="27" t="s">
        <v>8</v>
      </c>
    </row>
    <row r="85" spans="1:44" x14ac:dyDescent="0.25">
      <c r="A85" s="30">
        <v>1924.6038748774236</v>
      </c>
      <c r="E85"/>
      <c r="AK85" s="27" t="s">
        <v>8</v>
      </c>
      <c r="AM85" s="27" t="s">
        <v>8</v>
      </c>
      <c r="AN85" s="27" t="s">
        <v>7</v>
      </c>
      <c r="AO85" s="27" t="s">
        <v>8</v>
      </c>
      <c r="AP85" s="27" t="s">
        <v>7</v>
      </c>
      <c r="AQ85" s="27" t="s">
        <v>8</v>
      </c>
    </row>
    <row r="86" spans="1:44" x14ac:dyDescent="0.25">
      <c r="A86" s="30">
        <v>1832.9560713118319</v>
      </c>
      <c r="E86"/>
      <c r="AK86" s="27" t="s">
        <v>8</v>
      </c>
      <c r="AL86" s="27" t="s">
        <v>7</v>
      </c>
      <c r="AM86" s="27" t="s">
        <v>8</v>
      </c>
      <c r="AN86" s="27" t="s">
        <v>7</v>
      </c>
      <c r="AO86" s="27" t="s">
        <v>8</v>
      </c>
      <c r="AP86" s="27" t="s">
        <v>7</v>
      </c>
    </row>
    <row r="87" spans="1:44" x14ac:dyDescent="0.25">
      <c r="A87" s="30">
        <v>1745.6724488684113</v>
      </c>
      <c r="E87"/>
      <c r="AK87" s="27" t="s">
        <v>8</v>
      </c>
      <c r="AL87" s="27" t="s">
        <v>7</v>
      </c>
      <c r="AM87" s="27" t="s">
        <v>8</v>
      </c>
      <c r="AN87" s="27" t="s">
        <v>7</v>
      </c>
      <c r="AO87" s="27" t="s">
        <v>8</v>
      </c>
    </row>
    <row r="88" spans="1:44" x14ac:dyDescent="0.25">
      <c r="A88" s="30">
        <v>1662.5451893984869</v>
      </c>
      <c r="E88"/>
      <c r="AK88" s="27" t="s">
        <v>8</v>
      </c>
      <c r="AL88" s="27" t="s">
        <v>7</v>
      </c>
      <c r="AM88" s="27" t="s">
        <v>8</v>
      </c>
      <c r="AN88" s="27" t="s">
        <v>7</v>
      </c>
    </row>
    <row r="89" spans="1:44" x14ac:dyDescent="0.25">
      <c r="A89" s="30">
        <v>1583.3763708557017</v>
      </c>
      <c r="E89"/>
      <c r="AK89" s="27" t="s">
        <v>8</v>
      </c>
      <c r="AL89" s="27" t="s">
        <v>7</v>
      </c>
    </row>
    <row r="90" spans="1:44" x14ac:dyDescent="0.25">
      <c r="A90" s="30">
        <v>1507.9774960530492</v>
      </c>
      <c r="E90"/>
      <c r="AK90" s="27" t="s">
        <v>8</v>
      </c>
    </row>
    <row r="91" spans="1:44" x14ac:dyDescent="0.25">
      <c r="A91" s="30">
        <v>1436.1690438600467</v>
      </c>
      <c r="E91"/>
      <c r="AI91" s="27" t="s">
        <v>8</v>
      </c>
      <c r="AK91" s="27" t="s">
        <v>8</v>
      </c>
    </row>
    <row r="92" spans="1:44" x14ac:dyDescent="0.25">
      <c r="A92" s="30">
        <v>1367.780041771473</v>
      </c>
      <c r="E92"/>
      <c r="AI92" s="27" t="s">
        <v>8</v>
      </c>
      <c r="AJ92" s="27" t="s">
        <v>7</v>
      </c>
      <c r="AK92" s="27" t="s">
        <v>8</v>
      </c>
    </row>
    <row r="93" spans="1:44" x14ac:dyDescent="0.25">
      <c r="A93" s="30">
        <v>1302.6476588299743</v>
      </c>
      <c r="E93"/>
      <c r="AI93" s="27" t="s">
        <v>8</v>
      </c>
      <c r="AJ93" s="27" t="s">
        <v>7</v>
      </c>
      <c r="AK93" s="27" t="s">
        <v>8</v>
      </c>
    </row>
    <row r="94" spans="1:44" x14ac:dyDescent="0.25">
      <c r="A94" s="30">
        <v>1240.6168179333088</v>
      </c>
      <c r="E94"/>
      <c r="AI94" s="27" t="s">
        <v>8</v>
      </c>
      <c r="AJ94" s="27" t="s">
        <v>7</v>
      </c>
      <c r="AK94" s="27" t="s">
        <v>8</v>
      </c>
    </row>
    <row r="95" spans="1:44" x14ac:dyDescent="0.25">
      <c r="A95" s="30">
        <v>1181.5398266031511</v>
      </c>
      <c r="E95"/>
      <c r="AI95" s="27" t="s">
        <v>8</v>
      </c>
      <c r="AJ95" s="27" t="s">
        <v>7</v>
      </c>
      <c r="AK95" s="27" t="s">
        <v>8</v>
      </c>
    </row>
    <row r="96" spans="1:44" x14ac:dyDescent="0.25">
      <c r="A96" s="30">
        <v>1125.2760253363344</v>
      </c>
      <c r="C96" s="1" t="s">
        <v>15</v>
      </c>
      <c r="E96"/>
      <c r="AI96" s="27" t="s">
        <v>8</v>
      </c>
      <c r="AJ96" s="27" t="s">
        <v>7</v>
      </c>
      <c r="AK96" s="27" t="s">
        <v>8</v>
      </c>
    </row>
    <row r="97" spans="1:37" x14ac:dyDescent="0.25">
      <c r="A97" s="30">
        <v>1071.6914527012709</v>
      </c>
      <c r="C97" s="7">
        <v>0.11686133436193799</v>
      </c>
      <c r="D97"/>
      <c r="E97"/>
      <c r="AI97" s="27" t="s">
        <v>8</v>
      </c>
      <c r="AJ97" s="27" t="s">
        <v>7</v>
      </c>
      <c r="AK97" s="27" t="s">
        <v>8</v>
      </c>
    </row>
    <row r="98" spans="1:37" x14ac:dyDescent="0.25">
      <c r="A98" s="30">
        <v>1020.6585263821628</v>
      </c>
      <c r="E98"/>
      <c r="AI98" s="27" t="s">
        <v>8</v>
      </c>
      <c r="AJ98" s="27" t="s">
        <v>7</v>
      </c>
      <c r="AK98" s="27" t="s">
        <v>8</v>
      </c>
    </row>
    <row r="99" spans="1:37" x14ac:dyDescent="0.25">
      <c r="A99" s="30">
        <v>972.05573941158355</v>
      </c>
      <c r="C99" s="1" t="s">
        <v>11</v>
      </c>
      <c r="D99" s="1" t="s">
        <v>12</v>
      </c>
      <c r="E99"/>
      <c r="AI99" s="27" t="s">
        <v>8</v>
      </c>
      <c r="AJ99" s="27" t="s">
        <v>7</v>
      </c>
      <c r="AK99" s="27" t="s">
        <v>8</v>
      </c>
    </row>
    <row r="100" spans="1:37" x14ac:dyDescent="0.25">
      <c r="A100" s="30">
        <v>925.76737086817479</v>
      </c>
      <c r="C100"/>
      <c r="D100"/>
      <c r="E100"/>
      <c r="AI100" s="27" t="s">
        <v>8</v>
      </c>
      <c r="AJ100" s="27" t="s">
        <v>7</v>
      </c>
    </row>
    <row r="101" spans="1:37" x14ac:dyDescent="0.25">
      <c r="A101" s="30">
        <v>881.68321035064264</v>
      </c>
      <c r="E101"/>
      <c r="AI101" s="27" t="s">
        <v>8</v>
      </c>
    </row>
    <row r="102" spans="1:37" x14ac:dyDescent="0.25">
      <c r="A102" s="30">
        <v>839.69829557204059</v>
      </c>
      <c r="C102" s="1" t="s">
        <v>13</v>
      </c>
      <c r="E102"/>
      <c r="AI102" s="27" t="s">
        <v>8</v>
      </c>
    </row>
    <row r="103" spans="1:37" x14ac:dyDescent="0.25">
      <c r="A103" s="30">
        <v>799.71266244956246</v>
      </c>
      <c r="C103" s="1">
        <f>C92</f>
        <v>0</v>
      </c>
      <c r="E103"/>
      <c r="AI103" s="27" t="s">
        <v>8</v>
      </c>
    </row>
    <row r="104" spans="1:37" x14ac:dyDescent="0.25">
      <c r="A104" s="30">
        <v>761.63110709482135</v>
      </c>
      <c r="C104"/>
      <c r="E104"/>
      <c r="AI104" s="27" t="s">
        <v>8</v>
      </c>
    </row>
    <row r="105" spans="1:37" x14ac:dyDescent="0.25">
      <c r="A105" s="30">
        <v>725.36295913792503</v>
      </c>
      <c r="C105" s="1" t="s">
        <v>14</v>
      </c>
      <c r="E105"/>
      <c r="AI105" s="27" t="s">
        <v>8</v>
      </c>
    </row>
    <row r="106" spans="1:37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AI106" s="27" t="s">
        <v>8</v>
      </c>
    </row>
    <row r="107" spans="1:37" x14ac:dyDescent="0.25">
      <c r="A107" s="30">
        <v>657.92558651965976</v>
      </c>
      <c r="E107"/>
      <c r="AI107" s="27" t="s">
        <v>8</v>
      </c>
    </row>
    <row r="108" spans="1:37" x14ac:dyDescent="0.25">
      <c r="A108" s="30">
        <v>626.59579668539027</v>
      </c>
      <c r="E108"/>
      <c r="AI108" s="27" t="s">
        <v>8</v>
      </c>
    </row>
    <row r="109" spans="1:37" x14ac:dyDescent="0.25">
      <c r="A109" s="30">
        <v>596.75790160513361</v>
      </c>
      <c r="E109"/>
      <c r="AI109" s="27" t="s">
        <v>8</v>
      </c>
    </row>
    <row r="110" spans="1:37" x14ac:dyDescent="0.25">
      <c r="A110" s="30">
        <v>568.34085867155579</v>
      </c>
      <c r="E110"/>
      <c r="Q110" s="27" t="s">
        <v>8</v>
      </c>
      <c r="AC110" s="27" t="s">
        <v>8</v>
      </c>
      <c r="AI110" s="27" t="s">
        <v>8</v>
      </c>
    </row>
    <row r="111" spans="1:37" x14ac:dyDescent="0.25">
      <c r="A111" s="30">
        <v>541.27700825862451</v>
      </c>
      <c r="C111" s="1" t="str">
        <f>ADDRESS(C121-1,1,1,1)</f>
        <v>$A$78</v>
      </c>
      <c r="D111" s="1" t="str">
        <f>ADDRESS(C121-1,D121,1,1)</f>
        <v>$AT$78</v>
      </c>
      <c r="E111"/>
      <c r="M111" s="27" t="s">
        <v>8</v>
      </c>
      <c r="Q111" s="27" t="s">
        <v>8</v>
      </c>
      <c r="R111" s="27" t="s">
        <v>7</v>
      </c>
      <c r="S111" s="27" t="s">
        <v>8</v>
      </c>
      <c r="U111" s="27" t="s">
        <v>8</v>
      </c>
      <c r="AC111" s="27" t="s">
        <v>8</v>
      </c>
      <c r="AD111" s="27" t="s">
        <v>7</v>
      </c>
      <c r="AG111" s="27" t="s">
        <v>8</v>
      </c>
      <c r="AI111" s="27" t="s">
        <v>8</v>
      </c>
    </row>
    <row r="112" spans="1:37" x14ac:dyDescent="0.25">
      <c r="A112" s="30">
        <v>515.50191262726139</v>
      </c>
      <c r="C112" s="1" t="str">
        <f>ADDRESS(C121,1,1,1)</f>
        <v>$A$79</v>
      </c>
      <c r="D112" s="1" t="str">
        <f>ADDRESS(C121,D121-1,1,1)</f>
        <v>$AS$79</v>
      </c>
      <c r="E112"/>
      <c r="M112" s="27" t="s">
        <v>8</v>
      </c>
      <c r="N112" s="27" t="s">
        <v>7</v>
      </c>
      <c r="O112" s="27" t="s">
        <v>8</v>
      </c>
      <c r="Q112" s="27" t="s">
        <v>8</v>
      </c>
      <c r="R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Y112" s="27" t="s">
        <v>8</v>
      </c>
      <c r="AC112" s="27" t="s">
        <v>8</v>
      </c>
      <c r="AD112" s="27" t="s">
        <v>7</v>
      </c>
      <c r="AE112" s="27" t="s">
        <v>8</v>
      </c>
      <c r="AG112" s="27" t="s">
        <v>8</v>
      </c>
      <c r="AH112" s="27" t="s">
        <v>7</v>
      </c>
      <c r="AI112" s="27" t="s">
        <v>8</v>
      </c>
    </row>
    <row r="113" spans="1:35" x14ac:dyDescent="0.25">
      <c r="A113" s="30">
        <v>490.95420250215363</v>
      </c>
      <c r="C113" s="1" t="str">
        <f>ADDRESS(C121+1,1,1,1)</f>
        <v>$A$80</v>
      </c>
      <c r="D113" s="1" t="str">
        <f>ADDRESS(C121-1,D121+1,1,1)</f>
        <v>$AU$78</v>
      </c>
      <c r="M113" s="27" t="s">
        <v>8</v>
      </c>
      <c r="N113" s="27" t="s">
        <v>7</v>
      </c>
      <c r="O113" s="27" t="s">
        <v>8</v>
      </c>
      <c r="P113" s="27" t="s">
        <v>7</v>
      </c>
      <c r="Q113" s="27" t="s">
        <v>8</v>
      </c>
      <c r="R113" s="27" t="s">
        <v>7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  <c r="X113" s="27" t="s">
        <v>7</v>
      </c>
      <c r="Y113" s="27" t="s">
        <v>8</v>
      </c>
      <c r="Z113" s="27" t="s">
        <v>7</v>
      </c>
      <c r="AC113" s="27" t="s">
        <v>8</v>
      </c>
      <c r="AD113" s="27" t="s">
        <v>7</v>
      </c>
      <c r="AE113" s="27" t="s">
        <v>8</v>
      </c>
      <c r="AF113" s="27" t="s">
        <v>7</v>
      </c>
      <c r="AG113" s="27" t="s">
        <v>8</v>
      </c>
      <c r="AH113" s="27" t="s">
        <v>7</v>
      </c>
      <c r="AI113" s="27" t="s">
        <v>8</v>
      </c>
    </row>
    <row r="114" spans="1:35" x14ac:dyDescent="0.25">
      <c r="A114" s="30">
        <v>467.57543095443202</v>
      </c>
      <c r="C114" s="1" t="str">
        <f>ADDRESS(C121,D121,1,1)</f>
        <v>$AT$79</v>
      </c>
      <c r="D114" s="1" t="str">
        <f>ADDRESS(C121+1,D121+1,1,1)</f>
        <v>$AU$80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  <c r="W114" s="27" t="s">
        <v>8</v>
      </c>
      <c r="X114" s="27" t="s">
        <v>7</v>
      </c>
      <c r="Y114" s="27" t="s">
        <v>8</v>
      </c>
      <c r="Z114" s="27" t="s">
        <v>7</v>
      </c>
      <c r="AC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</row>
    <row r="115" spans="1:35" x14ac:dyDescent="0.25">
      <c r="A115" s="30">
        <v>445.30993424231622</v>
      </c>
      <c r="C115" s="1" t="str">
        <f>ADDRESS(C121+1,D121,1,1)</f>
        <v>$AT$80</v>
      </c>
      <c r="M115" s="27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  <c r="R115" s="27" t="s">
        <v>7</v>
      </c>
      <c r="S115" s="27" t="s">
        <v>8</v>
      </c>
      <c r="T115" s="27" t="s">
        <v>7</v>
      </c>
      <c r="U115" s="27" t="s">
        <v>8</v>
      </c>
      <c r="V115" s="27" t="s">
        <v>7</v>
      </c>
      <c r="W115" s="27" t="s">
        <v>8</v>
      </c>
      <c r="X115" s="27" t="s">
        <v>7</v>
      </c>
      <c r="Y115" s="27" t="s">
        <v>8</v>
      </c>
      <c r="Z115" s="27" t="s">
        <v>7</v>
      </c>
      <c r="AC115" s="27" t="s">
        <v>8</v>
      </c>
      <c r="AD115" s="27" t="s">
        <v>7</v>
      </c>
      <c r="AF115" s="27" t="s">
        <v>7</v>
      </c>
      <c r="AG115" s="27" t="s">
        <v>8</v>
      </c>
      <c r="AH115" s="27" t="s">
        <v>7</v>
      </c>
      <c r="AI115" s="27" t="s">
        <v>8</v>
      </c>
    </row>
    <row r="116" spans="1:35" x14ac:dyDescent="0.25">
      <c r="A116" s="30">
        <v>424.10469927839637</v>
      </c>
      <c r="C116" s="1">
        <f>C117-1</f>
        <v>78</v>
      </c>
      <c r="K116" s="27" t="s">
        <v>8</v>
      </c>
      <c r="M116" s="27" t="s">
        <v>8</v>
      </c>
      <c r="N116" s="27" t="s">
        <v>7</v>
      </c>
      <c r="O116" s="27" t="s">
        <v>8</v>
      </c>
      <c r="P116" s="27" t="s">
        <v>7</v>
      </c>
      <c r="R116" s="27" t="s">
        <v>7</v>
      </c>
      <c r="S116" s="27" t="s">
        <v>8</v>
      </c>
      <c r="T116" s="27" t="s">
        <v>7</v>
      </c>
      <c r="V116" s="27" t="s">
        <v>7</v>
      </c>
      <c r="W116" s="27" t="s">
        <v>8</v>
      </c>
      <c r="X116" s="27" t="s">
        <v>7</v>
      </c>
      <c r="Z116" s="27" t="s">
        <v>7</v>
      </c>
      <c r="AA116" s="27" t="s">
        <v>8</v>
      </c>
      <c r="AC116" s="27" t="s">
        <v>8</v>
      </c>
      <c r="AF116" s="27" t="s">
        <v>7</v>
      </c>
      <c r="AG116" s="27" t="s">
        <v>8</v>
      </c>
      <c r="AH116" s="27" t="s">
        <v>7</v>
      </c>
      <c r="AI116" s="27" t="s">
        <v>8</v>
      </c>
    </row>
    <row r="117" spans="1:35" x14ac:dyDescent="0.25">
      <c r="A117" s="30">
        <v>403.9092374079965</v>
      </c>
      <c r="C117" s="1">
        <f>C121</f>
        <v>79</v>
      </c>
      <c r="D117" s="1">
        <f>D121</f>
        <v>46</v>
      </c>
      <c r="E117" s="1" t="s">
        <v>8</v>
      </c>
      <c r="G117" s="27" t="s">
        <v>8</v>
      </c>
      <c r="I117" s="27" t="s">
        <v>8</v>
      </c>
      <c r="K117" s="27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R117" s="27" t="s">
        <v>7</v>
      </c>
      <c r="S117" s="27" t="s">
        <v>8</v>
      </c>
      <c r="V117" s="27" t="s">
        <v>7</v>
      </c>
      <c r="Z117" s="27" t="s">
        <v>7</v>
      </c>
      <c r="AA117" s="27" t="s">
        <v>8</v>
      </c>
      <c r="AB117" s="27" t="s">
        <v>7</v>
      </c>
      <c r="AC117" s="27" t="s">
        <v>8</v>
      </c>
      <c r="AF117" s="27" t="s">
        <v>7</v>
      </c>
      <c r="AG117" s="27" t="s">
        <v>8</v>
      </c>
      <c r="AH117" s="27" t="s">
        <v>7</v>
      </c>
    </row>
    <row r="118" spans="1:35" x14ac:dyDescent="0.25">
      <c r="A118" s="30">
        <v>384.6754641980919</v>
      </c>
      <c r="C118" s="1">
        <f>C117+1</f>
        <v>80</v>
      </c>
      <c r="D118" s="1">
        <f>D117+1</f>
        <v>47</v>
      </c>
      <c r="E118" s="1" t="s">
        <v>8</v>
      </c>
      <c r="F118" s="27" t="s">
        <v>7</v>
      </c>
      <c r="G118" s="27" t="s">
        <v>8</v>
      </c>
      <c r="H118" s="27" t="s">
        <v>7</v>
      </c>
      <c r="I118" s="27" t="s">
        <v>8</v>
      </c>
      <c r="J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O118" s="27" t="s">
        <v>8</v>
      </c>
      <c r="R118" s="27" t="s">
        <v>7</v>
      </c>
      <c r="Z118" s="27" t="s">
        <v>7</v>
      </c>
      <c r="AA118" s="27" t="s">
        <v>8</v>
      </c>
      <c r="AB118" s="27" t="s">
        <v>7</v>
      </c>
      <c r="AC118" s="27" t="s">
        <v>8</v>
      </c>
      <c r="AF118" s="27" t="s">
        <v>7</v>
      </c>
      <c r="AG118" s="27" t="s">
        <v>8</v>
      </c>
    </row>
    <row r="119" spans="1:35" x14ac:dyDescent="0.25">
      <c r="A119" s="30">
        <v>366.35758495056371</v>
      </c>
      <c r="E119" s="1" t="s">
        <v>8</v>
      </c>
      <c r="F119" s="27" t="s">
        <v>7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Z119" s="27" t="s">
        <v>7</v>
      </c>
      <c r="AB119" s="27" t="s">
        <v>7</v>
      </c>
      <c r="AF119" s="27" t="s">
        <v>7</v>
      </c>
    </row>
    <row r="120" spans="1:35" x14ac:dyDescent="0.25">
      <c r="A120" s="30">
        <v>348.91198566720351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L120" s="27" t="s">
        <v>7</v>
      </c>
      <c r="M120" s="27" t="s">
        <v>8</v>
      </c>
    </row>
    <row r="121" spans="1:35" x14ac:dyDescent="0.25">
      <c r="A121" s="30">
        <v>332.29712920686046</v>
      </c>
      <c r="C121" s="18">
        <v>79</v>
      </c>
      <c r="D121" s="19">
        <v>46</v>
      </c>
      <c r="E121" s="19" t="s">
        <v>8</v>
      </c>
      <c r="F121" s="27" t="s">
        <v>7</v>
      </c>
      <c r="H121" s="27" t="s">
        <v>7</v>
      </c>
      <c r="I121" s="27" t="s">
        <v>8</v>
      </c>
      <c r="L121" s="27" t="s">
        <v>7</v>
      </c>
    </row>
    <row r="122" spans="1:35" x14ac:dyDescent="0.25">
      <c r="A122" s="30">
        <v>316.47345638748612</v>
      </c>
      <c r="C122" s="1" t="str">
        <f>INDEX(1:1048576,C117,D117)</f>
        <v>O</v>
      </c>
      <c r="E122" s="1" t="s">
        <v>8</v>
      </c>
      <c r="H122" s="27" t="s">
        <v>7</v>
      </c>
      <c r="I122" s="27" t="s">
        <v>8</v>
      </c>
    </row>
    <row r="123" spans="1:35" x14ac:dyDescent="0.25">
      <c r="A123" s="30">
        <v>301.40329179760585</v>
      </c>
      <c r="C123" s="1" t="str">
        <f>"R"&amp;C121</f>
        <v>R79</v>
      </c>
      <c r="D123" s="1" t="str">
        <f>"C"&amp;D121</f>
        <v>C46</v>
      </c>
      <c r="E123" s="1" t="s">
        <v>8</v>
      </c>
      <c r="H123" s="27" t="s">
        <v>7</v>
      </c>
    </row>
    <row r="124" spans="1:3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35" x14ac:dyDescent="0.25">
      <c r="A125" s="30">
        <v>273.38167056472184</v>
      </c>
      <c r="E125" s="1" t="s">
        <v>8</v>
      </c>
    </row>
    <row r="126" spans="1:35" x14ac:dyDescent="0.25">
      <c r="A126" s="30">
        <v>260.36349577592557</v>
      </c>
      <c r="C126" s="1" t="s">
        <v>10</v>
      </c>
      <c r="E126" s="1" t="s">
        <v>8</v>
      </c>
    </row>
    <row r="127" spans="1:35" x14ac:dyDescent="0.25">
      <c r="A127" s="30">
        <v>247.96523407231004</v>
      </c>
      <c r="C127" s="30">
        <v>2579.1532626532189</v>
      </c>
      <c r="D127"/>
      <c r="E127" s="1" t="s">
        <v>8</v>
      </c>
    </row>
    <row r="128" spans="1:35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>
        <v>0</v>
      </c>
      <c r="D130">
        <v>0</v>
      </c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O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2" priority="157" operator="equal">
      <formula>$U$1</formula>
    </cfRule>
    <cfRule type="cellIs" dxfId="61" priority="158" operator="equal">
      <formula>$S$1</formula>
    </cfRule>
  </conditionalFormatting>
  <conditionalFormatting sqref="D136">
    <cfRule type="cellIs" dxfId="60" priority="155" operator="equal">
      <formula>$S$1</formula>
    </cfRule>
    <cfRule type="cellIs" dxfId="59" priority="156" operator="equal">
      <formula>$U$1</formula>
    </cfRule>
  </conditionalFormatting>
  <conditionalFormatting sqref="C162">
    <cfRule type="cellIs" dxfId="58" priority="153" operator="equal">
      <formula>$U$1</formula>
    </cfRule>
    <cfRule type="cellIs" dxfId="57" priority="154" operator="equal">
      <formula>$S$1</formula>
    </cfRule>
  </conditionalFormatting>
  <conditionalFormatting sqref="D162">
    <cfRule type="cellIs" dxfId="56" priority="151" operator="equal">
      <formula>$S$1</formula>
    </cfRule>
    <cfRule type="cellIs" dxfId="55" priority="152" operator="equal">
      <formula>$U$1</formula>
    </cfRule>
  </conditionalFormatting>
  <conditionalFormatting sqref="C187">
    <cfRule type="cellIs" dxfId="54" priority="149" operator="equal">
      <formula>$U$1</formula>
    </cfRule>
    <cfRule type="cellIs" dxfId="53" priority="150" operator="equal">
      <formula>$S$1</formula>
    </cfRule>
  </conditionalFormatting>
  <conditionalFormatting sqref="D187">
    <cfRule type="cellIs" dxfId="52" priority="147" operator="equal">
      <formula>$S$1</formula>
    </cfRule>
    <cfRule type="cellIs" dxfId="51" priority="148" operator="equal">
      <formula>$U$1</formula>
    </cfRule>
  </conditionalFormatting>
  <conditionalFormatting sqref="C212">
    <cfRule type="cellIs" dxfId="50" priority="145" operator="equal">
      <formula>$U$1</formula>
    </cfRule>
    <cfRule type="cellIs" dxfId="49" priority="146" operator="equal">
      <formula>$S$1</formula>
    </cfRule>
  </conditionalFormatting>
  <conditionalFormatting sqref="D212">
    <cfRule type="cellIs" dxfId="48" priority="143" operator="equal">
      <formula>$S$1</formula>
    </cfRule>
    <cfRule type="cellIs" dxfId="47" priority="144" operator="equal">
      <formula>$U$1</formula>
    </cfRule>
  </conditionalFormatting>
  <conditionalFormatting sqref="C237">
    <cfRule type="cellIs" dxfId="46" priority="141" operator="equal">
      <formula>$U$1</formula>
    </cfRule>
    <cfRule type="cellIs" dxfId="45" priority="142" operator="equal">
      <formula>$S$1</formula>
    </cfRule>
  </conditionalFormatting>
  <conditionalFormatting sqref="D237">
    <cfRule type="cellIs" dxfId="44" priority="139" operator="equal">
      <formula>$S$1</formula>
    </cfRule>
    <cfRule type="cellIs" dxfId="43" priority="140" operator="equal">
      <formula>$U$1</formula>
    </cfRule>
  </conditionalFormatting>
  <conditionalFormatting sqref="C106">
    <cfRule type="cellIs" dxfId="42" priority="137" operator="equal">
      <formula>$U$1</formula>
    </cfRule>
    <cfRule type="cellIs" dxfId="41" priority="138" operator="equal">
      <formula>$S$1</formula>
    </cfRule>
  </conditionalFormatting>
  <conditionalFormatting sqref="D106">
    <cfRule type="cellIs" dxfId="40" priority="135" operator="equal">
      <formula>$S$1</formula>
    </cfRule>
    <cfRule type="cellIs" dxfId="39" priority="136" operator="equal">
      <formula>$U$1</formula>
    </cfRule>
  </conditionalFormatting>
  <conditionalFormatting sqref="C81">
    <cfRule type="cellIs" dxfId="38" priority="133" operator="equal">
      <formula>$U$1</formula>
    </cfRule>
    <cfRule type="cellIs" dxfId="37" priority="134" operator="equal">
      <formula>$S$1</formula>
    </cfRule>
  </conditionalFormatting>
  <conditionalFormatting sqref="D81">
    <cfRule type="cellIs" dxfId="36" priority="131" operator="equal">
      <formula>$S$1</formula>
    </cfRule>
    <cfRule type="cellIs" dxfId="35" priority="132" operator="equal">
      <formula>$U$1</formula>
    </cfRule>
  </conditionalFormatting>
  <conditionalFormatting sqref="C56">
    <cfRule type="cellIs" dxfId="34" priority="129" operator="equal">
      <formula>$U$1</formula>
    </cfRule>
    <cfRule type="cellIs" dxfId="33" priority="130" operator="equal">
      <formula>$S$1</formula>
    </cfRule>
  </conditionalFormatting>
  <conditionalFormatting sqref="D56">
    <cfRule type="cellIs" dxfId="32" priority="127" operator="equal">
      <formula>$S$1</formula>
    </cfRule>
    <cfRule type="cellIs" dxfId="31" priority="128" operator="equal">
      <formula>$U$1</formula>
    </cfRule>
  </conditionalFormatting>
  <conditionalFormatting sqref="C31">
    <cfRule type="cellIs" dxfId="30" priority="125" operator="equal">
      <formula>$U$1</formula>
    </cfRule>
    <cfRule type="cellIs" dxfId="29" priority="126" operator="equal">
      <formula>$S$1</formula>
    </cfRule>
  </conditionalFormatting>
  <conditionalFormatting sqref="D31">
    <cfRule type="cellIs" dxfId="28" priority="123" operator="equal">
      <formula>$S$1</formula>
    </cfRule>
    <cfRule type="cellIs" dxfId="27" priority="124" operator="equal">
      <formula>$U$1</formula>
    </cfRule>
  </conditionalFormatting>
  <conditionalFormatting sqref="C130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V39" sqref="V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22" x14ac:dyDescent="0.25">
      <c r="A33" s="30">
        <v>4390.927778387033</v>
      </c>
      <c r="E33"/>
      <c r="U33" s="27" t="s">
        <v>8</v>
      </c>
    </row>
    <row r="34" spans="1:22" x14ac:dyDescent="0.25">
      <c r="A34" s="30">
        <v>3991.7525258063934</v>
      </c>
      <c r="E34"/>
      <c r="U34" s="27" t="s">
        <v>8</v>
      </c>
      <c r="V34" s="27" t="s">
        <v>7</v>
      </c>
    </row>
    <row r="35" spans="1:22" x14ac:dyDescent="0.25">
      <c r="A35" s="30">
        <v>3628.8659325512663</v>
      </c>
      <c r="E35"/>
      <c r="U35" s="27" t="s">
        <v>8</v>
      </c>
      <c r="V35" s="27" t="s">
        <v>7</v>
      </c>
    </row>
    <row r="36" spans="1:22" x14ac:dyDescent="0.25">
      <c r="A36" s="30">
        <v>3298.96902959206</v>
      </c>
      <c r="E36"/>
      <c r="U36" s="27" t="s">
        <v>8</v>
      </c>
      <c r="V36" s="27" t="s">
        <v>7</v>
      </c>
    </row>
    <row r="37" spans="1:22" x14ac:dyDescent="0.25">
      <c r="A37" s="30">
        <v>2999.0627541745998</v>
      </c>
      <c r="E37"/>
      <c r="U37" s="27" t="s">
        <v>8</v>
      </c>
      <c r="V37" s="27" t="s">
        <v>7</v>
      </c>
    </row>
    <row r="38" spans="1:22" x14ac:dyDescent="0.25">
      <c r="A38" s="30">
        <v>2726.4206856132723</v>
      </c>
      <c r="E38"/>
      <c r="U38" s="27" t="s">
        <v>8</v>
      </c>
      <c r="V38" s="27" t="s">
        <v>7</v>
      </c>
    </row>
    <row r="39" spans="1:22" x14ac:dyDescent="0.25">
      <c r="A39" s="30">
        <v>2478.564259648429</v>
      </c>
      <c r="E39"/>
      <c r="U39" s="27" t="s">
        <v>8</v>
      </c>
      <c r="V39" s="18" t="s">
        <v>7</v>
      </c>
    </row>
    <row r="40" spans="1:22" x14ac:dyDescent="0.25">
      <c r="A40" s="30">
        <v>2253.240236044026</v>
      </c>
      <c r="E40"/>
      <c r="S40" s="27" t="s">
        <v>8</v>
      </c>
      <c r="U40" s="27" t="s">
        <v>8</v>
      </c>
    </row>
    <row r="41" spans="1:22" x14ac:dyDescent="0.25">
      <c r="A41" s="30">
        <v>2048.4002145854779</v>
      </c>
      <c r="E41"/>
      <c r="S41" s="27" t="s">
        <v>8</v>
      </c>
      <c r="T41" s="27" t="s">
        <v>7</v>
      </c>
      <c r="U41" s="27" t="s">
        <v>8</v>
      </c>
    </row>
    <row r="42" spans="1:22" x14ac:dyDescent="0.25">
      <c r="A42" s="30">
        <v>1862.1820132595253</v>
      </c>
      <c r="C42" s="1" t="s">
        <v>15</v>
      </c>
      <c r="E42"/>
      <c r="S42" s="27" t="s">
        <v>8</v>
      </c>
      <c r="T42" s="27" t="s">
        <v>7</v>
      </c>
      <c r="U42" s="27" t="s">
        <v>8</v>
      </c>
    </row>
    <row r="43" spans="1:22" x14ac:dyDescent="0.25">
      <c r="A43" s="30">
        <v>1692.8927393268411</v>
      </c>
      <c r="C43" s="7">
        <v>0.11167815779424731</v>
      </c>
      <c r="D43"/>
      <c r="E43"/>
      <c r="S43" s="27" t="s">
        <v>8</v>
      </c>
      <c r="T43" s="27" t="s">
        <v>7</v>
      </c>
    </row>
    <row r="44" spans="1:22" x14ac:dyDescent="0.25">
      <c r="A44" s="30">
        <v>1538.9933993880372</v>
      </c>
      <c r="E44"/>
      <c r="S44" s="27" t="s">
        <v>8</v>
      </c>
    </row>
    <row r="45" spans="1:22" x14ac:dyDescent="0.25">
      <c r="A45" s="30">
        <v>1399.0849085345792</v>
      </c>
      <c r="C45" s="1" t="s">
        <v>11</v>
      </c>
      <c r="D45" s="1" t="s">
        <v>12</v>
      </c>
      <c r="E45"/>
      <c r="Q45" s="27" t="s">
        <v>8</v>
      </c>
      <c r="S45" s="27" t="s">
        <v>8</v>
      </c>
    </row>
    <row r="46" spans="1:22" x14ac:dyDescent="0.25">
      <c r="A46" s="30">
        <v>1271.8953713950718</v>
      </c>
      <c r="C46"/>
      <c r="D46"/>
      <c r="E46"/>
      <c r="Q46" s="27" t="s">
        <v>8</v>
      </c>
      <c r="R46" s="27" t="s">
        <v>7</v>
      </c>
      <c r="S46" s="27" t="s">
        <v>8</v>
      </c>
    </row>
    <row r="47" spans="1:22" x14ac:dyDescent="0.25">
      <c r="A47" s="30">
        <v>1156.2685194500652</v>
      </c>
      <c r="E47"/>
      <c r="Q47" s="27" t="s">
        <v>8</v>
      </c>
      <c r="R47" s="27" t="s">
        <v>7</v>
      </c>
      <c r="S47" s="27" t="s">
        <v>8</v>
      </c>
    </row>
    <row r="48" spans="1:22" x14ac:dyDescent="0.25">
      <c r="A48" s="30">
        <v>1051.1531995000591</v>
      </c>
      <c r="C48" s="1" t="s">
        <v>13</v>
      </c>
      <c r="E48"/>
      <c r="Q48" s="27" t="s">
        <v>8</v>
      </c>
      <c r="R48" s="27" t="s">
        <v>7</v>
      </c>
      <c r="S48" s="27" t="s">
        <v>8</v>
      </c>
    </row>
    <row r="49" spans="1:18" x14ac:dyDescent="0.25">
      <c r="A49" s="30">
        <v>955.59381772732638</v>
      </c>
      <c r="C49" s="1">
        <f>C38</f>
        <v>0</v>
      </c>
      <c r="E49"/>
      <c r="Q49" s="27" t="s">
        <v>8</v>
      </c>
      <c r="R49" s="27" t="s">
        <v>7</v>
      </c>
    </row>
    <row r="50" spans="1:18" x14ac:dyDescent="0.25">
      <c r="A50" s="30">
        <v>868.72165247938756</v>
      </c>
      <c r="C50"/>
      <c r="D50"/>
      <c r="E50"/>
      <c r="Q50" s="27" t="s">
        <v>8</v>
      </c>
    </row>
    <row r="51" spans="1:18" x14ac:dyDescent="0.25">
      <c r="A51" s="30">
        <v>789.74695679944318</v>
      </c>
      <c r="C51" s="1" t="s">
        <v>14</v>
      </c>
      <c r="E51"/>
      <c r="Q51" s="27" t="s">
        <v>8</v>
      </c>
    </row>
    <row r="52" spans="1:18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Q52" s="27" t="s">
        <v>8</v>
      </c>
    </row>
    <row r="53" spans="1:18" x14ac:dyDescent="0.25">
      <c r="A53" s="30">
        <v>652.68343537144051</v>
      </c>
      <c r="E53"/>
      <c r="Q53" s="27" t="s">
        <v>8</v>
      </c>
    </row>
    <row r="54" spans="1:18" x14ac:dyDescent="0.25">
      <c r="A54" s="30">
        <v>593.34857761040041</v>
      </c>
      <c r="E54"/>
      <c r="M54" s="27" t="s">
        <v>8</v>
      </c>
      <c r="Q54" s="27" t="s">
        <v>8</v>
      </c>
    </row>
    <row r="55" spans="1:18" x14ac:dyDescent="0.25">
      <c r="A55" s="30">
        <v>539.40779782763673</v>
      </c>
      <c r="E55"/>
      <c r="G55" s="27" t="s">
        <v>8</v>
      </c>
      <c r="I55" s="27" t="s">
        <v>8</v>
      </c>
      <c r="K55" s="27" t="s">
        <v>8</v>
      </c>
      <c r="M55" s="27" t="s">
        <v>8</v>
      </c>
      <c r="N55" s="27" t="s">
        <v>7</v>
      </c>
      <c r="O55" s="27" t="s">
        <v>8</v>
      </c>
      <c r="Q55" s="27" t="s">
        <v>8</v>
      </c>
    </row>
    <row r="56" spans="1:18" x14ac:dyDescent="0.25">
      <c r="A56" s="30">
        <v>490.37072529785149</v>
      </c>
      <c r="E56"/>
      <c r="G56" s="27" t="s">
        <v>8</v>
      </c>
      <c r="H56" s="27" t="s">
        <v>7</v>
      </c>
      <c r="I56" s="27" t="s">
        <v>8</v>
      </c>
      <c r="J56" s="27" t="s">
        <v>7</v>
      </c>
      <c r="K56" s="27" t="s">
        <v>8</v>
      </c>
      <c r="L56" s="27" t="s">
        <v>7</v>
      </c>
      <c r="M56" s="27" t="s">
        <v>8</v>
      </c>
      <c r="N56" s="27" t="s">
        <v>7</v>
      </c>
      <c r="O56" s="27" t="s">
        <v>8</v>
      </c>
      <c r="P56" s="27" t="s">
        <v>7</v>
      </c>
      <c r="Q56" s="27" t="s">
        <v>8</v>
      </c>
    </row>
    <row r="57" spans="1:18" x14ac:dyDescent="0.25">
      <c r="A57" s="30">
        <v>445.79156845259223</v>
      </c>
      <c r="E57"/>
      <c r="G57" s="27" t="s">
        <v>8</v>
      </c>
      <c r="H57" s="27" t="s">
        <v>7</v>
      </c>
      <c r="I57" s="27" t="s">
        <v>8</v>
      </c>
      <c r="J57" s="27" t="s">
        <v>7</v>
      </c>
      <c r="K57" s="27" t="s">
        <v>8</v>
      </c>
      <c r="L57" s="27" t="s">
        <v>7</v>
      </c>
      <c r="M57" s="27" t="s">
        <v>8</v>
      </c>
      <c r="N57" s="27" t="s">
        <v>7</v>
      </c>
      <c r="O57" s="27" t="s">
        <v>8</v>
      </c>
      <c r="P57" s="27" t="s">
        <v>7</v>
      </c>
      <c r="Q57" s="27" t="s">
        <v>8</v>
      </c>
    </row>
    <row r="58" spans="1:18" x14ac:dyDescent="0.25">
      <c r="A58" s="30">
        <v>405.26506222962928</v>
      </c>
      <c r="E58" t="s">
        <v>8</v>
      </c>
      <c r="G58" s="27" t="s">
        <v>8</v>
      </c>
      <c r="H58" s="27" t="s">
        <v>7</v>
      </c>
      <c r="I58" s="27" t="s">
        <v>8</v>
      </c>
      <c r="J58" s="27" t="s">
        <v>7</v>
      </c>
      <c r="K58" s="27" t="s">
        <v>8</v>
      </c>
      <c r="L58" s="27" t="s">
        <v>7</v>
      </c>
      <c r="M58" s="27" t="s">
        <v>8</v>
      </c>
      <c r="N58" s="27" t="s">
        <v>7</v>
      </c>
      <c r="O58" s="27" t="s">
        <v>8</v>
      </c>
      <c r="P58" s="27" t="s">
        <v>7</v>
      </c>
    </row>
    <row r="59" spans="1:18" x14ac:dyDescent="0.25">
      <c r="A59" s="30">
        <v>368.42278384511752</v>
      </c>
      <c r="E59" t="s">
        <v>8</v>
      </c>
      <c r="F59" s="27" t="s">
        <v>7</v>
      </c>
      <c r="G59" s="27" t="s">
        <v>8</v>
      </c>
      <c r="H59" s="27" t="s">
        <v>7</v>
      </c>
      <c r="J59" s="27" t="s">
        <v>7</v>
      </c>
      <c r="L59" s="27" t="s">
        <v>7</v>
      </c>
      <c r="N59" s="27" t="s">
        <v>7</v>
      </c>
    </row>
    <row r="60" spans="1:18" x14ac:dyDescent="0.25">
      <c r="A60" s="30">
        <v>334.92980349556137</v>
      </c>
      <c r="E60" t="s">
        <v>8</v>
      </c>
      <c r="F60" s="27" t="s">
        <v>7</v>
      </c>
      <c r="G60" s="27" t="s">
        <v>8</v>
      </c>
    </row>
    <row r="61" spans="1:18" x14ac:dyDescent="0.25">
      <c r="A61" s="30">
        <v>304.48163954141938</v>
      </c>
      <c r="E61" t="s">
        <v>8</v>
      </c>
      <c r="F61" s="27" t="s">
        <v>7</v>
      </c>
    </row>
    <row r="62" spans="1:18" x14ac:dyDescent="0.25">
      <c r="A62" s="30">
        <v>276.80149049219943</v>
      </c>
      <c r="E62" t="s">
        <v>8</v>
      </c>
    </row>
    <row r="63" spans="1:18" x14ac:dyDescent="0.25">
      <c r="A63" s="30">
        <v>251.63771862927217</v>
      </c>
      <c r="E63" t="s">
        <v>8</v>
      </c>
    </row>
    <row r="64" spans="1:18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$A$38</v>
      </c>
      <c r="D111" s="1" t="str">
        <f>ADDRESS(C121-1,D121,1,1)</f>
        <v>$V$38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$A$39</v>
      </c>
      <c r="D112" s="1" t="str">
        <f>ADDRESS(C121,D121-1,1,1)</f>
        <v>$U$39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$A$40</v>
      </c>
      <c r="D113" s="1" t="str">
        <f>ADDRESS(C121-1,D121+1,1,1)</f>
        <v>$W$38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$V$39</v>
      </c>
      <c r="D114" s="1" t="str">
        <f>ADDRESS(C121+1,D121+1,1,1)</f>
        <v>$W$40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$V$40</v>
      </c>
      <c r="E115" s="1" t="s">
        <v>8</v>
      </c>
    </row>
    <row r="116" spans="1:5" x14ac:dyDescent="0.25">
      <c r="A116" s="30">
        <v>1.6105100000000008</v>
      </c>
      <c r="C116" s="1">
        <f>C117-1</f>
        <v>38</v>
      </c>
      <c r="E116" s="1" t="s">
        <v>8</v>
      </c>
    </row>
    <row r="117" spans="1:5" x14ac:dyDescent="0.25">
      <c r="A117" s="30">
        <v>1.4641000000000006</v>
      </c>
      <c r="C117" s="1">
        <f>C121</f>
        <v>39</v>
      </c>
      <c r="D117" s="1">
        <f>D121</f>
        <v>22</v>
      </c>
      <c r="E117" s="1" t="s">
        <v>8</v>
      </c>
    </row>
    <row r="118" spans="1:5" x14ac:dyDescent="0.25">
      <c r="A118" s="30">
        <v>1.3310000000000004</v>
      </c>
      <c r="C118" s="1">
        <f>C117+1</f>
        <v>40</v>
      </c>
      <c r="D118" s="1">
        <f>D117+1</f>
        <v>23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39</v>
      </c>
      <c r="D121" s="19">
        <v>22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R39</v>
      </c>
      <c r="D123" s="1" t="str">
        <f>"C"&amp;D121</f>
        <v>C22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2478.564259648429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>
        <v>0</v>
      </c>
      <c r="D130">
        <v>0</v>
      </c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25" priority="141" operator="equal">
      <formula>$U$1</formula>
    </cfRule>
    <cfRule type="cellIs" dxfId="24" priority="142" operator="equal">
      <formula>$S$1</formula>
    </cfRule>
  </conditionalFormatting>
  <conditionalFormatting sqref="D136">
    <cfRule type="cellIs" dxfId="23" priority="139" operator="equal">
      <formula>$S$1</formula>
    </cfRule>
    <cfRule type="cellIs" dxfId="22" priority="140" operator="equal">
      <formula>$U$1</formula>
    </cfRule>
  </conditionalFormatting>
  <conditionalFormatting sqref="C102">
    <cfRule type="cellIs" dxfId="21" priority="137" operator="equal">
      <formula>$U$1</formula>
    </cfRule>
    <cfRule type="cellIs" dxfId="20" priority="138" operator="equal">
      <formula>$S$1</formula>
    </cfRule>
  </conditionalFormatting>
  <conditionalFormatting sqref="D102">
    <cfRule type="cellIs" dxfId="19" priority="135" operator="equal">
      <formula>$S$1</formula>
    </cfRule>
    <cfRule type="cellIs" dxfId="18" priority="136" operator="equal">
      <formula>$U$1</formula>
    </cfRule>
  </conditionalFormatting>
  <conditionalFormatting sqref="C77">
    <cfRule type="cellIs" dxfId="17" priority="133" operator="equal">
      <formula>$U$1</formula>
    </cfRule>
    <cfRule type="cellIs" dxfId="16" priority="134" operator="equal">
      <formula>$S$1</formula>
    </cfRule>
  </conditionalFormatting>
  <conditionalFormatting sqref="D77">
    <cfRule type="cellIs" dxfId="15" priority="131" operator="equal">
      <formula>$S$1</formula>
    </cfRule>
    <cfRule type="cellIs" dxfId="14" priority="132" operator="equal">
      <formula>$U$1</formula>
    </cfRule>
  </conditionalFormatting>
  <conditionalFormatting sqref="C52">
    <cfRule type="cellIs" dxfId="13" priority="129" operator="equal">
      <formula>$U$1</formula>
    </cfRule>
    <cfRule type="cellIs" dxfId="12" priority="130" operator="equal">
      <formula>$S$1</formula>
    </cfRule>
  </conditionalFormatting>
  <conditionalFormatting sqref="D52">
    <cfRule type="cellIs" dxfId="11" priority="127" operator="equal">
      <formula>$S$1</formula>
    </cfRule>
    <cfRule type="cellIs" dxfId="10" priority="128" operator="equal">
      <formula>$U$1</formula>
    </cfRule>
  </conditionalFormatting>
  <conditionalFormatting sqref="C26">
    <cfRule type="cellIs" dxfId="9" priority="125" operator="equal">
      <formula>$U$1</formula>
    </cfRule>
    <cfRule type="cellIs" dxfId="8" priority="126" operator="equal">
      <formula>$S$1</formula>
    </cfRule>
  </conditionalFormatting>
  <conditionalFormatting sqref="D26">
    <cfRule type="cellIs" dxfId="7" priority="123" operator="equal">
      <formula>$S$1</formula>
    </cfRule>
    <cfRule type="cellIs" dxfId="6" priority="124" operator="equal">
      <formula>$U$1</formula>
    </cfRule>
  </conditionalFormatting>
  <conditionalFormatting sqref="C130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4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2021-07-25T12:03:08Z</dcterms:modified>
</cp:coreProperties>
</file>