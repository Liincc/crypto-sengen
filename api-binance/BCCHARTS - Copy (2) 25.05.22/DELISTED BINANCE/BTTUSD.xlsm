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0F9707A-90AC-4370-AEE2-78231542B112}" xr6:coauthVersionLast="47" xr6:coauthVersionMax="47" xr10:uidLastSave="{00000000-0000-0000-0000-000000000000}"/>
  <bookViews>
    <workbookView xWindow="-21276" yWindow="3456" windowWidth="18696" windowHeight="12480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757" i="1"/>
  <c r="Q757" i="1" s="1"/>
  <c r="R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2" i="5"/>
  <c r="D31" i="4"/>
  <c r="M3" i="6"/>
  <c r="C81" i="4"/>
  <c r="C52" i="5"/>
  <c r="C118" i="2"/>
  <c r="C116" i="2"/>
  <c r="K3" i="6"/>
  <c r="D26" i="5"/>
  <c r="C122" i="5"/>
  <c r="C133" i="5" s="1"/>
  <c r="C56" i="4"/>
  <c r="C118" i="4"/>
  <c r="D136" i="2"/>
  <c r="C136" i="2"/>
  <c r="C138" i="2"/>
  <c r="C122" i="4"/>
  <c r="C133" i="4" s="1"/>
  <c r="D136" i="4" s="1"/>
  <c r="C2" i="1" l="1"/>
  <c r="D2" i="1"/>
  <c r="R756" i="1"/>
  <c r="S756" i="1" s="1"/>
  <c r="T756" i="1" s="1"/>
  <c r="S757" i="1"/>
  <c r="T757" i="1" s="1"/>
  <c r="C116" i="3"/>
  <c r="C122" i="3"/>
  <c r="C133" i="3" s="1"/>
  <c r="C136" i="3" s="1"/>
  <c r="R755" i="1"/>
  <c r="S755" i="1" s="1"/>
  <c r="T755" i="1" s="1"/>
  <c r="D136" i="5"/>
  <c r="C136" i="5"/>
  <c r="C138" i="5" s="1"/>
  <c r="C136" i="4"/>
  <c r="C138" i="4" s="1"/>
  <c r="R754" i="1" l="1"/>
  <c r="D136" i="3"/>
  <c r="C138" i="3" s="1"/>
  <c r="R753" i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S466" i="1" l="1"/>
  <c r="T466" i="1" s="1"/>
  <c r="R465" i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R19" i="1" l="1"/>
  <c r="S20" i="1"/>
  <c r="T20" i="1" s="1"/>
  <c r="S19" i="1" l="1"/>
  <c r="T19" i="1" s="1"/>
  <c r="R18" i="1"/>
  <c r="R17" i="1" l="1"/>
  <c r="S18" i="1"/>
  <c r="T18" i="1" s="1"/>
  <c r="R16" i="1" l="1"/>
  <c r="S17" i="1"/>
  <c r="T17" i="1" s="1"/>
  <c r="R15" i="1" l="1"/>
  <c r="S16" i="1"/>
  <c r="T16" i="1" s="1"/>
  <c r="R14" i="1" l="1"/>
  <c r="S15" i="1"/>
  <c r="T15" i="1" s="1"/>
  <c r="R13" i="1" l="1"/>
  <c r="S14" i="1"/>
  <c r="T14" i="1" s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<sst xmlns="http://schemas.openxmlformats.org/spreadsheetml/2006/main" count="6261" uniqueCount="34">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</sst>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16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44202</c:v>
                </c:pt>
                <c:pt idx="378">
                  <c:v>44201</c:v>
                </c:pt>
                <c:pt idx="379">
                  <c:v>44200</c:v>
                </c:pt>
                <c:pt idx="380">
                  <c:v>44199</c:v>
                </c:pt>
                <c:pt idx="381">
                  <c:v>44198</c:v>
                </c:pt>
                <c:pt idx="382">
                  <c:v>44197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44192</c:v>
                </c:pt>
                <c:pt idx="388">
                  <c:v>44191</c:v>
                </c:pt>
                <c:pt idx="389">
                  <c:v>44190</c:v>
                </c:pt>
                <c:pt idx="390">
                  <c:v>44189</c:v>
                </c:pt>
                <c:pt idx="391">
                  <c:v>44188</c:v>
                </c:pt>
                <c:pt idx="392">
                  <c:v>44187</c:v>
                </c:pt>
                <c:pt idx="393">
                  <c:v>44186</c:v>
                </c:pt>
                <c:pt idx="394">
                  <c:v>44185</c:v>
                </c:pt>
                <c:pt idx="395">
                  <c:v>44184</c:v>
                </c:pt>
                <c:pt idx="396">
                  <c:v>44183</c:v>
                </c:pt>
                <c:pt idx="397">
                  <c:v>44182</c:v>
                </c:pt>
                <c:pt idx="398">
                  <c:v>44181</c:v>
                </c:pt>
                <c:pt idx="399">
                  <c:v>44180</c:v>
                </c:pt>
                <c:pt idx="400">
                  <c:v>44179</c:v>
                </c:pt>
                <c:pt idx="401">
                  <c:v>44178</c:v>
                </c:pt>
                <c:pt idx="402">
                  <c:v>44177</c:v>
                </c:pt>
                <c:pt idx="403">
                  <c:v>44176</c:v>
                </c:pt>
                <c:pt idx="404">
                  <c:v>44175</c:v>
                </c:pt>
                <c:pt idx="405">
                  <c:v>44174</c:v>
                </c:pt>
                <c:pt idx="406">
                  <c:v>44173</c:v>
                </c:pt>
                <c:pt idx="407">
                  <c:v>44172</c:v>
                </c:pt>
                <c:pt idx="408">
                  <c:v>44171</c:v>
                </c:pt>
                <c:pt idx="409">
                  <c:v>44170</c:v>
                </c:pt>
                <c:pt idx="410">
                  <c:v>44169</c:v>
                </c:pt>
                <c:pt idx="411">
                  <c:v>44168</c:v>
                </c:pt>
                <c:pt idx="412">
                  <c:v>44167</c:v>
                </c:pt>
                <c:pt idx="413">
                  <c:v>44166</c:v>
                </c:pt>
                <c:pt idx="414">
                  <c:v>44165</c:v>
                </c:pt>
                <c:pt idx="415">
                  <c:v>44164</c:v>
                </c:pt>
                <c:pt idx="416">
                  <c:v>44163</c:v>
                </c:pt>
                <c:pt idx="417">
                  <c:v>44162</c:v>
                </c:pt>
                <c:pt idx="418">
                  <c:v>44161</c:v>
                </c:pt>
                <c:pt idx="419">
                  <c:v>44160</c:v>
                </c:pt>
                <c:pt idx="420">
                  <c:v>44159</c:v>
                </c:pt>
                <c:pt idx="421">
                  <c:v>44158</c:v>
                </c:pt>
                <c:pt idx="422">
                  <c:v>44157</c:v>
                </c:pt>
                <c:pt idx="423">
                  <c:v>44156</c:v>
                </c:pt>
                <c:pt idx="424">
                  <c:v>44155</c:v>
                </c:pt>
                <c:pt idx="425">
                  <c:v>44154</c:v>
                </c:pt>
                <c:pt idx="426">
                  <c:v>44153</c:v>
                </c:pt>
                <c:pt idx="427">
                  <c:v>44152</c:v>
                </c:pt>
                <c:pt idx="428">
                  <c:v>44151</c:v>
                </c:pt>
                <c:pt idx="429">
                  <c:v>44150</c:v>
                </c:pt>
                <c:pt idx="430">
                  <c:v>44149</c:v>
                </c:pt>
                <c:pt idx="431">
                  <c:v>44148</c:v>
                </c:pt>
                <c:pt idx="432">
                  <c:v>44147</c:v>
                </c:pt>
                <c:pt idx="433">
                  <c:v>44146</c:v>
                </c:pt>
                <c:pt idx="434">
                  <c:v>44145</c:v>
                </c:pt>
                <c:pt idx="435">
                  <c:v>44144</c:v>
                </c:pt>
                <c:pt idx="436">
                  <c:v>44143</c:v>
                </c:pt>
                <c:pt idx="437">
                  <c:v>44142</c:v>
                </c:pt>
                <c:pt idx="438">
                  <c:v>44141</c:v>
                </c:pt>
                <c:pt idx="439">
                  <c:v>44140</c:v>
                </c:pt>
                <c:pt idx="440">
                  <c:v>44139</c:v>
                </c:pt>
                <c:pt idx="441">
                  <c:v>44138</c:v>
                </c:pt>
                <c:pt idx="442">
                  <c:v>44137</c:v>
                </c:pt>
                <c:pt idx="443">
                  <c:v>44136</c:v>
                </c:pt>
                <c:pt idx="444">
                  <c:v>44135</c:v>
                </c:pt>
                <c:pt idx="445">
                  <c:v>44134</c:v>
                </c:pt>
                <c:pt idx="446">
                  <c:v>44133</c:v>
                </c:pt>
                <c:pt idx="447">
                  <c:v>44132</c:v>
                </c:pt>
                <c:pt idx="448">
                  <c:v>44131</c:v>
                </c:pt>
                <c:pt idx="449">
                  <c:v>44130</c:v>
                </c:pt>
                <c:pt idx="450">
                  <c:v>44129</c:v>
                </c:pt>
                <c:pt idx="451">
                  <c:v>44128</c:v>
                </c:pt>
                <c:pt idx="452">
                  <c:v>44127</c:v>
                </c:pt>
                <c:pt idx="453">
                  <c:v>44126</c:v>
                </c:pt>
                <c:pt idx="454">
                  <c:v>44125</c:v>
                </c:pt>
                <c:pt idx="455">
                  <c:v>44124</c:v>
                </c:pt>
                <c:pt idx="456">
                  <c:v>44123</c:v>
                </c:pt>
                <c:pt idx="457">
                  <c:v>44122</c:v>
                </c:pt>
                <c:pt idx="458">
                  <c:v>44121</c:v>
                </c:pt>
                <c:pt idx="459">
                  <c:v>44120</c:v>
                </c:pt>
                <c:pt idx="460">
                  <c:v>44119</c:v>
                </c:pt>
                <c:pt idx="461">
                  <c:v>44118</c:v>
                </c:pt>
                <c:pt idx="462">
                  <c:v>44117</c:v>
                </c:pt>
                <c:pt idx="463">
                  <c:v>44116</c:v>
                </c:pt>
                <c:pt idx="464">
                  <c:v>44115</c:v>
                </c:pt>
                <c:pt idx="465">
                  <c:v>44114</c:v>
                </c:pt>
                <c:pt idx="466">
                  <c:v>44113</c:v>
                </c:pt>
                <c:pt idx="467">
                  <c:v>44112</c:v>
                </c:pt>
                <c:pt idx="468">
                  <c:v>44111</c:v>
                </c:pt>
                <c:pt idx="469">
                  <c:v>44110</c:v>
                </c:pt>
                <c:pt idx="470">
                  <c:v>44109</c:v>
                </c:pt>
                <c:pt idx="471">
                  <c:v>44108</c:v>
                </c:pt>
                <c:pt idx="472">
                  <c:v>44107</c:v>
                </c:pt>
                <c:pt idx="473">
                  <c:v>44106</c:v>
                </c:pt>
                <c:pt idx="474">
                  <c:v>44105</c:v>
                </c:pt>
                <c:pt idx="475">
                  <c:v>44104</c:v>
                </c:pt>
                <c:pt idx="476">
                  <c:v>44103</c:v>
                </c:pt>
                <c:pt idx="477">
                  <c:v>44102</c:v>
                </c:pt>
                <c:pt idx="478">
                  <c:v>44101</c:v>
                </c:pt>
                <c:pt idx="479">
                  <c:v>44100</c:v>
                </c:pt>
                <c:pt idx="480">
                  <c:v>44099</c:v>
                </c:pt>
                <c:pt idx="481">
                  <c:v>44098</c:v>
                </c:pt>
                <c:pt idx="482">
                  <c:v>44097</c:v>
                </c:pt>
                <c:pt idx="483">
                  <c:v>44096</c:v>
                </c:pt>
                <c:pt idx="484">
                  <c:v>44095</c:v>
                </c:pt>
                <c:pt idx="485">
                  <c:v>44094</c:v>
                </c:pt>
                <c:pt idx="486">
                  <c:v>44093</c:v>
                </c:pt>
                <c:pt idx="487">
                  <c:v>44092</c:v>
                </c:pt>
                <c:pt idx="488">
                  <c:v>44091</c:v>
                </c:pt>
                <c:pt idx="489">
                  <c:v>44090</c:v>
                </c:pt>
                <c:pt idx="490">
                  <c:v>44089</c:v>
                </c:pt>
                <c:pt idx="491">
                  <c:v>44088</c:v>
                </c:pt>
                <c:pt idx="492">
                  <c:v>44087</c:v>
                </c:pt>
                <c:pt idx="493">
                  <c:v>44086</c:v>
                </c:pt>
                <c:pt idx="494">
                  <c:v>44085</c:v>
                </c:pt>
                <c:pt idx="495">
                  <c:v>44084</c:v>
                </c:pt>
                <c:pt idx="496">
                  <c:v>44083</c:v>
                </c:pt>
                <c:pt idx="497">
                  <c:v>44082</c:v>
                </c:pt>
                <c:pt idx="498">
                  <c:v>44081</c:v>
                </c:pt>
                <c:pt idx="499">
                  <c:v>44080</c:v>
                </c:pt>
                <c:pt idx="500">
                  <c:v>44079</c:v>
                </c:pt>
                <c:pt idx="501">
                  <c:v>44078</c:v>
                </c:pt>
                <c:pt idx="502">
                  <c:v>44077</c:v>
                </c:pt>
                <c:pt idx="503">
                  <c:v>44076</c:v>
                </c:pt>
                <c:pt idx="504">
                  <c:v>44075</c:v>
                </c:pt>
                <c:pt idx="505">
                  <c:v>44074</c:v>
                </c:pt>
                <c:pt idx="506">
                  <c:v>44073</c:v>
                </c:pt>
                <c:pt idx="507">
                  <c:v>44072</c:v>
                </c:pt>
                <c:pt idx="508">
                  <c:v>44071</c:v>
                </c:pt>
                <c:pt idx="509">
                  <c:v>44070</c:v>
                </c:pt>
                <c:pt idx="510">
                  <c:v>44069</c:v>
                </c:pt>
                <c:pt idx="511">
                  <c:v>44068</c:v>
                </c:pt>
                <c:pt idx="512">
                  <c:v>44067</c:v>
                </c:pt>
                <c:pt idx="513">
                  <c:v>44066</c:v>
                </c:pt>
                <c:pt idx="514">
                  <c:v>44065</c:v>
                </c:pt>
                <c:pt idx="515">
                  <c:v>44064</c:v>
                </c:pt>
                <c:pt idx="516">
                  <c:v>44063</c:v>
                </c:pt>
                <c:pt idx="517">
                  <c:v>44062</c:v>
                </c:pt>
                <c:pt idx="518">
                  <c:v>44061</c:v>
                </c:pt>
                <c:pt idx="519">
                  <c:v>44060</c:v>
                </c:pt>
                <c:pt idx="520">
                  <c:v>44059</c:v>
                </c:pt>
                <c:pt idx="521">
                  <c:v>44058</c:v>
                </c:pt>
                <c:pt idx="522">
                  <c:v>44057</c:v>
                </c:pt>
                <c:pt idx="523">
                  <c:v>44056</c:v>
                </c:pt>
                <c:pt idx="524">
                  <c:v>44055</c:v>
                </c:pt>
                <c:pt idx="525">
                  <c:v>44054</c:v>
                </c:pt>
                <c:pt idx="526">
                  <c:v>44053</c:v>
                </c:pt>
                <c:pt idx="527">
                  <c:v>44052</c:v>
                </c:pt>
                <c:pt idx="528">
                  <c:v>44051</c:v>
                </c:pt>
                <c:pt idx="529">
                  <c:v>44050</c:v>
                </c:pt>
                <c:pt idx="530">
                  <c:v>44049</c:v>
                </c:pt>
                <c:pt idx="531">
                  <c:v>44048</c:v>
                </c:pt>
                <c:pt idx="532">
                  <c:v>44047</c:v>
                </c:pt>
                <c:pt idx="533">
                  <c:v>44046</c:v>
                </c:pt>
                <c:pt idx="534">
                  <c:v>44045</c:v>
                </c:pt>
                <c:pt idx="535">
                  <c:v>44044</c:v>
                </c:pt>
                <c:pt idx="536">
                  <c:v>44043</c:v>
                </c:pt>
                <c:pt idx="537">
                  <c:v>44042</c:v>
                </c:pt>
                <c:pt idx="538">
                  <c:v>44041</c:v>
                </c:pt>
                <c:pt idx="539">
                  <c:v>44040</c:v>
                </c:pt>
                <c:pt idx="540">
                  <c:v>44039</c:v>
                </c:pt>
                <c:pt idx="541">
                  <c:v>44038</c:v>
                </c:pt>
                <c:pt idx="542">
                  <c:v>44037</c:v>
                </c:pt>
                <c:pt idx="543">
                  <c:v>44036</c:v>
                </c:pt>
                <c:pt idx="544">
                  <c:v>44035</c:v>
                </c:pt>
                <c:pt idx="545">
                  <c:v>44034</c:v>
                </c:pt>
                <c:pt idx="546">
                  <c:v>44033</c:v>
                </c:pt>
                <c:pt idx="547">
                  <c:v>44032</c:v>
                </c:pt>
                <c:pt idx="548">
                  <c:v>44031</c:v>
                </c:pt>
                <c:pt idx="549">
                  <c:v>44030</c:v>
                </c:pt>
                <c:pt idx="550">
                  <c:v>44029</c:v>
                </c:pt>
                <c:pt idx="551">
                  <c:v>44028</c:v>
                </c:pt>
                <c:pt idx="552">
                  <c:v>44027</c:v>
                </c:pt>
                <c:pt idx="553">
                  <c:v>44026</c:v>
                </c:pt>
                <c:pt idx="554">
                  <c:v>44025</c:v>
                </c:pt>
                <c:pt idx="555">
                  <c:v>44024</c:v>
                </c:pt>
                <c:pt idx="556">
                  <c:v>44023</c:v>
                </c:pt>
                <c:pt idx="557">
                  <c:v>44022</c:v>
                </c:pt>
                <c:pt idx="558">
                  <c:v>44021</c:v>
                </c:pt>
                <c:pt idx="559">
                  <c:v>44020</c:v>
                </c:pt>
                <c:pt idx="560">
                  <c:v>44019</c:v>
                </c:pt>
                <c:pt idx="561">
                  <c:v>44018</c:v>
                </c:pt>
                <c:pt idx="562">
                  <c:v>44017</c:v>
                </c:pt>
                <c:pt idx="563">
                  <c:v>44016</c:v>
                </c:pt>
                <c:pt idx="564">
                  <c:v>44015</c:v>
                </c:pt>
                <c:pt idx="565">
                  <c:v>44014</c:v>
                </c:pt>
                <c:pt idx="566">
                  <c:v>44013</c:v>
                </c:pt>
                <c:pt idx="567">
                  <c:v>44012</c:v>
                </c:pt>
                <c:pt idx="568">
                  <c:v>44011</c:v>
                </c:pt>
                <c:pt idx="569">
                  <c:v>44010</c:v>
                </c:pt>
                <c:pt idx="570">
                  <c:v>44009</c:v>
                </c:pt>
                <c:pt idx="571">
                  <c:v>44008</c:v>
                </c:pt>
                <c:pt idx="572">
                  <c:v>44007</c:v>
                </c:pt>
                <c:pt idx="573">
                  <c:v>44006</c:v>
                </c:pt>
                <c:pt idx="574">
                  <c:v>44005</c:v>
                </c:pt>
                <c:pt idx="575">
                  <c:v>44004</c:v>
                </c:pt>
                <c:pt idx="576">
                  <c:v>44003</c:v>
                </c:pt>
                <c:pt idx="577">
                  <c:v>44002</c:v>
                </c:pt>
                <c:pt idx="578">
                  <c:v>44001</c:v>
                </c:pt>
                <c:pt idx="579">
                  <c:v>44000</c:v>
                </c:pt>
                <c:pt idx="580">
                  <c:v>43999</c:v>
                </c:pt>
                <c:pt idx="581">
                  <c:v>43998</c:v>
                </c:pt>
                <c:pt idx="582">
                  <c:v>43997</c:v>
                </c:pt>
                <c:pt idx="583">
                  <c:v>43996</c:v>
                </c:pt>
                <c:pt idx="584">
                  <c:v>43995</c:v>
                </c:pt>
                <c:pt idx="585">
                  <c:v>43994</c:v>
                </c:pt>
                <c:pt idx="586">
                  <c:v>43993</c:v>
                </c:pt>
                <c:pt idx="587">
                  <c:v>43992</c:v>
                </c:pt>
                <c:pt idx="588">
                  <c:v>43991</c:v>
                </c:pt>
                <c:pt idx="589">
                  <c:v>43990</c:v>
                </c:pt>
                <c:pt idx="590">
                  <c:v>43989</c:v>
                </c:pt>
                <c:pt idx="591">
                  <c:v>43988</c:v>
                </c:pt>
                <c:pt idx="592">
                  <c:v>43987</c:v>
                </c:pt>
                <c:pt idx="593">
                  <c:v>43986</c:v>
                </c:pt>
                <c:pt idx="594">
                  <c:v>43985</c:v>
                </c:pt>
                <c:pt idx="595">
                  <c:v>43984</c:v>
                </c:pt>
                <c:pt idx="596">
                  <c:v>43983</c:v>
                </c:pt>
                <c:pt idx="597">
                  <c:v>43982</c:v>
                </c:pt>
                <c:pt idx="598">
                  <c:v>43981</c:v>
                </c:pt>
                <c:pt idx="599">
                  <c:v>43980</c:v>
                </c:pt>
                <c:pt idx="600">
                  <c:v>43979</c:v>
                </c:pt>
                <c:pt idx="601">
                  <c:v>43978</c:v>
                </c:pt>
                <c:pt idx="602">
                  <c:v>43977</c:v>
                </c:pt>
                <c:pt idx="603">
                  <c:v>43976</c:v>
                </c:pt>
                <c:pt idx="604">
                  <c:v>43975</c:v>
                </c:pt>
                <c:pt idx="605">
                  <c:v>43974</c:v>
                </c:pt>
                <c:pt idx="606">
                  <c:v>43973</c:v>
                </c:pt>
                <c:pt idx="607">
                  <c:v>43972</c:v>
                </c:pt>
                <c:pt idx="608">
                  <c:v>43971</c:v>
                </c:pt>
                <c:pt idx="609">
                  <c:v>43970</c:v>
                </c:pt>
                <c:pt idx="610">
                  <c:v>43969</c:v>
                </c:pt>
                <c:pt idx="611">
                  <c:v>43968</c:v>
                </c:pt>
                <c:pt idx="612">
                  <c:v>43967</c:v>
                </c:pt>
                <c:pt idx="613">
                  <c:v>43966</c:v>
                </c:pt>
                <c:pt idx="614">
                  <c:v>43965</c:v>
                </c:pt>
                <c:pt idx="615">
                  <c:v>43964</c:v>
                </c:pt>
                <c:pt idx="616">
                  <c:v>43963</c:v>
                </c:pt>
                <c:pt idx="617">
                  <c:v>43962</c:v>
                </c:pt>
                <c:pt idx="618">
                  <c:v>43961</c:v>
                </c:pt>
                <c:pt idx="619">
                  <c:v>43960</c:v>
                </c:pt>
                <c:pt idx="620">
                  <c:v>43959</c:v>
                </c:pt>
                <c:pt idx="621">
                  <c:v>43958</c:v>
                </c:pt>
                <c:pt idx="622">
                  <c:v>43957</c:v>
                </c:pt>
                <c:pt idx="623">
                  <c:v>43956</c:v>
                </c:pt>
                <c:pt idx="624">
                  <c:v>43955</c:v>
                </c:pt>
                <c:pt idx="625">
                  <c:v>43954</c:v>
                </c:pt>
                <c:pt idx="626">
                  <c:v>43953</c:v>
                </c:pt>
                <c:pt idx="627">
                  <c:v>43952</c:v>
                </c:pt>
                <c:pt idx="628">
                  <c:v>43951</c:v>
                </c:pt>
                <c:pt idx="629">
                  <c:v>43950</c:v>
                </c:pt>
                <c:pt idx="630">
                  <c:v>43949</c:v>
                </c:pt>
                <c:pt idx="631">
                  <c:v>43948</c:v>
                </c:pt>
                <c:pt idx="632">
                  <c:v>43947</c:v>
                </c:pt>
                <c:pt idx="633">
                  <c:v>43946</c:v>
                </c:pt>
                <c:pt idx="634">
                  <c:v>43945</c:v>
                </c:pt>
                <c:pt idx="635">
                  <c:v>43944</c:v>
                </c:pt>
                <c:pt idx="636">
                  <c:v>43943</c:v>
                </c:pt>
                <c:pt idx="637">
                  <c:v>43942</c:v>
                </c:pt>
                <c:pt idx="638">
                  <c:v>43941</c:v>
                </c:pt>
                <c:pt idx="639">
                  <c:v>43940</c:v>
                </c:pt>
                <c:pt idx="640">
                  <c:v>43939</c:v>
                </c:pt>
                <c:pt idx="641">
                  <c:v>43938</c:v>
                </c:pt>
                <c:pt idx="642">
                  <c:v>43937</c:v>
                </c:pt>
                <c:pt idx="643">
                  <c:v>43936</c:v>
                </c:pt>
                <c:pt idx="644">
                  <c:v>43935</c:v>
                </c:pt>
                <c:pt idx="645">
                  <c:v>43934</c:v>
                </c:pt>
                <c:pt idx="646">
                  <c:v>43933</c:v>
                </c:pt>
                <c:pt idx="647">
                  <c:v>43932</c:v>
                </c:pt>
                <c:pt idx="648">
                  <c:v>43931</c:v>
                </c:pt>
                <c:pt idx="649">
                  <c:v>43930</c:v>
                </c:pt>
                <c:pt idx="650">
                  <c:v>43929</c:v>
                </c:pt>
                <c:pt idx="651">
                  <c:v>43928</c:v>
                </c:pt>
                <c:pt idx="652">
                  <c:v>43927</c:v>
                </c:pt>
                <c:pt idx="653">
                  <c:v>43926</c:v>
                </c:pt>
                <c:pt idx="654">
                  <c:v>43925</c:v>
                </c:pt>
                <c:pt idx="655">
                  <c:v>43924</c:v>
                </c:pt>
                <c:pt idx="656">
                  <c:v>43923</c:v>
                </c:pt>
                <c:pt idx="657">
                  <c:v>43922</c:v>
                </c:pt>
                <c:pt idx="658">
                  <c:v>43921</c:v>
                </c:pt>
                <c:pt idx="659">
                  <c:v>43920</c:v>
                </c:pt>
                <c:pt idx="660">
                  <c:v>43919</c:v>
                </c:pt>
                <c:pt idx="661">
                  <c:v>43918</c:v>
                </c:pt>
                <c:pt idx="662">
                  <c:v>43917</c:v>
                </c:pt>
                <c:pt idx="663">
                  <c:v>43916</c:v>
                </c:pt>
                <c:pt idx="664">
                  <c:v>43915</c:v>
                </c:pt>
                <c:pt idx="665">
                  <c:v>43914</c:v>
                </c:pt>
                <c:pt idx="666">
                  <c:v>43913</c:v>
                </c:pt>
                <c:pt idx="667">
                  <c:v>43912</c:v>
                </c:pt>
                <c:pt idx="668">
                  <c:v>43911</c:v>
                </c:pt>
                <c:pt idx="669">
                  <c:v>43910</c:v>
                </c:pt>
                <c:pt idx="670">
                  <c:v>43909</c:v>
                </c:pt>
                <c:pt idx="671">
                  <c:v>43908</c:v>
                </c:pt>
                <c:pt idx="672">
                  <c:v>43907</c:v>
                </c:pt>
                <c:pt idx="673">
                  <c:v>43906</c:v>
                </c:pt>
                <c:pt idx="674">
                  <c:v>43905</c:v>
                </c:pt>
                <c:pt idx="675">
                  <c:v>43904</c:v>
                </c:pt>
                <c:pt idx="676">
                  <c:v>43903</c:v>
                </c:pt>
                <c:pt idx="677">
                  <c:v>43902</c:v>
                </c:pt>
                <c:pt idx="678">
                  <c:v>43901</c:v>
                </c:pt>
                <c:pt idx="679">
                  <c:v>43900</c:v>
                </c:pt>
                <c:pt idx="680">
                  <c:v>43899</c:v>
                </c:pt>
                <c:pt idx="681">
                  <c:v>43898</c:v>
                </c:pt>
                <c:pt idx="682">
                  <c:v>43897</c:v>
                </c:pt>
                <c:pt idx="683">
                  <c:v>43896</c:v>
                </c:pt>
                <c:pt idx="684">
                  <c:v>43895</c:v>
                </c:pt>
                <c:pt idx="685">
                  <c:v>43894</c:v>
                </c:pt>
                <c:pt idx="686">
                  <c:v>43893</c:v>
                </c:pt>
                <c:pt idx="687">
                  <c:v>43892</c:v>
                </c:pt>
                <c:pt idx="688">
                  <c:v>43891</c:v>
                </c:pt>
                <c:pt idx="689">
                  <c:v>43890</c:v>
                </c:pt>
                <c:pt idx="690">
                  <c:v>43889</c:v>
                </c:pt>
                <c:pt idx="691">
                  <c:v>43888</c:v>
                </c:pt>
                <c:pt idx="692">
                  <c:v>43887</c:v>
                </c:pt>
                <c:pt idx="693">
                  <c:v>43886</c:v>
                </c:pt>
                <c:pt idx="694">
                  <c:v>43885</c:v>
                </c:pt>
                <c:pt idx="695">
                  <c:v>43884</c:v>
                </c:pt>
                <c:pt idx="696">
                  <c:v>43883</c:v>
                </c:pt>
                <c:pt idx="697">
                  <c:v>43882</c:v>
                </c:pt>
                <c:pt idx="698">
                  <c:v>43881</c:v>
                </c:pt>
                <c:pt idx="699">
                  <c:v>43880</c:v>
                </c:pt>
                <c:pt idx="700">
                  <c:v>43879</c:v>
                </c:pt>
                <c:pt idx="701">
                  <c:v>43878</c:v>
                </c:pt>
                <c:pt idx="702">
                  <c:v>43877</c:v>
                </c:pt>
                <c:pt idx="703">
                  <c:v>43876</c:v>
                </c:pt>
                <c:pt idx="704">
                  <c:v>43875</c:v>
                </c:pt>
                <c:pt idx="705">
                  <c:v>43874</c:v>
                </c:pt>
                <c:pt idx="706">
                  <c:v>43873</c:v>
                </c:pt>
                <c:pt idx="707">
                  <c:v>43872</c:v>
                </c:pt>
                <c:pt idx="708">
                  <c:v>43871</c:v>
                </c:pt>
                <c:pt idx="709">
                  <c:v>43870</c:v>
                </c:pt>
                <c:pt idx="710">
                  <c:v>43869</c:v>
                </c:pt>
                <c:pt idx="711">
                  <c:v>43868</c:v>
                </c:pt>
                <c:pt idx="712">
                  <c:v>43867</c:v>
                </c:pt>
                <c:pt idx="713">
                  <c:v>43866</c:v>
                </c:pt>
                <c:pt idx="714">
                  <c:v>43865</c:v>
                </c:pt>
                <c:pt idx="715">
                  <c:v>43864</c:v>
                </c:pt>
                <c:pt idx="716">
                  <c:v>43863</c:v>
                </c:pt>
                <c:pt idx="717">
                  <c:v>43862</c:v>
                </c:pt>
                <c:pt idx="718">
                  <c:v>43861</c:v>
                </c:pt>
                <c:pt idx="719">
                  <c:v>43860</c:v>
                </c:pt>
                <c:pt idx="720">
                  <c:v>43859</c:v>
                </c:pt>
                <c:pt idx="721">
                  <c:v>43858</c:v>
                </c:pt>
                <c:pt idx="722">
                  <c:v>43857</c:v>
                </c:pt>
                <c:pt idx="723">
                  <c:v>43856</c:v>
                </c:pt>
                <c:pt idx="724">
                  <c:v>43855</c:v>
                </c:pt>
                <c:pt idx="725">
                  <c:v>43854</c:v>
                </c:pt>
                <c:pt idx="726">
                  <c:v>43853</c:v>
                </c:pt>
                <c:pt idx="727">
                  <c:v>43852</c:v>
                </c:pt>
                <c:pt idx="728">
                  <c:v>43851</c:v>
                </c:pt>
                <c:pt idx="729">
                  <c:v>43850</c:v>
                </c:pt>
                <c:pt idx="730">
                  <c:v>43849</c:v>
                </c:pt>
                <c:pt idx="731">
                  <c:v>43848</c:v>
                </c:pt>
                <c:pt idx="732">
                  <c:v>43847</c:v>
                </c:pt>
                <c:pt idx="733">
                  <c:v>43846</c:v>
                </c:pt>
                <c:pt idx="734">
                  <c:v>43845</c:v>
                </c:pt>
                <c:pt idx="735">
                  <c:v>43844</c:v>
                </c:pt>
                <c:pt idx="736">
                  <c:v>43843</c:v>
                </c:pt>
                <c:pt idx="737">
                  <c:v>43842</c:v>
                </c:pt>
                <c:pt idx="738">
                  <c:v>43841</c:v>
                </c:pt>
                <c:pt idx="739">
                  <c:v>43840</c:v>
                </c:pt>
                <c:pt idx="740">
                  <c:v>43839</c:v>
                </c:pt>
                <c:pt idx="741">
                  <c:v>43838</c:v>
                </c:pt>
                <c:pt idx="742">
                  <c:v>43837</c:v>
                </c:pt>
                <c:pt idx="743">
                  <c:v>43836</c:v>
                </c:pt>
                <c:pt idx="744">
                  <c:v>43835</c:v>
                </c:pt>
                <c:pt idx="745">
                  <c:v>43834</c:v>
                </c:pt>
                <c:pt idx="746">
                  <c:v>43833</c:v>
                </c:pt>
                <c:pt idx="747">
                  <c:v>43832</c:v>
                </c:pt>
                <c:pt idx="748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2.777E-3</c:v>
                </c:pt>
                <c:pt idx="1">
                  <c:v>2.777E-3</c:v>
                </c:pt>
                <c:pt idx="2">
                  <c:v>2.6770000000000001E-3</c:v>
                </c:pt>
                <c:pt idx="3">
                  <c:v>2.529E-3</c:v>
                </c:pt>
                <c:pt idx="4">
                  <c:v>2.5200000000000001E-3</c:v>
                </c:pt>
                <c:pt idx="5">
                  <c:v>2.4910000000000002E-3</c:v>
                </c:pt>
                <c:pt idx="6">
                  <c:v>2.5990000000000002E-3</c:v>
                </c:pt>
                <c:pt idx="7">
                  <c:v>2.5040000000000001E-3</c:v>
                </c:pt>
                <c:pt idx="8">
                  <c:v>2.4350000000000001E-3</c:v>
                </c:pt>
                <c:pt idx="9">
                  <c:v>2.4689999999999998E-3</c:v>
                </c:pt>
                <c:pt idx="10">
                  <c:v>2.4229999999999998E-3</c:v>
                </c:pt>
                <c:pt idx="11">
                  <c:v>2.5790000000000001E-3</c:v>
                </c:pt>
                <c:pt idx="12">
                  <c:v>2.7799999999999999E-3</c:v>
                </c:pt>
                <c:pt idx="13">
                  <c:v>2.7650000000000001E-3</c:v>
                </c:pt>
                <c:pt idx="14">
                  <c:v>2.8999999999999998E-3</c:v>
                </c:pt>
                <c:pt idx="15">
                  <c:v>2.7560000000000002E-3</c:v>
                </c:pt>
                <c:pt idx="16">
                  <c:v>2.8159999999999999E-3</c:v>
                </c:pt>
                <c:pt idx="17">
                  <c:v>2.7569999999999999E-3</c:v>
                </c:pt>
                <c:pt idx="18">
                  <c:v>2.722E-3</c:v>
                </c:pt>
                <c:pt idx="19">
                  <c:v>2.7920000000000002E-3</c:v>
                </c:pt>
                <c:pt idx="20">
                  <c:v>2.7000000000000001E-3</c:v>
                </c:pt>
                <c:pt idx="21">
                  <c:v>2.6340000000000001E-3</c:v>
                </c:pt>
                <c:pt idx="22">
                  <c:v>2.813E-3</c:v>
                </c:pt>
                <c:pt idx="23">
                  <c:v>2.8219999999999999E-3</c:v>
                </c:pt>
                <c:pt idx="24">
                  <c:v>2.823E-3</c:v>
                </c:pt>
                <c:pt idx="25">
                  <c:v>2.7950000000000002E-3</c:v>
                </c:pt>
                <c:pt idx="26">
                  <c:v>2.8679999999999999E-3</c:v>
                </c:pt>
                <c:pt idx="27">
                  <c:v>2.7070000000000002E-3</c:v>
                </c:pt>
                <c:pt idx="28">
                  <c:v>2.6979999999999999E-3</c:v>
                </c:pt>
                <c:pt idx="29">
                  <c:v>2.6319999999999998E-3</c:v>
                </c:pt>
                <c:pt idx="30">
                  <c:v>2.6519999999999998E-3</c:v>
                </c:pt>
                <c:pt idx="31">
                  <c:v>2.6830000000000001E-3</c:v>
                </c:pt>
                <c:pt idx="32">
                  <c:v>2.6359999999999999E-3</c:v>
                </c:pt>
                <c:pt idx="33">
                  <c:v>2.7409999999999999E-3</c:v>
                </c:pt>
                <c:pt idx="34">
                  <c:v>2.8479999999999998E-3</c:v>
                </c:pt>
                <c:pt idx="35">
                  <c:v>2.8319999999999999E-3</c:v>
                </c:pt>
                <c:pt idx="36">
                  <c:v>2.8379999999999998E-3</c:v>
                </c:pt>
                <c:pt idx="37">
                  <c:v>3.2820000000000002E-3</c:v>
                </c:pt>
                <c:pt idx="38">
                  <c:v>3.0969999999999999E-3</c:v>
                </c:pt>
                <c:pt idx="39">
                  <c:v>3.0890000000000002E-3</c:v>
                </c:pt>
                <c:pt idx="40">
                  <c:v>3.238E-3</c:v>
                </c:pt>
                <c:pt idx="41">
                  <c:v>3.7460000000000002E-3</c:v>
                </c:pt>
                <c:pt idx="42">
                  <c:v>3.689E-3</c:v>
                </c:pt>
                <c:pt idx="43">
                  <c:v>3.3430000000000001E-3</c:v>
                </c:pt>
                <c:pt idx="44">
                  <c:v>2.4650000000000002E-3</c:v>
                </c:pt>
                <c:pt idx="45">
                  <c:v>2.5969999999999999E-3</c:v>
                </c:pt>
                <c:pt idx="46">
                  <c:v>2.9640000000000001E-3</c:v>
                </c:pt>
                <c:pt idx="47">
                  <c:v>3.1389999999999999E-3</c:v>
                </c:pt>
                <c:pt idx="48">
                  <c:v>3.1410000000000001E-3</c:v>
                </c:pt>
                <c:pt idx="49">
                  <c:v>3.16E-3</c:v>
                </c:pt>
                <c:pt idx="50">
                  <c:v>3.209E-3</c:v>
                </c:pt>
                <c:pt idx="51">
                  <c:v>3.166E-3</c:v>
                </c:pt>
                <c:pt idx="52">
                  <c:v>3.137E-3</c:v>
                </c:pt>
                <c:pt idx="53">
                  <c:v>3.1059999999999998E-3</c:v>
                </c:pt>
                <c:pt idx="54">
                  <c:v>3.2850000000000002E-3</c:v>
                </c:pt>
                <c:pt idx="55">
                  <c:v>3.2169999999999998E-3</c:v>
                </c:pt>
                <c:pt idx="56">
                  <c:v>3.2850000000000002E-3</c:v>
                </c:pt>
                <c:pt idx="57">
                  <c:v>3.2780000000000001E-3</c:v>
                </c:pt>
                <c:pt idx="58">
                  <c:v>3.3999999999999998E-3</c:v>
                </c:pt>
                <c:pt idx="59">
                  <c:v>3.4290000000000002E-3</c:v>
                </c:pt>
                <c:pt idx="60">
                  <c:v>3.3939999999999999E-3</c:v>
                </c:pt>
                <c:pt idx="61">
                  <c:v>3.277E-3</c:v>
                </c:pt>
                <c:pt idx="62">
                  <c:v>3.6029999999999999E-3</c:v>
                </c:pt>
                <c:pt idx="63">
                  <c:v>3.5149999999999999E-3</c:v>
                </c:pt>
                <c:pt idx="64">
                  <c:v>3.8080000000000002E-3</c:v>
                </c:pt>
                <c:pt idx="65">
                  <c:v>3.7910000000000001E-3</c:v>
                </c:pt>
                <c:pt idx="66">
                  <c:v>3.7750000000000001E-3</c:v>
                </c:pt>
                <c:pt idx="67">
                  <c:v>3.728E-3</c:v>
                </c:pt>
                <c:pt idx="68">
                  <c:v>3.8189999999999999E-3</c:v>
                </c:pt>
                <c:pt idx="69">
                  <c:v>3.7989999999999999E-3</c:v>
                </c:pt>
                <c:pt idx="70">
                  <c:v>4.117E-3</c:v>
                </c:pt>
                <c:pt idx="71">
                  <c:v>4.065E-3</c:v>
                </c:pt>
                <c:pt idx="72">
                  <c:v>3.9569999999999996E-3</c:v>
                </c:pt>
                <c:pt idx="73">
                  <c:v>3.862E-3</c:v>
                </c:pt>
                <c:pt idx="74">
                  <c:v>3.849E-3</c:v>
                </c:pt>
                <c:pt idx="75">
                  <c:v>3.9290000000000002E-3</c:v>
                </c:pt>
                <c:pt idx="76">
                  <c:v>4.0480000000000004E-3</c:v>
                </c:pt>
                <c:pt idx="77">
                  <c:v>4.0810000000000004E-3</c:v>
                </c:pt>
                <c:pt idx="78">
                  <c:v>3.986E-3</c:v>
                </c:pt>
                <c:pt idx="79">
                  <c:v>4.1339999999999997E-3</c:v>
                </c:pt>
                <c:pt idx="80">
                  <c:v>3.8679999999999999E-3</c:v>
                </c:pt>
                <c:pt idx="81">
                  <c:v>3.8189999999999999E-3</c:v>
                </c:pt>
                <c:pt idx="82">
                  <c:v>3.5209999999999998E-3</c:v>
                </c:pt>
                <c:pt idx="83">
                  <c:v>3.3340000000000002E-3</c:v>
                </c:pt>
                <c:pt idx="84">
                  <c:v>3.751E-3</c:v>
                </c:pt>
                <c:pt idx="85">
                  <c:v>3.6960000000000001E-3</c:v>
                </c:pt>
                <c:pt idx="86">
                  <c:v>3.5990000000000002E-3</c:v>
                </c:pt>
                <c:pt idx="87">
                  <c:v>3.676E-3</c:v>
                </c:pt>
                <c:pt idx="88">
                  <c:v>3.653E-3</c:v>
                </c:pt>
                <c:pt idx="89">
                  <c:v>3.6350000000000002E-3</c:v>
                </c:pt>
                <c:pt idx="90">
                  <c:v>3.7829999999999999E-3</c:v>
                </c:pt>
                <c:pt idx="91">
                  <c:v>3.5950000000000001E-3</c:v>
                </c:pt>
                <c:pt idx="92">
                  <c:v>3.5720000000000001E-3</c:v>
                </c:pt>
                <c:pt idx="93">
                  <c:v>3.604E-3</c:v>
                </c:pt>
                <c:pt idx="94">
                  <c:v>3.6259999999999999E-3</c:v>
                </c:pt>
                <c:pt idx="95">
                  <c:v>3.6329999999999999E-3</c:v>
                </c:pt>
                <c:pt idx="96">
                  <c:v>3.754E-3</c:v>
                </c:pt>
                <c:pt idx="97">
                  <c:v>3.761E-3</c:v>
                </c:pt>
                <c:pt idx="98">
                  <c:v>3.6819999999999999E-3</c:v>
                </c:pt>
                <c:pt idx="99">
                  <c:v>3.8189999999999999E-3</c:v>
                </c:pt>
                <c:pt idx="100">
                  <c:v>3.813E-3</c:v>
                </c:pt>
                <c:pt idx="101">
                  <c:v>4.1580000000000002E-3</c:v>
                </c:pt>
                <c:pt idx="102">
                  <c:v>3.7469999999999999E-3</c:v>
                </c:pt>
                <c:pt idx="103">
                  <c:v>3.6350000000000002E-3</c:v>
                </c:pt>
                <c:pt idx="104">
                  <c:v>3.7009999999999999E-3</c:v>
                </c:pt>
                <c:pt idx="105">
                  <c:v>3.7290000000000001E-3</c:v>
                </c:pt>
                <c:pt idx="106">
                  <c:v>3.4619999999999998E-3</c:v>
                </c:pt>
                <c:pt idx="107">
                  <c:v>3.552E-3</c:v>
                </c:pt>
                <c:pt idx="108">
                  <c:v>3.4250000000000001E-3</c:v>
                </c:pt>
                <c:pt idx="109">
                  <c:v>3.4229999999999998E-3</c:v>
                </c:pt>
                <c:pt idx="110">
                  <c:v>3.1800000000000001E-3</c:v>
                </c:pt>
                <c:pt idx="111">
                  <c:v>3.0219999999999999E-3</c:v>
                </c:pt>
                <c:pt idx="112">
                  <c:v>2.967E-3</c:v>
                </c:pt>
                <c:pt idx="113">
                  <c:v>3.0969999999999999E-3</c:v>
                </c:pt>
                <c:pt idx="114">
                  <c:v>3.1849999999999999E-3</c:v>
                </c:pt>
                <c:pt idx="115">
                  <c:v>3.248E-3</c:v>
                </c:pt>
                <c:pt idx="116">
                  <c:v>3.2889999999999998E-3</c:v>
                </c:pt>
                <c:pt idx="117">
                  <c:v>3.5309999999999999E-3</c:v>
                </c:pt>
                <c:pt idx="118">
                  <c:v>3.5109999999999998E-3</c:v>
                </c:pt>
                <c:pt idx="119">
                  <c:v>3.14E-3</c:v>
                </c:pt>
                <c:pt idx="120">
                  <c:v>3.5279999999999999E-3</c:v>
                </c:pt>
                <c:pt idx="121">
                  <c:v>3.8310000000000002E-3</c:v>
                </c:pt>
                <c:pt idx="122">
                  <c:v>3.9459999999999999E-3</c:v>
                </c:pt>
                <c:pt idx="123">
                  <c:v>3.9189999999999997E-3</c:v>
                </c:pt>
                <c:pt idx="124">
                  <c:v>4.0400000000000002E-3</c:v>
                </c:pt>
                <c:pt idx="125">
                  <c:v>4.1320000000000003E-3</c:v>
                </c:pt>
                <c:pt idx="126">
                  <c:v>4.0819999999999997E-3</c:v>
                </c:pt>
                <c:pt idx="127">
                  <c:v>3.9179999999999996E-3</c:v>
                </c:pt>
                <c:pt idx="128">
                  <c:v>4.1549999999999998E-3</c:v>
                </c:pt>
                <c:pt idx="129">
                  <c:v>3.9129999999999998E-3</c:v>
                </c:pt>
                <c:pt idx="130">
                  <c:v>3.859E-3</c:v>
                </c:pt>
                <c:pt idx="131">
                  <c:v>4.0969999999999999E-3</c:v>
                </c:pt>
                <c:pt idx="132">
                  <c:v>4.1009999999999996E-3</c:v>
                </c:pt>
                <c:pt idx="133">
                  <c:v>3.9940000000000002E-3</c:v>
                </c:pt>
                <c:pt idx="134">
                  <c:v>4.8589999999999996E-3</c:v>
                </c:pt>
                <c:pt idx="135">
                  <c:v>4.9309999999999996E-3</c:v>
                </c:pt>
                <c:pt idx="136">
                  <c:v>4.7829999999999999E-3</c:v>
                </c:pt>
                <c:pt idx="137">
                  <c:v>4.8739999999999999E-3</c:v>
                </c:pt>
                <c:pt idx="138">
                  <c:v>4.7060000000000001E-3</c:v>
                </c:pt>
                <c:pt idx="139">
                  <c:v>4.4260000000000002E-3</c:v>
                </c:pt>
                <c:pt idx="140">
                  <c:v>4.215E-3</c:v>
                </c:pt>
                <c:pt idx="141">
                  <c:v>4.0150000000000003E-3</c:v>
                </c:pt>
                <c:pt idx="142">
                  <c:v>4.2059999999999997E-3</c:v>
                </c:pt>
                <c:pt idx="143">
                  <c:v>4.1989999999999996E-3</c:v>
                </c:pt>
                <c:pt idx="144">
                  <c:v>4.287E-3</c:v>
                </c:pt>
                <c:pt idx="145">
                  <c:v>3.9550000000000002E-3</c:v>
                </c:pt>
                <c:pt idx="146">
                  <c:v>4.267E-3</c:v>
                </c:pt>
                <c:pt idx="147">
                  <c:v>4.1764999999999997E-3</c:v>
                </c:pt>
                <c:pt idx="148">
                  <c:v>4.4856999999999996E-3</c:v>
                </c:pt>
                <c:pt idx="149">
                  <c:v>4.4010000000000004E-3</c:v>
                </c:pt>
                <c:pt idx="150">
                  <c:v>4.3768000000000001E-3</c:v>
                </c:pt>
                <c:pt idx="151">
                  <c:v>4.5221000000000003E-3</c:v>
                </c:pt>
                <c:pt idx="152">
                  <c:v>4.4136000000000002E-3</c:v>
                </c:pt>
                <c:pt idx="153">
                  <c:v>4.2163000000000001E-3</c:v>
                </c:pt>
                <c:pt idx="154">
                  <c:v>4.1993999999999998E-3</c:v>
                </c:pt>
                <c:pt idx="155">
                  <c:v>4.5905E-3</c:v>
                </c:pt>
                <c:pt idx="156">
                  <c:v>4.7987000000000004E-3</c:v>
                </c:pt>
                <c:pt idx="157">
                  <c:v>4.8250000000000003E-3</c:v>
                </c:pt>
                <c:pt idx="158">
                  <c:v>4.8621999999999997E-3</c:v>
                </c:pt>
                <c:pt idx="159">
                  <c:v>4.6246000000000004E-3</c:v>
                </c:pt>
                <c:pt idx="160">
                  <c:v>4.4349999999999997E-3</c:v>
                </c:pt>
                <c:pt idx="161">
                  <c:v>3.8926999999999998E-3</c:v>
                </c:pt>
                <c:pt idx="162">
                  <c:v>3.8614999999999999E-3</c:v>
                </c:pt>
                <c:pt idx="163">
                  <c:v>3.7228999999999999E-3</c:v>
                </c:pt>
                <c:pt idx="164">
                  <c:v>3.9031999999999999E-3</c:v>
                </c:pt>
                <c:pt idx="165">
                  <c:v>3.8281000000000001E-3</c:v>
                </c:pt>
                <c:pt idx="166">
                  <c:v>3.4348999999999998E-3</c:v>
                </c:pt>
                <c:pt idx="167">
                  <c:v>3.1765000000000001E-3</c:v>
                </c:pt>
                <c:pt idx="168">
                  <c:v>2.9229E-3</c:v>
                </c:pt>
                <c:pt idx="169">
                  <c:v>2.8860000000000001E-3</c:v>
                </c:pt>
                <c:pt idx="170">
                  <c:v>2.8490999999999998E-3</c:v>
                </c:pt>
                <c:pt idx="171">
                  <c:v>2.8456000000000002E-3</c:v>
                </c:pt>
                <c:pt idx="172">
                  <c:v>2.8704999999999998E-3</c:v>
                </c:pt>
                <c:pt idx="173">
                  <c:v>2.8164000000000002E-3</c:v>
                </c:pt>
                <c:pt idx="174">
                  <c:v>2.7973999999999998E-3</c:v>
                </c:pt>
                <c:pt idx="175">
                  <c:v>2.7940999999999999E-3</c:v>
                </c:pt>
                <c:pt idx="176">
                  <c:v>2.5817000000000001E-3</c:v>
                </c:pt>
                <c:pt idx="177">
                  <c:v>2.2921E-3</c:v>
                </c:pt>
                <c:pt idx="178">
                  <c:v>2.2471000000000001E-3</c:v>
                </c:pt>
                <c:pt idx="179">
                  <c:v>2.2066999999999998E-3</c:v>
                </c:pt>
                <c:pt idx="180">
                  <c:v>2.1627999999999999E-3</c:v>
                </c:pt>
                <c:pt idx="181">
                  <c:v>2.1221999999999999E-3</c:v>
                </c:pt>
                <c:pt idx="182">
                  <c:v>1.9499999999999999E-3</c:v>
                </c:pt>
                <c:pt idx="183">
                  <c:v>2.0839999999999999E-3</c:v>
                </c:pt>
                <c:pt idx="184">
                  <c:v>2.2089000000000002E-3</c:v>
                </c:pt>
                <c:pt idx="185">
                  <c:v>2.2377E-3</c:v>
                </c:pt>
                <c:pt idx="186">
                  <c:v>2.1594000000000001E-3</c:v>
                </c:pt>
                <c:pt idx="187">
                  <c:v>2.2853000000000001E-3</c:v>
                </c:pt>
                <c:pt idx="188">
                  <c:v>2.3709999999999998E-3</c:v>
                </c:pt>
                <c:pt idx="189">
                  <c:v>2.3890999999999999E-3</c:v>
                </c:pt>
                <c:pt idx="190">
                  <c:v>2.4624E-3</c:v>
                </c:pt>
                <c:pt idx="191">
                  <c:v>2.5236999999999998E-3</c:v>
                </c:pt>
                <c:pt idx="192">
                  <c:v>2.5024000000000001E-3</c:v>
                </c:pt>
                <c:pt idx="193">
                  <c:v>2.5447E-3</c:v>
                </c:pt>
                <c:pt idx="194">
                  <c:v>2.4853000000000002E-3</c:v>
                </c:pt>
                <c:pt idx="195">
                  <c:v>2.6497000000000001E-3</c:v>
                </c:pt>
                <c:pt idx="196">
                  <c:v>2.6754000000000001E-3</c:v>
                </c:pt>
                <c:pt idx="197">
                  <c:v>2.6391000000000001E-3</c:v>
                </c:pt>
                <c:pt idx="198">
                  <c:v>2.7345999999999998E-3</c:v>
                </c:pt>
                <c:pt idx="199">
                  <c:v>2.6925999999999999E-3</c:v>
                </c:pt>
                <c:pt idx="200">
                  <c:v>2.6626000000000002E-3</c:v>
                </c:pt>
                <c:pt idx="201">
                  <c:v>2.6335999999999998E-3</c:v>
                </c:pt>
                <c:pt idx="202">
                  <c:v>2.7848999999999999E-3</c:v>
                </c:pt>
                <c:pt idx="203">
                  <c:v>2.7848999999999999E-3</c:v>
                </c:pt>
                <c:pt idx="204">
                  <c:v>2.5820000000000001E-3</c:v>
                </c:pt>
                <c:pt idx="205">
                  <c:v>2.4959000000000001E-3</c:v>
                </c:pt>
                <c:pt idx="206">
                  <c:v>2.3906000000000001E-3</c:v>
                </c:pt>
                <c:pt idx="207">
                  <c:v>2.3356000000000002E-3</c:v>
                </c:pt>
                <c:pt idx="208">
                  <c:v>2.5918999999999998E-3</c:v>
                </c:pt>
                <c:pt idx="209">
                  <c:v>2.3844999999999999E-3</c:v>
                </c:pt>
                <c:pt idx="210">
                  <c:v>2.1481999999999998E-3</c:v>
                </c:pt>
                <c:pt idx="211">
                  <c:v>2.0595000000000001E-3</c:v>
                </c:pt>
                <c:pt idx="212">
                  <c:v>2.9145999999999998E-3</c:v>
                </c:pt>
                <c:pt idx="213">
                  <c:v>2.9683999999999999E-3</c:v>
                </c:pt>
                <c:pt idx="214">
                  <c:v>3.091E-3</c:v>
                </c:pt>
                <c:pt idx="215">
                  <c:v>3.3454000000000001E-3</c:v>
                </c:pt>
                <c:pt idx="216">
                  <c:v>3.3332000000000001E-3</c:v>
                </c:pt>
                <c:pt idx="217">
                  <c:v>3.4811999999999998E-3</c:v>
                </c:pt>
                <c:pt idx="218">
                  <c:v>3.5374999999999998E-3</c:v>
                </c:pt>
                <c:pt idx="219">
                  <c:v>3.5252E-3</c:v>
                </c:pt>
                <c:pt idx="220">
                  <c:v>3.3649000000000001E-3</c:v>
                </c:pt>
                <c:pt idx="221">
                  <c:v>3.4765E-3</c:v>
                </c:pt>
                <c:pt idx="222">
                  <c:v>3.6028000000000002E-3</c:v>
                </c:pt>
                <c:pt idx="223">
                  <c:v>3.8078999999999999E-3</c:v>
                </c:pt>
                <c:pt idx="224">
                  <c:v>3.6993999999999998E-3</c:v>
                </c:pt>
                <c:pt idx="225">
                  <c:v>3.6183999999999999E-3</c:v>
                </c:pt>
                <c:pt idx="226">
                  <c:v>4.0248000000000003E-3</c:v>
                </c:pt>
                <c:pt idx="227">
                  <c:v>3.9935999999999999E-3</c:v>
                </c:pt>
                <c:pt idx="228">
                  <c:v>4.1913999999999996E-3</c:v>
                </c:pt>
                <c:pt idx="229">
                  <c:v>4.2649999999999997E-3</c:v>
                </c:pt>
                <c:pt idx="230">
                  <c:v>3.8310000000000002E-3</c:v>
                </c:pt>
                <c:pt idx="231">
                  <c:v>3.7550999999999999E-3</c:v>
                </c:pt>
                <c:pt idx="232">
                  <c:v>3.8417999999999998E-3</c:v>
                </c:pt>
                <c:pt idx="233">
                  <c:v>3.6435E-3</c:v>
                </c:pt>
                <c:pt idx="234">
                  <c:v>3.5328E-3</c:v>
                </c:pt>
                <c:pt idx="235">
                  <c:v>3.7385999999999999E-3</c:v>
                </c:pt>
                <c:pt idx="236">
                  <c:v>4.1895999999999999E-3</c:v>
                </c:pt>
                <c:pt idx="237">
                  <c:v>4.4028000000000001E-3</c:v>
                </c:pt>
                <c:pt idx="238">
                  <c:v>4.0401999999999999E-3</c:v>
                </c:pt>
                <c:pt idx="239">
                  <c:v>3.82E-3</c:v>
                </c:pt>
                <c:pt idx="240">
                  <c:v>3.2220999999999999E-3</c:v>
                </c:pt>
                <c:pt idx="241">
                  <c:v>3.7469999999999999E-3</c:v>
                </c:pt>
                <c:pt idx="242">
                  <c:v>4.0286999999999996E-3</c:v>
                </c:pt>
                <c:pt idx="243">
                  <c:v>4.3045999999999996E-3</c:v>
                </c:pt>
                <c:pt idx="244">
                  <c:v>3.6936999999999998E-3</c:v>
                </c:pt>
                <c:pt idx="245">
                  <c:v>5.4270999999999998E-3</c:v>
                </c:pt>
                <c:pt idx="246">
                  <c:v>5.3690999999999999E-3</c:v>
                </c:pt>
                <c:pt idx="247">
                  <c:v>5.7793999999999996E-3</c:v>
                </c:pt>
                <c:pt idx="248">
                  <c:v>5.7396000000000001E-3</c:v>
                </c:pt>
                <c:pt idx="249">
                  <c:v>6.1159999999999999E-3</c:v>
                </c:pt>
                <c:pt idx="250">
                  <c:v>5.9645000000000002E-3</c:v>
                </c:pt>
                <c:pt idx="251">
                  <c:v>5.6809E-3</c:v>
                </c:pt>
                <c:pt idx="252">
                  <c:v>6.8547E-3</c:v>
                </c:pt>
                <c:pt idx="253">
                  <c:v>6.3965999999999997E-3</c:v>
                </c:pt>
                <c:pt idx="254">
                  <c:v>7.3581000000000002E-3</c:v>
                </c:pt>
                <c:pt idx="255">
                  <c:v>7.4779E-3</c:v>
                </c:pt>
                <c:pt idx="256">
                  <c:v>7.7277999999999999E-3</c:v>
                </c:pt>
                <c:pt idx="257">
                  <c:v>7.9000000000000008E-3</c:v>
                </c:pt>
                <c:pt idx="258">
                  <c:v>7.2364999999999999E-3</c:v>
                </c:pt>
                <c:pt idx="259">
                  <c:v>6.3505000000000002E-3</c:v>
                </c:pt>
                <c:pt idx="260">
                  <c:v>6.9493999999999997E-3</c:v>
                </c:pt>
                <c:pt idx="261">
                  <c:v>6.9848999999999996E-3</c:v>
                </c:pt>
                <c:pt idx="262">
                  <c:v>7.2318E-3</c:v>
                </c:pt>
                <c:pt idx="263">
                  <c:v>7.2426000000000001E-3</c:v>
                </c:pt>
                <c:pt idx="264">
                  <c:v>6.8875999999999998E-3</c:v>
                </c:pt>
                <c:pt idx="265">
                  <c:v>7.0739000000000002E-3</c:v>
                </c:pt>
                <c:pt idx="266">
                  <c:v>7.3816999999999997E-3</c:v>
                </c:pt>
                <c:pt idx="267">
                  <c:v>7.0416000000000003E-3</c:v>
                </c:pt>
                <c:pt idx="268">
                  <c:v>6.4066000000000001E-3</c:v>
                </c:pt>
                <c:pt idx="269">
                  <c:v>6.6698E-3</c:v>
                </c:pt>
                <c:pt idx="270">
                  <c:v>7.1849000000000001E-3</c:v>
                </c:pt>
                <c:pt idx="271">
                  <c:v>6.2766999999999996E-3</c:v>
                </c:pt>
                <c:pt idx="272">
                  <c:v>7.5567999999999998E-3</c:v>
                </c:pt>
                <c:pt idx="273">
                  <c:v>7.9094999999999999E-3</c:v>
                </c:pt>
                <c:pt idx="274">
                  <c:v>7.7206999999999996E-3</c:v>
                </c:pt>
                <c:pt idx="275">
                  <c:v>8.0313999999999993E-3</c:v>
                </c:pt>
                <c:pt idx="276">
                  <c:v>9.1161000000000002E-3</c:v>
                </c:pt>
                <c:pt idx="277">
                  <c:v>7.7130999999999996E-3</c:v>
                </c:pt>
                <c:pt idx="278">
                  <c:v>8.2252000000000002E-3</c:v>
                </c:pt>
                <c:pt idx="279">
                  <c:v>7.6394999999999996E-3</c:v>
                </c:pt>
                <c:pt idx="280">
                  <c:v>8.1393999999999998E-3</c:v>
                </c:pt>
                <c:pt idx="281">
                  <c:v>7.9687000000000004E-3</c:v>
                </c:pt>
                <c:pt idx="282">
                  <c:v>8.4468000000000008E-3</c:v>
                </c:pt>
                <c:pt idx="283">
                  <c:v>8.5736000000000007E-3</c:v>
                </c:pt>
                <c:pt idx="284">
                  <c:v>9.1073999999999999E-3</c:v>
                </c:pt>
                <c:pt idx="285">
                  <c:v>9.6561000000000008E-3</c:v>
                </c:pt>
                <c:pt idx="286">
                  <c:v>7.9311E-3</c:v>
                </c:pt>
                <c:pt idx="287">
                  <c:v>9.7313E-3</c:v>
                </c:pt>
                <c:pt idx="288">
                  <c:v>1.0174300000000001E-2</c:v>
                </c:pt>
                <c:pt idx="289">
                  <c:v>1.0285900000000001E-2</c:v>
                </c:pt>
                <c:pt idx="290">
                  <c:v>6.9531999999999997E-3</c:v>
                </c:pt>
                <c:pt idx="291">
                  <c:v>6.9195000000000003E-3</c:v>
                </c:pt>
                <c:pt idx="292">
                  <c:v>5.2931999999999996E-3</c:v>
                </c:pt>
                <c:pt idx="293">
                  <c:v>5.0628000000000001E-3</c:v>
                </c:pt>
                <c:pt idx="294">
                  <c:v>4.5999999999999999E-3</c:v>
                </c:pt>
                <c:pt idx="295">
                  <c:v>3.7588000000000001E-3</c:v>
                </c:pt>
                <c:pt idx="296">
                  <c:v>3.6099999999999999E-3</c:v>
                </c:pt>
                <c:pt idx="297">
                  <c:v>3.7854999999999998E-3</c:v>
                </c:pt>
                <c:pt idx="298">
                  <c:v>3.5571999999999999E-3</c:v>
                </c:pt>
                <c:pt idx="299">
                  <c:v>3.1486999999999999E-3</c:v>
                </c:pt>
                <c:pt idx="300">
                  <c:v>3.1633E-3</c:v>
                </c:pt>
                <c:pt idx="301">
                  <c:v>3.0655999999999999E-3</c:v>
                </c:pt>
                <c:pt idx="302">
                  <c:v>3.2545999999999999E-3</c:v>
                </c:pt>
                <c:pt idx="303">
                  <c:v>3.6300999999999998E-3</c:v>
                </c:pt>
                <c:pt idx="304">
                  <c:v>2.8969999999999998E-3</c:v>
                </c:pt>
                <c:pt idx="305">
                  <c:v>2.3533E-3</c:v>
                </c:pt>
                <c:pt idx="306">
                  <c:v>1.6375999999999999E-3</c:v>
                </c:pt>
                <c:pt idx="307">
                  <c:v>1.6532000000000001E-3</c:v>
                </c:pt>
                <c:pt idx="308">
                  <c:v>1.6199000000000001E-3</c:v>
                </c:pt>
                <c:pt idx="309">
                  <c:v>1.6236E-3</c:v>
                </c:pt>
                <c:pt idx="310">
                  <c:v>1.6818E-3</c:v>
                </c:pt>
                <c:pt idx="311">
                  <c:v>1.6927999999999999E-3</c:v>
                </c:pt>
                <c:pt idx="312">
                  <c:v>1.3140000000000001E-3</c:v>
                </c:pt>
                <c:pt idx="313">
                  <c:v>1.3878E-3</c:v>
                </c:pt>
                <c:pt idx="314">
                  <c:v>1.4247999999999999E-3</c:v>
                </c:pt>
                <c:pt idx="315">
                  <c:v>1.3393000000000001E-3</c:v>
                </c:pt>
                <c:pt idx="316">
                  <c:v>1.2880999999999999E-3</c:v>
                </c:pt>
                <c:pt idx="317">
                  <c:v>1.2523E-3</c:v>
                </c:pt>
                <c:pt idx="318">
                  <c:v>1.2304E-3</c:v>
                </c:pt>
                <c:pt idx="319">
                  <c:v>1.2321000000000001E-3</c:v>
                </c:pt>
                <c:pt idx="320">
                  <c:v>1.1999000000000001E-3</c:v>
                </c:pt>
                <c:pt idx="321">
                  <c:v>1.2321999999999999E-3</c:v>
                </c:pt>
                <c:pt idx="322">
                  <c:v>1.2107999999999999E-3</c:v>
                </c:pt>
                <c:pt idx="323">
                  <c:v>1.2490999999999999E-3</c:v>
                </c:pt>
                <c:pt idx="324">
                  <c:v>1.1421999999999999E-3</c:v>
                </c:pt>
                <c:pt idx="325">
                  <c:v>1.2604999999999999E-3</c:v>
                </c:pt>
                <c:pt idx="326">
                  <c:v>1.2715999999999999E-3</c:v>
                </c:pt>
                <c:pt idx="327">
                  <c:v>1.3209999999999999E-3</c:v>
                </c:pt>
                <c:pt idx="328">
                  <c:v>1.4289000000000001E-3</c:v>
                </c:pt>
                <c:pt idx="329">
                  <c:v>1.3669999999999999E-3</c:v>
                </c:pt>
                <c:pt idx="330">
                  <c:v>1.6865999999999999E-3</c:v>
                </c:pt>
                <c:pt idx="331">
                  <c:v>1.7378000000000001E-3</c:v>
                </c:pt>
                <c:pt idx="332">
                  <c:v>1.4890999999999999E-3</c:v>
                </c:pt>
                <c:pt idx="333">
                  <c:v>1.4270000000000001E-3</c:v>
                </c:pt>
                <c:pt idx="334">
                  <c:v>1.2596E-3</c:v>
                </c:pt>
                <c:pt idx="335">
                  <c:v>1.2118999999999999E-3</c:v>
                </c:pt>
                <c:pt idx="336">
                  <c:v>1.1799E-3</c:v>
                </c:pt>
                <c:pt idx="337">
                  <c:v>1.1100999999999999E-3</c:v>
                </c:pt>
                <c:pt idx="338">
                  <c:v>1.1389E-3</c:v>
                </c:pt>
                <c:pt idx="339">
                  <c:v>1.243E-3</c:v>
                </c:pt>
                <c:pt idx="340">
                  <c:v>1.261E-3</c:v>
                </c:pt>
                <c:pt idx="341">
                  <c:v>1.1976999999999999E-3</c:v>
                </c:pt>
                <c:pt idx="342">
                  <c:v>1.1209E-3</c:v>
                </c:pt>
                <c:pt idx="343">
                  <c:v>1.2137999999999999E-3</c:v>
                </c:pt>
                <c:pt idx="344">
                  <c:v>1.0709999999999999E-3</c:v>
                </c:pt>
                <c:pt idx="345">
                  <c:v>4.9879999999999998E-4</c:v>
                </c:pt>
                <c:pt idx="346">
                  <c:v>4.6339999999999999E-4</c:v>
                </c:pt>
                <c:pt idx="347">
                  <c:v>4.7750000000000001E-4</c:v>
                </c:pt>
                <c:pt idx="348">
                  <c:v>4.3419999999999998E-4</c:v>
                </c:pt>
                <c:pt idx="349">
                  <c:v>4.571E-4</c:v>
                </c:pt>
                <c:pt idx="350">
                  <c:v>4.3130000000000002E-4</c:v>
                </c:pt>
                <c:pt idx="351">
                  <c:v>3.8190000000000001E-4</c:v>
                </c:pt>
                <c:pt idx="352">
                  <c:v>3.8180000000000001E-4</c:v>
                </c:pt>
                <c:pt idx="353">
                  <c:v>3.8210000000000002E-4</c:v>
                </c:pt>
                <c:pt idx="354">
                  <c:v>3.9080000000000001E-4</c:v>
                </c:pt>
                <c:pt idx="355">
                  <c:v>3.702E-4</c:v>
                </c:pt>
                <c:pt idx="356">
                  <c:v>3.3760000000000002E-4</c:v>
                </c:pt>
                <c:pt idx="357">
                  <c:v>3.6269999999999998E-4</c:v>
                </c:pt>
                <c:pt idx="358">
                  <c:v>3.636E-4</c:v>
                </c:pt>
                <c:pt idx="359">
                  <c:v>3.7740000000000001E-4</c:v>
                </c:pt>
                <c:pt idx="360">
                  <c:v>3.5500000000000001E-4</c:v>
                </c:pt>
                <c:pt idx="361">
                  <c:v>3.435E-4</c:v>
                </c:pt>
                <c:pt idx="362">
                  <c:v>3.3320000000000002E-4</c:v>
                </c:pt>
                <c:pt idx="363">
                  <c:v>3.6390000000000001E-4</c:v>
                </c:pt>
                <c:pt idx="364">
                  <c:v>3.7219999999999999E-4</c:v>
                </c:pt>
                <c:pt idx="365">
                  <c:v>3.6949999999999998E-4</c:v>
                </c:pt>
                <c:pt idx="366">
                  <c:v>3.5799999999999997E-4</c:v>
                </c:pt>
                <c:pt idx="367">
                  <c:v>3.6479999999999998E-4</c:v>
                </c:pt>
                <c:pt idx="368">
                  <c:v>3.5120000000000003E-4</c:v>
                </c:pt>
                <c:pt idx="369">
                  <c:v>3.6450000000000002E-4</c:v>
                </c:pt>
                <c:pt idx="370">
                  <c:v>3.6469999999999997E-4</c:v>
                </c:pt>
                <c:pt idx="371">
                  <c:v>3.5270000000000001E-4</c:v>
                </c:pt>
                <c:pt idx="372">
                  <c:v>3.4969999999999999E-4</c:v>
                </c:pt>
                <c:pt idx="373">
                  <c:v>4.2890000000000002E-4</c:v>
                </c:pt>
                <c:pt idx="374">
                  <c:v>4.0949999999999998E-4</c:v>
                </c:pt>
                <c:pt idx="375">
                  <c:v>3.3169999999999999E-4</c:v>
                </c:pt>
                <c:pt idx="376">
                  <c:v>3.3260000000000001E-4</c:v>
                </c:pt>
                <c:pt idx="377">
                  <c:v>3.2420000000000002E-4</c:v>
                </c:pt>
                <c:pt idx="378">
                  <c:v>3.1040000000000001E-4</c:v>
                </c:pt>
                <c:pt idx="379">
                  <c:v>3.1389999999999999E-4</c:v>
                </c:pt>
                <c:pt idx="380">
                  <c:v>3.1280000000000001E-4</c:v>
                </c:pt>
                <c:pt idx="381">
                  <c:v>3.3730000000000001E-4</c:v>
                </c:pt>
                <c:pt idx="382">
                  <c:v>2.9300000000000002E-4</c:v>
                </c:pt>
                <c:pt idx="383">
                  <c:v>2.8800000000000001E-4</c:v>
                </c:pt>
                <c:pt idx="384">
                  <c:v>2.9349999999999998E-4</c:v>
                </c:pt>
                <c:pt idx="385">
                  <c:v>2.9119999999999998E-4</c:v>
                </c:pt>
                <c:pt idx="386">
                  <c:v>3.0029999999999998E-4</c:v>
                </c:pt>
                <c:pt idx="387">
                  <c:v>2.9799999999999998E-4</c:v>
                </c:pt>
                <c:pt idx="388">
                  <c:v>2.9970000000000002E-4</c:v>
                </c:pt>
                <c:pt idx="389">
                  <c:v>3.0729999999999999E-4</c:v>
                </c:pt>
                <c:pt idx="390">
                  <c:v>3.0059999999999999E-4</c:v>
                </c:pt>
                <c:pt idx="391">
                  <c:v>2.7629999999999999E-4</c:v>
                </c:pt>
                <c:pt idx="392">
                  <c:v>3.1930000000000001E-4</c:v>
                </c:pt>
                <c:pt idx="393">
                  <c:v>3.2009999999999997E-4</c:v>
                </c:pt>
                <c:pt idx="394">
                  <c:v>3.366E-4</c:v>
                </c:pt>
                <c:pt idx="395">
                  <c:v>3.3980000000000002E-4</c:v>
                </c:pt>
                <c:pt idx="396">
                  <c:v>3.3199999999999999E-4</c:v>
                </c:pt>
                <c:pt idx="397">
                  <c:v>3.2739999999999999E-4</c:v>
                </c:pt>
                <c:pt idx="398">
                  <c:v>3.4039999999999998E-4</c:v>
                </c:pt>
                <c:pt idx="399">
                  <c:v>3.2380000000000001E-4</c:v>
                </c:pt>
                <c:pt idx="400">
                  <c:v>3.3409999999999999E-4</c:v>
                </c:pt>
                <c:pt idx="401">
                  <c:v>3.2000000000000003E-4</c:v>
                </c:pt>
                <c:pt idx="402">
                  <c:v>3.1599999999999998E-4</c:v>
                </c:pt>
                <c:pt idx="403">
                  <c:v>3.055E-4</c:v>
                </c:pt>
                <c:pt idx="404">
                  <c:v>3.1310000000000002E-4</c:v>
                </c:pt>
                <c:pt idx="405">
                  <c:v>3.2590000000000001E-4</c:v>
                </c:pt>
                <c:pt idx="406">
                  <c:v>3.212E-4</c:v>
                </c:pt>
                <c:pt idx="407">
                  <c:v>3.323E-4</c:v>
                </c:pt>
                <c:pt idx="408">
                  <c:v>3.4499999999999998E-4</c:v>
                </c:pt>
                <c:pt idx="409">
                  <c:v>3.434E-4</c:v>
                </c:pt>
                <c:pt idx="410">
                  <c:v>3.2400000000000001E-4</c:v>
                </c:pt>
                <c:pt idx="411">
                  <c:v>3.4400000000000001E-4</c:v>
                </c:pt>
                <c:pt idx="412">
                  <c:v>3.4539999999999999E-4</c:v>
                </c:pt>
                <c:pt idx="413">
                  <c:v>3.4150000000000001E-4</c:v>
                </c:pt>
                <c:pt idx="414">
                  <c:v>3.7940000000000001E-4</c:v>
                </c:pt>
                <c:pt idx="415">
                  <c:v>3.1869999999999999E-4</c:v>
                </c:pt>
                <c:pt idx="416">
                  <c:v>3.1839999999999999E-4</c:v>
                </c:pt>
                <c:pt idx="417">
                  <c:v>3.1159999999999998E-4</c:v>
                </c:pt>
                <c:pt idx="418">
                  <c:v>3.1040000000000001E-4</c:v>
                </c:pt>
                <c:pt idx="419">
                  <c:v>3.4079999999999999E-4</c:v>
                </c:pt>
                <c:pt idx="420">
                  <c:v>3.5809999999999998E-4</c:v>
                </c:pt>
                <c:pt idx="421">
                  <c:v>3.2810000000000001E-4</c:v>
                </c:pt>
                <c:pt idx="422">
                  <c:v>3.1179999999999999E-4</c:v>
                </c:pt>
                <c:pt idx="423">
                  <c:v>3.2759999999999999E-4</c:v>
                </c:pt>
                <c:pt idx="424">
                  <c:v>2.9859999999999999E-4</c:v>
                </c:pt>
                <c:pt idx="425">
                  <c:v>2.9399999999999999E-4</c:v>
                </c:pt>
                <c:pt idx="426">
                  <c:v>2.9999999999999997E-4</c:v>
                </c:pt>
                <c:pt idx="427">
                  <c:v>2.9960000000000002E-4</c:v>
                </c:pt>
                <c:pt idx="428">
                  <c:v>2.9300000000000002E-4</c:v>
                </c:pt>
                <c:pt idx="429">
                  <c:v>2.9030000000000001E-4</c:v>
                </c:pt>
                <c:pt idx="430">
                  <c:v>2.9109999999999997E-4</c:v>
                </c:pt>
                <c:pt idx="431">
                  <c:v>2.9169999999999999E-4</c:v>
                </c:pt>
                <c:pt idx="432">
                  <c:v>2.8699999999999998E-4</c:v>
                </c:pt>
                <c:pt idx="433">
                  <c:v>2.9169999999999999E-4</c:v>
                </c:pt>
                <c:pt idx="434">
                  <c:v>2.922E-4</c:v>
                </c:pt>
                <c:pt idx="435">
                  <c:v>2.9159999999999999E-4</c:v>
                </c:pt>
                <c:pt idx="436">
                  <c:v>2.9559999999999998E-4</c:v>
                </c:pt>
                <c:pt idx="437">
                  <c:v>2.8519999999999999E-4</c:v>
                </c:pt>
                <c:pt idx="438">
                  <c:v>2.9970000000000002E-4</c:v>
                </c:pt>
                <c:pt idx="439">
                  <c:v>2.8299999999999999E-4</c:v>
                </c:pt>
                <c:pt idx="440">
                  <c:v>2.7690000000000001E-4</c:v>
                </c:pt>
                <c:pt idx="441">
                  <c:v>2.7849999999999999E-4</c:v>
                </c:pt>
                <c:pt idx="442">
                  <c:v>2.8509999999999999E-4</c:v>
                </c:pt>
                <c:pt idx="443">
                  <c:v>2.9710000000000001E-4</c:v>
                </c:pt>
                <c:pt idx="444">
                  <c:v>3.012E-4</c:v>
                </c:pt>
                <c:pt idx="445">
                  <c:v>2.9250000000000001E-4</c:v>
                </c:pt>
                <c:pt idx="446">
                  <c:v>3.0299999999999999E-4</c:v>
                </c:pt>
                <c:pt idx="447">
                  <c:v>3.0830000000000001E-4</c:v>
                </c:pt>
                <c:pt idx="448">
                  <c:v>3.167E-4</c:v>
                </c:pt>
                <c:pt idx="449">
                  <c:v>3.1559999999999997E-4</c:v>
                </c:pt>
                <c:pt idx="450">
                  <c:v>3.278E-4</c:v>
                </c:pt>
                <c:pt idx="451">
                  <c:v>3.3349999999999997E-4</c:v>
                </c:pt>
                <c:pt idx="452">
                  <c:v>3.3409999999999999E-4</c:v>
                </c:pt>
                <c:pt idx="453">
                  <c:v>3.3829999999999998E-4</c:v>
                </c:pt>
                <c:pt idx="454">
                  <c:v>3.368E-4</c:v>
                </c:pt>
                <c:pt idx="455">
                  <c:v>3.324E-4</c:v>
                </c:pt>
                <c:pt idx="456">
                  <c:v>3.3980000000000002E-4</c:v>
                </c:pt>
                <c:pt idx="457">
                  <c:v>3.4259999999999998E-4</c:v>
                </c:pt>
                <c:pt idx="458">
                  <c:v>3.3409999999999999E-4</c:v>
                </c:pt>
                <c:pt idx="459">
                  <c:v>3.3300000000000002E-4</c:v>
                </c:pt>
                <c:pt idx="460">
                  <c:v>3.4390000000000001E-4</c:v>
                </c:pt>
                <c:pt idx="461">
                  <c:v>3.301E-4</c:v>
                </c:pt>
                <c:pt idx="462">
                  <c:v>3.4440000000000002E-4</c:v>
                </c:pt>
                <c:pt idx="463">
                  <c:v>3.5100000000000002E-4</c:v>
                </c:pt>
                <c:pt idx="464">
                  <c:v>3.4759999999999999E-4</c:v>
                </c:pt>
                <c:pt idx="465">
                  <c:v>3.6450000000000002E-4</c:v>
                </c:pt>
                <c:pt idx="466">
                  <c:v>3.4319999999999999E-4</c:v>
                </c:pt>
                <c:pt idx="467">
                  <c:v>3.2969999999999999E-4</c:v>
                </c:pt>
                <c:pt idx="468">
                  <c:v>3.2180000000000002E-4</c:v>
                </c:pt>
                <c:pt idx="469">
                  <c:v>3.1129999999999998E-4</c:v>
                </c:pt>
                <c:pt idx="470">
                  <c:v>3.2860000000000002E-4</c:v>
                </c:pt>
                <c:pt idx="471">
                  <c:v>3.2959999999999999E-4</c:v>
                </c:pt>
                <c:pt idx="472">
                  <c:v>3.3030000000000001E-4</c:v>
                </c:pt>
                <c:pt idx="473">
                  <c:v>3.3189999999999999E-4</c:v>
                </c:pt>
                <c:pt idx="474">
                  <c:v>3.3320000000000002E-4</c:v>
                </c:pt>
                <c:pt idx="475">
                  <c:v>3.3500000000000001E-4</c:v>
                </c:pt>
                <c:pt idx="476">
                  <c:v>3.099E-4</c:v>
                </c:pt>
                <c:pt idx="477">
                  <c:v>2.9760000000000002E-4</c:v>
                </c:pt>
                <c:pt idx="478">
                  <c:v>3.034E-4</c:v>
                </c:pt>
                <c:pt idx="479">
                  <c:v>3.0899999999999998E-4</c:v>
                </c:pt>
                <c:pt idx="480">
                  <c:v>3.099E-4</c:v>
                </c:pt>
                <c:pt idx="481">
                  <c:v>3.0299999999999999E-4</c:v>
                </c:pt>
                <c:pt idx="482">
                  <c:v>2.8519999999999999E-4</c:v>
                </c:pt>
                <c:pt idx="483">
                  <c:v>2.9829999999999999E-4</c:v>
                </c:pt>
                <c:pt idx="484">
                  <c:v>2.9710000000000001E-4</c:v>
                </c:pt>
                <c:pt idx="485">
                  <c:v>3.2919999999999998E-4</c:v>
                </c:pt>
                <c:pt idx="486">
                  <c:v>3.3429999999999999E-4</c:v>
                </c:pt>
                <c:pt idx="487">
                  <c:v>3.3159999999999998E-4</c:v>
                </c:pt>
                <c:pt idx="488">
                  <c:v>3.323E-4</c:v>
                </c:pt>
                <c:pt idx="489">
                  <c:v>3.3260000000000001E-4</c:v>
                </c:pt>
                <c:pt idx="490">
                  <c:v>3.3290000000000001E-4</c:v>
                </c:pt>
                <c:pt idx="491">
                  <c:v>3.4620000000000001E-4</c:v>
                </c:pt>
                <c:pt idx="492">
                  <c:v>3.3990000000000002E-4</c:v>
                </c:pt>
                <c:pt idx="493">
                  <c:v>3.6059999999999998E-4</c:v>
                </c:pt>
                <c:pt idx="494">
                  <c:v>3.5940000000000001E-4</c:v>
                </c:pt>
                <c:pt idx="495">
                  <c:v>3.5540000000000002E-4</c:v>
                </c:pt>
                <c:pt idx="496">
                  <c:v>3.5139999999999998E-4</c:v>
                </c:pt>
                <c:pt idx="497">
                  <c:v>3.4160000000000001E-4</c:v>
                </c:pt>
                <c:pt idx="498">
                  <c:v>3.3849999999999999E-4</c:v>
                </c:pt>
                <c:pt idx="499">
                  <c:v>3.4170000000000001E-4</c:v>
                </c:pt>
                <c:pt idx="500">
                  <c:v>3.4269999999999998E-4</c:v>
                </c:pt>
                <c:pt idx="501">
                  <c:v>3.9819999999999998E-4</c:v>
                </c:pt>
                <c:pt idx="502">
                  <c:v>4.2920000000000002E-4</c:v>
                </c:pt>
                <c:pt idx="503">
                  <c:v>4.1810000000000003E-4</c:v>
                </c:pt>
                <c:pt idx="504">
                  <c:v>4.5340000000000002E-4</c:v>
                </c:pt>
                <c:pt idx="505">
                  <c:v>4.482E-4</c:v>
                </c:pt>
                <c:pt idx="506">
                  <c:v>4.5839999999999998E-4</c:v>
                </c:pt>
                <c:pt idx="507">
                  <c:v>4.4769999999999999E-4</c:v>
                </c:pt>
                <c:pt idx="508">
                  <c:v>4.2989999999999999E-4</c:v>
                </c:pt>
                <c:pt idx="509">
                  <c:v>4.1009999999999999E-4</c:v>
                </c:pt>
                <c:pt idx="510">
                  <c:v>4.1960000000000001E-4</c:v>
                </c:pt>
                <c:pt idx="511">
                  <c:v>4.0769999999999999E-4</c:v>
                </c:pt>
                <c:pt idx="512">
                  <c:v>4.3520000000000001E-4</c:v>
                </c:pt>
                <c:pt idx="513">
                  <c:v>4.171E-4</c:v>
                </c:pt>
                <c:pt idx="514">
                  <c:v>4.304E-4</c:v>
                </c:pt>
                <c:pt idx="515">
                  <c:v>4.2509999999999998E-4</c:v>
                </c:pt>
                <c:pt idx="516">
                  <c:v>4.6670000000000001E-4</c:v>
                </c:pt>
                <c:pt idx="517">
                  <c:v>4.6799999999999999E-4</c:v>
                </c:pt>
                <c:pt idx="518">
                  <c:v>4.816E-4</c:v>
                </c:pt>
                <c:pt idx="519">
                  <c:v>5.3529999999999995E-4</c:v>
                </c:pt>
                <c:pt idx="520">
                  <c:v>5.1659999999999998E-4</c:v>
                </c:pt>
                <c:pt idx="521">
                  <c:v>4.683E-4</c:v>
                </c:pt>
                <c:pt idx="522">
                  <c:v>4.705E-4</c:v>
                </c:pt>
                <c:pt idx="523">
                  <c:v>4.5429999999999998E-4</c:v>
                </c:pt>
                <c:pt idx="524">
                  <c:v>4.5560000000000002E-4</c:v>
                </c:pt>
                <c:pt idx="525">
                  <c:v>4.3540000000000001E-4</c:v>
                </c:pt>
                <c:pt idx="526">
                  <c:v>4.7560000000000001E-4</c:v>
                </c:pt>
                <c:pt idx="527">
                  <c:v>4.2269999999999997E-4</c:v>
                </c:pt>
                <c:pt idx="528">
                  <c:v>4.3750000000000001E-4</c:v>
                </c:pt>
                <c:pt idx="529">
                  <c:v>4.0259999999999997E-4</c:v>
                </c:pt>
                <c:pt idx="530">
                  <c:v>4.1950000000000001E-4</c:v>
                </c:pt>
                <c:pt idx="531">
                  <c:v>3.9070000000000001E-4</c:v>
                </c:pt>
                <c:pt idx="532">
                  <c:v>3.8660000000000002E-4</c:v>
                </c:pt>
                <c:pt idx="533">
                  <c:v>3.8939999999999998E-4</c:v>
                </c:pt>
                <c:pt idx="534">
                  <c:v>3.8390000000000001E-4</c:v>
                </c:pt>
                <c:pt idx="535">
                  <c:v>3.994E-4</c:v>
                </c:pt>
                <c:pt idx="536">
                  <c:v>3.8420000000000001E-4</c:v>
                </c:pt>
                <c:pt idx="537">
                  <c:v>3.8289999999999998E-4</c:v>
                </c:pt>
                <c:pt idx="538">
                  <c:v>3.8450000000000002E-4</c:v>
                </c:pt>
                <c:pt idx="539">
                  <c:v>3.8309999999999999E-4</c:v>
                </c:pt>
                <c:pt idx="540">
                  <c:v>3.7550000000000002E-4</c:v>
                </c:pt>
                <c:pt idx="541">
                  <c:v>3.8939999999999998E-4</c:v>
                </c:pt>
                <c:pt idx="542">
                  <c:v>3.9140000000000003E-4</c:v>
                </c:pt>
                <c:pt idx="543">
                  <c:v>3.8890000000000002E-4</c:v>
                </c:pt>
                <c:pt idx="544">
                  <c:v>3.9189999999999998E-4</c:v>
                </c:pt>
                <c:pt idx="545">
                  <c:v>3.9669999999999999E-4</c:v>
                </c:pt>
                <c:pt idx="546">
                  <c:v>3.9229999999999999E-4</c:v>
                </c:pt>
                <c:pt idx="547">
                  <c:v>3.8479999999999997E-4</c:v>
                </c:pt>
                <c:pt idx="548">
                  <c:v>3.904E-4</c:v>
                </c:pt>
                <c:pt idx="549">
                  <c:v>3.8910000000000003E-4</c:v>
                </c:pt>
                <c:pt idx="550">
                  <c:v>3.7760000000000002E-4</c:v>
                </c:pt>
                <c:pt idx="551">
                  <c:v>3.8420000000000001E-4</c:v>
                </c:pt>
                <c:pt idx="552">
                  <c:v>3.9950000000000001E-4</c:v>
                </c:pt>
                <c:pt idx="553">
                  <c:v>3.9540000000000002E-4</c:v>
                </c:pt>
                <c:pt idx="554">
                  <c:v>3.9990000000000002E-4</c:v>
                </c:pt>
                <c:pt idx="555">
                  <c:v>4.192E-4</c:v>
                </c:pt>
                <c:pt idx="556">
                  <c:v>4.0210000000000002E-4</c:v>
                </c:pt>
                <c:pt idx="557">
                  <c:v>4.304E-4</c:v>
                </c:pt>
                <c:pt idx="558">
                  <c:v>3.9419999999999999E-4</c:v>
                </c:pt>
                <c:pt idx="559">
                  <c:v>3.457E-4</c:v>
                </c:pt>
                <c:pt idx="560">
                  <c:v>3.2749999999999999E-4</c:v>
                </c:pt>
                <c:pt idx="561">
                  <c:v>3.3510000000000001E-4</c:v>
                </c:pt>
                <c:pt idx="562">
                  <c:v>3.2449999999999997E-4</c:v>
                </c:pt>
                <c:pt idx="563">
                  <c:v>3.2689999999999998E-4</c:v>
                </c:pt>
                <c:pt idx="564">
                  <c:v>3.1809999999999998E-4</c:v>
                </c:pt>
                <c:pt idx="565">
                  <c:v>3.2529999999999999E-4</c:v>
                </c:pt>
                <c:pt idx="566">
                  <c:v>3.2360000000000001E-4</c:v>
                </c:pt>
                <c:pt idx="567">
                  <c:v>2.9460000000000001E-4</c:v>
                </c:pt>
                <c:pt idx="568">
                  <c:v>2.945E-4</c:v>
                </c:pt>
                <c:pt idx="569">
                  <c:v>2.9409999999999999E-4</c:v>
                </c:pt>
                <c:pt idx="570">
                  <c:v>2.9399999999999999E-4</c:v>
                </c:pt>
                <c:pt idx="571">
                  <c:v>2.9910000000000001E-4</c:v>
                </c:pt>
                <c:pt idx="572">
                  <c:v>2.9849999999999999E-4</c:v>
                </c:pt>
                <c:pt idx="573">
                  <c:v>3.012E-4</c:v>
                </c:pt>
                <c:pt idx="574">
                  <c:v>3.0830000000000001E-4</c:v>
                </c:pt>
                <c:pt idx="575">
                  <c:v>3.1359999999999998E-4</c:v>
                </c:pt>
                <c:pt idx="576">
                  <c:v>3.0059999999999999E-4</c:v>
                </c:pt>
                <c:pt idx="577">
                  <c:v>2.9960000000000002E-4</c:v>
                </c:pt>
                <c:pt idx="578">
                  <c:v>2.9639999999999999E-4</c:v>
                </c:pt>
                <c:pt idx="579">
                  <c:v>3.0289999999999999E-4</c:v>
                </c:pt>
                <c:pt idx="580">
                  <c:v>3.0660000000000003E-4</c:v>
                </c:pt>
                <c:pt idx="581">
                  <c:v>3.0810000000000001E-4</c:v>
                </c:pt>
                <c:pt idx="582">
                  <c:v>2.9829999999999999E-4</c:v>
                </c:pt>
                <c:pt idx="583">
                  <c:v>3.012E-4</c:v>
                </c:pt>
                <c:pt idx="584">
                  <c:v>3.123E-4</c:v>
                </c:pt>
                <c:pt idx="585">
                  <c:v>3.0210000000000002E-4</c:v>
                </c:pt>
                <c:pt idx="586">
                  <c:v>2.855E-4</c:v>
                </c:pt>
                <c:pt idx="587">
                  <c:v>3.211E-4</c:v>
                </c:pt>
                <c:pt idx="588">
                  <c:v>3.2269999999999998E-4</c:v>
                </c:pt>
                <c:pt idx="589">
                  <c:v>3.2630000000000002E-4</c:v>
                </c:pt>
                <c:pt idx="590">
                  <c:v>3.2489999999999998E-4</c:v>
                </c:pt>
                <c:pt idx="591">
                  <c:v>3.2689999999999998E-4</c:v>
                </c:pt>
                <c:pt idx="592">
                  <c:v>3.2870000000000002E-4</c:v>
                </c:pt>
                <c:pt idx="593">
                  <c:v>3.1470000000000001E-4</c:v>
                </c:pt>
                <c:pt idx="594">
                  <c:v>3.0130000000000001E-4</c:v>
                </c:pt>
                <c:pt idx="595">
                  <c:v>2.9720000000000001E-4</c:v>
                </c:pt>
                <c:pt idx="596">
                  <c:v>3.102E-4</c:v>
                </c:pt>
                <c:pt idx="597">
                  <c:v>2.9849999999999999E-4</c:v>
                </c:pt>
                <c:pt idx="598">
                  <c:v>3.0200000000000002E-4</c:v>
                </c:pt>
                <c:pt idx="599">
                  <c:v>2.9E-4</c:v>
                </c:pt>
                <c:pt idx="600">
                  <c:v>2.899E-4</c:v>
                </c:pt>
                <c:pt idx="601">
                  <c:v>2.8140000000000001E-4</c:v>
                </c:pt>
                <c:pt idx="602">
                  <c:v>2.8039999999999999E-4</c:v>
                </c:pt>
                <c:pt idx="603">
                  <c:v>2.7970000000000002E-4</c:v>
                </c:pt>
                <c:pt idx="604">
                  <c:v>2.675E-4</c:v>
                </c:pt>
                <c:pt idx="605">
                  <c:v>2.7E-4</c:v>
                </c:pt>
                <c:pt idx="606">
                  <c:v>2.6850000000000002E-4</c:v>
                </c:pt>
                <c:pt idx="607">
                  <c:v>2.5930000000000001E-4</c:v>
                </c:pt>
                <c:pt idx="608">
                  <c:v>2.6919999999999998E-4</c:v>
                </c:pt>
                <c:pt idx="609">
                  <c:v>2.7510000000000002E-4</c:v>
                </c:pt>
                <c:pt idx="610">
                  <c:v>2.744E-4</c:v>
                </c:pt>
                <c:pt idx="611">
                  <c:v>2.7070000000000002E-4</c:v>
                </c:pt>
                <c:pt idx="612">
                  <c:v>2.699E-4</c:v>
                </c:pt>
                <c:pt idx="613">
                  <c:v>2.6610000000000002E-4</c:v>
                </c:pt>
                <c:pt idx="614">
                  <c:v>2.7300000000000002E-4</c:v>
                </c:pt>
                <c:pt idx="615">
                  <c:v>2.744E-4</c:v>
                </c:pt>
                <c:pt idx="616">
                  <c:v>2.6410000000000002E-4</c:v>
                </c:pt>
                <c:pt idx="617">
                  <c:v>2.5510000000000002E-4</c:v>
                </c:pt>
                <c:pt idx="618">
                  <c:v>2.5470000000000001E-4</c:v>
                </c:pt>
                <c:pt idx="619">
                  <c:v>2.854E-4</c:v>
                </c:pt>
                <c:pt idx="620">
                  <c:v>2.9080000000000002E-4</c:v>
                </c:pt>
                <c:pt idx="621">
                  <c:v>2.9159999999999999E-4</c:v>
                </c:pt>
                <c:pt idx="622">
                  <c:v>2.855E-4</c:v>
                </c:pt>
                <c:pt idx="623">
                  <c:v>2.9740000000000002E-4</c:v>
                </c:pt>
                <c:pt idx="624">
                  <c:v>2.9789999999999998E-4</c:v>
                </c:pt>
                <c:pt idx="625">
                  <c:v>2.965E-4</c:v>
                </c:pt>
                <c:pt idx="626">
                  <c:v>2.9369999999999998E-4</c:v>
                </c:pt>
                <c:pt idx="627">
                  <c:v>2.7379999999999999E-4</c:v>
                </c:pt>
                <c:pt idx="628">
                  <c:v>2.566E-4</c:v>
                </c:pt>
                <c:pt idx="629">
                  <c:v>2.6699999999999998E-4</c:v>
                </c:pt>
                <c:pt idx="630">
                  <c:v>2.4889999999999998E-4</c:v>
                </c:pt>
                <c:pt idx="631">
                  <c:v>2.4140000000000001E-4</c:v>
                </c:pt>
                <c:pt idx="632">
                  <c:v>2.4929999999999999E-4</c:v>
                </c:pt>
                <c:pt idx="633">
                  <c:v>2.4420000000000003E-4</c:v>
                </c:pt>
                <c:pt idx="634">
                  <c:v>2.396E-4</c:v>
                </c:pt>
                <c:pt idx="635">
                  <c:v>2.3159999999999999E-4</c:v>
                </c:pt>
                <c:pt idx="636">
                  <c:v>2.2570000000000001E-4</c:v>
                </c:pt>
                <c:pt idx="637">
                  <c:v>2.1829999999999999E-4</c:v>
                </c:pt>
                <c:pt idx="638">
                  <c:v>2.2029999999999999E-4</c:v>
                </c:pt>
                <c:pt idx="639">
                  <c:v>2.2770000000000001E-4</c:v>
                </c:pt>
                <c:pt idx="640">
                  <c:v>2.3369999999999999E-4</c:v>
                </c:pt>
                <c:pt idx="641">
                  <c:v>2.276E-4</c:v>
                </c:pt>
                <c:pt idx="642">
                  <c:v>2.3000000000000001E-4</c:v>
                </c:pt>
                <c:pt idx="643">
                  <c:v>2.1689999999999999E-4</c:v>
                </c:pt>
                <c:pt idx="644">
                  <c:v>2.2580000000000001E-4</c:v>
                </c:pt>
                <c:pt idx="645">
                  <c:v>2.2560000000000001E-4</c:v>
                </c:pt>
                <c:pt idx="646">
                  <c:v>2.31E-4</c:v>
                </c:pt>
                <c:pt idx="647">
                  <c:v>2.2580000000000001E-4</c:v>
                </c:pt>
                <c:pt idx="648">
                  <c:v>2.2709999999999999E-4</c:v>
                </c:pt>
                <c:pt idx="649">
                  <c:v>2.4699999999999999E-4</c:v>
                </c:pt>
                <c:pt idx="650">
                  <c:v>2.5119999999999998E-4</c:v>
                </c:pt>
                <c:pt idx="651">
                  <c:v>2.4110000000000001E-4</c:v>
                </c:pt>
                <c:pt idx="652">
                  <c:v>2.5159999999999999E-4</c:v>
                </c:pt>
                <c:pt idx="653">
                  <c:v>2.331E-4</c:v>
                </c:pt>
                <c:pt idx="654">
                  <c:v>2.2709999999999999E-4</c:v>
                </c:pt>
                <c:pt idx="655">
                  <c:v>2.2499999999999999E-4</c:v>
                </c:pt>
                <c:pt idx="656">
                  <c:v>2.2690000000000001E-4</c:v>
                </c:pt>
                <c:pt idx="657">
                  <c:v>2.2130000000000001E-4</c:v>
                </c:pt>
                <c:pt idx="658">
                  <c:v>2.218E-4</c:v>
                </c:pt>
                <c:pt idx="659">
                  <c:v>2.221E-4</c:v>
                </c:pt>
                <c:pt idx="660">
                  <c:v>2.039E-4</c:v>
                </c:pt>
                <c:pt idx="661">
                  <c:v>2.1609999999999999E-4</c:v>
                </c:pt>
                <c:pt idx="662">
                  <c:v>2.1359999999999999E-4</c:v>
                </c:pt>
                <c:pt idx="663">
                  <c:v>2.2379999999999999E-4</c:v>
                </c:pt>
                <c:pt idx="664">
                  <c:v>2.1829999999999999E-4</c:v>
                </c:pt>
                <c:pt idx="665">
                  <c:v>2.1880000000000001E-4</c:v>
                </c:pt>
                <c:pt idx="666">
                  <c:v>2.1829999999999999E-4</c:v>
                </c:pt>
                <c:pt idx="667">
                  <c:v>2.0369999999999999E-4</c:v>
                </c:pt>
                <c:pt idx="668">
                  <c:v>2.2350000000000001E-4</c:v>
                </c:pt>
                <c:pt idx="669">
                  <c:v>2.229E-4</c:v>
                </c:pt>
                <c:pt idx="670">
                  <c:v>2.3020000000000001E-4</c:v>
                </c:pt>
                <c:pt idx="671">
                  <c:v>2.0019999999999999E-4</c:v>
                </c:pt>
                <c:pt idx="672">
                  <c:v>2.0340000000000001E-4</c:v>
                </c:pt>
                <c:pt idx="673">
                  <c:v>1.9239999999999999E-4</c:v>
                </c:pt>
                <c:pt idx="674">
                  <c:v>2.128E-4</c:v>
                </c:pt>
                <c:pt idx="675">
                  <c:v>1.973E-4</c:v>
                </c:pt>
                <c:pt idx="676">
                  <c:v>2.0599999999999999E-4</c:v>
                </c:pt>
                <c:pt idx="677">
                  <c:v>1.786E-4</c:v>
                </c:pt>
                <c:pt idx="678">
                  <c:v>3.143E-4</c:v>
                </c:pt>
                <c:pt idx="679">
                  <c:v>3.1859999999999999E-4</c:v>
                </c:pt>
                <c:pt idx="680">
                  <c:v>3.2410000000000002E-4</c:v>
                </c:pt>
                <c:pt idx="681">
                  <c:v>3.1869999999999999E-4</c:v>
                </c:pt>
                <c:pt idx="682">
                  <c:v>3.701E-4</c:v>
                </c:pt>
                <c:pt idx="683">
                  <c:v>3.903E-4</c:v>
                </c:pt>
                <c:pt idx="684">
                  <c:v>3.7809999999999997E-4</c:v>
                </c:pt>
                <c:pt idx="685">
                  <c:v>3.6759999999999999E-4</c:v>
                </c:pt>
                <c:pt idx="686">
                  <c:v>3.68E-4</c:v>
                </c:pt>
                <c:pt idx="687">
                  <c:v>3.793E-4</c:v>
                </c:pt>
                <c:pt idx="688">
                  <c:v>3.5970000000000002E-4</c:v>
                </c:pt>
                <c:pt idx="689">
                  <c:v>3.5780000000000002E-4</c:v>
                </c:pt>
                <c:pt idx="690">
                  <c:v>3.7219999999999999E-4</c:v>
                </c:pt>
                <c:pt idx="691">
                  <c:v>3.7960000000000001E-4</c:v>
                </c:pt>
                <c:pt idx="692">
                  <c:v>3.6319999999999999E-4</c:v>
                </c:pt>
                <c:pt idx="693">
                  <c:v>4.1389999999999998E-4</c:v>
                </c:pt>
                <c:pt idx="694">
                  <c:v>4.6450000000000001E-4</c:v>
                </c:pt>
                <c:pt idx="695">
                  <c:v>4.9069999999999995E-4</c:v>
                </c:pt>
                <c:pt idx="696">
                  <c:v>4.7990000000000001E-4</c:v>
                </c:pt>
                <c:pt idx="697">
                  <c:v>4.9410000000000003E-4</c:v>
                </c:pt>
                <c:pt idx="698">
                  <c:v>4.7810000000000002E-4</c:v>
                </c:pt>
                <c:pt idx="699">
                  <c:v>4.9919999999999999E-4</c:v>
                </c:pt>
                <c:pt idx="700">
                  <c:v>5.4580000000000004E-4</c:v>
                </c:pt>
                <c:pt idx="701">
                  <c:v>5.3399999999999997E-4</c:v>
                </c:pt>
                <c:pt idx="702">
                  <c:v>5.5460000000000004E-4</c:v>
                </c:pt>
                <c:pt idx="703">
                  <c:v>5.4940000000000002E-4</c:v>
                </c:pt>
                <c:pt idx="704">
                  <c:v>5.7700000000000004E-4</c:v>
                </c:pt>
                <c:pt idx="705">
                  <c:v>5.1259999999999999E-4</c:v>
                </c:pt>
                <c:pt idx="706">
                  <c:v>4.9660000000000004E-4</c:v>
                </c:pt>
                <c:pt idx="707">
                  <c:v>4.683E-4</c:v>
                </c:pt>
                <c:pt idx="708">
                  <c:v>4.573E-4</c:v>
                </c:pt>
                <c:pt idx="709">
                  <c:v>4.727E-4</c:v>
                </c:pt>
                <c:pt idx="710">
                  <c:v>4.6559999999999999E-4</c:v>
                </c:pt>
                <c:pt idx="711">
                  <c:v>4.8700000000000002E-4</c:v>
                </c:pt>
                <c:pt idx="712">
                  <c:v>4.7160000000000002E-4</c:v>
                </c:pt>
                <c:pt idx="713">
                  <c:v>4.1459999999999999E-4</c:v>
                </c:pt>
                <c:pt idx="714">
                  <c:v>3.9730000000000001E-4</c:v>
                </c:pt>
                <c:pt idx="715">
                  <c:v>3.8860000000000001E-4</c:v>
                </c:pt>
                <c:pt idx="716">
                  <c:v>3.9399999999999998E-4</c:v>
                </c:pt>
                <c:pt idx="717">
                  <c:v>3.7990000000000002E-4</c:v>
                </c:pt>
                <c:pt idx="718">
                  <c:v>3.7280000000000001E-4</c:v>
                </c:pt>
                <c:pt idx="719">
                  <c:v>3.6969999999999999E-4</c:v>
                </c:pt>
                <c:pt idx="720">
                  <c:v>3.6460000000000003E-4</c:v>
                </c:pt>
                <c:pt idx="721">
                  <c:v>3.7139999999999997E-4</c:v>
                </c:pt>
                <c:pt idx="722">
                  <c:v>3.5619999999999998E-4</c:v>
                </c:pt>
                <c:pt idx="723">
                  <c:v>3.4820000000000001E-4</c:v>
                </c:pt>
                <c:pt idx="724">
                  <c:v>3.4370000000000001E-4</c:v>
                </c:pt>
                <c:pt idx="725">
                  <c:v>3.4680000000000003E-4</c:v>
                </c:pt>
                <c:pt idx="726">
                  <c:v>3.5080000000000002E-4</c:v>
                </c:pt>
                <c:pt idx="727">
                  <c:v>3.7300000000000001E-4</c:v>
                </c:pt>
                <c:pt idx="728">
                  <c:v>3.7219999999999999E-4</c:v>
                </c:pt>
                <c:pt idx="729">
                  <c:v>3.6010000000000003E-4</c:v>
                </c:pt>
                <c:pt idx="730">
                  <c:v>3.5290000000000001E-4</c:v>
                </c:pt>
                <c:pt idx="731">
                  <c:v>3.7720000000000001E-4</c:v>
                </c:pt>
                <c:pt idx="732">
                  <c:v>3.7750000000000001E-4</c:v>
                </c:pt>
                <c:pt idx="733">
                  <c:v>3.6319999999999999E-4</c:v>
                </c:pt>
                <c:pt idx="734">
                  <c:v>3.746E-4</c:v>
                </c:pt>
                <c:pt idx="735">
                  <c:v>3.4959999999999999E-4</c:v>
                </c:pt>
                <c:pt idx="736">
                  <c:v>3.1040000000000001E-4</c:v>
                </c:pt>
                <c:pt idx="737">
                  <c:v>3.2630000000000002E-4</c:v>
                </c:pt>
                <c:pt idx="738">
                  <c:v>2.9510000000000002E-4</c:v>
                </c:pt>
                <c:pt idx="739">
                  <c:v>2.9760000000000002E-4</c:v>
                </c:pt>
                <c:pt idx="740">
                  <c:v>2.876E-4</c:v>
                </c:pt>
                <c:pt idx="741">
                  <c:v>2.9409999999999999E-4</c:v>
                </c:pt>
                <c:pt idx="742">
                  <c:v>2.9159999999999999E-4</c:v>
                </c:pt>
                <c:pt idx="743">
                  <c:v>3.0959999999999999E-4</c:v>
                </c:pt>
                <c:pt idx="744">
                  <c:v>2.8810000000000001E-4</c:v>
                </c:pt>
                <c:pt idx="745">
                  <c:v>2.8699999999999998E-4</c:v>
                </c:pt>
                <c:pt idx="746">
                  <c:v>2.8590000000000001E-4</c:v>
                </c:pt>
                <c:pt idx="747">
                  <c:v>2.7339999999999998E-4</c:v>
                </c:pt>
                <c:pt idx="748">
                  <c:v>2.8449999999999998E-4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7-450A-B3C7-3E667C49765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44202</c:v>
                </c:pt>
                <c:pt idx="378">
                  <c:v>44201</c:v>
                </c:pt>
                <c:pt idx="379">
                  <c:v>44200</c:v>
                </c:pt>
                <c:pt idx="380">
                  <c:v>44199</c:v>
                </c:pt>
                <c:pt idx="381">
                  <c:v>44198</c:v>
                </c:pt>
                <c:pt idx="382">
                  <c:v>44197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44192</c:v>
                </c:pt>
                <c:pt idx="388">
                  <c:v>44191</c:v>
                </c:pt>
                <c:pt idx="389">
                  <c:v>44190</c:v>
                </c:pt>
                <c:pt idx="390">
                  <c:v>44189</c:v>
                </c:pt>
                <c:pt idx="391">
                  <c:v>44188</c:v>
                </c:pt>
                <c:pt idx="392">
                  <c:v>44187</c:v>
                </c:pt>
                <c:pt idx="393">
                  <c:v>44186</c:v>
                </c:pt>
                <c:pt idx="394">
                  <c:v>44185</c:v>
                </c:pt>
                <c:pt idx="395">
                  <c:v>44184</c:v>
                </c:pt>
                <c:pt idx="396">
                  <c:v>44183</c:v>
                </c:pt>
                <c:pt idx="397">
                  <c:v>44182</c:v>
                </c:pt>
                <c:pt idx="398">
                  <c:v>44181</c:v>
                </c:pt>
                <c:pt idx="399">
                  <c:v>44180</c:v>
                </c:pt>
                <c:pt idx="400">
                  <c:v>44179</c:v>
                </c:pt>
                <c:pt idx="401">
                  <c:v>44178</c:v>
                </c:pt>
                <c:pt idx="402">
                  <c:v>44177</c:v>
                </c:pt>
                <c:pt idx="403">
                  <c:v>44176</c:v>
                </c:pt>
                <c:pt idx="404">
                  <c:v>44175</c:v>
                </c:pt>
                <c:pt idx="405">
                  <c:v>44174</c:v>
                </c:pt>
                <c:pt idx="406">
                  <c:v>44173</c:v>
                </c:pt>
                <c:pt idx="407">
                  <c:v>44172</c:v>
                </c:pt>
                <c:pt idx="408">
                  <c:v>44171</c:v>
                </c:pt>
                <c:pt idx="409">
                  <c:v>44170</c:v>
                </c:pt>
                <c:pt idx="410">
                  <c:v>44169</c:v>
                </c:pt>
                <c:pt idx="411">
                  <c:v>44168</c:v>
                </c:pt>
                <c:pt idx="412">
                  <c:v>44167</c:v>
                </c:pt>
                <c:pt idx="413">
                  <c:v>44166</c:v>
                </c:pt>
                <c:pt idx="414">
                  <c:v>44165</c:v>
                </c:pt>
                <c:pt idx="415">
                  <c:v>44164</c:v>
                </c:pt>
                <c:pt idx="416">
                  <c:v>44163</c:v>
                </c:pt>
                <c:pt idx="417">
                  <c:v>44162</c:v>
                </c:pt>
                <c:pt idx="418">
                  <c:v>44161</c:v>
                </c:pt>
                <c:pt idx="419">
                  <c:v>44160</c:v>
                </c:pt>
                <c:pt idx="420">
                  <c:v>44159</c:v>
                </c:pt>
                <c:pt idx="421">
                  <c:v>44158</c:v>
                </c:pt>
                <c:pt idx="422">
                  <c:v>44157</c:v>
                </c:pt>
                <c:pt idx="423">
                  <c:v>44156</c:v>
                </c:pt>
                <c:pt idx="424">
                  <c:v>44155</c:v>
                </c:pt>
                <c:pt idx="425">
                  <c:v>44154</c:v>
                </c:pt>
                <c:pt idx="426">
                  <c:v>44153</c:v>
                </c:pt>
                <c:pt idx="427">
                  <c:v>44152</c:v>
                </c:pt>
                <c:pt idx="428">
                  <c:v>44151</c:v>
                </c:pt>
                <c:pt idx="429">
                  <c:v>44150</c:v>
                </c:pt>
                <c:pt idx="430">
                  <c:v>44149</c:v>
                </c:pt>
                <c:pt idx="431">
                  <c:v>44148</c:v>
                </c:pt>
                <c:pt idx="432">
                  <c:v>44147</c:v>
                </c:pt>
                <c:pt idx="433">
                  <c:v>44146</c:v>
                </c:pt>
                <c:pt idx="434">
                  <c:v>44145</c:v>
                </c:pt>
                <c:pt idx="435">
                  <c:v>44144</c:v>
                </c:pt>
                <c:pt idx="436">
                  <c:v>44143</c:v>
                </c:pt>
                <c:pt idx="437">
                  <c:v>44142</c:v>
                </c:pt>
                <c:pt idx="438">
                  <c:v>44141</c:v>
                </c:pt>
                <c:pt idx="439">
                  <c:v>44140</c:v>
                </c:pt>
                <c:pt idx="440">
                  <c:v>44139</c:v>
                </c:pt>
                <c:pt idx="441">
                  <c:v>44138</c:v>
                </c:pt>
                <c:pt idx="442">
                  <c:v>44137</c:v>
                </c:pt>
                <c:pt idx="443">
                  <c:v>44136</c:v>
                </c:pt>
                <c:pt idx="444">
                  <c:v>44135</c:v>
                </c:pt>
                <c:pt idx="445">
                  <c:v>44134</c:v>
                </c:pt>
                <c:pt idx="446">
                  <c:v>44133</c:v>
                </c:pt>
                <c:pt idx="447">
                  <c:v>44132</c:v>
                </c:pt>
                <c:pt idx="448">
                  <c:v>44131</c:v>
                </c:pt>
                <c:pt idx="449">
                  <c:v>44130</c:v>
                </c:pt>
                <c:pt idx="450">
                  <c:v>44129</c:v>
                </c:pt>
                <c:pt idx="451">
                  <c:v>44128</c:v>
                </c:pt>
                <c:pt idx="452">
                  <c:v>44127</c:v>
                </c:pt>
                <c:pt idx="453">
                  <c:v>44126</c:v>
                </c:pt>
                <c:pt idx="454">
                  <c:v>44125</c:v>
                </c:pt>
                <c:pt idx="455">
                  <c:v>44124</c:v>
                </c:pt>
                <c:pt idx="456">
                  <c:v>44123</c:v>
                </c:pt>
                <c:pt idx="457">
                  <c:v>44122</c:v>
                </c:pt>
                <c:pt idx="458">
                  <c:v>44121</c:v>
                </c:pt>
                <c:pt idx="459">
                  <c:v>44120</c:v>
                </c:pt>
                <c:pt idx="460">
                  <c:v>44119</c:v>
                </c:pt>
                <c:pt idx="461">
                  <c:v>44118</c:v>
                </c:pt>
                <c:pt idx="462">
                  <c:v>44117</c:v>
                </c:pt>
                <c:pt idx="463">
                  <c:v>44116</c:v>
                </c:pt>
                <c:pt idx="464">
                  <c:v>44115</c:v>
                </c:pt>
                <c:pt idx="465">
                  <c:v>44114</c:v>
                </c:pt>
                <c:pt idx="466">
                  <c:v>44113</c:v>
                </c:pt>
                <c:pt idx="467">
                  <c:v>44112</c:v>
                </c:pt>
                <c:pt idx="468">
                  <c:v>44111</c:v>
                </c:pt>
                <c:pt idx="469">
                  <c:v>44110</c:v>
                </c:pt>
                <c:pt idx="470">
                  <c:v>44109</c:v>
                </c:pt>
                <c:pt idx="471">
                  <c:v>44108</c:v>
                </c:pt>
                <c:pt idx="472">
                  <c:v>44107</c:v>
                </c:pt>
                <c:pt idx="473">
                  <c:v>44106</c:v>
                </c:pt>
                <c:pt idx="474">
                  <c:v>44105</c:v>
                </c:pt>
                <c:pt idx="475">
                  <c:v>44104</c:v>
                </c:pt>
                <c:pt idx="476">
                  <c:v>44103</c:v>
                </c:pt>
                <c:pt idx="477">
                  <c:v>44102</c:v>
                </c:pt>
                <c:pt idx="478">
                  <c:v>44101</c:v>
                </c:pt>
                <c:pt idx="479">
                  <c:v>44100</c:v>
                </c:pt>
                <c:pt idx="480">
                  <c:v>44099</c:v>
                </c:pt>
                <c:pt idx="481">
                  <c:v>44098</c:v>
                </c:pt>
                <c:pt idx="482">
                  <c:v>44097</c:v>
                </c:pt>
                <c:pt idx="483">
                  <c:v>44096</c:v>
                </c:pt>
                <c:pt idx="484">
                  <c:v>44095</c:v>
                </c:pt>
                <c:pt idx="485">
                  <c:v>44094</c:v>
                </c:pt>
                <c:pt idx="486">
                  <c:v>44093</c:v>
                </c:pt>
                <c:pt idx="487">
                  <c:v>44092</c:v>
                </c:pt>
                <c:pt idx="488">
                  <c:v>44091</c:v>
                </c:pt>
                <c:pt idx="489">
                  <c:v>44090</c:v>
                </c:pt>
                <c:pt idx="490">
                  <c:v>44089</c:v>
                </c:pt>
                <c:pt idx="491">
                  <c:v>44088</c:v>
                </c:pt>
                <c:pt idx="492">
                  <c:v>44087</c:v>
                </c:pt>
                <c:pt idx="493">
                  <c:v>44086</c:v>
                </c:pt>
                <c:pt idx="494">
                  <c:v>44085</c:v>
                </c:pt>
                <c:pt idx="495">
                  <c:v>44084</c:v>
                </c:pt>
                <c:pt idx="496">
                  <c:v>44083</c:v>
                </c:pt>
                <c:pt idx="497">
                  <c:v>44082</c:v>
                </c:pt>
                <c:pt idx="498">
                  <c:v>44081</c:v>
                </c:pt>
                <c:pt idx="499">
                  <c:v>44080</c:v>
                </c:pt>
                <c:pt idx="500">
                  <c:v>44079</c:v>
                </c:pt>
                <c:pt idx="501">
                  <c:v>44078</c:v>
                </c:pt>
                <c:pt idx="502">
                  <c:v>44077</c:v>
                </c:pt>
                <c:pt idx="503">
                  <c:v>44076</c:v>
                </c:pt>
                <c:pt idx="504">
                  <c:v>44075</c:v>
                </c:pt>
                <c:pt idx="505">
                  <c:v>44074</c:v>
                </c:pt>
                <c:pt idx="506">
                  <c:v>44073</c:v>
                </c:pt>
                <c:pt idx="507">
                  <c:v>44072</c:v>
                </c:pt>
                <c:pt idx="508">
                  <c:v>44071</c:v>
                </c:pt>
                <c:pt idx="509">
                  <c:v>44070</c:v>
                </c:pt>
                <c:pt idx="510">
                  <c:v>44069</c:v>
                </c:pt>
                <c:pt idx="511">
                  <c:v>44068</c:v>
                </c:pt>
                <c:pt idx="512">
                  <c:v>44067</c:v>
                </c:pt>
                <c:pt idx="513">
                  <c:v>44066</c:v>
                </c:pt>
                <c:pt idx="514">
                  <c:v>44065</c:v>
                </c:pt>
                <c:pt idx="515">
                  <c:v>44064</c:v>
                </c:pt>
                <c:pt idx="516">
                  <c:v>44063</c:v>
                </c:pt>
                <c:pt idx="517">
                  <c:v>44062</c:v>
                </c:pt>
                <c:pt idx="518">
                  <c:v>44061</c:v>
                </c:pt>
                <c:pt idx="519">
                  <c:v>44060</c:v>
                </c:pt>
                <c:pt idx="520">
                  <c:v>44059</c:v>
                </c:pt>
                <c:pt idx="521">
                  <c:v>44058</c:v>
                </c:pt>
                <c:pt idx="522">
                  <c:v>44057</c:v>
                </c:pt>
                <c:pt idx="523">
                  <c:v>44056</c:v>
                </c:pt>
                <c:pt idx="524">
                  <c:v>44055</c:v>
                </c:pt>
                <c:pt idx="525">
                  <c:v>44054</c:v>
                </c:pt>
                <c:pt idx="526">
                  <c:v>44053</c:v>
                </c:pt>
                <c:pt idx="527">
                  <c:v>44052</c:v>
                </c:pt>
                <c:pt idx="528">
                  <c:v>44051</c:v>
                </c:pt>
                <c:pt idx="529">
                  <c:v>44050</c:v>
                </c:pt>
                <c:pt idx="530">
                  <c:v>44049</c:v>
                </c:pt>
                <c:pt idx="531">
                  <c:v>44048</c:v>
                </c:pt>
                <c:pt idx="532">
                  <c:v>44047</c:v>
                </c:pt>
                <c:pt idx="533">
                  <c:v>44046</c:v>
                </c:pt>
                <c:pt idx="534">
                  <c:v>44045</c:v>
                </c:pt>
                <c:pt idx="535">
                  <c:v>44044</c:v>
                </c:pt>
                <c:pt idx="536">
                  <c:v>44043</c:v>
                </c:pt>
                <c:pt idx="537">
                  <c:v>44042</c:v>
                </c:pt>
                <c:pt idx="538">
                  <c:v>44041</c:v>
                </c:pt>
                <c:pt idx="539">
                  <c:v>44040</c:v>
                </c:pt>
                <c:pt idx="540">
                  <c:v>44039</c:v>
                </c:pt>
                <c:pt idx="541">
                  <c:v>44038</c:v>
                </c:pt>
                <c:pt idx="542">
                  <c:v>44037</c:v>
                </c:pt>
                <c:pt idx="543">
                  <c:v>44036</c:v>
                </c:pt>
                <c:pt idx="544">
                  <c:v>44035</c:v>
                </c:pt>
                <c:pt idx="545">
                  <c:v>44034</c:v>
                </c:pt>
                <c:pt idx="546">
                  <c:v>44033</c:v>
                </c:pt>
                <c:pt idx="547">
                  <c:v>44032</c:v>
                </c:pt>
                <c:pt idx="548">
                  <c:v>44031</c:v>
                </c:pt>
                <c:pt idx="549">
                  <c:v>44030</c:v>
                </c:pt>
                <c:pt idx="550">
                  <c:v>44029</c:v>
                </c:pt>
                <c:pt idx="551">
                  <c:v>44028</c:v>
                </c:pt>
                <c:pt idx="552">
                  <c:v>44027</c:v>
                </c:pt>
                <c:pt idx="553">
                  <c:v>44026</c:v>
                </c:pt>
                <c:pt idx="554">
                  <c:v>44025</c:v>
                </c:pt>
                <c:pt idx="555">
                  <c:v>44024</c:v>
                </c:pt>
                <c:pt idx="556">
                  <c:v>44023</c:v>
                </c:pt>
                <c:pt idx="557">
                  <c:v>44022</c:v>
                </c:pt>
                <c:pt idx="558">
                  <c:v>44021</c:v>
                </c:pt>
                <c:pt idx="559">
                  <c:v>44020</c:v>
                </c:pt>
                <c:pt idx="560">
                  <c:v>44019</c:v>
                </c:pt>
                <c:pt idx="561">
                  <c:v>44018</c:v>
                </c:pt>
                <c:pt idx="562">
                  <c:v>44017</c:v>
                </c:pt>
                <c:pt idx="563">
                  <c:v>44016</c:v>
                </c:pt>
                <c:pt idx="564">
                  <c:v>44015</c:v>
                </c:pt>
                <c:pt idx="565">
                  <c:v>44014</c:v>
                </c:pt>
                <c:pt idx="566">
                  <c:v>44013</c:v>
                </c:pt>
                <c:pt idx="567">
                  <c:v>44012</c:v>
                </c:pt>
                <c:pt idx="568">
                  <c:v>44011</c:v>
                </c:pt>
                <c:pt idx="569">
                  <c:v>44010</c:v>
                </c:pt>
                <c:pt idx="570">
                  <c:v>44009</c:v>
                </c:pt>
                <c:pt idx="571">
                  <c:v>44008</c:v>
                </c:pt>
                <c:pt idx="572">
                  <c:v>44007</c:v>
                </c:pt>
                <c:pt idx="573">
                  <c:v>44006</c:v>
                </c:pt>
                <c:pt idx="574">
                  <c:v>44005</c:v>
                </c:pt>
                <c:pt idx="575">
                  <c:v>44004</c:v>
                </c:pt>
                <c:pt idx="576">
                  <c:v>44003</c:v>
                </c:pt>
                <c:pt idx="577">
                  <c:v>44002</c:v>
                </c:pt>
                <c:pt idx="578">
                  <c:v>44001</c:v>
                </c:pt>
                <c:pt idx="579">
                  <c:v>44000</c:v>
                </c:pt>
                <c:pt idx="580">
                  <c:v>43999</c:v>
                </c:pt>
                <c:pt idx="581">
                  <c:v>43998</c:v>
                </c:pt>
                <c:pt idx="582">
                  <c:v>43997</c:v>
                </c:pt>
                <c:pt idx="583">
                  <c:v>43996</c:v>
                </c:pt>
                <c:pt idx="584">
                  <c:v>43995</c:v>
                </c:pt>
                <c:pt idx="585">
                  <c:v>43994</c:v>
                </c:pt>
                <c:pt idx="586">
                  <c:v>43993</c:v>
                </c:pt>
                <c:pt idx="587">
                  <c:v>43992</c:v>
                </c:pt>
                <c:pt idx="588">
                  <c:v>43991</c:v>
                </c:pt>
                <c:pt idx="589">
                  <c:v>43990</c:v>
                </c:pt>
                <c:pt idx="590">
                  <c:v>43989</c:v>
                </c:pt>
                <c:pt idx="591">
                  <c:v>43988</c:v>
                </c:pt>
                <c:pt idx="592">
                  <c:v>43987</c:v>
                </c:pt>
                <c:pt idx="593">
                  <c:v>43986</c:v>
                </c:pt>
                <c:pt idx="594">
                  <c:v>43985</c:v>
                </c:pt>
                <c:pt idx="595">
                  <c:v>43984</c:v>
                </c:pt>
                <c:pt idx="596">
                  <c:v>43983</c:v>
                </c:pt>
                <c:pt idx="597">
                  <c:v>43982</c:v>
                </c:pt>
                <c:pt idx="598">
                  <c:v>43981</c:v>
                </c:pt>
                <c:pt idx="599">
                  <c:v>43980</c:v>
                </c:pt>
                <c:pt idx="600">
                  <c:v>43979</c:v>
                </c:pt>
                <c:pt idx="601">
                  <c:v>43978</c:v>
                </c:pt>
                <c:pt idx="602">
                  <c:v>43977</c:v>
                </c:pt>
                <c:pt idx="603">
                  <c:v>43976</c:v>
                </c:pt>
                <c:pt idx="604">
                  <c:v>43975</c:v>
                </c:pt>
                <c:pt idx="605">
                  <c:v>43974</c:v>
                </c:pt>
                <c:pt idx="606">
                  <c:v>43973</c:v>
                </c:pt>
                <c:pt idx="607">
                  <c:v>43972</c:v>
                </c:pt>
                <c:pt idx="608">
                  <c:v>43971</c:v>
                </c:pt>
                <c:pt idx="609">
                  <c:v>43970</c:v>
                </c:pt>
                <c:pt idx="610">
                  <c:v>43969</c:v>
                </c:pt>
                <c:pt idx="611">
                  <c:v>43968</c:v>
                </c:pt>
                <c:pt idx="612">
                  <c:v>43967</c:v>
                </c:pt>
                <c:pt idx="613">
                  <c:v>43966</c:v>
                </c:pt>
                <c:pt idx="614">
                  <c:v>43965</c:v>
                </c:pt>
                <c:pt idx="615">
                  <c:v>43964</c:v>
                </c:pt>
                <c:pt idx="616">
                  <c:v>43963</c:v>
                </c:pt>
                <c:pt idx="617">
                  <c:v>43962</c:v>
                </c:pt>
                <c:pt idx="618">
                  <c:v>43961</c:v>
                </c:pt>
                <c:pt idx="619">
                  <c:v>43960</c:v>
                </c:pt>
                <c:pt idx="620">
                  <c:v>43959</c:v>
                </c:pt>
                <c:pt idx="621">
                  <c:v>43958</c:v>
                </c:pt>
                <c:pt idx="622">
                  <c:v>43957</c:v>
                </c:pt>
                <c:pt idx="623">
                  <c:v>43956</c:v>
                </c:pt>
                <c:pt idx="624">
                  <c:v>43955</c:v>
                </c:pt>
                <c:pt idx="625">
                  <c:v>43954</c:v>
                </c:pt>
                <c:pt idx="626">
                  <c:v>43953</c:v>
                </c:pt>
                <c:pt idx="627">
                  <c:v>43952</c:v>
                </c:pt>
                <c:pt idx="628">
                  <c:v>43951</c:v>
                </c:pt>
                <c:pt idx="629">
                  <c:v>43950</c:v>
                </c:pt>
                <c:pt idx="630">
                  <c:v>43949</c:v>
                </c:pt>
                <c:pt idx="631">
                  <c:v>43948</c:v>
                </c:pt>
                <c:pt idx="632">
                  <c:v>43947</c:v>
                </c:pt>
                <c:pt idx="633">
                  <c:v>43946</c:v>
                </c:pt>
                <c:pt idx="634">
                  <c:v>43945</c:v>
                </c:pt>
                <c:pt idx="635">
                  <c:v>43944</c:v>
                </c:pt>
                <c:pt idx="636">
                  <c:v>43943</c:v>
                </c:pt>
                <c:pt idx="637">
                  <c:v>43942</c:v>
                </c:pt>
                <c:pt idx="638">
                  <c:v>43941</c:v>
                </c:pt>
                <c:pt idx="639">
                  <c:v>43940</c:v>
                </c:pt>
                <c:pt idx="640">
                  <c:v>43939</c:v>
                </c:pt>
                <c:pt idx="641">
                  <c:v>43938</c:v>
                </c:pt>
                <c:pt idx="642">
                  <c:v>43937</c:v>
                </c:pt>
                <c:pt idx="643">
                  <c:v>43936</c:v>
                </c:pt>
                <c:pt idx="644">
                  <c:v>43935</c:v>
                </c:pt>
                <c:pt idx="645">
                  <c:v>43934</c:v>
                </c:pt>
                <c:pt idx="646">
                  <c:v>43933</c:v>
                </c:pt>
                <c:pt idx="647">
                  <c:v>43932</c:v>
                </c:pt>
                <c:pt idx="648">
                  <c:v>43931</c:v>
                </c:pt>
                <c:pt idx="649">
                  <c:v>43930</c:v>
                </c:pt>
                <c:pt idx="650">
                  <c:v>43929</c:v>
                </c:pt>
                <c:pt idx="651">
                  <c:v>43928</c:v>
                </c:pt>
                <c:pt idx="652">
                  <c:v>43927</c:v>
                </c:pt>
                <c:pt idx="653">
                  <c:v>43926</c:v>
                </c:pt>
                <c:pt idx="654">
                  <c:v>43925</c:v>
                </c:pt>
                <c:pt idx="655">
                  <c:v>43924</c:v>
                </c:pt>
                <c:pt idx="656">
                  <c:v>43923</c:v>
                </c:pt>
                <c:pt idx="657">
                  <c:v>43922</c:v>
                </c:pt>
                <c:pt idx="658">
                  <c:v>43921</c:v>
                </c:pt>
                <c:pt idx="659">
                  <c:v>43920</c:v>
                </c:pt>
                <c:pt idx="660">
                  <c:v>43919</c:v>
                </c:pt>
                <c:pt idx="661">
                  <c:v>43918</c:v>
                </c:pt>
                <c:pt idx="662">
                  <c:v>43917</c:v>
                </c:pt>
                <c:pt idx="663">
                  <c:v>43916</c:v>
                </c:pt>
                <c:pt idx="664">
                  <c:v>43915</c:v>
                </c:pt>
                <c:pt idx="665">
                  <c:v>43914</c:v>
                </c:pt>
                <c:pt idx="666">
                  <c:v>43913</c:v>
                </c:pt>
                <c:pt idx="667">
                  <c:v>43912</c:v>
                </c:pt>
                <c:pt idx="668">
                  <c:v>43911</c:v>
                </c:pt>
                <c:pt idx="669">
                  <c:v>43910</c:v>
                </c:pt>
                <c:pt idx="670">
                  <c:v>43909</c:v>
                </c:pt>
                <c:pt idx="671">
                  <c:v>43908</c:v>
                </c:pt>
                <c:pt idx="672">
                  <c:v>43907</c:v>
                </c:pt>
                <c:pt idx="673">
                  <c:v>43906</c:v>
                </c:pt>
                <c:pt idx="674">
                  <c:v>43905</c:v>
                </c:pt>
                <c:pt idx="675">
                  <c:v>43904</c:v>
                </c:pt>
                <c:pt idx="676">
                  <c:v>43903</c:v>
                </c:pt>
                <c:pt idx="677">
                  <c:v>43902</c:v>
                </c:pt>
                <c:pt idx="678">
                  <c:v>43901</c:v>
                </c:pt>
                <c:pt idx="679">
                  <c:v>43900</c:v>
                </c:pt>
                <c:pt idx="680">
                  <c:v>43899</c:v>
                </c:pt>
                <c:pt idx="681">
                  <c:v>43898</c:v>
                </c:pt>
                <c:pt idx="682">
                  <c:v>43897</c:v>
                </c:pt>
                <c:pt idx="683">
                  <c:v>43896</c:v>
                </c:pt>
                <c:pt idx="684">
                  <c:v>43895</c:v>
                </c:pt>
                <c:pt idx="685">
                  <c:v>43894</c:v>
                </c:pt>
                <c:pt idx="686">
                  <c:v>43893</c:v>
                </c:pt>
                <c:pt idx="687">
                  <c:v>43892</c:v>
                </c:pt>
                <c:pt idx="688">
                  <c:v>43891</c:v>
                </c:pt>
                <c:pt idx="689">
                  <c:v>43890</c:v>
                </c:pt>
                <c:pt idx="690">
                  <c:v>43889</c:v>
                </c:pt>
                <c:pt idx="691">
                  <c:v>43888</c:v>
                </c:pt>
                <c:pt idx="692">
                  <c:v>43887</c:v>
                </c:pt>
                <c:pt idx="693">
                  <c:v>43886</c:v>
                </c:pt>
                <c:pt idx="694">
                  <c:v>43885</c:v>
                </c:pt>
                <c:pt idx="695">
                  <c:v>43884</c:v>
                </c:pt>
                <c:pt idx="696">
                  <c:v>43883</c:v>
                </c:pt>
                <c:pt idx="697">
                  <c:v>43882</c:v>
                </c:pt>
                <c:pt idx="698">
                  <c:v>43881</c:v>
                </c:pt>
                <c:pt idx="699">
                  <c:v>43880</c:v>
                </c:pt>
                <c:pt idx="700">
                  <c:v>43879</c:v>
                </c:pt>
                <c:pt idx="701">
                  <c:v>43878</c:v>
                </c:pt>
                <c:pt idx="702">
                  <c:v>43877</c:v>
                </c:pt>
                <c:pt idx="703">
                  <c:v>43876</c:v>
                </c:pt>
                <c:pt idx="704">
                  <c:v>43875</c:v>
                </c:pt>
                <c:pt idx="705">
                  <c:v>43874</c:v>
                </c:pt>
                <c:pt idx="706">
                  <c:v>43873</c:v>
                </c:pt>
                <c:pt idx="707">
                  <c:v>43872</c:v>
                </c:pt>
                <c:pt idx="708">
                  <c:v>43871</c:v>
                </c:pt>
                <c:pt idx="709">
                  <c:v>43870</c:v>
                </c:pt>
                <c:pt idx="710">
                  <c:v>43869</c:v>
                </c:pt>
                <c:pt idx="711">
                  <c:v>43868</c:v>
                </c:pt>
                <c:pt idx="712">
                  <c:v>43867</c:v>
                </c:pt>
                <c:pt idx="713">
                  <c:v>43866</c:v>
                </c:pt>
                <c:pt idx="714">
                  <c:v>43865</c:v>
                </c:pt>
                <c:pt idx="715">
                  <c:v>43864</c:v>
                </c:pt>
                <c:pt idx="716">
                  <c:v>43863</c:v>
                </c:pt>
                <c:pt idx="717">
                  <c:v>43862</c:v>
                </c:pt>
                <c:pt idx="718">
                  <c:v>43861</c:v>
                </c:pt>
                <c:pt idx="719">
                  <c:v>43860</c:v>
                </c:pt>
                <c:pt idx="720">
                  <c:v>43859</c:v>
                </c:pt>
                <c:pt idx="721">
                  <c:v>43858</c:v>
                </c:pt>
                <c:pt idx="722">
                  <c:v>43857</c:v>
                </c:pt>
                <c:pt idx="723">
                  <c:v>43856</c:v>
                </c:pt>
                <c:pt idx="724">
                  <c:v>43855</c:v>
                </c:pt>
                <c:pt idx="725">
                  <c:v>43854</c:v>
                </c:pt>
                <c:pt idx="726">
                  <c:v>43853</c:v>
                </c:pt>
                <c:pt idx="727">
                  <c:v>43852</c:v>
                </c:pt>
                <c:pt idx="728">
                  <c:v>43851</c:v>
                </c:pt>
                <c:pt idx="729">
                  <c:v>43850</c:v>
                </c:pt>
                <c:pt idx="730">
                  <c:v>43849</c:v>
                </c:pt>
                <c:pt idx="731">
                  <c:v>43848</c:v>
                </c:pt>
                <c:pt idx="732">
                  <c:v>43847</c:v>
                </c:pt>
                <c:pt idx="733">
                  <c:v>43846</c:v>
                </c:pt>
                <c:pt idx="734">
                  <c:v>43845</c:v>
                </c:pt>
                <c:pt idx="735">
                  <c:v>43844</c:v>
                </c:pt>
                <c:pt idx="736">
                  <c:v>43843</c:v>
                </c:pt>
                <c:pt idx="737">
                  <c:v>43842</c:v>
                </c:pt>
                <c:pt idx="738">
                  <c:v>43841</c:v>
                </c:pt>
                <c:pt idx="739">
                  <c:v>43840</c:v>
                </c:pt>
                <c:pt idx="740">
                  <c:v>43839</c:v>
                </c:pt>
                <c:pt idx="741">
                  <c:v>43838</c:v>
                </c:pt>
                <c:pt idx="742">
                  <c:v>43837</c:v>
                </c:pt>
                <c:pt idx="743">
                  <c:v>43836</c:v>
                </c:pt>
                <c:pt idx="744">
                  <c:v>43835</c:v>
                </c:pt>
                <c:pt idx="745">
                  <c:v>43834</c:v>
                </c:pt>
                <c:pt idx="746">
                  <c:v>43833</c:v>
                </c:pt>
                <c:pt idx="747">
                  <c:v>43832</c:v>
                </c:pt>
                <c:pt idx="748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2707.0155867021604</c:v>
                </c:pt>
                <c:pt idx="1">
                  <c:v>2707.0155867021604</c:v>
                </c:pt>
                <c:pt idx="2">
                  <c:v>2679.8666832868275</c:v>
                </c:pt>
                <c:pt idx="3">
                  <c:v>2582.3895004594856</c:v>
                </c:pt>
                <c:pt idx="4">
                  <c:v>2575.3645805237711</c:v>
                </c:pt>
                <c:pt idx="5">
                  <c:v>2589.5331815489781</c:v>
                </c:pt>
                <c:pt idx="6">
                  <c:v>2691.1434276369782</c:v>
                </c:pt>
                <c:pt idx="7">
                  <c:v>2640.2949577176078</c:v>
                </c:pt>
                <c:pt idx="8">
                  <c:v>2581.9921104220257</c:v>
                </c:pt>
                <c:pt idx="9">
                  <c:v>2645.6315588843854</c:v>
                </c:pt>
                <c:pt idx="10">
                  <c:v>2634.7448545819466</c:v>
                </c:pt>
                <c:pt idx="11">
                  <c:v>2681.0441394980753</c:v>
                </c:pt>
                <c:pt idx="12">
                  <c:v>2768.5884646818199</c:v>
                </c:pt>
                <c:pt idx="13">
                  <c:v>2726.9832472335206</c:v>
                </c:pt>
                <c:pt idx="14">
                  <c:v>2881.2695957790497</c:v>
                </c:pt>
                <c:pt idx="15">
                  <c:v>2850.3875774600792</c:v>
                </c:pt>
                <c:pt idx="16">
                  <c:v>2905.3255832941072</c:v>
                </c:pt>
                <c:pt idx="17">
                  <c:v>2845.5761813460699</c:v>
                </c:pt>
                <c:pt idx="18">
                  <c:v>2815.8884599103326</c:v>
                </c:pt>
                <c:pt idx="19">
                  <c:v>2839.8725088724254</c:v>
                </c:pt>
                <c:pt idx="20">
                  <c:v>2791.9833565328977</c:v>
                </c:pt>
                <c:pt idx="21">
                  <c:v>3033.2214083281474</c:v>
                </c:pt>
                <c:pt idx="22">
                  <c:v>3173.3256181793295</c:v>
                </c:pt>
                <c:pt idx="23">
                  <c:v>3263.7854008019103</c:v>
                </c:pt>
                <c:pt idx="24">
                  <c:v>3221.1433104625776</c:v>
                </c:pt>
                <c:pt idx="25">
                  <c:v>3217.4750168357482</c:v>
                </c:pt>
                <c:pt idx="26">
                  <c:v>3289.049794050839</c:v>
                </c:pt>
                <c:pt idx="27">
                  <c:v>3256.6225665030775</c:v>
                </c:pt>
                <c:pt idx="28">
                  <c:v>3269.6661447874008</c:v>
                </c:pt>
                <c:pt idx="29">
                  <c:v>3216.7169800004453</c:v>
                </c:pt>
                <c:pt idx="30">
                  <c:v>3159.5708212905424</c:v>
                </c:pt>
                <c:pt idx="31">
                  <c:v>3189.9682076734593</c:v>
                </c:pt>
                <c:pt idx="32">
                  <c:v>3154.2742026972996</c:v>
                </c:pt>
                <c:pt idx="33">
                  <c:v>3178.3812660868812</c:v>
                </c:pt>
                <c:pt idx="34">
                  <c:v>3262.4651492831313</c:v>
                </c:pt>
                <c:pt idx="35">
                  <c:v>3136.3176533642672</c:v>
                </c:pt>
                <c:pt idx="36">
                  <c:v>3064.882254090066</c:v>
                </c:pt>
                <c:pt idx="37">
                  <c:v>3181.2223418113895</c:v>
                </c:pt>
                <c:pt idx="38">
                  <c:v>3272.7368540135722</c:v>
                </c:pt>
                <c:pt idx="39">
                  <c:v>3265.426566182537</c:v>
                </c:pt>
                <c:pt idx="40">
                  <c:v>3495.7176030634578</c:v>
                </c:pt>
                <c:pt idx="41">
                  <c:v>3779.9514048266465</c:v>
                </c:pt>
                <c:pt idx="42">
                  <c:v>4062.9284051998116</c:v>
                </c:pt>
                <c:pt idx="43">
                  <c:v>3838.0048289894989</c:v>
                </c:pt>
                <c:pt idx="44">
                  <c:v>3045.1591945804212</c:v>
                </c:pt>
                <c:pt idx="45">
                  <c:v>3141.9004839964509</c:v>
                </c:pt>
                <c:pt idx="46">
                  <c:v>3055.9818721096631</c:v>
                </c:pt>
                <c:pt idx="47">
                  <c:v>3112.5572852711603</c:v>
                </c:pt>
                <c:pt idx="48">
                  <c:v>3100.5658537635445</c:v>
                </c:pt>
                <c:pt idx="49">
                  <c:v>3136.5005860475439</c:v>
                </c:pt>
                <c:pt idx="50">
                  <c:v>3179.5805367569465</c:v>
                </c:pt>
                <c:pt idx="51">
                  <c:v>3103.6542479417176</c:v>
                </c:pt>
                <c:pt idx="52">
                  <c:v>2940.6741088240178</c:v>
                </c:pt>
                <c:pt idx="53">
                  <c:v>2996.0555134632486</c:v>
                </c:pt>
                <c:pt idx="54">
                  <c:v>3127.3765319447484</c:v>
                </c:pt>
                <c:pt idx="55">
                  <c:v>3073.0132554313759</c:v>
                </c:pt>
                <c:pt idx="56">
                  <c:v>3092.5951607972852</c:v>
                </c:pt>
                <c:pt idx="57">
                  <c:v>3095.7696569747263</c:v>
                </c:pt>
                <c:pt idx="58">
                  <c:v>3150.9750848393369</c:v>
                </c:pt>
                <c:pt idx="59">
                  <c:v>3236.7778581242433</c:v>
                </c:pt>
                <c:pt idx="60">
                  <c:v>3147.9700895069823</c:v>
                </c:pt>
                <c:pt idx="61">
                  <c:v>3088.2427627023412</c:v>
                </c:pt>
                <c:pt idx="62">
                  <c:v>3182.3222327444078</c:v>
                </c:pt>
                <c:pt idx="63">
                  <c:v>3055.6763335707556</c:v>
                </c:pt>
                <c:pt idx="64">
                  <c:v>3090.7358317800522</c:v>
                </c:pt>
                <c:pt idx="65">
                  <c:v>3209.19678793193</c:v>
                </c:pt>
                <c:pt idx="66">
                  <c:v>3210.7678747038576</c:v>
                </c:pt>
                <c:pt idx="67">
                  <c:v>3192.2155918463577</c:v>
                </c:pt>
                <c:pt idx="68">
                  <c:v>3189.6555401356372</c:v>
                </c:pt>
                <c:pt idx="69">
                  <c:v>3178.0959891612347</c:v>
                </c:pt>
                <c:pt idx="70">
                  <c:v>3207.9057006676667</c:v>
                </c:pt>
                <c:pt idx="71">
                  <c:v>3180.8893696794007</c:v>
                </c:pt>
                <c:pt idx="72">
                  <c:v>3091.0035340063246</c:v>
                </c:pt>
                <c:pt idx="73">
                  <c:v>3068.8961348019197</c:v>
                </c:pt>
                <c:pt idx="74">
                  <c:v>2989.8723099399867</c:v>
                </c:pt>
                <c:pt idx="75">
                  <c:v>3019.3572643365437</c:v>
                </c:pt>
                <c:pt idx="76">
                  <c:v>3088.5779829822995</c:v>
                </c:pt>
                <c:pt idx="77">
                  <c:v>3051.0687337645131</c:v>
                </c:pt>
                <c:pt idx="78">
                  <c:v>3044.6651521765357</c:v>
                </c:pt>
                <c:pt idx="79">
                  <c:v>3051.0211487357947</c:v>
                </c:pt>
                <c:pt idx="80">
                  <c:v>3063.0645727487281</c:v>
                </c:pt>
                <c:pt idx="81">
                  <c:v>3274.1723481175559</c:v>
                </c:pt>
                <c:pt idx="82">
                  <c:v>3142.2307757740832</c:v>
                </c:pt>
                <c:pt idx="83">
                  <c:v>3044.0152248954896</c:v>
                </c:pt>
                <c:pt idx="84">
                  <c:v>3117.2709090176077</c:v>
                </c:pt>
                <c:pt idx="85">
                  <c:v>3194.410388261133</c:v>
                </c:pt>
                <c:pt idx="86">
                  <c:v>3104.9447674068988</c:v>
                </c:pt>
                <c:pt idx="87">
                  <c:v>3111.6834000575241</c:v>
                </c:pt>
                <c:pt idx="88">
                  <c:v>3047.5303894644999</c:v>
                </c:pt>
                <c:pt idx="89">
                  <c:v>3058.0226668678738</c:v>
                </c:pt>
                <c:pt idx="90">
                  <c:v>3177.8258622797484</c:v>
                </c:pt>
                <c:pt idx="91">
                  <c:v>3079.9891196797485</c:v>
                </c:pt>
                <c:pt idx="92">
                  <c:v>3059.8810381689145</c:v>
                </c:pt>
                <c:pt idx="93">
                  <c:v>3063.4707858595602</c:v>
                </c:pt>
                <c:pt idx="94">
                  <c:v>3053.9509957887553</c:v>
                </c:pt>
                <c:pt idx="95">
                  <c:v>3094.9851248797236</c:v>
                </c:pt>
                <c:pt idx="96">
                  <c:v>3112.155914861451</c:v>
                </c:pt>
                <c:pt idx="97">
                  <c:v>3135.858117031451</c:v>
                </c:pt>
                <c:pt idx="98">
                  <c:v>3055.9615082614509</c:v>
                </c:pt>
                <c:pt idx="99">
                  <c:v>3050.0399389451318</c:v>
                </c:pt>
                <c:pt idx="100">
                  <c:v>3090.2455448267701</c:v>
                </c:pt>
                <c:pt idx="101">
                  <c:v>3228.8493032065039</c:v>
                </c:pt>
                <c:pt idx="102">
                  <c:v>3124.4014626646372</c:v>
                </c:pt>
                <c:pt idx="103">
                  <c:v>3131.807553772303</c:v>
                </c:pt>
                <c:pt idx="104">
                  <c:v>3133.311342307843</c:v>
                </c:pt>
                <c:pt idx="105">
                  <c:v>3069.3892535424802</c:v>
                </c:pt>
                <c:pt idx="106">
                  <c:v>2994.597802343616</c:v>
                </c:pt>
                <c:pt idx="107">
                  <c:v>2978.2161190939191</c:v>
                </c:pt>
                <c:pt idx="108">
                  <c:v>2957.2614277287762</c:v>
                </c:pt>
                <c:pt idx="109">
                  <c:v>2962.1445649647758</c:v>
                </c:pt>
                <c:pt idx="110">
                  <c:v>2902.7202509577173</c:v>
                </c:pt>
                <c:pt idx="111">
                  <c:v>2854.9157451594219</c:v>
                </c:pt>
                <c:pt idx="112">
                  <c:v>2856.2196723551888</c:v>
                </c:pt>
                <c:pt idx="113">
                  <c:v>2897.4323024009032</c:v>
                </c:pt>
                <c:pt idx="114">
                  <c:v>2949.1732337412177</c:v>
                </c:pt>
                <c:pt idx="115">
                  <c:v>2923.9268953780597</c:v>
                </c:pt>
                <c:pt idx="116">
                  <c:v>2930.155474083615</c:v>
                </c:pt>
                <c:pt idx="117">
                  <c:v>2938.6609217394848</c:v>
                </c:pt>
                <c:pt idx="118">
                  <c:v>2893.0035863967923</c:v>
                </c:pt>
                <c:pt idx="119">
                  <c:v>2816.7320464765317</c:v>
                </c:pt>
                <c:pt idx="120">
                  <c:v>2886.2557193917542</c:v>
                </c:pt>
                <c:pt idx="121">
                  <c:v>2925.9124622762847</c:v>
                </c:pt>
                <c:pt idx="122">
                  <c:v>2961.2264728759037</c:v>
                </c:pt>
                <c:pt idx="123">
                  <c:v>2955.524217449984</c:v>
                </c:pt>
                <c:pt idx="124">
                  <c:v>2999.964172610511</c:v>
                </c:pt>
                <c:pt idx="125">
                  <c:v>3012.1286900150467</c:v>
                </c:pt>
                <c:pt idx="126">
                  <c:v>2970.2624596737428</c:v>
                </c:pt>
                <c:pt idx="127">
                  <c:v>2909.5387847325219</c:v>
                </c:pt>
                <c:pt idx="128">
                  <c:v>2940.3522026413343</c:v>
                </c:pt>
                <c:pt idx="129">
                  <c:v>2887.8598155820855</c:v>
                </c:pt>
                <c:pt idx="130">
                  <c:v>2883.7298371613165</c:v>
                </c:pt>
                <c:pt idx="131">
                  <c:v>2931.7224460541811</c:v>
                </c:pt>
                <c:pt idx="132">
                  <c:v>2918.1706164843299</c:v>
                </c:pt>
                <c:pt idx="133">
                  <c:v>2775.435428073125</c:v>
                </c:pt>
                <c:pt idx="134">
                  <c:v>2792.9596641098778</c:v>
                </c:pt>
                <c:pt idx="135">
                  <c:v>2737.8196458097336</c:v>
                </c:pt>
                <c:pt idx="136">
                  <c:v>2670.7867304375955</c:v>
                </c:pt>
                <c:pt idx="137">
                  <c:v>2709.5047173148555</c:v>
                </c:pt>
                <c:pt idx="138">
                  <c:v>2810.8442042528809</c:v>
                </c:pt>
                <c:pt idx="139">
                  <c:v>2681.8087744711793</c:v>
                </c:pt>
                <c:pt idx="140">
                  <c:v>2552.0617068069055</c:v>
                </c:pt>
                <c:pt idx="141">
                  <c:v>2513.5090371807983</c:v>
                </c:pt>
                <c:pt idx="142">
                  <c:v>2563.5041568627043</c:v>
                </c:pt>
                <c:pt idx="143">
                  <c:v>2640.3455893672503</c:v>
                </c:pt>
                <c:pt idx="144">
                  <c:v>2644.4931824054861</c:v>
                </c:pt>
                <c:pt idx="145">
                  <c:v>2551.6107566799164</c:v>
                </c:pt>
                <c:pt idx="146">
                  <c:v>2617.4742772534355</c:v>
                </c:pt>
                <c:pt idx="147">
                  <c:v>2555.1068987538415</c:v>
                </c:pt>
                <c:pt idx="148">
                  <c:v>2619.3072191626757</c:v>
                </c:pt>
                <c:pt idx="149">
                  <c:v>2591.2359817944543</c:v>
                </c:pt>
                <c:pt idx="150">
                  <c:v>2585.6381502902018</c:v>
                </c:pt>
                <c:pt idx="151">
                  <c:v>2639.9202179661343</c:v>
                </c:pt>
                <c:pt idx="152">
                  <c:v>2557.1966106670602</c:v>
                </c:pt>
                <c:pt idx="153">
                  <c:v>2438.65302169706</c:v>
                </c:pt>
                <c:pt idx="154">
                  <c:v>2369.0847386598975</c:v>
                </c:pt>
                <c:pt idx="155">
                  <c:v>2492.8100316474643</c:v>
                </c:pt>
                <c:pt idx="156">
                  <c:v>2535.6913288386013</c:v>
                </c:pt>
                <c:pt idx="157">
                  <c:v>2487.4706160367191</c:v>
                </c:pt>
                <c:pt idx="158">
                  <c:v>2490.1419025906607</c:v>
                </c:pt>
                <c:pt idx="159">
                  <c:v>2347.2378560367606</c:v>
                </c:pt>
                <c:pt idx="160">
                  <c:v>2342.6131831833618</c:v>
                </c:pt>
                <c:pt idx="161">
                  <c:v>2196.8375226741846</c:v>
                </c:pt>
                <c:pt idx="162">
                  <c:v>2142.4653343944415</c:v>
                </c:pt>
                <c:pt idx="163">
                  <c:v>2070.8683218128281</c:v>
                </c:pt>
                <c:pt idx="164">
                  <c:v>2214.8795359229312</c:v>
                </c:pt>
                <c:pt idx="165">
                  <c:v>2191.6350509543868</c:v>
                </c:pt>
                <c:pt idx="166">
                  <c:v>2009.4545187353392</c:v>
                </c:pt>
                <c:pt idx="167">
                  <c:v>1897.9677773439741</c:v>
                </c:pt>
                <c:pt idx="168">
                  <c:v>1762.6861525064955</c:v>
                </c:pt>
                <c:pt idx="169">
                  <c:v>1728.0184834888851</c:v>
                </c:pt>
                <c:pt idx="170">
                  <c:v>1706.5219247450805</c:v>
                </c:pt>
                <c:pt idx="171">
                  <c:v>1821.5849308656054</c:v>
                </c:pt>
                <c:pt idx="172">
                  <c:v>1822.5596506012234</c:v>
                </c:pt>
                <c:pt idx="173">
                  <c:v>1741.5749432169487</c:v>
                </c:pt>
                <c:pt idx="174">
                  <c:v>1733.4009204329268</c:v>
                </c:pt>
                <c:pt idx="175">
                  <c:v>1842.3546702550284</c:v>
                </c:pt>
                <c:pt idx="176">
                  <c:v>1723.7585565378702</c:v>
                </c:pt>
                <c:pt idx="177">
                  <c:v>1823.1873548466458</c:v>
                </c:pt>
                <c:pt idx="178">
                  <c:v>1781.4058180227867</c:v>
                </c:pt>
                <c:pt idx="179">
                  <c:v>1774.7236599220744</c:v>
                </c:pt>
                <c:pt idx="180">
                  <c:v>1718.8897110168491</c:v>
                </c:pt>
                <c:pt idx="181">
                  <c:v>1665.4382833355357</c:v>
                </c:pt>
                <c:pt idx="182">
                  <c:v>1598.3099236313747</c:v>
                </c:pt>
                <c:pt idx="183">
                  <c:v>1650.5761257908791</c:v>
                </c:pt>
                <c:pt idx="184">
                  <c:v>1689.2706763550532</c:v>
                </c:pt>
                <c:pt idx="185">
                  <c:v>1710.0128337268031</c:v>
                </c:pt>
                <c:pt idx="186">
                  <c:v>1684.6503758838135</c:v>
                </c:pt>
                <c:pt idx="187">
                  <c:v>1722.8936051793726</c:v>
                </c:pt>
                <c:pt idx="188">
                  <c:v>1749.701308565561</c:v>
                </c:pt>
                <c:pt idx="189">
                  <c:v>1723.8664047757145</c:v>
                </c:pt>
                <c:pt idx="190">
                  <c:v>1743.114691392761</c:v>
                </c:pt>
                <c:pt idx="191">
                  <c:v>1758.8202231362877</c:v>
                </c:pt>
                <c:pt idx="192">
                  <c:v>1742.7375513137561</c:v>
                </c:pt>
                <c:pt idx="193">
                  <c:v>1759.0074540503595</c:v>
                </c:pt>
                <c:pt idx="194">
                  <c:v>1719.6000012434181</c:v>
                </c:pt>
                <c:pt idx="195">
                  <c:v>1754.9231917377845</c:v>
                </c:pt>
                <c:pt idx="196">
                  <c:v>1794.7045418615389</c:v>
                </c:pt>
                <c:pt idx="197">
                  <c:v>1805.9983515303422</c:v>
                </c:pt>
                <c:pt idx="198">
                  <c:v>1830.9579094439171</c:v>
                </c:pt>
                <c:pt idx="199">
                  <c:v>1821.203204835592</c:v>
                </c:pt>
                <c:pt idx="200">
                  <c:v>1813.670060752368</c:v>
                </c:pt>
                <c:pt idx="201">
                  <c:v>1766.2752846045921</c:v>
                </c:pt>
                <c:pt idx="202">
                  <c:v>1810.5148290457248</c:v>
                </c:pt>
                <c:pt idx="203">
                  <c:v>1745.5262101501512</c:v>
                </c:pt>
                <c:pt idx="204">
                  <c:v>1689.5151859065252</c:v>
                </c:pt>
                <c:pt idx="205">
                  <c:v>1640.6578361088684</c:v>
                </c:pt>
                <c:pt idx="206">
                  <c:v>1561.6312102377603</c:v>
                </c:pt>
                <c:pt idx="207">
                  <c:v>1463.9981998152352</c:v>
                </c:pt>
                <c:pt idx="208">
                  <c:v>1611.4483600487156</c:v>
                </c:pt>
                <c:pt idx="209">
                  <c:v>1473.6468969512825</c:v>
                </c:pt>
                <c:pt idx="210">
                  <c:v>1334.5862269794768</c:v>
                </c:pt>
                <c:pt idx="211">
                  <c:v>1171.4062167389889</c:v>
                </c:pt>
                <c:pt idx="212">
                  <c:v>1411.60148280157</c:v>
                </c:pt>
                <c:pt idx="213">
                  <c:v>1343.4221813663482</c:v>
                </c:pt>
                <c:pt idx="214">
                  <c:v>1413.6933215590416</c:v>
                </c:pt>
                <c:pt idx="215">
                  <c:v>1457.484484464718</c:v>
                </c:pt>
                <c:pt idx="216">
                  <c:v>1438.1698586714435</c:v>
                </c:pt>
                <c:pt idx="217">
                  <c:v>1491.9993632233086</c:v>
                </c:pt>
                <c:pt idx="218">
                  <c:v>1525.3377861861168</c:v>
                </c:pt>
                <c:pt idx="219">
                  <c:v>1489.3010581079691</c:v>
                </c:pt>
                <c:pt idx="220">
                  <c:v>1456.5536169214167</c:v>
                </c:pt>
                <c:pt idx="221">
                  <c:v>1494.404322381567</c:v>
                </c:pt>
                <c:pt idx="222">
                  <c:v>1548.8974740941333</c:v>
                </c:pt>
                <c:pt idx="223">
                  <c:v>1617.1456908195291</c:v>
                </c:pt>
                <c:pt idx="224">
                  <c:v>1468.8839482317424</c:v>
                </c:pt>
                <c:pt idx="225">
                  <c:v>1366.8593758645331</c:v>
                </c:pt>
                <c:pt idx="226">
                  <c:v>1471.4115544662259</c:v>
                </c:pt>
                <c:pt idx="227">
                  <c:v>1431.6600599249239</c:v>
                </c:pt>
                <c:pt idx="228">
                  <c:v>1500.0341415719824</c:v>
                </c:pt>
                <c:pt idx="229">
                  <c:v>1493.5193023336828</c:v>
                </c:pt>
                <c:pt idx="230">
                  <c:v>1346.0092150812311</c:v>
                </c:pt>
                <c:pt idx="231">
                  <c:v>1336.4777789919281</c:v>
                </c:pt>
                <c:pt idx="232">
                  <c:v>1352.9652383149325</c:v>
                </c:pt>
                <c:pt idx="233">
                  <c:v>1244.5743488392773</c:v>
                </c:pt>
                <c:pt idx="234">
                  <c:v>1175.1073845883298</c:v>
                </c:pt>
                <c:pt idx="235">
                  <c:v>1227.142542657313</c:v>
                </c:pt>
                <c:pt idx="236">
                  <c:v>1344.1193241144263</c:v>
                </c:pt>
                <c:pt idx="237">
                  <c:v>1393.0506637857841</c:v>
                </c:pt>
                <c:pt idx="238">
                  <c:v>1275.1266906527653</c:v>
                </c:pt>
                <c:pt idx="239">
                  <c:v>1270.5469012729523</c:v>
                </c:pt>
                <c:pt idx="240">
                  <c:v>961.24561939861769</c:v>
                </c:pt>
                <c:pt idx="241">
                  <c:v>990.86985618332449</c:v>
                </c:pt>
                <c:pt idx="242">
                  <c:v>1024.9399412908804</c:v>
                </c:pt>
                <c:pt idx="243">
                  <c:v>1131.2576070455077</c:v>
                </c:pt>
                <c:pt idx="244">
                  <c:v>942.97085697049249</c:v>
                </c:pt>
                <c:pt idx="245">
                  <c:v>1083.374009382746</c:v>
                </c:pt>
                <c:pt idx="246">
                  <c:v>1126.34155186762</c:v>
                </c:pt>
                <c:pt idx="247">
                  <c:v>1164.5280615670911</c:v>
                </c:pt>
                <c:pt idx="248">
                  <c:v>1233.0978474577455</c:v>
                </c:pt>
                <c:pt idx="249">
                  <c:v>1378.901106488227</c:v>
                </c:pt>
                <c:pt idx="250">
                  <c:v>1315.2011027377766</c:v>
                </c:pt>
                <c:pt idx="251">
                  <c:v>1096.3920482078593</c:v>
                </c:pt>
                <c:pt idx="252">
                  <c:v>1317.0659669176071</c:v>
                </c:pt>
                <c:pt idx="253">
                  <c:v>1103.7406436138012</c:v>
                </c:pt>
                <c:pt idx="254">
                  <c:v>1236.4027638218506</c:v>
                </c:pt>
                <c:pt idx="255">
                  <c:v>1093.6801514612282</c:v>
                </c:pt>
                <c:pt idx="256">
                  <c:v>1382.755930409242</c:v>
                </c:pt>
                <c:pt idx="257">
                  <c:v>2180.5955886150359</c:v>
                </c:pt>
                <c:pt idx="258">
                  <c:v>1742.8954816993062</c:v>
                </c:pt>
                <c:pt idx="259">
                  <c:v>1279.1945019872483</c:v>
                </c:pt>
                <c:pt idx="260">
                  <c:v>1517.2958174464572</c:v>
                </c:pt>
                <c:pt idx="261">
                  <c:v>1602.0202602761597</c:v>
                </c:pt>
                <c:pt idx="262">
                  <c:v>1656.1527923357417</c:v>
                </c:pt>
                <c:pt idx="263">
                  <c:v>1652.3374278709587</c:v>
                </c:pt>
                <c:pt idx="264">
                  <c:v>1428.6958521149024</c:v>
                </c:pt>
                <c:pt idx="265">
                  <c:v>1461.8873856537582</c:v>
                </c:pt>
                <c:pt idx="266">
                  <c:v>1543.0080004068391</c:v>
                </c:pt>
                <c:pt idx="267">
                  <c:v>1526.3224749807337</c:v>
                </c:pt>
                <c:pt idx="268">
                  <c:v>1193.6130853673681</c:v>
                </c:pt>
                <c:pt idx="269">
                  <c:v>1152.896117505114</c:v>
                </c:pt>
                <c:pt idx="270">
                  <c:v>1846.1697526727796</c:v>
                </c:pt>
                <c:pt idx="271">
                  <c:v>759.73963350831843</c:v>
                </c:pt>
                <c:pt idx="272">
                  <c:v>1084.0286460352115</c:v>
                </c:pt>
                <c:pt idx="273">
                  <c:v>1261.6559520998862</c:v>
                </c:pt>
                <c:pt idx="274">
                  <c:v>1068.8382413095783</c:v>
                </c:pt>
                <c:pt idx="275">
                  <c:v>1160.2369630795272</c:v>
                </c:pt>
                <c:pt idx="276">
                  <c:v>1232.5702580811299</c:v>
                </c:pt>
                <c:pt idx="277">
                  <c:v>1492.3643400236692</c:v>
                </c:pt>
                <c:pt idx="278">
                  <c:v>1633.3427943362681</c:v>
                </c:pt>
                <c:pt idx="279">
                  <c:v>1414.1337827272505</c:v>
                </c:pt>
                <c:pt idx="280">
                  <c:v>1362.8762383152525</c:v>
                </c:pt>
                <c:pt idx="281">
                  <c:v>1281.0991659163403</c:v>
                </c:pt>
                <c:pt idx="282">
                  <c:v>1603.2365653966235</c:v>
                </c:pt>
                <c:pt idx="283">
                  <c:v>1567.2184007123926</c:v>
                </c:pt>
                <c:pt idx="284">
                  <c:v>1599.5000568480252</c:v>
                </c:pt>
                <c:pt idx="285">
                  <c:v>1814.1014900241255</c:v>
                </c:pt>
                <c:pt idx="286">
                  <c:v>1124.585448669812</c:v>
                </c:pt>
                <c:pt idx="287">
                  <c:v>1845.5427441260656</c:v>
                </c:pt>
                <c:pt idx="288">
                  <c:v>1886.16166217513</c:v>
                </c:pt>
                <c:pt idx="289">
                  <c:v>3208.0139355743459</c:v>
                </c:pt>
                <c:pt idx="290">
                  <c:v>1773.470246872145</c:v>
                </c:pt>
                <c:pt idx="291">
                  <c:v>1798.1381866514241</c:v>
                </c:pt>
                <c:pt idx="292">
                  <c:v>776.89267095794526</c:v>
                </c:pt>
                <c:pt idx="293">
                  <c:v>790.88907979203952</c:v>
                </c:pt>
                <c:pt idx="294">
                  <c:v>396.2284064779094</c:v>
                </c:pt>
                <c:pt idx="295">
                  <c:v>-688.18483444310914</c:v>
                </c:pt>
                <c:pt idx="296">
                  <c:v>-779.35597217650945</c:v>
                </c:pt>
                <c:pt idx="297">
                  <c:v>-597.60765623517455</c:v>
                </c:pt>
                <c:pt idx="298">
                  <c:v>-722.6869669274131</c:v>
                </c:pt>
                <c:pt idx="299">
                  <c:v>-1179.6632145431911</c:v>
                </c:pt>
                <c:pt idx="300">
                  <c:v>-1193.2242702390963</c:v>
                </c:pt>
                <c:pt idx="301">
                  <c:v>-785.09376166591483</c:v>
                </c:pt>
                <c:pt idx="302">
                  <c:v>-572.03689029257941</c:v>
                </c:pt>
                <c:pt idx="303">
                  <c:v>-195.58758142276062</c:v>
                </c:pt>
                <c:pt idx="304">
                  <c:v>-928.30221238350316</c:v>
                </c:pt>
                <c:pt idx="305">
                  <c:v>-85.493289889411159</c:v>
                </c:pt>
                <c:pt idx="306">
                  <c:v>-1016.0908386584189</c:v>
                </c:pt>
                <c:pt idx="307">
                  <c:v>-1016.4043824347962</c:v>
                </c:pt>
                <c:pt idx="308">
                  <c:v>-1086.586852382819</c:v>
                </c:pt>
                <c:pt idx="309">
                  <c:v>-1249.4277967727185</c:v>
                </c:pt>
                <c:pt idx="310">
                  <c:v>-1088.7152413298668</c:v>
                </c:pt>
                <c:pt idx="311">
                  <c:v>-814.03286258324101</c:v>
                </c:pt>
                <c:pt idx="312">
                  <c:v>-974.28902173117615</c:v>
                </c:pt>
                <c:pt idx="313">
                  <c:v>-892.68974673392211</c:v>
                </c:pt>
                <c:pt idx="314">
                  <c:v>-864.70379174128982</c:v>
                </c:pt>
                <c:pt idx="315">
                  <c:v>-848.31923891882036</c:v>
                </c:pt>
                <c:pt idx="316">
                  <c:v>-943.3977691377213</c:v>
                </c:pt>
                <c:pt idx="317">
                  <c:v>-888.71100951408278</c:v>
                </c:pt>
                <c:pt idx="318">
                  <c:v>-933.75661167293367</c:v>
                </c:pt>
                <c:pt idx="319">
                  <c:v>-919.67732492443076</c:v>
                </c:pt>
                <c:pt idx="320">
                  <c:v>-1055.1364224092797</c:v>
                </c:pt>
                <c:pt idx="321">
                  <c:v>-1016.341522611481</c:v>
                </c:pt>
                <c:pt idx="322">
                  <c:v>-1031.6532230775674</c:v>
                </c:pt>
                <c:pt idx="323">
                  <c:v>-1012.4574416267707</c:v>
                </c:pt>
                <c:pt idx="324">
                  <c:v>-1180.1330896289535</c:v>
                </c:pt>
                <c:pt idx="325">
                  <c:v>-1152.606518139954</c:v>
                </c:pt>
                <c:pt idx="326">
                  <c:v>-1065.965750048525</c:v>
                </c:pt>
                <c:pt idx="327">
                  <c:v>-1017.3644635165247</c:v>
                </c:pt>
                <c:pt idx="328">
                  <c:v>-854.60925508049559</c:v>
                </c:pt>
                <c:pt idx="329">
                  <c:v>-879.07219820793091</c:v>
                </c:pt>
                <c:pt idx="330">
                  <c:v>-895.06200076639868</c:v>
                </c:pt>
                <c:pt idx="331">
                  <c:v>-920.05039079871642</c:v>
                </c:pt>
                <c:pt idx="332">
                  <c:v>-1270.8484563231352</c:v>
                </c:pt>
                <c:pt idx="333">
                  <c:v>-871.49404298508762</c:v>
                </c:pt>
                <c:pt idx="334">
                  <c:v>-920.80802549059956</c:v>
                </c:pt>
                <c:pt idx="335">
                  <c:v>-990.31080676311853</c:v>
                </c:pt>
                <c:pt idx="336">
                  <c:v>-906.94992580854455</c:v>
                </c:pt>
                <c:pt idx="337">
                  <c:v>-924.31219933320187</c:v>
                </c:pt>
                <c:pt idx="338">
                  <c:v>-969.51344486791277</c:v>
                </c:pt>
                <c:pt idx="339">
                  <c:v>-917.70197847490385</c:v>
                </c:pt>
                <c:pt idx="340">
                  <c:v>-983.14043977427184</c:v>
                </c:pt>
                <c:pt idx="341">
                  <c:v>-772.65300719522622</c:v>
                </c:pt>
                <c:pt idx="342">
                  <c:v>-1104.6203051067657</c:v>
                </c:pt>
                <c:pt idx="343">
                  <c:v>-883.37774582286568</c:v>
                </c:pt>
                <c:pt idx="344">
                  <c:v>1743.490210489658</c:v>
                </c:pt>
                <c:pt idx="345">
                  <c:v>1483.840668672487</c:v>
                </c:pt>
                <c:pt idx="346">
                  <c:v>1394.3025809806024</c:v>
                </c:pt>
                <c:pt idx="347">
                  <c:v>1386.7279999783925</c:v>
                </c:pt>
                <c:pt idx="348">
                  <c:v>1260.7233810411196</c:v>
                </c:pt>
                <c:pt idx="349">
                  <c:v>1317.3496694480857</c:v>
                </c:pt>
                <c:pt idx="350">
                  <c:v>1334.1026675844857</c:v>
                </c:pt>
                <c:pt idx="351">
                  <c:v>1244.0712110349577</c:v>
                </c:pt>
                <c:pt idx="352">
                  <c:v>1250.1256048694988</c:v>
                </c:pt>
                <c:pt idx="353">
                  <c:v>1309.4871405005581</c:v>
                </c:pt>
                <c:pt idx="354">
                  <c:v>1351.1898455167411</c:v>
                </c:pt>
                <c:pt idx="355">
                  <c:v>1503.6058997050141</c:v>
                </c:pt>
                <c:pt idx="356">
                  <c:v>1396.3611290578419</c:v>
                </c:pt>
                <c:pt idx="357">
                  <c:v>1470.4530985860233</c:v>
                </c:pt>
                <c:pt idx="358">
                  <c:v>1471.0669027428528</c:v>
                </c:pt>
                <c:pt idx="359">
                  <c:v>1542.3695955212188</c:v>
                </c:pt>
                <c:pt idx="360">
                  <c:v>1552.8097893845654</c:v>
                </c:pt>
                <c:pt idx="361">
                  <c:v>1501.1351968378367</c:v>
                </c:pt>
                <c:pt idx="362">
                  <c:v>1441.4309217375735</c:v>
                </c:pt>
                <c:pt idx="363">
                  <c:v>1499.7587860066485</c:v>
                </c:pt>
                <c:pt idx="364">
                  <c:v>1493.7781216364342</c:v>
                </c:pt>
                <c:pt idx="365">
                  <c:v>1587.5426036425661</c:v>
                </c:pt>
                <c:pt idx="366">
                  <c:v>1487.4455535474347</c:v>
                </c:pt>
                <c:pt idx="367">
                  <c:v>1512.0231322693398</c:v>
                </c:pt>
                <c:pt idx="368">
                  <c:v>1501.9087836241724</c:v>
                </c:pt>
                <c:pt idx="369">
                  <c:v>1519.0392492970293</c:v>
                </c:pt>
                <c:pt idx="370">
                  <c:v>1435.5465288601481</c:v>
                </c:pt>
                <c:pt idx="371">
                  <c:v>1357.9867070544105</c:v>
                </c:pt>
                <c:pt idx="372">
                  <c:v>1372.6620771506089</c:v>
                </c:pt>
                <c:pt idx="373">
                  <c:v>1420.9984924963669</c:v>
                </c:pt>
                <c:pt idx="374">
                  <c:v>1350.0447777569123</c:v>
                </c:pt>
                <c:pt idx="375">
                  <c:v>1479.5651468067401</c:v>
                </c:pt>
                <c:pt idx="376">
                  <c:v>1440.3604070173701</c:v>
                </c:pt>
                <c:pt idx="377">
                  <c:v>1411.6572769810407</c:v>
                </c:pt>
                <c:pt idx="378">
                  <c:v>1390.0969544426655</c:v>
                </c:pt>
                <c:pt idx="379">
                  <c:v>1329.9574788368514</c:v>
                </c:pt>
                <c:pt idx="380">
                  <c:v>1321.5262108567592</c:v>
                </c:pt>
                <c:pt idx="381">
                  <c:v>1485.0928712863215</c:v>
                </c:pt>
                <c:pt idx="382">
                  <c:v>1425.7036298749358</c:v>
                </c:pt>
                <c:pt idx="383">
                  <c:v>1356.3562550486338</c:v>
                </c:pt>
                <c:pt idx="384">
                  <c:v>1392.7028986252647</c:v>
                </c:pt>
                <c:pt idx="385">
                  <c:v>1266.6131990122435</c:v>
                </c:pt>
                <c:pt idx="386">
                  <c:v>1307.487088302986</c:v>
                </c:pt>
                <c:pt idx="387">
                  <c:v>1377.006781927716</c:v>
                </c:pt>
                <c:pt idx="388">
                  <c:v>1367.1857504270918</c:v>
                </c:pt>
                <c:pt idx="389">
                  <c:v>1421.199831169803</c:v>
                </c:pt>
                <c:pt idx="390">
                  <c:v>1349.7286657989982</c:v>
                </c:pt>
                <c:pt idx="391">
                  <c:v>1202.7810450711067</c:v>
                </c:pt>
                <c:pt idx="392">
                  <c:v>1323.4955830434369</c:v>
                </c:pt>
                <c:pt idx="393">
                  <c:v>1255.5939363734367</c:v>
                </c:pt>
                <c:pt idx="394">
                  <c:v>1329.4310925580523</c:v>
                </c:pt>
                <c:pt idx="395">
                  <c:v>1350.9144435117232</c:v>
                </c:pt>
                <c:pt idx="396">
                  <c:v>1268.7947978289642</c:v>
                </c:pt>
                <c:pt idx="397">
                  <c:v>1214.9519271789648</c:v>
                </c:pt>
                <c:pt idx="398">
                  <c:v>1342.4437288520901</c:v>
                </c:pt>
                <c:pt idx="399">
                  <c:v>1234.0102893448902</c:v>
                </c:pt>
                <c:pt idx="400">
                  <c:v>1313.8302143948099</c:v>
                </c:pt>
                <c:pt idx="401">
                  <c:v>1251.235329279579</c:v>
                </c:pt>
                <c:pt idx="402">
                  <c:v>1256.0401189183422</c:v>
                </c:pt>
                <c:pt idx="403">
                  <c:v>1211.1015411269332</c:v>
                </c:pt>
                <c:pt idx="404">
                  <c:v>1261.7648282069329</c:v>
                </c:pt>
                <c:pt idx="405">
                  <c:v>1332.4608167361637</c:v>
                </c:pt>
                <c:pt idx="406">
                  <c:v>1245.0885582381068</c:v>
                </c:pt>
                <c:pt idx="407">
                  <c:v>1291.5687818239887</c:v>
                </c:pt>
                <c:pt idx="408">
                  <c:v>1356.9928495704594</c:v>
                </c:pt>
                <c:pt idx="409">
                  <c:v>1329.7355714011881</c:v>
                </c:pt>
                <c:pt idx="410">
                  <c:v>1279.8201388891264</c:v>
                </c:pt>
                <c:pt idx="411">
                  <c:v>1370.2436145461049</c:v>
                </c:pt>
                <c:pt idx="412">
                  <c:v>1346.1408405873547</c:v>
                </c:pt>
                <c:pt idx="413">
                  <c:v>1329.4603878018831</c:v>
                </c:pt>
                <c:pt idx="414">
                  <c:v>1436.3775442111719</c:v>
                </c:pt>
                <c:pt idx="415">
                  <c:v>1357.4274173051447</c:v>
                </c:pt>
                <c:pt idx="416">
                  <c:v>1368.7459177444175</c:v>
                </c:pt>
                <c:pt idx="417">
                  <c:v>1312.8662932598174</c:v>
                </c:pt>
                <c:pt idx="418">
                  <c:v>1230.8601482985466</c:v>
                </c:pt>
                <c:pt idx="419">
                  <c:v>1283.5966107283452</c:v>
                </c:pt>
                <c:pt idx="420">
                  <c:v>1358.0520824747696</c:v>
                </c:pt>
                <c:pt idx="421">
                  <c:v>1234.4482114680379</c:v>
                </c:pt>
                <c:pt idx="422">
                  <c:v>1094.324022434123</c:v>
                </c:pt>
                <c:pt idx="423">
                  <c:v>1139.552501143419</c:v>
                </c:pt>
                <c:pt idx="424">
                  <c:v>988.04254282341878</c:v>
                </c:pt>
                <c:pt idx="425">
                  <c:v>933.99149024644862</c:v>
                </c:pt>
                <c:pt idx="426">
                  <c:v>962.30315228164909</c:v>
                </c:pt>
                <c:pt idx="427">
                  <c:v>883.89415292693923</c:v>
                </c:pt>
                <c:pt idx="428">
                  <c:v>843.31402925567659</c:v>
                </c:pt>
                <c:pt idx="429">
                  <c:v>794.27563882986965</c:v>
                </c:pt>
                <c:pt idx="430">
                  <c:v>860.36335754502113</c:v>
                </c:pt>
                <c:pt idx="431">
                  <c:v>833.63084678930693</c:v>
                </c:pt>
                <c:pt idx="432">
                  <c:v>843.20210051930735</c:v>
                </c:pt>
                <c:pt idx="433">
                  <c:v>947.70284364188012</c:v>
                </c:pt>
                <c:pt idx="434">
                  <c:v>1026.1777636953509</c:v>
                </c:pt>
                <c:pt idx="435">
                  <c:v>1034.7990523172177</c:v>
                </c:pt>
                <c:pt idx="436">
                  <c:v>1069.2770340398595</c:v>
                </c:pt>
                <c:pt idx="437">
                  <c:v>986.2536182280553</c:v>
                </c:pt>
                <c:pt idx="438">
                  <c:v>1096.0875239311943</c:v>
                </c:pt>
                <c:pt idx="439">
                  <c:v>978.25493151555008</c:v>
                </c:pt>
                <c:pt idx="440">
                  <c:v>891.256040931288</c:v>
                </c:pt>
                <c:pt idx="441">
                  <c:v>978.06195835351014</c:v>
                </c:pt>
                <c:pt idx="442">
                  <c:v>1062.9389729292457</c:v>
                </c:pt>
                <c:pt idx="443">
                  <c:v>1174.2166993866485</c:v>
                </c:pt>
                <c:pt idx="444">
                  <c:v>1198.8878476963514</c:v>
                </c:pt>
                <c:pt idx="445">
                  <c:v>1136.502369836777</c:v>
                </c:pt>
                <c:pt idx="446">
                  <c:v>1123.2762346720353</c:v>
                </c:pt>
                <c:pt idx="447">
                  <c:v>1135.3784383248244</c:v>
                </c:pt>
                <c:pt idx="448">
                  <c:v>1187.8665909535964</c:v>
                </c:pt>
                <c:pt idx="449">
                  <c:v>1192.6603898705964</c:v>
                </c:pt>
                <c:pt idx="450">
                  <c:v>1275.5944133711851</c:v>
                </c:pt>
                <c:pt idx="451">
                  <c:v>1343.2236222767401</c:v>
                </c:pt>
                <c:pt idx="452">
                  <c:v>1401.9225800075687</c:v>
                </c:pt>
                <c:pt idx="453">
                  <c:v>1420.732317038478</c:v>
                </c:pt>
                <c:pt idx="454">
                  <c:v>1477.8298363000572</c:v>
                </c:pt>
                <c:pt idx="455">
                  <c:v>1484.3039751418939</c:v>
                </c:pt>
                <c:pt idx="456">
                  <c:v>1534.8363601493224</c:v>
                </c:pt>
                <c:pt idx="457">
                  <c:v>1516.4162268984132</c:v>
                </c:pt>
                <c:pt idx="458">
                  <c:v>1441.9825387846633</c:v>
                </c:pt>
                <c:pt idx="459">
                  <c:v>1451.7754150869537</c:v>
                </c:pt>
                <c:pt idx="460">
                  <c:v>1484.5113245269536</c:v>
                </c:pt>
                <c:pt idx="461">
                  <c:v>1501.3309456825436</c:v>
                </c:pt>
                <c:pt idx="462">
                  <c:v>1553.6402024140395</c:v>
                </c:pt>
                <c:pt idx="463">
                  <c:v>1640.2947903036838</c:v>
                </c:pt>
                <c:pt idx="464">
                  <c:v>1567.4214912986824</c:v>
                </c:pt>
                <c:pt idx="465">
                  <c:v>1680.6979776418741</c:v>
                </c:pt>
                <c:pt idx="466">
                  <c:v>1503.1426178794572</c:v>
                </c:pt>
                <c:pt idx="467">
                  <c:v>1493.0445572376968</c:v>
                </c:pt>
                <c:pt idx="468">
                  <c:v>1315.6464031503187</c:v>
                </c:pt>
                <c:pt idx="469">
                  <c:v>1106.6915336040217</c:v>
                </c:pt>
                <c:pt idx="470">
                  <c:v>1365.8134674315222</c:v>
                </c:pt>
                <c:pt idx="471">
                  <c:v>1387.237770258997</c:v>
                </c:pt>
                <c:pt idx="472">
                  <c:v>1292.1617719989981</c:v>
                </c:pt>
                <c:pt idx="473">
                  <c:v>1476.9362623265486</c:v>
                </c:pt>
                <c:pt idx="474">
                  <c:v>1394.2314928688852</c:v>
                </c:pt>
                <c:pt idx="475">
                  <c:v>1475.7108438307293</c:v>
                </c:pt>
                <c:pt idx="476">
                  <c:v>1299.586964780905</c:v>
                </c:pt>
                <c:pt idx="477">
                  <c:v>1163.3431140009543</c:v>
                </c:pt>
                <c:pt idx="478">
                  <c:v>1391.0281107400731</c:v>
                </c:pt>
                <c:pt idx="479">
                  <c:v>1457.1057892105075</c:v>
                </c:pt>
                <c:pt idx="480">
                  <c:v>1643.7502346656695</c:v>
                </c:pt>
                <c:pt idx="481">
                  <c:v>1348.1351683137391</c:v>
                </c:pt>
                <c:pt idx="482">
                  <c:v>1146.2460463937391</c:v>
                </c:pt>
                <c:pt idx="483">
                  <c:v>1288.7532686395573</c:v>
                </c:pt>
                <c:pt idx="484">
                  <c:v>1244.1641223288373</c:v>
                </c:pt>
                <c:pt idx="485">
                  <c:v>1323.1693801290551</c:v>
                </c:pt>
                <c:pt idx="486">
                  <c:v>1339.9012690739085</c:v>
                </c:pt>
                <c:pt idx="487">
                  <c:v>1369.3678486095607</c:v>
                </c:pt>
                <c:pt idx="488">
                  <c:v>1497.0164992856351</c:v>
                </c:pt>
                <c:pt idx="489">
                  <c:v>1506.1045222778657</c:v>
                </c:pt>
                <c:pt idx="490">
                  <c:v>1442.0434169120613</c:v>
                </c:pt>
                <c:pt idx="491">
                  <c:v>1596.8575408621628</c:v>
                </c:pt>
                <c:pt idx="492">
                  <c:v>1550.714452556047</c:v>
                </c:pt>
                <c:pt idx="493">
                  <c:v>1630.7306449473513</c:v>
                </c:pt>
                <c:pt idx="494">
                  <c:v>1629.6675919201327</c:v>
                </c:pt>
                <c:pt idx="495">
                  <c:v>1595.032842691799</c:v>
                </c:pt>
                <c:pt idx="496">
                  <c:v>1557.1935878944257</c:v>
                </c:pt>
                <c:pt idx="497">
                  <c:v>1449.942595099503</c:v>
                </c:pt>
                <c:pt idx="498">
                  <c:v>1425.8097669585932</c:v>
                </c:pt>
                <c:pt idx="499">
                  <c:v>1375.1247414515619</c:v>
                </c:pt>
                <c:pt idx="500">
                  <c:v>1314.9366825082648</c:v>
                </c:pt>
                <c:pt idx="501">
                  <c:v>1439.4853262120362</c:v>
                </c:pt>
                <c:pt idx="502">
                  <c:v>1451.9833025847495</c:v>
                </c:pt>
                <c:pt idx="503">
                  <c:v>1624.682539245279</c:v>
                </c:pt>
                <c:pt idx="504">
                  <c:v>1788.6833102153512</c:v>
                </c:pt>
                <c:pt idx="505">
                  <c:v>1572.2663693111483</c:v>
                </c:pt>
                <c:pt idx="506">
                  <c:v>1745.8863633080475</c:v>
                </c:pt>
                <c:pt idx="507">
                  <c:v>1625.0832794757466</c:v>
                </c:pt>
                <c:pt idx="508">
                  <c:v>1661.7083054848483</c:v>
                </c:pt>
                <c:pt idx="509">
                  <c:v>1616.0195281348483</c:v>
                </c:pt>
                <c:pt idx="510">
                  <c:v>1629.2502460657056</c:v>
                </c:pt>
                <c:pt idx="511">
                  <c:v>1622.9251844883393</c:v>
                </c:pt>
                <c:pt idx="512">
                  <c:v>1639.1537716789794</c:v>
                </c:pt>
                <c:pt idx="513">
                  <c:v>1624.657129865936</c:v>
                </c:pt>
                <c:pt idx="514">
                  <c:v>1630.1641635615458</c:v>
                </c:pt>
                <c:pt idx="515">
                  <c:v>1594.9608071519301</c:v>
                </c:pt>
                <c:pt idx="516">
                  <c:v>1651.6122512203262</c:v>
                </c:pt>
                <c:pt idx="517">
                  <c:v>1676.9933242308769</c:v>
                </c:pt>
                <c:pt idx="518">
                  <c:v>1669.3408221264322</c:v>
                </c:pt>
                <c:pt idx="519">
                  <c:v>1728.7532195267261</c:v>
                </c:pt>
                <c:pt idx="520">
                  <c:v>1695.0092242925609</c:v>
                </c:pt>
                <c:pt idx="521">
                  <c:v>1622.4943112713806</c:v>
                </c:pt>
                <c:pt idx="522">
                  <c:v>1629.1909964966023</c:v>
                </c:pt>
                <c:pt idx="523">
                  <c:v>1627.0567884525401</c:v>
                </c:pt>
                <c:pt idx="524">
                  <c:v>1612.9611822417401</c:v>
                </c:pt>
                <c:pt idx="525">
                  <c:v>1568.1919965096668</c:v>
                </c:pt>
                <c:pt idx="526">
                  <c:v>1618.5471060859279</c:v>
                </c:pt>
                <c:pt idx="527">
                  <c:v>1527.4267937511586</c:v>
                </c:pt>
                <c:pt idx="528">
                  <c:v>1540.4953893510706</c:v>
                </c:pt>
                <c:pt idx="529">
                  <c:v>1481.3015434904255</c:v>
                </c:pt>
                <c:pt idx="530">
                  <c:v>1500.7254019434849</c:v>
                </c:pt>
                <c:pt idx="531">
                  <c:v>1456.4709031024322</c:v>
                </c:pt>
                <c:pt idx="532">
                  <c:v>1443.0907269895436</c:v>
                </c:pt>
                <c:pt idx="533">
                  <c:v>1467.1577965604524</c:v>
                </c:pt>
                <c:pt idx="534">
                  <c:v>1466.4878641223543</c:v>
                </c:pt>
                <c:pt idx="535">
                  <c:v>1494.0864269894062</c:v>
                </c:pt>
                <c:pt idx="536">
                  <c:v>1446.5048486372323</c:v>
                </c:pt>
                <c:pt idx="537">
                  <c:v>1439.2665236947023</c:v>
                </c:pt>
                <c:pt idx="538">
                  <c:v>1429.2849610575595</c:v>
                </c:pt>
                <c:pt idx="539">
                  <c:v>1439.9253726775596</c:v>
                </c:pt>
                <c:pt idx="540">
                  <c:v>1405.4078344567845</c:v>
                </c:pt>
                <c:pt idx="541">
                  <c:v>1419.6822860325096</c:v>
                </c:pt>
                <c:pt idx="542">
                  <c:v>1433.5134636371552</c:v>
                </c:pt>
                <c:pt idx="543">
                  <c:v>1414.0143915505762</c:v>
                </c:pt>
                <c:pt idx="544">
                  <c:v>1424.8388162836529</c:v>
                </c:pt>
                <c:pt idx="545">
                  <c:v>1455.581740029108</c:v>
                </c:pt>
                <c:pt idx="546">
                  <c:v>1427.17452471963</c:v>
                </c:pt>
                <c:pt idx="547">
                  <c:v>1419.7389511929632</c:v>
                </c:pt>
                <c:pt idx="548">
                  <c:v>1439.1256262542397</c:v>
                </c:pt>
                <c:pt idx="549">
                  <c:v>1426.6353222231619</c:v>
                </c:pt>
                <c:pt idx="550">
                  <c:v>1408.5860606431618</c:v>
                </c:pt>
                <c:pt idx="551">
                  <c:v>1420.8866677816804</c:v>
                </c:pt>
                <c:pt idx="552">
                  <c:v>1413.325814673836</c:v>
                </c:pt>
                <c:pt idx="553">
                  <c:v>1412.1050066326147</c:v>
                </c:pt>
                <c:pt idx="554">
                  <c:v>1388.2614670794308</c:v>
                </c:pt>
                <c:pt idx="555">
                  <c:v>1434.0898889076889</c:v>
                </c:pt>
                <c:pt idx="556">
                  <c:v>1390.0798849633716</c:v>
                </c:pt>
                <c:pt idx="557">
                  <c:v>1437.9709739493264</c:v>
                </c:pt>
                <c:pt idx="558">
                  <c:v>1462.7911058713958</c:v>
                </c:pt>
                <c:pt idx="559">
                  <c:v>1361.1372283866033</c:v>
                </c:pt>
                <c:pt idx="560">
                  <c:v>1308.9960578779669</c:v>
                </c:pt>
                <c:pt idx="561">
                  <c:v>1345.2187820353863</c:v>
                </c:pt>
                <c:pt idx="562">
                  <c:v>1324.9307370320114</c:v>
                </c:pt>
                <c:pt idx="563">
                  <c:v>1310.4202287039102</c:v>
                </c:pt>
                <c:pt idx="564">
                  <c:v>1296.8161724135557</c:v>
                </c:pt>
                <c:pt idx="565">
                  <c:v>1318.7982794552224</c:v>
                </c:pt>
                <c:pt idx="566">
                  <c:v>1394.935090109725</c:v>
                </c:pt>
                <c:pt idx="567">
                  <c:v>1345.3534835902724</c:v>
                </c:pt>
                <c:pt idx="568">
                  <c:v>1364.4609322013837</c:v>
                </c:pt>
                <c:pt idx="569">
                  <c:v>1354.7116933706145</c:v>
                </c:pt>
                <c:pt idx="570">
                  <c:v>1352.8084826498377</c:v>
                </c:pt>
                <c:pt idx="571">
                  <c:v>1394.036058794102</c:v>
                </c:pt>
                <c:pt idx="572">
                  <c:v>1406.3119740054688</c:v>
                </c:pt>
                <c:pt idx="573">
                  <c:v>1393.662132000763</c:v>
                </c:pt>
                <c:pt idx="574">
                  <c:v>1428.1338919325196</c:v>
                </c:pt>
                <c:pt idx="575">
                  <c:v>1473.7488822527826</c:v>
                </c:pt>
                <c:pt idx="576">
                  <c:v>1435.8982575661585</c:v>
                </c:pt>
                <c:pt idx="577">
                  <c:v>1429.7091980875509</c:v>
                </c:pt>
                <c:pt idx="578">
                  <c:v>1403.1035527215934</c:v>
                </c:pt>
                <c:pt idx="579">
                  <c:v>1439.7207280965936</c:v>
                </c:pt>
                <c:pt idx="580">
                  <c:v>1436.1980925905743</c:v>
                </c:pt>
                <c:pt idx="581">
                  <c:v>1431.3672846539075</c:v>
                </c:pt>
                <c:pt idx="582">
                  <c:v>1381.1399068798471</c:v>
                </c:pt>
                <c:pt idx="583">
                  <c:v>1337.2780333798471</c:v>
                </c:pt>
                <c:pt idx="584">
                  <c:v>1363.4695589064429</c:v>
                </c:pt>
                <c:pt idx="585">
                  <c:v>1333.4397278939155</c:v>
                </c:pt>
                <c:pt idx="586">
                  <c:v>1284.7649124461689</c:v>
                </c:pt>
                <c:pt idx="587">
                  <c:v>1343.0550950983429</c:v>
                </c:pt>
                <c:pt idx="588">
                  <c:v>1326.3376241614542</c:v>
                </c:pt>
                <c:pt idx="589">
                  <c:v>1341.0844134547876</c:v>
                </c:pt>
                <c:pt idx="590">
                  <c:v>1326.8812641349725</c:v>
                </c:pt>
                <c:pt idx="591">
                  <c:v>1302.2273585362918</c:v>
                </c:pt>
                <c:pt idx="592">
                  <c:v>1298.440093988514</c:v>
                </c:pt>
                <c:pt idx="593">
                  <c:v>1290.9108858842003</c:v>
                </c:pt>
                <c:pt idx="594">
                  <c:v>1264.4095258412685</c:v>
                </c:pt>
                <c:pt idx="595">
                  <c:v>1253.1655262314503</c:v>
                </c:pt>
                <c:pt idx="596">
                  <c:v>1270.1622586524927</c:v>
                </c:pt>
                <c:pt idx="597">
                  <c:v>1237.9230142856215</c:v>
                </c:pt>
                <c:pt idx="598">
                  <c:v>1273.3577320679447</c:v>
                </c:pt>
                <c:pt idx="599">
                  <c:v>1242.4870097490875</c:v>
                </c:pt>
                <c:pt idx="600">
                  <c:v>1266.9172205472416</c:v>
                </c:pt>
                <c:pt idx="601">
                  <c:v>1210.3396679037373</c:v>
                </c:pt>
                <c:pt idx="602">
                  <c:v>1210.3396679037369</c:v>
                </c:pt>
                <c:pt idx="603">
                  <c:v>1207.2615525611448</c:v>
                </c:pt>
                <c:pt idx="604">
                  <c:v>1163.4085478953614</c:v>
                </c:pt>
                <c:pt idx="605">
                  <c:v>1222.7485713682029</c:v>
                </c:pt>
                <c:pt idx="606">
                  <c:v>1211.3134191078636</c:v>
                </c:pt>
                <c:pt idx="607">
                  <c:v>1175.5455229455818</c:v>
                </c:pt>
                <c:pt idx="608">
                  <c:v>1184.1151314252077</c:v>
                </c:pt>
                <c:pt idx="609">
                  <c:v>1211.2938579280151</c:v>
                </c:pt>
                <c:pt idx="610">
                  <c:v>1183.0483744371056</c:v>
                </c:pt>
                <c:pt idx="611">
                  <c:v>1179.5292990001194</c:v>
                </c:pt>
                <c:pt idx="612">
                  <c:v>1196.9347441105269</c:v>
                </c:pt>
                <c:pt idx="613">
                  <c:v>1189.650741532437</c:v>
                </c:pt>
                <c:pt idx="614">
                  <c:v>1230.2592933554997</c:v>
                </c:pt>
                <c:pt idx="615">
                  <c:v>1220.139770660272</c:v>
                </c:pt>
                <c:pt idx="616">
                  <c:v>1183.7029548531755</c:v>
                </c:pt>
                <c:pt idx="617">
                  <c:v>1161.8196860262249</c:v>
                </c:pt>
                <c:pt idx="618">
                  <c:v>1169.9570907969876</c:v>
                </c:pt>
                <c:pt idx="619">
                  <c:v>1204.1534163956173</c:v>
                </c:pt>
                <c:pt idx="620">
                  <c:v>1247.9539809868336</c:v>
                </c:pt>
                <c:pt idx="621">
                  <c:v>1247.4936460060533</c:v>
                </c:pt>
                <c:pt idx="622">
                  <c:v>1206.1720947497597</c:v>
                </c:pt>
                <c:pt idx="623">
                  <c:v>1247.6771364039416</c:v>
                </c:pt>
                <c:pt idx="624">
                  <c:v>1249.064590708344</c:v>
                </c:pt>
                <c:pt idx="625">
                  <c:v>1232.7825502537048</c:v>
                </c:pt>
                <c:pt idx="626">
                  <c:v>1188.4881184829155</c:v>
                </c:pt>
                <c:pt idx="627">
                  <c:v>1141.3582073012828</c:v>
                </c:pt>
                <c:pt idx="628">
                  <c:v>1109.4217149602828</c:v>
                </c:pt>
                <c:pt idx="629">
                  <c:v>1165.6441663169928</c:v>
                </c:pt>
                <c:pt idx="630">
                  <c:v>1086.9100745548149</c:v>
                </c:pt>
                <c:pt idx="631">
                  <c:v>1074.3230810452017</c:v>
                </c:pt>
                <c:pt idx="632">
                  <c:v>1092.8618476404845</c:v>
                </c:pt>
                <c:pt idx="633">
                  <c:v>1086.9419647774216</c:v>
                </c:pt>
                <c:pt idx="634">
                  <c:v>1083.6850792642215</c:v>
                </c:pt>
                <c:pt idx="635">
                  <c:v>1085.8718174424823</c:v>
                </c:pt>
                <c:pt idx="636">
                  <c:v>1073.8513511269985</c:v>
                </c:pt>
                <c:pt idx="637">
                  <c:v>1055.8357381980752</c:v>
                </c:pt>
                <c:pt idx="638">
                  <c:v>1075.5430961797422</c:v>
                </c:pt>
                <c:pt idx="639">
                  <c:v>1122.2765278992388</c:v>
                </c:pt>
                <c:pt idx="640">
                  <c:v>1149.2783336153173</c:v>
                </c:pt>
                <c:pt idx="641">
                  <c:v>1126.9978657968836</c:v>
                </c:pt>
                <c:pt idx="642">
                  <c:v>1130.0755321317615</c:v>
                </c:pt>
                <c:pt idx="643">
                  <c:v>1076.733249729376</c:v>
                </c:pt>
                <c:pt idx="644">
                  <c:v>1116.9847481414815</c:v>
                </c:pt>
                <c:pt idx="645">
                  <c:v>1122.2779825849098</c:v>
                </c:pt>
                <c:pt idx="646">
                  <c:v>1120.3635206849099</c:v>
                </c:pt>
                <c:pt idx="647">
                  <c:v>1114.4626501352893</c:v>
                </c:pt>
                <c:pt idx="648">
                  <c:v>1118.2371828844273</c:v>
                </c:pt>
                <c:pt idx="649">
                  <c:v>1155.2460989773829</c:v>
                </c:pt>
                <c:pt idx="650">
                  <c:v>1161.997782756989</c:v>
                </c:pt>
                <c:pt idx="651">
                  <c:v>1114.6042886049893</c:v>
                </c:pt>
                <c:pt idx="652">
                  <c:v>1160.2411398117067</c:v>
                </c:pt>
                <c:pt idx="653">
                  <c:v>1086.4504903883733</c:v>
                </c:pt>
                <c:pt idx="654">
                  <c:v>1092.2418020174057</c:v>
                </c:pt>
                <c:pt idx="655">
                  <c:v>1072.0383355738056</c:v>
                </c:pt>
                <c:pt idx="656">
                  <c:v>1089.5644954577185</c:v>
                </c:pt>
                <c:pt idx="657">
                  <c:v>1091.9373991538969</c:v>
                </c:pt>
                <c:pt idx="658">
                  <c:v>1044.532018725276</c:v>
                </c:pt>
                <c:pt idx="659">
                  <c:v>1020.9707580815551</c:v>
                </c:pt>
                <c:pt idx="660">
                  <c:v>967.36265304648532</c:v>
                </c:pt>
                <c:pt idx="661">
                  <c:v>1013.6035107251618</c:v>
                </c:pt>
                <c:pt idx="662">
                  <c:v>957.43691904516174</c:v>
                </c:pt>
                <c:pt idx="663">
                  <c:v>971.3100130341619</c:v>
                </c:pt>
                <c:pt idx="664">
                  <c:v>924.88386058614662</c:v>
                </c:pt>
                <c:pt idx="665">
                  <c:v>920.33333196501451</c:v>
                </c:pt>
                <c:pt idx="666">
                  <c:v>946.6529752322075</c:v>
                </c:pt>
                <c:pt idx="667">
                  <c:v>915.22621929152092</c:v>
                </c:pt>
                <c:pt idx="668">
                  <c:v>956.59055832788454</c:v>
                </c:pt>
                <c:pt idx="669">
                  <c:v>950.76622625788445</c:v>
                </c:pt>
                <c:pt idx="670">
                  <c:v>1005.6750558264642</c:v>
                </c:pt>
                <c:pt idx="671">
                  <c:v>961.58858652851131</c:v>
                </c:pt>
                <c:pt idx="672">
                  <c:v>948.76400632893103</c:v>
                </c:pt>
                <c:pt idx="673">
                  <c:v>919.05116062706668</c:v>
                </c:pt>
                <c:pt idx="674">
                  <c:v>914.07964162642736</c:v>
                </c:pt>
                <c:pt idx="675">
                  <c:v>904.67464708582543</c:v>
                </c:pt>
                <c:pt idx="676">
                  <c:v>945.79105488443759</c:v>
                </c:pt>
                <c:pt idx="677">
                  <c:v>837.44632603618174</c:v>
                </c:pt>
                <c:pt idx="678">
                  <c:v>934.50258816109545</c:v>
                </c:pt>
                <c:pt idx="679">
                  <c:v>916.9801378028809</c:v>
                </c:pt>
                <c:pt idx="680">
                  <c:v>930.86603224347994</c:v>
                </c:pt>
                <c:pt idx="681">
                  <c:v>861.50208014509258</c:v>
                </c:pt>
                <c:pt idx="682">
                  <c:v>934.41035664545643</c:v>
                </c:pt>
                <c:pt idx="683">
                  <c:v>974.2770439623373</c:v>
                </c:pt>
                <c:pt idx="684">
                  <c:v>916.09684214829474</c:v>
                </c:pt>
                <c:pt idx="685">
                  <c:v>912.473854578295</c:v>
                </c:pt>
                <c:pt idx="686">
                  <c:v>906.66729355957864</c:v>
                </c:pt>
                <c:pt idx="687">
                  <c:v>943.82617757291189</c:v>
                </c:pt>
                <c:pt idx="688">
                  <c:v>928.93871534716334</c:v>
                </c:pt>
                <c:pt idx="689">
                  <c:v>933.14735271508675</c:v>
                </c:pt>
                <c:pt idx="690">
                  <c:v>955.33167856028683</c:v>
                </c:pt>
                <c:pt idx="691">
                  <c:v>953.5540898300352</c:v>
                </c:pt>
                <c:pt idx="692">
                  <c:v>955.60753574633145</c:v>
                </c:pt>
                <c:pt idx="693">
                  <c:v>994.38945602244564</c:v>
                </c:pt>
                <c:pt idx="694">
                  <c:v>1050.8801708659992</c:v>
                </c:pt>
                <c:pt idx="695">
                  <c:v>1073.2681955053606</c:v>
                </c:pt>
                <c:pt idx="696">
                  <c:v>1057.5832295214038</c:v>
                </c:pt>
                <c:pt idx="697">
                  <c:v>1065.6572898475711</c:v>
                </c:pt>
                <c:pt idx="698">
                  <c:v>1034.7369920728124</c:v>
                </c:pt>
                <c:pt idx="699">
                  <c:v>1052.8612920941405</c:v>
                </c:pt>
                <c:pt idx="700">
                  <c:v>1081.9226580212348</c:v>
                </c:pt>
                <c:pt idx="701">
                  <c:v>1050.5283639000961</c:v>
                </c:pt>
                <c:pt idx="702">
                  <c:v>1020.2684107622132</c:v>
                </c:pt>
                <c:pt idx="703">
                  <c:v>997.83382987690561</c:v>
                </c:pt>
                <c:pt idx="704">
                  <c:v>1067.8851782978275</c:v>
                </c:pt>
                <c:pt idx="705">
                  <c:v>999.25453440615115</c:v>
                </c:pt>
                <c:pt idx="706">
                  <c:v>999.06990626666061</c:v>
                </c:pt>
                <c:pt idx="707">
                  <c:v>958.35767922330911</c:v>
                </c:pt>
                <c:pt idx="708">
                  <c:v>929.82558490210101</c:v>
                </c:pt>
                <c:pt idx="709">
                  <c:v>928.58937890626032</c:v>
                </c:pt>
                <c:pt idx="710">
                  <c:v>947.2855289516275</c:v>
                </c:pt>
                <c:pt idx="711">
                  <c:v>944.9395556821745</c:v>
                </c:pt>
                <c:pt idx="712">
                  <c:v>922.40159811668821</c:v>
                </c:pt>
                <c:pt idx="713">
                  <c:v>808.4320914426512</c:v>
                </c:pt>
                <c:pt idx="714">
                  <c:v>746.8891143385971</c:v>
                </c:pt>
                <c:pt idx="715">
                  <c:v>631.90136429452946</c:v>
                </c:pt>
                <c:pt idx="716">
                  <c:v>708.00497005722173</c:v>
                </c:pt>
                <c:pt idx="717">
                  <c:v>667.67444035386814</c:v>
                </c:pt>
                <c:pt idx="718">
                  <c:v>659.90040890278226</c:v>
                </c:pt>
                <c:pt idx="719">
                  <c:v>644.85356162475864</c:v>
                </c:pt>
                <c:pt idx="720">
                  <c:v>586.90619982065425</c:v>
                </c:pt>
                <c:pt idx="721">
                  <c:v>699.61988257419694</c:v>
                </c:pt>
                <c:pt idx="722">
                  <c:v>611.6142888225578</c:v>
                </c:pt>
                <c:pt idx="723">
                  <c:v>565.77243476101921</c:v>
                </c:pt>
                <c:pt idx="724">
                  <c:v>467.29472584159072</c:v>
                </c:pt>
                <c:pt idx="725">
                  <c:v>435.7931254031904</c:v>
                </c:pt>
                <c:pt idx="726">
                  <c:v>376.27709183625859</c:v>
                </c:pt>
                <c:pt idx="727">
                  <c:v>419.47104048151368</c:v>
                </c:pt>
                <c:pt idx="728">
                  <c:v>458.91420012131135</c:v>
                </c:pt>
                <c:pt idx="729">
                  <c:v>368.21547732647241</c:v>
                </c:pt>
                <c:pt idx="730">
                  <c:v>313.79807629895254</c:v>
                </c:pt>
                <c:pt idx="731">
                  <c:v>408.75817538678609</c:v>
                </c:pt>
                <c:pt idx="732">
                  <c:v>459.59031761710884</c:v>
                </c:pt>
                <c:pt idx="733">
                  <c:v>419.20913574291524</c:v>
                </c:pt>
                <c:pt idx="734">
                  <c:v>407.15445788774895</c:v>
                </c:pt>
                <c:pt idx="735">
                  <c:v>339.63956270896421</c:v>
                </c:pt>
                <c:pt idx="736">
                  <c:v>128.357890121596</c:v>
                </c:pt>
                <c:pt idx="737">
                  <c:v>200.33452080965913</c:v>
                </c:pt>
                <c:pt idx="738">
                  <c:v>-66.562259169475084</c:v>
                </c:pt>
                <c:pt idx="739">
                  <c:v>-20.776049053727721</c:v>
                </c:pt>
                <c:pt idx="740">
                  <c:v>-237.43571686527653</c:v>
                </c:pt>
                <c:pt idx="741">
                  <c:v>-156.57518658351822</c:v>
                </c:pt>
                <c:pt idx="742">
                  <c:v>-103.20467004529975</c:v>
                </c:pt>
                <c:pt idx="743">
                  <c:v>-35.916700840799443</c:v>
                </c:pt>
                <c:pt idx="744">
                  <c:v>-355.76702030745082</c:v>
                </c:pt>
                <c:pt idx="745">
                  <c:v>-103.98010785867041</c:v>
                </c:pt>
                <c:pt idx="746">
                  <c:v>-103.79862866234119</c:v>
                </c:pt>
                <c:pt idx="747">
                  <c:v>-268.14739322964971</c:v>
                </c:pt>
                <c:pt idx="748">
                  <c:v>-140.76761331271086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F7-450A-B3C7-3E667C497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86495"/>
        <c:axId val="1509485247"/>
      </c:lineChart>
      <c:dateAx>
        <c:axId val="15094864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85247"/>
        <c:crosses val="autoZero"/>
        <c:auto val="1"/>
        <c:lblOffset val="100"/>
        <c:baseTimeUnit val="days"/>
      </c:dateAx>
      <c:valAx>
        <c:axId val="150948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86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C97741-E0AD-4B2E-84B6-D8DC31685735}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FA967A-11F2-49B4-AAD6-518F28D8D7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7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MAX(C3:C1903)</f>
        <v>1.35776E-2</v>
      </c>
      <c r="D2" s="4">
        <f>MIN(D3:D1903)</f>
        <v>1.248E-4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7</v>
      </c>
    </row>
    <row r="5" spans="1:20" x14ac:dyDescent="0.25">
      <c r="A5" s="5">
        <v>44579</v>
      </c>
      <c r="B5">
        <v>2.777E-3</v>
      </c>
      <c r="C5">
        <v>2.777E-3</v>
      </c>
      <c r="D5">
        <v>2.777E-3</v>
      </c>
      <c r="E5">
        <v>2.777E-3</v>
      </c>
      <c r="F5">
        <v>0</v>
      </c>
      <c r="G5">
        <v>2.777E-3</v>
      </c>
      <c r="L5" t="s">
        <v>8</v>
      </c>
      <c r="M5" t="s">
        <v>8</v>
      </c>
      <c r="N5" t="s">
        <v>7</v>
      </c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270701558670.21606</v>
      </c>
      <c r="S5">
        <f t="shared" ref="S5" si="3">R5/100000</f>
        <v>2707015.5867021605</v>
      </c>
      <c r="T5">
        <f t="shared" ref="T5" si="4">S5/1000</f>
        <v>2707.0155867021604</v>
      </c>
    </row>
    <row r="6" spans="1:20" x14ac:dyDescent="0.25">
      <c r="A6" s="5">
        <v>44578</v>
      </c>
      <c r="B6">
        <v>2.6770000000000001E-3</v>
      </c>
      <c r="C6">
        <v>2.7950000000000002E-3</v>
      </c>
      <c r="D6">
        <v>2.66E-3</v>
      </c>
      <c r="E6">
        <v>2.777E-3</v>
      </c>
      <c r="F6">
        <v>3702123193</v>
      </c>
      <c r="G6">
        <v>2.777E-3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0.73333333333333028</v>
      </c>
      <c r="Q6">
        <f t="shared" ref="Q6" si="6">F6*P6</f>
        <v>2714890341.5333219</v>
      </c>
      <c r="R6">
        <f t="shared" ref="R6" si="7">R7+Q6</f>
        <v>270701558670.21606</v>
      </c>
      <c r="S6">
        <f t="shared" ref="S6" si="8">R6/100000</f>
        <v>2707015.5867021605</v>
      </c>
      <c r="T6">
        <f t="shared" ref="T6" si="9">S6/1000</f>
        <v>2707.0155867021604</v>
      </c>
    </row>
    <row r="7" spans="1:20" x14ac:dyDescent="0.25">
      <c r="A7" s="5">
        <v>44577</v>
      </c>
      <c r="B7">
        <v>2.529E-3</v>
      </c>
      <c r="C7">
        <v>2.6800000000000001E-3</v>
      </c>
      <c r="D7">
        <v>2.5219999999999999E-3</v>
      </c>
      <c r="E7">
        <v>2.6770000000000001E-3</v>
      </c>
      <c r="F7">
        <v>10132496636</v>
      </c>
      <c r="G7">
        <v>2.6770000000000001E-3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0.96202531645569667</v>
      </c>
      <c r="Q7">
        <f t="shared" ref="Q7" si="11">F7*P7</f>
        <v>9747718282.7341824</v>
      </c>
      <c r="R7">
        <f t="shared" ref="R7" si="12">R8+Q7</f>
        <v>267986668328.68274</v>
      </c>
      <c r="S7">
        <f t="shared" ref="S7" si="13">R7/100000</f>
        <v>2679866.6832868275</v>
      </c>
      <c r="T7">
        <f t="shared" ref="T7" si="14">S7/1000</f>
        <v>2679.8666832868275</v>
      </c>
    </row>
    <row r="8" spans="1:20" x14ac:dyDescent="0.25">
      <c r="A8" s="5">
        <v>44576</v>
      </c>
      <c r="B8">
        <v>2.5179999999999998E-3</v>
      </c>
      <c r="C8">
        <v>2.5609999999999999E-3</v>
      </c>
      <c r="D8">
        <v>2.4910000000000002E-3</v>
      </c>
      <c r="E8">
        <v>2.529E-3</v>
      </c>
      <c r="F8">
        <v>8195739925</v>
      </c>
      <c r="G8">
        <v>2.529E-3</v>
      </c>
      <c r="L8" t="s">
        <v>7</v>
      </c>
      <c r="M8" t="s">
        <v>8</v>
      </c>
      <c r="N8" t="s">
        <v>7</v>
      </c>
      <c r="P8">
        <f t="shared" ref="P8" si="15">IF(C8=D8,0,((E8-D8)-(C8-E8))/(C8-D8))</f>
        <v>8.5714285714285007E-2</v>
      </c>
      <c r="Q8">
        <f t="shared" ref="Q8" si="16">F8*P8</f>
        <v>702491993.57142282</v>
      </c>
      <c r="R8">
        <f t="shared" ref="R8" si="17">R9+Q8</f>
        <v>258238950045.94855</v>
      </c>
      <c r="S8">
        <f t="shared" ref="S8" si="18">R8/100000</f>
        <v>2582389.5004594857</v>
      </c>
      <c r="T8">
        <f t="shared" ref="T8" si="19">S8/1000</f>
        <v>2582.3895004594856</v>
      </c>
    </row>
    <row r="9" spans="1:20" x14ac:dyDescent="0.25">
      <c r="A9" s="5">
        <v>44575</v>
      </c>
      <c r="B9">
        <v>2.4919999999999999E-3</v>
      </c>
      <c r="C9">
        <v>2.614E-3</v>
      </c>
      <c r="D9">
        <v>2.4450000000000001E-3</v>
      </c>
      <c r="E9">
        <v>2.5200000000000001E-3</v>
      </c>
      <c r="F9">
        <v>12602597754</v>
      </c>
      <c r="G9">
        <v>2.5200000000000001E-3</v>
      </c>
      <c r="L9" t="s">
        <v>7</v>
      </c>
      <c r="M9" t="s">
        <v>8</v>
      </c>
      <c r="N9" t="s">
        <v>7</v>
      </c>
      <c r="P9">
        <f t="shared" ref="P9" si="20">IF(C9=D9,0,((E9-D9)-(C9-E9))/(C9-D9))</f>
        <v>-0.11242603550295818</v>
      </c>
      <c r="Q9">
        <f t="shared" ref="Q9" si="21">F9*P9</f>
        <v>-1416860102.520705</v>
      </c>
      <c r="R9">
        <f t="shared" ref="R9" si="22">R10+Q9</f>
        <v>257536458052.37714</v>
      </c>
      <c r="S9">
        <f t="shared" ref="S9" si="23">R9/100000</f>
        <v>2575364.5805237712</v>
      </c>
      <c r="T9">
        <f t="shared" ref="T9" si="24">S9/1000</f>
        <v>2575.3645805237711</v>
      </c>
    </row>
    <row r="10" spans="1:20" x14ac:dyDescent="0.25">
      <c r="A10" s="5">
        <v>44574</v>
      </c>
      <c r="B10">
        <v>2.5999999999999999E-3</v>
      </c>
      <c r="C10">
        <v>2.6310000000000001E-3</v>
      </c>
      <c r="D10">
        <v>2.4810000000000001E-3</v>
      </c>
      <c r="E10">
        <v>2.4910000000000002E-3</v>
      </c>
      <c r="F10">
        <v>11724259164</v>
      </c>
      <c r="G10">
        <v>2.4910000000000002E-3</v>
      </c>
      <c r="L10" t="s">
        <v>8</v>
      </c>
      <c r="M10" t="s">
        <v>8</v>
      </c>
      <c r="N10" t="s">
        <v>7</v>
      </c>
      <c r="P10">
        <f t="shared" ref="P10" si="25">IF(C10=D10,0,((E10-D10)-(C10-E10))/(C10-D10))</f>
        <v>-0.86666666666666625</v>
      </c>
      <c r="Q10">
        <f t="shared" ref="Q10" si="26">F10*P10</f>
        <v>-10161024608.799995</v>
      </c>
      <c r="R10">
        <f t="shared" ref="R10" si="27">R11+Q10</f>
        <v>258953318154.89783</v>
      </c>
      <c r="S10">
        <f t="shared" ref="S10" si="28">R10/100000</f>
        <v>2589533.1815489782</v>
      </c>
      <c r="T10">
        <f t="shared" ref="T10" si="29">S10/1000</f>
        <v>2589.5331815489781</v>
      </c>
    </row>
    <row r="11" spans="1:20" x14ac:dyDescent="0.25">
      <c r="A11" s="5">
        <v>44573</v>
      </c>
      <c r="B11">
        <v>2.5040000000000001E-3</v>
      </c>
      <c r="C11">
        <v>2.624E-3</v>
      </c>
      <c r="D11">
        <v>2.4970000000000001E-3</v>
      </c>
      <c r="E11">
        <v>2.5990000000000002E-3</v>
      </c>
      <c r="F11">
        <v>8386695688</v>
      </c>
      <c r="G11">
        <v>2.5990000000000002E-3</v>
      </c>
      <c r="L11" t="s">
        <v>8</v>
      </c>
      <c r="M11" t="s">
        <v>8</v>
      </c>
      <c r="N11" t="s">
        <v>7</v>
      </c>
      <c r="P11">
        <f t="shared" ref="P11" si="30">IF(C11=D11,0,((E11-D11)-(C11-E11))/(C11-D11))</f>
        <v>0.60629921259842745</v>
      </c>
      <c r="Q11">
        <f t="shared" ref="Q11" si="31">F11*P11</f>
        <v>5084846991.937027</v>
      </c>
      <c r="R11">
        <f t="shared" ref="R11" si="32">R12+Q11</f>
        <v>269114342763.69781</v>
      </c>
      <c r="S11">
        <f t="shared" ref="S11" si="33">R11/100000</f>
        <v>2691143.4276369782</v>
      </c>
      <c r="T11">
        <f t="shared" ref="T11" si="34">S11/1000</f>
        <v>2691.1434276369782</v>
      </c>
    </row>
    <row r="12" spans="1:20" x14ac:dyDescent="0.25">
      <c r="A12" s="5">
        <v>44572</v>
      </c>
      <c r="B12">
        <v>2.434E-3</v>
      </c>
      <c r="C12">
        <v>2.5279999999999999E-3</v>
      </c>
      <c r="D12">
        <v>2.3990000000000001E-3</v>
      </c>
      <c r="E12">
        <v>2.5040000000000001E-3</v>
      </c>
      <c r="F12">
        <v>9285268273</v>
      </c>
      <c r="G12">
        <v>2.5040000000000001E-3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0.62790697674418983</v>
      </c>
      <c r="Q12">
        <f t="shared" ref="Q12" si="36">F12*P12</f>
        <v>5830284729.5581751</v>
      </c>
      <c r="R12">
        <f t="shared" ref="R12" si="37">R13+Q12</f>
        <v>264029495771.76077</v>
      </c>
      <c r="S12">
        <f t="shared" ref="S12" si="38">R12/100000</f>
        <v>2640294.9577176077</v>
      </c>
      <c r="T12">
        <f t="shared" ref="T12" si="39">S12/1000</f>
        <v>2640.2949577176078</v>
      </c>
    </row>
    <row r="13" spans="1:20" x14ac:dyDescent="0.25">
      <c r="A13" s="5">
        <v>44571</v>
      </c>
      <c r="B13">
        <v>2.467E-3</v>
      </c>
      <c r="C13">
        <v>2.735E-3</v>
      </c>
      <c r="D13">
        <v>2.2899999999999999E-3</v>
      </c>
      <c r="E13">
        <v>2.4350000000000001E-3</v>
      </c>
      <c r="F13">
        <v>18270680365</v>
      </c>
      <c r="G13">
        <v>2.4350000000000001E-3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-0.34831460674157244</v>
      </c>
      <c r="Q13">
        <f t="shared" ref="Q13" si="41">F13*P13</f>
        <v>-6363944846.2359438</v>
      </c>
      <c r="R13">
        <f t="shared" ref="R13" si="42">R14+Q13</f>
        <v>258199211042.20261</v>
      </c>
      <c r="S13">
        <f t="shared" ref="S13" si="43">R13/100000</f>
        <v>2581992.1104220259</v>
      </c>
      <c r="T13">
        <f t="shared" ref="T13" si="44">S13/1000</f>
        <v>2581.9921104220257</v>
      </c>
    </row>
    <row r="14" spans="1:20" x14ac:dyDescent="0.25">
      <c r="A14" s="5">
        <v>44570</v>
      </c>
      <c r="B14">
        <v>2.4229999999999998E-3</v>
      </c>
      <c r="C14">
        <v>2.5219999999999999E-3</v>
      </c>
      <c r="D14">
        <v>2.3990000000000001E-3</v>
      </c>
      <c r="E14">
        <v>2.4689999999999998E-3</v>
      </c>
      <c r="F14">
        <v>7876850760</v>
      </c>
      <c r="G14">
        <v>2.4689999999999998E-3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0.1382113821138185</v>
      </c>
      <c r="Q14">
        <f t="shared" ref="Q14" si="46">F14*P14</f>
        <v>1088670430.2438817</v>
      </c>
      <c r="R14">
        <f t="shared" ref="R14" si="47">R15+Q14</f>
        <v>264563155888.43854</v>
      </c>
      <c r="S14">
        <f t="shared" ref="S14" si="48">R14/100000</f>
        <v>2645631.5588843855</v>
      </c>
      <c r="T14">
        <f t="shared" ref="T14" si="49">S14/1000</f>
        <v>2645.6315588843854</v>
      </c>
    </row>
    <row r="15" spans="1:20" x14ac:dyDescent="0.25">
      <c r="A15" s="5">
        <v>44569</v>
      </c>
      <c r="B15">
        <v>2.5790000000000001E-3</v>
      </c>
      <c r="C15">
        <v>2.624E-3</v>
      </c>
      <c r="D15">
        <v>2.3449999999999999E-3</v>
      </c>
      <c r="E15">
        <v>2.4229999999999998E-3</v>
      </c>
      <c r="F15">
        <v>10502032920</v>
      </c>
      <c r="G15">
        <v>2.4229999999999998E-3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-0.44086021505376416</v>
      </c>
      <c r="Q15">
        <f t="shared" ref="Q15" si="51">F15*P15</f>
        <v>-4629928491.6129112</v>
      </c>
      <c r="R15">
        <f t="shared" ref="R15" si="52">R16+Q15</f>
        <v>263474485458.19464</v>
      </c>
      <c r="S15">
        <f t="shared" ref="S15" si="53">R15/100000</f>
        <v>2634744.8545819465</v>
      </c>
      <c r="T15">
        <f t="shared" ref="T15" si="54">S15/1000</f>
        <v>2634.7448545819466</v>
      </c>
    </row>
    <row r="16" spans="1:20" x14ac:dyDescent="0.25">
      <c r="A16" s="5">
        <v>44568</v>
      </c>
      <c r="B16">
        <v>2.7799999999999999E-3</v>
      </c>
      <c r="C16">
        <v>2.7910000000000001E-3</v>
      </c>
      <c r="D16">
        <v>2.5560000000000001E-3</v>
      </c>
      <c r="E16">
        <v>2.5790000000000001E-3</v>
      </c>
      <c r="F16">
        <v>10885140962</v>
      </c>
      <c r="G16">
        <v>2.5790000000000001E-3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-0.804255319148936</v>
      </c>
      <c r="Q16">
        <f t="shared" ref="Q16" si="56">F16*P16</f>
        <v>-8754432518.3744659</v>
      </c>
      <c r="R16">
        <f t="shared" ref="R16" si="57">R17+Q16</f>
        <v>268104413949.80756</v>
      </c>
      <c r="S16">
        <f t="shared" ref="S16" si="58">R16/100000</f>
        <v>2681044.1394980755</v>
      </c>
      <c r="T16">
        <f t="shared" ref="T16" si="59">S16/1000</f>
        <v>2681.0441394980753</v>
      </c>
    </row>
    <row r="17" spans="1:20" x14ac:dyDescent="0.25">
      <c r="A17" s="5">
        <v>44567</v>
      </c>
      <c r="B17">
        <v>2.7680000000000001E-3</v>
      </c>
      <c r="C17">
        <v>2.8210000000000002E-3</v>
      </c>
      <c r="D17">
        <v>2.6740000000000002E-3</v>
      </c>
      <c r="E17">
        <v>2.7799999999999999E-3</v>
      </c>
      <c r="F17">
        <v>9409179946</v>
      </c>
      <c r="G17">
        <v>2.7799999999999999E-3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0.44217687074829609</v>
      </c>
      <c r="Q17">
        <f t="shared" ref="Q17" si="61">F17*P17</f>
        <v>4160521744.8299017</v>
      </c>
      <c r="R17">
        <f t="shared" ref="R17" si="62">R18+Q17</f>
        <v>276858846468.18201</v>
      </c>
      <c r="S17">
        <f t="shared" ref="S17" si="63">R17/100000</f>
        <v>2768588.46468182</v>
      </c>
      <c r="T17">
        <f t="shared" ref="T17" si="64">S17/1000</f>
        <v>2768.5884646818199</v>
      </c>
    </row>
    <row r="18" spans="1:20" x14ac:dyDescent="0.25">
      <c r="A18" s="5">
        <v>44566</v>
      </c>
      <c r="B18">
        <v>2.9009999999999999E-3</v>
      </c>
      <c r="C18">
        <v>3.1900000000000001E-3</v>
      </c>
      <c r="D18">
        <v>2.6510000000000001E-3</v>
      </c>
      <c r="E18">
        <v>2.7650000000000001E-3</v>
      </c>
      <c r="F18">
        <v>26739659764</v>
      </c>
      <c r="G18">
        <v>2.7650000000000001E-3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-0.57699443413729146</v>
      </c>
      <c r="Q18">
        <f t="shared" ref="Q18" si="66">F18*P18</f>
        <v>-15428634854.552881</v>
      </c>
      <c r="R18">
        <f t="shared" ref="R18" si="67">R19+Q18</f>
        <v>272698324723.35208</v>
      </c>
      <c r="S18">
        <f t="shared" ref="S18" si="68">R18/100000</f>
        <v>2726983.2472335207</v>
      </c>
      <c r="T18">
        <f t="shared" ref="T18" si="69">S18/1000</f>
        <v>2726.9832472335206</v>
      </c>
    </row>
    <row r="19" spans="1:20" x14ac:dyDescent="0.25">
      <c r="A19" s="5">
        <v>44565</v>
      </c>
      <c r="B19">
        <v>2.758E-3</v>
      </c>
      <c r="C19">
        <v>3.0599999999999998E-3</v>
      </c>
      <c r="D19">
        <v>2.6909999999999998E-3</v>
      </c>
      <c r="E19">
        <v>2.8999999999999998E-3</v>
      </c>
      <c r="F19">
        <v>23256050530</v>
      </c>
      <c r="G19">
        <v>2.8999999999999998E-3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0.13279132791327913</v>
      </c>
      <c r="Q19">
        <f t="shared" ref="Q19" si="71">F19*P19</f>
        <v>3088201831.8970189</v>
      </c>
      <c r="R19">
        <f t="shared" ref="R19" si="72">R20+Q19</f>
        <v>288126959577.90497</v>
      </c>
      <c r="S19">
        <f t="shared" ref="S19" si="73">R19/100000</f>
        <v>2881269.5957790497</v>
      </c>
      <c r="T19">
        <f t="shared" ref="T19" si="74">S19/1000</f>
        <v>2881.2695957790497</v>
      </c>
    </row>
    <row r="20" spans="1:20" x14ac:dyDescent="0.25">
      <c r="A20" s="5">
        <v>44564</v>
      </c>
      <c r="B20">
        <v>2.8159999999999999E-3</v>
      </c>
      <c r="C20">
        <v>2.869E-3</v>
      </c>
      <c r="D20">
        <v>2.725E-3</v>
      </c>
      <c r="E20">
        <v>2.7560000000000002E-3</v>
      </c>
      <c r="F20">
        <v>9647649805</v>
      </c>
      <c r="G20">
        <v>2.7560000000000002E-3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-0.56944444444444164</v>
      </c>
      <c r="Q20">
        <f t="shared" ref="Q20" si="76">F20*P20</f>
        <v>-5493800583.402751</v>
      </c>
      <c r="R20">
        <f t="shared" ref="R20" si="77">R21+Q20</f>
        <v>285038757746.00793</v>
      </c>
      <c r="S20">
        <f t="shared" ref="S20" si="78">R20/100000</f>
        <v>2850387.5774600795</v>
      </c>
      <c r="T20">
        <f t="shared" ref="T20" si="79">S20/1000</f>
        <v>2850.3875774600792</v>
      </c>
    </row>
    <row r="21" spans="1:20" x14ac:dyDescent="0.25">
      <c r="A21" s="5">
        <v>44563</v>
      </c>
      <c r="B21">
        <v>2.7569999999999999E-3</v>
      </c>
      <c r="C21">
        <v>2.8310000000000002E-3</v>
      </c>
      <c r="D21">
        <v>2.7239999999999999E-3</v>
      </c>
      <c r="E21">
        <v>2.8159999999999999E-3</v>
      </c>
      <c r="F21">
        <v>8302838972</v>
      </c>
      <c r="G21">
        <v>2.8159999999999999E-3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0.71962616822429515</v>
      </c>
      <c r="Q21">
        <f t="shared" ref="Q21" si="81">F21*P21</f>
        <v>5974940194.8037062</v>
      </c>
      <c r="R21">
        <f t="shared" ref="R21" si="82">R22+Q21</f>
        <v>290532558329.41071</v>
      </c>
      <c r="S21">
        <f t="shared" ref="S21" si="83">R21/100000</f>
        <v>2905325.5832941071</v>
      </c>
      <c r="T21">
        <f t="shared" ref="T21" si="84">S21/1000</f>
        <v>2905.3255832941072</v>
      </c>
    </row>
    <row r="22" spans="1:20" x14ac:dyDescent="0.25">
      <c r="A22" s="5">
        <v>44562</v>
      </c>
      <c r="B22">
        <v>2.722E-3</v>
      </c>
      <c r="C22">
        <v>2.774E-3</v>
      </c>
      <c r="D22">
        <v>2.7130000000000001E-3</v>
      </c>
      <c r="E22">
        <v>2.7569999999999999E-3</v>
      </c>
      <c r="F22">
        <v>6707225954</v>
      </c>
      <c r="G22">
        <v>2.7569999999999999E-3</v>
      </c>
      <c r="L22" t="s">
        <v>8</v>
      </c>
      <c r="M22" t="s">
        <v>8</v>
      </c>
      <c r="N22" t="s">
        <v>7</v>
      </c>
      <c r="P22">
        <f t="shared" ref="P22" si="85">IF(C22=D22,0,((E22-D22)-(C22-E22))/(C22-D22))</f>
        <v>0.44262295081966796</v>
      </c>
      <c r="Q22">
        <f t="shared" ref="Q22" si="86">F22*P22</f>
        <v>2968772143.5737424</v>
      </c>
      <c r="R22">
        <f t="shared" ref="R22" si="87">R23+Q22</f>
        <v>284557618134.60699</v>
      </c>
      <c r="S22">
        <f t="shared" ref="S22" si="88">R22/100000</f>
        <v>2845576.18134607</v>
      </c>
      <c r="T22">
        <f t="shared" ref="T22" si="89">S22/1000</f>
        <v>2845.5761813460699</v>
      </c>
    </row>
    <row r="23" spans="1:20" x14ac:dyDescent="0.25">
      <c r="A23" s="5">
        <v>44561</v>
      </c>
      <c r="B23">
        <v>2.7929999999999999E-3</v>
      </c>
      <c r="C23">
        <v>2.8500000000000001E-3</v>
      </c>
      <c r="D23">
        <v>2.6350000000000002E-3</v>
      </c>
      <c r="E23">
        <v>2.722E-3</v>
      </c>
      <c r="F23">
        <v>12577001285</v>
      </c>
      <c r="G23">
        <v>2.722E-3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-0.19069767441860583</v>
      </c>
      <c r="Q23">
        <f t="shared" ref="Q23" si="91">F23*P23</f>
        <v>-2398404896.2093172</v>
      </c>
      <c r="R23">
        <f t="shared" ref="R23" si="92">R24+Q23</f>
        <v>281588845991.03326</v>
      </c>
      <c r="S23">
        <f t="shared" ref="S23" si="93">R23/100000</f>
        <v>2815888.4599103327</v>
      </c>
      <c r="T23">
        <f t="shared" ref="T23" si="94">S23/1000</f>
        <v>2815.8884599103326</v>
      </c>
    </row>
    <row r="24" spans="1:20" x14ac:dyDescent="0.25">
      <c r="A24" s="5">
        <v>44560</v>
      </c>
      <c r="B24">
        <v>2.699E-3</v>
      </c>
      <c r="C24">
        <v>2.8830000000000001E-3</v>
      </c>
      <c r="D24">
        <v>2.6289999999999998E-3</v>
      </c>
      <c r="E24">
        <v>2.7920000000000002E-3</v>
      </c>
      <c r="F24">
        <v>16894228742</v>
      </c>
      <c r="G24">
        <v>2.7920000000000002E-3</v>
      </c>
      <c r="L24" t="s">
        <v>7</v>
      </c>
      <c r="M24" t="s">
        <v>8</v>
      </c>
      <c r="N24" t="s">
        <v>7</v>
      </c>
      <c r="P24">
        <f t="shared" ref="P24" si="95">IF(C24=D24,0,((E24-D24)-(C24-E24))/(C24-D24))</f>
        <v>0.2834645669291353</v>
      </c>
      <c r="Q24">
        <f t="shared" ref="Q24" si="96">F24*P24</f>
        <v>4788915233.9527798</v>
      </c>
      <c r="R24">
        <f t="shared" ref="R24" si="97">R25+Q24</f>
        <v>283987250887.24255</v>
      </c>
      <c r="S24">
        <f t="shared" ref="S24" si="98">R24/100000</f>
        <v>2839872.5088724256</v>
      </c>
      <c r="T24">
        <f t="shared" ref="T24" si="99">S24/1000</f>
        <v>2839.8725088724254</v>
      </c>
    </row>
    <row r="25" spans="1:20" x14ac:dyDescent="0.25">
      <c r="A25" s="5">
        <v>44559</v>
      </c>
      <c r="B25">
        <v>2.6340000000000001E-3</v>
      </c>
      <c r="C25">
        <v>3.1059999999999998E-3</v>
      </c>
      <c r="D25">
        <v>2.6259999999999999E-3</v>
      </c>
      <c r="E25">
        <v>2.7000000000000001E-3</v>
      </c>
      <c r="F25">
        <v>34877790621</v>
      </c>
      <c r="G25">
        <v>2.7000000000000001E-3</v>
      </c>
      <c r="L25" t="s">
        <v>8</v>
      </c>
      <c r="M25" t="s">
        <v>8</v>
      </c>
      <c r="N25" t="s">
        <v>7</v>
      </c>
      <c r="P25">
        <f t="shared" ref="P25" si="100">IF(C25=D25,0,((E25-D25)-(C25-E25))/(C25-D25))</f>
        <v>-0.69166666666666543</v>
      </c>
      <c r="Q25">
        <f t="shared" ref="Q25" si="101">F25*P25</f>
        <v>-24123805179.524956</v>
      </c>
      <c r="R25">
        <f t="shared" ref="R25" si="102">R26+Q25</f>
        <v>279198335653.28979</v>
      </c>
      <c r="S25">
        <f t="shared" ref="S25" si="103">R25/100000</f>
        <v>2791983.3565328978</v>
      </c>
      <c r="T25">
        <f t="shared" ref="T25" si="104">S25/1000</f>
        <v>2791.9833565328977</v>
      </c>
    </row>
    <row r="26" spans="1:20" x14ac:dyDescent="0.25">
      <c r="A26" s="5">
        <v>44558</v>
      </c>
      <c r="B26">
        <v>2.8140000000000001E-3</v>
      </c>
      <c r="C26">
        <v>2.8149999999999998E-3</v>
      </c>
      <c r="D26">
        <v>2.6289999999999998E-3</v>
      </c>
      <c r="E26">
        <v>2.6340000000000001E-3</v>
      </c>
      <c r="F26">
        <v>14806467632</v>
      </c>
      <c r="G26">
        <v>2.6340000000000001E-3</v>
      </c>
      <c r="L26" t="s">
        <v>7</v>
      </c>
      <c r="M26" t="s">
        <v>8</v>
      </c>
      <c r="N26" t="s">
        <v>7</v>
      </c>
      <c r="P26">
        <f t="shared" ref="P26" si="105">IF(C26=D26,0,((E26-D26)-(C26-E26))/(C26-D26))</f>
        <v>-0.94623655913978244</v>
      </c>
      <c r="Q26">
        <f t="shared" ref="Q26" si="106">F26*P26</f>
        <v>-14010420985.118242</v>
      </c>
      <c r="R26">
        <f t="shared" ref="R26" si="107">R27+Q26</f>
        <v>303322140832.81476</v>
      </c>
      <c r="S26">
        <f t="shared" ref="S26" si="108">R26/100000</f>
        <v>3033221.4083281476</v>
      </c>
      <c r="T26">
        <f t="shared" ref="T26" si="109">S26/1000</f>
        <v>3033.2214083281474</v>
      </c>
    </row>
    <row r="27" spans="1:20" x14ac:dyDescent="0.25">
      <c r="A27" s="5">
        <v>44557</v>
      </c>
      <c r="B27">
        <v>2.8219999999999999E-3</v>
      </c>
      <c r="C27">
        <v>2.9199999999999999E-3</v>
      </c>
      <c r="D27">
        <v>2.7959999999999999E-3</v>
      </c>
      <c r="E27">
        <v>2.813E-3</v>
      </c>
      <c r="F27">
        <v>12463347828</v>
      </c>
      <c r="G27">
        <v>2.813E-3</v>
      </c>
      <c r="L27" t="s">
        <v>7</v>
      </c>
      <c r="M27" t="s">
        <v>8</v>
      </c>
      <c r="N27" t="s">
        <v>7</v>
      </c>
      <c r="P27">
        <f t="shared" ref="P27" si="110">IF(C27=D27,0,((E27-D27)-(C27-E27))/(C27-D27))</f>
        <v>-0.7258064516129018</v>
      </c>
      <c r="Q27">
        <f t="shared" ref="Q27" si="111">F27*P27</f>
        <v>-9045978262.2580471</v>
      </c>
      <c r="R27">
        <f t="shared" ref="R27" si="112">R28+Q27</f>
        <v>317332561817.93298</v>
      </c>
      <c r="S27">
        <f t="shared" ref="S27" si="113">R27/100000</f>
        <v>3173325.6181793297</v>
      </c>
      <c r="T27">
        <f t="shared" ref="T27" si="114">S27/1000</f>
        <v>3173.3256181793295</v>
      </c>
    </row>
    <row r="28" spans="1:20" x14ac:dyDescent="0.25">
      <c r="A28" s="5">
        <v>44556</v>
      </c>
      <c r="B28">
        <v>2.823E-3</v>
      </c>
      <c r="C28">
        <v>2.8500000000000001E-3</v>
      </c>
      <c r="D28">
        <v>2.745E-3</v>
      </c>
      <c r="E28">
        <v>2.8219999999999999E-3</v>
      </c>
      <c r="F28">
        <v>9137590787</v>
      </c>
      <c r="G28">
        <v>2.8219999999999999E-3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0.46666666666666229</v>
      </c>
      <c r="Q28">
        <f t="shared" ref="Q28" si="116">F28*P28</f>
        <v>4264209033.9332933</v>
      </c>
      <c r="R28">
        <f t="shared" ref="R28" si="117">R29+Q28</f>
        <v>326378540080.19104</v>
      </c>
      <c r="S28">
        <f t="shared" ref="S28" si="118">R28/100000</f>
        <v>3263785.4008019106</v>
      </c>
      <c r="T28">
        <f t="shared" ref="T28" si="119">S28/1000</f>
        <v>3263.7854008019103</v>
      </c>
    </row>
    <row r="29" spans="1:20" x14ac:dyDescent="0.25">
      <c r="A29" s="5">
        <v>44555</v>
      </c>
      <c r="B29">
        <v>2.7959999999999999E-3</v>
      </c>
      <c r="C29">
        <v>2.862E-3</v>
      </c>
      <c r="D29">
        <v>2.7799999999999999E-3</v>
      </c>
      <c r="E29">
        <v>2.823E-3</v>
      </c>
      <c r="F29">
        <v>7520001935</v>
      </c>
      <c r="G29">
        <v>2.823E-3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4.8780487804879209E-2</v>
      </c>
      <c r="Q29">
        <f t="shared" ref="Q29" si="121">F29*P29</f>
        <v>366829362.68293554</v>
      </c>
      <c r="R29">
        <f t="shared" ref="R29" si="122">R30+Q29</f>
        <v>322114331046.25775</v>
      </c>
      <c r="S29">
        <f t="shared" ref="S29" si="123">R29/100000</f>
        <v>3221143.3104625777</v>
      </c>
      <c r="T29">
        <f t="shared" ref="T29" si="124">S29/1000</f>
        <v>3221.1433104625776</v>
      </c>
    </row>
    <row r="30" spans="1:20" x14ac:dyDescent="0.25">
      <c r="A30" s="5">
        <v>44554</v>
      </c>
      <c r="B30">
        <v>2.869E-3</v>
      </c>
      <c r="C30">
        <v>2.928E-3</v>
      </c>
      <c r="D30">
        <v>2.7629999999999998E-3</v>
      </c>
      <c r="E30">
        <v>2.7950000000000002E-3</v>
      </c>
      <c r="F30">
        <v>11692909149</v>
      </c>
      <c r="G30">
        <v>2.7950000000000002E-3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-0.6121212121212084</v>
      </c>
      <c r="Q30">
        <f t="shared" ref="Q30" si="126">F30*P30</f>
        <v>-7157477721.5090475</v>
      </c>
      <c r="R30">
        <f t="shared" ref="R30" si="127">R31+Q30</f>
        <v>321747501683.57483</v>
      </c>
      <c r="S30">
        <f t="shared" ref="S30" si="128">R30/100000</f>
        <v>3217475.0168357482</v>
      </c>
      <c r="T30">
        <f t="shared" ref="T30" si="129">S30/1000</f>
        <v>3217.4750168357482</v>
      </c>
    </row>
    <row r="31" spans="1:20" x14ac:dyDescent="0.25">
      <c r="A31" s="5">
        <v>44553</v>
      </c>
      <c r="B31">
        <v>2.7070000000000002E-3</v>
      </c>
      <c r="C31">
        <v>2.9979999999999998E-3</v>
      </c>
      <c r="D31">
        <v>2.663E-3</v>
      </c>
      <c r="E31">
        <v>2.8679999999999999E-3</v>
      </c>
      <c r="F31">
        <v>14484161638</v>
      </c>
      <c r="G31">
        <v>2.8679999999999999E-3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0.22388059701492546</v>
      </c>
      <c r="Q31">
        <f t="shared" ref="Q31" si="131">F31*P31</f>
        <v>3242722754.7761207</v>
      </c>
      <c r="R31">
        <f t="shared" ref="R31" si="132">R32+Q31</f>
        <v>328904979405.08386</v>
      </c>
      <c r="S31">
        <f t="shared" ref="S31" si="133">R31/100000</f>
        <v>3289049.7940508388</v>
      </c>
      <c r="T31">
        <f t="shared" ref="T31" si="134">S31/1000</f>
        <v>3289.049794050839</v>
      </c>
    </row>
    <row r="32" spans="1:20" x14ac:dyDescent="0.25">
      <c r="A32" s="5">
        <v>44552</v>
      </c>
      <c r="B32">
        <v>2.6970000000000002E-3</v>
      </c>
      <c r="C32">
        <v>2.7499999999999998E-3</v>
      </c>
      <c r="D32">
        <v>2.676E-3</v>
      </c>
      <c r="E32">
        <v>2.7070000000000002E-3</v>
      </c>
      <c r="F32">
        <v>8043539942</v>
      </c>
      <c r="G32">
        <v>2.7070000000000002E-3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-0.1621621621621547</v>
      </c>
      <c r="Q32">
        <f t="shared" ref="Q32" si="136">F32*P32</f>
        <v>-1304357828.4323723</v>
      </c>
      <c r="R32">
        <f t="shared" ref="R32" si="137">R33+Q32</f>
        <v>325662256650.30774</v>
      </c>
      <c r="S32">
        <f t="shared" ref="S32" si="138">R32/100000</f>
        <v>3256622.5665030773</v>
      </c>
      <c r="T32">
        <f t="shared" ref="T32" si="139">S32/1000</f>
        <v>3256.6225665030775</v>
      </c>
    </row>
    <row r="33" spans="1:20" x14ac:dyDescent="0.25">
      <c r="A33" s="5">
        <v>44551</v>
      </c>
      <c r="B33">
        <v>2.6329999999999999E-3</v>
      </c>
      <c r="C33">
        <v>2.7160000000000001E-3</v>
      </c>
      <c r="D33">
        <v>2.578E-3</v>
      </c>
      <c r="E33">
        <v>2.6979999999999999E-3</v>
      </c>
      <c r="F33">
        <v>7163710530</v>
      </c>
      <c r="G33">
        <v>2.6979999999999999E-3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0.73913043478260565</v>
      </c>
      <c r="Q33">
        <f t="shared" ref="Q33" si="141">F33*P33</f>
        <v>5294916478.6956301</v>
      </c>
      <c r="R33">
        <f t="shared" ref="R33" si="142">R34+Q33</f>
        <v>326966614478.74011</v>
      </c>
      <c r="S33">
        <f t="shared" ref="S33" si="143">R33/100000</f>
        <v>3269666.144787401</v>
      </c>
      <c r="T33">
        <f t="shared" ref="T33" si="144">S33/1000</f>
        <v>3269.6661447874008</v>
      </c>
    </row>
    <row r="34" spans="1:20" x14ac:dyDescent="0.25">
      <c r="A34" s="5">
        <v>44550</v>
      </c>
      <c r="B34">
        <v>2.6510000000000001E-3</v>
      </c>
      <c r="C34">
        <v>2.6770000000000001E-3</v>
      </c>
      <c r="D34">
        <v>2.4710000000000001E-3</v>
      </c>
      <c r="E34">
        <v>2.6319999999999998E-3</v>
      </c>
      <c r="F34">
        <v>10148369564</v>
      </c>
      <c r="G34">
        <v>2.6319999999999998E-3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0.56310679611650161</v>
      </c>
      <c r="Q34">
        <f t="shared" ref="Q34" si="146">F34*P34</f>
        <v>5714615870.9902582</v>
      </c>
      <c r="R34">
        <f t="shared" ref="R34" si="147">R35+Q34</f>
        <v>321671698000.04449</v>
      </c>
      <c r="S34">
        <f t="shared" ref="S34" si="148">R34/100000</f>
        <v>3216716.9800004452</v>
      </c>
      <c r="T34">
        <f t="shared" ref="T34" si="149">S34/1000</f>
        <v>3216.7169800004453</v>
      </c>
    </row>
    <row r="35" spans="1:20" x14ac:dyDescent="0.25">
      <c r="A35" s="5">
        <v>44549</v>
      </c>
      <c r="B35">
        <v>2.6830000000000001E-3</v>
      </c>
      <c r="C35">
        <v>2.722E-3</v>
      </c>
      <c r="D35">
        <v>2.6259999999999999E-3</v>
      </c>
      <c r="E35">
        <v>2.6519999999999998E-3</v>
      </c>
      <c r="F35">
        <v>6632157029</v>
      </c>
      <c r="G35">
        <v>2.6519999999999998E-3</v>
      </c>
      <c r="L35" t="s">
        <v>8</v>
      </c>
      <c r="M35" t="s">
        <v>7</v>
      </c>
      <c r="N35" t="s">
        <v>7</v>
      </c>
      <c r="P35">
        <f t="shared" ref="P35" si="150">IF(C35=D35,0,((E35-D35)-(C35-E35))/(C35-D35))</f>
        <v>-0.45833333333333465</v>
      </c>
      <c r="Q35">
        <f t="shared" ref="Q35" si="151">F35*P35</f>
        <v>-3039738638.2916756</v>
      </c>
      <c r="R35">
        <f t="shared" ref="R35" si="152">R36+Q35</f>
        <v>315957082129.05426</v>
      </c>
      <c r="S35">
        <f t="shared" ref="S35" si="153">R35/100000</f>
        <v>3159570.8212905424</v>
      </c>
      <c r="T35">
        <f t="shared" ref="T35" si="154">S35/1000</f>
        <v>3159.5708212905424</v>
      </c>
    </row>
    <row r="36" spans="1:20" x14ac:dyDescent="0.25">
      <c r="A36" s="5">
        <v>44548</v>
      </c>
      <c r="B36">
        <v>2.6359999999999999E-3</v>
      </c>
      <c r="C36">
        <v>2.715E-3</v>
      </c>
      <c r="D36">
        <v>2.5899999999999999E-3</v>
      </c>
      <c r="E36">
        <v>2.6830000000000001E-3</v>
      </c>
      <c r="F36">
        <v>7314345282</v>
      </c>
      <c r="G36">
        <v>2.6830000000000001E-3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0.48800000000000188</v>
      </c>
      <c r="Q36">
        <f t="shared" ref="Q36" si="156">F36*P36</f>
        <v>3569400497.6160135</v>
      </c>
      <c r="R36">
        <f t="shared" ref="R36" si="157">R37+Q36</f>
        <v>318996820767.34595</v>
      </c>
      <c r="S36">
        <f t="shared" ref="S36" si="158">R36/100000</f>
        <v>3189968.2076734593</v>
      </c>
      <c r="T36">
        <f t="shared" ref="T36" si="159">S36/1000</f>
        <v>3189.9682076734593</v>
      </c>
    </row>
    <row r="37" spans="1:20" x14ac:dyDescent="0.25">
      <c r="A37" s="5">
        <v>44547</v>
      </c>
      <c r="B37">
        <v>2.7420000000000001E-3</v>
      </c>
      <c r="C37">
        <v>2.8089999999999999E-3</v>
      </c>
      <c r="D37">
        <v>2.5219999999999999E-3</v>
      </c>
      <c r="E37">
        <v>2.6359999999999999E-3</v>
      </c>
      <c r="F37">
        <v>11726656259</v>
      </c>
      <c r="G37">
        <v>2.6359999999999999E-3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-0.20557491289198621</v>
      </c>
      <c r="Q37">
        <f t="shared" ref="Q37" si="161">F37*P37</f>
        <v>-2410706338.95819</v>
      </c>
      <c r="R37">
        <f t="shared" ref="R37" si="162">R38+Q37</f>
        <v>315427420269.72992</v>
      </c>
      <c r="S37">
        <f t="shared" ref="S37" si="163">R37/100000</f>
        <v>3154274.2026972994</v>
      </c>
      <c r="T37">
        <f t="shared" ref="T37" si="164">S37/1000</f>
        <v>3154.2742026972996</v>
      </c>
    </row>
    <row r="38" spans="1:20" x14ac:dyDescent="0.25">
      <c r="A38" s="5">
        <v>44546</v>
      </c>
      <c r="B38">
        <v>2.849E-3</v>
      </c>
      <c r="C38">
        <v>2.8760000000000001E-3</v>
      </c>
      <c r="D38">
        <v>2.7320000000000001E-3</v>
      </c>
      <c r="E38">
        <v>2.7409999999999999E-3</v>
      </c>
      <c r="F38">
        <v>9609586651</v>
      </c>
      <c r="G38">
        <v>2.7409999999999999E-3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-0.87500000000000155</v>
      </c>
      <c r="Q38">
        <f t="shared" ref="Q38" si="166">F38*P38</f>
        <v>-8408388319.6250153</v>
      </c>
      <c r="R38">
        <f t="shared" ref="R38" si="167">R39+Q38</f>
        <v>317838126608.68811</v>
      </c>
      <c r="S38">
        <f t="shared" ref="S38" si="168">R38/100000</f>
        <v>3178381.266086881</v>
      </c>
      <c r="T38">
        <f t="shared" ref="T38" si="169">S38/1000</f>
        <v>3178.3812660868812</v>
      </c>
    </row>
    <row r="39" spans="1:20" x14ac:dyDescent="0.25">
      <c r="A39" s="5">
        <v>44545</v>
      </c>
      <c r="B39">
        <v>2.8319999999999999E-3</v>
      </c>
      <c r="C39">
        <v>2.8770000000000002E-3</v>
      </c>
      <c r="D39">
        <v>2.604E-3</v>
      </c>
      <c r="E39">
        <v>2.8479999999999998E-3</v>
      </c>
      <c r="F39">
        <v>16017798319</v>
      </c>
      <c r="G39">
        <v>2.8479999999999998E-3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0.78754578754578497</v>
      </c>
      <c r="Q39">
        <f t="shared" ref="Q39" si="171">F39*P39</f>
        <v>12614749591.886406</v>
      </c>
      <c r="R39">
        <f t="shared" ref="R39" si="172">R40+Q39</f>
        <v>326246514928.31311</v>
      </c>
      <c r="S39">
        <f t="shared" ref="S39" si="173">R39/100000</f>
        <v>3262465.1492831311</v>
      </c>
      <c r="T39">
        <f t="shared" ref="T39" si="174">S39/1000</f>
        <v>3262.4651492831313</v>
      </c>
    </row>
    <row r="40" spans="1:20" x14ac:dyDescent="0.25">
      <c r="A40" s="5">
        <v>44544</v>
      </c>
      <c r="B40">
        <v>2.8389999999999999E-3</v>
      </c>
      <c r="C40">
        <v>2.8779999999999999E-3</v>
      </c>
      <c r="D40">
        <v>2.709E-3</v>
      </c>
      <c r="E40">
        <v>2.8319999999999999E-3</v>
      </c>
      <c r="F40">
        <v>15678678542</v>
      </c>
      <c r="G40">
        <v>2.8319999999999999E-3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0.45562130177514715</v>
      </c>
      <c r="Q40">
        <f t="shared" ref="Q40" si="176">F40*P40</f>
        <v>7143539927.4201059</v>
      </c>
      <c r="R40">
        <f t="shared" ref="R40" si="177">R41+Q40</f>
        <v>313631765336.4267</v>
      </c>
      <c r="S40">
        <f t="shared" ref="S40" si="178">R40/100000</f>
        <v>3136317.6533642672</v>
      </c>
      <c r="T40">
        <f t="shared" ref="T40" si="179">S40/1000</f>
        <v>3136.3176533642672</v>
      </c>
    </row>
    <row r="41" spans="1:20" x14ac:dyDescent="0.25">
      <c r="A41" s="5">
        <v>44543</v>
      </c>
      <c r="B41">
        <v>3.2829999999999999E-3</v>
      </c>
      <c r="C41">
        <v>3.3300000000000001E-3</v>
      </c>
      <c r="D41">
        <v>2.7859999999999998E-3</v>
      </c>
      <c r="E41">
        <v>2.8379999999999998E-3</v>
      </c>
      <c r="F41">
        <v>14383865391</v>
      </c>
      <c r="G41">
        <v>2.8379999999999998E-3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-0.80882352941176494</v>
      </c>
      <c r="Q41">
        <f t="shared" ref="Q41" si="181">F41*P41</f>
        <v>-11634008772.132357</v>
      </c>
      <c r="R41">
        <f t="shared" ref="R41" si="182">R42+Q41</f>
        <v>306488225409.00659</v>
      </c>
      <c r="S41">
        <f t="shared" ref="S41" si="183">R41/100000</f>
        <v>3064882.2540900661</v>
      </c>
      <c r="T41">
        <f t="shared" ref="T41" si="184">S41/1000</f>
        <v>3064.882254090066</v>
      </c>
    </row>
    <row r="42" spans="1:20" x14ac:dyDescent="0.25">
      <c r="A42" s="5">
        <v>44542</v>
      </c>
      <c r="B42">
        <v>3.4390000000000002E-3</v>
      </c>
      <c r="C42">
        <v>3.5330000000000001E-3</v>
      </c>
      <c r="D42">
        <v>3.2030000000000001E-3</v>
      </c>
      <c r="E42">
        <v>3.2820000000000002E-3</v>
      </c>
      <c r="F42">
        <v>17558016876</v>
      </c>
      <c r="G42">
        <v>3.2820000000000002E-3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-0.52121212121212079</v>
      </c>
      <c r="Q42">
        <f t="shared" ref="Q42" si="186">F42*P42</f>
        <v>-9151451220.218174</v>
      </c>
      <c r="R42">
        <f t="shared" ref="R42" si="187">R43+Q42</f>
        <v>318122234181.13898</v>
      </c>
      <c r="S42">
        <f t="shared" ref="S42" si="188">R42/100000</f>
        <v>3181222.3418113897</v>
      </c>
      <c r="T42">
        <f t="shared" ref="T42" si="189">S42/1000</f>
        <v>3181.2223418113895</v>
      </c>
    </row>
    <row r="43" spans="1:20" x14ac:dyDescent="0.25">
      <c r="A43" s="5">
        <v>44541</v>
      </c>
      <c r="B43">
        <v>3.0869999999999999E-3</v>
      </c>
      <c r="C43">
        <v>3.1189999999999998E-3</v>
      </c>
      <c r="D43">
        <v>3.003E-3</v>
      </c>
      <c r="E43">
        <v>3.0969999999999999E-3</v>
      </c>
      <c r="F43">
        <v>1177768595</v>
      </c>
      <c r="G43">
        <v>3.0969999999999999E-3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0.62068965517241503</v>
      </c>
      <c r="Q43">
        <f t="shared" ref="Q43" si="191">F43*P43</f>
        <v>731028783.1034497</v>
      </c>
      <c r="R43">
        <f t="shared" ref="R43" si="192">R44+Q43</f>
        <v>327273685401.35718</v>
      </c>
      <c r="S43">
        <f t="shared" ref="S43" si="193">R43/100000</f>
        <v>3272736.854013572</v>
      </c>
      <c r="T43">
        <f t="shared" ref="T43" si="194">S43/1000</f>
        <v>3272.7368540135722</v>
      </c>
    </row>
    <row r="44" spans="1:20" x14ac:dyDescent="0.25">
      <c r="A44" s="5">
        <v>44540</v>
      </c>
      <c r="B44">
        <v>3.238E-3</v>
      </c>
      <c r="C44">
        <v>3.3990000000000001E-3</v>
      </c>
      <c r="D44">
        <v>3.0730000000000002E-3</v>
      </c>
      <c r="E44">
        <v>3.0890000000000002E-3</v>
      </c>
      <c r="F44">
        <v>25535672797</v>
      </c>
      <c r="G44">
        <v>3.0890000000000002E-3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-0.90184049079754625</v>
      </c>
      <c r="Q44">
        <f t="shared" ref="Q44" si="196">F44*P44</f>
        <v>-23029103688.09203</v>
      </c>
      <c r="R44">
        <f t="shared" ref="R44" si="197">R45+Q44</f>
        <v>326542656618.25372</v>
      </c>
      <c r="S44">
        <f t="shared" ref="S44" si="198">R44/100000</f>
        <v>3265426.566182537</v>
      </c>
      <c r="T44">
        <f t="shared" ref="T44" si="199">S44/1000</f>
        <v>3265.426566182537</v>
      </c>
    </row>
    <row r="45" spans="1:20" x14ac:dyDescent="0.25">
      <c r="A45" s="5">
        <v>44539</v>
      </c>
      <c r="B45">
        <v>3.7460000000000002E-3</v>
      </c>
      <c r="C45">
        <v>3.872E-3</v>
      </c>
      <c r="D45">
        <v>3.2260000000000001E-3</v>
      </c>
      <c r="E45">
        <v>3.238E-3</v>
      </c>
      <c r="F45">
        <v>29520102241</v>
      </c>
      <c r="G45">
        <v>3.238E-3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-0.96284829721362275</v>
      </c>
      <c r="Q45">
        <f t="shared" ref="Q45" si="201">F45*P45</f>
        <v>-28423380176.318897</v>
      </c>
      <c r="R45">
        <f t="shared" ref="R45" si="202">R46+Q45</f>
        <v>349571760306.34576</v>
      </c>
      <c r="S45">
        <f t="shared" ref="S45" si="203">R45/100000</f>
        <v>3495717.6030634576</v>
      </c>
      <c r="T45">
        <f t="shared" ref="T45" si="204">S45/1000</f>
        <v>3495.7176030634578</v>
      </c>
    </row>
    <row r="46" spans="1:20" x14ac:dyDescent="0.25">
      <c r="A46" s="5">
        <v>44538</v>
      </c>
      <c r="B46">
        <v>3.6879999999999999E-3</v>
      </c>
      <c r="C46">
        <v>4.1980000000000003E-3</v>
      </c>
      <c r="D46">
        <v>3.5660000000000002E-3</v>
      </c>
      <c r="E46">
        <v>3.7460000000000002E-3</v>
      </c>
      <c r="F46">
        <v>65750538322</v>
      </c>
      <c r="G46">
        <v>3.7460000000000002E-3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-0.43037974683544306</v>
      </c>
      <c r="Q46">
        <f t="shared" ref="Q46" si="206">F46*P46</f>
        <v>-28297700037.316456</v>
      </c>
      <c r="R46">
        <f t="shared" ref="R46" si="207">R47+Q46</f>
        <v>377995140482.66467</v>
      </c>
      <c r="S46">
        <f t="shared" ref="S46" si="208">R46/100000</f>
        <v>3779951.4048266467</v>
      </c>
      <c r="T46">
        <f t="shared" ref="T46" si="209">S46/1000</f>
        <v>3779.9514048266465</v>
      </c>
    </row>
    <row r="47" spans="1:20" x14ac:dyDescent="0.25">
      <c r="A47" s="5">
        <v>44537</v>
      </c>
      <c r="B47">
        <v>3.3430000000000001E-3</v>
      </c>
      <c r="C47">
        <v>4.0499999999999998E-3</v>
      </c>
      <c r="D47">
        <v>3.1540000000000001E-3</v>
      </c>
      <c r="E47">
        <v>3.689E-3</v>
      </c>
      <c r="F47">
        <v>115822715106</v>
      </c>
      <c r="G47">
        <v>3.689E-3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0.19419642857142877</v>
      </c>
      <c r="Q47">
        <f t="shared" ref="Q47" si="211">F47*P47</f>
        <v>22492357621.031273</v>
      </c>
      <c r="R47">
        <f t="shared" ref="R47" si="212">R48+Q47</f>
        <v>406292840519.98114</v>
      </c>
      <c r="S47">
        <f t="shared" ref="S47" si="213">R47/100000</f>
        <v>4062928.4051998113</v>
      </c>
      <c r="T47">
        <f t="shared" ref="T47" si="214">S47/1000</f>
        <v>4062.9284051998116</v>
      </c>
    </row>
    <row r="48" spans="1:20" x14ac:dyDescent="0.25">
      <c r="A48" s="5">
        <v>44536</v>
      </c>
      <c r="B48">
        <v>2.4659999999999999E-3</v>
      </c>
      <c r="C48">
        <v>3.552E-3</v>
      </c>
      <c r="D48">
        <v>2.3159999999999999E-3</v>
      </c>
      <c r="E48">
        <v>3.3430000000000001E-3</v>
      </c>
      <c r="F48">
        <v>119799169209</v>
      </c>
      <c r="G48">
        <v>3.3430000000000001E-3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0.66181229773462791</v>
      </c>
      <c r="Q48">
        <f t="shared" ref="Q48" si="216">F48*P48</f>
        <v>79284563440.907776</v>
      </c>
      <c r="R48">
        <f t="shared" ref="R48" si="217">R49+Q48</f>
        <v>383800482898.94989</v>
      </c>
      <c r="S48">
        <f t="shared" ref="S48" si="218">R48/100000</f>
        <v>3838004.8289894988</v>
      </c>
      <c r="T48">
        <f t="shared" ref="T48" si="219">S48/1000</f>
        <v>3838.0048289894989</v>
      </c>
    </row>
    <row r="49" spans="1:20" x14ac:dyDescent="0.25">
      <c r="A49" s="5">
        <v>44535</v>
      </c>
      <c r="B49">
        <v>2.5969999999999999E-3</v>
      </c>
      <c r="C49">
        <v>2.6459999999999999E-3</v>
      </c>
      <c r="D49">
        <v>2.3839999999999998E-3</v>
      </c>
      <c r="E49">
        <v>2.4650000000000002E-3</v>
      </c>
      <c r="F49">
        <v>25346217827</v>
      </c>
      <c r="G49">
        <v>2.4650000000000002E-3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-0.38167938931297468</v>
      </c>
      <c r="Q49">
        <f t="shared" ref="Q49" si="221">F49*P49</f>
        <v>-9674128941.602993</v>
      </c>
      <c r="R49">
        <f t="shared" ref="R49" si="222">R50+Q49</f>
        <v>304515919458.04211</v>
      </c>
      <c r="S49">
        <f t="shared" ref="S49" si="223">R49/100000</f>
        <v>3045159.1945804213</v>
      </c>
      <c r="T49">
        <f t="shared" ref="T49" si="224">S49/1000</f>
        <v>3045.1591945804212</v>
      </c>
    </row>
    <row r="50" spans="1:20" x14ac:dyDescent="0.25">
      <c r="A50" s="5">
        <v>44534</v>
      </c>
      <c r="B50">
        <v>2.9619999999999998E-3</v>
      </c>
      <c r="C50">
        <v>2.967E-3</v>
      </c>
      <c r="D50">
        <v>2.0019999999999999E-3</v>
      </c>
      <c r="E50">
        <v>2.5969999999999999E-3</v>
      </c>
      <c r="F50">
        <v>36849537987</v>
      </c>
      <c r="G50">
        <v>2.5969999999999999E-3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0.23316062176165794</v>
      </c>
      <c r="Q50">
        <f t="shared" ref="Q50" si="226">F50*P50</f>
        <v>8591861188.6787529</v>
      </c>
      <c r="R50">
        <f t="shared" ref="R50" si="227">R51+Q50</f>
        <v>314190048399.64508</v>
      </c>
      <c r="S50">
        <f t="shared" ref="S50" si="228">R50/100000</f>
        <v>3141900.4839964509</v>
      </c>
      <c r="T50">
        <f t="shared" ref="T50" si="229">S50/1000</f>
        <v>3141.9004839964509</v>
      </c>
    </row>
    <row r="51" spans="1:20" x14ac:dyDescent="0.25">
      <c r="A51" s="5">
        <v>44533</v>
      </c>
      <c r="B51">
        <v>3.1380000000000002E-3</v>
      </c>
      <c r="C51">
        <v>3.1840000000000002E-3</v>
      </c>
      <c r="D51">
        <v>2.8500000000000001E-3</v>
      </c>
      <c r="E51">
        <v>2.9640000000000001E-3</v>
      </c>
      <c r="F51">
        <v>17826592449</v>
      </c>
      <c r="G51">
        <v>2.9640000000000001E-3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-0.31736526946107835</v>
      </c>
      <c r="Q51">
        <f t="shared" ref="Q51" si="231">F51*P51</f>
        <v>-5657541316.1497097</v>
      </c>
      <c r="R51">
        <f t="shared" ref="R51" si="232">R52+Q51</f>
        <v>305598187210.96631</v>
      </c>
      <c r="S51">
        <f t="shared" ref="S51" si="233">R51/100000</f>
        <v>3055981.8721096632</v>
      </c>
      <c r="T51">
        <f t="shared" ref="T51" si="234">S51/1000</f>
        <v>3055.9818721096631</v>
      </c>
    </row>
    <row r="52" spans="1:20" x14ac:dyDescent="0.25">
      <c r="A52" s="5">
        <v>44532</v>
      </c>
      <c r="B52">
        <v>3.1410000000000001E-3</v>
      </c>
      <c r="C52">
        <v>3.2079999999999999E-3</v>
      </c>
      <c r="D52">
        <v>3.0569999999999998E-3</v>
      </c>
      <c r="E52">
        <v>3.1389999999999999E-3</v>
      </c>
      <c r="F52">
        <v>13928508905</v>
      </c>
      <c r="G52">
        <v>3.1389999999999999E-3</v>
      </c>
      <c r="L52" t="s">
        <v>8</v>
      </c>
      <c r="M52" t="s">
        <v>7</v>
      </c>
      <c r="N52" t="s">
        <v>7</v>
      </c>
      <c r="P52">
        <f t="shared" ref="P52" si="235">IF(C52=D52,0,((E52-D52)-(C52-E52))/(C52-D52))</f>
        <v>8.6092715231787964E-2</v>
      </c>
      <c r="Q52">
        <f t="shared" ref="Q52" si="236">F52*P52</f>
        <v>1199143150.7615879</v>
      </c>
      <c r="R52">
        <f t="shared" ref="R52" si="237">R53+Q52</f>
        <v>311255728527.11603</v>
      </c>
      <c r="S52">
        <f t="shared" ref="S52" si="238">R52/100000</f>
        <v>3112557.2852711603</v>
      </c>
      <c r="T52">
        <f t="shared" ref="T52" si="239">S52/1000</f>
        <v>3112.5572852711603</v>
      </c>
    </row>
    <row r="53" spans="1:20" x14ac:dyDescent="0.25">
      <c r="A53" s="5">
        <v>44531</v>
      </c>
      <c r="B53">
        <v>3.1610000000000002E-3</v>
      </c>
      <c r="C53">
        <v>3.225E-3</v>
      </c>
      <c r="D53">
        <v>3.0899999999999999E-3</v>
      </c>
      <c r="E53">
        <v>3.1410000000000001E-3</v>
      </c>
      <c r="F53">
        <v>14700572298</v>
      </c>
      <c r="G53">
        <v>3.1410000000000001E-3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-0.2444444444444413</v>
      </c>
      <c r="Q53">
        <f t="shared" ref="Q53" si="241">F53*P53</f>
        <v>-3593473228.3999538</v>
      </c>
      <c r="R53">
        <f t="shared" ref="R53" si="242">R54+Q53</f>
        <v>310056585376.35443</v>
      </c>
      <c r="S53">
        <f t="shared" ref="S53" si="243">R53/100000</f>
        <v>3100565.8537635445</v>
      </c>
      <c r="T53">
        <f t="shared" ref="T53" si="244">S53/1000</f>
        <v>3100.5658537635445</v>
      </c>
    </row>
    <row r="54" spans="1:20" x14ac:dyDescent="0.25">
      <c r="A54" s="5">
        <v>44530</v>
      </c>
      <c r="B54">
        <v>3.209E-3</v>
      </c>
      <c r="C54">
        <v>3.2439999999999999E-3</v>
      </c>
      <c r="D54">
        <v>3.1099999999999999E-3</v>
      </c>
      <c r="E54">
        <v>3.16E-3</v>
      </c>
      <c r="F54">
        <v>16978568809</v>
      </c>
      <c r="G54">
        <v>3.16E-3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-0.25373134328358016</v>
      </c>
      <c r="Q54">
        <f t="shared" ref="Q54" si="246">F54*P54</f>
        <v>-4307995070.9402657</v>
      </c>
      <c r="R54">
        <f t="shared" ref="R54" si="247">R55+Q54</f>
        <v>313650058604.75439</v>
      </c>
      <c r="S54">
        <f t="shared" ref="S54" si="248">R54/100000</f>
        <v>3136500.5860475441</v>
      </c>
      <c r="T54">
        <f t="shared" ref="T54" si="249">S54/1000</f>
        <v>3136.5005860475439</v>
      </c>
    </row>
    <row r="55" spans="1:20" x14ac:dyDescent="0.25">
      <c r="A55" s="5">
        <v>44529</v>
      </c>
      <c r="B55">
        <v>3.1679999999999998E-3</v>
      </c>
      <c r="C55">
        <v>3.2330000000000002E-3</v>
      </c>
      <c r="D55">
        <v>3.124E-3</v>
      </c>
      <c r="E55">
        <v>3.209E-3</v>
      </c>
      <c r="F55">
        <v>13567156526</v>
      </c>
      <c r="G55">
        <v>3.209E-3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0.55963302752293365</v>
      </c>
      <c r="Q55">
        <f t="shared" ref="Q55" si="251">F55*P55</f>
        <v>7592628881.5229073</v>
      </c>
      <c r="R55">
        <f t="shared" ref="R55" si="252">R56+Q55</f>
        <v>317958053675.69464</v>
      </c>
      <c r="S55">
        <f t="shared" ref="S55" si="253">R55/100000</f>
        <v>3179580.5367569462</v>
      </c>
      <c r="T55">
        <f t="shared" ref="T55" si="254">S55/1000</f>
        <v>3179.5805367569465</v>
      </c>
    </row>
    <row r="56" spans="1:20" x14ac:dyDescent="0.25">
      <c r="A56" s="5">
        <v>44528</v>
      </c>
      <c r="B56">
        <v>3.137E-3</v>
      </c>
      <c r="C56">
        <v>3.1679999999999998E-3</v>
      </c>
      <c r="D56">
        <v>2.9550000000000002E-3</v>
      </c>
      <c r="E56">
        <v>3.166E-3</v>
      </c>
      <c r="F56">
        <v>16609937623</v>
      </c>
      <c r="G56">
        <v>3.166E-3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0.98122065727699681</v>
      </c>
      <c r="Q56">
        <f t="shared" ref="Q56" si="256">F56*P56</f>
        <v>16298013911.769978</v>
      </c>
      <c r="R56">
        <f t="shared" ref="R56" si="257">R57+Q56</f>
        <v>310365424794.17175</v>
      </c>
      <c r="S56">
        <f t="shared" ref="S56" si="258">R56/100000</f>
        <v>3103654.2479417175</v>
      </c>
      <c r="T56">
        <f t="shared" ref="T56" si="259">S56/1000</f>
        <v>3103.6542479417176</v>
      </c>
    </row>
    <row r="57" spans="1:20" x14ac:dyDescent="0.25">
      <c r="A57" s="5">
        <v>44527</v>
      </c>
      <c r="B57">
        <v>3.1059999999999998E-3</v>
      </c>
      <c r="C57">
        <v>3.2460000000000002E-3</v>
      </c>
      <c r="D57">
        <v>3.0899999999999999E-3</v>
      </c>
      <c r="E57">
        <v>3.137E-3</v>
      </c>
      <c r="F57">
        <v>13934676006</v>
      </c>
      <c r="G57">
        <v>3.137E-3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-0.39743589743589652</v>
      </c>
      <c r="Q57">
        <f t="shared" ref="Q57" si="261">F57*P57</f>
        <v>-5538140463.9230642</v>
      </c>
      <c r="R57">
        <f t="shared" ref="R57" si="262">R58+Q57</f>
        <v>294067410882.40179</v>
      </c>
      <c r="S57">
        <f t="shared" ref="S57" si="263">R57/100000</f>
        <v>2940674.1088240179</v>
      </c>
      <c r="T57">
        <f t="shared" ref="T57" si="264">S57/1000</f>
        <v>2940.6741088240178</v>
      </c>
    </row>
    <row r="58" spans="1:20" x14ac:dyDescent="0.25">
      <c r="A58" s="5">
        <v>44526</v>
      </c>
      <c r="B58">
        <v>3.2850000000000002E-3</v>
      </c>
      <c r="C58">
        <v>3.47E-3</v>
      </c>
      <c r="D58">
        <v>2.99E-3</v>
      </c>
      <c r="E58">
        <v>3.1059999999999998E-3</v>
      </c>
      <c r="F58">
        <v>25416971319</v>
      </c>
      <c r="G58">
        <v>3.1059999999999998E-3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-0.5166666666666675</v>
      </c>
      <c r="Q58">
        <f t="shared" ref="Q58" si="266">F58*P58</f>
        <v>-13132101848.150021</v>
      </c>
      <c r="R58">
        <f t="shared" ref="R58" si="267">R59+Q58</f>
        <v>299605551346.32483</v>
      </c>
      <c r="S58">
        <f t="shared" ref="S58" si="268">R58/100000</f>
        <v>2996055.5134632485</v>
      </c>
      <c r="T58">
        <f t="shared" ref="T58" si="269">S58/1000</f>
        <v>2996.0555134632486</v>
      </c>
    </row>
    <row r="59" spans="1:20" x14ac:dyDescent="0.25">
      <c r="A59" s="5">
        <v>44525</v>
      </c>
      <c r="B59">
        <v>3.1849999999999999E-3</v>
      </c>
      <c r="C59">
        <v>3.3289999999999999E-3</v>
      </c>
      <c r="D59">
        <v>3.16E-3</v>
      </c>
      <c r="E59">
        <v>3.2850000000000002E-3</v>
      </c>
      <c r="F59">
        <v>11342461396</v>
      </c>
      <c r="G59">
        <v>3.2850000000000002E-3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0.47928994082840476</v>
      </c>
      <c r="Q59">
        <f t="shared" ref="Q59" si="271">F59*P59</f>
        <v>5436327651.3373051</v>
      </c>
      <c r="R59">
        <f t="shared" ref="R59" si="272">R60+Q59</f>
        <v>312737653194.47485</v>
      </c>
      <c r="S59">
        <f t="shared" ref="S59" si="273">R59/100000</f>
        <v>3127376.5319447485</v>
      </c>
      <c r="T59">
        <f t="shared" ref="T59" si="274">S59/1000</f>
        <v>3127.3765319447484</v>
      </c>
    </row>
    <row r="60" spans="1:20" x14ac:dyDescent="0.25">
      <c r="A60" s="5">
        <v>44524</v>
      </c>
      <c r="B60">
        <v>3.287E-3</v>
      </c>
      <c r="C60">
        <v>3.2910000000000001E-3</v>
      </c>
      <c r="D60">
        <v>3.2030000000000001E-3</v>
      </c>
      <c r="E60">
        <v>3.2169999999999998E-3</v>
      </c>
      <c r="F60">
        <v>2872012787</v>
      </c>
      <c r="G60">
        <v>3.2169999999999998E-3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-0.68181818181818876</v>
      </c>
      <c r="Q60">
        <f t="shared" ref="Q60" si="276">F60*P60</f>
        <v>-1958190536.590929</v>
      </c>
      <c r="R60">
        <f t="shared" ref="R60" si="277">R61+Q60</f>
        <v>307301325543.13757</v>
      </c>
      <c r="S60">
        <f t="shared" ref="S60" si="278">R60/100000</f>
        <v>3073013.2554313759</v>
      </c>
      <c r="T60">
        <f t="shared" ref="T60" si="279">S60/1000</f>
        <v>3073.0132554313759</v>
      </c>
    </row>
    <row r="61" spans="1:20" x14ac:dyDescent="0.25">
      <c r="A61" s="5">
        <v>44523</v>
      </c>
      <c r="B61">
        <v>3.2780000000000001E-3</v>
      </c>
      <c r="C61">
        <v>3.3730000000000001E-3</v>
      </c>
      <c r="D61">
        <v>3.2009999999999999E-3</v>
      </c>
      <c r="E61">
        <v>3.2850000000000002E-3</v>
      </c>
      <c r="F61">
        <v>13650333563</v>
      </c>
      <c r="G61">
        <v>3.2850000000000002E-3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-2.3255813953486377E-2</v>
      </c>
      <c r="Q61">
        <f t="shared" ref="Q61" si="281">F61*P61</f>
        <v>-317449617.7441588</v>
      </c>
      <c r="R61">
        <f t="shared" ref="R61" si="282">R62+Q61</f>
        <v>309259516079.72852</v>
      </c>
      <c r="S61">
        <f t="shared" ref="S61" si="283">R61/100000</f>
        <v>3092595.1607972854</v>
      </c>
      <c r="T61">
        <f t="shared" ref="T61" si="284">S61/1000</f>
        <v>3092.5951607972852</v>
      </c>
    </row>
    <row r="62" spans="1:20" x14ac:dyDescent="0.25">
      <c r="A62" s="5">
        <v>44522</v>
      </c>
      <c r="B62">
        <v>3.4009999999999999E-3</v>
      </c>
      <c r="C62">
        <v>3.411E-3</v>
      </c>
      <c r="D62">
        <v>3.2439999999999999E-3</v>
      </c>
      <c r="E62">
        <v>3.2780000000000001E-3</v>
      </c>
      <c r="F62">
        <v>9312430761</v>
      </c>
      <c r="G62">
        <v>3.2780000000000001E-3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-0.59281437125748304</v>
      </c>
      <c r="Q62">
        <f t="shared" ref="Q62" si="286">F62*P62</f>
        <v>-5520542786.4610596</v>
      </c>
      <c r="R62">
        <f t="shared" ref="R62" si="287">R63+Q62</f>
        <v>309576965697.47266</v>
      </c>
      <c r="S62">
        <f t="shared" ref="S62" si="288">R62/100000</f>
        <v>3095769.6569747264</v>
      </c>
      <c r="T62">
        <f t="shared" ref="T62" si="289">S62/1000</f>
        <v>3095.7696569747263</v>
      </c>
    </row>
    <row r="63" spans="1:20" x14ac:dyDescent="0.25">
      <c r="A63" s="5">
        <v>44521</v>
      </c>
      <c r="B63">
        <v>3.4299999999999999E-3</v>
      </c>
      <c r="C63">
        <v>3.4940000000000001E-3</v>
      </c>
      <c r="D63">
        <v>3.388E-3</v>
      </c>
      <c r="E63">
        <v>3.3999999999999998E-3</v>
      </c>
      <c r="F63">
        <v>11091578010</v>
      </c>
      <c r="G63">
        <v>3.3999999999999998E-3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-0.77358490566038041</v>
      </c>
      <c r="Q63">
        <f t="shared" ref="Q63" si="291">F63*P63</f>
        <v>-8580277328.4905996</v>
      </c>
      <c r="R63">
        <f t="shared" ref="R63" si="292">R64+Q63</f>
        <v>315097508483.93372</v>
      </c>
      <c r="S63">
        <f t="shared" ref="S63" si="293">R63/100000</f>
        <v>3150975.084839337</v>
      </c>
      <c r="T63">
        <f t="shared" ref="T63" si="294">S63/1000</f>
        <v>3150.9750848393369</v>
      </c>
    </row>
    <row r="64" spans="1:20" x14ac:dyDescent="0.25">
      <c r="A64" s="5">
        <v>44520</v>
      </c>
      <c r="B64">
        <v>3.3939999999999999E-3</v>
      </c>
      <c r="C64">
        <v>3.4399999999999999E-3</v>
      </c>
      <c r="D64">
        <v>3.2940000000000001E-3</v>
      </c>
      <c r="E64">
        <v>3.4290000000000002E-3</v>
      </c>
      <c r="F64">
        <v>10456398563</v>
      </c>
      <c r="G64">
        <v>3.4290000000000002E-3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0.8493150684931543</v>
      </c>
      <c r="Q64">
        <f t="shared" ref="Q64" si="296">F64*P64</f>
        <v>8880776861.7260647</v>
      </c>
      <c r="R64">
        <f t="shared" ref="R64" si="297">R65+Q64</f>
        <v>323677785812.42432</v>
      </c>
      <c r="S64">
        <f t="shared" ref="S64" si="298">R64/100000</f>
        <v>3236777.8581242431</v>
      </c>
      <c r="T64">
        <f t="shared" ref="T64" si="299">S64/1000</f>
        <v>3236.7778581242433</v>
      </c>
    </row>
    <row r="65" spans="1:20" x14ac:dyDescent="0.25">
      <c r="A65" s="5">
        <v>44519</v>
      </c>
      <c r="B65">
        <v>3.274E-3</v>
      </c>
      <c r="C65">
        <v>3.4529999999999999E-3</v>
      </c>
      <c r="D65">
        <v>3.2160000000000001E-3</v>
      </c>
      <c r="E65">
        <v>3.3939999999999999E-3</v>
      </c>
      <c r="F65">
        <v>11895274330</v>
      </c>
      <c r="G65">
        <v>3.3939999999999999E-3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0.50210970464134963</v>
      </c>
      <c r="Q65">
        <f t="shared" ref="Q65" si="301">F65*P65</f>
        <v>5972732680.4641285</v>
      </c>
      <c r="R65">
        <f t="shared" ref="R65" si="302">R66+Q65</f>
        <v>314797008950.69824</v>
      </c>
      <c r="S65">
        <f t="shared" ref="S65" si="303">R65/100000</f>
        <v>3147970.0895069824</v>
      </c>
      <c r="T65">
        <f t="shared" ref="T65" si="304">S65/1000</f>
        <v>3147.9700895069823</v>
      </c>
    </row>
    <row r="66" spans="1:20" x14ac:dyDescent="0.25">
      <c r="A66" s="5">
        <v>44518</v>
      </c>
      <c r="B66">
        <v>3.6029999999999999E-3</v>
      </c>
      <c r="C66">
        <v>3.663E-3</v>
      </c>
      <c r="D66">
        <v>3.1840000000000002E-3</v>
      </c>
      <c r="E66">
        <v>3.277E-3</v>
      </c>
      <c r="F66">
        <v>15380227355</v>
      </c>
      <c r="G66">
        <v>3.277E-3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-0.61169102296451028</v>
      </c>
      <c r="Q66">
        <f t="shared" ref="Q66" si="306">F66*P66</f>
        <v>-9407947004.2066936</v>
      </c>
      <c r="R66">
        <f t="shared" ref="R66" si="307">R67+Q66</f>
        <v>308824276270.23413</v>
      </c>
      <c r="S66">
        <f t="shared" ref="S66" si="308">R66/100000</f>
        <v>3088242.7627023412</v>
      </c>
      <c r="T66">
        <f t="shared" ref="T66" si="309">S66/1000</f>
        <v>3088.2427627023412</v>
      </c>
    </row>
    <row r="67" spans="1:20" x14ac:dyDescent="0.25">
      <c r="A67" s="5">
        <v>44517</v>
      </c>
      <c r="B67">
        <v>3.5119999999999999E-3</v>
      </c>
      <c r="C67">
        <v>3.6050000000000001E-3</v>
      </c>
      <c r="D67">
        <v>3.4380000000000001E-3</v>
      </c>
      <c r="E67">
        <v>3.6029999999999999E-3</v>
      </c>
      <c r="F67">
        <v>12975377400</v>
      </c>
      <c r="G67">
        <v>3.6029999999999999E-3</v>
      </c>
      <c r="L67" t="s">
        <v>8</v>
      </c>
      <c r="M67" t="s">
        <v>7</v>
      </c>
      <c r="N67" t="s">
        <v>8</v>
      </c>
      <c r="P67">
        <f t="shared" ref="P67" si="310">IF(C67=D67,0,((E67-D67)-(C67-E67))/(C67-D67))</f>
        <v>0.97604790419161358</v>
      </c>
      <c r="Q67">
        <f t="shared" ref="Q67" si="311">F67*P67</f>
        <v>12664589917.365229</v>
      </c>
      <c r="R67">
        <f t="shared" ref="R67" si="312">R68+Q67</f>
        <v>318232223274.4408</v>
      </c>
      <c r="S67">
        <f t="shared" ref="S67" si="313">R67/100000</f>
        <v>3182322.2327444078</v>
      </c>
      <c r="T67">
        <f t="shared" ref="T67" si="314">S67/1000</f>
        <v>3182.3222327444078</v>
      </c>
    </row>
    <row r="68" spans="1:20" x14ac:dyDescent="0.25">
      <c r="A68" s="5">
        <v>44516</v>
      </c>
      <c r="B68">
        <v>3.8080000000000002E-3</v>
      </c>
      <c r="C68">
        <v>3.8119999999999999E-3</v>
      </c>
      <c r="D68">
        <v>3.3E-3</v>
      </c>
      <c r="E68">
        <v>3.5149999999999999E-3</v>
      </c>
      <c r="F68">
        <v>21890808638</v>
      </c>
      <c r="G68">
        <v>3.5149999999999999E-3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-0.16015625000000011</v>
      </c>
      <c r="Q68">
        <f t="shared" ref="Q68" si="316">F68*P68</f>
        <v>-3505949820.9296899</v>
      </c>
      <c r="R68">
        <f t="shared" ref="R68" si="317">R69+Q68</f>
        <v>305567633357.07556</v>
      </c>
      <c r="S68">
        <f t="shared" ref="S68" si="318">R68/100000</f>
        <v>3055676.3335707556</v>
      </c>
      <c r="T68">
        <f t="shared" ref="T68" si="319">S68/1000</f>
        <v>3055.6763335707556</v>
      </c>
    </row>
    <row r="69" spans="1:20" x14ac:dyDescent="0.25">
      <c r="A69" s="5">
        <v>44515</v>
      </c>
      <c r="B69">
        <v>3.7929999999999999E-3</v>
      </c>
      <c r="C69">
        <v>3.9870000000000001E-3</v>
      </c>
      <c r="D69">
        <v>3.7420000000000001E-3</v>
      </c>
      <c r="E69">
        <v>3.8080000000000002E-3</v>
      </c>
      <c r="F69">
        <v>25684012617</v>
      </c>
      <c r="G69">
        <v>3.8080000000000002E-3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-0.46122448979591762</v>
      </c>
      <c r="Q69">
        <f t="shared" ref="Q69" si="321">F69*P69</f>
        <v>-11846095615.187737</v>
      </c>
      <c r="R69">
        <f t="shared" ref="R69" si="322">R70+Q69</f>
        <v>309073583178.00525</v>
      </c>
      <c r="S69">
        <f t="shared" ref="S69" si="323">R69/100000</f>
        <v>3090735.8317800523</v>
      </c>
      <c r="T69">
        <f t="shared" ref="T69" si="324">S69/1000</f>
        <v>3090.7358317800522</v>
      </c>
    </row>
    <row r="70" spans="1:20" x14ac:dyDescent="0.25">
      <c r="A70" s="5">
        <v>44514</v>
      </c>
      <c r="B70">
        <v>3.774E-3</v>
      </c>
      <c r="C70">
        <v>3.875E-3</v>
      </c>
      <c r="D70">
        <v>3.7090000000000001E-3</v>
      </c>
      <c r="E70">
        <v>3.7910000000000001E-3</v>
      </c>
      <c r="F70">
        <v>13040020207</v>
      </c>
      <c r="G70">
        <v>3.7910000000000001E-3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-1.204819277108333E-2</v>
      </c>
      <c r="Q70">
        <f t="shared" ref="Q70" si="326">F70*P70</f>
        <v>-157108677.19275796</v>
      </c>
      <c r="R70">
        <f t="shared" ref="R70" si="327">R71+Q70</f>
        <v>320919678793.19299</v>
      </c>
      <c r="S70">
        <f t="shared" ref="S70" si="328">R70/100000</f>
        <v>3209196.7879319298</v>
      </c>
      <c r="T70">
        <f t="shared" ref="T70" si="329">S70/1000</f>
        <v>3209.19678793193</v>
      </c>
    </row>
    <row r="71" spans="1:20" x14ac:dyDescent="0.25">
      <c r="A71" s="5">
        <v>44513</v>
      </c>
      <c r="B71">
        <v>3.7290000000000001E-3</v>
      </c>
      <c r="C71">
        <v>3.82E-3</v>
      </c>
      <c r="D71">
        <v>3.7000000000000002E-3</v>
      </c>
      <c r="E71">
        <v>3.7750000000000001E-3</v>
      </c>
      <c r="F71">
        <v>7420913143</v>
      </c>
      <c r="G71">
        <v>3.7750000000000001E-3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0.25000000000000089</v>
      </c>
      <c r="Q71">
        <f t="shared" ref="Q71" si="331">F71*P71</f>
        <v>1855228285.7500067</v>
      </c>
      <c r="R71">
        <f t="shared" ref="R71" si="332">R72+Q71</f>
        <v>321076787470.38574</v>
      </c>
      <c r="S71">
        <f t="shared" ref="S71" si="333">R71/100000</f>
        <v>3210767.8747038576</v>
      </c>
      <c r="T71">
        <f t="shared" ref="T71" si="334">S71/1000</f>
        <v>3210.7678747038576</v>
      </c>
    </row>
    <row r="72" spans="1:20" x14ac:dyDescent="0.25">
      <c r="A72" s="5">
        <v>44512</v>
      </c>
      <c r="B72">
        <v>3.8180000000000002E-3</v>
      </c>
      <c r="C72">
        <v>3.8500000000000001E-3</v>
      </c>
      <c r="D72">
        <v>3.5999999999999999E-3</v>
      </c>
      <c r="E72">
        <v>3.728E-3</v>
      </c>
      <c r="F72">
        <v>10666882128</v>
      </c>
      <c r="G72">
        <v>3.728E-3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2.3999999999999695E-2</v>
      </c>
      <c r="Q72">
        <f t="shared" ref="Q72" si="336">F72*P72</f>
        <v>256005171.07199675</v>
      </c>
      <c r="R72">
        <f t="shared" ref="R72" si="337">R73+Q72</f>
        <v>319221559184.63574</v>
      </c>
      <c r="S72">
        <f t="shared" ref="S72" si="338">R72/100000</f>
        <v>3192215.5918463576</v>
      </c>
      <c r="T72">
        <f t="shared" ref="T72" si="339">S72/1000</f>
        <v>3192.2155918463577</v>
      </c>
    </row>
    <row r="73" spans="1:20" x14ac:dyDescent="0.25">
      <c r="A73" s="5">
        <v>44511</v>
      </c>
      <c r="B73">
        <v>3.7980000000000002E-3</v>
      </c>
      <c r="C73">
        <v>3.8899999999999998E-3</v>
      </c>
      <c r="D73">
        <v>3.7309999999999999E-3</v>
      </c>
      <c r="E73">
        <v>3.8189999999999999E-3</v>
      </c>
      <c r="F73">
        <v>10811580029</v>
      </c>
      <c r="G73">
        <v>3.8189999999999999E-3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0.10691823899371135</v>
      </c>
      <c r="Q73">
        <f t="shared" ref="Q73" si="341">F73*P73</f>
        <v>1155955097.4402587</v>
      </c>
      <c r="R73">
        <f t="shared" ref="R73" si="342">R74+Q73</f>
        <v>318965554013.56372</v>
      </c>
      <c r="S73">
        <f t="shared" ref="S73" si="343">R73/100000</f>
        <v>3189655.5401356374</v>
      </c>
      <c r="T73">
        <f t="shared" ref="T73" si="344">S73/1000</f>
        <v>3189.6555401356372</v>
      </c>
    </row>
    <row r="74" spans="1:20" x14ac:dyDescent="0.25">
      <c r="A74" s="5">
        <v>44510</v>
      </c>
      <c r="B74">
        <v>4.1159999999999999E-3</v>
      </c>
      <c r="C74">
        <v>4.1999999999999997E-3</v>
      </c>
      <c r="D74">
        <v>3.4910000000000002E-3</v>
      </c>
      <c r="E74">
        <v>3.7989999999999999E-3</v>
      </c>
      <c r="F74">
        <v>22725898342</v>
      </c>
      <c r="G74">
        <v>3.7989999999999999E-3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-0.13117066290550106</v>
      </c>
      <c r="Q74">
        <f t="shared" ref="Q74" si="346">F74*P74</f>
        <v>-2980971150.6431675</v>
      </c>
      <c r="R74">
        <f t="shared" ref="R74" si="347">R75+Q74</f>
        <v>317809598916.12347</v>
      </c>
      <c r="S74">
        <f t="shared" ref="S74" si="348">R74/100000</f>
        <v>3178095.9891612348</v>
      </c>
      <c r="T74">
        <f t="shared" ref="T74" si="349">S74/1000</f>
        <v>3178.0959891612347</v>
      </c>
    </row>
    <row r="75" spans="1:20" x14ac:dyDescent="0.25">
      <c r="A75" s="5">
        <v>44509</v>
      </c>
      <c r="B75">
        <v>4.0639999999999999E-3</v>
      </c>
      <c r="C75">
        <v>4.1999999999999997E-3</v>
      </c>
      <c r="D75">
        <v>4.0039999999999997E-3</v>
      </c>
      <c r="E75">
        <v>4.117E-3</v>
      </c>
      <c r="F75">
        <v>17650669579</v>
      </c>
      <c r="G75">
        <v>4.117E-3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0.15306122448979853</v>
      </c>
      <c r="Q75">
        <f t="shared" ref="Q75" si="351">F75*P75</f>
        <v>2701633098.8265767</v>
      </c>
      <c r="R75">
        <f t="shared" ref="R75" si="352">R76+Q75</f>
        <v>320790570066.76666</v>
      </c>
      <c r="S75">
        <f t="shared" ref="S75" si="353">R75/100000</f>
        <v>3207905.7006676667</v>
      </c>
      <c r="T75">
        <f t="shared" ref="T75" si="354">S75/1000</f>
        <v>3207.9057006676667</v>
      </c>
    </row>
    <row r="76" spans="1:20" x14ac:dyDescent="0.25">
      <c r="A76" s="5">
        <v>44508</v>
      </c>
      <c r="B76">
        <v>3.9569999999999996E-3</v>
      </c>
      <c r="C76">
        <v>4.0930000000000003E-3</v>
      </c>
      <c r="D76">
        <v>3.9370000000000004E-3</v>
      </c>
      <c r="E76">
        <v>4.065E-3</v>
      </c>
      <c r="F76">
        <v>14022190365</v>
      </c>
      <c r="G76">
        <v>4.065E-3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0.64102564102563764</v>
      </c>
      <c r="Q76">
        <f t="shared" ref="Q76" si="356">F76*P76</f>
        <v>8988583567.3076439</v>
      </c>
      <c r="R76">
        <f t="shared" ref="R76" si="357">R77+Q76</f>
        <v>318088936967.94006</v>
      </c>
      <c r="S76">
        <f t="shared" ref="S76" si="358">R76/100000</f>
        <v>3180889.3696794007</v>
      </c>
      <c r="T76">
        <f t="shared" ref="T76" si="359">S76/1000</f>
        <v>3180.8893696794007</v>
      </c>
    </row>
    <row r="77" spans="1:20" x14ac:dyDescent="0.25">
      <c r="A77" s="5">
        <v>44507</v>
      </c>
      <c r="B77">
        <v>3.862E-3</v>
      </c>
      <c r="C77">
        <v>4.0530000000000002E-3</v>
      </c>
      <c r="D77">
        <v>3.826E-3</v>
      </c>
      <c r="E77">
        <v>3.9569999999999996E-3</v>
      </c>
      <c r="F77">
        <v>14338227484</v>
      </c>
      <c r="G77">
        <v>3.9569999999999996E-3</v>
      </c>
      <c r="L77" t="s">
        <v>8</v>
      </c>
      <c r="M77" t="s">
        <v>7</v>
      </c>
      <c r="N77" t="s">
        <v>8</v>
      </c>
      <c r="P77">
        <f t="shared" ref="P77" si="360">IF(C77=D77,0,((E77-D77)-(C77-E77))/(C77-D77))</f>
        <v>0.1541850220264272</v>
      </c>
      <c r="Q77">
        <f t="shared" ref="Q77" si="361">F77*P77</f>
        <v>2210739920.440464</v>
      </c>
      <c r="R77">
        <f t="shared" ref="R77" si="362">R78+Q77</f>
        <v>309100353400.63245</v>
      </c>
      <c r="S77">
        <f t="shared" ref="S77" si="363">R77/100000</f>
        <v>3091003.5340063246</v>
      </c>
      <c r="T77">
        <f t="shared" ref="T77" si="364">S77/1000</f>
        <v>3091.0035340063246</v>
      </c>
    </row>
    <row r="78" spans="1:20" x14ac:dyDescent="0.25">
      <c r="A78" s="5">
        <v>44506</v>
      </c>
      <c r="B78">
        <v>3.8500000000000001E-3</v>
      </c>
      <c r="C78">
        <v>3.9129999999999998E-3</v>
      </c>
      <c r="D78">
        <v>3.6440000000000001E-3</v>
      </c>
      <c r="E78">
        <v>3.862E-3</v>
      </c>
      <c r="F78">
        <v>12728987358</v>
      </c>
      <c r="G78">
        <v>3.862E-3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0.62081784386617189</v>
      </c>
      <c r="Q78">
        <f t="shared" ref="Q78" si="366">F78*P78</f>
        <v>7902382486.1933203</v>
      </c>
      <c r="R78">
        <f t="shared" ref="R78" si="367">R79+Q78</f>
        <v>306889613480.19196</v>
      </c>
      <c r="S78">
        <f t="shared" ref="S78" si="368">R78/100000</f>
        <v>3068896.1348019196</v>
      </c>
      <c r="T78">
        <f t="shared" ref="T78" si="369">S78/1000</f>
        <v>3068.8961348019197</v>
      </c>
    </row>
    <row r="79" spans="1:20" x14ac:dyDescent="0.25">
      <c r="A79" s="5">
        <v>44505</v>
      </c>
      <c r="B79">
        <v>3.9290000000000002E-3</v>
      </c>
      <c r="C79">
        <v>3.9639999999999996E-3</v>
      </c>
      <c r="D79">
        <v>3.7810000000000001E-3</v>
      </c>
      <c r="E79">
        <v>3.849E-3</v>
      </c>
      <c r="F79">
        <v>11480312031</v>
      </c>
      <c r="G79">
        <v>3.849E-3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-0.25683060109289529</v>
      </c>
      <c r="Q79">
        <f t="shared" ref="Q79" si="371">F79*P79</f>
        <v>-2948495439.6557274</v>
      </c>
      <c r="R79">
        <f t="shared" ref="R79" si="372">R80+Q79</f>
        <v>298987230993.99866</v>
      </c>
      <c r="S79">
        <f t="shared" ref="S79" si="373">R79/100000</f>
        <v>2989872.3099399866</v>
      </c>
      <c r="T79">
        <f t="shared" ref="T79" si="374">S79/1000</f>
        <v>2989.8723099399867</v>
      </c>
    </row>
    <row r="80" spans="1:20" x14ac:dyDescent="0.25">
      <c r="A80" s="5">
        <v>44504</v>
      </c>
      <c r="B80">
        <v>4.0480000000000004E-3</v>
      </c>
      <c r="C80">
        <v>4.117E-3</v>
      </c>
      <c r="D80">
        <v>3.846E-3</v>
      </c>
      <c r="E80">
        <v>3.9290000000000002E-3</v>
      </c>
      <c r="F80">
        <v>17865537860</v>
      </c>
      <c r="G80">
        <v>3.9290000000000002E-3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-0.38745387453874403</v>
      </c>
      <c r="Q80">
        <f t="shared" ref="Q80" si="376">F80*P80</f>
        <v>-6922071864.5756216</v>
      </c>
      <c r="R80">
        <f t="shared" ref="R80" si="377">R81+Q80</f>
        <v>301935726433.65436</v>
      </c>
      <c r="S80">
        <f t="shared" ref="S80" si="378">R80/100000</f>
        <v>3019357.2643365436</v>
      </c>
      <c r="T80">
        <f t="shared" ref="T80" si="379">S80/1000</f>
        <v>3019.3572643365437</v>
      </c>
    </row>
    <row r="81" spans="1:20" x14ac:dyDescent="0.25">
      <c r="A81" s="5">
        <v>44503</v>
      </c>
      <c r="B81">
        <v>4.0810000000000004E-3</v>
      </c>
      <c r="C81">
        <v>4.2129999999999997E-3</v>
      </c>
      <c r="D81">
        <v>3.82E-3</v>
      </c>
      <c r="E81">
        <v>4.0480000000000004E-3</v>
      </c>
      <c r="F81">
        <v>23398626893</v>
      </c>
      <c r="G81">
        <v>4.0480000000000004E-3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0.16030534351145304</v>
      </c>
      <c r="Q81">
        <f t="shared" ref="Q81" si="381">F81*P81</f>
        <v>3750924921.778688</v>
      </c>
      <c r="R81">
        <f t="shared" ref="R81" si="382">R82+Q81</f>
        <v>308857798298.22998</v>
      </c>
      <c r="S81">
        <f t="shared" ref="S81" si="383">R81/100000</f>
        <v>3088577.9829822998</v>
      </c>
      <c r="T81">
        <f t="shared" ref="T81" si="384">S81/1000</f>
        <v>3088.5779829822995</v>
      </c>
    </row>
    <row r="82" spans="1:20" x14ac:dyDescent="0.25">
      <c r="A82" s="5">
        <v>44502</v>
      </c>
      <c r="B82">
        <v>3.9870000000000001E-3</v>
      </c>
      <c r="C82">
        <v>4.2500000000000003E-3</v>
      </c>
      <c r="D82">
        <v>3.9039999999999999E-3</v>
      </c>
      <c r="E82">
        <v>4.0810000000000004E-3</v>
      </c>
      <c r="F82">
        <v>27695490368</v>
      </c>
      <c r="G82">
        <v>4.0810000000000004E-3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2.3121387283238783E-2</v>
      </c>
      <c r="Q82">
        <f t="shared" ref="Q82" si="386">F82*P82</f>
        <v>640358158.79773736</v>
      </c>
      <c r="R82">
        <f t="shared" ref="R82" si="387">R83+Q82</f>
        <v>305106873376.45129</v>
      </c>
      <c r="S82">
        <f t="shared" ref="S82" si="388">R82/100000</f>
        <v>3051068.7337645129</v>
      </c>
      <c r="T82">
        <f t="shared" ref="T82" si="389">S82/1000</f>
        <v>3051.0687337645131</v>
      </c>
    </row>
    <row r="83" spans="1:20" x14ac:dyDescent="0.25">
      <c r="A83" s="5">
        <v>44501</v>
      </c>
      <c r="B83">
        <v>4.1339999999999997E-3</v>
      </c>
      <c r="C83">
        <v>4.1529999999999996E-3</v>
      </c>
      <c r="D83">
        <v>3.8289999999999999E-3</v>
      </c>
      <c r="E83">
        <v>3.986E-3</v>
      </c>
      <c r="F83">
        <v>20593428852</v>
      </c>
      <c r="G83">
        <v>3.986E-3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-3.0864197530862975E-2</v>
      </c>
      <c r="Q83">
        <f t="shared" ref="Q83" si="391">F83*P83</f>
        <v>-635599655.9259007</v>
      </c>
      <c r="R83">
        <f t="shared" ref="R83" si="392">R84+Q83</f>
        <v>304466515217.65356</v>
      </c>
      <c r="S83">
        <f t="shared" ref="S83" si="393">R83/100000</f>
        <v>3044665.1521765357</v>
      </c>
      <c r="T83">
        <f t="shared" ref="T83" si="394">S83/1000</f>
        <v>3044.6651521765357</v>
      </c>
    </row>
    <row r="84" spans="1:20" x14ac:dyDescent="0.25">
      <c r="A84" s="5">
        <v>44500</v>
      </c>
      <c r="B84">
        <v>3.8670000000000002E-3</v>
      </c>
      <c r="C84">
        <v>4.5669999999999999E-3</v>
      </c>
      <c r="D84">
        <v>3.718E-3</v>
      </c>
      <c r="E84">
        <v>4.1339999999999997E-3</v>
      </c>
      <c r="F84">
        <v>60146276394</v>
      </c>
      <c r="G84">
        <v>4.1339999999999997E-3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-2.0023557126031242E-2</v>
      </c>
      <c r="Q84">
        <f t="shared" ref="Q84" si="396">F84*P84</f>
        <v>-1204342401.2933233</v>
      </c>
      <c r="R84">
        <f t="shared" ref="R84" si="397">R85+Q84</f>
        <v>305102114873.57947</v>
      </c>
      <c r="S84">
        <f t="shared" ref="S84" si="398">R84/100000</f>
        <v>3051021.1487357947</v>
      </c>
      <c r="T84">
        <f t="shared" ref="T84" si="399">S84/1000</f>
        <v>3051.0211487357947</v>
      </c>
    </row>
    <row r="85" spans="1:20" x14ac:dyDescent="0.25">
      <c r="A85" s="5">
        <v>44499</v>
      </c>
      <c r="B85">
        <v>3.82E-3</v>
      </c>
      <c r="C85">
        <v>4.248E-3</v>
      </c>
      <c r="D85">
        <v>3.702E-3</v>
      </c>
      <c r="E85">
        <v>3.8679999999999999E-3</v>
      </c>
      <c r="F85">
        <v>53862077267</v>
      </c>
      <c r="G85">
        <v>3.8679999999999999E-3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-0.39194139194139233</v>
      </c>
      <c r="Q85">
        <f t="shared" ref="Q85" si="401">F85*P85</f>
        <v>-21110777536.882805</v>
      </c>
      <c r="R85">
        <f t="shared" ref="R85" si="402">R86+Q85</f>
        <v>306306457274.8728</v>
      </c>
      <c r="S85">
        <f t="shared" ref="S85" si="403">R85/100000</f>
        <v>3063064.5727487281</v>
      </c>
      <c r="T85">
        <f t="shared" ref="T85" si="404">S85/1000</f>
        <v>3063.0645727487281</v>
      </c>
    </row>
    <row r="86" spans="1:20" x14ac:dyDescent="0.25">
      <c r="A86" s="5">
        <v>44498</v>
      </c>
      <c r="B86">
        <v>3.5209999999999998E-3</v>
      </c>
      <c r="C86">
        <v>3.8769999999999998E-3</v>
      </c>
      <c r="D86">
        <v>3.4940000000000001E-3</v>
      </c>
      <c r="E86">
        <v>3.8189999999999999E-3</v>
      </c>
      <c r="F86">
        <v>18926450265</v>
      </c>
      <c r="G86">
        <v>3.8189999999999999E-3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0.69712793733681488</v>
      </c>
      <c r="Q86">
        <f t="shared" ref="Q86" si="406">F86*P86</f>
        <v>13194157234.347263</v>
      </c>
      <c r="R86">
        <f t="shared" ref="R86" si="407">R87+Q86</f>
        <v>327417234811.75562</v>
      </c>
      <c r="S86">
        <f t="shared" ref="S86" si="408">R86/100000</f>
        <v>3274172.348117556</v>
      </c>
      <c r="T86">
        <f t="shared" ref="T86" si="409">S86/1000</f>
        <v>3274.1723481175559</v>
      </c>
    </row>
    <row r="87" spans="1:20" x14ac:dyDescent="0.25">
      <c r="A87" s="5">
        <v>44497</v>
      </c>
      <c r="B87">
        <v>3.3340000000000002E-3</v>
      </c>
      <c r="C87">
        <v>3.5990000000000002E-3</v>
      </c>
      <c r="D87">
        <v>3.2859999999999999E-3</v>
      </c>
      <c r="E87">
        <v>3.5209999999999998E-3</v>
      </c>
      <c r="F87">
        <v>19580552500</v>
      </c>
      <c r="G87">
        <v>3.5209999999999998E-3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0.50159744408945495</v>
      </c>
      <c r="Q87">
        <f t="shared" ref="Q87" si="411">F87*P87</f>
        <v>9821555087.8593864</v>
      </c>
      <c r="R87">
        <f t="shared" ref="R87" si="412">R88+Q87</f>
        <v>314223077577.40833</v>
      </c>
      <c r="S87">
        <f t="shared" ref="S87" si="413">R87/100000</f>
        <v>3142230.7757740831</v>
      </c>
      <c r="T87">
        <f t="shared" ref="T87" si="414">S87/1000</f>
        <v>3142.2307757740832</v>
      </c>
    </row>
    <row r="88" spans="1:20" x14ac:dyDescent="0.25">
      <c r="A88" s="5">
        <v>44496</v>
      </c>
      <c r="B88">
        <v>3.7499999999999999E-3</v>
      </c>
      <c r="C88">
        <v>3.8539999999999998E-3</v>
      </c>
      <c r="D88">
        <v>3.042E-3</v>
      </c>
      <c r="E88">
        <v>3.3340000000000002E-3</v>
      </c>
      <c r="F88">
        <v>26089305047</v>
      </c>
      <c r="G88">
        <v>3.3340000000000002E-3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-0.28078817733990091</v>
      </c>
      <c r="Q88">
        <f t="shared" ref="Q88" si="416">F88*P88</f>
        <v>-7325568412.2118082</v>
      </c>
      <c r="R88">
        <f t="shared" ref="R88" si="417">R89+Q88</f>
        <v>304401522489.54895</v>
      </c>
      <c r="S88">
        <f t="shared" ref="S88" si="418">R88/100000</f>
        <v>3044015.2248954894</v>
      </c>
      <c r="T88">
        <f t="shared" ref="T88" si="419">S88/1000</f>
        <v>3044.0152248954896</v>
      </c>
    </row>
    <row r="89" spans="1:20" x14ac:dyDescent="0.25">
      <c r="A89" s="5">
        <v>44495</v>
      </c>
      <c r="B89">
        <v>3.6970000000000002E-3</v>
      </c>
      <c r="C89">
        <v>3.9350000000000001E-3</v>
      </c>
      <c r="D89">
        <v>3.6570000000000001E-3</v>
      </c>
      <c r="E89">
        <v>3.751E-3</v>
      </c>
      <c r="F89">
        <v>23827528033</v>
      </c>
      <c r="G89">
        <v>3.751E-3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-0.32374100719424542</v>
      </c>
      <c r="Q89">
        <f t="shared" ref="Q89" si="421">F89*P89</f>
        <v>-7713947924.3525372</v>
      </c>
      <c r="R89">
        <f t="shared" ref="R89" si="422">R90+Q89</f>
        <v>311727090901.76074</v>
      </c>
      <c r="S89">
        <f t="shared" ref="S89" si="423">R89/100000</f>
        <v>3117270.9090176076</v>
      </c>
      <c r="T89">
        <f t="shared" ref="T89" si="424">S89/1000</f>
        <v>3117.2709090176077</v>
      </c>
    </row>
    <row r="90" spans="1:20" x14ac:dyDescent="0.25">
      <c r="A90" s="5">
        <v>44494</v>
      </c>
      <c r="B90">
        <v>3.5980000000000001E-3</v>
      </c>
      <c r="C90">
        <v>3.7000000000000002E-3</v>
      </c>
      <c r="D90">
        <v>3.5890000000000002E-3</v>
      </c>
      <c r="E90">
        <v>3.6960000000000001E-3</v>
      </c>
      <c r="F90">
        <v>9641440694</v>
      </c>
      <c r="G90">
        <v>3.6960000000000001E-3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0.92792792792792622</v>
      </c>
      <c r="Q90">
        <f t="shared" ref="Q90" si="426">F90*P90</f>
        <v>8946562085.4234066</v>
      </c>
      <c r="R90">
        <f t="shared" ref="R90" si="427">R91+Q90</f>
        <v>319441038826.11328</v>
      </c>
      <c r="S90">
        <f t="shared" ref="S90" si="428">R90/100000</f>
        <v>3194410.3882611329</v>
      </c>
      <c r="T90">
        <f t="shared" ref="T90" si="429">S90/1000</f>
        <v>3194.410388261133</v>
      </c>
    </row>
    <row r="91" spans="1:20" x14ac:dyDescent="0.25">
      <c r="A91" s="5">
        <v>44493</v>
      </c>
      <c r="B91">
        <v>3.6749999999999999E-3</v>
      </c>
      <c r="C91">
        <v>3.6840000000000002E-3</v>
      </c>
      <c r="D91">
        <v>3.5239999999999998E-3</v>
      </c>
      <c r="E91">
        <v>3.5990000000000002E-3</v>
      </c>
      <c r="F91">
        <v>10781812241</v>
      </c>
      <c r="G91">
        <v>3.5990000000000002E-3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-6.2499999999997287E-2</v>
      </c>
      <c r="Q91">
        <f t="shared" ref="Q91" si="431">F91*P91</f>
        <v>-673863265.06247079</v>
      </c>
      <c r="R91">
        <f t="shared" ref="R91" si="432">R92+Q91</f>
        <v>310494476740.68988</v>
      </c>
      <c r="S91">
        <f t="shared" ref="S91" si="433">R91/100000</f>
        <v>3104944.767406899</v>
      </c>
      <c r="T91">
        <f t="shared" ref="T91" si="434">S91/1000</f>
        <v>3104.9447674068988</v>
      </c>
    </row>
    <row r="92" spans="1:20" x14ac:dyDescent="0.25">
      <c r="A92" s="5">
        <v>44492</v>
      </c>
      <c r="B92">
        <v>3.653E-3</v>
      </c>
      <c r="C92">
        <v>3.6819999999999999E-3</v>
      </c>
      <c r="D92">
        <v>3.5959999999999998E-3</v>
      </c>
      <c r="E92">
        <v>3.676E-3</v>
      </c>
      <c r="F92">
        <v>7455620150</v>
      </c>
      <c r="G92">
        <v>3.676E-3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0.86046511627907163</v>
      </c>
      <c r="Q92">
        <f t="shared" ref="Q92" si="436">F92*P92</f>
        <v>6415301059.3023396</v>
      </c>
      <c r="R92">
        <f t="shared" ref="R92" si="437">R93+Q92</f>
        <v>311168340005.75238</v>
      </c>
      <c r="S92">
        <f t="shared" ref="S92" si="438">R92/100000</f>
        <v>3111683.400057524</v>
      </c>
      <c r="T92">
        <f t="shared" ref="T92" si="439">S92/1000</f>
        <v>3111.6834000575241</v>
      </c>
    </row>
    <row r="93" spans="1:20" x14ac:dyDescent="0.25">
      <c r="A93" s="5">
        <v>44491</v>
      </c>
      <c r="B93">
        <v>3.6340000000000001E-3</v>
      </c>
      <c r="C93">
        <v>3.7439999999999999E-3</v>
      </c>
      <c r="D93">
        <v>3.578E-3</v>
      </c>
      <c r="E93">
        <v>3.653E-3</v>
      </c>
      <c r="F93">
        <v>10885737806</v>
      </c>
      <c r="G93">
        <v>3.653E-3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-9.6385542168674482E-2</v>
      </c>
      <c r="Q93">
        <f t="shared" ref="Q93" si="441">F93*P93</f>
        <v>-1049227740.337347</v>
      </c>
      <c r="R93">
        <f t="shared" ref="R93" si="442">R94+Q93</f>
        <v>304753038946.45001</v>
      </c>
      <c r="S93">
        <f t="shared" ref="S93" si="443">R93/100000</f>
        <v>3047530.3894644999</v>
      </c>
      <c r="T93">
        <f t="shared" ref="T93" si="444">S93/1000</f>
        <v>3047.5303894644999</v>
      </c>
    </row>
    <row r="94" spans="1:20" x14ac:dyDescent="0.25">
      <c r="A94" s="5">
        <v>44490</v>
      </c>
      <c r="B94">
        <v>3.784E-3</v>
      </c>
      <c r="C94">
        <v>3.8709999999999999E-3</v>
      </c>
      <c r="D94">
        <v>3.6150000000000002E-3</v>
      </c>
      <c r="E94">
        <v>3.6350000000000002E-3</v>
      </c>
      <c r="F94">
        <v>14198897234</v>
      </c>
      <c r="G94">
        <v>3.6350000000000002E-3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-0.84374999999999944</v>
      </c>
      <c r="Q94">
        <f t="shared" ref="Q94" si="446">F94*P94</f>
        <v>-11980319541.187492</v>
      </c>
      <c r="R94">
        <f t="shared" ref="R94" si="447">R95+Q94</f>
        <v>305802266686.78735</v>
      </c>
      <c r="S94">
        <f t="shared" ref="S94" si="448">R94/100000</f>
        <v>3058022.6668678736</v>
      </c>
      <c r="T94">
        <f t="shared" ref="T94" si="449">S94/1000</f>
        <v>3058.0226668678738</v>
      </c>
    </row>
    <row r="95" spans="1:20" x14ac:dyDescent="0.25">
      <c r="A95" s="5">
        <v>44489</v>
      </c>
      <c r="B95">
        <v>3.5950000000000001E-3</v>
      </c>
      <c r="C95">
        <v>3.8539999999999998E-3</v>
      </c>
      <c r="D95">
        <v>3.5699999999999998E-3</v>
      </c>
      <c r="E95">
        <v>3.7829999999999999E-3</v>
      </c>
      <c r="F95">
        <v>19567348520</v>
      </c>
      <c r="G95">
        <v>3.7829999999999999E-3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0.50000000000000078</v>
      </c>
      <c r="Q95">
        <f t="shared" ref="Q95" si="451">F95*P95</f>
        <v>9783674260.0000153</v>
      </c>
      <c r="R95">
        <f t="shared" ref="R95" si="452">R96+Q95</f>
        <v>317782586227.97485</v>
      </c>
      <c r="S95">
        <f t="shared" ref="S95" si="453">R95/100000</f>
        <v>3177825.8622797485</v>
      </c>
      <c r="T95">
        <f t="shared" ref="T95" si="454">S95/1000</f>
        <v>3177.8258622797484</v>
      </c>
    </row>
    <row r="96" spans="1:20" x14ac:dyDescent="0.25">
      <c r="A96" s="5">
        <v>44488</v>
      </c>
      <c r="B96">
        <v>3.571E-3</v>
      </c>
      <c r="C96">
        <v>3.63E-3</v>
      </c>
      <c r="D96">
        <v>3.5339999999999998E-3</v>
      </c>
      <c r="E96">
        <v>3.5950000000000001E-3</v>
      </c>
      <c r="F96">
        <v>7424522404</v>
      </c>
      <c r="G96">
        <v>3.5950000000000001E-3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0.2708333333333372</v>
      </c>
      <c r="Q96">
        <f t="shared" ref="Q96" si="456">F96*P96</f>
        <v>2010808151.0833621</v>
      </c>
      <c r="R96">
        <f t="shared" ref="R96" si="457">R97+Q96</f>
        <v>307998911967.97485</v>
      </c>
      <c r="S96">
        <f t="shared" ref="S96" si="458">R96/100000</f>
        <v>3079989.1196797485</v>
      </c>
      <c r="T96">
        <f t="shared" ref="T96" si="459">S96/1000</f>
        <v>3079.9891196797485</v>
      </c>
    </row>
    <row r="97" spans="1:20" x14ac:dyDescent="0.25">
      <c r="A97" s="5">
        <v>44487</v>
      </c>
      <c r="B97">
        <v>3.604E-3</v>
      </c>
      <c r="C97">
        <v>3.637E-3</v>
      </c>
      <c r="D97">
        <v>3.5130000000000001E-3</v>
      </c>
      <c r="E97">
        <v>3.5720000000000001E-3</v>
      </c>
      <c r="F97">
        <v>7418811894</v>
      </c>
      <c r="G97">
        <v>3.5720000000000001E-3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-4.8387096774192985E-2</v>
      </c>
      <c r="Q97">
        <f t="shared" ref="Q97" si="461">F97*P97</f>
        <v>-358974769.06451195</v>
      </c>
      <c r="R97">
        <f t="shared" ref="R97" si="462">R98+Q97</f>
        <v>305988103816.89148</v>
      </c>
      <c r="S97">
        <f t="shared" ref="S97" si="463">R97/100000</f>
        <v>3059881.0381689146</v>
      </c>
      <c r="T97">
        <f t="shared" ref="T97" si="464">S97/1000</f>
        <v>3059.8810381689145</v>
      </c>
    </row>
    <row r="98" spans="1:20" x14ac:dyDescent="0.25">
      <c r="A98" s="5">
        <v>44486</v>
      </c>
      <c r="B98">
        <v>3.627E-3</v>
      </c>
      <c r="C98">
        <v>3.7239999999999999E-3</v>
      </c>
      <c r="D98">
        <v>3.4629999999999999E-3</v>
      </c>
      <c r="E98">
        <v>3.604E-3</v>
      </c>
      <c r="F98">
        <v>11831739088</v>
      </c>
      <c r="G98">
        <v>3.604E-3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8.0459770114943249E-2</v>
      </c>
      <c r="Q98">
        <f t="shared" ref="Q98" si="466">F98*P98</f>
        <v>951979007.0804683</v>
      </c>
      <c r="R98">
        <f t="shared" ref="R98" si="467">R99+Q98</f>
        <v>306347078585.95599</v>
      </c>
      <c r="S98">
        <f t="shared" ref="S98" si="468">R98/100000</f>
        <v>3063470.7858595601</v>
      </c>
      <c r="T98">
        <f t="shared" ref="T98" si="469">S98/1000</f>
        <v>3063.4707858595602</v>
      </c>
    </row>
    <row r="99" spans="1:20" x14ac:dyDescent="0.25">
      <c r="A99" s="5">
        <v>44485</v>
      </c>
      <c r="B99">
        <v>3.6329999999999999E-3</v>
      </c>
      <c r="C99">
        <v>3.7239999999999999E-3</v>
      </c>
      <c r="D99">
        <v>3.5999999999999999E-3</v>
      </c>
      <c r="E99">
        <v>3.6259999999999999E-3</v>
      </c>
      <c r="F99">
        <v>7066988899</v>
      </c>
      <c r="G99">
        <v>3.6259999999999999E-3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-0.58064516129032284</v>
      </c>
      <c r="Q99">
        <f t="shared" ref="Q99" si="471">F99*P99</f>
        <v>-4103412909.096776</v>
      </c>
      <c r="R99">
        <f t="shared" ref="R99" si="472">R100+Q99</f>
        <v>305395099578.87555</v>
      </c>
      <c r="S99">
        <f t="shared" ref="S99" si="473">R99/100000</f>
        <v>3053950.9957887554</v>
      </c>
      <c r="T99">
        <f t="shared" ref="T99" si="474">S99/1000</f>
        <v>3053.9509957887553</v>
      </c>
    </row>
    <row r="100" spans="1:20" x14ac:dyDescent="0.25">
      <c r="A100" s="5">
        <v>44484</v>
      </c>
      <c r="B100">
        <v>3.754E-3</v>
      </c>
      <c r="C100">
        <v>3.7750000000000001E-3</v>
      </c>
      <c r="D100">
        <v>3.5260000000000001E-3</v>
      </c>
      <c r="E100">
        <v>3.6329999999999999E-3</v>
      </c>
      <c r="F100">
        <v>12215790587</v>
      </c>
      <c r="G100">
        <v>3.6329999999999999E-3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-0.14056224899598513</v>
      </c>
      <c r="Q100">
        <f t="shared" ref="Q100" si="476">F100*P100</f>
        <v>-1717078998.1727054</v>
      </c>
      <c r="R100">
        <f t="shared" ref="R100" si="477">R101+Q100</f>
        <v>309498512487.97235</v>
      </c>
      <c r="S100">
        <f t="shared" ref="S100" si="478">R100/100000</f>
        <v>3094985.1248797234</v>
      </c>
      <c r="T100">
        <f t="shared" ref="T100" si="479">S100/1000</f>
        <v>3094.9851248797236</v>
      </c>
    </row>
    <row r="101" spans="1:20" x14ac:dyDescent="0.25">
      <c r="A101" s="5">
        <v>44483</v>
      </c>
      <c r="B101">
        <v>3.761E-3</v>
      </c>
      <c r="C101">
        <v>3.8340000000000002E-3</v>
      </c>
      <c r="D101">
        <v>3.7139999999999999E-3</v>
      </c>
      <c r="E101">
        <v>3.754E-3</v>
      </c>
      <c r="F101">
        <v>7110660651</v>
      </c>
      <c r="G101">
        <v>3.754E-3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-0.33333333333333331</v>
      </c>
      <c r="Q101">
        <f t="shared" ref="Q101" si="481">F101*P101</f>
        <v>-2370220217</v>
      </c>
      <c r="R101">
        <f t="shared" ref="R101" si="482">R102+Q101</f>
        <v>311215591486.14508</v>
      </c>
      <c r="S101">
        <f t="shared" ref="S101" si="483">R101/100000</f>
        <v>3112155.9148614509</v>
      </c>
      <c r="T101">
        <f t="shared" ref="T101" si="484">S101/1000</f>
        <v>3112.155914861451</v>
      </c>
    </row>
    <row r="102" spans="1:20" x14ac:dyDescent="0.25">
      <c r="A102" s="5">
        <v>44482</v>
      </c>
      <c r="B102">
        <v>3.6809999999999998E-3</v>
      </c>
      <c r="C102">
        <v>3.761E-3</v>
      </c>
      <c r="D102">
        <v>3.5860000000000002E-3</v>
      </c>
      <c r="E102">
        <v>3.761E-3</v>
      </c>
      <c r="F102">
        <v>7989660877</v>
      </c>
      <c r="G102">
        <v>3.761E-3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1</v>
      </c>
      <c r="Q102">
        <f t="shared" ref="Q102" si="486">F102*P102</f>
        <v>7989660877</v>
      </c>
      <c r="R102">
        <f t="shared" ref="R102" si="487">R103+Q102</f>
        <v>313585811703.14508</v>
      </c>
      <c r="S102">
        <f t="shared" ref="S102" si="488">R102/100000</f>
        <v>3135858.1170314508</v>
      </c>
      <c r="T102">
        <f t="shared" ref="T102" si="489">S102/1000</f>
        <v>3135.858117031451</v>
      </c>
    </row>
    <row r="103" spans="1:20" x14ac:dyDescent="0.25">
      <c r="A103" s="5">
        <v>44481</v>
      </c>
      <c r="B103">
        <v>3.8170000000000001E-3</v>
      </c>
      <c r="C103">
        <v>3.826E-3</v>
      </c>
      <c r="D103">
        <v>3.519E-3</v>
      </c>
      <c r="E103">
        <v>3.6819999999999999E-3</v>
      </c>
      <c r="F103">
        <v>9568009369</v>
      </c>
      <c r="G103">
        <v>3.6819999999999999E-3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6.1889250814331991E-2</v>
      </c>
      <c r="Q103">
        <f t="shared" ref="Q103" si="491">F103*P103</f>
        <v>592156931.63191938</v>
      </c>
      <c r="R103">
        <f t="shared" ref="R103" si="492">R104+Q103</f>
        <v>305596150826.14508</v>
      </c>
      <c r="S103">
        <f t="shared" ref="S103" si="493">R103/100000</f>
        <v>3055961.508261451</v>
      </c>
      <c r="T103">
        <f t="shared" ref="T103" si="494">S103/1000</f>
        <v>3055.9615082614509</v>
      </c>
    </row>
    <row r="104" spans="1:20" x14ac:dyDescent="0.25">
      <c r="A104" s="5">
        <v>44480</v>
      </c>
      <c r="B104">
        <v>3.813E-3</v>
      </c>
      <c r="C104">
        <v>4.0200000000000001E-3</v>
      </c>
      <c r="D104">
        <v>3.7269999999999998E-3</v>
      </c>
      <c r="E104">
        <v>3.8189999999999999E-3</v>
      </c>
      <c r="F104">
        <v>10807561948</v>
      </c>
      <c r="G104">
        <v>3.8189999999999999E-3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-0.37201365187713326</v>
      </c>
      <c r="Q104">
        <f t="shared" ref="Q104" si="496">F104*P104</f>
        <v>-4020560588.1638241</v>
      </c>
      <c r="R104">
        <f t="shared" ref="R104" si="497">R105+Q104</f>
        <v>305003993894.51318</v>
      </c>
      <c r="S104">
        <f t="shared" ref="S104" si="498">R104/100000</f>
        <v>3050039.9389451318</v>
      </c>
      <c r="T104">
        <f t="shared" ref="T104" si="499">S104/1000</f>
        <v>3050.0399389451318</v>
      </c>
    </row>
    <row r="105" spans="1:20" x14ac:dyDescent="0.25">
      <c r="A105" s="5">
        <v>44479</v>
      </c>
      <c r="B105">
        <v>4.1580000000000002E-3</v>
      </c>
      <c r="C105">
        <v>4.1640000000000002E-3</v>
      </c>
      <c r="D105">
        <v>3.7880000000000001E-3</v>
      </c>
      <c r="E105">
        <v>3.813E-3</v>
      </c>
      <c r="F105">
        <v>15986200353</v>
      </c>
      <c r="G105">
        <v>3.813E-3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-0.86702127659574546</v>
      </c>
      <c r="Q105">
        <f t="shared" ref="Q105" si="501">F105*P105</f>
        <v>-13860375837.973417</v>
      </c>
      <c r="R105">
        <f t="shared" ref="R105" si="502">R106+Q105</f>
        <v>309024554482.677</v>
      </c>
      <c r="S105">
        <f t="shared" ref="S105" si="503">R105/100000</f>
        <v>3090245.5448267702</v>
      </c>
      <c r="T105">
        <f t="shared" ref="T105" si="504">S105/1000</f>
        <v>3090.2455448267701</v>
      </c>
    </row>
    <row r="106" spans="1:20" x14ac:dyDescent="0.25">
      <c r="A106" s="5">
        <v>44478</v>
      </c>
      <c r="B106">
        <v>3.748E-3</v>
      </c>
      <c r="C106">
        <v>4.4260000000000002E-3</v>
      </c>
      <c r="D106">
        <v>3.7079999999999999E-3</v>
      </c>
      <c r="E106">
        <v>4.1580000000000002E-3</v>
      </c>
      <c r="F106">
        <v>41205246983</v>
      </c>
      <c r="G106">
        <v>4.1580000000000002E-3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0.25348189415041816</v>
      </c>
      <c r="Q106">
        <f t="shared" ref="Q106" si="506">F106*P106</f>
        <v>10444784054.186644</v>
      </c>
      <c r="R106">
        <f t="shared" ref="R106" si="507">R107+Q106</f>
        <v>322884930320.65039</v>
      </c>
      <c r="S106">
        <f t="shared" ref="S106" si="508">R106/100000</f>
        <v>3228849.3032065039</v>
      </c>
      <c r="T106">
        <f t="shared" ref="T106" si="509">S106/1000</f>
        <v>3228.8493032065039</v>
      </c>
    </row>
    <row r="107" spans="1:20" x14ac:dyDescent="0.25">
      <c r="A107" s="5">
        <v>44477</v>
      </c>
      <c r="B107">
        <v>3.6340000000000001E-3</v>
      </c>
      <c r="C107">
        <v>3.898E-3</v>
      </c>
      <c r="D107">
        <v>3.6110000000000001E-3</v>
      </c>
      <c r="E107">
        <v>3.7469999999999999E-3</v>
      </c>
      <c r="F107">
        <v>14170320986</v>
      </c>
      <c r="G107">
        <v>3.7469999999999999E-3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-5.2264808362370241E-2</v>
      </c>
      <c r="Q107">
        <f t="shared" ref="Q107" si="511">F107*P107</f>
        <v>-740609110.7665633</v>
      </c>
      <c r="R107">
        <f t="shared" ref="R107" si="512">R108+Q107</f>
        <v>312440146266.46375</v>
      </c>
      <c r="S107">
        <f t="shared" ref="S107" si="513">R107/100000</f>
        <v>3124401.4626646372</v>
      </c>
      <c r="T107">
        <f t="shared" ref="T107" si="514">S107/1000</f>
        <v>3124.4014626646372</v>
      </c>
    </row>
    <row r="108" spans="1:20" x14ac:dyDescent="0.25">
      <c r="A108" s="5">
        <v>44476</v>
      </c>
      <c r="B108">
        <v>3.7009999999999999E-3</v>
      </c>
      <c r="C108">
        <v>3.7100000000000002E-3</v>
      </c>
      <c r="D108">
        <v>3.5620000000000001E-3</v>
      </c>
      <c r="E108">
        <v>3.6350000000000002E-3</v>
      </c>
      <c r="F108">
        <v>11128035163</v>
      </c>
      <c r="G108">
        <v>3.6350000000000002E-3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-1.3513513513512366E-2</v>
      </c>
      <c r="Q108">
        <f t="shared" ref="Q108" si="516">F108*P108</f>
        <v>-150378853.5540413</v>
      </c>
      <c r="R108">
        <f t="shared" ref="R108" si="517">R109+Q108</f>
        <v>313180755377.23029</v>
      </c>
      <c r="S108">
        <f t="shared" ref="S108" si="518">R108/100000</f>
        <v>3131807.5537723028</v>
      </c>
      <c r="T108">
        <f t="shared" ref="T108" si="519">S108/1000</f>
        <v>3131.807553772303</v>
      </c>
    </row>
    <row r="109" spans="1:20" x14ac:dyDescent="0.25">
      <c r="A109" s="5">
        <v>44475</v>
      </c>
      <c r="B109">
        <v>3.728E-3</v>
      </c>
      <c r="C109">
        <v>3.81E-3</v>
      </c>
      <c r="D109">
        <v>3.4520000000000002E-3</v>
      </c>
      <c r="E109">
        <v>3.7009999999999999E-3</v>
      </c>
      <c r="F109">
        <v>16345791270</v>
      </c>
      <c r="G109">
        <v>3.7009999999999999E-3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0.39106145251396529</v>
      </c>
      <c r="Q109">
        <f t="shared" ref="Q109" si="521">F109*P109</f>
        <v>6392208876.536293</v>
      </c>
      <c r="R109">
        <f t="shared" ref="R109" si="522">R110+Q109</f>
        <v>313331134230.7843</v>
      </c>
      <c r="S109">
        <f t="shared" ref="S109" si="523">R109/100000</f>
        <v>3133311.3423078428</v>
      </c>
      <c r="T109">
        <f t="shared" ref="T109" si="524">S109/1000</f>
        <v>3133.311342307843</v>
      </c>
    </row>
    <row r="110" spans="1:20" x14ac:dyDescent="0.25">
      <c r="A110" s="5">
        <v>44474</v>
      </c>
      <c r="B110">
        <v>3.4589999999999998E-3</v>
      </c>
      <c r="C110">
        <v>3.8739999999999998E-3</v>
      </c>
      <c r="D110">
        <v>3.434E-3</v>
      </c>
      <c r="E110">
        <v>3.7290000000000001E-3</v>
      </c>
      <c r="F110">
        <v>21938825685</v>
      </c>
      <c r="G110">
        <v>3.7290000000000001E-3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0.34090909090909194</v>
      </c>
      <c r="Q110">
        <f t="shared" ref="Q110" si="526">F110*P110</f>
        <v>7479145119.8863859</v>
      </c>
      <c r="R110">
        <f t="shared" ref="R110" si="527">R111+Q110</f>
        <v>306938925354.24799</v>
      </c>
      <c r="S110">
        <f t="shared" ref="S110" si="528">R110/100000</f>
        <v>3069389.2535424801</v>
      </c>
      <c r="T110">
        <f t="shared" ref="T110" si="529">S110/1000</f>
        <v>3069.3892535424802</v>
      </c>
    </row>
    <row r="111" spans="1:20" x14ac:dyDescent="0.25">
      <c r="A111" s="5">
        <v>44473</v>
      </c>
      <c r="B111">
        <v>3.5530000000000002E-3</v>
      </c>
      <c r="C111">
        <v>3.5539999999999999E-3</v>
      </c>
      <c r="D111">
        <v>3.323E-3</v>
      </c>
      <c r="E111">
        <v>3.4619999999999998E-3</v>
      </c>
      <c r="F111">
        <v>8051423044</v>
      </c>
      <c r="G111">
        <v>3.4619999999999998E-3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0.20346320346320243</v>
      </c>
      <c r="Q111">
        <f t="shared" ref="Q111" si="531">F111*P111</f>
        <v>1638168324.9696887</v>
      </c>
      <c r="R111">
        <f t="shared" ref="R111" si="532">R112+Q111</f>
        <v>299459780234.36157</v>
      </c>
      <c r="S111">
        <f t="shared" ref="S111" si="533">R111/100000</f>
        <v>2994597.8023436158</v>
      </c>
      <c r="T111">
        <f t="shared" ref="T111" si="534">S111/1000</f>
        <v>2994.597802343616</v>
      </c>
    </row>
    <row r="112" spans="1:20" x14ac:dyDescent="0.25">
      <c r="A112" s="5">
        <v>44472</v>
      </c>
      <c r="B112">
        <v>3.424E-3</v>
      </c>
      <c r="C112">
        <v>3.6589999999999999E-3</v>
      </c>
      <c r="D112">
        <v>3.3790000000000001E-3</v>
      </c>
      <c r="E112">
        <v>3.552E-3</v>
      </c>
      <c r="F112">
        <v>8889869064</v>
      </c>
      <c r="G112">
        <v>3.552E-3</v>
      </c>
      <c r="L112" t="s">
        <v>8</v>
      </c>
      <c r="M112" t="s">
        <v>8</v>
      </c>
      <c r="N112" t="s">
        <v>7</v>
      </c>
      <c r="P112">
        <f t="shared" ref="P112" si="535">IF(C112=D112,0,((E112-D112)-(C112-E112))/(C112-D112))</f>
        <v>0.23571428571428613</v>
      </c>
      <c r="Q112">
        <f t="shared" ref="Q112" si="536">F112*P112</f>
        <v>2095469136.5142894</v>
      </c>
      <c r="R112">
        <f t="shared" ref="R112" si="537">R113+Q112</f>
        <v>297821611909.39191</v>
      </c>
      <c r="S112">
        <f t="shared" ref="S112" si="538">R112/100000</f>
        <v>2978216.1190939192</v>
      </c>
      <c r="T112">
        <f t="shared" ref="T112" si="539">S112/1000</f>
        <v>2978.2161190939191</v>
      </c>
    </row>
    <row r="113" spans="1:20" x14ac:dyDescent="0.25">
      <c r="A113" s="5">
        <v>44471</v>
      </c>
      <c r="B113">
        <v>3.424E-3</v>
      </c>
      <c r="C113">
        <v>3.5200000000000001E-3</v>
      </c>
      <c r="D113">
        <v>3.3449999999999999E-3</v>
      </c>
      <c r="E113">
        <v>3.4250000000000001E-3</v>
      </c>
      <c r="F113">
        <v>5696993442</v>
      </c>
      <c r="G113">
        <v>3.4250000000000001E-3</v>
      </c>
      <c r="L113" t="s">
        <v>8</v>
      </c>
      <c r="M113" t="s">
        <v>8</v>
      </c>
      <c r="N113" t="s">
        <v>7</v>
      </c>
      <c r="P113">
        <f t="shared" ref="P113" si="540">IF(C113=D113,0,((E113-D113)-(C113-E113))/(C113-D113))</f>
        <v>-8.5714285714284577E-2</v>
      </c>
      <c r="Q113">
        <f t="shared" ref="Q113" si="541">F113*P113</f>
        <v>-488313723.59999353</v>
      </c>
      <c r="R113">
        <f t="shared" ref="R113" si="542">R114+Q113</f>
        <v>295726142772.87762</v>
      </c>
      <c r="S113">
        <f t="shared" ref="S113" si="543">R113/100000</f>
        <v>2957261.4277287764</v>
      </c>
      <c r="T113">
        <f t="shared" ref="T113" si="544">S113/1000</f>
        <v>2957.2614277287762</v>
      </c>
    </row>
    <row r="114" spans="1:20" x14ac:dyDescent="0.25">
      <c r="A114" s="5">
        <v>44470</v>
      </c>
      <c r="B114">
        <v>3.1800000000000001E-3</v>
      </c>
      <c r="C114">
        <v>3.4499999999999999E-3</v>
      </c>
      <c r="D114">
        <v>3.1440000000000001E-3</v>
      </c>
      <c r="E114">
        <v>3.4229999999999998E-3</v>
      </c>
      <c r="F114">
        <v>7215809558</v>
      </c>
      <c r="G114">
        <v>3.4229999999999998E-3</v>
      </c>
      <c r="L114" t="s">
        <v>8</v>
      </c>
      <c r="M114" t="s">
        <v>7</v>
      </c>
      <c r="N114" t="s">
        <v>7</v>
      </c>
      <c r="P114">
        <f t="shared" ref="P114" si="545">IF(C114=D114,0,((E114-D114)-(C114-E114))/(C114-D114))</f>
        <v>0.82352941176470507</v>
      </c>
      <c r="Q114">
        <f t="shared" ref="Q114" si="546">F114*P114</f>
        <v>5942431400.7058764</v>
      </c>
      <c r="R114">
        <f t="shared" ref="R114" si="547">R115+Q114</f>
        <v>296214456496.4776</v>
      </c>
      <c r="S114">
        <f t="shared" ref="S114" si="548">R114/100000</f>
        <v>2962144.5649647759</v>
      </c>
      <c r="T114">
        <f t="shared" ref="T114" si="549">S114/1000</f>
        <v>2962.1445649647758</v>
      </c>
    </row>
    <row r="115" spans="1:20" x14ac:dyDescent="0.25">
      <c r="A115" s="5">
        <v>44469</v>
      </c>
      <c r="B115">
        <v>3.0230000000000001E-3</v>
      </c>
      <c r="C115">
        <v>3.1830000000000001E-3</v>
      </c>
      <c r="D115">
        <v>3.0070000000000001E-3</v>
      </c>
      <c r="E115">
        <v>3.1800000000000001E-3</v>
      </c>
      <c r="F115">
        <v>4949172365</v>
      </c>
      <c r="G115">
        <v>3.1800000000000001E-3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0.96590909090909127</v>
      </c>
      <c r="Q115">
        <f t="shared" ref="Q115" si="551">F115*P115</f>
        <v>4780450579.8295469</v>
      </c>
      <c r="R115">
        <f t="shared" ref="R115" si="552">R116+Q115</f>
        <v>290272025095.77173</v>
      </c>
      <c r="S115">
        <f t="shared" ref="S115" si="553">R115/100000</f>
        <v>2902720.2509577172</v>
      </c>
      <c r="T115">
        <f t="shared" ref="T115" si="554">S115/1000</f>
        <v>2902.7202509577173</v>
      </c>
    </row>
    <row r="116" spans="1:20" x14ac:dyDescent="0.25">
      <c r="A116" s="5">
        <v>44468</v>
      </c>
      <c r="B116">
        <v>2.967E-3</v>
      </c>
      <c r="C116">
        <v>3.1189999999999998E-3</v>
      </c>
      <c r="D116">
        <v>2.9299999999999999E-3</v>
      </c>
      <c r="E116">
        <v>3.0219999999999999E-3</v>
      </c>
      <c r="F116">
        <v>4928844800</v>
      </c>
      <c r="G116">
        <v>3.0219999999999999E-3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-2.6455026455025385E-2</v>
      </c>
      <c r="Q116">
        <f t="shared" ref="Q116" si="556">F116*P116</f>
        <v>-130392719.57671431</v>
      </c>
      <c r="R116">
        <f t="shared" ref="R116" si="557">R117+Q116</f>
        <v>285491574515.9422</v>
      </c>
      <c r="S116">
        <f t="shared" ref="S116" si="558">R116/100000</f>
        <v>2854915.745159422</v>
      </c>
      <c r="T116">
        <f t="shared" ref="T116" si="559">S116/1000</f>
        <v>2854.9157451594219</v>
      </c>
    </row>
    <row r="117" spans="1:20" x14ac:dyDescent="0.25">
      <c r="A117" s="5">
        <v>44467</v>
      </c>
      <c r="B117">
        <v>3.0959999999999998E-3</v>
      </c>
      <c r="C117">
        <v>3.1419999999999998E-3</v>
      </c>
      <c r="D117">
        <v>2.9459999999999998E-3</v>
      </c>
      <c r="E117">
        <v>2.967E-3</v>
      </c>
      <c r="F117">
        <v>5245243824</v>
      </c>
      <c r="G117">
        <v>2.967E-3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-0.78571428571428381</v>
      </c>
      <c r="Q117">
        <f t="shared" ref="Q117" si="561">F117*P117</f>
        <v>-4121263004.5714188</v>
      </c>
      <c r="R117">
        <f t="shared" ref="R117" si="562">R118+Q117</f>
        <v>285621967235.51892</v>
      </c>
      <c r="S117">
        <f t="shared" ref="S117" si="563">R117/100000</f>
        <v>2856219.672355189</v>
      </c>
      <c r="T117">
        <f t="shared" ref="T117" si="564">S117/1000</f>
        <v>2856.2196723551888</v>
      </c>
    </row>
    <row r="118" spans="1:20" x14ac:dyDescent="0.25">
      <c r="A118" s="5">
        <v>44466</v>
      </c>
      <c r="B118">
        <v>3.1830000000000001E-3</v>
      </c>
      <c r="C118">
        <v>3.2850000000000002E-3</v>
      </c>
      <c r="D118">
        <v>3.094E-3</v>
      </c>
      <c r="E118">
        <v>3.0969999999999999E-3</v>
      </c>
      <c r="F118">
        <v>5341901560</v>
      </c>
      <c r="G118">
        <v>3.0969999999999999E-3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-0.96858638743455538</v>
      </c>
      <c r="Q118">
        <f t="shared" ref="Q118" si="566">F118*P118</f>
        <v>-5174093134.0314159</v>
      </c>
      <c r="R118">
        <f t="shared" ref="R118" si="567">R119+Q118</f>
        <v>289743230240.09033</v>
      </c>
      <c r="S118">
        <f t="shared" ref="S118" si="568">R118/100000</f>
        <v>2897432.3024009033</v>
      </c>
      <c r="T118">
        <f t="shared" ref="T118" si="569">S118/1000</f>
        <v>2897.4323024009032</v>
      </c>
    </row>
    <row r="119" spans="1:20" x14ac:dyDescent="0.25">
      <c r="A119" s="5">
        <v>44465</v>
      </c>
      <c r="B119">
        <v>3.2490000000000002E-3</v>
      </c>
      <c r="C119">
        <v>3.2539999999999999E-3</v>
      </c>
      <c r="D119">
        <v>3.026E-3</v>
      </c>
      <c r="E119">
        <v>3.1849999999999999E-3</v>
      </c>
      <c r="F119">
        <v>6395739052</v>
      </c>
      <c r="G119">
        <v>3.1849999999999999E-3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0.39473684210526244</v>
      </c>
      <c r="Q119">
        <f t="shared" ref="Q119" si="571">F119*P119</f>
        <v>2524633836.3157849</v>
      </c>
      <c r="R119">
        <f t="shared" ref="R119" si="572">R120+Q119</f>
        <v>294917323374.12177</v>
      </c>
      <c r="S119">
        <f t="shared" ref="S119" si="573">R119/100000</f>
        <v>2949173.2337412178</v>
      </c>
      <c r="T119">
        <f t="shared" ref="T119" si="574">S119/1000</f>
        <v>2949.1732337412177</v>
      </c>
    </row>
    <row r="120" spans="1:20" x14ac:dyDescent="0.25">
      <c r="A120" s="5">
        <v>44464</v>
      </c>
      <c r="B120">
        <v>3.2880000000000001E-3</v>
      </c>
      <c r="C120">
        <v>3.3430000000000001E-3</v>
      </c>
      <c r="D120">
        <v>3.1719999999999999E-3</v>
      </c>
      <c r="E120">
        <v>3.248E-3</v>
      </c>
      <c r="F120">
        <v>5605720835</v>
      </c>
      <c r="G120">
        <v>3.248E-3</v>
      </c>
      <c r="L120" t="s">
        <v>8</v>
      </c>
      <c r="M120" t="s">
        <v>7</v>
      </c>
      <c r="N120" t="s">
        <v>7</v>
      </c>
      <c r="P120">
        <f t="shared" ref="P120" si="575">IF(C120=D120,0,((E120-D120)-(C120-E120))/(C120-D120))</f>
        <v>-0.11111111111111055</v>
      </c>
      <c r="Q120">
        <f t="shared" ref="Q120" si="576">F120*P120</f>
        <v>-622857870.55555236</v>
      </c>
      <c r="R120">
        <f t="shared" ref="R120" si="577">R121+Q120</f>
        <v>292392689537.80597</v>
      </c>
      <c r="S120">
        <f t="shared" ref="S120" si="578">R120/100000</f>
        <v>2923926.8953780597</v>
      </c>
      <c r="T120">
        <f t="shared" ref="T120" si="579">S120/1000</f>
        <v>2923.9268953780597</v>
      </c>
    </row>
    <row r="121" spans="1:20" x14ac:dyDescent="0.25">
      <c r="A121" s="5">
        <v>44463</v>
      </c>
      <c r="B121">
        <v>3.532E-3</v>
      </c>
      <c r="C121">
        <v>3.5379999999999999E-3</v>
      </c>
      <c r="D121">
        <v>3.078E-3</v>
      </c>
      <c r="E121">
        <v>3.2889999999999998E-3</v>
      </c>
      <c r="F121">
        <v>10296068215</v>
      </c>
      <c r="G121">
        <v>3.2889999999999998E-3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-8.2608695652174519E-2</v>
      </c>
      <c r="Q121">
        <f t="shared" ref="Q121" si="581">F121*P121</f>
        <v>-850544765.5869627</v>
      </c>
      <c r="R121">
        <f t="shared" ref="R121" si="582">R122+Q121</f>
        <v>293015547408.36151</v>
      </c>
      <c r="S121">
        <f t="shared" ref="S121" si="583">R121/100000</f>
        <v>2930155.474083615</v>
      </c>
      <c r="T121">
        <f t="shared" ref="T121" si="584">S121/1000</f>
        <v>2930.155474083615</v>
      </c>
    </row>
    <row r="122" spans="1:20" x14ac:dyDescent="0.25">
      <c r="A122" s="5">
        <v>44462</v>
      </c>
      <c r="B122">
        <v>3.509E-3</v>
      </c>
      <c r="C122">
        <v>3.552E-3</v>
      </c>
      <c r="D122">
        <v>3.3960000000000001E-3</v>
      </c>
      <c r="E122">
        <v>3.5309999999999999E-3</v>
      </c>
      <c r="F122">
        <v>6247845889</v>
      </c>
      <c r="G122">
        <v>3.5309999999999999E-3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0.73076923076922817</v>
      </c>
      <c r="Q122">
        <f t="shared" ref="Q122" si="586">F122*P122</f>
        <v>4565733534.2692146</v>
      </c>
      <c r="R122">
        <f t="shared" ref="R122" si="587">R123+Q122</f>
        <v>293866092173.94849</v>
      </c>
      <c r="S122">
        <f t="shared" ref="S122" si="588">R122/100000</f>
        <v>2938660.9217394846</v>
      </c>
      <c r="T122">
        <f t="shared" ref="T122" si="589">S122/1000</f>
        <v>2938.6609217394848</v>
      </c>
    </row>
    <row r="123" spans="1:20" x14ac:dyDescent="0.25">
      <c r="A123" s="5">
        <v>44461</v>
      </c>
      <c r="B123">
        <v>3.14E-3</v>
      </c>
      <c r="C123">
        <v>3.5279999999999999E-3</v>
      </c>
      <c r="D123">
        <v>3.068E-3</v>
      </c>
      <c r="E123">
        <v>3.5109999999999998E-3</v>
      </c>
      <c r="F123">
        <v>8235893982</v>
      </c>
      <c r="G123">
        <v>3.5109999999999998E-3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0.92608695652173878</v>
      </c>
      <c r="Q123">
        <f t="shared" ref="Q123" si="591">F123*P123</f>
        <v>7627153992.0260839</v>
      </c>
      <c r="R123">
        <f t="shared" ref="R123" si="592">R124+Q123</f>
        <v>289300358639.67926</v>
      </c>
      <c r="S123">
        <f t="shared" ref="S123" si="593">R123/100000</f>
        <v>2893003.5863967924</v>
      </c>
      <c r="T123">
        <f t="shared" ref="T123" si="594">S123/1000</f>
        <v>2893.0035863967923</v>
      </c>
    </row>
    <row r="124" spans="1:20" x14ac:dyDescent="0.25">
      <c r="A124" s="5">
        <v>44460</v>
      </c>
      <c r="B124">
        <v>3.3319999999999999E-3</v>
      </c>
      <c r="C124">
        <v>3.447E-3</v>
      </c>
      <c r="D124">
        <v>3.0639999999999999E-3</v>
      </c>
      <c r="E124">
        <v>3.14E-3</v>
      </c>
      <c r="F124">
        <v>11527085163</v>
      </c>
      <c r="G124">
        <v>3.14E-3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-0.60313315926892896</v>
      </c>
      <c r="Q124">
        <f t="shared" ref="Q124" si="596">F124*P124</f>
        <v>-6952367291.5221872</v>
      </c>
      <c r="R124">
        <f t="shared" ref="R124" si="597">R125+Q124</f>
        <v>281673204647.6532</v>
      </c>
      <c r="S124">
        <f t="shared" ref="S124" si="598">R124/100000</f>
        <v>2816732.0464765318</v>
      </c>
      <c r="T124">
        <f t="shared" ref="T124" si="599">S124/1000</f>
        <v>2816.7320464765317</v>
      </c>
    </row>
    <row r="125" spans="1:20" x14ac:dyDescent="0.25">
      <c r="A125" s="5">
        <v>44459</v>
      </c>
      <c r="B125">
        <v>3.8310000000000002E-3</v>
      </c>
      <c r="C125">
        <v>3.839E-3</v>
      </c>
      <c r="D125">
        <v>3.4770000000000001E-3</v>
      </c>
      <c r="E125">
        <v>3.5279999999999999E-3</v>
      </c>
      <c r="F125">
        <v>5521438817</v>
      </c>
      <c r="G125">
        <v>3.5279999999999999E-3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-0.71823204419889586</v>
      </c>
      <c r="Q125">
        <f t="shared" ref="Q125" si="601">F125*P125</f>
        <v>-3965674288.4530435</v>
      </c>
      <c r="R125">
        <f t="shared" ref="R125" si="602">R126+Q125</f>
        <v>288625571939.17542</v>
      </c>
      <c r="S125">
        <f t="shared" ref="S125" si="603">R125/100000</f>
        <v>2886255.7193917544</v>
      </c>
      <c r="T125">
        <f t="shared" ref="T125" si="604">S125/1000</f>
        <v>2886.2557193917542</v>
      </c>
    </row>
    <row r="126" spans="1:20" x14ac:dyDescent="0.25">
      <c r="A126" s="5">
        <v>44458</v>
      </c>
      <c r="B126">
        <v>3.9459999999999999E-3</v>
      </c>
      <c r="C126">
        <v>4.0000000000000001E-3</v>
      </c>
      <c r="D126">
        <v>3.79E-3</v>
      </c>
      <c r="E126">
        <v>3.8310000000000002E-3</v>
      </c>
      <c r="F126">
        <v>5793704864</v>
      </c>
      <c r="G126">
        <v>3.8310000000000002E-3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-0.60952380952380747</v>
      </c>
      <c r="Q126">
        <f t="shared" ref="Q126" si="606">F126*P126</f>
        <v>-3531401059.9618931</v>
      </c>
      <c r="R126">
        <f t="shared" ref="R126" si="607">R127+Q126</f>
        <v>292591246227.62848</v>
      </c>
      <c r="S126">
        <f t="shared" ref="S126" si="608">R126/100000</f>
        <v>2925912.4622762846</v>
      </c>
      <c r="T126">
        <f t="shared" ref="T126" si="609">S126/1000</f>
        <v>2925.9124622762847</v>
      </c>
    </row>
    <row r="127" spans="1:20" x14ac:dyDescent="0.25">
      <c r="A127" s="5">
        <v>44457</v>
      </c>
      <c r="B127">
        <v>3.9189999999999997E-3</v>
      </c>
      <c r="C127">
        <v>4.0000000000000001E-3</v>
      </c>
      <c r="D127">
        <v>3.875E-3</v>
      </c>
      <c r="E127">
        <v>3.9459999999999999E-3</v>
      </c>
      <c r="F127">
        <v>4192834872</v>
      </c>
      <c r="G127">
        <v>3.9459999999999999E-3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0.13599999999999712</v>
      </c>
      <c r="Q127">
        <f t="shared" ref="Q127" si="611">F127*P127</f>
        <v>570225542.59198797</v>
      </c>
      <c r="R127">
        <f t="shared" ref="R127" si="612">R128+Q127</f>
        <v>296122647287.59039</v>
      </c>
      <c r="S127">
        <f t="shared" ref="S127" si="613">R127/100000</f>
        <v>2961226.4728759038</v>
      </c>
      <c r="T127">
        <f t="shared" ref="T127" si="614">S127/1000</f>
        <v>2961.2264728759037</v>
      </c>
    </row>
    <row r="128" spans="1:20" x14ac:dyDescent="0.25">
      <c r="A128" s="5">
        <v>44456</v>
      </c>
      <c r="B128">
        <v>4.0400000000000002E-3</v>
      </c>
      <c r="C128">
        <v>4.084E-3</v>
      </c>
      <c r="D128">
        <v>3.875E-3</v>
      </c>
      <c r="E128">
        <v>3.9189999999999997E-3</v>
      </c>
      <c r="F128">
        <v>7675992255</v>
      </c>
      <c r="G128">
        <v>3.9189999999999997E-3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-0.57894736842105476</v>
      </c>
      <c r="Q128">
        <f t="shared" ref="Q128" si="616">F128*P128</f>
        <v>-4443995516.0526476</v>
      </c>
      <c r="R128">
        <f t="shared" ref="R128" si="617">R129+Q128</f>
        <v>295552421744.99841</v>
      </c>
      <c r="S128">
        <f t="shared" ref="S128" si="618">R128/100000</f>
        <v>2955524.217449984</v>
      </c>
      <c r="T128">
        <f t="shared" ref="T128" si="619">S128/1000</f>
        <v>2955.524217449984</v>
      </c>
    </row>
    <row r="129" spans="1:20" x14ac:dyDescent="0.25">
      <c r="A129" s="5">
        <v>44455</v>
      </c>
      <c r="B129">
        <v>4.1330000000000004E-3</v>
      </c>
      <c r="C129">
        <v>4.1549999999999998E-3</v>
      </c>
      <c r="D129">
        <v>3.9610000000000001E-3</v>
      </c>
      <c r="E129">
        <v>4.0400000000000002E-3</v>
      </c>
      <c r="F129">
        <v>6555323268</v>
      </c>
      <c r="G129">
        <v>4.0400000000000002E-3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-0.18556701030927641</v>
      </c>
      <c r="Q129">
        <f t="shared" ref="Q129" si="621">F129*P129</f>
        <v>-1216451740.4535956</v>
      </c>
      <c r="R129">
        <f t="shared" ref="R129" si="622">R130+Q129</f>
        <v>299996417261.05109</v>
      </c>
      <c r="S129">
        <f t="shared" ref="S129" si="623">R129/100000</f>
        <v>2999964.1726105111</v>
      </c>
      <c r="T129">
        <f t="shared" ref="T129" si="624">S129/1000</f>
        <v>2999.964172610511</v>
      </c>
    </row>
    <row r="130" spans="1:20" x14ac:dyDescent="0.25">
      <c r="A130" s="5">
        <v>44454</v>
      </c>
      <c r="B130">
        <v>4.0810000000000004E-3</v>
      </c>
      <c r="C130">
        <v>4.1660000000000004E-3</v>
      </c>
      <c r="D130">
        <v>3.9820000000000003E-3</v>
      </c>
      <c r="E130">
        <v>4.1320000000000003E-3</v>
      </c>
      <c r="F130">
        <v>6640850330</v>
      </c>
      <c r="G130">
        <v>4.1320000000000003E-3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0.63043478260869401</v>
      </c>
      <c r="Q130">
        <f t="shared" ref="Q130" si="626">F130*P130</f>
        <v>4186623034.130424</v>
      </c>
      <c r="R130">
        <f t="shared" ref="R130" si="627">R131+Q130</f>
        <v>301212869001.5047</v>
      </c>
      <c r="S130">
        <f t="shared" ref="S130" si="628">R130/100000</f>
        <v>3012128.6900150469</v>
      </c>
      <c r="T130">
        <f t="shared" ref="T130" si="629">S130/1000</f>
        <v>3012.1286900150467</v>
      </c>
    </row>
    <row r="131" spans="1:20" x14ac:dyDescent="0.25">
      <c r="A131" s="5">
        <v>44453</v>
      </c>
      <c r="B131">
        <v>3.9170000000000003E-3</v>
      </c>
      <c r="C131">
        <v>4.1390000000000003E-3</v>
      </c>
      <c r="D131">
        <v>3.8769999999999998E-3</v>
      </c>
      <c r="E131">
        <v>4.0819999999999997E-3</v>
      </c>
      <c r="F131">
        <v>10749731645</v>
      </c>
      <c r="G131">
        <v>4.0819999999999997E-3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0.56488549618320216</v>
      </c>
      <c r="Q131">
        <f t="shared" ref="Q131" si="631">F131*P131</f>
        <v>6072367494.1220951</v>
      </c>
      <c r="R131">
        <f t="shared" ref="R131" si="632">R132+Q131</f>
        <v>297026245967.37427</v>
      </c>
      <c r="S131">
        <f t="shared" ref="S131" si="633">R131/100000</f>
        <v>2970262.4596737428</v>
      </c>
      <c r="T131">
        <f t="shared" ref="T131" si="634">S131/1000</f>
        <v>2970.2624596737428</v>
      </c>
    </row>
    <row r="132" spans="1:20" x14ac:dyDescent="0.25">
      <c r="A132" s="5">
        <v>44452</v>
      </c>
      <c r="B132">
        <v>4.1529999999999996E-3</v>
      </c>
      <c r="C132">
        <v>4.2500000000000003E-3</v>
      </c>
      <c r="D132">
        <v>3.728E-3</v>
      </c>
      <c r="E132">
        <v>3.9179999999999996E-3</v>
      </c>
      <c r="F132">
        <v>11327186020</v>
      </c>
      <c r="G132">
        <v>3.9179999999999996E-3</v>
      </c>
      <c r="L132" t="s">
        <v>7</v>
      </c>
      <c r="M132" t="s">
        <v>8</v>
      </c>
      <c r="N132" t="s">
        <v>7</v>
      </c>
      <c r="P132">
        <f t="shared" ref="P132" si="635">IF(C132=D132,0,((E132-D132)-(C132-E132))/(C132-D132))</f>
        <v>-0.27203065134099802</v>
      </c>
      <c r="Q132">
        <f t="shared" ref="Q132" si="636">F132*P132</f>
        <v>-3081341790.881247</v>
      </c>
      <c r="R132">
        <f t="shared" ref="R132" si="637">R133+Q132</f>
        <v>290953878473.2522</v>
      </c>
      <c r="S132">
        <f t="shared" ref="S132" si="638">R132/100000</f>
        <v>2909538.784732522</v>
      </c>
      <c r="T132">
        <f t="shared" ref="T132" si="639">S132/1000</f>
        <v>2909.5387847325219</v>
      </c>
    </row>
    <row r="133" spans="1:20" x14ac:dyDescent="0.25">
      <c r="A133" s="5">
        <v>44451</v>
      </c>
      <c r="B133">
        <v>3.9100000000000003E-3</v>
      </c>
      <c r="C133">
        <v>4.3439999999999998E-3</v>
      </c>
      <c r="D133">
        <v>3.8249999999999998E-3</v>
      </c>
      <c r="E133">
        <v>4.1549999999999998E-3</v>
      </c>
      <c r="F133">
        <v>19321665875</v>
      </c>
      <c r="G133">
        <v>4.1549999999999998E-3</v>
      </c>
      <c r="L133" t="s">
        <v>8</v>
      </c>
      <c r="M133" t="s">
        <v>8</v>
      </c>
      <c r="N133" t="s">
        <v>7</v>
      </c>
      <c r="P133">
        <f t="shared" ref="P133" si="640">IF(C133=D133,0,((E133-D133)-(C133-E133))/(C133-D133))</f>
        <v>0.27167630057803482</v>
      </c>
      <c r="Q133">
        <f t="shared" ref="Q133" si="641">F133*P133</f>
        <v>5249238705.9248581</v>
      </c>
      <c r="R133">
        <f t="shared" ref="R133" si="642">R134+Q133</f>
        <v>294035220264.13342</v>
      </c>
      <c r="S133">
        <f t="shared" ref="S133" si="643">R133/100000</f>
        <v>2940352.2026413344</v>
      </c>
      <c r="T133">
        <f t="shared" ref="T133" si="644">S133/1000</f>
        <v>2940.3522026413343</v>
      </c>
    </row>
    <row r="134" spans="1:20" x14ac:dyDescent="0.25">
      <c r="A134" s="5">
        <v>44450</v>
      </c>
      <c r="B134">
        <v>3.8579999999999999E-3</v>
      </c>
      <c r="C134">
        <v>3.9849999999999998E-3</v>
      </c>
      <c r="D134">
        <v>3.8289999999999999E-3</v>
      </c>
      <c r="E134">
        <v>3.9129999999999998E-3</v>
      </c>
      <c r="F134">
        <v>5368971947</v>
      </c>
      <c r="G134">
        <v>3.9129999999999998E-3</v>
      </c>
      <c r="L134" t="s">
        <v>7</v>
      </c>
      <c r="M134" t="s">
        <v>8</v>
      </c>
      <c r="N134" t="s">
        <v>7</v>
      </c>
      <c r="P134">
        <f t="shared" ref="P134" si="645">IF(C134=D134,0,((E134-D134)-(C134-E134))/(C134-D134))</f>
        <v>7.6923076923076067E-2</v>
      </c>
      <c r="Q134">
        <f t="shared" ref="Q134" si="646">F134*P134</f>
        <v>412997842.07691848</v>
      </c>
      <c r="R134">
        <f t="shared" ref="R134" si="647">R135+Q134</f>
        <v>288785981558.20856</v>
      </c>
      <c r="S134">
        <f t="shared" ref="S134" si="648">R134/100000</f>
        <v>2887859.8155820854</v>
      </c>
      <c r="T134">
        <f t="shared" ref="T134" si="649">S134/1000</f>
        <v>2887.8598155820855</v>
      </c>
    </row>
    <row r="135" spans="1:20" x14ac:dyDescent="0.25">
      <c r="A135" s="5">
        <v>44449</v>
      </c>
      <c r="B135">
        <v>4.0969999999999999E-3</v>
      </c>
      <c r="C135">
        <v>4.1599999999999996E-3</v>
      </c>
      <c r="D135">
        <v>3.7550000000000001E-3</v>
      </c>
      <c r="E135">
        <v>3.859E-3</v>
      </c>
      <c r="F135">
        <v>9866500813</v>
      </c>
      <c r="G135">
        <v>3.859E-3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-0.48641975308641955</v>
      </c>
      <c r="Q135">
        <f t="shared" ref="Q135" si="651">F135*P135</f>
        <v>-4799260889.286418</v>
      </c>
      <c r="R135">
        <f t="shared" ref="R135" si="652">R136+Q135</f>
        <v>288372983716.13165</v>
      </c>
      <c r="S135">
        <f t="shared" ref="S135" si="653">R135/100000</f>
        <v>2883729.8371613165</v>
      </c>
      <c r="T135">
        <f t="shared" ref="T135" si="654">S135/1000</f>
        <v>2883.7298371613165</v>
      </c>
    </row>
    <row r="136" spans="1:20" x14ac:dyDescent="0.25">
      <c r="A136" s="5">
        <v>44448</v>
      </c>
      <c r="B136">
        <v>4.1009999999999996E-3</v>
      </c>
      <c r="C136">
        <v>4.1869999999999997E-3</v>
      </c>
      <c r="D136">
        <v>3.986E-3</v>
      </c>
      <c r="E136">
        <v>4.0969999999999999E-3</v>
      </c>
      <c r="F136">
        <v>12971036874</v>
      </c>
      <c r="G136">
        <v>4.0969999999999999E-3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0.10447761194029954</v>
      </c>
      <c r="Q136">
        <f t="shared" ref="Q136" si="656">F136*P136</f>
        <v>1355182956.9850881</v>
      </c>
      <c r="R136">
        <f t="shared" ref="R136" si="657">R137+Q136</f>
        <v>293172244605.41809</v>
      </c>
      <c r="S136">
        <f t="shared" ref="S136" si="658">R136/100000</f>
        <v>2931722.4460541811</v>
      </c>
      <c r="T136">
        <f t="shared" ref="T136" si="659">S136/1000</f>
        <v>2931.7224460541811</v>
      </c>
    </row>
    <row r="137" spans="1:20" x14ac:dyDescent="0.25">
      <c r="A137" s="5">
        <v>44447</v>
      </c>
      <c r="B137">
        <v>3.993E-3</v>
      </c>
      <c r="C137">
        <v>4.1840000000000002E-3</v>
      </c>
      <c r="D137">
        <v>3.653E-3</v>
      </c>
      <c r="E137">
        <v>4.1009999999999996E-3</v>
      </c>
      <c r="F137">
        <v>20765036999</v>
      </c>
      <c r="G137">
        <v>4.1009999999999996E-3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0.68738229755178692</v>
      </c>
      <c r="Q137">
        <f t="shared" ref="Q137" si="661">F137*P137</f>
        <v>14273518841.120483</v>
      </c>
      <c r="R137">
        <f t="shared" ref="R137" si="662">R138+Q137</f>
        <v>291817061648.43298</v>
      </c>
      <c r="S137">
        <f t="shared" ref="S137" si="663">R137/100000</f>
        <v>2918170.61648433</v>
      </c>
      <c r="T137">
        <f t="shared" ref="T137" si="664">S137/1000</f>
        <v>2918.1706164843299</v>
      </c>
    </row>
    <row r="138" spans="1:20" x14ac:dyDescent="0.25">
      <c r="A138" s="5">
        <v>44446</v>
      </c>
      <c r="B138">
        <v>4.8570000000000002E-3</v>
      </c>
      <c r="C138">
        <v>5.0140000000000002E-3</v>
      </c>
      <c r="D138">
        <v>3.0799999999999998E-3</v>
      </c>
      <c r="E138">
        <v>3.9940000000000002E-3</v>
      </c>
      <c r="F138">
        <v>31973464618</v>
      </c>
      <c r="G138">
        <v>3.9940000000000002E-3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-5.4808686659772357E-2</v>
      </c>
      <c r="Q138">
        <f t="shared" ref="Q138" si="666">F138*P138</f>
        <v>-1752423603.6752801</v>
      </c>
      <c r="R138">
        <f t="shared" ref="R138" si="667">R139+Q138</f>
        <v>277543542807.3125</v>
      </c>
      <c r="S138">
        <f t="shared" ref="S138" si="668">R138/100000</f>
        <v>2775435.428073125</v>
      </c>
      <c r="T138">
        <f t="shared" ref="T138" si="669">S138/1000</f>
        <v>2775.435428073125</v>
      </c>
    </row>
    <row r="139" spans="1:20" x14ac:dyDescent="0.25">
      <c r="A139" s="5">
        <v>44445</v>
      </c>
      <c r="B139">
        <v>4.9309999999999996E-3</v>
      </c>
      <c r="C139">
        <v>5.0460000000000001E-3</v>
      </c>
      <c r="D139">
        <v>4.4929999999999996E-3</v>
      </c>
      <c r="E139">
        <v>4.8589999999999996E-3</v>
      </c>
      <c r="F139">
        <v>17034877162</v>
      </c>
      <c r="G139">
        <v>4.8589999999999996E-3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0.32368896925858825</v>
      </c>
      <c r="Q139">
        <f t="shared" ref="Q139" si="671">F139*P139</f>
        <v>5514001830.0144453</v>
      </c>
      <c r="R139">
        <f t="shared" ref="R139" si="672">R140+Q139</f>
        <v>279295966410.98779</v>
      </c>
      <c r="S139">
        <f t="shared" ref="S139" si="673">R139/100000</f>
        <v>2792959.6641098778</v>
      </c>
      <c r="T139">
        <f t="shared" ref="T139" si="674">S139/1000</f>
        <v>2792.9596641098778</v>
      </c>
    </row>
    <row r="140" spans="1:20" x14ac:dyDescent="0.25">
      <c r="A140" s="5">
        <v>44444</v>
      </c>
      <c r="B140">
        <v>4.7819999999999998E-3</v>
      </c>
      <c r="C140">
        <v>5.0260000000000001E-3</v>
      </c>
      <c r="D140">
        <v>4.6800000000000001E-3</v>
      </c>
      <c r="E140">
        <v>4.9309999999999996E-3</v>
      </c>
      <c r="F140">
        <v>14867556871</v>
      </c>
      <c r="G140">
        <v>4.9309999999999996E-3</v>
      </c>
      <c r="L140" t="s">
        <v>7</v>
      </c>
      <c r="M140" t="s">
        <v>8</v>
      </c>
      <c r="N140" t="s">
        <v>8</v>
      </c>
      <c r="P140">
        <f t="shared" ref="P140" si="675">IF(C140=D140,0,((E140-D140)-(C140-E140))/(C140-D140))</f>
        <v>0.45086705202311861</v>
      </c>
      <c r="Q140">
        <f t="shared" ref="Q140" si="676">F140*P140</f>
        <v>6703291537.2138319</v>
      </c>
      <c r="R140">
        <f t="shared" ref="R140" si="677">R141+Q140</f>
        <v>273781964580.97336</v>
      </c>
      <c r="S140">
        <f t="shared" ref="S140" si="678">R140/100000</f>
        <v>2737819.6458097338</v>
      </c>
      <c r="T140">
        <f t="shared" ref="T140" si="679">S140/1000</f>
        <v>2737.8196458097336</v>
      </c>
    </row>
    <row r="141" spans="1:20" x14ac:dyDescent="0.25">
      <c r="A141" s="5">
        <v>44443</v>
      </c>
      <c r="B141">
        <v>4.8739999999999999E-3</v>
      </c>
      <c r="C141">
        <v>4.9649999999999998E-3</v>
      </c>
      <c r="D141">
        <v>4.6730000000000001E-3</v>
      </c>
      <c r="E141">
        <v>4.7829999999999999E-3</v>
      </c>
      <c r="F141">
        <v>15702294678</v>
      </c>
      <c r="G141">
        <v>4.7829999999999999E-3</v>
      </c>
      <c r="L141" t="s">
        <v>7</v>
      </c>
      <c r="M141" t="s">
        <v>8</v>
      </c>
      <c r="N141" t="s">
        <v>8</v>
      </c>
      <c r="P141">
        <f t="shared" ref="P141" si="680">IF(C141=D141,0,((E141-D141)-(C141-E141))/(C141-D141))</f>
        <v>-0.24657534246575372</v>
      </c>
      <c r="Q141">
        <f t="shared" ref="Q141" si="681">F141*P141</f>
        <v>-3871798687.7260318</v>
      </c>
      <c r="R141">
        <f t="shared" ref="R141" si="682">R142+Q141</f>
        <v>267078673043.75952</v>
      </c>
      <c r="S141">
        <f t="shared" ref="S141" si="683">R141/100000</f>
        <v>2670786.7304375954</v>
      </c>
      <c r="T141">
        <f t="shared" ref="T141" si="684">S141/1000</f>
        <v>2670.7867304375955</v>
      </c>
    </row>
    <row r="142" spans="1:20" x14ac:dyDescent="0.25">
      <c r="A142" s="5">
        <v>44442</v>
      </c>
      <c r="B142">
        <v>4.705E-3</v>
      </c>
      <c r="C142">
        <v>5.3499999999999997E-3</v>
      </c>
      <c r="D142">
        <v>4.5599999999999998E-3</v>
      </c>
      <c r="E142">
        <v>4.8739999999999999E-3</v>
      </c>
      <c r="F142">
        <v>49418638692</v>
      </c>
      <c r="G142">
        <v>4.8739999999999999E-3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-0.20506329113924029</v>
      </c>
      <c r="Q142">
        <f t="shared" ref="Q142" si="686">F142*P142</f>
        <v>-10133948693.802521</v>
      </c>
      <c r="R142">
        <f t="shared" ref="R142" si="687">R143+Q142</f>
        <v>270950471731.48557</v>
      </c>
      <c r="S142">
        <f t="shared" ref="S142" si="688">R142/100000</f>
        <v>2709504.7173148557</v>
      </c>
      <c r="T142">
        <f t="shared" ref="T142" si="689">S142/1000</f>
        <v>2709.5047173148555</v>
      </c>
    </row>
    <row r="143" spans="1:20" x14ac:dyDescent="0.25">
      <c r="A143" s="5">
        <v>44441</v>
      </c>
      <c r="B143">
        <v>4.4260000000000002E-3</v>
      </c>
      <c r="C143">
        <v>4.836E-3</v>
      </c>
      <c r="D143">
        <v>4.3660000000000001E-3</v>
      </c>
      <c r="E143">
        <v>4.7060000000000001E-3</v>
      </c>
      <c r="F143">
        <v>28879358094</v>
      </c>
      <c r="G143">
        <v>4.7060000000000001E-3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0.44680851063829818</v>
      </c>
      <c r="Q143">
        <f t="shared" ref="Q143" si="691">F143*P143</f>
        <v>12903542978.170221</v>
      </c>
      <c r="R143">
        <f t="shared" ref="R143" si="692">R144+Q143</f>
        <v>281084420425.28809</v>
      </c>
      <c r="S143">
        <f t="shared" ref="S143" si="693">R143/100000</f>
        <v>2810844.204252881</v>
      </c>
      <c r="T143">
        <f t="shared" ref="T143" si="694">S143/1000</f>
        <v>2810.8442042528809</v>
      </c>
    </row>
    <row r="144" spans="1:20" x14ac:dyDescent="0.25">
      <c r="A144" s="5">
        <v>44440</v>
      </c>
      <c r="B144">
        <v>4.215E-3</v>
      </c>
      <c r="C144">
        <v>4.4600000000000004E-3</v>
      </c>
      <c r="D144">
        <v>4.1089999999999998E-3</v>
      </c>
      <c r="E144">
        <v>4.4260000000000002E-3</v>
      </c>
      <c r="F144">
        <v>16092304152</v>
      </c>
      <c r="G144">
        <v>4.4260000000000002E-3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0.80626780626780559</v>
      </c>
      <c r="Q144">
        <f t="shared" ref="Q144" si="696">F144*P144</f>
        <v>12974706766.42734</v>
      </c>
      <c r="R144">
        <f t="shared" ref="R144" si="697">R145+Q144</f>
        <v>268180877447.11789</v>
      </c>
      <c r="S144">
        <f t="shared" ref="S144" si="698">R144/100000</f>
        <v>2681808.7744711791</v>
      </c>
      <c r="T144">
        <f t="shared" ref="T144" si="699">S144/1000</f>
        <v>2681.8087744711793</v>
      </c>
    </row>
    <row r="145" spans="1:20" x14ac:dyDescent="0.25">
      <c r="A145" s="5">
        <v>44439</v>
      </c>
      <c r="B145">
        <v>4.0140000000000002E-3</v>
      </c>
      <c r="C145">
        <v>4.3819999999999996E-3</v>
      </c>
      <c r="D145">
        <v>3.9529999999999999E-3</v>
      </c>
      <c r="E145">
        <v>4.215E-3</v>
      </c>
      <c r="F145">
        <v>17409573968</v>
      </c>
      <c r="G145">
        <v>4.215E-3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0.22144522144522269</v>
      </c>
      <c r="Q145">
        <f t="shared" ref="Q145" si="701">F145*P145</f>
        <v>3855266962.6107445</v>
      </c>
      <c r="R145">
        <f t="shared" ref="R145" si="702">R146+Q145</f>
        <v>255206170680.69055</v>
      </c>
      <c r="S145">
        <f t="shared" ref="S145" si="703">R145/100000</f>
        <v>2552061.7068069056</v>
      </c>
      <c r="T145">
        <f t="shared" ref="T145" si="704">S145/1000</f>
        <v>2552.0617068069055</v>
      </c>
    </row>
    <row r="146" spans="1:20" x14ac:dyDescent="0.25">
      <c r="A146" s="5">
        <v>44438</v>
      </c>
      <c r="B146">
        <v>4.2050000000000004E-3</v>
      </c>
      <c r="C146">
        <v>4.2440000000000004E-3</v>
      </c>
      <c r="D146">
        <v>3.9870000000000001E-3</v>
      </c>
      <c r="E146">
        <v>4.0150000000000003E-3</v>
      </c>
      <c r="F146">
        <v>6392410825</v>
      </c>
      <c r="G146">
        <v>4.0150000000000003E-3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-0.78210116731517343</v>
      </c>
      <c r="Q146">
        <f t="shared" ref="Q146" si="706">F146*P146</f>
        <v>-4999511968.1906509</v>
      </c>
      <c r="R146">
        <f t="shared" ref="R146" si="707">R147+Q146</f>
        <v>251350903718.0798</v>
      </c>
      <c r="S146">
        <f t="shared" ref="S146" si="708">R146/100000</f>
        <v>2513509.0371807981</v>
      </c>
      <c r="T146">
        <f t="shared" ref="T146" si="709">S146/1000</f>
        <v>2513.5090371807983</v>
      </c>
    </row>
    <row r="147" spans="1:20" x14ac:dyDescent="0.25">
      <c r="A147" s="5">
        <v>44437</v>
      </c>
      <c r="B147">
        <v>4.1989999999999996E-3</v>
      </c>
      <c r="C147">
        <v>4.4406999999999997E-3</v>
      </c>
      <c r="D147">
        <v>4.1599999999999996E-3</v>
      </c>
      <c r="E147">
        <v>4.2059999999999997E-3</v>
      </c>
      <c r="F147">
        <v>11430519398</v>
      </c>
      <c r="G147">
        <v>4.2059999999999997E-3</v>
      </c>
      <c r="L147" t="s">
        <v>8</v>
      </c>
      <c r="M147" t="s">
        <v>7</v>
      </c>
      <c r="N147" t="s">
        <v>8</v>
      </c>
      <c r="P147">
        <f t="shared" ref="P147" si="710">IF(C147=D147,0,((E147-D147)-(C147-E147))/(C147-D147))</f>
        <v>-0.67224795154969696</v>
      </c>
      <c r="Q147">
        <f t="shared" ref="Q147" si="711">F147*P147</f>
        <v>-7684143250.4545755</v>
      </c>
      <c r="R147">
        <f t="shared" ref="R147" si="712">R148+Q147</f>
        <v>256350415686.27045</v>
      </c>
      <c r="S147">
        <f t="shared" ref="S147" si="713">R147/100000</f>
        <v>2563504.1568627045</v>
      </c>
      <c r="T147">
        <f t="shared" ref="T147" si="714">S147/1000</f>
        <v>2563.5041568627043</v>
      </c>
    </row>
    <row r="148" spans="1:20" x14ac:dyDescent="0.25">
      <c r="A148" s="5">
        <v>44436</v>
      </c>
      <c r="B148">
        <v>4.2880000000000001E-3</v>
      </c>
      <c r="C148">
        <v>4.2890000000000003E-3</v>
      </c>
      <c r="D148">
        <v>4.1190000000000003E-3</v>
      </c>
      <c r="E148">
        <v>4.1989999999999996E-3</v>
      </c>
      <c r="F148">
        <v>7050908165</v>
      </c>
      <c r="G148">
        <v>4.1989999999999996E-3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-5.8823529411772511E-2</v>
      </c>
      <c r="Q148">
        <f t="shared" ref="Q148" si="716">F148*P148</f>
        <v>-414759303.82358444</v>
      </c>
      <c r="R148">
        <f t="shared" ref="R148" si="717">R149+Q148</f>
        <v>264034558936.72504</v>
      </c>
      <c r="S148">
        <f t="shared" ref="S148" si="718">R148/100000</f>
        <v>2640345.5893672504</v>
      </c>
      <c r="T148">
        <f t="shared" ref="T148" si="719">S148/1000</f>
        <v>2640.3455893672503</v>
      </c>
    </row>
    <row r="149" spans="1:20" x14ac:dyDescent="0.25">
      <c r="A149" s="5">
        <v>44435</v>
      </c>
      <c r="B149">
        <v>3.9569999999999996E-3</v>
      </c>
      <c r="C149">
        <v>4.2890000000000003E-3</v>
      </c>
      <c r="D149">
        <v>3.8240000000000001E-3</v>
      </c>
      <c r="E149">
        <v>4.287E-3</v>
      </c>
      <c r="F149">
        <v>9368834699</v>
      </c>
      <c r="G149">
        <v>4.287E-3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0.99139784946236442</v>
      </c>
      <c r="Q149">
        <f t="shared" ref="Q149" si="721">F149*P149</f>
        <v>9288242572.5569782</v>
      </c>
      <c r="R149">
        <f t="shared" ref="R149" si="722">R150+Q149</f>
        <v>264449318240.54861</v>
      </c>
      <c r="S149">
        <f t="shared" ref="S149" si="723">R149/100000</f>
        <v>2644493.1824054862</v>
      </c>
      <c r="T149">
        <f t="shared" ref="T149" si="724">S149/1000</f>
        <v>2644.4931824054861</v>
      </c>
    </row>
    <row r="150" spans="1:20" x14ac:dyDescent="0.25">
      <c r="A150" s="5">
        <v>44434</v>
      </c>
      <c r="B150">
        <v>4.2665999999999997E-3</v>
      </c>
      <c r="C150">
        <v>4.3743999999999996E-3</v>
      </c>
      <c r="D150">
        <v>3.8969999999999999E-3</v>
      </c>
      <c r="E150">
        <v>3.9550000000000002E-3</v>
      </c>
      <c r="F150">
        <v>8700399757</v>
      </c>
      <c r="G150">
        <v>3.9550000000000002E-3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-0.7570171763720136</v>
      </c>
      <c r="Q150">
        <f t="shared" ref="Q150" si="726">F150*P150</f>
        <v>-6586352057.3518934</v>
      </c>
      <c r="R150">
        <f t="shared" ref="R150" si="727">R151+Q150</f>
        <v>255161075667.99164</v>
      </c>
      <c r="S150">
        <f t="shared" ref="S150" si="728">R150/100000</f>
        <v>2551610.7566799163</v>
      </c>
      <c r="T150">
        <f t="shared" ref="T150" si="729">S150/1000</f>
        <v>2551.6107566799164</v>
      </c>
    </row>
    <row r="151" spans="1:20" x14ac:dyDescent="0.25">
      <c r="A151" s="5">
        <v>44433</v>
      </c>
      <c r="B151">
        <v>4.1764999999999997E-3</v>
      </c>
      <c r="C151">
        <v>4.2998999999999997E-3</v>
      </c>
      <c r="D151">
        <v>4.0092000000000001E-3</v>
      </c>
      <c r="E151">
        <v>4.267E-3</v>
      </c>
      <c r="F151">
        <v>8061448168</v>
      </c>
      <c r="G151">
        <v>4.267E-3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0.77364981080151485</v>
      </c>
      <c r="Q151">
        <f t="shared" ref="Q151" si="731">F151*P151</f>
        <v>6236737849.9594183</v>
      </c>
      <c r="R151">
        <f t="shared" ref="R151" si="732">R152+Q151</f>
        <v>261747427725.34354</v>
      </c>
      <c r="S151">
        <f t="shared" ref="S151" si="733">R151/100000</f>
        <v>2617474.2772534355</v>
      </c>
      <c r="T151">
        <f t="shared" ref="T151" si="734">S151/1000</f>
        <v>2617.4742772534355</v>
      </c>
    </row>
    <row r="152" spans="1:20" x14ac:dyDescent="0.25">
      <c r="A152" s="5">
        <v>44432</v>
      </c>
      <c r="B152">
        <v>4.4837000000000002E-3</v>
      </c>
      <c r="C152">
        <v>4.5344000000000001E-3</v>
      </c>
      <c r="D152">
        <v>4.0711999999999996E-3</v>
      </c>
      <c r="E152">
        <v>4.1764999999999997E-3</v>
      </c>
      <c r="F152">
        <v>11772600322</v>
      </c>
      <c r="G152">
        <v>4.1764999999999997E-3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-0.54533678756476722</v>
      </c>
      <c r="Q152">
        <f t="shared" ref="Q152" si="736">F152*P152</f>
        <v>-6420032040.8834238</v>
      </c>
      <c r="R152">
        <f t="shared" ref="R152" si="737">R153+Q152</f>
        <v>255510689875.38412</v>
      </c>
      <c r="S152">
        <f t="shared" ref="S152" si="738">R152/100000</f>
        <v>2555106.8987538414</v>
      </c>
      <c r="T152">
        <f t="shared" ref="T152" si="739">S152/1000</f>
        <v>2555.1068987538415</v>
      </c>
    </row>
    <row r="153" spans="1:20" x14ac:dyDescent="0.25">
      <c r="A153" s="5">
        <v>44431</v>
      </c>
      <c r="B153">
        <v>4.3448999999999996E-3</v>
      </c>
      <c r="C153">
        <v>4.5999999999999999E-3</v>
      </c>
      <c r="D153">
        <v>4.3188000000000002E-3</v>
      </c>
      <c r="E153">
        <v>4.4856999999999996E-3</v>
      </c>
      <c r="F153">
        <v>15006904844</v>
      </c>
      <c r="G153">
        <v>4.4856999999999996E-3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0.18705547652915741</v>
      </c>
      <c r="Q153">
        <f t="shared" ref="Q153" si="741">F153*P153</f>
        <v>2807123736.8221407</v>
      </c>
      <c r="R153">
        <f t="shared" ref="R153" si="742">R154+Q153</f>
        <v>261930721916.26755</v>
      </c>
      <c r="S153">
        <f t="shared" ref="S153" si="743">R153/100000</f>
        <v>2619307.2191626756</v>
      </c>
      <c r="T153">
        <f t="shared" ref="T153" si="744">S153/1000</f>
        <v>2619.3072191626757</v>
      </c>
    </row>
    <row r="154" spans="1:20" x14ac:dyDescent="0.25">
      <c r="A154" s="5">
        <v>44430</v>
      </c>
      <c r="B154">
        <v>4.3765000000000002E-3</v>
      </c>
      <c r="C154">
        <v>4.4327999999999998E-3</v>
      </c>
      <c r="D154">
        <v>4.3305000000000001E-3</v>
      </c>
      <c r="E154">
        <v>4.4010000000000004E-3</v>
      </c>
      <c r="F154">
        <v>1479736855</v>
      </c>
      <c r="G154">
        <v>4.4010000000000004E-3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0.37829912023461421</v>
      </c>
      <c r="Q154">
        <f t="shared" ref="Q154" si="746">F154*P154</f>
        <v>559783150.42523491</v>
      </c>
      <c r="R154">
        <f t="shared" ref="R154" si="747">R155+Q154</f>
        <v>259123598179.4454</v>
      </c>
      <c r="S154">
        <f t="shared" ref="S154" si="748">R154/100000</f>
        <v>2591235.9817944542</v>
      </c>
      <c r="T154">
        <f t="shared" ref="T154" si="749">S154/1000</f>
        <v>2591.2359817944543</v>
      </c>
    </row>
    <row r="155" spans="1:20" x14ac:dyDescent="0.25">
      <c r="A155" s="5">
        <v>44429</v>
      </c>
      <c r="B155">
        <v>4.5227000000000002E-3</v>
      </c>
      <c r="C155">
        <v>4.5288000000000004E-3</v>
      </c>
      <c r="D155">
        <v>4.3400000000000001E-3</v>
      </c>
      <c r="E155">
        <v>4.3768000000000001E-3</v>
      </c>
      <c r="F155">
        <v>8896227758</v>
      </c>
      <c r="G155">
        <v>4.3768000000000001E-3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-0.61016949152542399</v>
      </c>
      <c r="Q155">
        <f t="shared" ref="Q155" si="751">F155*P155</f>
        <v>-5428206767.5932226</v>
      </c>
      <c r="R155">
        <f t="shared" ref="R155" si="752">R156+Q155</f>
        <v>258563815029.02017</v>
      </c>
      <c r="S155">
        <f t="shared" ref="S155" si="753">R155/100000</f>
        <v>2585638.1502902019</v>
      </c>
      <c r="T155">
        <f t="shared" ref="T155" si="754">S155/1000</f>
        <v>2585.6381502902018</v>
      </c>
    </row>
    <row r="156" spans="1:20" x14ac:dyDescent="0.25">
      <c r="A156" s="5">
        <v>44428</v>
      </c>
      <c r="B156">
        <v>4.4129E-3</v>
      </c>
      <c r="C156">
        <v>4.5620000000000001E-3</v>
      </c>
      <c r="D156">
        <v>4.3029000000000001E-3</v>
      </c>
      <c r="E156">
        <v>4.5221000000000003E-3</v>
      </c>
      <c r="F156">
        <v>11954091830</v>
      </c>
      <c r="G156">
        <v>4.5221000000000003E-3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0.69201080663836478</v>
      </c>
      <c r="Q156">
        <f t="shared" ref="Q156" si="756">F156*P156</f>
        <v>8272360729.9073858</v>
      </c>
      <c r="R156">
        <f t="shared" ref="R156" si="757">R157+Q156</f>
        <v>263992021796.6134</v>
      </c>
      <c r="S156">
        <f t="shared" ref="S156" si="758">R156/100000</f>
        <v>2639920.2179661342</v>
      </c>
      <c r="T156">
        <f t="shared" ref="T156" si="759">S156/1000</f>
        <v>2639.9202179661343</v>
      </c>
    </row>
    <row r="157" spans="1:20" x14ac:dyDescent="0.25">
      <c r="A157" s="5">
        <v>44427</v>
      </c>
      <c r="B157">
        <v>4.2180000000000004E-3</v>
      </c>
      <c r="C157">
        <v>4.4136000000000002E-3</v>
      </c>
      <c r="D157">
        <v>4.0006E-3</v>
      </c>
      <c r="E157">
        <v>4.4136000000000002E-3</v>
      </c>
      <c r="F157">
        <v>11854358897</v>
      </c>
      <c r="G157">
        <v>4.4136000000000002E-3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1</v>
      </c>
      <c r="Q157">
        <f t="shared" ref="Q157" si="761">F157*P157</f>
        <v>11854358897</v>
      </c>
      <c r="R157">
        <f t="shared" ref="R157" si="762">R158+Q157</f>
        <v>255719661066.70602</v>
      </c>
      <c r="S157">
        <f t="shared" ref="S157" si="763">R157/100000</f>
        <v>2557196.6106670601</v>
      </c>
      <c r="T157">
        <f t="shared" ref="T157" si="764">S157/1000</f>
        <v>2557.1966106670602</v>
      </c>
    </row>
    <row r="158" spans="1:20" x14ac:dyDescent="0.25">
      <c r="A158" s="5">
        <v>44426</v>
      </c>
      <c r="B158">
        <v>4.1993999999999998E-3</v>
      </c>
      <c r="C158">
        <v>4.3620000000000004E-3</v>
      </c>
      <c r="D158">
        <v>3.8882000000000001E-3</v>
      </c>
      <c r="E158">
        <v>4.2163000000000001E-3</v>
      </c>
      <c r="F158">
        <v>18070971767</v>
      </c>
      <c r="G158">
        <v>4.2163000000000001E-3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0.38497256226255705</v>
      </c>
      <c r="Q158">
        <f t="shared" ref="Q158" si="766">F158*P158</f>
        <v>6956828303.7163181</v>
      </c>
      <c r="R158">
        <f t="shared" ref="R158" si="767">R159+Q158</f>
        <v>243865302169.70602</v>
      </c>
      <c r="S158">
        <f t="shared" ref="S158" si="768">R158/100000</f>
        <v>2438653.0216970602</v>
      </c>
      <c r="T158">
        <f t="shared" ref="T158" si="769">S158/1000</f>
        <v>2438.65302169706</v>
      </c>
    </row>
    <row r="159" spans="1:20" x14ac:dyDescent="0.25">
      <c r="A159" s="5">
        <v>44425</v>
      </c>
      <c r="B159">
        <v>4.5867E-3</v>
      </c>
      <c r="C159">
        <v>4.6750000000000003E-3</v>
      </c>
      <c r="D159">
        <v>4.1200999999999998E-3</v>
      </c>
      <c r="E159">
        <v>4.1993999999999998E-3</v>
      </c>
      <c r="F159">
        <v>17324038627</v>
      </c>
      <c r="G159">
        <v>4.1993999999999998E-3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-0.71418273562804124</v>
      </c>
      <c r="Q159">
        <f t="shared" ref="Q159" si="771">F159*P159</f>
        <v>-12372529298.756716</v>
      </c>
      <c r="R159">
        <f t="shared" ref="R159" si="772">R160+Q159</f>
        <v>236908473865.98972</v>
      </c>
      <c r="S159">
        <f t="shared" ref="S159" si="773">R159/100000</f>
        <v>2369084.7386598974</v>
      </c>
      <c r="T159">
        <f t="shared" ref="T159" si="774">S159/1000</f>
        <v>2369.0847386598975</v>
      </c>
    </row>
    <row r="160" spans="1:20" x14ac:dyDescent="0.25">
      <c r="A160" s="5">
        <v>44424</v>
      </c>
      <c r="B160">
        <v>4.7971999999999997E-3</v>
      </c>
      <c r="C160">
        <v>4.9500000000000004E-3</v>
      </c>
      <c r="D160">
        <v>4.3474999999999998E-3</v>
      </c>
      <c r="E160">
        <v>4.5905E-3</v>
      </c>
      <c r="F160">
        <v>22176808204</v>
      </c>
      <c r="G160">
        <v>4.5905E-3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-0.19336099585062269</v>
      </c>
      <c r="Q160">
        <f t="shared" ref="Q160" si="776">F160*P160</f>
        <v>-4288129719.1136994</v>
      </c>
      <c r="R160">
        <f t="shared" ref="R160" si="777">R161+Q160</f>
        <v>249281003164.74643</v>
      </c>
      <c r="S160">
        <f t="shared" ref="S160" si="778">R160/100000</f>
        <v>2492810.0316474643</v>
      </c>
      <c r="T160">
        <f t="shared" ref="T160" si="779">S160/1000</f>
        <v>2492.8100316474643</v>
      </c>
    </row>
    <row r="161" spans="1:20" x14ac:dyDescent="0.25">
      <c r="A161" s="5">
        <v>44423</v>
      </c>
      <c r="B161">
        <v>4.8263000000000004E-3</v>
      </c>
      <c r="C161">
        <v>4.914E-3</v>
      </c>
      <c r="D161">
        <v>4.5738999999999997E-3</v>
      </c>
      <c r="E161">
        <v>4.7987000000000004E-3</v>
      </c>
      <c r="F161">
        <v>14977045136</v>
      </c>
      <c r="G161">
        <v>4.7987000000000004E-3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0.32196412819759185</v>
      </c>
      <c r="Q161">
        <f t="shared" ref="Q161" si="781">F161*P161</f>
        <v>4822071280.1882238</v>
      </c>
      <c r="R161">
        <f t="shared" ref="R161" si="782">R162+Q161</f>
        <v>253569132883.86014</v>
      </c>
      <c r="S161">
        <f t="shared" ref="S161" si="783">R161/100000</f>
        <v>2535691.3288386012</v>
      </c>
      <c r="T161">
        <f t="shared" ref="T161" si="784">S161/1000</f>
        <v>2535.6913288386013</v>
      </c>
    </row>
    <row r="162" spans="1:20" x14ac:dyDescent="0.25">
      <c r="A162" s="5">
        <v>44422</v>
      </c>
      <c r="B162">
        <v>4.8599999999999997E-3</v>
      </c>
      <c r="C162">
        <v>5.0289999999999996E-3</v>
      </c>
      <c r="D162">
        <v>4.6261999999999996E-3</v>
      </c>
      <c r="E162">
        <v>4.8250000000000003E-3</v>
      </c>
      <c r="F162">
        <v>20692196614</v>
      </c>
      <c r="G162">
        <v>4.8250000000000003E-3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-1.2909632571992572E-2</v>
      </c>
      <c r="Q162">
        <f t="shared" ref="Q162" si="786">F162*P162</f>
        <v>-267128655.39416882</v>
      </c>
      <c r="R162">
        <f t="shared" ref="R162" si="787">R163+Q162</f>
        <v>248747061603.67191</v>
      </c>
      <c r="S162">
        <f t="shared" ref="S162" si="788">R162/100000</f>
        <v>2487470.6160367192</v>
      </c>
      <c r="T162">
        <f t="shared" ref="T162" si="789">S162/1000</f>
        <v>2487.4706160367191</v>
      </c>
    </row>
    <row r="163" spans="1:20" x14ac:dyDescent="0.25">
      <c r="A163" s="5">
        <v>44421</v>
      </c>
      <c r="B163">
        <v>4.6223999999999996E-3</v>
      </c>
      <c r="C163">
        <v>4.8828999999999999E-3</v>
      </c>
      <c r="D163">
        <v>4.5149999999999999E-3</v>
      </c>
      <c r="E163">
        <v>4.8621999999999997E-3</v>
      </c>
      <c r="F163">
        <v>16102419212</v>
      </c>
      <c r="G163">
        <v>4.8621999999999997E-3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0.88746942103832438</v>
      </c>
      <c r="Q163">
        <f t="shared" ref="Q163" si="791">F163*P163</f>
        <v>14290404655.390032</v>
      </c>
      <c r="R163">
        <f t="shared" ref="R163" si="792">R164+Q163</f>
        <v>249014190259.06607</v>
      </c>
      <c r="S163">
        <f t="shared" ref="S163" si="793">R163/100000</f>
        <v>2490141.9025906608</v>
      </c>
      <c r="T163">
        <f t="shared" ref="T163" si="794">S163/1000</f>
        <v>2490.1419025906607</v>
      </c>
    </row>
    <row r="164" spans="1:20" x14ac:dyDescent="0.25">
      <c r="A164" s="5">
        <v>44420</v>
      </c>
      <c r="B164">
        <v>4.4351E-3</v>
      </c>
      <c r="C164">
        <v>4.9516999999999999E-3</v>
      </c>
      <c r="D164">
        <v>4.2894999999999999E-3</v>
      </c>
      <c r="E164">
        <v>4.6246000000000004E-3</v>
      </c>
      <c r="F164">
        <v>38280729544</v>
      </c>
      <c r="G164">
        <v>4.6246000000000004E-3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1.2080942313502058E-2</v>
      </c>
      <c r="Q164">
        <f t="shared" ref="Q164" si="796">F164*P164</f>
        <v>462467285.33983797</v>
      </c>
      <c r="R164">
        <f t="shared" ref="R164" si="797">R165+Q164</f>
        <v>234723785603.67603</v>
      </c>
      <c r="S164">
        <f t="shared" ref="S164" si="798">R164/100000</f>
        <v>2347237.8560367604</v>
      </c>
      <c r="T164">
        <f t="shared" ref="T164" si="799">S164/1000</f>
        <v>2347.2378560367606</v>
      </c>
    </row>
    <row r="165" spans="1:20" x14ac:dyDescent="0.25">
      <c r="A165" s="5">
        <v>44419</v>
      </c>
      <c r="B165">
        <v>3.8931999999999999E-3</v>
      </c>
      <c r="C165">
        <v>4.7406000000000002E-3</v>
      </c>
      <c r="D165">
        <v>3.8436E-3</v>
      </c>
      <c r="E165">
        <v>4.4349999999999997E-3</v>
      </c>
      <c r="F165">
        <v>45752542854</v>
      </c>
      <c r="G165">
        <v>4.4349999999999997E-3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0.31861761426978724</v>
      </c>
      <c r="Q165">
        <f t="shared" ref="Q165" si="801">F165*P165</f>
        <v>14577566050.917683</v>
      </c>
      <c r="R165">
        <f t="shared" ref="R165" si="802">R166+Q165</f>
        <v>234261318318.33618</v>
      </c>
      <c r="S165">
        <f t="shared" ref="S165" si="803">R165/100000</f>
        <v>2342613.1831833618</v>
      </c>
      <c r="T165">
        <f t="shared" ref="T165" si="804">S165/1000</f>
        <v>2342.6131831833618</v>
      </c>
    </row>
    <row r="166" spans="1:20" x14ac:dyDescent="0.25">
      <c r="A166" s="5">
        <v>44418</v>
      </c>
      <c r="B166">
        <v>3.8603000000000001E-3</v>
      </c>
      <c r="C166">
        <v>3.9639000000000002E-3</v>
      </c>
      <c r="D166">
        <v>3.7142999999999998E-3</v>
      </c>
      <c r="E166">
        <v>3.8926999999999998E-3</v>
      </c>
      <c r="F166">
        <v>12659793092</v>
      </c>
      <c r="G166">
        <v>3.8926999999999998E-3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0.42948717948717702</v>
      </c>
      <c r="Q166">
        <f t="shared" ref="Q166" si="806">F166*P166</f>
        <v>5437218827.974328</v>
      </c>
      <c r="R166">
        <f t="shared" ref="R166" si="807">R167+Q166</f>
        <v>219683752267.41849</v>
      </c>
      <c r="S166">
        <f t="shared" ref="S166" si="808">R166/100000</f>
        <v>2196837.5226741848</v>
      </c>
      <c r="T166">
        <f t="shared" ref="T166" si="809">S166/1000</f>
        <v>2196.8375226741846</v>
      </c>
    </row>
    <row r="167" spans="1:20" x14ac:dyDescent="0.25">
      <c r="A167" s="5">
        <v>44417</v>
      </c>
      <c r="B167">
        <v>3.7226999999999998E-3</v>
      </c>
      <c r="C167">
        <v>3.9227999999999997E-3</v>
      </c>
      <c r="D167">
        <v>3.6549999999999998E-3</v>
      </c>
      <c r="E167">
        <v>3.8614999999999999E-3</v>
      </c>
      <c r="F167">
        <v>13205013753</v>
      </c>
      <c r="G167">
        <v>3.8614999999999999E-3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0.54219566840926192</v>
      </c>
      <c r="Q167">
        <f t="shared" ref="Q167" si="811">F167*P167</f>
        <v>7159701258.1613312</v>
      </c>
      <c r="R167">
        <f t="shared" ref="R167" si="812">R168+Q167</f>
        <v>214246533439.44415</v>
      </c>
      <c r="S167">
        <f t="shared" ref="S167" si="813">R167/100000</f>
        <v>2142465.3343944415</v>
      </c>
      <c r="T167">
        <f t="shared" ref="T167" si="814">S167/1000</f>
        <v>2142.4653343944415</v>
      </c>
    </row>
    <row r="168" spans="1:20" x14ac:dyDescent="0.25">
      <c r="A168" s="5">
        <v>44416</v>
      </c>
      <c r="B168">
        <v>3.9031999999999999E-3</v>
      </c>
      <c r="C168">
        <v>4.0886000000000004E-3</v>
      </c>
      <c r="D168">
        <v>3.6408999999999999E-3</v>
      </c>
      <c r="E168">
        <v>3.7228999999999999E-3</v>
      </c>
      <c r="F168">
        <v>22726055889</v>
      </c>
      <c r="G168">
        <v>3.7228999999999999E-3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-0.63368327004690661</v>
      </c>
      <c r="Q168">
        <f t="shared" ref="Q168" si="816">F168*P168</f>
        <v>-14401121411.010279</v>
      </c>
      <c r="R168">
        <f t="shared" ref="R168" si="817">R169+Q168</f>
        <v>207086832181.28281</v>
      </c>
      <c r="S168">
        <f t="shared" ref="S168" si="818">R168/100000</f>
        <v>2070868.3218128281</v>
      </c>
      <c r="T168">
        <f t="shared" ref="T168" si="819">S168/1000</f>
        <v>2070.8683218128281</v>
      </c>
    </row>
    <row r="169" spans="1:20" x14ac:dyDescent="0.25">
      <c r="A169" s="5">
        <v>44415</v>
      </c>
      <c r="B169">
        <v>3.8273999999999999E-3</v>
      </c>
      <c r="C169">
        <v>4.0848999999999998E-3</v>
      </c>
      <c r="D169">
        <v>3.6795999999999999E-3</v>
      </c>
      <c r="E169">
        <v>3.9031999999999999E-3</v>
      </c>
      <c r="F169">
        <v>22484462429</v>
      </c>
      <c r="G169">
        <v>3.9031999999999999E-3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0.1033802121885026</v>
      </c>
      <c r="Q169">
        <f t="shared" ref="Q169" si="821">F169*P169</f>
        <v>2324448496.8544345</v>
      </c>
      <c r="R169">
        <f t="shared" ref="R169" si="822">R170+Q169</f>
        <v>221487953592.29309</v>
      </c>
      <c r="S169">
        <f t="shared" ref="S169" si="823">R169/100000</f>
        <v>2214879.535922931</v>
      </c>
      <c r="T169">
        <f t="shared" ref="T169" si="824">S169/1000</f>
        <v>2214.8795359229312</v>
      </c>
    </row>
    <row r="170" spans="1:20" x14ac:dyDescent="0.25">
      <c r="A170" s="5">
        <v>44414</v>
      </c>
      <c r="B170">
        <v>3.4367999999999998E-3</v>
      </c>
      <c r="C170">
        <v>3.8500000000000001E-3</v>
      </c>
      <c r="D170">
        <v>3.4342000000000001E-3</v>
      </c>
      <c r="E170">
        <v>3.8281000000000001E-3</v>
      </c>
      <c r="F170">
        <v>20363082069</v>
      </c>
      <c r="G170">
        <v>3.8281000000000001E-3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0.89466089466089449</v>
      </c>
      <c r="Q170">
        <f t="shared" ref="Q170" si="826">F170*P170</f>
        <v>18218053221.904758</v>
      </c>
      <c r="R170">
        <f t="shared" ref="R170" si="827">R171+Q170</f>
        <v>219163505095.43866</v>
      </c>
      <c r="S170">
        <f t="shared" ref="S170" si="828">R170/100000</f>
        <v>2191635.0509543866</v>
      </c>
      <c r="T170">
        <f t="shared" ref="T170" si="829">S170/1000</f>
        <v>2191.6350509543868</v>
      </c>
    </row>
    <row r="171" spans="1:20" x14ac:dyDescent="0.25">
      <c r="A171" s="5">
        <v>44413</v>
      </c>
      <c r="B171">
        <v>3.1765000000000001E-3</v>
      </c>
      <c r="C171">
        <v>3.5500000000000002E-3</v>
      </c>
      <c r="D171">
        <v>3.15E-3</v>
      </c>
      <c r="E171">
        <v>3.4348999999999998E-3</v>
      </c>
      <c r="F171">
        <v>26263072177</v>
      </c>
      <c r="G171">
        <v>3.4348999999999998E-3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0.42449999999999849</v>
      </c>
      <c r="Q171">
        <f t="shared" ref="Q171" si="831">F171*P171</f>
        <v>11148674139.136461</v>
      </c>
      <c r="R171">
        <f t="shared" ref="R171" si="832">R172+Q171</f>
        <v>200945451873.53391</v>
      </c>
      <c r="S171">
        <f t="shared" ref="S171" si="833">R171/100000</f>
        <v>2009454.5187353392</v>
      </c>
      <c r="T171">
        <f t="shared" ref="T171" si="834">S171/1000</f>
        <v>2009.4545187353392</v>
      </c>
    </row>
    <row r="172" spans="1:20" x14ac:dyDescent="0.25">
      <c r="A172" s="5">
        <v>44412</v>
      </c>
      <c r="B172">
        <v>2.9239000000000001E-3</v>
      </c>
      <c r="C172">
        <v>3.2100000000000002E-3</v>
      </c>
      <c r="D172">
        <v>2.8815999999999998E-3</v>
      </c>
      <c r="E172">
        <v>3.1765000000000001E-3</v>
      </c>
      <c r="F172">
        <v>16995595102</v>
      </c>
      <c r="G172">
        <v>3.1765000000000001E-3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0.79598051157125416</v>
      </c>
      <c r="Q172">
        <f t="shared" ref="Q172" si="836">F172*P172</f>
        <v>13528162483.747862</v>
      </c>
      <c r="R172">
        <f t="shared" ref="R172" si="837">R173+Q172</f>
        <v>189796777734.39743</v>
      </c>
      <c r="S172">
        <f t="shared" ref="S172" si="838">R172/100000</f>
        <v>1897967.7773439742</v>
      </c>
      <c r="T172">
        <f t="shared" ref="T172" si="839">S172/1000</f>
        <v>1897.9677773439741</v>
      </c>
    </row>
    <row r="173" spans="1:20" x14ac:dyDescent="0.25">
      <c r="A173" s="5">
        <v>44411</v>
      </c>
      <c r="B173">
        <v>2.8855E-3</v>
      </c>
      <c r="C173">
        <v>2.9757E-3</v>
      </c>
      <c r="D173">
        <v>2.7907000000000001E-3</v>
      </c>
      <c r="E173">
        <v>2.9229E-3</v>
      </c>
      <c r="F173">
        <v>8077479557</v>
      </c>
      <c r="G173">
        <v>2.9229E-3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0.42918918918918886</v>
      </c>
      <c r="Q173">
        <f t="shared" ref="Q173" si="841">F173*P173</f>
        <v>3466766901.7610784</v>
      </c>
      <c r="R173">
        <f t="shared" ref="R173" si="842">R174+Q173</f>
        <v>176268615250.64957</v>
      </c>
      <c r="S173">
        <f t="shared" ref="S173" si="843">R173/100000</f>
        <v>1762686.1525064956</v>
      </c>
      <c r="T173">
        <f t="shared" ref="T173" si="844">S173/1000</f>
        <v>1762.6861525064955</v>
      </c>
    </row>
    <row r="174" spans="1:20" x14ac:dyDescent="0.25">
      <c r="A174" s="5">
        <v>44410</v>
      </c>
      <c r="B174">
        <v>2.8487999999999999E-3</v>
      </c>
      <c r="C174">
        <v>2.9393000000000002E-3</v>
      </c>
      <c r="D174">
        <v>2.7799999999999999E-3</v>
      </c>
      <c r="E174">
        <v>2.8860000000000001E-3</v>
      </c>
      <c r="F174">
        <v>6497916144</v>
      </c>
      <c r="G174">
        <v>2.8860000000000001E-3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0.33082234777150071</v>
      </c>
      <c r="Q174">
        <f t="shared" ref="Q174" si="846">F174*P174</f>
        <v>2149655874.3804169</v>
      </c>
      <c r="R174">
        <f t="shared" ref="R174" si="847">R175+Q174</f>
        <v>172801848348.88849</v>
      </c>
      <c r="S174">
        <f t="shared" ref="S174" si="848">R174/100000</f>
        <v>1728018.483488885</v>
      </c>
      <c r="T174">
        <f t="shared" ref="T174" si="849">S174/1000</f>
        <v>1728.0184834888851</v>
      </c>
    </row>
    <row r="175" spans="1:20" x14ac:dyDescent="0.25">
      <c r="A175" s="5">
        <v>44409</v>
      </c>
      <c r="B175">
        <v>2.843E-3</v>
      </c>
      <c r="C175">
        <v>3.0810999999999998E-3</v>
      </c>
      <c r="D175">
        <v>2.8218000000000002E-3</v>
      </c>
      <c r="E175">
        <v>2.8490999999999998E-3</v>
      </c>
      <c r="F175">
        <v>14575396916</v>
      </c>
      <c r="G175">
        <v>2.8490999999999998E-3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-0.78943308908600329</v>
      </c>
      <c r="Q175">
        <f t="shared" ref="Q175" si="851">F175*P175</f>
        <v>-11506300612.052486</v>
      </c>
      <c r="R175">
        <f t="shared" ref="R175" si="852">R176+Q175</f>
        <v>170652192474.50806</v>
      </c>
      <c r="S175">
        <f t="shared" ref="S175" si="853">R175/100000</f>
        <v>1706521.9247450805</v>
      </c>
      <c r="T175">
        <f t="shared" ref="T175" si="854">S175/1000</f>
        <v>1706.5219247450805</v>
      </c>
    </row>
    <row r="176" spans="1:20" x14ac:dyDescent="0.25">
      <c r="A176" s="5">
        <v>44408</v>
      </c>
      <c r="B176">
        <v>2.8682999999999998E-3</v>
      </c>
      <c r="C176">
        <v>2.9082999999999999E-3</v>
      </c>
      <c r="D176">
        <v>2.7845999999999999E-3</v>
      </c>
      <c r="E176">
        <v>2.8456000000000002E-3</v>
      </c>
      <c r="F176">
        <v>7092519488</v>
      </c>
      <c r="G176">
        <v>2.8456000000000002E-3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-1.3742926434918711E-2</v>
      </c>
      <c r="Q176">
        <f t="shared" ref="Q176" si="856">F176*P176</f>
        <v>-97471973.561811328</v>
      </c>
      <c r="R176">
        <f t="shared" ref="R176" si="857">R177+Q176</f>
        <v>182158493086.56055</v>
      </c>
      <c r="S176">
        <f t="shared" ref="S176" si="858">R176/100000</f>
        <v>1821584.9308656054</v>
      </c>
      <c r="T176">
        <f t="shared" ref="T176" si="859">S176/1000</f>
        <v>1821.5849308656054</v>
      </c>
    </row>
    <row r="177" spans="1:20" x14ac:dyDescent="0.25">
      <c r="A177" s="5">
        <v>44407</v>
      </c>
      <c r="B177">
        <v>2.8164000000000002E-3</v>
      </c>
      <c r="C177">
        <v>2.879E-3</v>
      </c>
      <c r="D177">
        <v>2.6418000000000001E-3</v>
      </c>
      <c r="E177">
        <v>2.8704999999999998E-3</v>
      </c>
      <c r="F177">
        <v>8723693275</v>
      </c>
      <c r="G177">
        <v>2.8704999999999998E-3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0.92833052276559647</v>
      </c>
      <c r="Q177">
        <f t="shared" ref="Q177" si="861">F177*P177</f>
        <v>8098470738.4274683</v>
      </c>
      <c r="R177">
        <f t="shared" ref="R177" si="862">R178+Q177</f>
        <v>182255965060.12234</v>
      </c>
      <c r="S177">
        <f t="shared" ref="S177" si="863">R177/100000</f>
        <v>1822559.6506012233</v>
      </c>
      <c r="T177">
        <f t="shared" ref="T177" si="864">S177/1000</f>
        <v>1822.5596506012234</v>
      </c>
    </row>
    <row r="178" spans="1:20" x14ac:dyDescent="0.25">
      <c r="A178" s="5">
        <v>44406</v>
      </c>
      <c r="B178">
        <v>2.7994999999999999E-3</v>
      </c>
      <c r="C178">
        <v>2.882E-3</v>
      </c>
      <c r="D178">
        <v>2.7342999999999998E-3</v>
      </c>
      <c r="E178">
        <v>2.8164000000000002E-3</v>
      </c>
      <c r="F178">
        <v>7316988880</v>
      </c>
      <c r="G178">
        <v>2.8164000000000002E-3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0.11171293161814784</v>
      </c>
      <c r="Q178">
        <f t="shared" ref="Q178" si="866">F178*P178</f>
        <v>817402278.40218818</v>
      </c>
      <c r="R178">
        <f t="shared" ref="R178" si="867">R179+Q178</f>
        <v>174157494321.69489</v>
      </c>
      <c r="S178">
        <f t="shared" ref="S178" si="868">R178/100000</f>
        <v>1741574.9432169488</v>
      </c>
      <c r="T178">
        <f t="shared" ref="T178" si="869">S178/1000</f>
        <v>1741.5749432169487</v>
      </c>
    </row>
    <row r="179" spans="1:20" x14ac:dyDescent="0.25">
      <c r="A179" s="5">
        <v>44405</v>
      </c>
      <c r="B179">
        <v>2.7937999999999999E-3</v>
      </c>
      <c r="C179">
        <v>3.0349999999999999E-3</v>
      </c>
      <c r="D179">
        <v>2.7323E-3</v>
      </c>
      <c r="E179">
        <v>2.7973999999999998E-3</v>
      </c>
      <c r="F179">
        <v>19119014534</v>
      </c>
      <c r="G179">
        <v>2.7973999999999998E-3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-0.56987115956392598</v>
      </c>
      <c r="Q179">
        <f t="shared" ref="Q179" si="871">F179*P179</f>
        <v>-10895374982.210135</v>
      </c>
      <c r="R179">
        <f t="shared" ref="R179" si="872">R180+Q179</f>
        <v>173340092043.29269</v>
      </c>
      <c r="S179">
        <f t="shared" ref="S179" si="873">R179/100000</f>
        <v>1733400.9204329269</v>
      </c>
      <c r="T179">
        <f t="shared" ref="T179" si="874">S179/1000</f>
        <v>1733.4009204329268</v>
      </c>
    </row>
    <row r="180" spans="1:20" x14ac:dyDescent="0.25">
      <c r="A180" s="5">
        <v>44404</v>
      </c>
      <c r="B180">
        <v>2.5817000000000001E-3</v>
      </c>
      <c r="C180">
        <v>2.9290000000000002E-3</v>
      </c>
      <c r="D180">
        <v>2.4342000000000001E-3</v>
      </c>
      <c r="E180">
        <v>2.7940999999999999E-3</v>
      </c>
      <c r="F180">
        <v>26080603141</v>
      </c>
      <c r="G180">
        <v>2.7940999999999999E-3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0.45472918350848718</v>
      </c>
      <c r="Q180">
        <f t="shared" ref="Q180" si="876">F180*P180</f>
        <v>11859611371.715816</v>
      </c>
      <c r="R180">
        <f t="shared" ref="R180" si="877">R181+Q180</f>
        <v>184235467025.50284</v>
      </c>
      <c r="S180">
        <f t="shared" ref="S180" si="878">R180/100000</f>
        <v>1842354.6702550284</v>
      </c>
      <c r="T180">
        <f t="shared" ref="T180" si="879">S180/1000</f>
        <v>1842.3546702550284</v>
      </c>
    </row>
    <row r="181" spans="1:20" x14ac:dyDescent="0.25">
      <c r="A181" s="5">
        <v>44403</v>
      </c>
      <c r="B181">
        <v>2.2929000000000001E-3</v>
      </c>
      <c r="C181">
        <v>3.0444999999999999E-3</v>
      </c>
      <c r="D181">
        <v>2.2848E-3</v>
      </c>
      <c r="E181">
        <v>2.5817000000000001E-3</v>
      </c>
      <c r="F181">
        <v>45531077803</v>
      </c>
      <c r="G181">
        <v>2.5817000000000001E-3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-0.21837567460839763</v>
      </c>
      <c r="Q181">
        <f t="shared" ref="Q181" si="881">F181*P181</f>
        <v>-9942879830.8775635</v>
      </c>
      <c r="R181">
        <f t="shared" ref="R181" si="882">R182+Q181</f>
        <v>172375855653.78702</v>
      </c>
      <c r="S181">
        <f t="shared" ref="S181" si="883">R181/100000</f>
        <v>1723758.5565378701</v>
      </c>
      <c r="T181">
        <f t="shared" ref="T181" si="884">S181/1000</f>
        <v>1723.7585565378702</v>
      </c>
    </row>
    <row r="182" spans="1:20" x14ac:dyDescent="0.25">
      <c r="A182" s="5">
        <v>44402</v>
      </c>
      <c r="B182">
        <v>2.2464E-3</v>
      </c>
      <c r="C182">
        <v>2.3192999999999998E-3</v>
      </c>
      <c r="D182">
        <v>2.1887E-3</v>
      </c>
      <c r="E182">
        <v>2.2921E-3</v>
      </c>
      <c r="F182">
        <v>7160982558</v>
      </c>
      <c r="G182">
        <v>2.2921E-3</v>
      </c>
      <c r="L182" t="s">
        <v>8</v>
      </c>
      <c r="M182" t="s">
        <v>8</v>
      </c>
      <c r="N182" t="s">
        <v>7</v>
      </c>
      <c r="P182">
        <f t="shared" ref="P182" si="885">IF(C182=D182,0,((E182-D182)-(C182-E182))/(C182-D182))</f>
        <v>0.58346094946401483</v>
      </c>
      <c r="Q182">
        <f t="shared" ref="Q182" si="886">F182*P182</f>
        <v>4178153682.3859296</v>
      </c>
      <c r="R182">
        <f t="shared" ref="R182" si="887">R183+Q182</f>
        <v>182318735484.66458</v>
      </c>
      <c r="S182">
        <f t="shared" ref="S182" si="888">R182/100000</f>
        <v>1823187.3548466458</v>
      </c>
      <c r="T182">
        <f t="shared" ref="T182" si="889">S182/1000</f>
        <v>1823.1873548466458</v>
      </c>
    </row>
    <row r="183" spans="1:20" x14ac:dyDescent="0.25">
      <c r="A183" s="5">
        <v>44401</v>
      </c>
      <c r="B183">
        <v>2.2047999999999998E-3</v>
      </c>
      <c r="C183">
        <v>2.3027E-3</v>
      </c>
      <c r="D183">
        <v>2.1790999999999998E-3</v>
      </c>
      <c r="E183">
        <v>2.2471000000000001E-3</v>
      </c>
      <c r="F183">
        <v>6660602752</v>
      </c>
      <c r="G183">
        <v>2.2471000000000001E-3</v>
      </c>
      <c r="L183" t="s">
        <v>8</v>
      </c>
      <c r="M183" t="s">
        <v>8</v>
      </c>
      <c r="N183" t="s">
        <v>7</v>
      </c>
      <c r="P183">
        <f t="shared" ref="P183" si="890">IF(C183=D183,0,((E183-D183)-(C183-E183))/(C183-D183))</f>
        <v>0.1003236245954733</v>
      </c>
      <c r="Q183">
        <f t="shared" ref="Q183" si="891">F183*P183</f>
        <v>668215810.07122433</v>
      </c>
      <c r="R183">
        <f t="shared" ref="R183" si="892">R184+Q183</f>
        <v>178140581802.27866</v>
      </c>
      <c r="S183">
        <f t="shared" ref="S183" si="893">R183/100000</f>
        <v>1781405.8180227866</v>
      </c>
      <c r="T183">
        <f t="shared" ref="T183:T188" si="894">S183/1000</f>
        <v>1781.4058180227867</v>
      </c>
    </row>
    <row r="184" spans="1:20" x14ac:dyDescent="0.25">
      <c r="A184" s="5">
        <v>44400</v>
      </c>
      <c r="B184">
        <v>2.1624999999999999E-3</v>
      </c>
      <c r="C184">
        <v>2.2123999999999998E-3</v>
      </c>
      <c r="D184">
        <v>2.088E-3</v>
      </c>
      <c r="E184">
        <v>2.2066999999999998E-3</v>
      </c>
      <c r="F184">
        <v>6146675437</v>
      </c>
      <c r="G184">
        <v>2.2066999999999998E-3</v>
      </c>
      <c r="L184" t="s">
        <v>8</v>
      </c>
      <c r="M184" t="s">
        <v>7</v>
      </c>
      <c r="N184" t="s">
        <v>7</v>
      </c>
      <c r="P184">
        <f t="shared" ref="P184" si="895">IF(C184=D184,0,((E184-D184)-(C184-E184))/(C184-D184))</f>
        <v>0.90836012861736359</v>
      </c>
      <c r="Q184">
        <f t="shared" ref="Q184" si="896">F184*P184</f>
        <v>5583394890.5225096</v>
      </c>
      <c r="R184">
        <f t="shared" ref="R184" si="897">R185+Q184</f>
        <v>177472365992.20743</v>
      </c>
      <c r="S184">
        <f t="shared" ref="S184" si="898">R184/100000</f>
        <v>1774723.6599220743</v>
      </c>
      <c r="T184">
        <f t="shared" si="894"/>
        <v>1774.7236599220744</v>
      </c>
    </row>
    <row r="185" spans="1:20" x14ac:dyDescent="0.25">
      <c r="A185" s="5">
        <v>44399</v>
      </c>
      <c r="B185">
        <v>2.1221999999999999E-3</v>
      </c>
      <c r="C185">
        <v>2.1649999999999998E-3</v>
      </c>
      <c r="D185">
        <v>2.0560999999999999E-3</v>
      </c>
      <c r="E185">
        <v>2.1627999999999999E-3</v>
      </c>
      <c r="F185">
        <v>5570201411</v>
      </c>
      <c r="G185">
        <v>2.1627999999999999E-3</v>
      </c>
      <c r="L185" t="s">
        <v>8</v>
      </c>
      <c r="M185" t="s">
        <v>7</v>
      </c>
      <c r="N185" t="s">
        <v>7</v>
      </c>
      <c r="P185">
        <f t="shared" ref="P185" si="899">IF(C185=D185,0,((E185-D185)-(C185-E185))/(C185-D185))</f>
        <v>0.95959595959596056</v>
      </c>
      <c r="Q185">
        <f t="shared" ref="Q185" si="900">F185*P185</f>
        <v>5345142768.1313181</v>
      </c>
      <c r="R185">
        <f t="shared" ref="R185" si="901">R186+Q185</f>
        <v>171888971101.68491</v>
      </c>
      <c r="S185">
        <f t="shared" ref="S185" si="902">R185/100000</f>
        <v>1718889.7110168491</v>
      </c>
      <c r="T185">
        <f t="shared" si="894"/>
        <v>1718.8897110168491</v>
      </c>
    </row>
    <row r="186" spans="1:20" x14ac:dyDescent="0.25">
      <c r="A186" s="5">
        <v>44398</v>
      </c>
      <c r="B186">
        <v>1.9507999999999999E-3</v>
      </c>
      <c r="C186">
        <v>2.1470999999999999E-3</v>
      </c>
      <c r="D186">
        <v>1.9039E-3</v>
      </c>
      <c r="E186">
        <v>2.1221999999999999E-3</v>
      </c>
      <c r="F186">
        <v>8441373878</v>
      </c>
      <c r="G186">
        <v>2.1221999999999999E-3</v>
      </c>
      <c r="L186" t="s">
        <v>8</v>
      </c>
      <c r="M186" t="s">
        <v>7</v>
      </c>
      <c r="N186" t="s">
        <v>7</v>
      </c>
      <c r="P186">
        <f t="shared" ref="P186" si="903">IF(C186=D186,0,((E186-D186)-(C186-E186))/(C186-D186))</f>
        <v>0.79523026315789458</v>
      </c>
      <c r="Q186">
        <f t="shared" ref="Q186" si="904">F186*P186</f>
        <v>6712835970.4161167</v>
      </c>
      <c r="R186">
        <f t="shared" ref="R186" si="905">R187+Q186</f>
        <v>166543828333.55359</v>
      </c>
      <c r="S186">
        <f t="shared" ref="S186" si="906">R186/100000</f>
        <v>1665438.2833355358</v>
      </c>
      <c r="T186">
        <f t="shared" si="894"/>
        <v>1665.4382833355357</v>
      </c>
    </row>
    <row r="187" spans="1:20" x14ac:dyDescent="0.25">
      <c r="A187" s="5">
        <v>44397</v>
      </c>
      <c r="B187">
        <v>2.0845999999999998E-3</v>
      </c>
      <c r="C187">
        <v>2.1229999999999999E-3</v>
      </c>
      <c r="D187">
        <v>1.8868999999999999E-3</v>
      </c>
      <c r="E187">
        <v>1.9499999999999999E-3</v>
      </c>
      <c r="F187">
        <v>11228435241</v>
      </c>
      <c r="G187">
        <v>1.9499999999999999E-3</v>
      </c>
      <c r="L187" t="s">
        <v>7</v>
      </c>
      <c r="M187" t="s">
        <v>7</v>
      </c>
      <c r="N187" t="s">
        <v>7</v>
      </c>
      <c r="P187">
        <f t="shared" ref="P187" si="907">IF(C187=D187,0,((E187-D187)-(C187-E187))/(C187-D187))</f>
        <v>-0.46548072850487099</v>
      </c>
      <c r="Q187">
        <f t="shared" ref="Q187" si="908">F187*P187</f>
        <v>-5226620215.9504471</v>
      </c>
      <c r="R187">
        <f t="shared" ref="R187" si="909">R188+Q187</f>
        <v>159830992363.13748</v>
      </c>
      <c r="S187">
        <f t="shared" ref="S187" si="910">R187/100000</f>
        <v>1598309.9236313747</v>
      </c>
      <c r="T187">
        <f t="shared" si="894"/>
        <v>1598.3099236313747</v>
      </c>
    </row>
    <row r="188" spans="1:20" x14ac:dyDescent="0.25">
      <c r="A188" s="5">
        <v>44396</v>
      </c>
      <c r="B188">
        <v>2.209E-3</v>
      </c>
      <c r="C188">
        <v>2.2192000000000002E-3</v>
      </c>
      <c r="D188">
        <v>2.0696999999999998E-3</v>
      </c>
      <c r="E188">
        <v>2.0839999999999999E-3</v>
      </c>
      <c r="F188">
        <v>4784810016</v>
      </c>
      <c r="G188">
        <v>0</v>
      </c>
      <c r="L188" t="s">
        <v>7</v>
      </c>
      <c r="M188" t="s">
        <v>7</v>
      </c>
      <c r="N188" t="s">
        <v>8</v>
      </c>
      <c r="P188">
        <f t="shared" ref="P188" si="911">IF(C188=D188,0,((E188-D188)-(C188-E188))/(C188-D188))</f>
        <v>-0.80869565217391248</v>
      </c>
      <c r="Q188">
        <f t="shared" ref="Q188" si="912">F188*P188</f>
        <v>-3869455056.4173884</v>
      </c>
      <c r="R188">
        <f t="shared" ref="R188" si="913">R189+Q188</f>
        <v>165057612579.08792</v>
      </c>
      <c r="S188">
        <f t="shared" ref="S188" si="914">R188/100000</f>
        <v>1650576.1257908791</v>
      </c>
      <c r="T188">
        <f t="shared" si="894"/>
        <v>1650.5761257908791</v>
      </c>
    </row>
    <row r="189" spans="1:20" x14ac:dyDescent="0.25">
      <c r="A189" s="5">
        <v>44395</v>
      </c>
      <c r="B189">
        <v>2.2377999999999999E-3</v>
      </c>
      <c r="C189">
        <v>2.3032999999999999E-3</v>
      </c>
      <c r="D189">
        <v>2.1752999999999998E-3</v>
      </c>
      <c r="E189">
        <v>2.2089000000000002E-3</v>
      </c>
      <c r="F189">
        <v>4366769973</v>
      </c>
      <c r="G189">
        <v>0</v>
      </c>
      <c r="L189" t="s">
        <v>8</v>
      </c>
      <c r="M189" t="s">
        <v>7</v>
      </c>
      <c r="N189" t="s">
        <v>8</v>
      </c>
      <c r="P189">
        <f t="shared" ref="P189:P252" si="915">IF(C189=D189,0,((E189-D189)-(C189-E189))/(C189-D189))</f>
        <v>-0.47499999999999432</v>
      </c>
      <c r="Q189">
        <f t="shared" ref="Q189:Q252" si="916">F189*P189</f>
        <v>-2074215737.1749752</v>
      </c>
      <c r="R189">
        <f t="shared" ref="R189:R252" si="917">R190+Q189</f>
        <v>168927067635.50531</v>
      </c>
      <c r="S189">
        <f t="shared" ref="S189:S252" si="918">R189/100000</f>
        <v>1689270.6763550532</v>
      </c>
      <c r="T189">
        <f t="shared" ref="T189:T252" si="919">S189/1000</f>
        <v>1689.2706763550532</v>
      </c>
    </row>
    <row r="190" spans="1:20" x14ac:dyDescent="0.25">
      <c r="A190" s="5">
        <v>44394</v>
      </c>
      <c r="B190">
        <v>2.1602000000000001E-3</v>
      </c>
      <c r="C190">
        <v>2.2869000000000001E-3</v>
      </c>
      <c r="D190">
        <v>2.1250000000000002E-3</v>
      </c>
      <c r="E190">
        <v>2.2377E-3</v>
      </c>
      <c r="F190">
        <v>6466428228</v>
      </c>
      <c r="G190">
        <v>0</v>
      </c>
      <c r="L190" t="s">
        <v>7</v>
      </c>
      <c r="M190" t="s">
        <v>7</v>
      </c>
      <c r="N190" t="s">
        <v>8</v>
      </c>
      <c r="P190">
        <f t="shared" si="915"/>
        <v>0.39221741815935618</v>
      </c>
      <c r="Q190">
        <f t="shared" si="916"/>
        <v>2536245784.2989407</v>
      </c>
      <c r="R190">
        <f t="shared" si="917"/>
        <v>171001283372.6803</v>
      </c>
      <c r="S190">
        <f t="shared" si="918"/>
        <v>1710012.8337268031</v>
      </c>
      <c r="T190">
        <f t="shared" si="919"/>
        <v>1710.0128337268031</v>
      </c>
    </row>
    <row r="191" spans="1:20" x14ac:dyDescent="0.25">
      <c r="A191" s="5">
        <v>44393</v>
      </c>
      <c r="B191">
        <v>2.2867E-3</v>
      </c>
      <c r="C191">
        <v>2.3299000000000002E-3</v>
      </c>
      <c r="D191">
        <v>2.1402999999999999E-3</v>
      </c>
      <c r="E191">
        <v>2.1594000000000001E-3</v>
      </c>
      <c r="F191">
        <v>4789244567</v>
      </c>
      <c r="G191">
        <v>0</v>
      </c>
      <c r="L191" t="s">
        <v>7</v>
      </c>
      <c r="M191" t="s">
        <v>7</v>
      </c>
      <c r="N191" t="s">
        <v>8</v>
      </c>
      <c r="P191">
        <f t="shared" si="915"/>
        <v>-0.79852320675105315</v>
      </c>
      <c r="Q191">
        <f t="shared" si="916"/>
        <v>-3824322929.5558991</v>
      </c>
      <c r="R191">
        <f t="shared" si="917"/>
        <v>168465037588.38135</v>
      </c>
      <c r="S191">
        <f t="shared" si="918"/>
        <v>1684650.3758838135</v>
      </c>
      <c r="T191">
        <f t="shared" si="919"/>
        <v>1684.6503758838135</v>
      </c>
    </row>
    <row r="192" spans="1:20" x14ac:dyDescent="0.25">
      <c r="A192" s="5">
        <v>44392</v>
      </c>
      <c r="B192">
        <v>2.3714999999999999E-3</v>
      </c>
      <c r="C192">
        <v>2.3995000000000002E-3</v>
      </c>
      <c r="D192">
        <v>2.251E-3</v>
      </c>
      <c r="E192">
        <v>2.2853000000000001E-3</v>
      </c>
      <c r="F192">
        <v>4982407951</v>
      </c>
      <c r="G192">
        <v>0</v>
      </c>
      <c r="L192" t="s">
        <v>7</v>
      </c>
      <c r="M192" t="s">
        <v>7</v>
      </c>
      <c r="N192" t="s">
        <v>8</v>
      </c>
      <c r="P192">
        <f t="shared" si="915"/>
        <v>-0.53804713804713689</v>
      </c>
      <c r="Q192">
        <f t="shared" si="916"/>
        <v>-2680770338.6188493</v>
      </c>
      <c r="R192">
        <f t="shared" si="917"/>
        <v>172289360517.93726</v>
      </c>
      <c r="S192">
        <f t="shared" si="918"/>
        <v>1722893.6051793725</v>
      </c>
      <c r="T192">
        <f t="shared" si="919"/>
        <v>1722.8936051793726</v>
      </c>
    </row>
    <row r="193" spans="1:20" x14ac:dyDescent="0.25">
      <c r="A193" s="5">
        <v>44391</v>
      </c>
      <c r="B193">
        <v>2.3906999999999999E-3</v>
      </c>
      <c r="C193">
        <v>2.4038000000000002E-3</v>
      </c>
      <c r="D193">
        <v>2.2604000000000001E-3</v>
      </c>
      <c r="E193">
        <v>2.3709999999999998E-3</v>
      </c>
      <c r="F193">
        <v>4761857588</v>
      </c>
      <c r="G193">
        <v>0</v>
      </c>
      <c r="L193" t="s">
        <v>7</v>
      </c>
      <c r="M193" t="s">
        <v>7</v>
      </c>
      <c r="N193" t="s">
        <v>8</v>
      </c>
      <c r="P193">
        <f t="shared" si="915"/>
        <v>0.54253835425383079</v>
      </c>
      <c r="Q193">
        <f t="shared" si="916"/>
        <v>2583490378.9846363</v>
      </c>
      <c r="R193">
        <f t="shared" si="917"/>
        <v>174970130856.55609</v>
      </c>
      <c r="S193">
        <f t="shared" si="918"/>
        <v>1749701.308565561</v>
      </c>
      <c r="T193">
        <f t="shared" si="919"/>
        <v>1749.701308565561</v>
      </c>
    </row>
    <row r="194" spans="1:20" x14ac:dyDescent="0.25">
      <c r="A194" s="5">
        <v>44390</v>
      </c>
      <c r="B194">
        <v>2.4613E-3</v>
      </c>
      <c r="C194">
        <v>2.4732999999999999E-3</v>
      </c>
      <c r="D194">
        <v>2.3679999999999999E-3</v>
      </c>
      <c r="E194">
        <v>2.3890999999999999E-3</v>
      </c>
      <c r="F194">
        <v>3212115025</v>
      </c>
      <c r="G194">
        <v>0</v>
      </c>
      <c r="L194" t="s">
        <v>7</v>
      </c>
      <c r="M194" t="s">
        <v>7</v>
      </c>
      <c r="N194" t="s">
        <v>8</v>
      </c>
      <c r="P194">
        <f t="shared" si="915"/>
        <v>-0.59924026590693213</v>
      </c>
      <c r="Q194">
        <f t="shared" si="916"/>
        <v>-1924828661.7046521</v>
      </c>
      <c r="R194">
        <f t="shared" si="917"/>
        <v>172386640477.57144</v>
      </c>
      <c r="S194">
        <f t="shared" si="918"/>
        <v>1723866.4047757145</v>
      </c>
      <c r="T194">
        <f t="shared" si="919"/>
        <v>1723.8664047757145</v>
      </c>
    </row>
    <row r="195" spans="1:20" x14ac:dyDescent="0.25">
      <c r="A195" s="5">
        <v>44389</v>
      </c>
      <c r="B195">
        <v>2.5236999999999998E-3</v>
      </c>
      <c r="C195">
        <v>2.5517999999999999E-3</v>
      </c>
      <c r="D195">
        <v>2.4275999999999998E-3</v>
      </c>
      <c r="E195">
        <v>2.4624E-3</v>
      </c>
      <c r="F195">
        <v>3572577001</v>
      </c>
      <c r="G195">
        <v>0</v>
      </c>
      <c r="L195" t="s">
        <v>7</v>
      </c>
      <c r="M195" t="s">
        <v>7</v>
      </c>
      <c r="N195" t="s">
        <v>8</v>
      </c>
      <c r="P195">
        <f t="shared" si="915"/>
        <v>-0.4396135265700456</v>
      </c>
      <c r="Q195">
        <f t="shared" si="916"/>
        <v>-1570553174.3526473</v>
      </c>
      <c r="R195">
        <f t="shared" si="917"/>
        <v>174311469139.27609</v>
      </c>
      <c r="S195">
        <f t="shared" si="918"/>
        <v>1743114.691392761</v>
      </c>
      <c r="T195">
        <f t="shared" si="919"/>
        <v>1743.114691392761</v>
      </c>
    </row>
    <row r="196" spans="1:20" x14ac:dyDescent="0.25">
      <c r="A196" s="5">
        <v>44388</v>
      </c>
      <c r="B196">
        <v>2.5029000000000002E-3</v>
      </c>
      <c r="C196">
        <v>2.5439999999999998E-3</v>
      </c>
      <c r="D196">
        <v>2.4567E-3</v>
      </c>
      <c r="E196">
        <v>2.5236999999999998E-3</v>
      </c>
      <c r="F196">
        <v>3006460921</v>
      </c>
      <c r="G196">
        <v>0</v>
      </c>
      <c r="L196" t="s">
        <v>8</v>
      </c>
      <c r="M196" t="s">
        <v>7</v>
      </c>
      <c r="N196" t="s">
        <v>8</v>
      </c>
      <c r="P196">
        <f t="shared" si="915"/>
        <v>0.53493699885452339</v>
      </c>
      <c r="Q196">
        <f t="shared" si="916"/>
        <v>1608267182.2531464</v>
      </c>
      <c r="R196">
        <f t="shared" si="917"/>
        <v>175882022313.62875</v>
      </c>
      <c r="S196">
        <f t="shared" si="918"/>
        <v>1758820.2231362876</v>
      </c>
      <c r="T196">
        <f t="shared" si="919"/>
        <v>1758.8202231362877</v>
      </c>
    </row>
    <row r="197" spans="1:20" x14ac:dyDescent="0.25">
      <c r="A197" s="5">
        <v>44387</v>
      </c>
      <c r="B197">
        <v>2.5450999999999998E-3</v>
      </c>
      <c r="C197">
        <v>2.5885999999999999E-3</v>
      </c>
      <c r="D197">
        <v>2.4623000000000002E-3</v>
      </c>
      <c r="E197">
        <v>2.5024000000000001E-3</v>
      </c>
      <c r="F197">
        <v>4457459253</v>
      </c>
      <c r="G197">
        <v>0</v>
      </c>
      <c r="L197" t="s">
        <v>8</v>
      </c>
      <c r="M197" t="s">
        <v>7</v>
      </c>
      <c r="N197" t="s">
        <v>8</v>
      </c>
      <c r="P197">
        <f t="shared" si="915"/>
        <v>-0.36500395882818654</v>
      </c>
      <c r="Q197">
        <f t="shared" si="916"/>
        <v>-1626990273.660331</v>
      </c>
      <c r="R197">
        <f t="shared" si="917"/>
        <v>174273755131.37561</v>
      </c>
      <c r="S197">
        <f t="shared" si="918"/>
        <v>1742737.551313756</v>
      </c>
      <c r="T197">
        <f t="shared" si="919"/>
        <v>1742.7375513137561</v>
      </c>
    </row>
    <row r="198" spans="1:20" x14ac:dyDescent="0.25">
      <c r="A198" s="5">
        <v>44386</v>
      </c>
      <c r="B198">
        <v>2.4846999999999998E-3</v>
      </c>
      <c r="C198">
        <v>2.5669E-3</v>
      </c>
      <c r="D198">
        <v>2.3801999999999999E-3</v>
      </c>
      <c r="E198">
        <v>2.5447E-3</v>
      </c>
      <c r="F198">
        <v>5170324272</v>
      </c>
      <c r="G198">
        <v>0</v>
      </c>
      <c r="L198" t="s">
        <v>7</v>
      </c>
      <c r="M198" t="s">
        <v>7</v>
      </c>
      <c r="N198" t="s">
        <v>8</v>
      </c>
      <c r="P198">
        <f t="shared" si="915"/>
        <v>0.76218532404927708</v>
      </c>
      <c r="Q198">
        <f t="shared" si="916"/>
        <v>3940745280.6941628</v>
      </c>
      <c r="R198">
        <f t="shared" si="917"/>
        <v>175900745405.03595</v>
      </c>
      <c r="S198">
        <f t="shared" si="918"/>
        <v>1759007.4540503595</v>
      </c>
      <c r="T198">
        <f t="shared" si="919"/>
        <v>1759.0074540503595</v>
      </c>
    </row>
    <row r="199" spans="1:20" x14ac:dyDescent="0.25">
      <c r="A199" s="5">
        <v>44385</v>
      </c>
      <c r="B199">
        <v>2.6499000000000002E-3</v>
      </c>
      <c r="C199">
        <v>2.6562000000000001E-3</v>
      </c>
      <c r="D199">
        <v>2.4445999999999999E-3</v>
      </c>
      <c r="E199">
        <v>2.4853000000000002E-3</v>
      </c>
      <c r="F199">
        <v>5740696704</v>
      </c>
      <c r="G199">
        <v>0</v>
      </c>
      <c r="L199" t="s">
        <v>7</v>
      </c>
      <c r="M199" t="s">
        <v>7</v>
      </c>
      <c r="N199" t="s">
        <v>8</v>
      </c>
      <c r="P199">
        <f t="shared" si="915"/>
        <v>-0.61531190926275747</v>
      </c>
      <c r="Q199">
        <f t="shared" si="916"/>
        <v>-3532319049.4366589</v>
      </c>
      <c r="R199">
        <f t="shared" si="917"/>
        <v>171960000124.3418</v>
      </c>
      <c r="S199">
        <f t="shared" si="918"/>
        <v>1719600.0012434181</v>
      </c>
      <c r="T199">
        <f t="shared" si="919"/>
        <v>1719.6000012434181</v>
      </c>
    </row>
    <row r="200" spans="1:20" x14ac:dyDescent="0.25">
      <c r="A200" s="5">
        <v>44384</v>
      </c>
      <c r="B200">
        <v>2.6754000000000001E-3</v>
      </c>
      <c r="C200">
        <v>2.7200000000000002E-3</v>
      </c>
      <c r="D200">
        <v>2.6400999999999998E-3</v>
      </c>
      <c r="E200">
        <v>2.6497000000000001E-3</v>
      </c>
      <c r="F200">
        <v>5236457784</v>
      </c>
      <c r="G200">
        <v>0</v>
      </c>
      <c r="L200" t="s">
        <v>7</v>
      </c>
      <c r="M200" t="s">
        <v>8</v>
      </c>
      <c r="N200" t="s">
        <v>8</v>
      </c>
      <c r="P200">
        <f t="shared" si="915"/>
        <v>-0.75969962453065865</v>
      </c>
      <c r="Q200">
        <f t="shared" si="916"/>
        <v>-3978135012.3754449</v>
      </c>
      <c r="R200">
        <f t="shared" si="917"/>
        <v>175492319173.77844</v>
      </c>
      <c r="S200">
        <f t="shared" si="918"/>
        <v>1754923.1917377845</v>
      </c>
      <c r="T200">
        <f t="shared" si="919"/>
        <v>1754.9231917377845</v>
      </c>
    </row>
    <row r="201" spans="1:20" x14ac:dyDescent="0.25">
      <c r="A201" s="5">
        <v>44383</v>
      </c>
      <c r="B201">
        <v>2.6394999999999999E-3</v>
      </c>
      <c r="C201">
        <v>2.7399999999999998E-3</v>
      </c>
      <c r="D201">
        <v>2.6346999999999998E-3</v>
      </c>
      <c r="E201">
        <v>2.6754000000000001E-3</v>
      </c>
      <c r="F201">
        <v>4975891875</v>
      </c>
      <c r="G201">
        <v>0</v>
      </c>
      <c r="L201" t="s">
        <v>7</v>
      </c>
      <c r="M201" t="s">
        <v>8</v>
      </c>
      <c r="N201" t="s">
        <v>8</v>
      </c>
      <c r="P201">
        <f t="shared" si="915"/>
        <v>-0.22697056030388832</v>
      </c>
      <c r="Q201">
        <f t="shared" si="916"/>
        <v>-1129380966.8803153</v>
      </c>
      <c r="R201">
        <f t="shared" si="917"/>
        <v>179470454186.1539</v>
      </c>
      <c r="S201">
        <f t="shared" si="918"/>
        <v>1794704.541861539</v>
      </c>
      <c r="T201">
        <f t="shared" si="919"/>
        <v>1794.7045418615389</v>
      </c>
    </row>
    <row r="202" spans="1:20" x14ac:dyDescent="0.25">
      <c r="A202" s="5">
        <v>44382</v>
      </c>
      <c r="B202">
        <v>2.7345999999999998E-3</v>
      </c>
      <c r="C202">
        <v>2.7531000000000001E-3</v>
      </c>
      <c r="D202">
        <v>2.5986999999999998E-3</v>
      </c>
      <c r="E202">
        <v>2.6391000000000001E-3</v>
      </c>
      <c r="F202">
        <v>5236081171</v>
      </c>
      <c r="G202">
        <v>0</v>
      </c>
      <c r="L202" t="s">
        <v>7</v>
      </c>
      <c r="M202" t="s">
        <v>8</v>
      </c>
      <c r="N202" t="s">
        <v>8</v>
      </c>
      <c r="P202">
        <f t="shared" si="915"/>
        <v>-0.47668393782383084</v>
      </c>
      <c r="Q202">
        <f t="shared" si="916"/>
        <v>-2495955791.3574953</v>
      </c>
      <c r="R202">
        <f t="shared" si="917"/>
        <v>180599835153.03421</v>
      </c>
      <c r="S202">
        <f t="shared" si="918"/>
        <v>1805998.3515303421</v>
      </c>
      <c r="T202">
        <f t="shared" si="919"/>
        <v>1805.9983515303422</v>
      </c>
    </row>
    <row r="203" spans="1:20" x14ac:dyDescent="0.25">
      <c r="A203" s="5">
        <v>44381</v>
      </c>
      <c r="B203">
        <v>2.6932000000000002E-3</v>
      </c>
      <c r="C203">
        <v>2.8E-3</v>
      </c>
      <c r="D203">
        <v>2.64E-3</v>
      </c>
      <c r="E203">
        <v>2.7345999999999998E-3</v>
      </c>
      <c r="F203">
        <v>5345043621</v>
      </c>
      <c r="G203">
        <v>0</v>
      </c>
      <c r="L203" t="s">
        <v>8</v>
      </c>
      <c r="M203" t="s">
        <v>8</v>
      </c>
      <c r="N203" t="s">
        <v>8</v>
      </c>
      <c r="P203">
        <f t="shared" si="915"/>
        <v>0.18249999999999766</v>
      </c>
      <c r="Q203">
        <f t="shared" si="916"/>
        <v>975470460.83248746</v>
      </c>
      <c r="R203">
        <f t="shared" si="917"/>
        <v>183095790944.39169</v>
      </c>
      <c r="S203">
        <f t="shared" si="918"/>
        <v>1830957.909443917</v>
      </c>
      <c r="T203">
        <f t="shared" si="919"/>
        <v>1830.9579094439171</v>
      </c>
    </row>
    <row r="204" spans="1:20" x14ac:dyDescent="0.25">
      <c r="A204" s="5">
        <v>44380</v>
      </c>
      <c r="B204">
        <v>2.6616000000000001E-3</v>
      </c>
      <c r="C204">
        <v>2.7499999999999998E-3</v>
      </c>
      <c r="D204">
        <v>2.6129E-3</v>
      </c>
      <c r="E204">
        <v>2.6925999999999999E-3</v>
      </c>
      <c r="F204">
        <v>4631363470</v>
      </c>
      <c r="G204">
        <v>0</v>
      </c>
      <c r="L204" t="s">
        <v>8</v>
      </c>
      <c r="M204" t="s">
        <v>8</v>
      </c>
      <c r="N204" t="s">
        <v>8</v>
      </c>
      <c r="P204">
        <f t="shared" si="915"/>
        <v>0.16265499635302602</v>
      </c>
      <c r="Q204">
        <f t="shared" si="916"/>
        <v>753314408.32238793</v>
      </c>
      <c r="R204">
        <f t="shared" si="917"/>
        <v>182120320483.5592</v>
      </c>
      <c r="S204">
        <f t="shared" si="918"/>
        <v>1821203.2048355921</v>
      </c>
      <c r="T204">
        <f t="shared" si="919"/>
        <v>1821.203204835592</v>
      </c>
    </row>
    <row r="205" spans="1:20" x14ac:dyDescent="0.25">
      <c r="A205" s="5">
        <v>44379</v>
      </c>
      <c r="B205">
        <v>2.6342000000000002E-3</v>
      </c>
      <c r="C205">
        <v>2.6762999999999999E-3</v>
      </c>
      <c r="D205">
        <v>2.5458999999999998E-3</v>
      </c>
      <c r="E205">
        <v>2.6626000000000002E-3</v>
      </c>
      <c r="F205">
        <v>6000270689</v>
      </c>
      <c r="G205">
        <v>0</v>
      </c>
      <c r="L205" t="s">
        <v>7</v>
      </c>
      <c r="M205" t="s">
        <v>8</v>
      </c>
      <c r="N205" t="s">
        <v>8</v>
      </c>
      <c r="P205">
        <f t="shared" si="915"/>
        <v>0.78987730061350114</v>
      </c>
      <c r="Q205">
        <f t="shared" si="916"/>
        <v>4739477614.7776327</v>
      </c>
      <c r="R205">
        <f t="shared" si="917"/>
        <v>181367006075.23682</v>
      </c>
      <c r="S205">
        <f t="shared" si="918"/>
        <v>1813670.0607523681</v>
      </c>
      <c r="T205">
        <f t="shared" si="919"/>
        <v>1813.670060752368</v>
      </c>
    </row>
    <row r="206" spans="1:20" x14ac:dyDescent="0.25">
      <c r="A206" s="5">
        <v>44378</v>
      </c>
      <c r="B206">
        <v>2.7861000000000001E-3</v>
      </c>
      <c r="C206">
        <v>2.7977000000000002E-3</v>
      </c>
      <c r="D206">
        <v>2.5858000000000001E-3</v>
      </c>
      <c r="E206">
        <v>2.6335999999999998E-3</v>
      </c>
      <c r="F206">
        <v>8060498252</v>
      </c>
      <c r="G206">
        <v>0</v>
      </c>
      <c r="L206" t="s">
        <v>8</v>
      </c>
      <c r="M206" t="s">
        <v>8</v>
      </c>
      <c r="N206" t="s">
        <v>8</v>
      </c>
      <c r="P206">
        <f t="shared" si="915"/>
        <v>-0.54884379424256979</v>
      </c>
      <c r="Q206">
        <f t="shared" si="916"/>
        <v>-4423954444.1132813</v>
      </c>
      <c r="R206">
        <f t="shared" si="917"/>
        <v>176627528460.4592</v>
      </c>
      <c r="S206">
        <f t="shared" si="918"/>
        <v>1766275.284604592</v>
      </c>
      <c r="T206">
        <f t="shared" si="919"/>
        <v>1766.2752846045921</v>
      </c>
    </row>
    <row r="207" spans="1:20" x14ac:dyDescent="0.25">
      <c r="A207" s="5">
        <v>44377</v>
      </c>
      <c r="B207">
        <v>2.7875999999999999E-3</v>
      </c>
      <c r="C207">
        <v>2.8430999999999999E-3</v>
      </c>
      <c r="D207">
        <v>2.5449000000000001E-3</v>
      </c>
      <c r="E207">
        <v>2.7848999999999999E-3</v>
      </c>
      <c r="F207">
        <v>10659849370</v>
      </c>
      <c r="G207">
        <v>0</v>
      </c>
      <c r="L207" t="s">
        <v>7</v>
      </c>
      <c r="M207" t="s">
        <v>8</v>
      </c>
      <c r="N207" t="s">
        <v>8</v>
      </c>
      <c r="P207">
        <f t="shared" si="915"/>
        <v>0.60965794768611636</v>
      </c>
      <c r="Q207">
        <f t="shared" si="916"/>
        <v>6498861889.5573406</v>
      </c>
      <c r="R207">
        <f t="shared" si="917"/>
        <v>181051482904.57248</v>
      </c>
      <c r="S207">
        <f t="shared" si="918"/>
        <v>1810514.8290457248</v>
      </c>
      <c r="T207">
        <f t="shared" si="919"/>
        <v>1810.5148290457248</v>
      </c>
    </row>
    <row r="208" spans="1:20" x14ac:dyDescent="0.25">
      <c r="A208" s="5">
        <v>44376</v>
      </c>
      <c r="B208">
        <v>2.5820000000000001E-3</v>
      </c>
      <c r="C208">
        <v>2.8915999999999998E-3</v>
      </c>
      <c r="D208">
        <v>2.5684000000000002E-3</v>
      </c>
      <c r="E208">
        <v>2.7848999999999999E-3</v>
      </c>
      <c r="F208">
        <v>16487033730</v>
      </c>
      <c r="G208">
        <v>0</v>
      </c>
      <c r="L208" t="s">
        <v>8</v>
      </c>
      <c r="M208" t="s">
        <v>8</v>
      </c>
      <c r="N208" t="s">
        <v>8</v>
      </c>
      <c r="P208">
        <f t="shared" si="915"/>
        <v>0.33972772277227681</v>
      </c>
      <c r="Q208">
        <f t="shared" si="916"/>
        <v>5601102424.3626165</v>
      </c>
      <c r="R208">
        <f t="shared" si="917"/>
        <v>174552621015.01514</v>
      </c>
      <c r="S208">
        <f t="shared" si="918"/>
        <v>1745526.2101501513</v>
      </c>
      <c r="T208">
        <f t="shared" si="919"/>
        <v>1745.5262101501512</v>
      </c>
    </row>
    <row r="209" spans="1:20" x14ac:dyDescent="0.25">
      <c r="A209" s="5">
        <v>44375</v>
      </c>
      <c r="B209">
        <v>2.496E-3</v>
      </c>
      <c r="C209">
        <v>2.63E-3</v>
      </c>
      <c r="D209">
        <v>2.4388000000000001E-3</v>
      </c>
      <c r="E209">
        <v>2.5820000000000001E-3</v>
      </c>
      <c r="F209">
        <v>9812526556</v>
      </c>
      <c r="G209">
        <v>0</v>
      </c>
      <c r="L209" t="s">
        <v>8</v>
      </c>
      <c r="M209" t="s">
        <v>8</v>
      </c>
      <c r="N209" t="s">
        <v>8</v>
      </c>
      <c r="P209">
        <f t="shared" si="915"/>
        <v>0.49790794979079606</v>
      </c>
      <c r="Q209">
        <f t="shared" si="916"/>
        <v>4885734979.7657013</v>
      </c>
      <c r="R209">
        <f t="shared" si="917"/>
        <v>168951518590.65253</v>
      </c>
      <c r="S209">
        <f t="shared" si="918"/>
        <v>1689515.1859065252</v>
      </c>
      <c r="T209">
        <f t="shared" si="919"/>
        <v>1689.5151859065252</v>
      </c>
    </row>
    <row r="210" spans="1:20" x14ac:dyDescent="0.25">
      <c r="A210" s="5">
        <v>44374</v>
      </c>
      <c r="B210">
        <v>2.3906000000000001E-3</v>
      </c>
      <c r="C210">
        <v>2.5011999999999999E-3</v>
      </c>
      <c r="D210">
        <v>2.3278999999999999E-3</v>
      </c>
      <c r="E210">
        <v>2.4959000000000001E-3</v>
      </c>
      <c r="F210">
        <v>8417525669</v>
      </c>
      <c r="G210">
        <v>0</v>
      </c>
      <c r="L210" t="s">
        <v>8</v>
      </c>
      <c r="M210" t="s">
        <v>7</v>
      </c>
      <c r="N210" t="s">
        <v>8</v>
      </c>
      <c r="P210">
        <f t="shared" si="915"/>
        <v>0.93883439122908541</v>
      </c>
      <c r="Q210">
        <f t="shared" si="916"/>
        <v>7902662587.110815</v>
      </c>
      <c r="R210">
        <f t="shared" si="917"/>
        <v>164065783610.88684</v>
      </c>
      <c r="S210">
        <f t="shared" si="918"/>
        <v>1640657.8361088685</v>
      </c>
      <c r="T210">
        <f t="shared" si="919"/>
        <v>1640.6578361088684</v>
      </c>
    </row>
    <row r="211" spans="1:20" x14ac:dyDescent="0.25">
      <c r="A211" s="5">
        <v>44373</v>
      </c>
      <c r="B211">
        <v>2.3333E-3</v>
      </c>
      <c r="C211">
        <v>2.4209000000000001E-3</v>
      </c>
      <c r="D211">
        <v>2.2122000000000001E-3</v>
      </c>
      <c r="E211">
        <v>2.3906000000000001E-3</v>
      </c>
      <c r="F211">
        <v>13758277701</v>
      </c>
      <c r="G211">
        <v>0</v>
      </c>
      <c r="L211" t="s">
        <v>7</v>
      </c>
      <c r="M211" t="s">
        <v>7</v>
      </c>
      <c r="N211" t="s">
        <v>8</v>
      </c>
      <c r="P211">
        <f t="shared" si="915"/>
        <v>0.70963104935313825</v>
      </c>
      <c r="Q211">
        <f t="shared" si="916"/>
        <v>9763301042.252512</v>
      </c>
      <c r="R211">
        <f t="shared" si="917"/>
        <v>156163121023.77603</v>
      </c>
      <c r="S211">
        <f t="shared" si="918"/>
        <v>1561631.2102377603</v>
      </c>
      <c r="T211">
        <f t="shared" si="919"/>
        <v>1561.6312102377603</v>
      </c>
    </row>
    <row r="212" spans="1:20" x14ac:dyDescent="0.25">
      <c r="A212" s="5">
        <v>44372</v>
      </c>
      <c r="B212">
        <v>2.5933000000000002E-3</v>
      </c>
      <c r="C212">
        <v>2.6949999999999999E-3</v>
      </c>
      <c r="D212">
        <v>2.2783999999999999E-3</v>
      </c>
      <c r="E212">
        <v>2.3356000000000002E-3</v>
      </c>
      <c r="F212">
        <v>20326848694</v>
      </c>
      <c r="G212">
        <v>0</v>
      </c>
      <c r="L212" t="s">
        <v>8</v>
      </c>
      <c r="M212" t="s">
        <v>8</v>
      </c>
      <c r="N212" t="s">
        <v>8</v>
      </c>
      <c r="P212">
        <f t="shared" si="915"/>
        <v>-0.72539606337013773</v>
      </c>
      <c r="Q212">
        <f t="shared" si="916"/>
        <v>-14745016023.348026</v>
      </c>
      <c r="R212">
        <f t="shared" si="917"/>
        <v>146399819981.52353</v>
      </c>
      <c r="S212">
        <f t="shared" si="918"/>
        <v>1463998.1998152353</v>
      </c>
      <c r="T212">
        <f t="shared" si="919"/>
        <v>1463.9981998152352</v>
      </c>
    </row>
    <row r="213" spans="1:20" x14ac:dyDescent="0.25">
      <c r="A213" s="5">
        <v>44371</v>
      </c>
      <c r="B213">
        <v>2.3823E-3</v>
      </c>
      <c r="C213">
        <v>2.6549999999999998E-3</v>
      </c>
      <c r="D213">
        <v>2.3573999999999999E-3</v>
      </c>
      <c r="E213">
        <v>2.5918999999999998E-3</v>
      </c>
      <c r="F213">
        <v>23926321714</v>
      </c>
      <c r="G213">
        <v>0</v>
      </c>
      <c r="L213" t="s">
        <v>8</v>
      </c>
      <c r="M213" t="s">
        <v>8</v>
      </c>
      <c r="N213" t="s">
        <v>8</v>
      </c>
      <c r="P213">
        <f t="shared" si="915"/>
        <v>0.57594086021505386</v>
      </c>
      <c r="Q213">
        <f t="shared" si="916"/>
        <v>13780146309.743282</v>
      </c>
      <c r="R213">
        <f t="shared" si="917"/>
        <v>161144836004.87155</v>
      </c>
      <c r="S213">
        <f t="shared" si="918"/>
        <v>1611448.3600487155</v>
      </c>
      <c r="T213">
        <f t="shared" si="919"/>
        <v>1611.4483600487156</v>
      </c>
    </row>
    <row r="214" spans="1:20" x14ac:dyDescent="0.25">
      <c r="A214" s="5">
        <v>44370</v>
      </c>
      <c r="B214">
        <v>2.1481E-3</v>
      </c>
      <c r="C214">
        <v>2.4691000000000001E-3</v>
      </c>
      <c r="D214">
        <v>2.0151000000000001E-3</v>
      </c>
      <c r="E214">
        <v>2.3844999999999999E-3</v>
      </c>
      <c r="F214">
        <v>22167677025</v>
      </c>
      <c r="G214">
        <v>0</v>
      </c>
      <c r="L214" t="s">
        <v>8</v>
      </c>
      <c r="M214" t="s">
        <v>8</v>
      </c>
      <c r="N214" t="s">
        <v>8</v>
      </c>
      <c r="P214">
        <f t="shared" si="915"/>
        <v>0.62731277533039553</v>
      </c>
      <c r="Q214">
        <f t="shared" si="916"/>
        <v>13906066997.180595</v>
      </c>
      <c r="R214">
        <f t="shared" si="917"/>
        <v>147364689695.12827</v>
      </c>
      <c r="S214">
        <f t="shared" si="918"/>
        <v>1473646.8969512826</v>
      </c>
      <c r="T214">
        <f t="shared" si="919"/>
        <v>1473.6468969512825</v>
      </c>
    </row>
    <row r="215" spans="1:20" x14ac:dyDescent="0.25">
      <c r="A215" s="5">
        <v>44369</v>
      </c>
      <c r="B215">
        <v>2.0595000000000001E-3</v>
      </c>
      <c r="C215">
        <v>2.3322E-3</v>
      </c>
      <c r="D215">
        <v>1.7750000000000001E-3</v>
      </c>
      <c r="E215">
        <v>2.1481999999999998E-3</v>
      </c>
      <c r="F215">
        <v>48057030500</v>
      </c>
      <c r="G215">
        <v>0</v>
      </c>
      <c r="L215" t="s">
        <v>7</v>
      </c>
      <c r="M215" t="s">
        <v>7</v>
      </c>
      <c r="N215" t="s">
        <v>7</v>
      </c>
      <c r="P215">
        <f t="shared" si="915"/>
        <v>0.33955491744436406</v>
      </c>
      <c r="Q215">
        <f t="shared" si="916"/>
        <v>16318001024.048786</v>
      </c>
      <c r="R215">
        <f t="shared" si="917"/>
        <v>133458622697.94768</v>
      </c>
      <c r="S215">
        <f t="shared" si="918"/>
        <v>1334586.2269794769</v>
      </c>
      <c r="T215">
        <f t="shared" si="919"/>
        <v>1334.5862269794768</v>
      </c>
    </row>
    <row r="216" spans="1:20" x14ac:dyDescent="0.25">
      <c r="A216" s="5">
        <v>44368</v>
      </c>
      <c r="B216">
        <v>2.9145999999999998E-3</v>
      </c>
      <c r="C216">
        <v>2.9261000000000001E-3</v>
      </c>
      <c r="D216">
        <v>2.0381000000000002E-3</v>
      </c>
      <c r="E216">
        <v>2.0595000000000001E-3</v>
      </c>
      <c r="F216">
        <v>25235849061</v>
      </c>
      <c r="G216">
        <v>0</v>
      </c>
      <c r="L216" t="s">
        <v>7</v>
      </c>
      <c r="M216" t="s">
        <v>7</v>
      </c>
      <c r="N216" t="s">
        <v>7</v>
      </c>
      <c r="P216">
        <f t="shared" si="915"/>
        <v>-0.95180180180180185</v>
      </c>
      <c r="Q216">
        <f t="shared" si="916"/>
        <v>-24019526606.25811</v>
      </c>
      <c r="R216">
        <f t="shared" si="917"/>
        <v>117140621673.8989</v>
      </c>
      <c r="S216">
        <f t="shared" si="918"/>
        <v>1171406.2167389889</v>
      </c>
      <c r="T216">
        <f t="shared" si="919"/>
        <v>1171.4062167389889</v>
      </c>
    </row>
    <row r="217" spans="1:20" x14ac:dyDescent="0.25">
      <c r="A217" s="5">
        <v>44367</v>
      </c>
      <c r="B217">
        <v>2.9678E-3</v>
      </c>
      <c r="C217">
        <v>2.98E-3</v>
      </c>
      <c r="D217">
        <v>2.6535E-3</v>
      </c>
      <c r="E217">
        <v>2.9145999999999998E-3</v>
      </c>
      <c r="F217">
        <v>11374829800</v>
      </c>
      <c r="G217">
        <v>0</v>
      </c>
      <c r="L217" t="s">
        <v>7</v>
      </c>
      <c r="M217" t="s">
        <v>7</v>
      </c>
      <c r="N217" t="s">
        <v>7</v>
      </c>
      <c r="P217">
        <f t="shared" si="915"/>
        <v>0.59938744257274001</v>
      </c>
      <c r="Q217">
        <f t="shared" si="916"/>
        <v>6817930143.522192</v>
      </c>
      <c r="R217">
        <f t="shared" si="917"/>
        <v>141160148280.15701</v>
      </c>
      <c r="S217">
        <f t="shared" si="918"/>
        <v>1411601.4828015701</v>
      </c>
      <c r="T217">
        <f t="shared" si="919"/>
        <v>1411.60148280157</v>
      </c>
    </row>
    <row r="218" spans="1:20" x14ac:dyDescent="0.25">
      <c r="A218" s="5">
        <v>44366</v>
      </c>
      <c r="B218">
        <v>3.0921E-3</v>
      </c>
      <c r="C218">
        <v>3.1072000000000001E-3</v>
      </c>
      <c r="D218">
        <v>2.9675999999999999E-3</v>
      </c>
      <c r="E218">
        <v>2.9683999999999999E-3</v>
      </c>
      <c r="F218">
        <v>7108587805</v>
      </c>
      <c r="G218">
        <v>0</v>
      </c>
      <c r="L218" t="s">
        <v>7</v>
      </c>
      <c r="M218" t="s">
        <v>7</v>
      </c>
      <c r="N218" t="s">
        <v>7</v>
      </c>
      <c r="P218">
        <f t="shared" si="915"/>
        <v>-0.98853868194842376</v>
      </c>
      <c r="Q218">
        <f t="shared" si="916"/>
        <v>-7027114019.2693386</v>
      </c>
      <c r="R218">
        <f t="shared" si="917"/>
        <v>134342218136.63481</v>
      </c>
      <c r="S218">
        <f t="shared" si="918"/>
        <v>1343422.1813663482</v>
      </c>
      <c r="T218">
        <f t="shared" si="919"/>
        <v>1343.4221813663482</v>
      </c>
    </row>
    <row r="219" spans="1:20" x14ac:dyDescent="0.25">
      <c r="A219" s="5">
        <v>44365</v>
      </c>
      <c r="B219">
        <v>3.3449999999999999E-3</v>
      </c>
      <c r="C219">
        <v>3.3457000000000001E-3</v>
      </c>
      <c r="D219">
        <v>2.9932000000000001E-3</v>
      </c>
      <c r="E219">
        <v>3.091E-3</v>
      </c>
      <c r="F219">
        <v>9838358779</v>
      </c>
      <c r="G219">
        <v>0</v>
      </c>
      <c r="L219" t="s">
        <v>7</v>
      </c>
      <c r="M219" t="s">
        <v>7</v>
      </c>
      <c r="N219" t="s">
        <v>7</v>
      </c>
      <c r="P219">
        <f t="shared" si="915"/>
        <v>-0.44510638297872396</v>
      </c>
      <c r="Q219">
        <f t="shared" si="916"/>
        <v>-4379116290.5676651</v>
      </c>
      <c r="R219">
        <f t="shared" si="917"/>
        <v>141369332155.90414</v>
      </c>
      <c r="S219">
        <f t="shared" si="918"/>
        <v>1413693.3215590415</v>
      </c>
      <c r="T219">
        <f t="shared" si="919"/>
        <v>1413.6933215590416</v>
      </c>
    </row>
    <row r="220" spans="1:20" x14ac:dyDescent="0.25">
      <c r="A220" s="5">
        <v>44364</v>
      </c>
      <c r="B220">
        <v>3.3348000000000002E-3</v>
      </c>
      <c r="C220">
        <v>3.4045999999999998E-3</v>
      </c>
      <c r="D220">
        <v>3.2461E-3</v>
      </c>
      <c r="E220">
        <v>3.3454000000000001E-3</v>
      </c>
      <c r="F220">
        <v>7634334634</v>
      </c>
      <c r="G220">
        <v>0</v>
      </c>
      <c r="L220" t="s">
        <v>7</v>
      </c>
      <c r="M220" t="s">
        <v>7</v>
      </c>
      <c r="N220" t="s">
        <v>7</v>
      </c>
      <c r="P220">
        <f t="shared" si="915"/>
        <v>0.25299684542587025</v>
      </c>
      <c r="Q220">
        <f t="shared" si="916"/>
        <v>1931462579.3274658</v>
      </c>
      <c r="R220">
        <f t="shared" si="917"/>
        <v>145748448446.4718</v>
      </c>
      <c r="S220">
        <f t="shared" si="918"/>
        <v>1457484.484464718</v>
      </c>
      <c r="T220">
        <f t="shared" si="919"/>
        <v>1457.484484464718</v>
      </c>
    </row>
    <row r="221" spans="1:20" x14ac:dyDescent="0.25">
      <c r="A221" s="5">
        <v>44363</v>
      </c>
      <c r="B221">
        <v>3.4811999999999998E-3</v>
      </c>
      <c r="C221">
        <v>3.5000000000000001E-3</v>
      </c>
      <c r="D221">
        <v>3.3038E-3</v>
      </c>
      <c r="E221">
        <v>3.3332000000000001E-3</v>
      </c>
      <c r="F221">
        <v>7686571174</v>
      </c>
      <c r="G221">
        <v>0</v>
      </c>
      <c r="L221" t="s">
        <v>7</v>
      </c>
      <c r="M221" t="s">
        <v>7</v>
      </c>
      <c r="N221" t="s">
        <v>8</v>
      </c>
      <c r="P221">
        <f t="shared" si="915"/>
        <v>-0.70030581039755191</v>
      </c>
      <c r="Q221">
        <f t="shared" si="916"/>
        <v>-5382950455.186532</v>
      </c>
      <c r="R221">
        <f t="shared" si="917"/>
        <v>143816985867.14435</v>
      </c>
      <c r="S221">
        <f t="shared" si="918"/>
        <v>1438169.8586714435</v>
      </c>
      <c r="T221">
        <f t="shared" si="919"/>
        <v>1438.1698586714435</v>
      </c>
    </row>
    <row r="222" spans="1:20" x14ac:dyDescent="0.25">
      <c r="A222" s="5">
        <v>44362</v>
      </c>
      <c r="B222">
        <v>3.5381000000000002E-3</v>
      </c>
      <c r="C222">
        <v>3.581E-3</v>
      </c>
      <c r="D222">
        <v>3.4421E-3</v>
      </c>
      <c r="E222">
        <v>3.4811999999999998E-3</v>
      </c>
      <c r="F222">
        <v>7628841762</v>
      </c>
      <c r="G222">
        <v>0</v>
      </c>
      <c r="L222" t="s">
        <v>8</v>
      </c>
      <c r="M222" t="s">
        <v>7</v>
      </c>
      <c r="N222" t="s">
        <v>8</v>
      </c>
      <c r="P222">
        <f t="shared" si="915"/>
        <v>-0.43700503959683479</v>
      </c>
      <c r="Q222">
        <f t="shared" si="916"/>
        <v>-3333842296.280797</v>
      </c>
      <c r="R222">
        <f t="shared" si="917"/>
        <v>149199936322.33087</v>
      </c>
      <c r="S222">
        <f t="shared" si="918"/>
        <v>1491999.3632233087</v>
      </c>
      <c r="T222">
        <f t="shared" si="919"/>
        <v>1491.9993632233086</v>
      </c>
    </row>
    <row r="223" spans="1:20" x14ac:dyDescent="0.25">
      <c r="A223" s="5">
        <v>44361</v>
      </c>
      <c r="B223">
        <v>3.5252E-3</v>
      </c>
      <c r="C223">
        <v>3.5769999999999999E-3</v>
      </c>
      <c r="D223">
        <v>3.4388000000000001E-3</v>
      </c>
      <c r="E223">
        <v>3.5374999999999998E-3</v>
      </c>
      <c r="F223">
        <v>8412628075</v>
      </c>
      <c r="G223">
        <v>0</v>
      </c>
      <c r="L223" t="s">
        <v>8</v>
      </c>
      <c r="M223" t="s">
        <v>7</v>
      </c>
      <c r="N223" t="s">
        <v>8</v>
      </c>
      <c r="P223">
        <f t="shared" si="915"/>
        <v>0.4283646888567279</v>
      </c>
      <c r="Q223">
        <f t="shared" si="916"/>
        <v>3603672807.8147488</v>
      </c>
      <c r="R223">
        <f t="shared" si="917"/>
        <v>152533778618.61166</v>
      </c>
      <c r="S223">
        <f t="shared" si="918"/>
        <v>1525337.7861861167</v>
      </c>
      <c r="T223">
        <f t="shared" si="919"/>
        <v>1525.3377861861168</v>
      </c>
    </row>
    <row r="224" spans="1:20" x14ac:dyDescent="0.25">
      <c r="A224" s="5">
        <v>44360</v>
      </c>
      <c r="B224">
        <v>3.3639E-3</v>
      </c>
      <c r="C224">
        <v>3.6112000000000002E-3</v>
      </c>
      <c r="D224">
        <v>3.3194000000000001E-3</v>
      </c>
      <c r="E224">
        <v>3.5252E-3</v>
      </c>
      <c r="F224">
        <v>7976380082</v>
      </c>
      <c r="G224">
        <v>0</v>
      </c>
      <c r="L224" t="s">
        <v>8</v>
      </c>
      <c r="M224" t="s">
        <v>7</v>
      </c>
      <c r="N224" t="s">
        <v>8</v>
      </c>
      <c r="P224">
        <f t="shared" si="915"/>
        <v>0.41055517477724385</v>
      </c>
      <c r="Q224">
        <f t="shared" si="916"/>
        <v>3274744118.6552367</v>
      </c>
      <c r="R224">
        <f t="shared" si="917"/>
        <v>148930105810.79691</v>
      </c>
      <c r="S224">
        <f t="shared" si="918"/>
        <v>1489301.0581079691</v>
      </c>
      <c r="T224">
        <f t="shared" si="919"/>
        <v>1489.3010581079691</v>
      </c>
    </row>
    <row r="225" spans="1:20" x14ac:dyDescent="0.25">
      <c r="A225" s="5">
        <v>44359</v>
      </c>
      <c r="B225">
        <v>3.4757999999999998E-3</v>
      </c>
      <c r="C225">
        <v>3.5585E-3</v>
      </c>
      <c r="D225">
        <v>3.2929999999999999E-3</v>
      </c>
      <c r="E225">
        <v>3.3649000000000001E-3</v>
      </c>
      <c r="F225">
        <v>8257487510</v>
      </c>
      <c r="G225">
        <v>0</v>
      </c>
      <c r="L225" t="s">
        <v>7</v>
      </c>
      <c r="M225" t="s">
        <v>7</v>
      </c>
      <c r="N225" t="s">
        <v>8</v>
      </c>
      <c r="P225">
        <f t="shared" si="915"/>
        <v>-0.45838041431261661</v>
      </c>
      <c r="Q225">
        <f t="shared" si="916"/>
        <v>-3785070546.0150571</v>
      </c>
      <c r="R225">
        <f t="shared" si="917"/>
        <v>145655361692.14166</v>
      </c>
      <c r="S225">
        <f t="shared" si="918"/>
        <v>1456553.6169214167</v>
      </c>
      <c r="T225">
        <f t="shared" si="919"/>
        <v>1456.5536169214167</v>
      </c>
    </row>
    <row r="226" spans="1:20" x14ac:dyDescent="0.25">
      <c r="A226" s="5">
        <v>44358</v>
      </c>
      <c r="B226">
        <v>3.6062999999999998E-3</v>
      </c>
      <c r="C226">
        <v>3.6792000000000001E-3</v>
      </c>
      <c r="D226">
        <v>3.4305999999999998E-3</v>
      </c>
      <c r="E226">
        <v>3.4765E-3</v>
      </c>
      <c r="F226">
        <v>8639666783</v>
      </c>
      <c r="G226">
        <v>0</v>
      </c>
      <c r="L226" t="s">
        <v>7</v>
      </c>
      <c r="M226" t="s">
        <v>7</v>
      </c>
      <c r="N226" t="s">
        <v>8</v>
      </c>
      <c r="P226">
        <f t="shared" si="915"/>
        <v>-0.6307320997586473</v>
      </c>
      <c r="Q226">
        <f t="shared" si="916"/>
        <v>-5449315171.2566271</v>
      </c>
      <c r="R226">
        <f t="shared" si="917"/>
        <v>149440432238.15671</v>
      </c>
      <c r="S226">
        <f t="shared" si="918"/>
        <v>1494404.322381567</v>
      </c>
      <c r="T226">
        <f t="shared" si="919"/>
        <v>1494.404322381567</v>
      </c>
    </row>
    <row r="227" spans="1:20" x14ac:dyDescent="0.25">
      <c r="A227" s="5">
        <v>44357</v>
      </c>
      <c r="B227">
        <v>3.8080000000000002E-3</v>
      </c>
      <c r="C227">
        <v>3.82E-3</v>
      </c>
      <c r="D227">
        <v>3.5509000000000001E-3</v>
      </c>
      <c r="E227">
        <v>3.6028000000000002E-3</v>
      </c>
      <c r="F227">
        <v>11110462868</v>
      </c>
      <c r="G227">
        <v>0</v>
      </c>
      <c r="L227" t="s">
        <v>8</v>
      </c>
      <c r="M227" t="s">
        <v>7</v>
      </c>
      <c r="N227" t="s">
        <v>8</v>
      </c>
      <c r="P227">
        <f t="shared" si="915"/>
        <v>-0.61426978818283073</v>
      </c>
      <c r="Q227">
        <f t="shared" si="916"/>
        <v>-6824821672.539566</v>
      </c>
      <c r="R227">
        <f t="shared" si="917"/>
        <v>154889747409.41333</v>
      </c>
      <c r="S227">
        <f t="shared" si="918"/>
        <v>1548897.4740941334</v>
      </c>
      <c r="T227">
        <f t="shared" si="919"/>
        <v>1548.8974740941333</v>
      </c>
    </row>
    <row r="228" spans="1:20" x14ac:dyDescent="0.25">
      <c r="A228" s="5">
        <v>44356</v>
      </c>
      <c r="B228">
        <v>3.6998999999999999E-3</v>
      </c>
      <c r="C228">
        <v>3.8181000000000001E-3</v>
      </c>
      <c r="D228">
        <v>3.5054000000000001E-3</v>
      </c>
      <c r="E228">
        <v>3.8078999999999999E-3</v>
      </c>
      <c r="F228">
        <v>15860912387</v>
      </c>
      <c r="G228">
        <v>0</v>
      </c>
      <c r="L228" t="s">
        <v>8</v>
      </c>
      <c r="M228" t="s">
        <v>7</v>
      </c>
      <c r="N228" t="s">
        <v>8</v>
      </c>
      <c r="P228">
        <f t="shared" si="915"/>
        <v>0.93476175247841287</v>
      </c>
      <c r="Q228">
        <f t="shared" si="916"/>
        <v>14826174258.778687</v>
      </c>
      <c r="R228">
        <f t="shared" si="917"/>
        <v>161714569081.95291</v>
      </c>
      <c r="S228">
        <f t="shared" si="918"/>
        <v>1617145.6908195291</v>
      </c>
      <c r="T228">
        <f t="shared" si="919"/>
        <v>1617.1456908195291</v>
      </c>
    </row>
    <row r="229" spans="1:20" x14ac:dyDescent="0.25">
      <c r="A229" s="5">
        <v>44355</v>
      </c>
      <c r="B229">
        <v>3.6205999999999999E-3</v>
      </c>
      <c r="C229">
        <v>3.7975000000000001E-3</v>
      </c>
      <c r="D229">
        <v>3.3847E-3</v>
      </c>
      <c r="E229">
        <v>3.6993999999999998E-3</v>
      </c>
      <c r="F229">
        <v>19444018224</v>
      </c>
      <c r="G229">
        <v>0</v>
      </c>
      <c r="L229" t="s">
        <v>7</v>
      </c>
      <c r="M229" t="s">
        <v>7</v>
      </c>
      <c r="N229" t="s">
        <v>8</v>
      </c>
      <c r="P229">
        <f t="shared" si="915"/>
        <v>0.52470930232558011</v>
      </c>
      <c r="Q229">
        <f t="shared" si="916"/>
        <v>10202457236.720905</v>
      </c>
      <c r="R229">
        <f t="shared" si="917"/>
        <v>146888394823.17422</v>
      </c>
      <c r="S229">
        <f t="shared" si="918"/>
        <v>1468883.9482317423</v>
      </c>
      <c r="T229">
        <f t="shared" si="919"/>
        <v>1468.8839482317424</v>
      </c>
    </row>
    <row r="230" spans="1:20" x14ac:dyDescent="0.25">
      <c r="A230" s="5">
        <v>44354</v>
      </c>
      <c r="B230">
        <v>4.0270000000000002E-3</v>
      </c>
      <c r="C230">
        <v>4.0819999999999997E-3</v>
      </c>
      <c r="D230">
        <v>3.581E-3</v>
      </c>
      <c r="E230">
        <v>3.6183999999999999E-3</v>
      </c>
      <c r="F230">
        <v>12290155204</v>
      </c>
      <c r="G230">
        <v>0</v>
      </c>
      <c r="L230" t="s">
        <v>7</v>
      </c>
      <c r="M230" t="s">
        <v>7</v>
      </c>
      <c r="N230" t="s">
        <v>8</v>
      </c>
      <c r="P230">
        <f t="shared" si="915"/>
        <v>-0.85069860279441134</v>
      </c>
      <c r="Q230">
        <f t="shared" si="916"/>
        <v>-10455217860.169264</v>
      </c>
      <c r="R230">
        <f t="shared" si="917"/>
        <v>136685937586.45332</v>
      </c>
      <c r="S230">
        <f t="shared" si="918"/>
        <v>1366859.3758645332</v>
      </c>
      <c r="T230">
        <f t="shared" si="919"/>
        <v>1366.8593758645331</v>
      </c>
    </row>
    <row r="231" spans="1:20" x14ac:dyDescent="0.25">
      <c r="A231" s="5">
        <v>44353</v>
      </c>
      <c r="B231">
        <v>3.9919999999999999E-3</v>
      </c>
      <c r="C231">
        <v>4.0486999999999997E-3</v>
      </c>
      <c r="D231">
        <v>3.9487999999999997E-3</v>
      </c>
      <c r="E231">
        <v>4.0248000000000003E-3</v>
      </c>
      <c r="F231">
        <v>7622215556</v>
      </c>
      <c r="G231">
        <v>0</v>
      </c>
      <c r="L231" t="s">
        <v>7</v>
      </c>
      <c r="M231" t="s">
        <v>8</v>
      </c>
      <c r="N231" t="s">
        <v>8</v>
      </c>
      <c r="P231">
        <f t="shared" si="915"/>
        <v>0.52152152152153264</v>
      </c>
      <c r="Q231">
        <f t="shared" si="916"/>
        <v>3975149454.1302147</v>
      </c>
      <c r="R231">
        <f t="shared" si="917"/>
        <v>147141155446.62259</v>
      </c>
      <c r="S231">
        <f t="shared" si="918"/>
        <v>1471411.5544662259</v>
      </c>
      <c r="T231">
        <f t="shared" si="919"/>
        <v>1471.4115544662259</v>
      </c>
    </row>
    <row r="232" spans="1:20" x14ac:dyDescent="0.25">
      <c r="A232" s="5">
        <v>44352</v>
      </c>
      <c r="B232">
        <v>4.1944E-3</v>
      </c>
      <c r="C232">
        <v>4.3144000000000004E-3</v>
      </c>
      <c r="D232">
        <v>3.8655999999999999E-3</v>
      </c>
      <c r="E232">
        <v>3.9935999999999999E-3</v>
      </c>
      <c r="F232">
        <v>15916124400</v>
      </c>
      <c r="G232">
        <v>0</v>
      </c>
      <c r="L232" t="s">
        <v>7</v>
      </c>
      <c r="M232" t="s">
        <v>8</v>
      </c>
      <c r="N232" t="s">
        <v>8</v>
      </c>
      <c r="P232">
        <f t="shared" si="915"/>
        <v>-0.42959001782531225</v>
      </c>
      <c r="Q232">
        <f t="shared" si="916"/>
        <v>-6837408164.7058868</v>
      </c>
      <c r="R232">
        <f t="shared" si="917"/>
        <v>143166005992.49237</v>
      </c>
      <c r="S232">
        <f t="shared" si="918"/>
        <v>1431660.0599249238</v>
      </c>
      <c r="T232">
        <f t="shared" si="919"/>
        <v>1431.6600599249239</v>
      </c>
    </row>
    <row r="233" spans="1:20" x14ac:dyDescent="0.25">
      <c r="A233" s="5">
        <v>44351</v>
      </c>
      <c r="B233">
        <v>4.2674999999999996E-3</v>
      </c>
      <c r="C233">
        <v>4.5817000000000002E-3</v>
      </c>
      <c r="D233">
        <v>3.7910999999999999E-3</v>
      </c>
      <c r="E233">
        <v>4.1913999999999996E-3</v>
      </c>
      <c r="F233">
        <v>51506319018</v>
      </c>
      <c r="G233">
        <v>0</v>
      </c>
      <c r="L233" t="s">
        <v>8</v>
      </c>
      <c r="M233" t="s">
        <v>8</v>
      </c>
      <c r="N233" t="s">
        <v>8</v>
      </c>
      <c r="P233">
        <f t="shared" si="915"/>
        <v>1.2648621300277201E-2</v>
      </c>
      <c r="Q233">
        <f t="shared" si="916"/>
        <v>651483923.82994747</v>
      </c>
      <c r="R233">
        <f t="shared" si="917"/>
        <v>150003414157.19824</v>
      </c>
      <c r="S233">
        <f t="shared" si="918"/>
        <v>1500034.1415719825</v>
      </c>
      <c r="T233">
        <f t="shared" si="919"/>
        <v>1500.0341415719824</v>
      </c>
    </row>
    <row r="234" spans="1:20" x14ac:dyDescent="0.25">
      <c r="A234" s="5">
        <v>44350</v>
      </c>
      <c r="B234">
        <v>3.8310000000000002E-3</v>
      </c>
      <c r="C234">
        <v>4.3499000000000003E-3</v>
      </c>
      <c r="D234">
        <v>3.7724E-3</v>
      </c>
      <c r="E234">
        <v>4.2649999999999997E-3</v>
      </c>
      <c r="F234">
        <v>20894548783</v>
      </c>
      <c r="G234">
        <v>0</v>
      </c>
      <c r="L234" t="s">
        <v>8</v>
      </c>
      <c r="M234" t="s">
        <v>8</v>
      </c>
      <c r="N234" t="s">
        <v>8</v>
      </c>
      <c r="P234">
        <f t="shared" si="915"/>
        <v>0.70597402597402403</v>
      </c>
      <c r="Q234">
        <f t="shared" si="916"/>
        <v>14751008725.245153</v>
      </c>
      <c r="R234">
        <f t="shared" si="917"/>
        <v>149351930233.36829</v>
      </c>
      <c r="S234">
        <f t="shared" si="918"/>
        <v>1493519.3023336828</v>
      </c>
      <c r="T234">
        <f t="shared" si="919"/>
        <v>1493.5193023336828</v>
      </c>
    </row>
    <row r="235" spans="1:20" x14ac:dyDescent="0.25">
      <c r="A235" s="5">
        <v>44349</v>
      </c>
      <c r="B235">
        <v>3.7550999999999999E-3</v>
      </c>
      <c r="C235">
        <v>3.9452999999999997E-3</v>
      </c>
      <c r="D235">
        <v>3.6957000000000001E-3</v>
      </c>
      <c r="E235">
        <v>3.8310000000000002E-3</v>
      </c>
      <c r="F235">
        <v>11328792609</v>
      </c>
      <c r="G235">
        <v>0</v>
      </c>
      <c r="L235" t="s">
        <v>8</v>
      </c>
      <c r="M235" t="s">
        <v>7</v>
      </c>
      <c r="N235" t="s">
        <v>8</v>
      </c>
      <c r="P235">
        <f t="shared" si="915"/>
        <v>8.4134615384618014E-2</v>
      </c>
      <c r="Q235">
        <f t="shared" si="916"/>
        <v>953143608.93031824</v>
      </c>
      <c r="R235">
        <f t="shared" si="917"/>
        <v>134600921508.12312</v>
      </c>
      <c r="S235">
        <f t="shared" si="918"/>
        <v>1346009.2150812312</v>
      </c>
      <c r="T235">
        <f t="shared" si="919"/>
        <v>1346.0092150812311</v>
      </c>
    </row>
    <row r="236" spans="1:20" x14ac:dyDescent="0.25">
      <c r="A236" s="5">
        <v>44348</v>
      </c>
      <c r="B236">
        <v>3.8435000000000001E-3</v>
      </c>
      <c r="C236">
        <v>3.8942999999999998E-3</v>
      </c>
      <c r="D236">
        <v>3.6549999999999998E-3</v>
      </c>
      <c r="E236">
        <v>3.7550999999999999E-3</v>
      </c>
      <c r="F236">
        <v>10090662445</v>
      </c>
      <c r="G236">
        <v>0</v>
      </c>
      <c r="L236" t="s">
        <v>8</v>
      </c>
      <c r="M236" t="s">
        <v>7</v>
      </c>
      <c r="N236" t="s">
        <v>8</v>
      </c>
      <c r="P236">
        <f t="shared" si="915"/>
        <v>-0.16339323025490934</v>
      </c>
      <c r="Q236">
        <f t="shared" si="916"/>
        <v>-1648745932.3004515</v>
      </c>
      <c r="R236">
        <f t="shared" si="917"/>
        <v>133647777899.19281</v>
      </c>
      <c r="S236">
        <f t="shared" si="918"/>
        <v>1336477.7789919281</v>
      </c>
      <c r="T236">
        <f t="shared" si="919"/>
        <v>1336.4777789919281</v>
      </c>
    </row>
    <row r="237" spans="1:20" x14ac:dyDescent="0.25">
      <c r="A237" s="5">
        <v>44347</v>
      </c>
      <c r="B237">
        <v>3.6437000000000002E-3</v>
      </c>
      <c r="C237">
        <v>3.8562000000000002E-3</v>
      </c>
      <c r="D237">
        <v>3.4938999999999999E-3</v>
      </c>
      <c r="E237">
        <v>3.8417999999999998E-3</v>
      </c>
      <c r="F237">
        <v>11775118218</v>
      </c>
      <c r="G237">
        <v>0</v>
      </c>
      <c r="L237" t="s">
        <v>8</v>
      </c>
      <c r="M237" t="s">
        <v>7</v>
      </c>
      <c r="N237" t="s">
        <v>8</v>
      </c>
      <c r="P237">
        <f t="shared" si="915"/>
        <v>0.92050786640905136</v>
      </c>
      <c r="Q237">
        <f t="shared" si="916"/>
        <v>10839088947.565531</v>
      </c>
      <c r="R237">
        <f t="shared" si="917"/>
        <v>135296523831.49326</v>
      </c>
      <c r="S237">
        <f t="shared" si="918"/>
        <v>1352965.2383149324</v>
      </c>
      <c r="T237">
        <f t="shared" si="919"/>
        <v>1352.9652383149325</v>
      </c>
    </row>
    <row r="238" spans="1:20" x14ac:dyDescent="0.25">
      <c r="A238" s="5">
        <v>44346</v>
      </c>
      <c r="B238">
        <v>3.5368000000000001E-3</v>
      </c>
      <c r="C238">
        <v>3.7469000000000001E-3</v>
      </c>
      <c r="D238">
        <v>3.3289000000000001E-3</v>
      </c>
      <c r="E238">
        <v>3.6435E-3</v>
      </c>
      <c r="F238">
        <v>13748670008</v>
      </c>
      <c r="G238">
        <v>0</v>
      </c>
      <c r="L238" t="s">
        <v>7</v>
      </c>
      <c r="M238" t="s">
        <v>7</v>
      </c>
      <c r="N238" t="s">
        <v>8</v>
      </c>
      <c r="P238">
        <f t="shared" si="915"/>
        <v>0.50526315789473675</v>
      </c>
      <c r="Q238">
        <f t="shared" si="916"/>
        <v>6946696425.0947351</v>
      </c>
      <c r="R238">
        <f t="shared" si="917"/>
        <v>124457434883.92772</v>
      </c>
      <c r="S238">
        <f t="shared" si="918"/>
        <v>1244574.3488392772</v>
      </c>
      <c r="T238">
        <f t="shared" si="919"/>
        <v>1244.5743488392773</v>
      </c>
    </row>
    <row r="239" spans="1:20" x14ac:dyDescent="0.25">
      <c r="A239" s="5">
        <v>44345</v>
      </c>
      <c r="B239">
        <v>3.7372E-3</v>
      </c>
      <c r="C239">
        <v>3.8846000000000002E-3</v>
      </c>
      <c r="D239">
        <v>3.3888999999999998E-3</v>
      </c>
      <c r="E239">
        <v>3.5328E-3</v>
      </c>
      <c r="F239">
        <v>12406843605</v>
      </c>
      <c r="G239">
        <v>0</v>
      </c>
      <c r="L239" t="s">
        <v>7</v>
      </c>
      <c r="M239" t="s">
        <v>7</v>
      </c>
      <c r="N239" t="s">
        <v>8</v>
      </c>
      <c r="P239">
        <f t="shared" si="915"/>
        <v>-0.41940689933427444</v>
      </c>
      <c r="Q239">
        <f t="shared" si="916"/>
        <v>-5203515806.8983212</v>
      </c>
      <c r="R239">
        <f t="shared" si="917"/>
        <v>117510738458.83298</v>
      </c>
      <c r="S239">
        <f t="shared" si="918"/>
        <v>1175107.3845883298</v>
      </c>
      <c r="T239">
        <f t="shared" si="919"/>
        <v>1175.1073845883298</v>
      </c>
    </row>
    <row r="240" spans="1:20" x14ac:dyDescent="0.25">
      <c r="A240" s="5">
        <v>44344</v>
      </c>
      <c r="B240">
        <v>4.1894999999999996E-3</v>
      </c>
      <c r="C240">
        <v>4.2405000000000003E-3</v>
      </c>
      <c r="D240">
        <v>3.6028000000000002E-3</v>
      </c>
      <c r="E240">
        <v>3.7385999999999999E-3</v>
      </c>
      <c r="F240">
        <v>20375879141</v>
      </c>
      <c r="G240">
        <v>0</v>
      </c>
      <c r="L240" t="s">
        <v>7</v>
      </c>
      <c r="M240" t="s">
        <v>7</v>
      </c>
      <c r="N240" t="s">
        <v>8</v>
      </c>
      <c r="P240">
        <f t="shared" si="915"/>
        <v>-0.57409440175631277</v>
      </c>
      <c r="Q240">
        <f t="shared" si="916"/>
        <v>-11697678145.711327</v>
      </c>
      <c r="R240">
        <f t="shared" si="917"/>
        <v>122714254265.73129</v>
      </c>
      <c r="S240">
        <f t="shared" si="918"/>
        <v>1227142.5426573129</v>
      </c>
      <c r="T240">
        <f t="shared" si="919"/>
        <v>1227.142542657313</v>
      </c>
    </row>
    <row r="241" spans="1:20" x14ac:dyDescent="0.25">
      <c r="A241" s="5">
        <v>44343</v>
      </c>
      <c r="B241">
        <v>4.4038999999999997E-3</v>
      </c>
      <c r="C241">
        <v>4.4527999999999998E-3</v>
      </c>
      <c r="D241">
        <v>4.0403000000000001E-3</v>
      </c>
      <c r="E241">
        <v>4.1895999999999999E-3</v>
      </c>
      <c r="F241">
        <v>17720963665</v>
      </c>
      <c r="G241">
        <v>0</v>
      </c>
      <c r="L241" t="s">
        <v>7</v>
      </c>
      <c r="M241" t="s">
        <v>8</v>
      </c>
      <c r="N241" t="s">
        <v>8</v>
      </c>
      <c r="P241">
        <f t="shared" si="915"/>
        <v>-0.2761212121212126</v>
      </c>
      <c r="Q241">
        <f t="shared" si="916"/>
        <v>-4893133967.135766</v>
      </c>
      <c r="R241">
        <f t="shared" si="917"/>
        <v>134411932411.44263</v>
      </c>
      <c r="S241">
        <f t="shared" si="918"/>
        <v>1344119.3241144263</v>
      </c>
      <c r="T241">
        <f t="shared" si="919"/>
        <v>1344.1193241144263</v>
      </c>
    </row>
    <row r="242" spans="1:20" x14ac:dyDescent="0.25">
      <c r="A242" s="5">
        <v>44342</v>
      </c>
      <c r="B242">
        <v>4.0374E-3</v>
      </c>
      <c r="C242">
        <v>4.6150000000000002E-3</v>
      </c>
      <c r="D242">
        <v>3.9199999999999999E-3</v>
      </c>
      <c r="E242">
        <v>4.4028000000000001E-3</v>
      </c>
      <c r="F242">
        <v>30287199308</v>
      </c>
      <c r="G242">
        <v>0</v>
      </c>
      <c r="L242" t="s">
        <v>8</v>
      </c>
      <c r="M242" t="s">
        <v>8</v>
      </c>
      <c r="N242" t="s">
        <v>8</v>
      </c>
      <c r="P242">
        <f t="shared" si="915"/>
        <v>0.3893525179856116</v>
      </c>
      <c r="Q242">
        <f t="shared" si="916"/>
        <v>11792397313.301874</v>
      </c>
      <c r="R242">
        <f t="shared" si="917"/>
        <v>139305066378.5784</v>
      </c>
      <c r="S242">
        <f t="shared" si="918"/>
        <v>1393050.663785784</v>
      </c>
      <c r="T242">
        <f t="shared" si="919"/>
        <v>1393.0506637857841</v>
      </c>
    </row>
    <row r="243" spans="1:20" x14ac:dyDescent="0.25">
      <c r="A243" s="5">
        <v>44341</v>
      </c>
      <c r="B243">
        <v>3.82E-3</v>
      </c>
      <c r="C243">
        <v>4.3579999999999999E-3</v>
      </c>
      <c r="D243">
        <v>3.7152000000000001E-3</v>
      </c>
      <c r="E243">
        <v>4.0401999999999999E-3</v>
      </c>
      <c r="F243">
        <v>40887341852</v>
      </c>
      <c r="G243">
        <v>0</v>
      </c>
      <c r="L243" t="s">
        <v>8</v>
      </c>
      <c r="M243" t="s">
        <v>8</v>
      </c>
      <c r="N243" t="s">
        <v>8</v>
      </c>
      <c r="P243">
        <f t="shared" si="915"/>
        <v>1.1200995644056851E-2</v>
      </c>
      <c r="Q243">
        <f t="shared" si="916"/>
        <v>457978937.98131537</v>
      </c>
      <c r="R243">
        <f t="shared" si="917"/>
        <v>127512669065.27654</v>
      </c>
      <c r="S243">
        <f t="shared" si="918"/>
        <v>1275126.6906527653</v>
      </c>
      <c r="T243">
        <f t="shared" si="919"/>
        <v>1275.1266906527653</v>
      </c>
    </row>
    <row r="244" spans="1:20" x14ac:dyDescent="0.25">
      <c r="A244" s="5">
        <v>44340</v>
      </c>
      <c r="B244">
        <v>3.2212E-3</v>
      </c>
      <c r="C244">
        <v>3.8214999999999998E-3</v>
      </c>
      <c r="D244">
        <v>2.9840000000000001E-3</v>
      </c>
      <c r="E244">
        <v>3.82E-3</v>
      </c>
      <c r="F244">
        <v>31041320979</v>
      </c>
      <c r="G244">
        <v>0</v>
      </c>
      <c r="L244" t="s">
        <v>8</v>
      </c>
      <c r="M244" t="s">
        <v>8</v>
      </c>
      <c r="N244" t="s">
        <v>8</v>
      </c>
      <c r="P244">
        <f t="shared" si="915"/>
        <v>0.99641791044776173</v>
      </c>
      <c r="Q244">
        <f t="shared" si="916"/>
        <v>30930128187.433449</v>
      </c>
      <c r="R244">
        <f t="shared" si="917"/>
        <v>127054690127.29523</v>
      </c>
      <c r="S244">
        <f t="shared" si="918"/>
        <v>1270546.9012729523</v>
      </c>
      <c r="T244">
        <f t="shared" si="919"/>
        <v>1270.5469012729523</v>
      </c>
    </row>
    <row r="245" spans="1:20" x14ac:dyDescent="0.25">
      <c r="A245" s="5">
        <v>44339</v>
      </c>
      <c r="B245">
        <v>3.7493000000000001E-3</v>
      </c>
      <c r="C245">
        <v>3.8709E-3</v>
      </c>
      <c r="D245">
        <v>2.6743000000000001E-3</v>
      </c>
      <c r="E245">
        <v>3.2220999999999999E-3</v>
      </c>
      <c r="F245">
        <v>35097387858</v>
      </c>
      <c r="G245">
        <v>0</v>
      </c>
      <c r="L245" t="s">
        <v>7</v>
      </c>
      <c r="M245" t="s">
        <v>7</v>
      </c>
      <c r="N245" t="s">
        <v>7</v>
      </c>
      <c r="P245">
        <f t="shared" si="915"/>
        <v>-8.4405816480027082E-2</v>
      </c>
      <c r="Q245">
        <f t="shared" si="916"/>
        <v>-2962423678.4706788</v>
      </c>
      <c r="R245">
        <f t="shared" si="917"/>
        <v>96124561939.861771</v>
      </c>
      <c r="S245">
        <f t="shared" si="918"/>
        <v>961245.61939861765</v>
      </c>
      <c r="T245">
        <f t="shared" si="919"/>
        <v>961.24561939861769</v>
      </c>
    </row>
    <row r="246" spans="1:20" x14ac:dyDescent="0.25">
      <c r="A246" s="5">
        <v>44338</v>
      </c>
      <c r="B246">
        <v>4.0286999999999996E-3</v>
      </c>
      <c r="C246">
        <v>4.0588000000000004E-3</v>
      </c>
      <c r="D246">
        <v>3.5309999999999999E-3</v>
      </c>
      <c r="E246">
        <v>3.7469999999999999E-3</v>
      </c>
      <c r="F246">
        <v>18770554196</v>
      </c>
      <c r="G246">
        <v>0</v>
      </c>
      <c r="L246" t="s">
        <v>7</v>
      </c>
      <c r="M246" t="s">
        <v>7</v>
      </c>
      <c r="N246" t="s">
        <v>7</v>
      </c>
      <c r="P246">
        <f t="shared" si="915"/>
        <v>-0.18150814702538912</v>
      </c>
      <c r="Q246">
        <f t="shared" si="916"/>
        <v>-3407008510.7556024</v>
      </c>
      <c r="R246">
        <f t="shared" si="917"/>
        <v>99086985618.332443</v>
      </c>
      <c r="S246">
        <f t="shared" si="918"/>
        <v>990869.85618332447</v>
      </c>
      <c r="T246">
        <f t="shared" si="919"/>
        <v>990.86985618332449</v>
      </c>
    </row>
    <row r="247" spans="1:20" x14ac:dyDescent="0.25">
      <c r="A247" s="5">
        <v>44337</v>
      </c>
      <c r="B247">
        <v>4.3039999999999997E-3</v>
      </c>
      <c r="C247">
        <v>4.9404000000000002E-3</v>
      </c>
      <c r="D247">
        <v>3.5140000000000002E-3</v>
      </c>
      <c r="E247">
        <v>4.0286999999999996E-3</v>
      </c>
      <c r="F247">
        <v>38199374920</v>
      </c>
      <c r="G247">
        <v>0</v>
      </c>
      <c r="L247" t="s">
        <v>8</v>
      </c>
      <c r="M247" t="s">
        <v>8</v>
      </c>
      <c r="N247" t="s">
        <v>8</v>
      </c>
      <c r="P247">
        <f t="shared" si="915"/>
        <v>-0.27832305103757787</v>
      </c>
      <c r="Q247">
        <f t="shared" si="916"/>
        <v>-10631766575.462732</v>
      </c>
      <c r="R247">
        <f t="shared" si="917"/>
        <v>102493994129.08804</v>
      </c>
      <c r="S247">
        <f t="shared" si="918"/>
        <v>1024939.9412908804</v>
      </c>
      <c r="T247">
        <f t="shared" si="919"/>
        <v>1024.9399412908804</v>
      </c>
    </row>
    <row r="248" spans="1:20" x14ac:dyDescent="0.25">
      <c r="A248" s="5">
        <v>44336</v>
      </c>
      <c r="B248">
        <v>3.6930000000000001E-3</v>
      </c>
      <c r="C248">
        <v>4.6271999999999997E-3</v>
      </c>
      <c r="D248">
        <v>3.32E-3</v>
      </c>
      <c r="E248">
        <v>4.3045999999999996E-3</v>
      </c>
      <c r="F248">
        <v>37179522613</v>
      </c>
      <c r="G248">
        <v>0</v>
      </c>
      <c r="L248" t="s">
        <v>8</v>
      </c>
      <c r="M248" t="s">
        <v>8</v>
      </c>
      <c r="N248" t="s">
        <v>8</v>
      </c>
      <c r="P248">
        <f t="shared" si="915"/>
        <v>0.50642594859241097</v>
      </c>
      <c r="Q248">
        <f t="shared" si="916"/>
        <v>18828675007.501518</v>
      </c>
      <c r="R248">
        <f t="shared" si="917"/>
        <v>113125760704.55078</v>
      </c>
      <c r="S248">
        <f t="shared" si="918"/>
        <v>1131257.6070455078</v>
      </c>
      <c r="T248">
        <f t="shared" si="919"/>
        <v>1131.2576070455077</v>
      </c>
    </row>
    <row r="249" spans="1:20" x14ac:dyDescent="0.25">
      <c r="A249" s="5">
        <v>44335</v>
      </c>
      <c r="B249">
        <v>5.4270000000000004E-3</v>
      </c>
      <c r="C249">
        <v>5.4976000000000001E-3</v>
      </c>
      <c r="D249">
        <v>2.5606000000000001E-3</v>
      </c>
      <c r="E249">
        <v>3.6936999999999998E-3</v>
      </c>
      <c r="F249">
        <v>61473473261</v>
      </c>
      <c r="G249">
        <v>0</v>
      </c>
      <c r="L249" t="s">
        <v>7</v>
      </c>
      <c r="M249" t="s">
        <v>7</v>
      </c>
      <c r="N249" t="s">
        <v>7</v>
      </c>
      <c r="P249">
        <f t="shared" si="915"/>
        <v>-0.22839632277834543</v>
      </c>
      <c r="Q249">
        <f t="shared" si="916"/>
        <v>-14040315241.225344</v>
      </c>
      <c r="R249">
        <f t="shared" si="917"/>
        <v>94297085697.049255</v>
      </c>
      <c r="S249">
        <f t="shared" si="918"/>
        <v>942970.85697049252</v>
      </c>
      <c r="T249">
        <f t="shared" si="919"/>
        <v>942.97085697049249</v>
      </c>
    </row>
    <row r="250" spans="1:20" x14ac:dyDescent="0.25">
      <c r="A250" s="5">
        <v>44334</v>
      </c>
      <c r="B250">
        <v>5.3661999999999998E-3</v>
      </c>
      <c r="C250">
        <v>5.6664000000000003E-3</v>
      </c>
      <c r="D250">
        <v>5.2905000000000001E-3</v>
      </c>
      <c r="E250">
        <v>5.4270999999999998E-3</v>
      </c>
      <c r="F250">
        <v>15726873632</v>
      </c>
      <c r="G250">
        <v>0</v>
      </c>
      <c r="L250" t="s">
        <v>8</v>
      </c>
      <c r="M250" t="s">
        <v>7</v>
      </c>
      <c r="N250" t="s">
        <v>7</v>
      </c>
      <c r="P250">
        <f t="shared" si="915"/>
        <v>-0.27321096036180009</v>
      </c>
      <c r="Q250">
        <f t="shared" si="916"/>
        <v>-4296754248.4873915</v>
      </c>
      <c r="R250">
        <f t="shared" si="917"/>
        <v>108337400938.2746</v>
      </c>
      <c r="S250">
        <f t="shared" si="918"/>
        <v>1083374.0093827459</v>
      </c>
      <c r="T250">
        <f t="shared" si="919"/>
        <v>1083.374009382746</v>
      </c>
    </row>
    <row r="251" spans="1:20" x14ac:dyDescent="0.25">
      <c r="A251" s="5">
        <v>44333</v>
      </c>
      <c r="B251">
        <v>5.7803999999999998E-3</v>
      </c>
      <c r="C251">
        <v>5.7809000000000003E-3</v>
      </c>
      <c r="D251">
        <v>5.0623999999999999E-3</v>
      </c>
      <c r="E251">
        <v>5.3690999999999999E-3</v>
      </c>
      <c r="F251">
        <v>26105620570</v>
      </c>
      <c r="G251">
        <v>0</v>
      </c>
      <c r="L251" t="s">
        <v>7</v>
      </c>
      <c r="M251" t="s">
        <v>7</v>
      </c>
      <c r="N251" t="s">
        <v>7</v>
      </c>
      <c r="P251">
        <f t="shared" si="915"/>
        <v>-0.14627696590118341</v>
      </c>
      <c r="Q251">
        <f t="shared" si="916"/>
        <v>-3818650969.9471221</v>
      </c>
      <c r="R251">
        <f t="shared" si="917"/>
        <v>112634155186.76199</v>
      </c>
      <c r="S251">
        <f t="shared" si="918"/>
        <v>1126341.5518676199</v>
      </c>
      <c r="T251">
        <f t="shared" si="919"/>
        <v>1126.34155186762</v>
      </c>
    </row>
    <row r="252" spans="1:20" x14ac:dyDescent="0.25">
      <c r="A252" s="5">
        <v>44332</v>
      </c>
      <c r="B252">
        <v>5.7438999999999997E-3</v>
      </c>
      <c r="C252">
        <v>6.2500000000000003E-3</v>
      </c>
      <c r="D252">
        <v>5.5100000000000001E-3</v>
      </c>
      <c r="E252">
        <v>5.7793999999999996E-3</v>
      </c>
      <c r="F252">
        <v>25219503757</v>
      </c>
      <c r="G252">
        <v>0</v>
      </c>
      <c r="L252" t="s">
        <v>7</v>
      </c>
      <c r="M252" t="s">
        <v>8</v>
      </c>
      <c r="N252" t="s">
        <v>7</v>
      </c>
      <c r="P252">
        <f t="shared" si="915"/>
        <v>-0.27189189189189344</v>
      </c>
      <c r="Q252">
        <f t="shared" si="916"/>
        <v>-6856978589.0654449</v>
      </c>
      <c r="R252">
        <f t="shared" si="917"/>
        <v>116452806156.70912</v>
      </c>
      <c r="S252">
        <f t="shared" si="918"/>
        <v>1164528.0615670912</v>
      </c>
      <c r="T252">
        <f t="shared" si="919"/>
        <v>1164.5280615670911</v>
      </c>
    </row>
    <row r="253" spans="1:20" x14ac:dyDescent="0.25">
      <c r="A253" s="5">
        <v>44331</v>
      </c>
      <c r="B253">
        <v>6.1161000000000002E-3</v>
      </c>
      <c r="C253">
        <v>6.1546999999999999E-3</v>
      </c>
      <c r="D253">
        <v>5.6727000000000001E-3</v>
      </c>
      <c r="E253">
        <v>5.7396000000000001E-3</v>
      </c>
      <c r="F253">
        <v>20182989906</v>
      </c>
      <c r="G253">
        <v>0</v>
      </c>
      <c r="L253" t="s">
        <v>7</v>
      </c>
      <c r="M253" t="s">
        <v>8</v>
      </c>
      <c r="N253" t="s">
        <v>7</v>
      </c>
      <c r="P253">
        <f t="shared" ref="P253:P316" si="920">IF(C253=D253,0,((E253-D253)-(C253-E253))/(C253-D253))</f>
        <v>-0.72240663900414948</v>
      </c>
      <c r="Q253">
        <f t="shared" ref="Q253:Q316" si="921">F253*P253</f>
        <v>-14580325903.048134</v>
      </c>
      <c r="R253">
        <f t="shared" ref="R253:R316" si="922">R254+Q253</f>
        <v>123309784745.77457</v>
      </c>
      <c r="S253">
        <f t="shared" ref="S253:S316" si="923">R253/100000</f>
        <v>1233097.8474577456</v>
      </c>
      <c r="T253">
        <f t="shared" ref="T253:T316" si="924">S253/1000</f>
        <v>1233.0978474577455</v>
      </c>
    </row>
    <row r="254" spans="1:20" x14ac:dyDescent="0.25">
      <c r="A254" s="5">
        <v>44330</v>
      </c>
      <c r="B254">
        <v>5.9603E-3</v>
      </c>
      <c r="C254">
        <v>6.2729999999999999E-3</v>
      </c>
      <c r="D254">
        <v>5.8221000000000002E-3</v>
      </c>
      <c r="E254">
        <v>6.1159999999999999E-3</v>
      </c>
      <c r="F254">
        <v>20980519862</v>
      </c>
      <c r="G254">
        <v>0</v>
      </c>
      <c r="L254" t="s">
        <v>8</v>
      </c>
      <c r="M254" t="s">
        <v>8</v>
      </c>
      <c r="N254" t="s">
        <v>7</v>
      </c>
      <c r="P254">
        <f t="shared" si="920"/>
        <v>0.30361499223774624</v>
      </c>
      <c r="Q254">
        <f t="shared" si="921"/>
        <v>6370000375.0450106</v>
      </c>
      <c r="R254">
        <f t="shared" si="922"/>
        <v>137890110648.82269</v>
      </c>
      <c r="S254">
        <f t="shared" si="923"/>
        <v>1378901.1064882269</v>
      </c>
      <c r="T254">
        <f t="shared" si="924"/>
        <v>1378.901106488227</v>
      </c>
    </row>
    <row r="255" spans="1:20" x14ac:dyDescent="0.25">
      <c r="A255" s="5">
        <v>44329</v>
      </c>
      <c r="B255">
        <v>5.6901E-3</v>
      </c>
      <c r="C255">
        <v>6.1942000000000004E-3</v>
      </c>
      <c r="D255">
        <v>5.1000000000000004E-3</v>
      </c>
      <c r="E255">
        <v>5.9645000000000002E-3</v>
      </c>
      <c r="F255">
        <v>37715952657</v>
      </c>
      <c r="G255">
        <v>0</v>
      </c>
      <c r="L255" t="s">
        <v>7</v>
      </c>
      <c r="M255" t="s">
        <v>7</v>
      </c>
      <c r="N255" t="s">
        <v>7</v>
      </c>
      <c r="P255">
        <f t="shared" si="920"/>
        <v>0.58014988119173783</v>
      </c>
      <c r="Q255">
        <f t="shared" si="921"/>
        <v>21880905452.99176</v>
      </c>
      <c r="R255">
        <f t="shared" si="922"/>
        <v>131520110273.77768</v>
      </c>
      <c r="S255">
        <f t="shared" si="923"/>
        <v>1315201.1027377767</v>
      </c>
      <c r="T255">
        <f t="shared" si="924"/>
        <v>1315.2011027377766</v>
      </c>
    </row>
    <row r="256" spans="1:20" x14ac:dyDescent="0.25">
      <c r="A256" s="5">
        <v>44328</v>
      </c>
      <c r="B256">
        <v>6.8558999999999998E-3</v>
      </c>
      <c r="C256">
        <v>7.0000000000000001E-3</v>
      </c>
      <c r="D256">
        <v>5.4999999999999997E-3</v>
      </c>
      <c r="E256">
        <v>5.6809E-3</v>
      </c>
      <c r="F256">
        <v>29081960821</v>
      </c>
      <c r="G256">
        <v>0</v>
      </c>
      <c r="L256" t="s">
        <v>7</v>
      </c>
      <c r="M256" t="s">
        <v>7</v>
      </c>
      <c r="N256" t="s">
        <v>7</v>
      </c>
      <c r="P256">
        <f t="shared" si="920"/>
        <v>-0.75879999999999959</v>
      </c>
      <c r="Q256">
        <f t="shared" si="921"/>
        <v>-22067391870.974789</v>
      </c>
      <c r="R256">
        <f t="shared" si="922"/>
        <v>109639204820.78592</v>
      </c>
      <c r="S256">
        <f t="shared" si="923"/>
        <v>1096392.0482078593</v>
      </c>
      <c r="T256">
        <f t="shared" si="924"/>
        <v>1096.3920482078593</v>
      </c>
    </row>
    <row r="257" spans="1:20" x14ac:dyDescent="0.25">
      <c r="A257" s="5">
        <v>44327</v>
      </c>
      <c r="B257">
        <v>6.3965999999999997E-3</v>
      </c>
      <c r="C257">
        <v>6.9686000000000001E-3</v>
      </c>
      <c r="D257">
        <v>6.2521E-3</v>
      </c>
      <c r="E257">
        <v>6.8547E-3</v>
      </c>
      <c r="F257">
        <v>31276364671</v>
      </c>
      <c r="G257">
        <v>0</v>
      </c>
      <c r="L257" t="s">
        <v>8</v>
      </c>
      <c r="M257" t="s">
        <v>8</v>
      </c>
      <c r="N257" t="s">
        <v>7</v>
      </c>
      <c r="P257">
        <f t="shared" si="920"/>
        <v>0.68206559665038358</v>
      </c>
      <c r="Q257">
        <f t="shared" si="921"/>
        <v>21332532330.380592</v>
      </c>
      <c r="R257">
        <f t="shared" si="922"/>
        <v>131706596691.76071</v>
      </c>
      <c r="S257">
        <f t="shared" si="923"/>
        <v>1317065.966917607</v>
      </c>
      <c r="T257">
        <f t="shared" si="924"/>
        <v>1317.0659669176071</v>
      </c>
    </row>
    <row r="258" spans="1:20" x14ac:dyDescent="0.25">
      <c r="A258" s="5">
        <v>44326</v>
      </c>
      <c r="B258">
        <v>7.3598999999999999E-3</v>
      </c>
      <c r="C258">
        <v>7.4444000000000003E-3</v>
      </c>
      <c r="D258">
        <v>5.8060999999999998E-3</v>
      </c>
      <c r="E258">
        <v>6.3965999999999997E-3</v>
      </c>
      <c r="F258">
        <v>47526864539</v>
      </c>
      <c r="G258">
        <v>0</v>
      </c>
      <c r="L258" t="s">
        <v>7</v>
      </c>
      <c r="M258" t="s">
        <v>7</v>
      </c>
      <c r="N258" t="s">
        <v>7</v>
      </c>
      <c r="P258">
        <f t="shared" si="920"/>
        <v>-0.27913080632362852</v>
      </c>
      <c r="Q258">
        <f t="shared" si="921"/>
        <v>-13266212020.804937</v>
      </c>
      <c r="R258">
        <f t="shared" si="922"/>
        <v>110374064361.38013</v>
      </c>
      <c r="S258">
        <f t="shared" si="923"/>
        <v>1103740.6436138013</v>
      </c>
      <c r="T258">
        <f t="shared" si="924"/>
        <v>1103.7406436138012</v>
      </c>
    </row>
    <row r="259" spans="1:20" x14ac:dyDescent="0.25">
      <c r="A259" s="5">
        <v>44325</v>
      </c>
      <c r="B259">
        <v>7.4779E-3</v>
      </c>
      <c r="C259">
        <v>7.6734999999999998E-3</v>
      </c>
      <c r="D259">
        <v>6.7999999999999996E-3</v>
      </c>
      <c r="E259">
        <v>7.3581000000000002E-3</v>
      </c>
      <c r="F259">
        <v>51367203089</v>
      </c>
      <c r="G259">
        <v>0</v>
      </c>
      <c r="L259" t="s">
        <v>7</v>
      </c>
      <c r="M259" t="s">
        <v>7</v>
      </c>
      <c r="N259" t="s">
        <v>8</v>
      </c>
      <c r="P259">
        <f t="shared" si="920"/>
        <v>0.27784773898111165</v>
      </c>
      <c r="Q259">
        <f t="shared" si="921"/>
        <v>14272261236.062223</v>
      </c>
      <c r="R259">
        <f t="shared" si="922"/>
        <v>123640276382.18506</v>
      </c>
      <c r="S259">
        <f t="shared" si="923"/>
        <v>1236402.7638218505</v>
      </c>
      <c r="T259">
        <f t="shared" si="924"/>
        <v>1236.4027638218506</v>
      </c>
    </row>
    <row r="260" spans="1:20" x14ac:dyDescent="0.25">
      <c r="A260" s="5">
        <v>44324</v>
      </c>
      <c r="B260">
        <v>7.7277999999999999E-3</v>
      </c>
      <c r="C260">
        <v>8.2000000000000007E-3</v>
      </c>
      <c r="D260">
        <v>7.3000000000000001E-3</v>
      </c>
      <c r="E260">
        <v>7.4779E-3</v>
      </c>
      <c r="F260">
        <v>47807460686</v>
      </c>
      <c r="G260">
        <v>0</v>
      </c>
      <c r="L260" t="s">
        <v>7</v>
      </c>
      <c r="M260" t="s">
        <v>7</v>
      </c>
      <c r="N260" t="s">
        <v>8</v>
      </c>
      <c r="P260">
        <f t="shared" si="920"/>
        <v>-0.60466666666666713</v>
      </c>
      <c r="Q260">
        <f t="shared" si="921"/>
        <v>-28907577894.801357</v>
      </c>
      <c r="R260">
        <f t="shared" si="922"/>
        <v>109368015146.12283</v>
      </c>
      <c r="S260">
        <f t="shared" si="923"/>
        <v>1093680.1514612283</v>
      </c>
      <c r="T260">
        <f t="shared" si="924"/>
        <v>1093.6801514612282</v>
      </c>
    </row>
    <row r="261" spans="1:20" x14ac:dyDescent="0.25">
      <c r="A261" s="5">
        <v>44323</v>
      </c>
      <c r="B261">
        <v>7.9000000000000008E-3</v>
      </c>
      <c r="C261">
        <v>9.2200000000000008E-3</v>
      </c>
      <c r="D261">
        <v>7.3172000000000003E-3</v>
      </c>
      <c r="E261">
        <v>7.7277999999999999E-3</v>
      </c>
      <c r="F261">
        <v>140359587799</v>
      </c>
      <c r="G261">
        <v>0</v>
      </c>
      <c r="L261" t="s">
        <v>8</v>
      </c>
      <c r="M261" t="s">
        <v>8</v>
      </c>
      <c r="N261" t="s">
        <v>8</v>
      </c>
      <c r="P261">
        <f t="shared" si="920"/>
        <v>-0.56842547824259027</v>
      </c>
      <c r="Q261">
        <f t="shared" si="921"/>
        <v>-79783965820.579407</v>
      </c>
      <c r="R261">
        <f t="shared" si="922"/>
        <v>138275593040.92419</v>
      </c>
      <c r="S261">
        <f t="shared" si="923"/>
        <v>1382755.9304092419</v>
      </c>
      <c r="T261">
        <f t="shared" si="924"/>
        <v>1382.755930409242</v>
      </c>
    </row>
    <row r="262" spans="1:20" x14ac:dyDescent="0.25">
      <c r="A262" s="5">
        <v>44322</v>
      </c>
      <c r="B262">
        <v>7.2420000000000002E-3</v>
      </c>
      <c r="C262">
        <v>8.3531999999999999E-3</v>
      </c>
      <c r="D262">
        <v>6.9163000000000002E-3</v>
      </c>
      <c r="E262">
        <v>7.9000000000000008E-3</v>
      </c>
      <c r="F262">
        <v>118554436122</v>
      </c>
      <c r="G262">
        <v>0</v>
      </c>
      <c r="L262" t="s">
        <v>8</v>
      </c>
      <c r="M262" t="s">
        <v>8</v>
      </c>
      <c r="N262" t="s">
        <v>8</v>
      </c>
      <c r="P262">
        <f t="shared" si="920"/>
        <v>0.36919757811956405</v>
      </c>
      <c r="Q262">
        <f t="shared" si="921"/>
        <v>43770010691.57296</v>
      </c>
      <c r="R262">
        <f t="shared" si="922"/>
        <v>218059558861.5036</v>
      </c>
      <c r="S262">
        <f t="shared" si="923"/>
        <v>2180595.5886150361</v>
      </c>
      <c r="T262">
        <f t="shared" si="924"/>
        <v>2180.5955886150359</v>
      </c>
    </row>
    <row r="263" spans="1:20" x14ac:dyDescent="0.25">
      <c r="A263" s="5">
        <v>44321</v>
      </c>
      <c r="B263">
        <v>6.3504E-3</v>
      </c>
      <c r="C263">
        <v>7.4400000000000004E-3</v>
      </c>
      <c r="D263">
        <v>6.2500000000000003E-3</v>
      </c>
      <c r="E263">
        <v>7.2364999999999999E-3</v>
      </c>
      <c r="F263">
        <v>70473073545</v>
      </c>
      <c r="G263">
        <v>0</v>
      </c>
      <c r="L263" t="s">
        <v>8</v>
      </c>
      <c r="M263" t="s">
        <v>8</v>
      </c>
      <c r="N263" t="s">
        <v>8</v>
      </c>
      <c r="P263">
        <f t="shared" si="920"/>
        <v>0.65798319327731003</v>
      </c>
      <c r="Q263">
        <f t="shared" si="921"/>
        <v>46370097971.205818</v>
      </c>
      <c r="R263">
        <f t="shared" si="922"/>
        <v>174289548169.93063</v>
      </c>
      <c r="S263">
        <f t="shared" si="923"/>
        <v>1742895.4816993063</v>
      </c>
      <c r="T263">
        <f t="shared" si="924"/>
        <v>1742.8954816993062</v>
      </c>
    </row>
    <row r="264" spans="1:20" x14ac:dyDescent="0.25">
      <c r="A264" s="5">
        <v>44320</v>
      </c>
      <c r="B264">
        <v>6.9474999999999997E-3</v>
      </c>
      <c r="C264">
        <v>6.9594000000000001E-3</v>
      </c>
      <c r="D264">
        <v>6.2104999999999999E-3</v>
      </c>
      <c r="E264">
        <v>6.3505000000000002E-3</v>
      </c>
      <c r="F264">
        <v>38028167018</v>
      </c>
      <c r="G264">
        <v>0</v>
      </c>
      <c r="L264" t="s">
        <v>7</v>
      </c>
      <c r="M264" t="s">
        <v>7</v>
      </c>
      <c r="N264" t="s">
        <v>8</v>
      </c>
      <c r="P264">
        <f t="shared" si="920"/>
        <v>-0.62611830685004588</v>
      </c>
      <c r="Q264">
        <f t="shared" si="921"/>
        <v>-23810131545.920918</v>
      </c>
      <c r="R264">
        <f t="shared" si="922"/>
        <v>127919450198.72481</v>
      </c>
      <c r="S264">
        <f t="shared" si="923"/>
        <v>1279194.5019872482</v>
      </c>
      <c r="T264">
        <f t="shared" si="924"/>
        <v>1279.1945019872483</v>
      </c>
    </row>
    <row r="265" spans="1:20" x14ac:dyDescent="0.25">
      <c r="A265" s="5">
        <v>44319</v>
      </c>
      <c r="B265">
        <v>6.9836999999999998E-3</v>
      </c>
      <c r="C265">
        <v>7.1520000000000004E-3</v>
      </c>
      <c r="D265">
        <v>6.8440000000000003E-3</v>
      </c>
      <c r="E265">
        <v>6.9493999999999997E-3</v>
      </c>
      <c r="F265">
        <v>26846839909</v>
      </c>
      <c r="G265">
        <v>0</v>
      </c>
      <c r="L265" t="s">
        <v>7</v>
      </c>
      <c r="M265" t="s">
        <v>8</v>
      </c>
      <c r="N265" t="s">
        <v>8</v>
      </c>
      <c r="P265">
        <f t="shared" si="920"/>
        <v>-0.31558441558441963</v>
      </c>
      <c r="Q265">
        <f t="shared" si="921"/>
        <v>-8472444282.9702387</v>
      </c>
      <c r="R265">
        <f t="shared" si="922"/>
        <v>151729581744.64572</v>
      </c>
      <c r="S265">
        <f t="shared" si="923"/>
        <v>1517295.8174464572</v>
      </c>
      <c r="T265">
        <f t="shared" si="924"/>
        <v>1517.2958174464572</v>
      </c>
    </row>
    <row r="266" spans="1:20" x14ac:dyDescent="0.25">
      <c r="A266" s="5">
        <v>44318</v>
      </c>
      <c r="B266">
        <v>7.2335000000000003E-3</v>
      </c>
      <c r="C266">
        <v>7.2925000000000004E-3</v>
      </c>
      <c r="D266">
        <v>6.7999999999999996E-3</v>
      </c>
      <c r="E266">
        <v>6.9848999999999996E-3</v>
      </c>
      <c r="F266">
        <v>21728013072</v>
      </c>
      <c r="G266">
        <v>0</v>
      </c>
      <c r="L266" t="s">
        <v>7</v>
      </c>
      <c r="M266" t="s">
        <v>8</v>
      </c>
      <c r="N266" t="s">
        <v>8</v>
      </c>
      <c r="P266">
        <f t="shared" si="920"/>
        <v>-0.24913705583756462</v>
      </c>
      <c r="Q266">
        <f t="shared" si="921"/>
        <v>-5413253205.9581985</v>
      </c>
      <c r="R266">
        <f t="shared" si="922"/>
        <v>160202026027.61597</v>
      </c>
      <c r="S266">
        <f t="shared" si="923"/>
        <v>1602020.2602761597</v>
      </c>
      <c r="T266">
        <f t="shared" si="924"/>
        <v>1602.0202602761597</v>
      </c>
    </row>
    <row r="267" spans="1:20" x14ac:dyDescent="0.25">
      <c r="A267" s="5">
        <v>44317</v>
      </c>
      <c r="B267">
        <v>7.2424000000000004E-3</v>
      </c>
      <c r="C267">
        <v>7.45E-3</v>
      </c>
      <c r="D267">
        <v>7.0076000000000001E-3</v>
      </c>
      <c r="E267">
        <v>7.2318E-3</v>
      </c>
      <c r="F267">
        <v>28131953987</v>
      </c>
      <c r="G267">
        <v>0</v>
      </c>
      <c r="L267" t="s">
        <v>8</v>
      </c>
      <c r="M267" t="s">
        <v>8</v>
      </c>
      <c r="N267" t="s">
        <v>8</v>
      </c>
      <c r="P267">
        <f t="shared" si="920"/>
        <v>1.3562386980108341E-2</v>
      </c>
      <c r="Q267">
        <f t="shared" si="921"/>
        <v>381536446.47829574</v>
      </c>
      <c r="R267">
        <f t="shared" si="922"/>
        <v>165615279233.57416</v>
      </c>
      <c r="S267">
        <f t="shared" si="923"/>
        <v>1656152.7923357417</v>
      </c>
      <c r="T267">
        <f t="shared" si="924"/>
        <v>1656.1527923357417</v>
      </c>
    </row>
    <row r="268" spans="1:20" x14ac:dyDescent="0.25">
      <c r="A268" s="5">
        <v>44316</v>
      </c>
      <c r="B268">
        <v>6.8852000000000002E-3</v>
      </c>
      <c r="C268">
        <v>7.3007999999999997E-3</v>
      </c>
      <c r="D268">
        <v>6.7907000000000002E-3</v>
      </c>
      <c r="E268">
        <v>7.2426000000000001E-3</v>
      </c>
      <c r="F268">
        <v>28976268172</v>
      </c>
      <c r="G268">
        <v>0</v>
      </c>
      <c r="L268" t="s">
        <v>8</v>
      </c>
      <c r="M268" t="s">
        <v>8</v>
      </c>
      <c r="N268" t="s">
        <v>8</v>
      </c>
      <c r="P268">
        <f t="shared" si="920"/>
        <v>0.7718094491276235</v>
      </c>
      <c r="Q268">
        <f t="shared" si="921"/>
        <v>22364157575.60561</v>
      </c>
      <c r="R268">
        <f t="shared" si="922"/>
        <v>165233742787.09586</v>
      </c>
      <c r="S268">
        <f t="shared" si="923"/>
        <v>1652337.4278709586</v>
      </c>
      <c r="T268">
        <f t="shared" si="924"/>
        <v>1652.3374278709587</v>
      </c>
    </row>
    <row r="269" spans="1:20" x14ac:dyDescent="0.25">
      <c r="A269" s="5">
        <v>44315</v>
      </c>
      <c r="B269">
        <v>7.0787000000000003E-3</v>
      </c>
      <c r="C269">
        <v>7.1199000000000002E-3</v>
      </c>
      <c r="D269">
        <v>6.7108999999999997E-3</v>
      </c>
      <c r="E269">
        <v>6.8875999999999998E-3</v>
      </c>
      <c r="F269">
        <v>24416074132</v>
      </c>
      <c r="G269">
        <v>0</v>
      </c>
      <c r="L269" t="s">
        <v>7</v>
      </c>
      <c r="M269" t="s">
        <v>8</v>
      </c>
      <c r="N269" t="s">
        <v>8</v>
      </c>
      <c r="P269">
        <f t="shared" si="920"/>
        <v>-0.135941320293399</v>
      </c>
      <c r="Q269">
        <f t="shared" si="921"/>
        <v>-3319153353.8855863</v>
      </c>
      <c r="R269">
        <f t="shared" si="922"/>
        <v>142869585211.49023</v>
      </c>
      <c r="S269">
        <f t="shared" si="923"/>
        <v>1428695.8521149023</v>
      </c>
      <c r="T269">
        <f t="shared" si="924"/>
        <v>1428.6958521149024</v>
      </c>
    </row>
    <row r="270" spans="1:20" x14ac:dyDescent="0.25">
      <c r="A270" s="5">
        <v>44314</v>
      </c>
      <c r="B270">
        <v>7.3829999999999998E-3</v>
      </c>
      <c r="C270">
        <v>7.6144000000000003E-3</v>
      </c>
      <c r="D270">
        <v>6.7010000000000004E-3</v>
      </c>
      <c r="E270">
        <v>7.0739000000000002E-3</v>
      </c>
      <c r="F270">
        <v>44209767014</v>
      </c>
      <c r="G270">
        <v>0</v>
      </c>
      <c r="L270" t="s">
        <v>7</v>
      </c>
      <c r="M270" t="s">
        <v>8</v>
      </c>
      <c r="N270" t="s">
        <v>8</v>
      </c>
      <c r="P270">
        <f t="shared" si="920"/>
        <v>-0.18349025618568029</v>
      </c>
      <c r="Q270">
        <f t="shared" si="921"/>
        <v>-8112061475.3080978</v>
      </c>
      <c r="R270">
        <f t="shared" si="922"/>
        <v>146188738565.37582</v>
      </c>
      <c r="S270">
        <f t="shared" si="923"/>
        <v>1461887.3856537582</v>
      </c>
      <c r="T270">
        <f t="shared" si="924"/>
        <v>1461.8873856537582</v>
      </c>
    </row>
    <row r="271" spans="1:20" x14ac:dyDescent="0.25">
      <c r="A271" s="5">
        <v>44313</v>
      </c>
      <c r="B271">
        <v>7.0441999999999996E-3</v>
      </c>
      <c r="C271">
        <v>7.8700000000000003E-3</v>
      </c>
      <c r="D271">
        <v>6.8691000000000004E-3</v>
      </c>
      <c r="E271">
        <v>7.3816999999999997E-3</v>
      </c>
      <c r="F271">
        <v>68726511930</v>
      </c>
      <c r="G271">
        <v>0</v>
      </c>
      <c r="L271" t="s">
        <v>8</v>
      </c>
      <c r="M271" t="s">
        <v>8</v>
      </c>
      <c r="N271" t="s">
        <v>8</v>
      </c>
      <c r="P271">
        <f t="shared" si="920"/>
        <v>2.4278149665300036E-2</v>
      </c>
      <c r="Q271">
        <f t="shared" si="921"/>
        <v>1668552542.6105685</v>
      </c>
      <c r="R271">
        <f t="shared" si="922"/>
        <v>154300800040.68393</v>
      </c>
      <c r="S271">
        <f t="shared" si="923"/>
        <v>1543008.0004068392</v>
      </c>
      <c r="T271">
        <f t="shared" si="924"/>
        <v>1543.0080004068391</v>
      </c>
    </row>
    <row r="272" spans="1:20" x14ac:dyDescent="0.25">
      <c r="A272" s="5">
        <v>44312</v>
      </c>
      <c r="B272">
        <v>6.4098999999999996E-3</v>
      </c>
      <c r="C272">
        <v>7.1799999999999998E-3</v>
      </c>
      <c r="D272">
        <v>6.3204999999999997E-3</v>
      </c>
      <c r="E272">
        <v>7.0416000000000003E-3</v>
      </c>
      <c r="F272">
        <v>49075634181</v>
      </c>
      <c r="G272">
        <v>0</v>
      </c>
      <c r="L272" t="s">
        <v>8</v>
      </c>
      <c r="M272" t="s">
        <v>8</v>
      </c>
      <c r="N272" t="s">
        <v>7</v>
      </c>
      <c r="P272">
        <f t="shared" si="920"/>
        <v>0.67795229784758704</v>
      </c>
      <c r="Q272">
        <f t="shared" si="921"/>
        <v>33270938961.336536</v>
      </c>
      <c r="R272">
        <f t="shared" si="922"/>
        <v>152632247498.07336</v>
      </c>
      <c r="S272">
        <f t="shared" si="923"/>
        <v>1526322.4749807336</v>
      </c>
      <c r="T272">
        <f t="shared" si="924"/>
        <v>1526.3224749807337</v>
      </c>
    </row>
    <row r="273" spans="1:20" x14ac:dyDescent="0.25">
      <c r="A273" s="5">
        <v>44311</v>
      </c>
      <c r="B273">
        <v>6.6679E-3</v>
      </c>
      <c r="C273">
        <v>6.9036999999999996E-3</v>
      </c>
      <c r="D273">
        <v>5.7910000000000001E-3</v>
      </c>
      <c r="E273">
        <v>6.4066000000000001E-3</v>
      </c>
      <c r="F273">
        <v>38232717418</v>
      </c>
      <c r="G273">
        <v>0</v>
      </c>
      <c r="L273" t="s">
        <v>7</v>
      </c>
      <c r="M273" t="s">
        <v>7</v>
      </c>
      <c r="N273" t="s">
        <v>7</v>
      </c>
      <c r="P273">
        <f t="shared" si="920"/>
        <v>0.1064977082771642</v>
      </c>
      <c r="Q273">
        <f t="shared" si="921"/>
        <v>4071696786.2254186</v>
      </c>
      <c r="R273">
        <f t="shared" si="922"/>
        <v>119361308536.73682</v>
      </c>
      <c r="S273">
        <f t="shared" si="923"/>
        <v>1193613.0853673681</v>
      </c>
      <c r="T273">
        <f t="shared" si="924"/>
        <v>1193.6130853673681</v>
      </c>
    </row>
    <row r="274" spans="1:20" x14ac:dyDescent="0.25">
      <c r="A274" s="5">
        <v>44310</v>
      </c>
      <c r="B274">
        <v>7.1849000000000001E-3</v>
      </c>
      <c r="C274">
        <v>7.8744999999999996E-3</v>
      </c>
      <c r="D274">
        <v>6.4473999999999998E-3</v>
      </c>
      <c r="E274">
        <v>6.6698E-3</v>
      </c>
      <c r="F274">
        <v>100719821312</v>
      </c>
      <c r="G274">
        <v>0</v>
      </c>
      <c r="L274" t="s">
        <v>8</v>
      </c>
      <c r="M274" t="s">
        <v>8</v>
      </c>
      <c r="N274" t="s">
        <v>8</v>
      </c>
      <c r="P274">
        <f t="shared" si="920"/>
        <v>-0.68831896853759333</v>
      </c>
      <c r="Q274">
        <f t="shared" si="921"/>
        <v>-69327363516.766556</v>
      </c>
      <c r="R274">
        <f t="shared" si="922"/>
        <v>115289611750.5114</v>
      </c>
      <c r="S274">
        <f t="shared" si="923"/>
        <v>1152896.1175051141</v>
      </c>
      <c r="T274">
        <f t="shared" si="924"/>
        <v>1152.896117505114</v>
      </c>
    </row>
    <row r="275" spans="1:20" x14ac:dyDescent="0.25">
      <c r="A275" s="5">
        <v>44309</v>
      </c>
      <c r="B275">
        <v>6.2709000000000003E-3</v>
      </c>
      <c r="C275">
        <v>7.2252999999999996E-3</v>
      </c>
      <c r="D275">
        <v>4.2345999999999998E-3</v>
      </c>
      <c r="E275">
        <v>7.1849000000000001E-3</v>
      </c>
      <c r="F275">
        <v>111659732547</v>
      </c>
      <c r="G275">
        <v>0</v>
      </c>
      <c r="L275" t="s">
        <v>7</v>
      </c>
      <c r="M275" t="s">
        <v>7</v>
      </c>
      <c r="N275" t="s">
        <v>7</v>
      </c>
      <c r="P275">
        <f t="shared" si="920"/>
        <v>0.97298291369913437</v>
      </c>
      <c r="Q275">
        <f t="shared" si="921"/>
        <v>108643011916.44612</v>
      </c>
      <c r="R275">
        <f t="shared" si="922"/>
        <v>184616975267.27795</v>
      </c>
      <c r="S275">
        <f t="shared" si="923"/>
        <v>1846169.7526727796</v>
      </c>
      <c r="T275">
        <f t="shared" si="924"/>
        <v>1846.1697526727796</v>
      </c>
    </row>
    <row r="276" spans="1:20" x14ac:dyDescent="0.25">
      <c r="A276" s="5">
        <v>44308</v>
      </c>
      <c r="B276">
        <v>7.5576999999999997E-3</v>
      </c>
      <c r="C276">
        <v>7.7064000000000004E-3</v>
      </c>
      <c r="D276">
        <v>6.0166999999999998E-3</v>
      </c>
      <c r="E276">
        <v>6.2766999999999996E-3</v>
      </c>
      <c r="F276">
        <v>46845442803</v>
      </c>
      <c r="G276">
        <v>0</v>
      </c>
      <c r="L276" t="s">
        <v>7</v>
      </c>
      <c r="M276" t="s">
        <v>7</v>
      </c>
      <c r="N276" t="s">
        <v>7</v>
      </c>
      <c r="P276">
        <f t="shared" si="920"/>
        <v>-0.69225306267384779</v>
      </c>
      <c r="Q276">
        <f t="shared" si="921"/>
        <v>-32428901252.689312</v>
      </c>
      <c r="R276">
        <f t="shared" si="922"/>
        <v>75973963350.831848</v>
      </c>
      <c r="S276">
        <f t="shared" si="923"/>
        <v>759739.63350831845</v>
      </c>
      <c r="T276">
        <f t="shared" si="924"/>
        <v>759.73963350831843</v>
      </c>
    </row>
    <row r="277" spans="1:20" x14ac:dyDescent="0.25">
      <c r="A277" s="5">
        <v>44307</v>
      </c>
      <c r="B277">
        <v>7.9086999999999994E-3</v>
      </c>
      <c r="C277">
        <v>8.0888999999999996E-3</v>
      </c>
      <c r="D277">
        <v>7.4561000000000002E-3</v>
      </c>
      <c r="E277">
        <v>7.5567999999999998E-3</v>
      </c>
      <c r="F277">
        <v>26055298859</v>
      </c>
      <c r="G277">
        <v>0</v>
      </c>
      <c r="L277" t="s">
        <v>7</v>
      </c>
      <c r="M277" t="s">
        <v>7</v>
      </c>
      <c r="N277" t="s">
        <v>7</v>
      </c>
      <c r="P277">
        <f t="shared" si="920"/>
        <v>-0.68173198482933095</v>
      </c>
      <c r="Q277">
        <f t="shared" si="921"/>
        <v>-17762730606.467472</v>
      </c>
      <c r="R277">
        <f t="shared" si="922"/>
        <v>108402864603.52116</v>
      </c>
      <c r="S277">
        <f t="shared" si="923"/>
        <v>1084028.6460352116</v>
      </c>
      <c r="T277">
        <f t="shared" si="924"/>
        <v>1084.0286460352115</v>
      </c>
    </row>
    <row r="278" spans="1:20" x14ac:dyDescent="0.25">
      <c r="A278" s="5">
        <v>44306</v>
      </c>
      <c r="B278">
        <v>7.7152000000000002E-3</v>
      </c>
      <c r="C278">
        <v>8.3166000000000004E-3</v>
      </c>
      <c r="D278">
        <v>7.0130000000000001E-3</v>
      </c>
      <c r="E278">
        <v>7.9094999999999999E-3</v>
      </c>
      <c r="F278">
        <v>51360271309</v>
      </c>
      <c r="G278">
        <v>0</v>
      </c>
      <c r="L278" t="s">
        <v>8</v>
      </c>
      <c r="M278" t="s">
        <v>7</v>
      </c>
      <c r="N278" t="s">
        <v>7</v>
      </c>
      <c r="P278">
        <f t="shared" si="920"/>
        <v>0.37542190856090757</v>
      </c>
      <c r="Q278">
        <f t="shared" si="921"/>
        <v>19281771079.030804</v>
      </c>
      <c r="R278">
        <f t="shared" si="922"/>
        <v>126165595209.98863</v>
      </c>
      <c r="S278">
        <f t="shared" si="923"/>
        <v>1261655.9520998863</v>
      </c>
      <c r="T278">
        <f t="shared" si="924"/>
        <v>1261.6559520998862</v>
      </c>
    </row>
    <row r="279" spans="1:20" x14ac:dyDescent="0.25">
      <c r="A279" s="5">
        <v>44305</v>
      </c>
      <c r="B279">
        <v>8.0313999999999993E-3</v>
      </c>
      <c r="C279">
        <v>8.2769000000000002E-3</v>
      </c>
      <c r="D279">
        <v>7.3470000000000002E-3</v>
      </c>
      <c r="E279">
        <v>7.7206999999999996E-3</v>
      </c>
      <c r="F279">
        <v>46570778835</v>
      </c>
      <c r="G279">
        <v>0</v>
      </c>
      <c r="L279" t="s">
        <v>8</v>
      </c>
      <c r="M279" t="s">
        <v>7</v>
      </c>
      <c r="N279" t="s">
        <v>7</v>
      </c>
      <c r="P279">
        <f t="shared" si="920"/>
        <v>-0.19625766211420717</v>
      </c>
      <c r="Q279">
        <f t="shared" si="921"/>
        <v>-9139872176.9948997</v>
      </c>
      <c r="R279">
        <f t="shared" si="922"/>
        <v>106883824130.95782</v>
      </c>
      <c r="S279">
        <f t="shared" si="923"/>
        <v>1068838.2413095783</v>
      </c>
      <c r="T279">
        <f t="shared" si="924"/>
        <v>1068.8382413095783</v>
      </c>
    </row>
    <row r="280" spans="1:20" x14ac:dyDescent="0.25">
      <c r="A280" s="5">
        <v>44304</v>
      </c>
      <c r="B280">
        <v>9.1161000000000002E-3</v>
      </c>
      <c r="C280">
        <v>9.2514999999999993E-3</v>
      </c>
      <c r="D280">
        <v>7.012E-3</v>
      </c>
      <c r="E280">
        <v>8.0313999999999993E-3</v>
      </c>
      <c r="F280">
        <v>80712712584</v>
      </c>
      <c r="G280">
        <v>0</v>
      </c>
      <c r="L280" t="s">
        <v>7</v>
      </c>
      <c r="M280" t="s">
        <v>7</v>
      </c>
      <c r="N280" t="s">
        <v>7</v>
      </c>
      <c r="P280">
        <f t="shared" si="920"/>
        <v>-8.9618218352311124E-2</v>
      </c>
      <c r="Q280">
        <f t="shared" si="921"/>
        <v>-7233329500.1602421</v>
      </c>
      <c r="R280">
        <f t="shared" si="922"/>
        <v>116023696307.95273</v>
      </c>
      <c r="S280">
        <f t="shared" si="923"/>
        <v>1160236.9630795273</v>
      </c>
      <c r="T280">
        <f t="shared" si="924"/>
        <v>1160.2369630795272</v>
      </c>
    </row>
    <row r="281" spans="1:20" x14ac:dyDescent="0.25">
      <c r="A281" s="5">
        <v>44303</v>
      </c>
      <c r="B281">
        <v>7.7111999999999997E-3</v>
      </c>
      <c r="C281">
        <v>1.094E-2</v>
      </c>
      <c r="D281">
        <v>7.7001999999999999E-3</v>
      </c>
      <c r="E281">
        <v>9.1161000000000002E-3</v>
      </c>
      <c r="F281">
        <v>206294330068</v>
      </c>
      <c r="G281">
        <v>0</v>
      </c>
      <c r="L281" t="s">
        <v>8</v>
      </c>
      <c r="M281" t="s">
        <v>8</v>
      </c>
      <c r="N281" t="s">
        <v>8</v>
      </c>
      <c r="P281">
        <f t="shared" si="920"/>
        <v>-0.12593369961108694</v>
      </c>
      <c r="Q281">
        <f t="shared" si="921"/>
        <v>-25979408194.253933</v>
      </c>
      <c r="R281">
        <f t="shared" si="922"/>
        <v>123257025808.11298</v>
      </c>
      <c r="S281">
        <f t="shared" si="923"/>
        <v>1232570.2580811298</v>
      </c>
      <c r="T281">
        <f t="shared" si="924"/>
        <v>1232.5702580811299</v>
      </c>
    </row>
    <row r="282" spans="1:20" x14ac:dyDescent="0.25">
      <c r="A282" s="5">
        <v>44302</v>
      </c>
      <c r="B282">
        <v>8.2170000000000003E-3</v>
      </c>
      <c r="C282">
        <v>8.3999999999999995E-3</v>
      </c>
      <c r="D282">
        <v>7.2579999999999997E-3</v>
      </c>
      <c r="E282">
        <v>7.7130999999999996E-3</v>
      </c>
      <c r="F282">
        <v>69455304066</v>
      </c>
      <c r="G282">
        <v>0</v>
      </c>
      <c r="L282" t="s">
        <v>7</v>
      </c>
      <c r="M282" t="s">
        <v>8</v>
      </c>
      <c r="N282" t="s">
        <v>7</v>
      </c>
      <c r="P282">
        <f t="shared" si="920"/>
        <v>-0.20297723292469347</v>
      </c>
      <c r="Q282">
        <f t="shared" si="921"/>
        <v>-14097845431.259892</v>
      </c>
      <c r="R282">
        <f t="shared" si="922"/>
        <v>149236434002.36691</v>
      </c>
      <c r="S282">
        <f t="shared" si="923"/>
        <v>1492364.3400236692</v>
      </c>
      <c r="T282">
        <f t="shared" si="924"/>
        <v>1492.3643400236692</v>
      </c>
    </row>
    <row r="283" spans="1:20" x14ac:dyDescent="0.25">
      <c r="A283" s="5">
        <v>44301</v>
      </c>
      <c r="B283">
        <v>7.6394999999999996E-3</v>
      </c>
      <c r="C283">
        <v>8.6467999999999996E-3</v>
      </c>
      <c r="D283">
        <v>7.4038000000000003E-3</v>
      </c>
      <c r="E283">
        <v>8.2252000000000002E-3</v>
      </c>
      <c r="F283">
        <v>68153276996</v>
      </c>
      <c r="G283">
        <v>0</v>
      </c>
      <c r="L283" t="s">
        <v>8</v>
      </c>
      <c r="M283" t="s">
        <v>8</v>
      </c>
      <c r="N283" t="s">
        <v>7</v>
      </c>
      <c r="P283">
        <f t="shared" si="920"/>
        <v>0.32164119066773994</v>
      </c>
      <c r="Q283">
        <f t="shared" si="921"/>
        <v>21920901160.90173</v>
      </c>
      <c r="R283">
        <f t="shared" si="922"/>
        <v>163334279433.6268</v>
      </c>
      <c r="S283">
        <f t="shared" si="923"/>
        <v>1633342.794336268</v>
      </c>
      <c r="T283">
        <f t="shared" si="924"/>
        <v>1633.3427943362681</v>
      </c>
    </row>
    <row r="284" spans="1:20" x14ac:dyDescent="0.25">
      <c r="A284" s="5">
        <v>44300</v>
      </c>
      <c r="B284">
        <v>8.1385999999999993E-3</v>
      </c>
      <c r="C284">
        <v>8.1810000000000008E-3</v>
      </c>
      <c r="D284">
        <v>6.9709000000000004E-3</v>
      </c>
      <c r="E284">
        <v>7.6394999999999996E-3</v>
      </c>
      <c r="F284">
        <v>48801537760</v>
      </c>
      <c r="G284">
        <v>0</v>
      </c>
      <c r="L284" t="s">
        <v>7</v>
      </c>
      <c r="M284" t="s">
        <v>7</v>
      </c>
      <c r="N284" t="s">
        <v>7</v>
      </c>
      <c r="P284">
        <f t="shared" si="920"/>
        <v>0.10503264193041732</v>
      </c>
      <c r="Q284">
        <f t="shared" si="921"/>
        <v>5125754441.1998205</v>
      </c>
      <c r="R284">
        <f t="shared" si="922"/>
        <v>141413378272.72507</v>
      </c>
      <c r="S284">
        <f t="shared" si="923"/>
        <v>1414133.7827272506</v>
      </c>
      <c r="T284">
        <f t="shared" si="924"/>
        <v>1414.1337827272505</v>
      </c>
    </row>
    <row r="285" spans="1:20" x14ac:dyDescent="0.25">
      <c r="A285" s="5">
        <v>44299</v>
      </c>
      <c r="B285">
        <v>7.9676E-3</v>
      </c>
      <c r="C285">
        <v>8.5988000000000002E-3</v>
      </c>
      <c r="D285">
        <v>7.5173000000000002E-3</v>
      </c>
      <c r="E285">
        <v>8.1393999999999998E-3</v>
      </c>
      <c r="F285">
        <v>54358883712</v>
      </c>
      <c r="G285">
        <v>0</v>
      </c>
      <c r="L285" t="s">
        <v>7</v>
      </c>
      <c r="M285" t="s">
        <v>7</v>
      </c>
      <c r="N285" t="s">
        <v>7</v>
      </c>
      <c r="P285">
        <f t="shared" si="920"/>
        <v>0.15043920480813605</v>
      </c>
      <c r="Q285">
        <f t="shared" si="921"/>
        <v>8177707239.8912191</v>
      </c>
      <c r="R285">
        <f t="shared" si="922"/>
        <v>136287623831.52525</v>
      </c>
      <c r="S285">
        <f t="shared" si="923"/>
        <v>1362876.2383152526</v>
      </c>
      <c r="T285">
        <f t="shared" si="924"/>
        <v>1362.8762383152525</v>
      </c>
    </row>
    <row r="286" spans="1:20" x14ac:dyDescent="0.25">
      <c r="A286" s="5">
        <v>44298</v>
      </c>
      <c r="B286">
        <v>8.4460999999999998E-3</v>
      </c>
      <c r="C286">
        <v>8.5999000000000006E-3</v>
      </c>
      <c r="D286">
        <v>7.9000000000000008E-3</v>
      </c>
      <c r="E286">
        <v>7.9687000000000004E-3</v>
      </c>
      <c r="F286">
        <v>40082482826</v>
      </c>
      <c r="G286">
        <v>0</v>
      </c>
      <c r="L286" t="s">
        <v>8</v>
      </c>
      <c r="M286" t="s">
        <v>7</v>
      </c>
      <c r="N286" t="s">
        <v>7</v>
      </c>
      <c r="P286">
        <f t="shared" si="920"/>
        <v>-0.80368624089155682</v>
      </c>
      <c r="Q286">
        <f t="shared" si="921"/>
        <v>-32213739948.028324</v>
      </c>
      <c r="R286">
        <f t="shared" si="922"/>
        <v>128109916591.63403</v>
      </c>
      <c r="S286">
        <f t="shared" si="923"/>
        <v>1281099.1659163404</v>
      </c>
      <c r="T286">
        <f t="shared" si="924"/>
        <v>1281.0991659163403</v>
      </c>
    </row>
    <row r="287" spans="1:20" x14ac:dyDescent="0.25">
      <c r="A287" s="5">
        <v>44297</v>
      </c>
      <c r="B287">
        <v>8.5661000000000001E-3</v>
      </c>
      <c r="C287">
        <v>8.9736E-3</v>
      </c>
      <c r="D287">
        <v>7.8557000000000002E-3</v>
      </c>
      <c r="E287">
        <v>8.4468000000000008E-3</v>
      </c>
      <c r="F287">
        <v>62620072007</v>
      </c>
      <c r="G287">
        <v>0</v>
      </c>
      <c r="L287" t="s">
        <v>7</v>
      </c>
      <c r="M287" t="s">
        <v>7</v>
      </c>
      <c r="N287" t="s">
        <v>7</v>
      </c>
      <c r="P287">
        <f t="shared" si="920"/>
        <v>5.7518561588694443E-2</v>
      </c>
      <c r="Q287">
        <f t="shared" si="921"/>
        <v>3601816468.4231105</v>
      </c>
      <c r="R287">
        <f t="shared" si="922"/>
        <v>160323656539.66235</v>
      </c>
      <c r="S287">
        <f t="shared" si="923"/>
        <v>1603236.5653966235</v>
      </c>
      <c r="T287">
        <f t="shared" si="924"/>
        <v>1603.2365653966235</v>
      </c>
    </row>
    <row r="288" spans="1:20" x14ac:dyDescent="0.25">
      <c r="A288" s="5">
        <v>44296</v>
      </c>
      <c r="B288">
        <v>9.1062000000000001E-3</v>
      </c>
      <c r="C288">
        <v>9.1243000000000001E-3</v>
      </c>
      <c r="D288">
        <v>8.0844000000000003E-3</v>
      </c>
      <c r="E288">
        <v>8.5736000000000007E-3</v>
      </c>
      <c r="F288">
        <v>54584868643</v>
      </c>
      <c r="G288">
        <v>0</v>
      </c>
      <c r="L288" t="s">
        <v>7</v>
      </c>
      <c r="M288" t="s">
        <v>7</v>
      </c>
      <c r="N288" t="s">
        <v>7</v>
      </c>
      <c r="P288">
        <f t="shared" si="920"/>
        <v>-5.9140301952109883E-2</v>
      </c>
      <c r="Q288">
        <f t="shared" si="921"/>
        <v>-3228165613.5632744</v>
      </c>
      <c r="R288">
        <f t="shared" si="922"/>
        <v>156721840071.23926</v>
      </c>
      <c r="S288">
        <f t="shared" si="923"/>
        <v>1567218.4007123925</v>
      </c>
      <c r="T288">
        <f t="shared" si="924"/>
        <v>1567.2184007123926</v>
      </c>
    </row>
    <row r="289" spans="1:20" x14ac:dyDescent="0.25">
      <c r="A289" s="5">
        <v>44295</v>
      </c>
      <c r="B289">
        <v>9.6652999999999999E-3</v>
      </c>
      <c r="C289">
        <v>9.9649999999999999E-3</v>
      </c>
      <c r="D289">
        <v>8.7787999999999998E-3</v>
      </c>
      <c r="E289">
        <v>9.1073999999999999E-3</v>
      </c>
      <c r="F289">
        <v>48121024581</v>
      </c>
      <c r="G289">
        <v>0</v>
      </c>
      <c r="L289" t="s">
        <v>8</v>
      </c>
      <c r="M289" t="s">
        <v>8</v>
      </c>
      <c r="N289" t="s">
        <v>7</v>
      </c>
      <c r="P289">
        <f t="shared" si="920"/>
        <v>-0.44596189512729717</v>
      </c>
      <c r="Q289">
        <f t="shared" si="921"/>
        <v>-21460143317.610012</v>
      </c>
      <c r="R289">
        <f t="shared" si="922"/>
        <v>159950005684.80252</v>
      </c>
      <c r="S289">
        <f t="shared" si="923"/>
        <v>1599500.0568480252</v>
      </c>
      <c r="T289">
        <f t="shared" si="924"/>
        <v>1599.5000568480252</v>
      </c>
    </row>
    <row r="290" spans="1:20" x14ac:dyDescent="0.25">
      <c r="A290" s="5">
        <v>44294</v>
      </c>
      <c r="B290">
        <v>7.9295000000000008E-3</v>
      </c>
      <c r="C290">
        <v>9.8689999999999993E-3</v>
      </c>
      <c r="D290">
        <v>7.8338000000000001E-3</v>
      </c>
      <c r="E290">
        <v>9.6561000000000008E-3</v>
      </c>
      <c r="F290">
        <v>87194174684</v>
      </c>
      <c r="G290">
        <v>0</v>
      </c>
      <c r="L290" t="s">
        <v>8</v>
      </c>
      <c r="M290" t="s">
        <v>8</v>
      </c>
      <c r="N290" t="s">
        <v>7</v>
      </c>
      <c r="P290">
        <f t="shared" si="920"/>
        <v>0.79078223270440384</v>
      </c>
      <c r="Q290">
        <f t="shared" si="921"/>
        <v>68951604135.43132</v>
      </c>
      <c r="R290">
        <f t="shared" si="922"/>
        <v>181410149002.41254</v>
      </c>
      <c r="S290">
        <f t="shared" si="923"/>
        <v>1814101.4900241254</v>
      </c>
      <c r="T290">
        <f t="shared" si="924"/>
        <v>1814.1014900241255</v>
      </c>
    </row>
    <row r="291" spans="1:20" x14ac:dyDescent="0.25">
      <c r="A291" s="5">
        <v>44293</v>
      </c>
      <c r="B291">
        <v>9.7421000000000001E-3</v>
      </c>
      <c r="C291">
        <v>1.025E-2</v>
      </c>
      <c r="D291">
        <v>7.4714999999999998E-3</v>
      </c>
      <c r="E291">
        <v>7.9311E-3</v>
      </c>
      <c r="F291">
        <v>107738387857</v>
      </c>
      <c r="G291">
        <v>0</v>
      </c>
      <c r="L291" t="s">
        <v>7</v>
      </c>
      <c r="M291" t="s">
        <v>7</v>
      </c>
      <c r="N291" t="s">
        <v>7</v>
      </c>
      <c r="P291">
        <f t="shared" si="920"/>
        <v>-0.66917401475616334</v>
      </c>
      <c r="Q291">
        <f t="shared" si="921"/>
        <v>-72095729545.625366</v>
      </c>
      <c r="R291">
        <f t="shared" si="922"/>
        <v>112458544866.9812</v>
      </c>
      <c r="S291">
        <f t="shared" si="923"/>
        <v>1124585.4486698119</v>
      </c>
      <c r="T291">
        <f t="shared" si="924"/>
        <v>1124.585448669812</v>
      </c>
    </row>
    <row r="292" spans="1:20" x14ac:dyDescent="0.25">
      <c r="A292" s="5">
        <v>44292</v>
      </c>
      <c r="B292">
        <v>1.0169900000000001E-2</v>
      </c>
      <c r="C292">
        <v>1.13858E-2</v>
      </c>
      <c r="D292">
        <v>8.1671999999999995E-3</v>
      </c>
      <c r="E292">
        <v>9.7313E-3</v>
      </c>
      <c r="F292">
        <v>144619523930</v>
      </c>
      <c r="G292">
        <v>0</v>
      </c>
      <c r="L292" t="s">
        <v>7</v>
      </c>
      <c r="M292" t="s">
        <v>7</v>
      </c>
      <c r="N292" t="s">
        <v>7</v>
      </c>
      <c r="P292">
        <f t="shared" si="920"/>
        <v>-2.8086745790094809E-2</v>
      </c>
      <c r="Q292">
        <f t="shared" si="921"/>
        <v>-4061891804.9064431</v>
      </c>
      <c r="R292">
        <f t="shared" si="922"/>
        <v>184554274412.60657</v>
      </c>
      <c r="S292">
        <f t="shared" si="923"/>
        <v>1845542.7441260656</v>
      </c>
      <c r="T292">
        <f t="shared" si="924"/>
        <v>1845.5427441260656</v>
      </c>
    </row>
    <row r="293" spans="1:20" x14ac:dyDescent="0.25">
      <c r="A293" s="5">
        <v>44291</v>
      </c>
      <c r="B293">
        <v>1.0262200000000001E-2</v>
      </c>
      <c r="C293">
        <v>1.35776E-2</v>
      </c>
      <c r="D293">
        <v>9.6500000000000006E-3</v>
      </c>
      <c r="E293">
        <v>1.0174300000000001E-2</v>
      </c>
      <c r="F293">
        <v>180330218444</v>
      </c>
      <c r="G293">
        <v>0</v>
      </c>
      <c r="L293" t="s">
        <v>8</v>
      </c>
      <c r="M293" t="s">
        <v>8</v>
      </c>
      <c r="N293" t="s">
        <v>8</v>
      </c>
      <c r="P293">
        <f t="shared" si="920"/>
        <v>-0.73301761890212846</v>
      </c>
      <c r="Q293">
        <f t="shared" si="921"/>
        <v>-132185227339.92157</v>
      </c>
      <c r="R293">
        <f t="shared" si="922"/>
        <v>188616166217.513</v>
      </c>
      <c r="S293">
        <f t="shared" si="923"/>
        <v>1886161.6621751301</v>
      </c>
      <c r="T293">
        <f t="shared" si="924"/>
        <v>1886.16166217513</v>
      </c>
    </row>
    <row r="294" spans="1:20" x14ac:dyDescent="0.25">
      <c r="A294" s="5">
        <v>44290</v>
      </c>
      <c r="B294">
        <v>6.9532999999999999E-3</v>
      </c>
      <c r="C294">
        <v>1.0590199999999999E-2</v>
      </c>
      <c r="D294">
        <v>6.7330000000000003E-3</v>
      </c>
      <c r="E294">
        <v>1.0285900000000001E-2</v>
      </c>
      <c r="F294">
        <v>170329431634</v>
      </c>
      <c r="G294">
        <v>0</v>
      </c>
      <c r="L294" t="s">
        <v>8</v>
      </c>
      <c r="M294" t="s">
        <v>8</v>
      </c>
      <c r="N294" t="s">
        <v>8</v>
      </c>
      <c r="P294">
        <f t="shared" si="920"/>
        <v>0.84221715233848449</v>
      </c>
      <c r="Q294">
        <f t="shared" si="921"/>
        <v>143454368870.22006</v>
      </c>
      <c r="R294">
        <f t="shared" si="922"/>
        <v>320801393557.43457</v>
      </c>
      <c r="S294">
        <f t="shared" si="923"/>
        <v>3208013.9355743458</v>
      </c>
      <c r="T294">
        <f t="shared" si="924"/>
        <v>3208.0139355743459</v>
      </c>
    </row>
    <row r="295" spans="1:20" x14ac:dyDescent="0.25">
      <c r="A295" s="5">
        <v>44289</v>
      </c>
      <c r="B295">
        <v>6.9195000000000003E-3</v>
      </c>
      <c r="C295">
        <v>7.6743000000000002E-3</v>
      </c>
      <c r="D295">
        <v>6.2550000000000001E-3</v>
      </c>
      <c r="E295">
        <v>6.9531999999999997E-3</v>
      </c>
      <c r="F295">
        <v>152887366501</v>
      </c>
      <c r="G295">
        <v>0</v>
      </c>
      <c r="L295" t="s">
        <v>8</v>
      </c>
      <c r="M295" t="s">
        <v>8</v>
      </c>
      <c r="N295" t="s">
        <v>8</v>
      </c>
      <c r="P295">
        <f t="shared" si="920"/>
        <v>-1.6134714295780346E-2</v>
      </c>
      <c r="Q295">
        <f t="shared" si="921"/>
        <v>-2466793977.9278941</v>
      </c>
      <c r="R295">
        <f t="shared" si="922"/>
        <v>177347024687.21451</v>
      </c>
      <c r="S295">
        <f t="shared" si="923"/>
        <v>1773470.246872145</v>
      </c>
      <c r="T295">
        <f t="shared" si="924"/>
        <v>1773.470246872145</v>
      </c>
    </row>
    <row r="296" spans="1:20" x14ac:dyDescent="0.25">
      <c r="A296" s="5">
        <v>44288</v>
      </c>
      <c r="B296">
        <v>5.2867000000000001E-3</v>
      </c>
      <c r="C296">
        <v>7.0000000000000001E-3</v>
      </c>
      <c r="D296">
        <v>5.1849000000000001E-3</v>
      </c>
      <c r="E296">
        <v>6.9195000000000003E-3</v>
      </c>
      <c r="F296">
        <v>112064732213</v>
      </c>
      <c r="G296">
        <v>0</v>
      </c>
      <c r="L296" t="s">
        <v>8</v>
      </c>
      <c r="M296" t="s">
        <v>8</v>
      </c>
      <c r="N296" t="s">
        <v>8</v>
      </c>
      <c r="P296">
        <f t="shared" si="920"/>
        <v>0.91129965291168546</v>
      </c>
      <c r="Q296">
        <f t="shared" si="921"/>
        <v>102124551569.34787</v>
      </c>
      <c r="R296">
        <f t="shared" si="922"/>
        <v>179813818665.1424</v>
      </c>
      <c r="S296">
        <f t="shared" si="923"/>
        <v>1798138.186651424</v>
      </c>
      <c r="T296">
        <f t="shared" si="924"/>
        <v>1798.1381866514241</v>
      </c>
    </row>
    <row r="297" spans="1:20" x14ac:dyDescent="0.25">
      <c r="A297" s="5">
        <v>44287</v>
      </c>
      <c r="B297">
        <v>5.0629999999999998E-3</v>
      </c>
      <c r="C297">
        <v>5.7499999999999999E-3</v>
      </c>
      <c r="D297">
        <v>4.8510000000000003E-3</v>
      </c>
      <c r="E297">
        <v>5.2931999999999996E-3</v>
      </c>
      <c r="F297">
        <v>86183366725</v>
      </c>
      <c r="G297">
        <v>0</v>
      </c>
      <c r="L297" t="s">
        <v>8</v>
      </c>
      <c r="M297" t="s">
        <v>8</v>
      </c>
      <c r="N297" t="s">
        <v>8</v>
      </c>
      <c r="P297">
        <f t="shared" si="920"/>
        <v>-1.6240266963293552E-2</v>
      </c>
      <c r="Q297">
        <f t="shared" si="921"/>
        <v>-1399640883.4094303</v>
      </c>
      <c r="R297">
        <f t="shared" si="922"/>
        <v>77689267095.794525</v>
      </c>
      <c r="S297">
        <f t="shared" si="923"/>
        <v>776892.67095794529</v>
      </c>
      <c r="T297">
        <f t="shared" si="924"/>
        <v>776.89267095794526</v>
      </c>
    </row>
    <row r="298" spans="1:20" x14ac:dyDescent="0.25">
      <c r="A298" s="5">
        <v>44286</v>
      </c>
      <c r="B298">
        <v>4.5998999999999996E-3</v>
      </c>
      <c r="C298">
        <v>5.45E-3</v>
      </c>
      <c r="D298">
        <v>4.4343000000000004E-3</v>
      </c>
      <c r="E298">
        <v>5.0628000000000001E-3</v>
      </c>
      <c r="F298">
        <v>166123848274</v>
      </c>
      <c r="G298">
        <v>0</v>
      </c>
      <c r="L298" t="s">
        <v>8</v>
      </c>
      <c r="M298" t="s">
        <v>8</v>
      </c>
      <c r="N298" t="s">
        <v>8</v>
      </c>
      <c r="P298">
        <f t="shared" si="920"/>
        <v>0.23757014866594461</v>
      </c>
      <c r="Q298">
        <f t="shared" si="921"/>
        <v>39466067331.41301</v>
      </c>
      <c r="R298">
        <f t="shared" si="922"/>
        <v>79088907979.203949</v>
      </c>
      <c r="S298">
        <f t="shared" si="923"/>
        <v>790889.07979203947</v>
      </c>
      <c r="T298">
        <f t="shared" si="924"/>
        <v>790.88907979203952</v>
      </c>
    </row>
    <row r="299" spans="1:20" x14ac:dyDescent="0.25">
      <c r="A299" s="5">
        <v>44285</v>
      </c>
      <c r="B299">
        <v>3.7583999999999998E-3</v>
      </c>
      <c r="C299">
        <v>4.7311999999999996E-3</v>
      </c>
      <c r="D299">
        <v>3.7095000000000001E-3</v>
      </c>
      <c r="E299">
        <v>4.5999999999999999E-3</v>
      </c>
      <c r="F299">
        <v>145916634828</v>
      </c>
      <c r="G299">
        <v>0</v>
      </c>
      <c r="L299" t="s">
        <v>8</v>
      </c>
      <c r="M299" t="s">
        <v>8</v>
      </c>
      <c r="N299" t="s">
        <v>8</v>
      </c>
      <c r="P299">
        <f t="shared" si="920"/>
        <v>0.74317314280121405</v>
      </c>
      <c r="Q299">
        <f t="shared" si="921"/>
        <v>108441324092.10185</v>
      </c>
      <c r="R299">
        <f t="shared" si="922"/>
        <v>39622840647.790939</v>
      </c>
      <c r="S299">
        <f t="shared" si="923"/>
        <v>396228.40647790942</v>
      </c>
      <c r="T299">
        <f t="shared" si="924"/>
        <v>396.2284064779094</v>
      </c>
    </row>
    <row r="300" spans="1:20" x14ac:dyDescent="0.25">
      <c r="A300" s="5">
        <v>44284</v>
      </c>
      <c r="B300">
        <v>3.6107000000000001E-3</v>
      </c>
      <c r="C300">
        <v>3.9449999999999997E-3</v>
      </c>
      <c r="D300">
        <v>3.5119999999999999E-3</v>
      </c>
      <c r="E300">
        <v>3.7588000000000001E-3</v>
      </c>
      <c r="F300">
        <v>65143733727</v>
      </c>
      <c r="G300">
        <v>0</v>
      </c>
      <c r="L300" t="s">
        <v>8</v>
      </c>
      <c r="M300" t="s">
        <v>8</v>
      </c>
      <c r="N300" t="s">
        <v>8</v>
      </c>
      <c r="P300">
        <f t="shared" si="920"/>
        <v>0.1399538106235578</v>
      </c>
      <c r="Q300">
        <f t="shared" si="921"/>
        <v>9117113773.3400326</v>
      </c>
      <c r="R300">
        <f t="shared" si="922"/>
        <v>-68818483444.310913</v>
      </c>
      <c r="S300">
        <f t="shared" si="923"/>
        <v>-688184.83444310911</v>
      </c>
      <c r="T300">
        <f t="shared" si="924"/>
        <v>-688.18483444310914</v>
      </c>
    </row>
    <row r="301" spans="1:20" x14ac:dyDescent="0.25">
      <c r="A301" s="5">
        <v>44283</v>
      </c>
      <c r="B301">
        <v>3.7856000000000001E-3</v>
      </c>
      <c r="C301">
        <v>3.7956000000000001E-3</v>
      </c>
      <c r="D301">
        <v>3.5168E-3</v>
      </c>
      <c r="E301">
        <v>3.6099999999999999E-3</v>
      </c>
      <c r="F301">
        <v>54839210481</v>
      </c>
      <c r="G301">
        <v>0</v>
      </c>
      <c r="L301" t="s">
        <v>7</v>
      </c>
      <c r="M301" t="s">
        <v>8</v>
      </c>
      <c r="N301" t="s">
        <v>8</v>
      </c>
      <c r="P301">
        <f t="shared" si="920"/>
        <v>-0.33142037302726068</v>
      </c>
      <c r="Q301">
        <f t="shared" si="921"/>
        <v>-18174831594.133484</v>
      </c>
      <c r="R301">
        <f t="shared" si="922"/>
        <v>-77935597217.65094</v>
      </c>
      <c r="S301">
        <f t="shared" si="923"/>
        <v>-779355.97217650944</v>
      </c>
      <c r="T301">
        <f t="shared" si="924"/>
        <v>-779.35597217650945</v>
      </c>
    </row>
    <row r="302" spans="1:20" x14ac:dyDescent="0.25">
      <c r="A302" s="5">
        <v>44282</v>
      </c>
      <c r="B302">
        <v>3.5571999999999999E-3</v>
      </c>
      <c r="C302">
        <v>4.13E-3</v>
      </c>
      <c r="D302">
        <v>3.3698999999999999E-3</v>
      </c>
      <c r="E302">
        <v>3.7854999999999998E-3</v>
      </c>
      <c r="F302">
        <v>133716995861</v>
      </c>
      <c r="G302">
        <v>0</v>
      </c>
      <c r="L302" t="s">
        <v>8</v>
      </c>
      <c r="M302" t="s">
        <v>8</v>
      </c>
      <c r="N302" t="s">
        <v>8</v>
      </c>
      <c r="P302">
        <f t="shared" si="920"/>
        <v>9.3540323641625719E-2</v>
      </c>
      <c r="Q302">
        <f t="shared" si="921"/>
        <v>12507931069.223867</v>
      </c>
      <c r="R302">
        <f t="shared" si="922"/>
        <v>-59760765623.517448</v>
      </c>
      <c r="S302">
        <f t="shared" si="923"/>
        <v>-597607.65623517451</v>
      </c>
      <c r="T302">
        <f t="shared" si="924"/>
        <v>-597.60765623517455</v>
      </c>
    </row>
    <row r="303" spans="1:20" x14ac:dyDescent="0.25">
      <c r="A303" s="5">
        <v>44281</v>
      </c>
      <c r="B303">
        <v>3.1495E-3</v>
      </c>
      <c r="C303">
        <v>3.6250000000000002E-3</v>
      </c>
      <c r="D303">
        <v>3.1375000000000001E-3</v>
      </c>
      <c r="E303">
        <v>3.5571999999999999E-3</v>
      </c>
      <c r="F303">
        <v>63306598668</v>
      </c>
      <c r="G303">
        <v>0</v>
      </c>
      <c r="L303" t="s">
        <v>8</v>
      </c>
      <c r="M303" t="s">
        <v>8</v>
      </c>
      <c r="N303" t="s">
        <v>8</v>
      </c>
      <c r="P303">
        <f t="shared" si="920"/>
        <v>0.72184615384615292</v>
      </c>
      <c r="Q303">
        <f t="shared" si="921"/>
        <v>45697624761.577789</v>
      </c>
      <c r="R303">
        <f t="shared" si="922"/>
        <v>-72268696692.741318</v>
      </c>
      <c r="S303">
        <f t="shared" si="923"/>
        <v>-722686.96692741313</v>
      </c>
      <c r="T303">
        <f t="shared" si="924"/>
        <v>-722.6869669274131</v>
      </c>
    </row>
    <row r="304" spans="1:20" x14ac:dyDescent="0.25">
      <c r="A304" s="5">
        <v>44280</v>
      </c>
      <c r="B304">
        <v>3.1627000000000001E-3</v>
      </c>
      <c r="C304">
        <v>3.313E-3</v>
      </c>
      <c r="D304">
        <v>2.9740000000000001E-3</v>
      </c>
      <c r="E304">
        <v>3.1486999999999999E-3</v>
      </c>
      <c r="F304">
        <v>44203825778</v>
      </c>
      <c r="G304">
        <v>0</v>
      </c>
      <c r="L304" t="s">
        <v>7</v>
      </c>
      <c r="M304" t="s">
        <v>7</v>
      </c>
      <c r="N304" t="s">
        <v>8</v>
      </c>
      <c r="P304">
        <f t="shared" si="920"/>
        <v>3.0678466076695641E-2</v>
      </c>
      <c r="Q304">
        <f t="shared" si="921"/>
        <v>1356105569.5905373</v>
      </c>
      <c r="R304">
        <f t="shared" si="922"/>
        <v>-117966321454.31911</v>
      </c>
      <c r="S304">
        <f t="shared" si="923"/>
        <v>-1179663.214543191</v>
      </c>
      <c r="T304">
        <f t="shared" si="924"/>
        <v>-1179.6632145431911</v>
      </c>
    </row>
    <row r="305" spans="1:20" x14ac:dyDescent="0.25">
      <c r="A305" s="5">
        <v>44279</v>
      </c>
      <c r="B305">
        <v>3.0666999999999999E-3</v>
      </c>
      <c r="C305">
        <v>3.7328999999999999E-3</v>
      </c>
      <c r="D305">
        <v>2.9499999999999999E-3</v>
      </c>
      <c r="E305">
        <v>3.1633E-3</v>
      </c>
      <c r="F305">
        <v>89678746888</v>
      </c>
      <c r="G305">
        <v>0</v>
      </c>
      <c r="L305" t="s">
        <v>8</v>
      </c>
      <c r="M305" t="s">
        <v>8</v>
      </c>
      <c r="N305" t="s">
        <v>8</v>
      </c>
      <c r="P305">
        <f t="shared" si="920"/>
        <v>-0.45510282283816572</v>
      </c>
      <c r="Q305">
        <f t="shared" si="921"/>
        <v>-40813050857.318169</v>
      </c>
      <c r="R305">
        <f t="shared" si="922"/>
        <v>-119322427023.90964</v>
      </c>
      <c r="S305">
        <f t="shared" si="923"/>
        <v>-1193224.2702390964</v>
      </c>
      <c r="T305">
        <f t="shared" si="924"/>
        <v>-1193.2242702390963</v>
      </c>
    </row>
    <row r="306" spans="1:20" x14ac:dyDescent="0.25">
      <c r="A306" s="5">
        <v>44278</v>
      </c>
      <c r="B306">
        <v>3.2596000000000001E-3</v>
      </c>
      <c r="C306">
        <v>3.3904E-3</v>
      </c>
      <c r="D306">
        <v>2.9202999999999998E-3</v>
      </c>
      <c r="E306">
        <v>3.0655999999999999E-3</v>
      </c>
      <c r="F306">
        <v>55798348319</v>
      </c>
      <c r="G306">
        <v>0</v>
      </c>
      <c r="L306" t="s">
        <v>7</v>
      </c>
      <c r="M306" t="s">
        <v>7</v>
      </c>
      <c r="N306" t="s">
        <v>8</v>
      </c>
      <c r="P306">
        <f t="shared" si="920"/>
        <v>-0.38183365241437972</v>
      </c>
      <c r="Q306">
        <f t="shared" si="921"/>
        <v>-21305687137.333534</v>
      </c>
      <c r="R306">
        <f t="shared" si="922"/>
        <v>-78509376166.591476</v>
      </c>
      <c r="S306">
        <f t="shared" si="923"/>
        <v>-785093.76166591479</v>
      </c>
      <c r="T306">
        <f t="shared" si="924"/>
        <v>-785.09376166591483</v>
      </c>
    </row>
    <row r="307" spans="1:20" x14ac:dyDescent="0.25">
      <c r="A307" s="5">
        <v>44277</v>
      </c>
      <c r="B307">
        <v>3.6332999999999999E-3</v>
      </c>
      <c r="C307">
        <v>3.7190000000000001E-3</v>
      </c>
      <c r="D307">
        <v>3.0920000000000001E-3</v>
      </c>
      <c r="E307">
        <v>3.2545999999999999E-3</v>
      </c>
      <c r="F307">
        <v>78208653632</v>
      </c>
      <c r="G307">
        <v>0</v>
      </c>
      <c r="L307" t="s">
        <v>8</v>
      </c>
      <c r="M307" t="s">
        <v>8</v>
      </c>
      <c r="N307" t="s">
        <v>8</v>
      </c>
      <c r="P307">
        <f t="shared" si="920"/>
        <v>-0.48133971291866112</v>
      </c>
      <c r="Q307">
        <f t="shared" si="921"/>
        <v>-37644930886.98188</v>
      </c>
      <c r="R307">
        <f t="shared" si="922"/>
        <v>-57203689029.257942</v>
      </c>
      <c r="S307">
        <f t="shared" si="923"/>
        <v>-572036.89029257942</v>
      </c>
      <c r="T307">
        <f t="shared" si="924"/>
        <v>-572.03689029257941</v>
      </c>
    </row>
    <row r="308" spans="1:20" x14ac:dyDescent="0.25">
      <c r="A308" s="5">
        <v>44276</v>
      </c>
      <c r="B308">
        <v>2.8999999999999998E-3</v>
      </c>
      <c r="C308">
        <v>3.8874000000000001E-3</v>
      </c>
      <c r="D308">
        <v>2.8029999999999999E-3</v>
      </c>
      <c r="E308">
        <v>3.6300999999999998E-3</v>
      </c>
      <c r="F308">
        <v>139444672835</v>
      </c>
      <c r="G308">
        <v>0</v>
      </c>
      <c r="L308" t="s">
        <v>7</v>
      </c>
      <c r="M308" t="s">
        <v>7</v>
      </c>
      <c r="N308" t="s">
        <v>8</v>
      </c>
      <c r="P308">
        <f t="shared" si="920"/>
        <v>0.5254518627812611</v>
      </c>
      <c r="Q308">
        <f t="shared" si="921"/>
        <v>73271463096.074265</v>
      </c>
      <c r="R308">
        <f t="shared" si="922"/>
        <v>-19558758142.276062</v>
      </c>
      <c r="S308">
        <f t="shared" si="923"/>
        <v>-195587.58142276062</v>
      </c>
      <c r="T308">
        <f t="shared" si="924"/>
        <v>-195.58758142276062</v>
      </c>
    </row>
    <row r="309" spans="1:20" x14ac:dyDescent="0.25">
      <c r="A309" s="5">
        <v>44275</v>
      </c>
      <c r="B309">
        <v>2.3597000000000002E-3</v>
      </c>
      <c r="C309">
        <v>3.96E-3</v>
      </c>
      <c r="D309">
        <v>2.3536999999999998E-3</v>
      </c>
      <c r="E309">
        <v>2.8969999999999998E-3</v>
      </c>
      <c r="F309">
        <v>260497204580</v>
      </c>
      <c r="G309">
        <v>0</v>
      </c>
      <c r="L309" t="s">
        <v>8</v>
      </c>
      <c r="M309" t="s">
        <v>8</v>
      </c>
      <c r="N309" t="s">
        <v>8</v>
      </c>
      <c r="P309">
        <f t="shared" si="920"/>
        <v>-0.32353856689285942</v>
      </c>
      <c r="Q309">
        <f t="shared" si="921"/>
        <v>-84280892249.40921</v>
      </c>
      <c r="R309">
        <f t="shared" si="922"/>
        <v>-92830221238.350327</v>
      </c>
      <c r="S309">
        <f t="shared" si="923"/>
        <v>-928302.21238350321</v>
      </c>
      <c r="T309">
        <f t="shared" si="924"/>
        <v>-928.30221238350316</v>
      </c>
    </row>
    <row r="310" spans="1:20" x14ac:dyDescent="0.25">
      <c r="A310" s="5">
        <v>44274</v>
      </c>
      <c r="B310">
        <v>1.6378E-3</v>
      </c>
      <c r="C310">
        <v>2.5549000000000001E-3</v>
      </c>
      <c r="D310">
        <v>1.6264000000000001E-3</v>
      </c>
      <c r="E310">
        <v>2.3533E-3</v>
      </c>
      <c r="F310">
        <v>164488830008</v>
      </c>
      <c r="G310">
        <v>0</v>
      </c>
      <c r="L310" t="s">
        <v>8</v>
      </c>
      <c r="M310" t="s">
        <v>8</v>
      </c>
      <c r="N310" t="s">
        <v>8</v>
      </c>
      <c r="P310">
        <f t="shared" si="920"/>
        <v>0.56575121163166375</v>
      </c>
      <c r="Q310">
        <f t="shared" si="921"/>
        <v>93059754876.900772</v>
      </c>
      <c r="R310">
        <f t="shared" si="922"/>
        <v>-8549328988.9411163</v>
      </c>
      <c r="S310">
        <f t="shared" si="923"/>
        <v>-85493.289889411157</v>
      </c>
      <c r="T310">
        <f t="shared" si="924"/>
        <v>-85.493289889411159</v>
      </c>
    </row>
    <row r="311" spans="1:20" x14ac:dyDescent="0.25">
      <c r="A311" s="5">
        <v>44273</v>
      </c>
      <c r="B311">
        <v>1.6532000000000001E-3</v>
      </c>
      <c r="C311">
        <v>1.686E-3</v>
      </c>
      <c r="D311">
        <v>1.5891E-3</v>
      </c>
      <c r="E311">
        <v>1.6375999999999999E-3</v>
      </c>
      <c r="F311">
        <v>30382391931</v>
      </c>
      <c r="G311">
        <v>0</v>
      </c>
      <c r="L311" t="s">
        <v>7</v>
      </c>
      <c r="M311" t="s">
        <v>7</v>
      </c>
      <c r="N311" t="s">
        <v>8</v>
      </c>
      <c r="P311">
        <f t="shared" si="920"/>
        <v>1.031991744064394E-3</v>
      </c>
      <c r="Q311">
        <f t="shared" si="921"/>
        <v>31354377.637720659</v>
      </c>
      <c r="R311">
        <f t="shared" si="922"/>
        <v>-101609083865.84189</v>
      </c>
      <c r="S311">
        <f t="shared" si="923"/>
        <v>-1016090.8386584189</v>
      </c>
      <c r="T311">
        <f t="shared" si="924"/>
        <v>-1016.0908386584189</v>
      </c>
    </row>
    <row r="312" spans="1:20" x14ac:dyDescent="0.25">
      <c r="A312" s="5">
        <v>44272</v>
      </c>
      <c r="B312">
        <v>1.6198E-3</v>
      </c>
      <c r="C312">
        <v>1.7317000000000001E-3</v>
      </c>
      <c r="D312">
        <v>1.537E-3</v>
      </c>
      <c r="E312">
        <v>1.6532000000000001E-3</v>
      </c>
      <c r="F312">
        <v>36245429440</v>
      </c>
      <c r="G312">
        <v>0</v>
      </c>
      <c r="L312" t="s">
        <v>8</v>
      </c>
      <c r="M312" t="s">
        <v>7</v>
      </c>
      <c r="N312" t="s">
        <v>8</v>
      </c>
      <c r="P312">
        <f t="shared" si="920"/>
        <v>0.19363122752953302</v>
      </c>
      <c r="Q312">
        <f t="shared" si="921"/>
        <v>7018246994.8022747</v>
      </c>
      <c r="R312">
        <f t="shared" si="922"/>
        <v>-101640438243.47961</v>
      </c>
      <c r="S312">
        <f t="shared" si="923"/>
        <v>-1016404.3824347962</v>
      </c>
      <c r="T312">
        <f t="shared" si="924"/>
        <v>-1016.4043824347962</v>
      </c>
    </row>
    <row r="313" spans="1:20" x14ac:dyDescent="0.25">
      <c r="A313" s="5">
        <v>44271</v>
      </c>
      <c r="B313">
        <v>1.6236E-3</v>
      </c>
      <c r="C313">
        <v>1.6458E-3</v>
      </c>
      <c r="D313">
        <v>1.5269999999999999E-3</v>
      </c>
      <c r="E313">
        <v>1.6199000000000001E-3</v>
      </c>
      <c r="F313">
        <v>28873886856</v>
      </c>
      <c r="G313">
        <v>0</v>
      </c>
      <c r="L313" t="s">
        <v>8</v>
      </c>
      <c r="M313" t="s">
        <v>7</v>
      </c>
      <c r="N313" t="s">
        <v>8</v>
      </c>
      <c r="P313">
        <f t="shared" si="920"/>
        <v>0.56397306397306546</v>
      </c>
      <c r="Q313">
        <f t="shared" si="921"/>
        <v>16284094438.989943</v>
      </c>
      <c r="R313">
        <f t="shared" si="922"/>
        <v>-108658685238.28189</v>
      </c>
      <c r="S313">
        <f t="shared" si="923"/>
        <v>-1086586.8523828189</v>
      </c>
      <c r="T313">
        <f t="shared" si="924"/>
        <v>-1086.586852382819</v>
      </c>
    </row>
    <row r="314" spans="1:20" x14ac:dyDescent="0.25">
      <c r="A314" s="5">
        <v>44270</v>
      </c>
      <c r="B314">
        <v>1.6818E-3</v>
      </c>
      <c r="C314">
        <v>1.8047E-3</v>
      </c>
      <c r="D314">
        <v>1.5347E-3</v>
      </c>
      <c r="E314">
        <v>1.6236E-3</v>
      </c>
      <c r="F314">
        <v>47063329685</v>
      </c>
      <c r="G314">
        <v>0</v>
      </c>
      <c r="L314" t="s">
        <v>7</v>
      </c>
      <c r="M314" t="s">
        <v>7</v>
      </c>
      <c r="N314" t="s">
        <v>8</v>
      </c>
      <c r="P314">
        <f t="shared" si="920"/>
        <v>-0.34148148148148127</v>
      </c>
      <c r="Q314">
        <f t="shared" si="921"/>
        <v>-16071255544.285175</v>
      </c>
      <c r="R314">
        <f t="shared" si="922"/>
        <v>-124942779677.27184</v>
      </c>
      <c r="S314">
        <f t="shared" si="923"/>
        <v>-1249427.7967727184</v>
      </c>
      <c r="T314">
        <f t="shared" si="924"/>
        <v>-1249.4277967727185</v>
      </c>
    </row>
    <row r="315" spans="1:20" x14ac:dyDescent="0.25">
      <c r="A315" s="5">
        <v>44269</v>
      </c>
      <c r="B315">
        <v>1.6915000000000001E-3</v>
      </c>
      <c r="C315">
        <v>1.8966E-3</v>
      </c>
      <c r="D315">
        <v>1.5724000000000001E-3</v>
      </c>
      <c r="E315">
        <v>1.6818E-3</v>
      </c>
      <c r="F315">
        <v>84489589364</v>
      </c>
      <c r="G315">
        <v>0</v>
      </c>
      <c r="L315" t="s">
        <v>7</v>
      </c>
      <c r="M315" t="s">
        <v>7</v>
      </c>
      <c r="N315" t="s">
        <v>8</v>
      </c>
      <c r="P315">
        <f t="shared" si="920"/>
        <v>-0.32510795805058629</v>
      </c>
      <c r="Q315">
        <f t="shared" si="921"/>
        <v>-27468237874.662575</v>
      </c>
      <c r="R315">
        <f t="shared" si="922"/>
        <v>-108871524132.98666</v>
      </c>
      <c r="S315">
        <f t="shared" si="923"/>
        <v>-1088715.2413298667</v>
      </c>
      <c r="T315">
        <f t="shared" si="924"/>
        <v>-1088.7152413298668</v>
      </c>
    </row>
    <row r="316" spans="1:20" x14ac:dyDescent="0.25">
      <c r="A316" s="5">
        <v>44268</v>
      </c>
      <c r="B316">
        <v>1.3144999999999999E-3</v>
      </c>
      <c r="C316">
        <v>1.9997999999999999E-3</v>
      </c>
      <c r="D316">
        <v>1.2956000000000001E-3</v>
      </c>
      <c r="E316">
        <v>1.6927999999999999E-3</v>
      </c>
      <c r="F316">
        <v>125113511388</v>
      </c>
      <c r="G316">
        <v>0</v>
      </c>
      <c r="L316" t="s">
        <v>8</v>
      </c>
      <c r="M316" t="s">
        <v>8</v>
      </c>
      <c r="N316" t="s">
        <v>8</v>
      </c>
      <c r="P316">
        <f t="shared" si="920"/>
        <v>0.12808861119000275</v>
      </c>
      <c r="Q316">
        <f t="shared" si="921"/>
        <v>16025615914.793514</v>
      </c>
      <c r="R316">
        <f t="shared" si="922"/>
        <v>-81403286258.324097</v>
      </c>
      <c r="S316">
        <f t="shared" si="923"/>
        <v>-814032.86258324096</v>
      </c>
      <c r="T316">
        <f t="shared" si="924"/>
        <v>-814.03286258324101</v>
      </c>
    </row>
    <row r="317" spans="1:20" x14ac:dyDescent="0.25">
      <c r="A317" s="5">
        <v>44267</v>
      </c>
      <c r="B317">
        <v>1.3883999999999999E-3</v>
      </c>
      <c r="C317">
        <v>1.3967999999999999E-3</v>
      </c>
      <c r="D317">
        <v>1.2788000000000001E-3</v>
      </c>
      <c r="E317">
        <v>1.3140000000000001E-3</v>
      </c>
      <c r="F317">
        <v>20228391701</v>
      </c>
      <c r="G317">
        <v>0</v>
      </c>
      <c r="L317" t="s">
        <v>7</v>
      </c>
      <c r="M317" t="s">
        <v>7</v>
      </c>
      <c r="N317" t="s">
        <v>8</v>
      </c>
      <c r="P317">
        <f t="shared" ref="P317:P380" si="925">IF(C317=D317,0,((E317-D317)-(C317-E317))/(C317-D317))</f>
        <v>-0.40338983050847393</v>
      </c>
      <c r="Q317">
        <f t="shared" ref="Q317:Q380" si="926">F317*P317</f>
        <v>-8159927499.7254105</v>
      </c>
      <c r="R317">
        <f t="shared" ref="R317:R380" si="927">R318+Q317</f>
        <v>-97428902173.117615</v>
      </c>
      <c r="S317">
        <f t="shared" ref="S317:S380" si="928">R317/100000</f>
        <v>-974289.02173117618</v>
      </c>
      <c r="T317">
        <f t="shared" ref="T317:T380" si="929">S317/1000</f>
        <v>-974.28902173117615</v>
      </c>
    </row>
    <row r="318" spans="1:20" x14ac:dyDescent="0.25">
      <c r="A318" s="5">
        <v>44266</v>
      </c>
      <c r="B318">
        <v>1.4231000000000001E-3</v>
      </c>
      <c r="C318">
        <v>1.4369000000000001E-3</v>
      </c>
      <c r="D318">
        <v>1.3518E-3</v>
      </c>
      <c r="E318">
        <v>1.3878E-3</v>
      </c>
      <c r="F318">
        <v>18180189083</v>
      </c>
      <c r="G318">
        <v>0</v>
      </c>
      <c r="L318" t="s">
        <v>7</v>
      </c>
      <c r="M318" t="s">
        <v>8</v>
      </c>
      <c r="N318" t="s">
        <v>8</v>
      </c>
      <c r="P318">
        <f t="shared" si="925"/>
        <v>-0.15393654524089351</v>
      </c>
      <c r="Q318">
        <f t="shared" si="926"/>
        <v>-2798595499.2632279</v>
      </c>
      <c r="R318">
        <f t="shared" si="927"/>
        <v>-89268974673.392212</v>
      </c>
      <c r="S318">
        <f t="shared" si="928"/>
        <v>-892689.74673392216</v>
      </c>
      <c r="T318">
        <f t="shared" si="929"/>
        <v>-892.68974673392211</v>
      </c>
    </row>
    <row r="319" spans="1:20" x14ac:dyDescent="0.25">
      <c r="A319" s="5">
        <v>44265</v>
      </c>
      <c r="B319">
        <v>1.3385000000000001E-3</v>
      </c>
      <c r="C319">
        <v>1.573E-3</v>
      </c>
      <c r="D319">
        <v>1.2875E-3</v>
      </c>
      <c r="E319">
        <v>1.4247999999999999E-3</v>
      </c>
      <c r="F319">
        <v>42915503035</v>
      </c>
      <c r="G319">
        <v>0</v>
      </c>
      <c r="L319" t="s">
        <v>8</v>
      </c>
      <c r="M319" t="s">
        <v>8</v>
      </c>
      <c r="N319" t="s">
        <v>8</v>
      </c>
      <c r="P319">
        <f t="shared" si="925"/>
        <v>-3.8178633975481976E-2</v>
      </c>
      <c r="Q319">
        <f t="shared" si="926"/>
        <v>-1638455282.2469509</v>
      </c>
      <c r="R319">
        <f t="shared" si="927"/>
        <v>-86470379174.128983</v>
      </c>
      <c r="S319">
        <f t="shared" si="928"/>
        <v>-864703.79174128978</v>
      </c>
      <c r="T319">
        <f t="shared" si="929"/>
        <v>-864.70379174128982</v>
      </c>
    </row>
    <row r="320" spans="1:20" x14ac:dyDescent="0.25">
      <c r="A320" s="5">
        <v>44264</v>
      </c>
      <c r="B320">
        <v>1.291E-3</v>
      </c>
      <c r="C320">
        <v>1.3799999999999999E-3</v>
      </c>
      <c r="D320">
        <v>1.2608999999999999E-3</v>
      </c>
      <c r="E320">
        <v>1.3393000000000001E-3</v>
      </c>
      <c r="F320">
        <v>30036745223</v>
      </c>
      <c r="G320">
        <v>0</v>
      </c>
      <c r="L320" t="s">
        <v>7</v>
      </c>
      <c r="M320" t="s">
        <v>8</v>
      </c>
      <c r="N320" t="s">
        <v>8</v>
      </c>
      <c r="P320">
        <f t="shared" si="925"/>
        <v>0.31654072208228645</v>
      </c>
      <c r="Q320">
        <f t="shared" si="926"/>
        <v>9507853021.890089</v>
      </c>
      <c r="R320">
        <f t="shared" si="927"/>
        <v>-84831923891.882034</v>
      </c>
      <c r="S320">
        <f t="shared" si="928"/>
        <v>-848319.2389188204</v>
      </c>
      <c r="T320">
        <f t="shared" si="929"/>
        <v>-848.31923891882036</v>
      </c>
    </row>
    <row r="321" spans="1:20" x14ac:dyDescent="0.25">
      <c r="A321" s="5">
        <v>44263</v>
      </c>
      <c r="B321">
        <v>1.2524000000000001E-3</v>
      </c>
      <c r="C321">
        <v>1.4E-3</v>
      </c>
      <c r="D321">
        <v>1.212E-3</v>
      </c>
      <c r="E321">
        <v>1.2880999999999999E-3</v>
      </c>
      <c r="F321">
        <v>28718186618</v>
      </c>
      <c r="G321">
        <v>0</v>
      </c>
      <c r="L321" t="s">
        <v>8</v>
      </c>
      <c r="M321" t="s">
        <v>8</v>
      </c>
      <c r="N321" t="s">
        <v>8</v>
      </c>
      <c r="P321">
        <f t="shared" si="925"/>
        <v>-0.1904255319148942</v>
      </c>
      <c r="Q321">
        <f t="shared" si="926"/>
        <v>-5468675962.3638468</v>
      </c>
      <c r="R321">
        <f t="shared" si="927"/>
        <v>-94339776913.772125</v>
      </c>
      <c r="S321">
        <f t="shared" si="928"/>
        <v>-943397.76913772128</v>
      </c>
      <c r="T321">
        <f t="shared" si="929"/>
        <v>-943.3977691377213</v>
      </c>
    </row>
    <row r="322" spans="1:20" x14ac:dyDescent="0.25">
      <c r="A322" s="5">
        <v>44262</v>
      </c>
      <c r="B322">
        <v>1.23E-3</v>
      </c>
      <c r="C322">
        <v>1.2669999999999999E-3</v>
      </c>
      <c r="D322">
        <v>1.2209E-3</v>
      </c>
      <c r="E322">
        <v>1.2523E-3</v>
      </c>
      <c r="F322">
        <v>12434744069</v>
      </c>
      <c r="G322">
        <v>0</v>
      </c>
      <c r="L322" t="s">
        <v>8</v>
      </c>
      <c r="M322" t="s">
        <v>8</v>
      </c>
      <c r="N322" t="s">
        <v>7</v>
      </c>
      <c r="P322">
        <f t="shared" si="925"/>
        <v>0.36225596529284559</v>
      </c>
      <c r="Q322">
        <f t="shared" si="926"/>
        <v>4504560215.8850813</v>
      </c>
      <c r="R322">
        <f t="shared" si="927"/>
        <v>-88871100951.408279</v>
      </c>
      <c r="S322">
        <f t="shared" si="928"/>
        <v>-888711.00951408281</v>
      </c>
      <c r="T322">
        <f t="shared" si="929"/>
        <v>-888.71100951408278</v>
      </c>
    </row>
    <row r="323" spans="1:20" x14ac:dyDescent="0.25">
      <c r="A323" s="5">
        <v>44261</v>
      </c>
      <c r="B323">
        <v>1.2325000000000001E-3</v>
      </c>
      <c r="C323">
        <v>1.2800000000000001E-3</v>
      </c>
      <c r="D323">
        <v>1.1904999999999999E-3</v>
      </c>
      <c r="E323">
        <v>1.2304E-3</v>
      </c>
      <c r="F323">
        <v>12990682103</v>
      </c>
      <c r="G323">
        <v>0</v>
      </c>
      <c r="L323" t="s">
        <v>8</v>
      </c>
      <c r="M323" t="s">
        <v>8</v>
      </c>
      <c r="N323" t="s">
        <v>7</v>
      </c>
      <c r="P323">
        <f t="shared" si="925"/>
        <v>-0.10837988826815703</v>
      </c>
      <c r="Q323">
        <f t="shared" si="926"/>
        <v>-1407928674.8502872</v>
      </c>
      <c r="R323">
        <f t="shared" si="927"/>
        <v>-93375661167.293365</v>
      </c>
      <c r="S323">
        <f t="shared" si="928"/>
        <v>-933756.61167293368</v>
      </c>
      <c r="T323">
        <f t="shared" si="929"/>
        <v>-933.75661167293367</v>
      </c>
    </row>
    <row r="324" spans="1:20" x14ac:dyDescent="0.25">
      <c r="A324" s="5">
        <v>44260</v>
      </c>
      <c r="B324">
        <v>1.1996999999999999E-3</v>
      </c>
      <c r="C324">
        <v>1.2589999999999999E-3</v>
      </c>
      <c r="D324">
        <v>1.1402000000000001E-3</v>
      </c>
      <c r="E324">
        <v>1.2321000000000001E-3</v>
      </c>
      <c r="F324">
        <v>24757755048</v>
      </c>
      <c r="G324">
        <v>0</v>
      </c>
      <c r="L324" t="s">
        <v>7</v>
      </c>
      <c r="M324" t="s">
        <v>8</v>
      </c>
      <c r="N324" t="s">
        <v>7</v>
      </c>
      <c r="P324">
        <f t="shared" si="925"/>
        <v>0.54713804713804925</v>
      </c>
      <c r="Q324">
        <f t="shared" si="926"/>
        <v>13545909748.484901</v>
      </c>
      <c r="R324">
        <f t="shared" si="927"/>
        <v>-91967732492.443085</v>
      </c>
      <c r="S324">
        <f t="shared" si="928"/>
        <v>-919677.32492443081</v>
      </c>
      <c r="T324">
        <f t="shared" si="929"/>
        <v>-919.67732492443076</v>
      </c>
    </row>
    <row r="325" spans="1:20" x14ac:dyDescent="0.25">
      <c r="A325" s="5">
        <v>44259</v>
      </c>
      <c r="B325">
        <v>1.2332000000000001E-3</v>
      </c>
      <c r="C325">
        <v>1.2699E-3</v>
      </c>
      <c r="D325">
        <v>1.1586000000000001E-3</v>
      </c>
      <c r="E325">
        <v>1.1999000000000001E-3</v>
      </c>
      <c r="F325">
        <v>15044851385</v>
      </c>
      <c r="G325">
        <v>0</v>
      </c>
      <c r="L325" t="s">
        <v>7</v>
      </c>
      <c r="M325" t="s">
        <v>8</v>
      </c>
      <c r="N325" t="s">
        <v>7</v>
      </c>
      <c r="P325">
        <f t="shared" si="925"/>
        <v>-0.25786163522012584</v>
      </c>
      <c r="Q325">
        <f t="shared" si="926"/>
        <v>-3879489979.7798748</v>
      </c>
      <c r="R325">
        <f t="shared" si="927"/>
        <v>-105513642240.92798</v>
      </c>
      <c r="S325">
        <f t="shared" si="928"/>
        <v>-1055136.4224092797</v>
      </c>
      <c r="T325">
        <f t="shared" si="929"/>
        <v>-1055.1364224092797</v>
      </c>
    </row>
    <row r="326" spans="1:20" x14ac:dyDescent="0.25">
      <c r="A326" s="5">
        <v>44258</v>
      </c>
      <c r="B326">
        <v>1.2107999999999999E-3</v>
      </c>
      <c r="C326">
        <v>1.2700000000000001E-3</v>
      </c>
      <c r="D326">
        <v>1.1872E-3</v>
      </c>
      <c r="E326">
        <v>1.2321999999999999E-3</v>
      </c>
      <c r="F326">
        <v>17608455536</v>
      </c>
      <c r="G326">
        <v>0</v>
      </c>
      <c r="L326" t="s">
        <v>7</v>
      </c>
      <c r="M326" t="s">
        <v>8</v>
      </c>
      <c r="N326" t="s">
        <v>7</v>
      </c>
      <c r="P326">
        <f t="shared" si="925"/>
        <v>8.695652173912724E-2</v>
      </c>
      <c r="Q326">
        <f t="shared" si="926"/>
        <v>1531170046.6086395</v>
      </c>
      <c r="R326">
        <f t="shared" si="927"/>
        <v>-101634152261.1481</v>
      </c>
      <c r="S326">
        <f t="shared" si="928"/>
        <v>-1016341.522611481</v>
      </c>
      <c r="T326">
        <f t="shared" si="929"/>
        <v>-1016.341522611481</v>
      </c>
    </row>
    <row r="327" spans="1:20" x14ac:dyDescent="0.25">
      <c r="A327" s="5">
        <v>44257</v>
      </c>
      <c r="B327">
        <v>1.2493000000000001E-3</v>
      </c>
      <c r="C327">
        <v>1.2729E-3</v>
      </c>
      <c r="D327">
        <v>1.1662E-3</v>
      </c>
      <c r="E327">
        <v>1.2107999999999999E-3</v>
      </c>
      <c r="F327">
        <v>11703942176</v>
      </c>
      <c r="G327">
        <v>0</v>
      </c>
      <c r="L327" t="s">
        <v>8</v>
      </c>
      <c r="M327" t="s">
        <v>8</v>
      </c>
      <c r="N327" t="s">
        <v>7</v>
      </c>
      <c r="P327">
        <f t="shared" si="925"/>
        <v>-0.16401124648547483</v>
      </c>
      <c r="Q327">
        <f t="shared" si="926"/>
        <v>-1919578145.0796807</v>
      </c>
      <c r="R327">
        <f t="shared" si="927"/>
        <v>-103165322307.75674</v>
      </c>
      <c r="S327">
        <f t="shared" si="928"/>
        <v>-1031653.2230775674</v>
      </c>
      <c r="T327">
        <f t="shared" si="929"/>
        <v>-1031.6532230775674</v>
      </c>
    </row>
    <row r="328" spans="1:20" x14ac:dyDescent="0.25">
      <c r="A328" s="5">
        <v>44256</v>
      </c>
      <c r="B328">
        <v>1.1432E-3</v>
      </c>
      <c r="C328">
        <v>1.2619E-3</v>
      </c>
      <c r="D328">
        <v>1.1309E-3</v>
      </c>
      <c r="E328">
        <v>1.2490999999999999E-3</v>
      </c>
      <c r="F328">
        <v>20840142209</v>
      </c>
      <c r="G328">
        <v>0</v>
      </c>
      <c r="L328" t="s">
        <v>8</v>
      </c>
      <c r="M328" t="s">
        <v>8</v>
      </c>
      <c r="N328" t="s">
        <v>7</v>
      </c>
      <c r="P328">
        <f t="shared" si="925"/>
        <v>0.80458015267175431</v>
      </c>
      <c r="Q328">
        <f t="shared" si="926"/>
        <v>16767564800.21829</v>
      </c>
      <c r="R328">
        <f t="shared" si="927"/>
        <v>-101245744162.67706</v>
      </c>
      <c r="S328">
        <f t="shared" si="928"/>
        <v>-1012457.4416267707</v>
      </c>
      <c r="T328">
        <f t="shared" si="929"/>
        <v>-1012.4574416267707</v>
      </c>
    </row>
    <row r="329" spans="1:20" x14ac:dyDescent="0.25">
      <c r="A329" s="5">
        <v>44255</v>
      </c>
      <c r="B329">
        <v>1.2597999999999999E-3</v>
      </c>
      <c r="C329">
        <v>1.2731999999999999E-3</v>
      </c>
      <c r="D329">
        <v>1.0413E-3</v>
      </c>
      <c r="E329">
        <v>1.1421999999999999E-3</v>
      </c>
      <c r="F329">
        <v>21207348599</v>
      </c>
      <c r="G329">
        <v>0</v>
      </c>
      <c r="L329" t="s">
        <v>7</v>
      </c>
      <c r="M329" t="s">
        <v>7</v>
      </c>
      <c r="N329" t="s">
        <v>7</v>
      </c>
      <c r="P329">
        <f t="shared" si="925"/>
        <v>-0.12979732643380829</v>
      </c>
      <c r="Q329">
        <f t="shared" si="926"/>
        <v>-2752657148.8999696</v>
      </c>
      <c r="R329">
        <f t="shared" si="927"/>
        <v>-118013308962.89536</v>
      </c>
      <c r="S329">
        <f t="shared" si="928"/>
        <v>-1180133.0896289535</v>
      </c>
      <c r="T329">
        <f t="shared" si="929"/>
        <v>-1180.1330896289535</v>
      </c>
    </row>
    <row r="330" spans="1:20" x14ac:dyDescent="0.25">
      <c r="A330" s="5">
        <v>44254</v>
      </c>
      <c r="B330">
        <v>1.2715999999999999E-3</v>
      </c>
      <c r="C330">
        <v>1.3381000000000001E-3</v>
      </c>
      <c r="D330">
        <v>1.2401000000000001E-3</v>
      </c>
      <c r="E330">
        <v>1.2604999999999999E-3</v>
      </c>
      <c r="F330">
        <v>14844047680</v>
      </c>
      <c r="G330">
        <v>0</v>
      </c>
      <c r="L330" t="s">
        <v>8</v>
      </c>
      <c r="M330" t="s">
        <v>7</v>
      </c>
      <c r="N330" t="s">
        <v>8</v>
      </c>
      <c r="P330">
        <f t="shared" si="925"/>
        <v>-0.58367346938775821</v>
      </c>
      <c r="Q330">
        <f t="shared" si="926"/>
        <v>-8664076809.1429043</v>
      </c>
      <c r="R330">
        <f t="shared" si="927"/>
        <v>-115260651813.99539</v>
      </c>
      <c r="S330">
        <f t="shared" si="928"/>
        <v>-1152606.518139954</v>
      </c>
      <c r="T330">
        <f t="shared" si="929"/>
        <v>-1152.606518139954</v>
      </c>
    </row>
    <row r="331" spans="1:20" x14ac:dyDescent="0.25">
      <c r="A331" s="5">
        <v>44253</v>
      </c>
      <c r="B331">
        <v>1.3224000000000001E-3</v>
      </c>
      <c r="C331">
        <v>1.364E-3</v>
      </c>
      <c r="D331">
        <v>1.217E-3</v>
      </c>
      <c r="E331">
        <v>1.2715999999999999E-3</v>
      </c>
      <c r="F331">
        <v>18900500318</v>
      </c>
      <c r="G331">
        <v>0</v>
      </c>
      <c r="L331" t="s">
        <v>7</v>
      </c>
      <c r="M331" t="s">
        <v>7</v>
      </c>
      <c r="N331" t="s">
        <v>8</v>
      </c>
      <c r="P331">
        <f t="shared" si="925"/>
        <v>-0.25714285714285823</v>
      </c>
      <c r="Q331">
        <f t="shared" si="926"/>
        <v>-4860128653.2000208</v>
      </c>
      <c r="R331">
        <f t="shared" si="927"/>
        <v>-106596575004.85249</v>
      </c>
      <c r="S331">
        <f t="shared" si="928"/>
        <v>-1065965.7500485249</v>
      </c>
      <c r="T331">
        <f t="shared" si="929"/>
        <v>-1065.965750048525</v>
      </c>
    </row>
    <row r="332" spans="1:20" x14ac:dyDescent="0.25">
      <c r="A332" s="5">
        <v>44252</v>
      </c>
      <c r="B332">
        <v>1.4296000000000001E-3</v>
      </c>
      <c r="C332">
        <v>1.49E-3</v>
      </c>
      <c r="D332">
        <v>1.3106999999999999E-3</v>
      </c>
      <c r="E332">
        <v>1.3209999999999999E-3</v>
      </c>
      <c r="F332">
        <v>18388159340</v>
      </c>
      <c r="G332">
        <v>0</v>
      </c>
      <c r="L332" t="s">
        <v>7</v>
      </c>
      <c r="M332" t="s">
        <v>7</v>
      </c>
      <c r="N332" t="s">
        <v>8</v>
      </c>
      <c r="P332">
        <f t="shared" si="925"/>
        <v>-0.88510875627440078</v>
      </c>
      <c r="Q332">
        <f t="shared" si="926"/>
        <v>-16275520843.602907</v>
      </c>
      <c r="R332">
        <f t="shared" si="927"/>
        <v>-101736446351.65247</v>
      </c>
      <c r="S332">
        <f t="shared" si="928"/>
        <v>-1017364.4635165246</v>
      </c>
      <c r="T332">
        <f t="shared" si="929"/>
        <v>-1017.3644635165247</v>
      </c>
    </row>
    <row r="333" spans="1:20" x14ac:dyDescent="0.25">
      <c r="A333" s="5">
        <v>44251</v>
      </c>
      <c r="B333">
        <v>1.3646000000000001E-3</v>
      </c>
      <c r="C333">
        <v>1.5349999999999999E-3</v>
      </c>
      <c r="D333">
        <v>1.305E-3</v>
      </c>
      <c r="E333">
        <v>1.4289000000000001E-3</v>
      </c>
      <c r="F333">
        <v>31609420895</v>
      </c>
      <c r="G333">
        <v>0</v>
      </c>
      <c r="L333" t="s">
        <v>8</v>
      </c>
      <c r="M333" t="s">
        <v>8</v>
      </c>
      <c r="N333" t="s">
        <v>8</v>
      </c>
      <c r="P333">
        <f t="shared" si="925"/>
        <v>7.7391304347827511E-2</v>
      </c>
      <c r="Q333">
        <f t="shared" si="926"/>
        <v>2446294312.7435231</v>
      </c>
      <c r="R333">
        <f t="shared" si="927"/>
        <v>-85460925508.049561</v>
      </c>
      <c r="S333">
        <f t="shared" si="928"/>
        <v>-854609.25508049561</v>
      </c>
      <c r="T333">
        <f t="shared" si="929"/>
        <v>-854.60925508049559</v>
      </c>
    </row>
    <row r="334" spans="1:20" x14ac:dyDescent="0.25">
      <c r="A334" s="5">
        <v>44250</v>
      </c>
      <c r="B334">
        <v>1.6842999999999999E-3</v>
      </c>
      <c r="C334">
        <v>1.7033E-3</v>
      </c>
      <c r="D334">
        <v>1.0120000000000001E-3</v>
      </c>
      <c r="E334">
        <v>1.3669999999999999E-3</v>
      </c>
      <c r="F334">
        <v>59110965287</v>
      </c>
      <c r="G334">
        <v>0</v>
      </c>
      <c r="L334" t="s">
        <v>7</v>
      </c>
      <c r="M334" t="s">
        <v>7</v>
      </c>
      <c r="N334" t="s">
        <v>7</v>
      </c>
      <c r="P334">
        <f t="shared" si="925"/>
        <v>2.705048459424237E-2</v>
      </c>
      <c r="Q334">
        <f t="shared" si="926"/>
        <v>1598980255.8467891</v>
      </c>
      <c r="R334">
        <f t="shared" si="927"/>
        <v>-87907219820.793091</v>
      </c>
      <c r="S334">
        <f t="shared" si="928"/>
        <v>-879072.19820793089</v>
      </c>
      <c r="T334">
        <f t="shared" si="929"/>
        <v>-879.07219820793091</v>
      </c>
    </row>
    <row r="335" spans="1:20" x14ac:dyDescent="0.25">
      <c r="A335" s="5">
        <v>44249</v>
      </c>
      <c r="B335">
        <v>1.7390999999999999E-3</v>
      </c>
      <c r="C335">
        <v>1.98E-3</v>
      </c>
      <c r="D335">
        <v>1.3776999999999999E-3</v>
      </c>
      <c r="E335">
        <v>1.6865999999999999E-3</v>
      </c>
      <c r="F335">
        <v>97100047203</v>
      </c>
      <c r="G335">
        <v>0</v>
      </c>
      <c r="L335" t="s">
        <v>8</v>
      </c>
      <c r="M335" t="s">
        <v>8</v>
      </c>
      <c r="N335" t="s">
        <v>7</v>
      </c>
      <c r="P335">
        <f t="shared" si="925"/>
        <v>2.5734683712435476E-2</v>
      </c>
      <c r="Q335">
        <f t="shared" si="926"/>
        <v>2498839003.23176</v>
      </c>
      <c r="R335">
        <f t="shared" si="927"/>
        <v>-89506200076.639877</v>
      </c>
      <c r="S335">
        <f t="shared" si="928"/>
        <v>-895062.00076639873</v>
      </c>
      <c r="T335">
        <f t="shared" si="929"/>
        <v>-895.06200076639868</v>
      </c>
    </row>
    <row r="336" spans="1:20" x14ac:dyDescent="0.25">
      <c r="A336" s="5">
        <v>44248</v>
      </c>
      <c r="B336">
        <v>1.4875999999999999E-3</v>
      </c>
      <c r="C336">
        <v>1.8852000000000001E-3</v>
      </c>
      <c r="D336">
        <v>1.4122E-3</v>
      </c>
      <c r="E336">
        <v>1.7378000000000001E-3</v>
      </c>
      <c r="F336">
        <v>93113066775</v>
      </c>
      <c r="G336">
        <v>0</v>
      </c>
      <c r="L336" t="s">
        <v>8</v>
      </c>
      <c r="M336" t="s">
        <v>8</v>
      </c>
      <c r="N336" t="s">
        <v>8</v>
      </c>
      <c r="P336">
        <f t="shared" si="925"/>
        <v>0.37674418604651178</v>
      </c>
      <c r="Q336">
        <f t="shared" si="926"/>
        <v>35079806552.441872</v>
      </c>
      <c r="R336">
        <f t="shared" si="927"/>
        <v>-92005039079.871643</v>
      </c>
      <c r="S336">
        <f t="shared" si="928"/>
        <v>-920050.39079871646</v>
      </c>
      <c r="T336">
        <f t="shared" si="929"/>
        <v>-920.05039079871642</v>
      </c>
    </row>
    <row r="337" spans="1:20" x14ac:dyDescent="0.25">
      <c r="A337" s="5">
        <v>44247</v>
      </c>
      <c r="B337">
        <v>1.4273000000000001E-3</v>
      </c>
      <c r="C337">
        <v>1.8400000000000001E-3</v>
      </c>
      <c r="D337">
        <v>1.3764999999999999E-3</v>
      </c>
      <c r="E337">
        <v>1.4890999999999999E-3</v>
      </c>
      <c r="F337">
        <v>77675522695</v>
      </c>
      <c r="G337">
        <v>0</v>
      </c>
      <c r="L337" t="s">
        <v>8</v>
      </c>
      <c r="M337" t="s">
        <v>8</v>
      </c>
      <c r="N337" t="s">
        <v>8</v>
      </c>
      <c r="P337">
        <f t="shared" si="925"/>
        <v>-0.5141316073354909</v>
      </c>
      <c r="Q337">
        <f t="shared" si="926"/>
        <v>-39935441333.804749</v>
      </c>
      <c r="R337">
        <f t="shared" si="927"/>
        <v>-127084845632.31351</v>
      </c>
      <c r="S337">
        <f t="shared" si="928"/>
        <v>-1270848.4563231352</v>
      </c>
      <c r="T337">
        <f t="shared" si="929"/>
        <v>-1270.8484563231352</v>
      </c>
    </row>
    <row r="338" spans="1:20" x14ac:dyDescent="0.25">
      <c r="A338" s="5">
        <v>44246</v>
      </c>
      <c r="B338">
        <v>1.2568E-3</v>
      </c>
      <c r="C338">
        <v>1.5907E-3</v>
      </c>
      <c r="D338">
        <v>1.2302000000000001E-3</v>
      </c>
      <c r="E338">
        <v>1.4270000000000001E-3</v>
      </c>
      <c r="F338">
        <v>53709035327</v>
      </c>
      <c r="G338">
        <v>0</v>
      </c>
      <c r="L338" t="s">
        <v>8</v>
      </c>
      <c r="M338" t="s">
        <v>8</v>
      </c>
      <c r="N338" t="s">
        <v>8</v>
      </c>
      <c r="P338">
        <f t="shared" si="925"/>
        <v>9.181692094313483E-2</v>
      </c>
      <c r="Q338">
        <f t="shared" si="926"/>
        <v>4931398250.5511951</v>
      </c>
      <c r="R338">
        <f t="shared" si="927"/>
        <v>-87149404298.508759</v>
      </c>
      <c r="S338">
        <f t="shared" si="928"/>
        <v>-871494.04298508761</v>
      </c>
      <c r="T338">
        <f t="shared" si="929"/>
        <v>-871.49404298508762</v>
      </c>
    </row>
    <row r="339" spans="1:20" x14ac:dyDescent="0.25">
      <c r="A339" s="5">
        <v>44245</v>
      </c>
      <c r="B339">
        <v>1.2118999999999999E-3</v>
      </c>
      <c r="C339">
        <v>1.2899999999999999E-3</v>
      </c>
      <c r="D339">
        <v>1.1950999999999999E-3</v>
      </c>
      <c r="E339">
        <v>1.2596E-3</v>
      </c>
      <c r="F339">
        <v>19342562882</v>
      </c>
      <c r="G339">
        <v>0</v>
      </c>
      <c r="L339" t="s">
        <v>7</v>
      </c>
      <c r="M339" t="s">
        <v>8</v>
      </c>
      <c r="N339" t="s">
        <v>8</v>
      </c>
      <c r="P339">
        <f t="shared" si="925"/>
        <v>0.35932560590095092</v>
      </c>
      <c r="Q339">
        <f t="shared" si="926"/>
        <v>6950278127.251893</v>
      </c>
      <c r="R339">
        <f t="shared" si="927"/>
        <v>-92080802549.059952</v>
      </c>
      <c r="S339">
        <f t="shared" si="928"/>
        <v>-920808.02549059957</v>
      </c>
      <c r="T339">
        <f t="shared" si="929"/>
        <v>-920.80802549059956</v>
      </c>
    </row>
    <row r="340" spans="1:20" x14ac:dyDescent="0.25">
      <c r="A340" s="5">
        <v>44244</v>
      </c>
      <c r="B340">
        <v>1.1784E-3</v>
      </c>
      <c r="C340">
        <v>1.3799000000000001E-3</v>
      </c>
      <c r="D340">
        <v>1.1111999999999999E-3</v>
      </c>
      <c r="E340">
        <v>1.2118999999999999E-3</v>
      </c>
      <c r="F340">
        <v>33282420078</v>
      </c>
      <c r="G340">
        <v>0</v>
      </c>
      <c r="L340" t="s">
        <v>8</v>
      </c>
      <c r="M340" t="s">
        <v>8</v>
      </c>
      <c r="N340" t="s">
        <v>8</v>
      </c>
      <c r="P340">
        <f t="shared" si="925"/>
        <v>-0.25046520282843365</v>
      </c>
      <c r="Q340">
        <f t="shared" si="926"/>
        <v>-8336088095.4574022</v>
      </c>
      <c r="R340">
        <f t="shared" si="927"/>
        <v>-99031080676.311844</v>
      </c>
      <c r="S340">
        <f t="shared" si="928"/>
        <v>-990310.80676311848</v>
      </c>
      <c r="T340">
        <f t="shared" si="929"/>
        <v>-990.31080676311853</v>
      </c>
    </row>
    <row r="341" spans="1:20" x14ac:dyDescent="0.25">
      <c r="A341" s="5">
        <v>44243</v>
      </c>
      <c r="B341">
        <v>1.1094E-3</v>
      </c>
      <c r="C341">
        <v>1.2603E-3</v>
      </c>
      <c r="D341">
        <v>1.0851000000000001E-3</v>
      </c>
      <c r="E341">
        <v>1.1799E-3</v>
      </c>
      <c r="F341">
        <v>21124099455</v>
      </c>
      <c r="G341">
        <v>0</v>
      </c>
      <c r="L341" t="s">
        <v>8</v>
      </c>
      <c r="M341" t="s">
        <v>8</v>
      </c>
      <c r="N341" t="s">
        <v>7</v>
      </c>
      <c r="P341">
        <f t="shared" si="925"/>
        <v>8.2191780821917373E-2</v>
      </c>
      <c r="Q341">
        <f t="shared" si="926"/>
        <v>1736227352.4657443</v>
      </c>
      <c r="R341">
        <f t="shared" si="927"/>
        <v>-90694992580.854446</v>
      </c>
      <c r="S341">
        <f t="shared" si="928"/>
        <v>-906949.9258085445</v>
      </c>
      <c r="T341">
        <f t="shared" si="929"/>
        <v>-906.94992580854455</v>
      </c>
    </row>
    <row r="342" spans="1:20" x14ac:dyDescent="0.25">
      <c r="A342" s="5">
        <v>44242</v>
      </c>
      <c r="B342">
        <v>1.1389E-3</v>
      </c>
      <c r="C342">
        <v>1.23E-3</v>
      </c>
      <c r="D342">
        <v>9.4450000000000003E-4</v>
      </c>
      <c r="E342">
        <v>1.1100999999999999E-3</v>
      </c>
      <c r="F342">
        <v>28238414880</v>
      </c>
      <c r="G342">
        <v>0</v>
      </c>
      <c r="L342" t="s">
        <v>7</v>
      </c>
      <c r="M342" t="s">
        <v>7</v>
      </c>
      <c r="N342" t="s">
        <v>7</v>
      </c>
      <c r="P342">
        <f t="shared" si="925"/>
        <v>0.1600700525394041</v>
      </c>
      <c r="Q342">
        <f t="shared" si="926"/>
        <v>4520124553.4710903</v>
      </c>
      <c r="R342">
        <f t="shared" si="927"/>
        <v>-92431219933.32019</v>
      </c>
      <c r="S342">
        <f t="shared" si="928"/>
        <v>-924312.19933320186</v>
      </c>
      <c r="T342">
        <f t="shared" si="929"/>
        <v>-924.31219933320187</v>
      </c>
    </row>
    <row r="343" spans="1:20" x14ac:dyDescent="0.25">
      <c r="A343" s="5">
        <v>44241</v>
      </c>
      <c r="B343">
        <v>1.243E-3</v>
      </c>
      <c r="C343">
        <v>1.255E-3</v>
      </c>
      <c r="D343">
        <v>1.0742E-3</v>
      </c>
      <c r="E343">
        <v>1.1389E-3</v>
      </c>
      <c r="F343">
        <v>18224733704</v>
      </c>
      <c r="G343">
        <v>0</v>
      </c>
      <c r="L343" t="s">
        <v>7</v>
      </c>
      <c r="M343" t="s">
        <v>7</v>
      </c>
      <c r="N343" t="s">
        <v>8</v>
      </c>
      <c r="P343">
        <f t="shared" si="925"/>
        <v>-0.28429203539823034</v>
      </c>
      <c r="Q343">
        <f t="shared" si="926"/>
        <v>-5181146639.300889</v>
      </c>
      <c r="R343">
        <f t="shared" si="927"/>
        <v>-96951344486.791275</v>
      </c>
      <c r="S343">
        <f t="shared" si="928"/>
        <v>-969513.4448679128</v>
      </c>
      <c r="T343">
        <f t="shared" si="929"/>
        <v>-969.51344486791277</v>
      </c>
    </row>
    <row r="344" spans="1:20" x14ac:dyDescent="0.25">
      <c r="A344" s="5">
        <v>44240</v>
      </c>
      <c r="B344">
        <v>1.261E-3</v>
      </c>
      <c r="C344">
        <v>1.305E-3</v>
      </c>
      <c r="D344">
        <v>1.1341000000000001E-3</v>
      </c>
      <c r="E344">
        <v>1.243E-3</v>
      </c>
      <c r="F344">
        <v>23845272998</v>
      </c>
      <c r="G344">
        <v>0</v>
      </c>
      <c r="L344" t="s">
        <v>7</v>
      </c>
      <c r="M344" t="s">
        <v>7</v>
      </c>
      <c r="N344" t="s">
        <v>8</v>
      </c>
      <c r="P344">
        <f t="shared" si="925"/>
        <v>0.27442949093036823</v>
      </c>
      <c r="Q344">
        <f t="shared" si="926"/>
        <v>6543846129.9367952</v>
      </c>
      <c r="R344">
        <f t="shared" si="927"/>
        <v>-91770197847.490387</v>
      </c>
      <c r="S344">
        <f t="shared" si="928"/>
        <v>-917701.97847490385</v>
      </c>
      <c r="T344">
        <f t="shared" si="929"/>
        <v>-917.70197847490385</v>
      </c>
    </row>
    <row r="345" spans="1:20" x14ac:dyDescent="0.25">
      <c r="A345" s="5">
        <v>44239</v>
      </c>
      <c r="B345">
        <v>1.1950999999999999E-3</v>
      </c>
      <c r="C345">
        <v>1.4287E-3</v>
      </c>
      <c r="D345">
        <v>1.193E-3</v>
      </c>
      <c r="E345">
        <v>1.261E-3</v>
      </c>
      <c r="F345">
        <v>49761171373</v>
      </c>
      <c r="G345">
        <v>0</v>
      </c>
      <c r="L345" t="s">
        <v>8</v>
      </c>
      <c r="M345" t="s">
        <v>8</v>
      </c>
      <c r="N345" t="s">
        <v>8</v>
      </c>
      <c r="P345">
        <f t="shared" si="925"/>
        <v>-0.42299533305048842</v>
      </c>
      <c r="Q345">
        <f t="shared" si="926"/>
        <v>-21048743257.904564</v>
      </c>
      <c r="R345">
        <f t="shared" si="927"/>
        <v>-98314043977.427185</v>
      </c>
      <c r="S345">
        <f t="shared" si="928"/>
        <v>-983140.4397742718</v>
      </c>
      <c r="T345">
        <f t="shared" si="929"/>
        <v>-983.14043977427184</v>
      </c>
    </row>
    <row r="346" spans="1:20" x14ac:dyDescent="0.25">
      <c r="A346" s="5">
        <v>44238</v>
      </c>
      <c r="B346">
        <v>1.1226999999999999E-3</v>
      </c>
      <c r="C346">
        <v>1.2199999999999999E-3</v>
      </c>
      <c r="D346">
        <v>1.0843000000000001E-3</v>
      </c>
      <c r="E346">
        <v>1.1976999999999999E-3</v>
      </c>
      <c r="F346">
        <v>49448915836</v>
      </c>
      <c r="G346">
        <v>0</v>
      </c>
      <c r="L346" t="s">
        <v>8</v>
      </c>
      <c r="M346" t="s">
        <v>8</v>
      </c>
      <c r="N346" t="s">
        <v>7</v>
      </c>
      <c r="P346">
        <f t="shared" si="925"/>
        <v>0.67133382461311608</v>
      </c>
      <c r="Q346">
        <f t="shared" si="926"/>
        <v>33196729791.153961</v>
      </c>
      <c r="R346">
        <f t="shared" si="927"/>
        <v>-77265300719.522629</v>
      </c>
      <c r="S346">
        <f t="shared" si="928"/>
        <v>-772653.00719522627</v>
      </c>
      <c r="T346">
        <f t="shared" si="929"/>
        <v>-772.65300719522622</v>
      </c>
    </row>
    <row r="347" spans="1:20" x14ac:dyDescent="0.25">
      <c r="A347" s="5">
        <v>44237</v>
      </c>
      <c r="B347">
        <v>1.2149999999999999E-3</v>
      </c>
      <c r="C347">
        <v>1.305E-3</v>
      </c>
      <c r="D347">
        <v>1.0250000000000001E-3</v>
      </c>
      <c r="E347">
        <v>1.1209E-3</v>
      </c>
      <c r="F347">
        <v>70235733106</v>
      </c>
      <c r="G347">
        <v>0</v>
      </c>
      <c r="L347" t="s">
        <v>7</v>
      </c>
      <c r="M347" t="s">
        <v>7</v>
      </c>
      <c r="N347" t="s">
        <v>7</v>
      </c>
      <c r="P347">
        <f t="shared" si="925"/>
        <v>-0.31500000000000045</v>
      </c>
      <c r="Q347">
        <f t="shared" si="926"/>
        <v>-22124255928.39003</v>
      </c>
      <c r="R347">
        <f t="shared" si="927"/>
        <v>-110462030510.67659</v>
      </c>
      <c r="S347">
        <f t="shared" si="928"/>
        <v>-1104620.3051067658</v>
      </c>
      <c r="T347">
        <f t="shared" si="929"/>
        <v>-1104.6203051067657</v>
      </c>
    </row>
    <row r="348" spans="1:20" x14ac:dyDescent="0.25">
      <c r="A348" s="5">
        <v>44236</v>
      </c>
      <c r="B348">
        <v>1.0682999999999999E-3</v>
      </c>
      <c r="C348">
        <v>2.0200000000000001E-3</v>
      </c>
      <c r="D348">
        <v>1.0529999999999999E-3</v>
      </c>
      <c r="E348">
        <v>1.2137999999999999E-3</v>
      </c>
      <c r="F348">
        <v>393582478115</v>
      </c>
      <c r="G348">
        <v>0</v>
      </c>
      <c r="L348" t="s">
        <v>8</v>
      </c>
      <c r="M348" t="s">
        <v>8</v>
      </c>
      <c r="N348" t="s">
        <v>8</v>
      </c>
      <c r="P348">
        <f t="shared" si="925"/>
        <v>-0.66742502585315411</v>
      </c>
      <c r="Q348">
        <f t="shared" si="926"/>
        <v>-262686795631.25235</v>
      </c>
      <c r="R348">
        <f t="shared" si="927"/>
        <v>-88337774582.28656</v>
      </c>
      <c r="S348">
        <f t="shared" si="928"/>
        <v>-883377.74582286563</v>
      </c>
      <c r="T348">
        <f t="shared" si="929"/>
        <v>-883.37774582286568</v>
      </c>
    </row>
    <row r="349" spans="1:20" x14ac:dyDescent="0.25">
      <c r="A349" s="5">
        <v>44235</v>
      </c>
      <c r="B349">
        <v>4.9890000000000004E-4</v>
      </c>
      <c r="C349">
        <v>1.5416E-3</v>
      </c>
      <c r="D349">
        <v>4.9660000000000004E-4</v>
      </c>
      <c r="E349">
        <v>1.0709999999999999E-3</v>
      </c>
      <c r="F349">
        <v>261400550288</v>
      </c>
      <c r="G349">
        <v>0</v>
      </c>
      <c r="L349" t="s">
        <v>8</v>
      </c>
      <c r="M349" t="s">
        <v>8</v>
      </c>
      <c r="N349" t="s">
        <v>8</v>
      </c>
      <c r="P349">
        <f t="shared" si="925"/>
        <v>9.9330143540669685E-2</v>
      </c>
      <c r="Q349">
        <f t="shared" si="926"/>
        <v>25964954181.717083</v>
      </c>
      <c r="R349">
        <f t="shared" si="927"/>
        <v>174349021048.96579</v>
      </c>
      <c r="S349">
        <f t="shared" si="928"/>
        <v>1743490.2104896579</v>
      </c>
      <c r="T349">
        <f t="shared" si="929"/>
        <v>1743.490210489658</v>
      </c>
    </row>
    <row r="350" spans="1:20" x14ac:dyDescent="0.25">
      <c r="A350" s="5">
        <v>44234</v>
      </c>
      <c r="B350">
        <v>4.638E-4</v>
      </c>
      <c r="C350">
        <v>5.2439999999999995E-4</v>
      </c>
      <c r="D350">
        <v>4.4799999999999999E-4</v>
      </c>
      <c r="E350">
        <v>4.9879999999999998E-4</v>
      </c>
      <c r="F350">
        <v>27145674205</v>
      </c>
      <c r="G350">
        <v>0</v>
      </c>
      <c r="L350" t="s">
        <v>7</v>
      </c>
      <c r="M350" t="s">
        <v>8</v>
      </c>
      <c r="N350" t="s">
        <v>8</v>
      </c>
      <c r="P350">
        <f t="shared" si="925"/>
        <v>0.32984293193717318</v>
      </c>
      <c r="Q350">
        <f t="shared" si="926"/>
        <v>8953808769.1884918</v>
      </c>
      <c r="R350">
        <f t="shared" si="927"/>
        <v>148384066867.24872</v>
      </c>
      <c r="S350">
        <f t="shared" si="928"/>
        <v>1483840.6686724871</v>
      </c>
      <c r="T350">
        <f t="shared" si="929"/>
        <v>1483.840668672487</v>
      </c>
    </row>
    <row r="351" spans="1:20" x14ac:dyDescent="0.25">
      <c r="A351" s="5">
        <v>44233</v>
      </c>
      <c r="B351">
        <v>4.774E-4</v>
      </c>
      <c r="C351">
        <v>4.8050000000000002E-4</v>
      </c>
      <c r="D351">
        <v>4.4430000000000001E-4</v>
      </c>
      <c r="E351">
        <v>4.6339999999999999E-4</v>
      </c>
      <c r="F351">
        <v>13709991614</v>
      </c>
      <c r="G351">
        <v>0</v>
      </c>
      <c r="L351" t="s">
        <v>8</v>
      </c>
      <c r="M351" t="s">
        <v>8</v>
      </c>
      <c r="N351" t="s">
        <v>8</v>
      </c>
      <c r="P351">
        <f t="shared" si="925"/>
        <v>5.5248618784528712E-2</v>
      </c>
      <c r="Q351">
        <f t="shared" si="926"/>
        <v>757458100.22097147</v>
      </c>
      <c r="R351">
        <f t="shared" si="927"/>
        <v>139430258098.06024</v>
      </c>
      <c r="S351">
        <f t="shared" si="928"/>
        <v>1394302.5809806024</v>
      </c>
      <c r="T351">
        <f t="shared" si="929"/>
        <v>1394.3025809806024</v>
      </c>
    </row>
    <row r="352" spans="1:20" x14ac:dyDescent="0.25">
      <c r="A352" s="5">
        <v>44232</v>
      </c>
      <c r="B352">
        <v>4.3429999999999999E-4</v>
      </c>
      <c r="C352">
        <v>4.8109999999999998E-4</v>
      </c>
      <c r="D352">
        <v>4.3159999999999997E-4</v>
      </c>
      <c r="E352">
        <v>4.7750000000000001E-4</v>
      </c>
      <c r="F352">
        <v>14745221365</v>
      </c>
      <c r="G352">
        <v>0</v>
      </c>
      <c r="L352" t="s">
        <v>7</v>
      </c>
      <c r="M352" t="s">
        <v>8</v>
      </c>
      <c r="N352" t="s">
        <v>8</v>
      </c>
      <c r="P352">
        <f t="shared" si="925"/>
        <v>0.85454545454545539</v>
      </c>
      <c r="Q352">
        <f t="shared" si="926"/>
        <v>12600461893.727285</v>
      </c>
      <c r="R352">
        <f t="shared" si="927"/>
        <v>138672799997.83926</v>
      </c>
      <c r="S352">
        <f t="shared" si="928"/>
        <v>1386727.9999783926</v>
      </c>
      <c r="T352">
        <f t="shared" si="929"/>
        <v>1386.7279999783925</v>
      </c>
    </row>
    <row r="353" spans="1:20" x14ac:dyDescent="0.25">
      <c r="A353" s="5">
        <v>44231</v>
      </c>
      <c r="B353">
        <v>4.5659999999999999E-4</v>
      </c>
      <c r="C353">
        <v>4.6030000000000002E-4</v>
      </c>
      <c r="D353">
        <v>4.2240000000000002E-4</v>
      </c>
      <c r="E353">
        <v>4.3419999999999998E-4</v>
      </c>
      <c r="F353">
        <v>15007946368</v>
      </c>
      <c r="G353">
        <v>0</v>
      </c>
      <c r="L353" t="s">
        <v>8</v>
      </c>
      <c r="M353" t="s">
        <v>8</v>
      </c>
      <c r="N353" t="s">
        <v>8</v>
      </c>
      <c r="P353">
        <f t="shared" si="925"/>
        <v>-0.3773087071240126</v>
      </c>
      <c r="Q353">
        <f t="shared" si="926"/>
        <v>-5662628840.6966009</v>
      </c>
      <c r="R353">
        <f t="shared" si="927"/>
        <v>126072338104.11197</v>
      </c>
      <c r="S353">
        <f t="shared" si="928"/>
        <v>1260723.3810411196</v>
      </c>
      <c r="T353">
        <f t="shared" si="929"/>
        <v>1260.7233810411196</v>
      </c>
    </row>
    <row r="354" spans="1:20" x14ac:dyDescent="0.25">
      <c r="A354" s="5">
        <v>44230</v>
      </c>
      <c r="B354">
        <v>4.3110000000000002E-4</v>
      </c>
      <c r="C354">
        <v>5.0000000000000001E-4</v>
      </c>
      <c r="D354">
        <v>4.1750000000000001E-4</v>
      </c>
      <c r="E354">
        <v>4.571E-4</v>
      </c>
      <c r="F354">
        <v>41882495341</v>
      </c>
      <c r="G354">
        <v>0</v>
      </c>
      <c r="L354" t="s">
        <v>7</v>
      </c>
      <c r="M354" t="s">
        <v>8</v>
      </c>
      <c r="N354" t="s">
        <v>8</v>
      </c>
      <c r="P354">
        <f t="shared" si="925"/>
        <v>-4.0000000000000313E-2</v>
      </c>
      <c r="Q354">
        <f t="shared" si="926"/>
        <v>-1675299813.6400132</v>
      </c>
      <c r="R354">
        <f t="shared" si="927"/>
        <v>131734966944.80856</v>
      </c>
      <c r="S354">
        <f t="shared" si="928"/>
        <v>1317349.6694480856</v>
      </c>
      <c r="T354">
        <f t="shared" si="929"/>
        <v>1317.3496694480857</v>
      </c>
    </row>
    <row r="355" spans="1:20" x14ac:dyDescent="0.25">
      <c r="A355" s="5">
        <v>44229</v>
      </c>
      <c r="B355">
        <v>3.815E-4</v>
      </c>
      <c r="C355">
        <v>4.4999999999999999E-4</v>
      </c>
      <c r="D355">
        <v>3.7800000000000003E-4</v>
      </c>
      <c r="E355">
        <v>4.3130000000000002E-4</v>
      </c>
      <c r="F355">
        <v>18734869571</v>
      </c>
      <c r="G355">
        <v>0</v>
      </c>
      <c r="L355" t="s">
        <v>8</v>
      </c>
      <c r="M355" t="s">
        <v>8</v>
      </c>
      <c r="N355" t="s">
        <v>7</v>
      </c>
      <c r="P355">
        <f t="shared" si="925"/>
        <v>0.48055555555555618</v>
      </c>
      <c r="Q355">
        <f t="shared" si="926"/>
        <v>9003145654.9527893</v>
      </c>
      <c r="R355">
        <f t="shared" si="927"/>
        <v>133410266758.44858</v>
      </c>
      <c r="S355">
        <f t="shared" si="928"/>
        <v>1334102.6675844858</v>
      </c>
      <c r="T355">
        <f t="shared" si="929"/>
        <v>1334.1026675844857</v>
      </c>
    </row>
    <row r="356" spans="1:20" x14ac:dyDescent="0.25">
      <c r="A356" s="5">
        <v>44228</v>
      </c>
      <c r="B356">
        <v>3.8180000000000001E-4</v>
      </c>
      <c r="C356">
        <v>3.9290000000000001E-4</v>
      </c>
      <c r="D356">
        <v>3.7219999999999999E-4</v>
      </c>
      <c r="E356">
        <v>3.8190000000000001E-4</v>
      </c>
      <c r="F356">
        <v>9640457875</v>
      </c>
      <c r="G356">
        <v>0</v>
      </c>
      <c r="L356" t="s">
        <v>7</v>
      </c>
      <c r="M356" t="s">
        <v>8</v>
      </c>
      <c r="N356" t="s">
        <v>7</v>
      </c>
      <c r="P356">
        <f t="shared" si="925"/>
        <v>-6.2801932367148622E-2</v>
      </c>
      <c r="Q356">
        <f t="shared" si="926"/>
        <v>-605439383.45409536</v>
      </c>
      <c r="R356">
        <f t="shared" si="927"/>
        <v>124407121103.49579</v>
      </c>
      <c r="S356">
        <f t="shared" si="928"/>
        <v>1244071.2110349578</v>
      </c>
      <c r="T356">
        <f t="shared" si="929"/>
        <v>1244.0712110349577</v>
      </c>
    </row>
    <row r="357" spans="1:20" x14ac:dyDescent="0.25">
      <c r="A357" s="5">
        <v>44227</v>
      </c>
      <c r="B357">
        <v>3.8220000000000002E-4</v>
      </c>
      <c r="C357">
        <v>4.0420000000000001E-4</v>
      </c>
      <c r="D357">
        <v>3.7209999999999999E-4</v>
      </c>
      <c r="E357">
        <v>3.8180000000000001E-4</v>
      </c>
      <c r="F357">
        <v>15003978691</v>
      </c>
      <c r="G357">
        <v>0</v>
      </c>
      <c r="L357" t="s">
        <v>8</v>
      </c>
      <c r="M357" t="s">
        <v>8</v>
      </c>
      <c r="N357" t="s">
        <v>7</v>
      </c>
      <c r="P357">
        <f t="shared" si="925"/>
        <v>-0.39563862928348831</v>
      </c>
      <c r="Q357">
        <f t="shared" si="926"/>
        <v>-5936153563.1059074</v>
      </c>
      <c r="R357">
        <f t="shared" si="927"/>
        <v>125012560486.94989</v>
      </c>
      <c r="S357">
        <f t="shared" si="928"/>
        <v>1250125.6048694989</v>
      </c>
      <c r="T357">
        <f t="shared" si="929"/>
        <v>1250.1256048694988</v>
      </c>
    </row>
    <row r="358" spans="1:20" x14ac:dyDescent="0.25">
      <c r="A358" s="5">
        <v>44226</v>
      </c>
      <c r="B358">
        <v>3.902E-4</v>
      </c>
      <c r="C358">
        <v>3.9879999999999999E-4</v>
      </c>
      <c r="D358">
        <v>3.726E-4</v>
      </c>
      <c r="E358">
        <v>3.8210000000000002E-4</v>
      </c>
      <c r="F358">
        <v>15175150992</v>
      </c>
      <c r="G358">
        <v>0</v>
      </c>
      <c r="L358" t="s">
        <v>7</v>
      </c>
      <c r="M358" t="s">
        <v>8</v>
      </c>
      <c r="N358" t="s">
        <v>7</v>
      </c>
      <c r="P358">
        <f t="shared" si="925"/>
        <v>-0.27480916030534208</v>
      </c>
      <c r="Q358">
        <f t="shared" si="926"/>
        <v>-4170270501.618299</v>
      </c>
      <c r="R358">
        <f t="shared" si="927"/>
        <v>130948714050.0558</v>
      </c>
      <c r="S358">
        <f t="shared" si="928"/>
        <v>1309487.1405005581</v>
      </c>
      <c r="T358">
        <f t="shared" si="929"/>
        <v>1309.4871405005581</v>
      </c>
    </row>
    <row r="359" spans="1:20" x14ac:dyDescent="0.25">
      <c r="A359" s="5">
        <v>44225</v>
      </c>
      <c r="B359">
        <v>3.6999999999999999E-4</v>
      </c>
      <c r="C359">
        <v>4.4999999999999999E-4</v>
      </c>
      <c r="D359">
        <v>3.6430000000000002E-4</v>
      </c>
      <c r="E359">
        <v>3.9080000000000001E-4</v>
      </c>
      <c r="F359">
        <v>39945124905</v>
      </c>
      <c r="G359">
        <v>0</v>
      </c>
      <c r="L359" t="s">
        <v>8</v>
      </c>
      <c r="M359" t="s">
        <v>8</v>
      </c>
      <c r="N359" t="s">
        <v>7</v>
      </c>
      <c r="P359">
        <f t="shared" si="925"/>
        <v>-0.38156359393232198</v>
      </c>
      <c r="Q359">
        <f t="shared" si="926"/>
        <v>-15241605418.827301</v>
      </c>
      <c r="R359">
        <f t="shared" si="927"/>
        <v>135118984551.6741</v>
      </c>
      <c r="S359">
        <f t="shared" si="928"/>
        <v>1351189.845516741</v>
      </c>
      <c r="T359">
        <f t="shared" si="929"/>
        <v>1351.1898455167411</v>
      </c>
    </row>
    <row r="360" spans="1:20" x14ac:dyDescent="0.25">
      <c r="A360" s="5">
        <v>44224</v>
      </c>
      <c r="B360">
        <v>3.3730000000000001E-4</v>
      </c>
      <c r="C360">
        <v>3.7439999999999999E-4</v>
      </c>
      <c r="D360">
        <v>3.3550000000000002E-4</v>
      </c>
      <c r="E360">
        <v>3.702E-4</v>
      </c>
      <c r="F360">
        <v>13678103535</v>
      </c>
      <c r="G360">
        <v>0</v>
      </c>
      <c r="L360" t="s">
        <v>7</v>
      </c>
      <c r="M360" t="s">
        <v>7</v>
      </c>
      <c r="N360" t="s">
        <v>7</v>
      </c>
      <c r="P360">
        <f t="shared" si="925"/>
        <v>0.78406169665809788</v>
      </c>
      <c r="Q360">
        <f t="shared" si="926"/>
        <v>10724477064.717226</v>
      </c>
      <c r="R360">
        <f t="shared" si="927"/>
        <v>150360589970.5014</v>
      </c>
      <c r="S360">
        <f t="shared" si="928"/>
        <v>1503605.899705014</v>
      </c>
      <c r="T360">
        <f t="shared" si="929"/>
        <v>1503.6058997050141</v>
      </c>
    </row>
    <row r="361" spans="1:20" x14ac:dyDescent="0.25">
      <c r="A361" s="5">
        <v>44223</v>
      </c>
      <c r="B361">
        <v>3.6259999999999998E-4</v>
      </c>
      <c r="C361">
        <v>3.6279999999999998E-4</v>
      </c>
      <c r="D361">
        <v>3.3199999999999999E-4</v>
      </c>
      <c r="E361">
        <v>3.3760000000000002E-4</v>
      </c>
      <c r="F361">
        <v>11643023783</v>
      </c>
      <c r="G361">
        <v>0</v>
      </c>
      <c r="L361" t="s">
        <v>8</v>
      </c>
      <c r="M361" t="s">
        <v>7</v>
      </c>
      <c r="N361" t="s">
        <v>7</v>
      </c>
      <c r="P361">
        <f t="shared" si="925"/>
        <v>-0.63636363636363447</v>
      </c>
      <c r="Q361">
        <f t="shared" si="926"/>
        <v>-7409196952.8181601</v>
      </c>
      <c r="R361">
        <f t="shared" si="927"/>
        <v>139636112905.78418</v>
      </c>
      <c r="S361">
        <f t="shared" si="928"/>
        <v>1396361.1290578418</v>
      </c>
      <c r="T361">
        <f t="shared" si="929"/>
        <v>1396.3611290578419</v>
      </c>
    </row>
    <row r="362" spans="1:20" x14ac:dyDescent="0.25">
      <c r="A362" s="5">
        <v>44222</v>
      </c>
      <c r="B362">
        <v>3.6299999999999999E-4</v>
      </c>
      <c r="C362">
        <v>3.7310000000000002E-4</v>
      </c>
      <c r="D362">
        <v>3.5260000000000001E-4</v>
      </c>
      <c r="E362">
        <v>3.6269999999999998E-4</v>
      </c>
      <c r="F362">
        <v>4194328405</v>
      </c>
      <c r="G362">
        <v>0</v>
      </c>
      <c r="L362" t="s">
        <v>7</v>
      </c>
      <c r="M362" t="s">
        <v>8</v>
      </c>
      <c r="N362" t="s">
        <v>7</v>
      </c>
      <c r="P362">
        <f t="shared" si="925"/>
        <v>-1.4634146341466408E-2</v>
      </c>
      <c r="Q362">
        <f t="shared" si="926"/>
        <v>-61380415.68293938</v>
      </c>
      <c r="R362">
        <f t="shared" si="927"/>
        <v>147045309858.60233</v>
      </c>
      <c r="S362">
        <f t="shared" si="928"/>
        <v>1470453.0985860233</v>
      </c>
      <c r="T362">
        <f t="shared" si="929"/>
        <v>1470.4530985860233</v>
      </c>
    </row>
    <row r="363" spans="1:20" x14ac:dyDescent="0.25">
      <c r="A363" s="5">
        <v>44221</v>
      </c>
      <c r="B363">
        <v>3.7780000000000002E-4</v>
      </c>
      <c r="C363">
        <v>3.8959999999999998E-4</v>
      </c>
      <c r="D363">
        <v>3.59E-4</v>
      </c>
      <c r="E363">
        <v>3.636E-4</v>
      </c>
      <c r="F363">
        <v>10195618687</v>
      </c>
      <c r="G363">
        <v>0</v>
      </c>
      <c r="L363" t="s">
        <v>8</v>
      </c>
      <c r="M363" t="s">
        <v>8</v>
      </c>
      <c r="N363" t="s">
        <v>7</v>
      </c>
      <c r="P363">
        <f t="shared" si="925"/>
        <v>-0.69934640522875779</v>
      </c>
      <c r="Q363">
        <f t="shared" si="926"/>
        <v>-7130269277.8365974</v>
      </c>
      <c r="R363">
        <f t="shared" si="927"/>
        <v>147106690274.28528</v>
      </c>
      <c r="S363">
        <f t="shared" si="928"/>
        <v>1471066.9027428527</v>
      </c>
      <c r="T363">
        <f t="shared" si="929"/>
        <v>1471.0669027428528</v>
      </c>
    </row>
    <row r="364" spans="1:20" x14ac:dyDescent="0.25">
      <c r="A364" s="5">
        <v>44220</v>
      </c>
      <c r="B364">
        <v>3.5500000000000001E-4</v>
      </c>
      <c r="C364">
        <v>4.0400000000000001E-4</v>
      </c>
      <c r="D364">
        <v>3.5379999999999998E-4</v>
      </c>
      <c r="E364">
        <v>3.7740000000000001E-4</v>
      </c>
      <c r="F364">
        <v>17469924398</v>
      </c>
      <c r="G364">
        <v>0</v>
      </c>
      <c r="L364" t="s">
        <v>7</v>
      </c>
      <c r="M364" t="s">
        <v>8</v>
      </c>
      <c r="N364" t="s">
        <v>7</v>
      </c>
      <c r="P364">
        <f t="shared" si="925"/>
        <v>-5.9760956175298065E-2</v>
      </c>
      <c r="Q364">
        <f t="shared" si="926"/>
        <v>-1044019386.3346484</v>
      </c>
      <c r="R364">
        <f t="shared" si="927"/>
        <v>154236959552.12189</v>
      </c>
      <c r="S364">
        <f t="shared" si="928"/>
        <v>1542369.5955212188</v>
      </c>
      <c r="T364">
        <f t="shared" si="929"/>
        <v>1542.3695955212188</v>
      </c>
    </row>
    <row r="365" spans="1:20" x14ac:dyDescent="0.25">
      <c r="A365" s="5">
        <v>44219</v>
      </c>
      <c r="B365">
        <v>3.433E-4</v>
      </c>
      <c r="C365">
        <v>3.6000000000000002E-4</v>
      </c>
      <c r="D365">
        <v>3.3859999999999999E-4</v>
      </c>
      <c r="E365">
        <v>3.5500000000000001E-4</v>
      </c>
      <c r="F365">
        <v>9700318250</v>
      </c>
      <c r="G365">
        <v>0</v>
      </c>
      <c r="L365" t="s">
        <v>8</v>
      </c>
      <c r="M365" t="s">
        <v>7</v>
      </c>
      <c r="N365" t="s">
        <v>7</v>
      </c>
      <c r="P365">
        <f t="shared" si="925"/>
        <v>0.53271028037383128</v>
      </c>
      <c r="Q365">
        <f t="shared" si="926"/>
        <v>5167459254.6728926</v>
      </c>
      <c r="R365">
        <f t="shared" si="927"/>
        <v>155280978938.45654</v>
      </c>
      <c r="S365">
        <f t="shared" si="928"/>
        <v>1552809.7893845653</v>
      </c>
      <c r="T365">
        <f t="shared" si="929"/>
        <v>1552.8097893845654</v>
      </c>
    </row>
    <row r="366" spans="1:20" x14ac:dyDescent="0.25">
      <c r="A366" s="5">
        <v>44218</v>
      </c>
      <c r="B366">
        <v>3.3310000000000002E-4</v>
      </c>
      <c r="C366">
        <v>3.4850000000000001E-4</v>
      </c>
      <c r="D366">
        <v>3.1809999999999998E-4</v>
      </c>
      <c r="E366">
        <v>3.435E-4</v>
      </c>
      <c r="F366">
        <v>8897107662</v>
      </c>
      <c r="G366">
        <v>0</v>
      </c>
      <c r="L366" t="s">
        <v>7</v>
      </c>
      <c r="M366" t="s">
        <v>7</v>
      </c>
      <c r="N366" t="s">
        <v>7</v>
      </c>
      <c r="P366">
        <f t="shared" si="925"/>
        <v>0.6710526315789469</v>
      </c>
      <c r="Q366">
        <f t="shared" si="926"/>
        <v>5970427510.0263119</v>
      </c>
      <c r="R366">
        <f t="shared" si="927"/>
        <v>150113519683.78366</v>
      </c>
      <c r="S366">
        <f t="shared" si="928"/>
        <v>1501135.1968378366</v>
      </c>
      <c r="T366">
        <f t="shared" si="929"/>
        <v>1501.1351968378367</v>
      </c>
    </row>
    <row r="367" spans="1:20" x14ac:dyDescent="0.25">
      <c r="A367" s="5">
        <v>44217</v>
      </c>
      <c r="B367">
        <v>3.6390000000000001E-4</v>
      </c>
      <c r="C367">
        <v>3.6499999999999998E-4</v>
      </c>
      <c r="D367">
        <v>3.3040000000000001E-4</v>
      </c>
      <c r="E367">
        <v>3.3320000000000002E-4</v>
      </c>
      <c r="F367">
        <v>6959117599</v>
      </c>
      <c r="G367">
        <v>0</v>
      </c>
      <c r="L367" t="s">
        <v>8</v>
      </c>
      <c r="M367" t="s">
        <v>7</v>
      </c>
      <c r="N367" t="s">
        <v>7</v>
      </c>
      <c r="P367">
        <f t="shared" si="925"/>
        <v>-0.83815028901734012</v>
      </c>
      <c r="Q367">
        <f t="shared" si="926"/>
        <v>-5832786426.9075079</v>
      </c>
      <c r="R367">
        <f t="shared" si="927"/>
        <v>144143092173.75735</v>
      </c>
      <c r="S367">
        <f t="shared" si="928"/>
        <v>1441430.9217375736</v>
      </c>
      <c r="T367">
        <f t="shared" si="929"/>
        <v>1441.4309217375735</v>
      </c>
    </row>
    <row r="368" spans="1:20" x14ac:dyDescent="0.25">
      <c r="A368" s="5">
        <v>44216</v>
      </c>
      <c r="B368">
        <v>3.7219999999999999E-4</v>
      </c>
      <c r="C368">
        <v>3.77E-4</v>
      </c>
      <c r="D368">
        <v>3.4900000000000003E-4</v>
      </c>
      <c r="E368">
        <v>3.6390000000000001E-4</v>
      </c>
      <c r="F368">
        <v>9303255687</v>
      </c>
      <c r="G368">
        <v>0</v>
      </c>
      <c r="L368" t="s">
        <v>7</v>
      </c>
      <c r="M368" t="s">
        <v>8</v>
      </c>
      <c r="N368" t="s">
        <v>7</v>
      </c>
      <c r="P368">
        <f t="shared" si="925"/>
        <v>6.4285714285713974E-2</v>
      </c>
      <c r="Q368">
        <f t="shared" si="926"/>
        <v>598066437.02142572</v>
      </c>
      <c r="R368">
        <f t="shared" si="927"/>
        <v>149975878600.66486</v>
      </c>
      <c r="S368">
        <f t="shared" si="928"/>
        <v>1499758.7860066486</v>
      </c>
      <c r="T368">
        <f t="shared" si="929"/>
        <v>1499.7587860066485</v>
      </c>
    </row>
    <row r="369" spans="1:20" x14ac:dyDescent="0.25">
      <c r="A369" s="5">
        <v>44215</v>
      </c>
      <c r="B369">
        <v>3.6959999999999998E-4</v>
      </c>
      <c r="C369">
        <v>4.0489999999999998E-4</v>
      </c>
      <c r="D369">
        <v>3.6249999999999998E-4</v>
      </c>
      <c r="E369">
        <v>3.7219999999999999E-4</v>
      </c>
      <c r="F369">
        <v>17285278422</v>
      </c>
      <c r="G369">
        <v>0</v>
      </c>
      <c r="L369" t="s">
        <v>8</v>
      </c>
      <c r="M369" t="s">
        <v>8</v>
      </c>
      <c r="N369" t="s">
        <v>7</v>
      </c>
      <c r="P369">
        <f t="shared" si="925"/>
        <v>-0.5424528301886784</v>
      </c>
      <c r="Q369">
        <f t="shared" si="926"/>
        <v>-9376448200.6131935</v>
      </c>
      <c r="R369">
        <f t="shared" si="927"/>
        <v>149377812163.64343</v>
      </c>
      <c r="S369">
        <f t="shared" si="928"/>
        <v>1493778.1216364342</v>
      </c>
      <c r="T369">
        <f t="shared" si="929"/>
        <v>1493.7781216364342</v>
      </c>
    </row>
    <row r="370" spans="1:20" x14ac:dyDescent="0.25">
      <c r="A370" s="5">
        <v>44214</v>
      </c>
      <c r="B370">
        <v>3.591E-4</v>
      </c>
      <c r="C370">
        <v>3.6999999999999999E-4</v>
      </c>
      <c r="D370">
        <v>3.548E-4</v>
      </c>
      <c r="E370">
        <v>3.6949999999999998E-4</v>
      </c>
      <c r="F370">
        <v>10714613813</v>
      </c>
      <c r="G370">
        <v>0</v>
      </c>
      <c r="L370" t="s">
        <v>7</v>
      </c>
      <c r="M370" t="s">
        <v>8</v>
      </c>
      <c r="N370" t="s">
        <v>7</v>
      </c>
      <c r="P370">
        <f t="shared" si="925"/>
        <v>0.93421052631578783</v>
      </c>
      <c r="Q370">
        <f t="shared" si="926"/>
        <v>10009705009.51314</v>
      </c>
      <c r="R370">
        <f t="shared" si="927"/>
        <v>158754260364.25662</v>
      </c>
      <c r="S370">
        <f t="shared" si="928"/>
        <v>1587542.6036425661</v>
      </c>
      <c r="T370">
        <f t="shared" si="929"/>
        <v>1587.5426036425661</v>
      </c>
    </row>
    <row r="371" spans="1:20" x14ac:dyDescent="0.25">
      <c r="A371" s="5">
        <v>44213</v>
      </c>
      <c r="B371">
        <v>3.6499999999999998E-4</v>
      </c>
      <c r="C371">
        <v>3.7800000000000003E-4</v>
      </c>
      <c r="D371">
        <v>3.4440000000000002E-4</v>
      </c>
      <c r="E371">
        <v>3.5799999999999997E-4</v>
      </c>
      <c r="F371">
        <v>12903228829</v>
      </c>
      <c r="G371">
        <v>0</v>
      </c>
      <c r="L371" t="s">
        <v>8</v>
      </c>
      <c r="M371" t="s">
        <v>8</v>
      </c>
      <c r="N371" t="s">
        <v>7</v>
      </c>
      <c r="P371">
        <f t="shared" si="925"/>
        <v>-0.19047619047619346</v>
      </c>
      <c r="Q371">
        <f t="shared" si="926"/>
        <v>-2457757872.1905146</v>
      </c>
      <c r="R371">
        <f t="shared" si="927"/>
        <v>148744555354.74347</v>
      </c>
      <c r="S371">
        <f t="shared" si="928"/>
        <v>1487445.5535474347</v>
      </c>
      <c r="T371">
        <f t="shared" si="929"/>
        <v>1487.4455535474347</v>
      </c>
    </row>
    <row r="372" spans="1:20" x14ac:dyDescent="0.25">
      <c r="A372" s="5">
        <v>44212</v>
      </c>
      <c r="B372">
        <v>3.5159999999999998E-4</v>
      </c>
      <c r="C372">
        <v>3.7859999999999999E-4</v>
      </c>
      <c r="D372">
        <v>3.4880000000000002E-4</v>
      </c>
      <c r="E372">
        <v>3.6479999999999998E-4</v>
      </c>
      <c r="F372">
        <v>13700344983</v>
      </c>
      <c r="G372">
        <v>0</v>
      </c>
      <c r="L372" t="s">
        <v>7</v>
      </c>
      <c r="M372" t="s">
        <v>8</v>
      </c>
      <c r="N372" t="s">
        <v>7</v>
      </c>
      <c r="P372">
        <f t="shared" si="925"/>
        <v>7.382550335570294E-2</v>
      </c>
      <c r="Q372">
        <f t="shared" si="926"/>
        <v>1011434864.5167544</v>
      </c>
      <c r="R372">
        <f t="shared" si="927"/>
        <v>151202313226.93399</v>
      </c>
      <c r="S372">
        <f t="shared" si="928"/>
        <v>1512023.1322693399</v>
      </c>
      <c r="T372">
        <f t="shared" si="929"/>
        <v>1512.0231322693398</v>
      </c>
    </row>
    <row r="373" spans="1:20" x14ac:dyDescent="0.25">
      <c r="A373" s="5">
        <v>44211</v>
      </c>
      <c r="B373">
        <v>3.6469999999999997E-4</v>
      </c>
      <c r="C373">
        <v>3.6999999999999999E-4</v>
      </c>
      <c r="D373">
        <v>3.3710000000000001E-4</v>
      </c>
      <c r="E373">
        <v>3.5120000000000003E-4</v>
      </c>
      <c r="F373">
        <v>11991325971</v>
      </c>
      <c r="G373">
        <v>0</v>
      </c>
      <c r="L373" t="s">
        <v>8</v>
      </c>
      <c r="M373" t="s">
        <v>8</v>
      </c>
      <c r="N373" t="s">
        <v>7</v>
      </c>
      <c r="P373">
        <f t="shared" si="925"/>
        <v>-0.14285714285714143</v>
      </c>
      <c r="Q373">
        <f t="shared" si="926"/>
        <v>-1713046567.2856972</v>
      </c>
      <c r="R373">
        <f t="shared" si="927"/>
        <v>150190878362.41724</v>
      </c>
      <c r="S373">
        <f t="shared" si="928"/>
        <v>1501908.7836241724</v>
      </c>
      <c r="T373">
        <f t="shared" si="929"/>
        <v>1501.9087836241724</v>
      </c>
    </row>
    <row r="374" spans="1:20" x14ac:dyDescent="0.25">
      <c r="A374" s="5">
        <v>44210</v>
      </c>
      <c r="B374">
        <v>3.6440000000000002E-4</v>
      </c>
      <c r="C374">
        <v>3.6949999999999998E-4</v>
      </c>
      <c r="D374">
        <v>3.4769999999999999E-4</v>
      </c>
      <c r="E374">
        <v>3.6450000000000002E-4</v>
      </c>
      <c r="F374">
        <v>15424926318</v>
      </c>
      <c r="G374">
        <v>0</v>
      </c>
      <c r="L374" t="s">
        <v>7</v>
      </c>
      <c r="M374" t="s">
        <v>8</v>
      </c>
      <c r="N374" t="s">
        <v>7</v>
      </c>
      <c r="P374">
        <f t="shared" si="925"/>
        <v>0.5412844036697283</v>
      </c>
      <c r="Q374">
        <f t="shared" si="926"/>
        <v>8349272043.6881275</v>
      </c>
      <c r="R374">
        <f t="shared" si="927"/>
        <v>151903924929.70294</v>
      </c>
      <c r="S374">
        <f t="shared" si="928"/>
        <v>1519039.2492970293</v>
      </c>
      <c r="T374">
        <f t="shared" si="929"/>
        <v>1519.0392492970293</v>
      </c>
    </row>
    <row r="375" spans="1:20" x14ac:dyDescent="0.25">
      <c r="A375" s="5">
        <v>44209</v>
      </c>
      <c r="B375">
        <v>3.5280000000000001E-4</v>
      </c>
      <c r="C375">
        <v>3.6749999999999999E-4</v>
      </c>
      <c r="D375">
        <v>3.4309999999999999E-4</v>
      </c>
      <c r="E375">
        <v>3.6469999999999997E-4</v>
      </c>
      <c r="F375">
        <v>10066274745</v>
      </c>
      <c r="G375">
        <v>0</v>
      </c>
      <c r="L375" t="s">
        <v>8</v>
      </c>
      <c r="M375" t="s">
        <v>8</v>
      </c>
      <c r="N375" t="s">
        <v>7</v>
      </c>
      <c r="P375">
        <f t="shared" si="925"/>
        <v>0.77049180327868738</v>
      </c>
      <c r="Q375">
        <f t="shared" si="926"/>
        <v>7755982180.5737591</v>
      </c>
      <c r="R375">
        <f t="shared" si="927"/>
        <v>143554652886.0148</v>
      </c>
      <c r="S375">
        <f t="shared" si="928"/>
        <v>1435546.528860148</v>
      </c>
      <c r="T375">
        <f t="shared" si="929"/>
        <v>1435.5465288601481</v>
      </c>
    </row>
    <row r="376" spans="1:20" x14ac:dyDescent="0.25">
      <c r="A376" s="5">
        <v>44208</v>
      </c>
      <c r="B376">
        <v>3.5060000000000001E-4</v>
      </c>
      <c r="C376">
        <v>3.7399999999999998E-4</v>
      </c>
      <c r="D376">
        <v>3.3770000000000002E-4</v>
      </c>
      <c r="E376">
        <v>3.5270000000000001E-4</v>
      </c>
      <c r="F376">
        <v>8455808484</v>
      </c>
      <c r="G376">
        <v>0</v>
      </c>
      <c r="L376" t="s">
        <v>7</v>
      </c>
      <c r="M376" t="s">
        <v>8</v>
      </c>
      <c r="N376" t="s">
        <v>7</v>
      </c>
      <c r="P376">
        <f t="shared" si="925"/>
        <v>-0.17355371900826438</v>
      </c>
      <c r="Q376">
        <f t="shared" si="926"/>
        <v>-1467537009.6198339</v>
      </c>
      <c r="R376">
        <f t="shared" si="927"/>
        <v>135798670705.44106</v>
      </c>
      <c r="S376">
        <f t="shared" si="928"/>
        <v>1357986.7070544106</v>
      </c>
      <c r="T376">
        <f t="shared" si="929"/>
        <v>1357.9867070544105</v>
      </c>
    </row>
    <row r="377" spans="1:20" x14ac:dyDescent="0.25">
      <c r="A377" s="5">
        <v>44207</v>
      </c>
      <c r="B377">
        <v>4.2949999999999998E-4</v>
      </c>
      <c r="C377">
        <v>4.3330000000000002E-4</v>
      </c>
      <c r="D377">
        <v>3.1589999999999998E-4</v>
      </c>
      <c r="E377">
        <v>3.4969999999999999E-4</v>
      </c>
      <c r="F377">
        <v>11394970204</v>
      </c>
      <c r="G377">
        <v>0</v>
      </c>
      <c r="L377" t="s">
        <v>8</v>
      </c>
      <c r="M377" t="s">
        <v>7</v>
      </c>
      <c r="N377" t="s">
        <v>7</v>
      </c>
      <c r="P377">
        <f t="shared" si="925"/>
        <v>-0.42419080068143106</v>
      </c>
      <c r="Q377">
        <f t="shared" si="926"/>
        <v>-4833641534.5758095</v>
      </c>
      <c r="R377">
        <f t="shared" si="927"/>
        <v>137266207715.06088</v>
      </c>
      <c r="S377">
        <f t="shared" si="928"/>
        <v>1372662.0771506089</v>
      </c>
      <c r="T377">
        <f t="shared" si="929"/>
        <v>1372.6620771506089</v>
      </c>
    </row>
    <row r="378" spans="1:20" x14ac:dyDescent="0.25">
      <c r="A378" s="5">
        <v>44206</v>
      </c>
      <c r="B378">
        <v>4.0949999999999998E-4</v>
      </c>
      <c r="C378">
        <v>4.55E-4</v>
      </c>
      <c r="D378">
        <v>3.6699999999999998E-4</v>
      </c>
      <c r="E378">
        <v>4.2890000000000002E-4</v>
      </c>
      <c r="F378">
        <v>17441136584</v>
      </c>
      <c r="G378">
        <v>0</v>
      </c>
      <c r="L378" t="s">
        <v>7</v>
      </c>
      <c r="M378" t="s">
        <v>7</v>
      </c>
      <c r="N378" t="s">
        <v>7</v>
      </c>
      <c r="P378">
        <f t="shared" si="925"/>
        <v>0.40681818181818236</v>
      </c>
      <c r="Q378">
        <f t="shared" si="926"/>
        <v>7095371473.9454641</v>
      </c>
      <c r="R378">
        <f t="shared" si="927"/>
        <v>142099849249.63669</v>
      </c>
      <c r="S378">
        <f t="shared" si="928"/>
        <v>1420998.4924963668</v>
      </c>
      <c r="T378">
        <f t="shared" si="929"/>
        <v>1420.9984924963669</v>
      </c>
    </row>
    <row r="379" spans="1:20" x14ac:dyDescent="0.25">
      <c r="A379" s="5">
        <v>44205</v>
      </c>
      <c r="B379">
        <v>3.3169999999999999E-4</v>
      </c>
      <c r="C379">
        <v>5.3470000000000004E-4</v>
      </c>
      <c r="D379">
        <v>3.3159999999999998E-4</v>
      </c>
      <c r="E379">
        <v>4.0949999999999998E-4</v>
      </c>
      <c r="F379">
        <v>55614348740</v>
      </c>
      <c r="G379">
        <v>0</v>
      </c>
      <c r="L379" t="s">
        <v>8</v>
      </c>
      <c r="M379" t="s">
        <v>8</v>
      </c>
      <c r="N379" t="s">
        <v>8</v>
      </c>
      <c r="P379">
        <f t="shared" si="925"/>
        <v>-0.23289020187099976</v>
      </c>
      <c r="Q379">
        <f t="shared" si="926"/>
        <v>-12952036904.98278</v>
      </c>
      <c r="R379">
        <f t="shared" si="927"/>
        <v>135004477775.69122</v>
      </c>
      <c r="S379">
        <f t="shared" si="928"/>
        <v>1350044.7777569122</v>
      </c>
      <c r="T379">
        <f t="shared" si="929"/>
        <v>1350.0447777569123</v>
      </c>
    </row>
    <row r="380" spans="1:20" x14ac:dyDescent="0.25">
      <c r="A380" s="5">
        <v>44204</v>
      </c>
      <c r="B380">
        <v>3.3260000000000001E-4</v>
      </c>
      <c r="C380">
        <v>3.3990000000000002E-4</v>
      </c>
      <c r="D380">
        <v>3.145E-4</v>
      </c>
      <c r="E380">
        <v>3.3169999999999999E-4</v>
      </c>
      <c r="F380">
        <v>11064448785</v>
      </c>
      <c r="G380">
        <v>0</v>
      </c>
      <c r="L380" t="s">
        <v>7</v>
      </c>
      <c r="M380" t="s">
        <v>8</v>
      </c>
      <c r="N380" t="s">
        <v>8</v>
      </c>
      <c r="P380">
        <f t="shared" si="925"/>
        <v>0.35433070866141497</v>
      </c>
      <c r="Q380">
        <f t="shared" si="926"/>
        <v>3920473978.9369817</v>
      </c>
      <c r="R380">
        <f t="shared" si="927"/>
        <v>147956514680.67401</v>
      </c>
      <c r="S380">
        <f t="shared" si="928"/>
        <v>1479565.1468067402</v>
      </c>
      <c r="T380">
        <f t="shared" si="929"/>
        <v>1479.5651468067401</v>
      </c>
    </row>
    <row r="381" spans="1:20" x14ac:dyDescent="0.25">
      <c r="A381" s="5">
        <v>44203</v>
      </c>
      <c r="B381">
        <v>3.2420000000000002E-4</v>
      </c>
      <c r="C381">
        <v>3.4929999999999998E-4</v>
      </c>
      <c r="D381">
        <v>3.0679999999999998E-4</v>
      </c>
      <c r="E381">
        <v>3.3260000000000001E-4</v>
      </c>
      <c r="F381">
        <v>13405307984</v>
      </c>
      <c r="G381">
        <v>0</v>
      </c>
      <c r="L381" t="s">
        <v>8</v>
      </c>
      <c r="M381" t="s">
        <v>8</v>
      </c>
      <c r="N381" t="s">
        <v>8</v>
      </c>
      <c r="P381">
        <f t="shared" ref="P381:P444" si="930">IF(C381=D381,0,((E381-D381)-(C381-E381))/(C381-D381))</f>
        <v>0.21411764705882488</v>
      </c>
      <c r="Q381">
        <f t="shared" ref="Q381:Q444" si="931">F381*P381</f>
        <v>2870313003.6329594</v>
      </c>
      <c r="R381">
        <f t="shared" ref="R381:R444" si="932">R382+Q381</f>
        <v>144036040701.73703</v>
      </c>
      <c r="S381">
        <f t="shared" ref="S381:S444" si="933">R381/100000</f>
        <v>1440360.4070173702</v>
      </c>
      <c r="T381">
        <f t="shared" ref="T381:T444" si="934">S381/1000</f>
        <v>1440.3604070173701</v>
      </c>
    </row>
    <row r="382" spans="1:20" x14ac:dyDescent="0.25">
      <c r="A382" s="5">
        <v>44202</v>
      </c>
      <c r="B382">
        <v>3.101E-4</v>
      </c>
      <c r="C382">
        <v>3.3730000000000001E-4</v>
      </c>
      <c r="D382">
        <v>3.0529999999999999E-4</v>
      </c>
      <c r="E382">
        <v>3.2420000000000002E-4</v>
      </c>
      <c r="F382">
        <v>11895350366</v>
      </c>
      <c r="G382">
        <v>0</v>
      </c>
      <c r="L382" t="s">
        <v>7</v>
      </c>
      <c r="M382" t="s">
        <v>7</v>
      </c>
      <c r="N382" t="s">
        <v>8</v>
      </c>
      <c r="P382">
        <f t="shared" si="930"/>
        <v>0.18125000000000091</v>
      </c>
      <c r="Q382">
        <f t="shared" si="931"/>
        <v>2156032253.8375111</v>
      </c>
      <c r="R382">
        <f t="shared" si="932"/>
        <v>141165727698.10406</v>
      </c>
      <c r="S382">
        <f t="shared" si="933"/>
        <v>1411657.2769810406</v>
      </c>
      <c r="T382">
        <f t="shared" si="934"/>
        <v>1411.6572769810407</v>
      </c>
    </row>
    <row r="383" spans="1:20" x14ac:dyDescent="0.25">
      <c r="A383" s="5">
        <v>44201</v>
      </c>
      <c r="B383">
        <v>3.1409999999999999E-4</v>
      </c>
      <c r="C383">
        <v>3.1540000000000002E-4</v>
      </c>
      <c r="D383">
        <v>2.8959999999999999E-4</v>
      </c>
      <c r="E383">
        <v>3.1040000000000001E-4</v>
      </c>
      <c r="F383">
        <v>9820243485</v>
      </c>
      <c r="G383">
        <v>0</v>
      </c>
      <c r="L383" t="s">
        <v>8</v>
      </c>
      <c r="M383" t="s">
        <v>7</v>
      </c>
      <c r="N383" t="s">
        <v>8</v>
      </c>
      <c r="P383">
        <f t="shared" si="930"/>
        <v>0.61240310077519322</v>
      </c>
      <c r="Q383">
        <f t="shared" si="931"/>
        <v>6013947560.5813894</v>
      </c>
      <c r="R383">
        <f t="shared" si="932"/>
        <v>139009695444.26654</v>
      </c>
      <c r="S383">
        <f t="shared" si="933"/>
        <v>1390096.9544426654</v>
      </c>
      <c r="T383">
        <f t="shared" si="934"/>
        <v>1390.0969544426655</v>
      </c>
    </row>
    <row r="384" spans="1:20" x14ac:dyDescent="0.25">
      <c r="A384" s="5">
        <v>44200</v>
      </c>
      <c r="B384">
        <v>3.1280000000000001E-4</v>
      </c>
      <c r="C384">
        <v>3.3399999999999999E-4</v>
      </c>
      <c r="D384">
        <v>2.9060000000000002E-4</v>
      </c>
      <c r="E384">
        <v>3.1389999999999999E-4</v>
      </c>
      <c r="F384">
        <v>11434907198</v>
      </c>
      <c r="G384">
        <v>0</v>
      </c>
      <c r="L384" t="s">
        <v>7</v>
      </c>
      <c r="M384" t="s">
        <v>7</v>
      </c>
      <c r="N384" t="s">
        <v>8</v>
      </c>
      <c r="P384">
        <f t="shared" si="930"/>
        <v>7.3732718894008564E-2</v>
      </c>
      <c r="Q384">
        <f t="shared" si="931"/>
        <v>843126798.00920916</v>
      </c>
      <c r="R384">
        <f t="shared" si="932"/>
        <v>132995747883.68515</v>
      </c>
      <c r="S384">
        <f t="shared" si="933"/>
        <v>1329957.4788368514</v>
      </c>
      <c r="T384">
        <f t="shared" si="934"/>
        <v>1329.9574788368514</v>
      </c>
    </row>
    <row r="385" spans="1:20" x14ac:dyDescent="0.25">
      <c r="A385" s="5">
        <v>44199</v>
      </c>
      <c r="B385">
        <v>3.3750000000000002E-4</v>
      </c>
      <c r="C385">
        <v>3.4089999999999999E-4</v>
      </c>
      <c r="D385">
        <v>3.0889999999999997E-4</v>
      </c>
      <c r="E385">
        <v>3.1280000000000001E-4</v>
      </c>
      <c r="F385">
        <v>21628649313</v>
      </c>
      <c r="G385">
        <v>0</v>
      </c>
      <c r="L385" t="s">
        <v>8</v>
      </c>
      <c r="M385" t="s">
        <v>7</v>
      </c>
      <c r="N385" t="s">
        <v>8</v>
      </c>
      <c r="P385">
        <f t="shared" si="930"/>
        <v>-0.75624999999999765</v>
      </c>
      <c r="Q385">
        <f t="shared" si="931"/>
        <v>-16356666042.9562</v>
      </c>
      <c r="R385">
        <f t="shared" si="932"/>
        <v>132152621085.67593</v>
      </c>
      <c r="S385">
        <f t="shared" si="933"/>
        <v>1321526.2108567592</v>
      </c>
      <c r="T385">
        <f t="shared" si="934"/>
        <v>1321.5262108567592</v>
      </c>
    </row>
    <row r="386" spans="1:20" x14ac:dyDescent="0.25">
      <c r="A386" s="5">
        <v>44198</v>
      </c>
      <c r="B386">
        <v>2.9349999999999998E-4</v>
      </c>
      <c r="C386">
        <v>3.679E-4</v>
      </c>
      <c r="D386">
        <v>2.8850000000000002E-4</v>
      </c>
      <c r="E386">
        <v>3.3730000000000001E-4</v>
      </c>
      <c r="F386">
        <v>25909372352</v>
      </c>
      <c r="G386">
        <v>0</v>
      </c>
      <c r="L386" t="s">
        <v>7</v>
      </c>
      <c r="M386" t="s">
        <v>8</v>
      </c>
      <c r="N386" t="s">
        <v>8</v>
      </c>
      <c r="P386">
        <f t="shared" si="930"/>
        <v>0.22921914357682638</v>
      </c>
      <c r="Q386">
        <f t="shared" si="931"/>
        <v>5938924141.1385441</v>
      </c>
      <c r="R386">
        <f t="shared" si="932"/>
        <v>148509287128.63214</v>
      </c>
      <c r="S386">
        <f t="shared" si="933"/>
        <v>1485092.8712863214</v>
      </c>
      <c r="T386">
        <f t="shared" si="934"/>
        <v>1485.0928712863215</v>
      </c>
    </row>
    <row r="387" spans="1:20" x14ac:dyDescent="0.25">
      <c r="A387" s="5">
        <v>44197</v>
      </c>
      <c r="B387">
        <v>2.8820000000000001E-4</v>
      </c>
      <c r="C387">
        <v>2.945E-4</v>
      </c>
      <c r="D387">
        <v>2.8719999999999999E-4</v>
      </c>
      <c r="E387">
        <v>2.9300000000000002E-4</v>
      </c>
      <c r="F387">
        <v>11772926424</v>
      </c>
      <c r="G387">
        <v>0</v>
      </c>
      <c r="L387" t="s">
        <v>8</v>
      </c>
      <c r="M387" t="s">
        <v>7</v>
      </c>
      <c r="N387" t="s">
        <v>7</v>
      </c>
      <c r="P387">
        <f t="shared" si="930"/>
        <v>0.58904109589041664</v>
      </c>
      <c r="Q387">
        <f t="shared" si="931"/>
        <v>6934737482.6302042</v>
      </c>
      <c r="R387">
        <f t="shared" si="932"/>
        <v>142570362987.49359</v>
      </c>
      <c r="S387">
        <f t="shared" si="933"/>
        <v>1425703.6298749358</v>
      </c>
      <c r="T387">
        <f t="shared" si="934"/>
        <v>1425.7036298749358</v>
      </c>
    </row>
    <row r="388" spans="1:20" x14ac:dyDescent="0.25">
      <c r="A388" s="5">
        <v>44196</v>
      </c>
      <c r="B388">
        <v>2.9379999999999999E-4</v>
      </c>
      <c r="C388">
        <v>2.9999999999999997E-4</v>
      </c>
      <c r="D388">
        <v>2.8130000000000001E-4</v>
      </c>
      <c r="E388">
        <v>2.8800000000000001E-4</v>
      </c>
      <c r="F388">
        <v>12824193111</v>
      </c>
      <c r="G388">
        <v>0</v>
      </c>
      <c r="L388" t="s">
        <v>7</v>
      </c>
      <c r="M388" t="s">
        <v>7</v>
      </c>
      <c r="N388" t="s">
        <v>7</v>
      </c>
      <c r="P388">
        <f t="shared" si="930"/>
        <v>-0.28342245989304682</v>
      </c>
      <c r="Q388">
        <f t="shared" si="931"/>
        <v>-3634664357.663085</v>
      </c>
      <c r="R388">
        <f t="shared" si="932"/>
        <v>135635625504.86337</v>
      </c>
      <c r="S388">
        <f t="shared" si="933"/>
        <v>1356356.2550486338</v>
      </c>
      <c r="T388">
        <f t="shared" si="934"/>
        <v>1356.3562550486338</v>
      </c>
    </row>
    <row r="389" spans="1:20" x14ac:dyDescent="0.25">
      <c r="A389" s="5">
        <v>44195</v>
      </c>
      <c r="B389">
        <v>2.9139999999999998E-4</v>
      </c>
      <c r="C389">
        <v>2.944E-4</v>
      </c>
      <c r="D389">
        <v>2.8049999999999999E-4</v>
      </c>
      <c r="E389">
        <v>2.9349999999999998E-4</v>
      </c>
      <c r="F389">
        <v>14484684501</v>
      </c>
      <c r="G389">
        <v>0</v>
      </c>
      <c r="L389" t="s">
        <v>8</v>
      </c>
      <c r="M389" t="s">
        <v>7</v>
      </c>
      <c r="N389" t="s">
        <v>7</v>
      </c>
      <c r="P389">
        <f t="shared" si="930"/>
        <v>0.87050359712229908</v>
      </c>
      <c r="Q389">
        <f t="shared" si="931"/>
        <v>12608969961.302114</v>
      </c>
      <c r="R389">
        <f t="shared" si="932"/>
        <v>139270289862.52646</v>
      </c>
      <c r="S389">
        <f t="shared" si="933"/>
        <v>1392702.8986252646</v>
      </c>
      <c r="T389">
        <f t="shared" si="934"/>
        <v>1392.7028986252647</v>
      </c>
    </row>
    <row r="390" spans="1:20" x14ac:dyDescent="0.25">
      <c r="A390" s="5">
        <v>44194</v>
      </c>
      <c r="B390">
        <v>3.0029999999999998E-4</v>
      </c>
      <c r="C390">
        <v>3.057E-4</v>
      </c>
      <c r="D390">
        <v>2.8279999999999999E-4</v>
      </c>
      <c r="E390">
        <v>2.9119999999999998E-4</v>
      </c>
      <c r="F390">
        <v>15344460078</v>
      </c>
      <c r="G390">
        <v>0</v>
      </c>
      <c r="L390" t="s">
        <v>7</v>
      </c>
      <c r="M390" t="s">
        <v>7</v>
      </c>
      <c r="N390" t="s">
        <v>7</v>
      </c>
      <c r="P390">
        <f t="shared" si="930"/>
        <v>-0.26637554585152995</v>
      </c>
      <c r="Q390">
        <f t="shared" si="931"/>
        <v>-4087388929.0742598</v>
      </c>
      <c r="R390">
        <f t="shared" si="932"/>
        <v>126661319901.22433</v>
      </c>
      <c r="S390">
        <f t="shared" si="933"/>
        <v>1266613.1990122434</v>
      </c>
      <c r="T390">
        <f t="shared" si="934"/>
        <v>1266.6131990122435</v>
      </c>
    </row>
    <row r="391" spans="1:20" x14ac:dyDescent="0.25">
      <c r="A391" s="5">
        <v>44193</v>
      </c>
      <c r="B391">
        <v>2.9819999999999998E-4</v>
      </c>
      <c r="C391">
        <v>3.1100000000000002E-4</v>
      </c>
      <c r="D391">
        <v>2.9619999999999999E-4</v>
      </c>
      <c r="E391">
        <v>3.0029999999999998E-4</v>
      </c>
      <c r="F391">
        <v>15589264631</v>
      </c>
      <c r="G391">
        <v>0</v>
      </c>
      <c r="L391" t="s">
        <v>8</v>
      </c>
      <c r="M391" t="s">
        <v>7</v>
      </c>
      <c r="N391" t="s">
        <v>7</v>
      </c>
      <c r="P391">
        <f t="shared" si="930"/>
        <v>-0.44594594594594844</v>
      </c>
      <c r="Q391">
        <f t="shared" si="931"/>
        <v>-6951969362.473012</v>
      </c>
      <c r="R391">
        <f t="shared" si="932"/>
        <v>130748708830.2986</v>
      </c>
      <c r="S391">
        <f t="shared" si="933"/>
        <v>1307487.088302986</v>
      </c>
      <c r="T391">
        <f t="shared" si="934"/>
        <v>1307.487088302986</v>
      </c>
    </row>
    <row r="392" spans="1:20" x14ac:dyDescent="0.25">
      <c r="A392" s="5">
        <v>44192</v>
      </c>
      <c r="B392">
        <v>3.0039999999999998E-4</v>
      </c>
      <c r="C392">
        <v>3.0850000000000002E-4</v>
      </c>
      <c r="D392">
        <v>2.8610000000000002E-4</v>
      </c>
      <c r="E392">
        <v>2.9799999999999998E-4</v>
      </c>
      <c r="F392">
        <v>15713650401</v>
      </c>
      <c r="G392">
        <v>0</v>
      </c>
      <c r="L392" t="s">
        <v>7</v>
      </c>
      <c r="M392" t="s">
        <v>7</v>
      </c>
      <c r="N392" t="s">
        <v>7</v>
      </c>
      <c r="P392">
        <f t="shared" si="930"/>
        <v>6.2499999999996669E-2</v>
      </c>
      <c r="Q392">
        <f t="shared" si="931"/>
        <v>982103150.06244767</v>
      </c>
      <c r="R392">
        <f t="shared" si="932"/>
        <v>137700678192.77161</v>
      </c>
      <c r="S392">
        <f t="shared" si="933"/>
        <v>1377006.781927716</v>
      </c>
      <c r="T392">
        <f t="shared" si="934"/>
        <v>1377.006781927716</v>
      </c>
    </row>
    <row r="393" spans="1:20" x14ac:dyDescent="0.25">
      <c r="A393" s="5">
        <v>44191</v>
      </c>
      <c r="B393">
        <v>3.0749999999999999E-4</v>
      </c>
      <c r="C393">
        <v>3.078E-4</v>
      </c>
      <c r="D393">
        <v>2.9599999999999998E-4</v>
      </c>
      <c r="E393">
        <v>2.9970000000000002E-4</v>
      </c>
      <c r="F393">
        <v>14485594381</v>
      </c>
      <c r="G393">
        <v>0</v>
      </c>
      <c r="L393" t="s">
        <v>8</v>
      </c>
      <c r="M393" t="s">
        <v>7</v>
      </c>
      <c r="N393" t="s">
        <v>7</v>
      </c>
      <c r="P393">
        <f t="shared" si="930"/>
        <v>-0.37288135593219818</v>
      </c>
      <c r="Q393">
        <f t="shared" si="931"/>
        <v>-5401408074.2711105</v>
      </c>
      <c r="R393">
        <f t="shared" si="932"/>
        <v>136718575042.70917</v>
      </c>
      <c r="S393">
        <f t="shared" si="933"/>
        <v>1367185.7504270917</v>
      </c>
      <c r="T393">
        <f t="shared" si="934"/>
        <v>1367.1857504270918</v>
      </c>
    </row>
    <row r="394" spans="1:20" x14ac:dyDescent="0.25">
      <c r="A394" s="5">
        <v>44190</v>
      </c>
      <c r="B394">
        <v>3.0079999999999999E-4</v>
      </c>
      <c r="C394">
        <v>3.1100000000000002E-4</v>
      </c>
      <c r="D394">
        <v>2.9609999999999999E-4</v>
      </c>
      <c r="E394">
        <v>3.0729999999999999E-4</v>
      </c>
      <c r="F394">
        <v>14198938187</v>
      </c>
      <c r="G394">
        <v>0</v>
      </c>
      <c r="L394" t="s">
        <v>7</v>
      </c>
      <c r="M394" t="s">
        <v>7</v>
      </c>
      <c r="N394" t="s">
        <v>7</v>
      </c>
      <c r="P394">
        <f t="shared" si="930"/>
        <v>0.50335570469798296</v>
      </c>
      <c r="Q394">
        <f t="shared" si="931"/>
        <v>7147116537.0804853</v>
      </c>
      <c r="R394">
        <f t="shared" si="932"/>
        <v>142119983116.98029</v>
      </c>
      <c r="S394">
        <f t="shared" si="933"/>
        <v>1421199.8311698029</v>
      </c>
      <c r="T394">
        <f t="shared" si="934"/>
        <v>1421.199831169803</v>
      </c>
    </row>
    <row r="395" spans="1:20" x14ac:dyDescent="0.25">
      <c r="A395" s="5">
        <v>44189</v>
      </c>
      <c r="B395">
        <v>2.7599999999999999E-4</v>
      </c>
      <c r="C395">
        <v>3.0269999999999999E-4</v>
      </c>
      <c r="D395">
        <v>2.7139999999999998E-4</v>
      </c>
      <c r="E395">
        <v>3.0059999999999999E-4</v>
      </c>
      <c r="F395">
        <v>16972179073</v>
      </c>
      <c r="G395">
        <v>0</v>
      </c>
      <c r="L395" t="s">
        <v>8</v>
      </c>
      <c r="M395" t="s">
        <v>7</v>
      </c>
      <c r="N395" t="s">
        <v>7</v>
      </c>
      <c r="P395">
        <f t="shared" si="930"/>
        <v>0.86581469648562326</v>
      </c>
      <c r="Q395">
        <f t="shared" si="931"/>
        <v>14694762072.789143</v>
      </c>
      <c r="R395">
        <f t="shared" si="932"/>
        <v>134972866579.89981</v>
      </c>
      <c r="S395">
        <f t="shared" si="933"/>
        <v>1349728.6657989982</v>
      </c>
      <c r="T395">
        <f t="shared" si="934"/>
        <v>1349.7286657989982</v>
      </c>
    </row>
    <row r="396" spans="1:20" x14ac:dyDescent="0.25">
      <c r="A396" s="5">
        <v>44188</v>
      </c>
      <c r="B396">
        <v>3.19E-4</v>
      </c>
      <c r="C396">
        <v>3.2150000000000001E-4</v>
      </c>
      <c r="D396">
        <v>2.7E-4</v>
      </c>
      <c r="E396">
        <v>2.7629999999999999E-4</v>
      </c>
      <c r="F396">
        <v>15981487675</v>
      </c>
      <c r="G396">
        <v>0</v>
      </c>
      <c r="L396" t="s">
        <v>7</v>
      </c>
      <c r="M396" t="s">
        <v>7</v>
      </c>
      <c r="N396" t="s">
        <v>7</v>
      </c>
      <c r="P396">
        <f t="shared" si="930"/>
        <v>-0.75533980582524307</v>
      </c>
      <c r="Q396">
        <f t="shared" si="931"/>
        <v>-12071453797.233015</v>
      </c>
      <c r="R396">
        <f t="shared" si="932"/>
        <v>120278104507.11067</v>
      </c>
      <c r="S396">
        <f t="shared" si="933"/>
        <v>1202781.0450711066</v>
      </c>
      <c r="T396">
        <f t="shared" si="934"/>
        <v>1202.7810450711067</v>
      </c>
    </row>
    <row r="397" spans="1:20" x14ac:dyDescent="0.25">
      <c r="A397" s="5">
        <v>44187</v>
      </c>
      <c r="B397">
        <v>3.1990000000000002E-4</v>
      </c>
      <c r="C397">
        <v>3.2279999999999999E-4</v>
      </c>
      <c r="D397">
        <v>3.0880000000000002E-4</v>
      </c>
      <c r="E397">
        <v>3.1930000000000001E-4</v>
      </c>
      <c r="F397">
        <v>13580329334</v>
      </c>
      <c r="G397">
        <v>0</v>
      </c>
      <c r="L397" t="s">
        <v>8</v>
      </c>
      <c r="M397" t="s">
        <v>7</v>
      </c>
      <c r="N397" t="s">
        <v>7</v>
      </c>
      <c r="P397">
        <f t="shared" si="930"/>
        <v>0.50000000000000189</v>
      </c>
      <c r="Q397">
        <f t="shared" si="931"/>
        <v>6790164667.0000257</v>
      </c>
      <c r="R397">
        <f t="shared" si="932"/>
        <v>132349558304.34369</v>
      </c>
      <c r="S397">
        <f t="shared" si="933"/>
        <v>1323495.583043437</v>
      </c>
      <c r="T397">
        <f t="shared" si="934"/>
        <v>1323.4955830434369</v>
      </c>
    </row>
    <row r="398" spans="1:20" x14ac:dyDescent="0.25">
      <c r="A398" s="5">
        <v>44186</v>
      </c>
      <c r="B398">
        <v>3.3639999999999999E-4</v>
      </c>
      <c r="C398">
        <v>3.412E-4</v>
      </c>
      <c r="D398">
        <v>3.1780000000000003E-4</v>
      </c>
      <c r="E398">
        <v>3.2009999999999997E-4</v>
      </c>
      <c r="F398">
        <v>9190369440</v>
      </c>
      <c r="G398">
        <v>0</v>
      </c>
      <c r="L398" t="s">
        <v>7</v>
      </c>
      <c r="M398" t="s">
        <v>7</v>
      </c>
      <c r="N398" t="s">
        <v>7</v>
      </c>
      <c r="P398">
        <f t="shared" si="930"/>
        <v>-0.80341880341880767</v>
      </c>
      <c r="Q398">
        <f t="shared" si="931"/>
        <v>-7383715618.4615774</v>
      </c>
      <c r="R398">
        <f t="shared" si="932"/>
        <v>125559393637.34366</v>
      </c>
      <c r="S398">
        <f t="shared" si="933"/>
        <v>1255593.9363734366</v>
      </c>
      <c r="T398">
        <f t="shared" si="934"/>
        <v>1255.5939363734367</v>
      </c>
    </row>
    <row r="399" spans="1:20" x14ac:dyDescent="0.25">
      <c r="A399" s="5">
        <v>44185</v>
      </c>
      <c r="B399">
        <v>3.3990000000000002E-4</v>
      </c>
      <c r="C399">
        <v>3.458E-4</v>
      </c>
      <c r="D399">
        <v>3.3E-4</v>
      </c>
      <c r="E399">
        <v>3.366E-4</v>
      </c>
      <c r="F399">
        <v>13055267118</v>
      </c>
      <c r="G399">
        <v>0</v>
      </c>
      <c r="L399" t="s">
        <v>8</v>
      </c>
      <c r="M399" t="s">
        <v>7</v>
      </c>
      <c r="N399" t="s">
        <v>7</v>
      </c>
      <c r="P399">
        <f t="shared" si="930"/>
        <v>-0.16455696202531697</v>
      </c>
      <c r="Q399">
        <f t="shared" si="931"/>
        <v>-2148335095.3670955</v>
      </c>
      <c r="R399">
        <f t="shared" si="932"/>
        <v>132943109255.80524</v>
      </c>
      <c r="S399">
        <f t="shared" si="933"/>
        <v>1329431.0925580524</v>
      </c>
      <c r="T399">
        <f t="shared" si="934"/>
        <v>1329.4310925580523</v>
      </c>
    </row>
    <row r="400" spans="1:20" x14ac:dyDescent="0.25">
      <c r="A400" s="5">
        <v>44184</v>
      </c>
      <c r="B400">
        <v>3.3199999999999999E-4</v>
      </c>
      <c r="C400">
        <v>3.411E-4</v>
      </c>
      <c r="D400">
        <v>3.2949999999999999E-4</v>
      </c>
      <c r="E400">
        <v>3.3980000000000002E-4</v>
      </c>
      <c r="F400">
        <v>10584309888</v>
      </c>
      <c r="G400">
        <v>0</v>
      </c>
      <c r="L400" t="s">
        <v>7</v>
      </c>
      <c r="M400" t="s">
        <v>7</v>
      </c>
      <c r="N400" t="s">
        <v>7</v>
      </c>
      <c r="P400">
        <f t="shared" si="930"/>
        <v>0.77586206896552135</v>
      </c>
      <c r="Q400">
        <f t="shared" si="931"/>
        <v>8211964568.2759056</v>
      </c>
      <c r="R400">
        <f t="shared" si="932"/>
        <v>135091444351.17233</v>
      </c>
      <c r="S400">
        <f t="shared" si="933"/>
        <v>1350914.4435117233</v>
      </c>
      <c r="T400">
        <f t="shared" si="934"/>
        <v>1350.9144435117232</v>
      </c>
    </row>
    <row r="401" spans="1:20" x14ac:dyDescent="0.25">
      <c r="A401" s="5">
        <v>44183</v>
      </c>
      <c r="B401">
        <v>3.2749999999999999E-4</v>
      </c>
      <c r="C401">
        <v>3.3530000000000002E-4</v>
      </c>
      <c r="D401">
        <v>3.232E-4</v>
      </c>
      <c r="E401">
        <v>3.3199999999999999E-4</v>
      </c>
      <c r="F401">
        <v>11845431543</v>
      </c>
      <c r="G401">
        <v>0</v>
      </c>
      <c r="L401" t="s">
        <v>8</v>
      </c>
      <c r="M401" t="s">
        <v>7</v>
      </c>
      <c r="N401" t="s">
        <v>7</v>
      </c>
      <c r="P401">
        <f t="shared" si="930"/>
        <v>0.45454545454545131</v>
      </c>
      <c r="Q401">
        <f t="shared" si="931"/>
        <v>5384287064.9999619</v>
      </c>
      <c r="R401">
        <f t="shared" si="932"/>
        <v>126879479782.89642</v>
      </c>
      <c r="S401">
        <f t="shared" si="933"/>
        <v>1268794.7978289642</v>
      </c>
      <c r="T401">
        <f t="shared" si="934"/>
        <v>1268.7947978289642</v>
      </c>
    </row>
    <row r="402" spans="1:20" x14ac:dyDescent="0.25">
      <c r="A402" s="5">
        <v>44182</v>
      </c>
      <c r="B402">
        <v>3.4039999999999998E-4</v>
      </c>
      <c r="C402">
        <v>3.4230000000000003E-4</v>
      </c>
      <c r="D402">
        <v>3.2630000000000002E-4</v>
      </c>
      <c r="E402">
        <v>3.2739999999999999E-4</v>
      </c>
      <c r="F402">
        <v>14781658165</v>
      </c>
      <c r="G402">
        <v>0</v>
      </c>
      <c r="L402" t="s">
        <v>7</v>
      </c>
      <c r="M402" t="s">
        <v>7</v>
      </c>
      <c r="N402" t="s">
        <v>7</v>
      </c>
      <c r="P402">
        <f t="shared" si="930"/>
        <v>-0.86250000000000349</v>
      </c>
      <c r="Q402">
        <f t="shared" si="931"/>
        <v>-12749180167.312551</v>
      </c>
      <c r="R402">
        <f t="shared" si="932"/>
        <v>121495192717.89647</v>
      </c>
      <c r="S402">
        <f t="shared" si="933"/>
        <v>1214951.9271789647</v>
      </c>
      <c r="T402">
        <f t="shared" si="934"/>
        <v>1214.9519271789648</v>
      </c>
    </row>
    <row r="403" spans="1:20" x14ac:dyDescent="0.25">
      <c r="A403" s="5">
        <v>44181</v>
      </c>
      <c r="B403">
        <v>3.2390000000000001E-4</v>
      </c>
      <c r="C403">
        <v>3.4099999999999999E-4</v>
      </c>
      <c r="D403">
        <v>3.21E-4</v>
      </c>
      <c r="E403">
        <v>3.4039999999999998E-4</v>
      </c>
      <c r="F403">
        <v>11535472288</v>
      </c>
      <c r="G403">
        <v>0</v>
      </c>
      <c r="L403" t="s">
        <v>8</v>
      </c>
      <c r="M403" t="s">
        <v>7</v>
      </c>
      <c r="N403" t="s">
        <v>7</v>
      </c>
      <c r="P403">
        <f t="shared" si="930"/>
        <v>0.9399999999999985</v>
      </c>
      <c r="Q403">
        <f t="shared" si="931"/>
        <v>10843343950.719982</v>
      </c>
      <c r="R403">
        <f t="shared" si="932"/>
        <v>134244372885.20901</v>
      </c>
      <c r="S403">
        <f t="shared" si="933"/>
        <v>1342443.7288520902</v>
      </c>
      <c r="T403">
        <f t="shared" si="934"/>
        <v>1342.4437288520901</v>
      </c>
    </row>
    <row r="404" spans="1:20" x14ac:dyDescent="0.25">
      <c r="A404" s="5">
        <v>44180</v>
      </c>
      <c r="B404">
        <v>3.3419999999999999E-4</v>
      </c>
      <c r="C404">
        <v>3.3520000000000002E-4</v>
      </c>
      <c r="D404">
        <v>3.2269999999999998E-4</v>
      </c>
      <c r="E404">
        <v>3.2380000000000001E-4</v>
      </c>
      <c r="F404">
        <v>9686884108</v>
      </c>
      <c r="G404">
        <v>0</v>
      </c>
      <c r="L404" t="s">
        <v>7</v>
      </c>
      <c r="M404" t="s">
        <v>7</v>
      </c>
      <c r="N404" t="s">
        <v>7</v>
      </c>
      <c r="P404">
        <f t="shared" si="930"/>
        <v>-0.82399999999999618</v>
      </c>
      <c r="Q404">
        <f t="shared" si="931"/>
        <v>-7981992504.9919634</v>
      </c>
      <c r="R404">
        <f t="shared" si="932"/>
        <v>123401028934.48903</v>
      </c>
      <c r="S404">
        <f t="shared" si="933"/>
        <v>1234010.2893448903</v>
      </c>
      <c r="T404">
        <f t="shared" si="934"/>
        <v>1234.0102893448902</v>
      </c>
    </row>
    <row r="405" spans="1:20" x14ac:dyDescent="0.25">
      <c r="A405" s="5">
        <v>44179</v>
      </c>
      <c r="B405">
        <v>3.1990000000000002E-4</v>
      </c>
      <c r="C405">
        <v>3.4049999999999998E-4</v>
      </c>
      <c r="D405">
        <v>3.145E-4</v>
      </c>
      <c r="E405">
        <v>3.3409999999999999E-4</v>
      </c>
      <c r="F405">
        <v>12329295553</v>
      </c>
      <c r="G405">
        <v>0</v>
      </c>
      <c r="L405" t="s">
        <v>8</v>
      </c>
      <c r="M405" t="s">
        <v>7</v>
      </c>
      <c r="N405" t="s">
        <v>7</v>
      </c>
      <c r="P405">
        <f t="shared" si="930"/>
        <v>0.50769230769230789</v>
      </c>
      <c r="Q405">
        <f t="shared" si="931"/>
        <v>6259488511.5230789</v>
      </c>
      <c r="R405">
        <f t="shared" si="932"/>
        <v>131383021439.48099</v>
      </c>
      <c r="S405">
        <f t="shared" si="933"/>
        <v>1313830.2143948099</v>
      </c>
      <c r="T405">
        <f t="shared" si="934"/>
        <v>1313.8302143948099</v>
      </c>
    </row>
    <row r="406" spans="1:20" x14ac:dyDescent="0.25">
      <c r="A406" s="5">
        <v>44178</v>
      </c>
      <c r="B406">
        <v>3.1599999999999998E-4</v>
      </c>
      <c r="C406">
        <v>3.2469999999999998E-4</v>
      </c>
      <c r="D406">
        <v>3.1579999999999998E-4</v>
      </c>
      <c r="E406">
        <v>3.2000000000000003E-4</v>
      </c>
      <c r="F406">
        <v>8552525557</v>
      </c>
      <c r="G406">
        <v>0</v>
      </c>
      <c r="L406" t="s">
        <v>7</v>
      </c>
      <c r="M406" t="s">
        <v>7</v>
      </c>
      <c r="N406" t="s">
        <v>7</v>
      </c>
      <c r="P406">
        <f t="shared" si="930"/>
        <v>-5.6179775280888064E-2</v>
      </c>
      <c r="Q406">
        <f t="shared" si="931"/>
        <v>-480478963.87631202</v>
      </c>
      <c r="R406">
        <f t="shared" si="932"/>
        <v>125123532927.9579</v>
      </c>
      <c r="S406">
        <f t="shared" si="933"/>
        <v>1251235.329279579</v>
      </c>
      <c r="T406">
        <f t="shared" si="934"/>
        <v>1251.235329279579</v>
      </c>
    </row>
    <row r="407" spans="1:20" x14ac:dyDescent="0.25">
      <c r="A407" s="5">
        <v>44177</v>
      </c>
      <c r="B407">
        <v>3.054E-4</v>
      </c>
      <c r="C407">
        <v>3.2000000000000003E-4</v>
      </c>
      <c r="D407">
        <v>3.0509999999999999E-4</v>
      </c>
      <c r="E407">
        <v>3.1599999999999998E-4</v>
      </c>
      <c r="F407">
        <v>9704127668</v>
      </c>
      <c r="G407">
        <v>0</v>
      </c>
      <c r="L407" t="s">
        <v>8</v>
      </c>
      <c r="M407" t="s">
        <v>7</v>
      </c>
      <c r="N407" t="s">
        <v>7</v>
      </c>
      <c r="P407">
        <f t="shared" si="930"/>
        <v>0.46308724832214321</v>
      </c>
      <c r="Q407">
        <f t="shared" si="931"/>
        <v>4493857779.1408968</v>
      </c>
      <c r="R407">
        <f t="shared" si="932"/>
        <v>125604011891.83421</v>
      </c>
      <c r="S407">
        <f t="shared" si="933"/>
        <v>1256040.1189183421</v>
      </c>
      <c r="T407">
        <f t="shared" si="934"/>
        <v>1256.0401189183422</v>
      </c>
    </row>
    <row r="408" spans="1:20" x14ac:dyDescent="0.25">
      <c r="A408" s="5">
        <v>44176</v>
      </c>
      <c r="B408">
        <v>3.1359999999999998E-4</v>
      </c>
      <c r="C408">
        <v>3.1369999999999998E-4</v>
      </c>
      <c r="D408">
        <v>3.0269999999999999E-4</v>
      </c>
      <c r="E408">
        <v>3.055E-4</v>
      </c>
      <c r="F408">
        <v>10320299220</v>
      </c>
      <c r="G408">
        <v>0</v>
      </c>
      <c r="L408" t="s">
        <v>7</v>
      </c>
      <c r="M408" t="s">
        <v>7</v>
      </c>
      <c r="N408" t="s">
        <v>7</v>
      </c>
      <c r="P408">
        <f t="shared" si="930"/>
        <v>-0.49090909090908824</v>
      </c>
      <c r="Q408">
        <f t="shared" si="931"/>
        <v>-5066328707.9999723</v>
      </c>
      <c r="R408">
        <f t="shared" si="932"/>
        <v>121110154112.69331</v>
      </c>
      <c r="S408">
        <f t="shared" si="933"/>
        <v>1211101.5411269332</v>
      </c>
      <c r="T408">
        <f t="shared" si="934"/>
        <v>1211.1015411269332</v>
      </c>
    </row>
    <row r="409" spans="1:20" x14ac:dyDescent="0.25">
      <c r="A409" s="5">
        <v>44175</v>
      </c>
      <c r="B409">
        <v>3.2660000000000002E-4</v>
      </c>
      <c r="C409">
        <v>3.2660000000000002E-4</v>
      </c>
      <c r="D409">
        <v>3.1100000000000002E-4</v>
      </c>
      <c r="E409">
        <v>3.1310000000000002E-4</v>
      </c>
      <c r="F409">
        <v>9674187904</v>
      </c>
      <c r="G409">
        <v>0</v>
      </c>
      <c r="L409" t="s">
        <v>8</v>
      </c>
      <c r="M409" t="s">
        <v>7</v>
      </c>
      <c r="N409" t="s">
        <v>7</v>
      </c>
      <c r="P409">
        <f t="shared" si="930"/>
        <v>-0.73076923076923117</v>
      </c>
      <c r="Q409">
        <f t="shared" si="931"/>
        <v>-7069598852.9230804</v>
      </c>
      <c r="R409">
        <f t="shared" si="932"/>
        <v>126176482820.69328</v>
      </c>
      <c r="S409">
        <f t="shared" si="933"/>
        <v>1261764.8282069329</v>
      </c>
      <c r="T409">
        <f t="shared" si="934"/>
        <v>1261.7648282069329</v>
      </c>
    </row>
    <row r="410" spans="1:20" x14ac:dyDescent="0.25">
      <c r="A410" s="5">
        <v>44174</v>
      </c>
      <c r="B410">
        <v>3.212E-4</v>
      </c>
      <c r="C410">
        <v>3.2810000000000001E-4</v>
      </c>
      <c r="D410">
        <v>3.0699999999999998E-4</v>
      </c>
      <c r="E410">
        <v>3.2590000000000001E-4</v>
      </c>
      <c r="F410">
        <v>11039249427</v>
      </c>
      <c r="G410">
        <v>0</v>
      </c>
      <c r="L410" t="s">
        <v>7</v>
      </c>
      <c r="M410" t="s">
        <v>7</v>
      </c>
      <c r="N410" t="s">
        <v>7</v>
      </c>
      <c r="P410">
        <f t="shared" si="930"/>
        <v>0.7914691943127965</v>
      </c>
      <c r="Q410">
        <f t="shared" si="931"/>
        <v>8737225849.8056908</v>
      </c>
      <c r="R410">
        <f t="shared" si="932"/>
        <v>133246081673.61636</v>
      </c>
      <c r="S410">
        <f t="shared" si="933"/>
        <v>1332460.8167361636</v>
      </c>
      <c r="T410">
        <f t="shared" si="934"/>
        <v>1332.4608167361637</v>
      </c>
    </row>
    <row r="411" spans="1:20" x14ac:dyDescent="0.25">
      <c r="A411" s="5">
        <v>44173</v>
      </c>
      <c r="B411">
        <v>3.323E-4</v>
      </c>
      <c r="C411">
        <v>3.3619999999999999E-4</v>
      </c>
      <c r="D411">
        <v>3.1579999999999998E-4</v>
      </c>
      <c r="E411">
        <v>3.212E-4</v>
      </c>
      <c r="F411">
        <v>9877047512</v>
      </c>
      <c r="G411">
        <v>0</v>
      </c>
      <c r="L411" t="s">
        <v>8</v>
      </c>
      <c r="M411" t="s">
        <v>7</v>
      </c>
      <c r="N411" t="s">
        <v>8</v>
      </c>
      <c r="P411">
        <f t="shared" si="930"/>
        <v>-0.47058823529411564</v>
      </c>
      <c r="Q411">
        <f t="shared" si="931"/>
        <v>-4648022358.5882158</v>
      </c>
      <c r="R411">
        <f t="shared" si="932"/>
        <v>124508855823.81067</v>
      </c>
      <c r="S411">
        <f t="shared" si="933"/>
        <v>1245088.5582381068</v>
      </c>
      <c r="T411">
        <f t="shared" si="934"/>
        <v>1245.0885582381068</v>
      </c>
    </row>
    <row r="412" spans="1:20" x14ac:dyDescent="0.25">
      <c r="A412" s="5">
        <v>44172</v>
      </c>
      <c r="B412">
        <v>3.4539999999999999E-4</v>
      </c>
      <c r="C412">
        <v>3.458E-4</v>
      </c>
      <c r="D412">
        <v>3.3050000000000001E-4</v>
      </c>
      <c r="E412">
        <v>3.323E-4</v>
      </c>
      <c r="F412">
        <v>8555455013</v>
      </c>
      <c r="G412">
        <v>0</v>
      </c>
      <c r="L412" t="s">
        <v>7</v>
      </c>
      <c r="M412" t="s">
        <v>7</v>
      </c>
      <c r="N412" t="s">
        <v>8</v>
      </c>
      <c r="P412">
        <f t="shared" si="930"/>
        <v>-0.76470588235294246</v>
      </c>
      <c r="Q412">
        <f t="shared" si="931"/>
        <v>-6542406774.6470699</v>
      </c>
      <c r="R412">
        <f t="shared" si="932"/>
        <v>129156878182.39888</v>
      </c>
      <c r="S412">
        <f t="shared" si="933"/>
        <v>1291568.7818239888</v>
      </c>
      <c r="T412">
        <f t="shared" si="934"/>
        <v>1291.5687818239887</v>
      </c>
    </row>
    <row r="413" spans="1:20" x14ac:dyDescent="0.25">
      <c r="A413" s="5">
        <v>44171</v>
      </c>
      <c r="B413">
        <v>3.4319999999999999E-4</v>
      </c>
      <c r="C413">
        <v>3.501E-4</v>
      </c>
      <c r="D413">
        <v>3.3500000000000001E-4</v>
      </c>
      <c r="E413">
        <v>3.4499999999999998E-4</v>
      </c>
      <c r="F413">
        <v>8399691844</v>
      </c>
      <c r="G413">
        <v>0</v>
      </c>
      <c r="L413" t="s">
        <v>8</v>
      </c>
      <c r="M413" t="s">
        <v>7</v>
      </c>
      <c r="N413" t="s">
        <v>8</v>
      </c>
      <c r="P413">
        <f t="shared" si="930"/>
        <v>0.32450331125827553</v>
      </c>
      <c r="Q413">
        <f t="shared" si="931"/>
        <v>2725727816.9271302</v>
      </c>
      <c r="R413">
        <f t="shared" si="932"/>
        <v>135699284957.04594</v>
      </c>
      <c r="S413">
        <f t="shared" si="933"/>
        <v>1356992.8495704595</v>
      </c>
      <c r="T413">
        <f t="shared" si="934"/>
        <v>1356.9928495704594</v>
      </c>
    </row>
    <row r="414" spans="1:20" x14ac:dyDescent="0.25">
      <c r="A414" s="5">
        <v>44170</v>
      </c>
      <c r="B414">
        <v>3.2400000000000001E-4</v>
      </c>
      <c r="C414">
        <v>3.503E-4</v>
      </c>
      <c r="D414">
        <v>3.212E-4</v>
      </c>
      <c r="E414">
        <v>3.434E-4</v>
      </c>
      <c r="F414">
        <v>9493719517</v>
      </c>
      <c r="G414">
        <v>0</v>
      </c>
      <c r="L414" t="s">
        <v>7</v>
      </c>
      <c r="M414" t="s">
        <v>7</v>
      </c>
      <c r="N414" t="s">
        <v>8</v>
      </c>
      <c r="P414">
        <f t="shared" si="930"/>
        <v>0.52577319587628835</v>
      </c>
      <c r="Q414">
        <f t="shared" si="931"/>
        <v>4991543251.2061825</v>
      </c>
      <c r="R414">
        <f t="shared" si="932"/>
        <v>132973557140.11882</v>
      </c>
      <c r="S414">
        <f t="shared" si="933"/>
        <v>1329735.5714011882</v>
      </c>
      <c r="T414">
        <f t="shared" si="934"/>
        <v>1329.7355714011881</v>
      </c>
    </row>
    <row r="415" spans="1:20" x14ac:dyDescent="0.25">
      <c r="A415" s="5">
        <v>44169</v>
      </c>
      <c r="B415">
        <v>3.4370000000000001E-4</v>
      </c>
      <c r="C415">
        <v>3.4479999999999998E-4</v>
      </c>
      <c r="D415">
        <v>3.213E-4</v>
      </c>
      <c r="E415">
        <v>3.2400000000000001E-4</v>
      </c>
      <c r="F415">
        <v>11740064519</v>
      </c>
      <c r="G415">
        <v>0</v>
      </c>
      <c r="L415" t="s">
        <v>8</v>
      </c>
      <c r="M415" t="s">
        <v>7</v>
      </c>
      <c r="N415" t="s">
        <v>8</v>
      </c>
      <c r="P415">
        <f t="shared" si="930"/>
        <v>-0.77021276595744559</v>
      </c>
      <c r="Q415">
        <f t="shared" si="931"/>
        <v>-9042347565.6978588</v>
      </c>
      <c r="R415">
        <f t="shared" si="932"/>
        <v>127982013888.91264</v>
      </c>
      <c r="S415">
        <f t="shared" si="933"/>
        <v>1279820.1388891265</v>
      </c>
      <c r="T415">
        <f t="shared" si="934"/>
        <v>1279.8201388891264</v>
      </c>
    </row>
    <row r="416" spans="1:20" x14ac:dyDescent="0.25">
      <c r="A416" s="5">
        <v>44168</v>
      </c>
      <c r="B416">
        <v>3.458E-4</v>
      </c>
      <c r="C416">
        <v>3.4699999999999998E-4</v>
      </c>
      <c r="D416">
        <v>3.3740000000000002E-4</v>
      </c>
      <c r="E416">
        <v>3.4400000000000001E-4</v>
      </c>
      <c r="F416">
        <v>6427406389</v>
      </c>
      <c r="G416">
        <v>0</v>
      </c>
      <c r="L416" t="s">
        <v>7</v>
      </c>
      <c r="M416" t="s">
        <v>7</v>
      </c>
      <c r="N416" t="s">
        <v>8</v>
      </c>
      <c r="P416">
        <f t="shared" si="930"/>
        <v>0.37500000000000494</v>
      </c>
      <c r="Q416">
        <f t="shared" si="931"/>
        <v>2410277395.8750319</v>
      </c>
      <c r="R416">
        <f t="shared" si="932"/>
        <v>137024361454.6105</v>
      </c>
      <c r="S416">
        <f t="shared" si="933"/>
        <v>1370243.614546105</v>
      </c>
      <c r="T416">
        <f t="shared" si="934"/>
        <v>1370.2436145461049</v>
      </c>
    </row>
    <row r="417" spans="1:20" x14ac:dyDescent="0.25">
      <c r="A417" s="5">
        <v>44167</v>
      </c>
      <c r="B417">
        <v>3.411E-4</v>
      </c>
      <c r="C417">
        <v>3.5169999999999998E-4</v>
      </c>
      <c r="D417">
        <v>3.3579999999999998E-4</v>
      </c>
      <c r="E417">
        <v>3.4539999999999999E-4</v>
      </c>
      <c r="F417">
        <v>8036945433</v>
      </c>
      <c r="G417">
        <v>0</v>
      </c>
      <c r="L417" t="s">
        <v>8</v>
      </c>
      <c r="M417" t="s">
        <v>7</v>
      </c>
      <c r="N417" t="s">
        <v>8</v>
      </c>
      <c r="P417">
        <f t="shared" si="930"/>
        <v>0.20754716981132229</v>
      </c>
      <c r="Q417">
        <f t="shared" si="931"/>
        <v>1668045278.5471821</v>
      </c>
      <c r="R417">
        <f t="shared" si="932"/>
        <v>134614084058.73547</v>
      </c>
      <c r="S417">
        <f t="shared" si="933"/>
        <v>1346140.8405873547</v>
      </c>
      <c r="T417">
        <f t="shared" si="934"/>
        <v>1346.1408405873547</v>
      </c>
    </row>
    <row r="418" spans="1:20" x14ac:dyDescent="0.25">
      <c r="A418" s="5">
        <v>44166</v>
      </c>
      <c r="B418">
        <v>3.7950000000000001E-4</v>
      </c>
      <c r="C418">
        <v>3.8999999999999999E-4</v>
      </c>
      <c r="D418">
        <v>3.2390000000000001E-4</v>
      </c>
      <c r="E418">
        <v>3.4150000000000001E-4</v>
      </c>
      <c r="F418">
        <v>22871275206</v>
      </c>
      <c r="G418">
        <v>0</v>
      </c>
      <c r="L418" t="s">
        <v>7</v>
      </c>
      <c r="M418" t="s">
        <v>7</v>
      </c>
      <c r="N418" t="s">
        <v>8</v>
      </c>
      <c r="P418">
        <f t="shared" si="930"/>
        <v>-0.46747352496217853</v>
      </c>
      <c r="Q418">
        <f t="shared" si="931"/>
        <v>-10691715640.928896</v>
      </c>
      <c r="R418">
        <f t="shared" si="932"/>
        <v>132946038780.18829</v>
      </c>
      <c r="S418">
        <f t="shared" si="933"/>
        <v>1329460.387801883</v>
      </c>
      <c r="T418">
        <f t="shared" si="934"/>
        <v>1329.4603878018831</v>
      </c>
    </row>
    <row r="419" spans="1:20" x14ac:dyDescent="0.25">
      <c r="A419" s="5">
        <v>44165</v>
      </c>
      <c r="B419">
        <v>3.1859999999999999E-4</v>
      </c>
      <c r="C419">
        <v>4.1570000000000002E-4</v>
      </c>
      <c r="D419">
        <v>3.1300000000000002E-4</v>
      </c>
      <c r="E419">
        <v>3.7940000000000001E-4</v>
      </c>
      <c r="F419">
        <v>26937468549</v>
      </c>
      <c r="G419">
        <v>0</v>
      </c>
      <c r="L419" t="s">
        <v>8</v>
      </c>
      <c r="M419" t="s">
        <v>8</v>
      </c>
      <c r="N419" t="s">
        <v>8</v>
      </c>
      <c r="P419">
        <f t="shared" si="930"/>
        <v>0.29308666017526752</v>
      </c>
      <c r="Q419">
        <f t="shared" si="931"/>
        <v>7895012690.6027193</v>
      </c>
      <c r="R419">
        <f t="shared" si="932"/>
        <v>143637754421.11719</v>
      </c>
      <c r="S419">
        <f t="shared" si="933"/>
        <v>1436377.5442111718</v>
      </c>
      <c r="T419">
        <f t="shared" si="934"/>
        <v>1436.3775442111719</v>
      </c>
    </row>
    <row r="420" spans="1:20" x14ac:dyDescent="0.25">
      <c r="A420" s="5">
        <v>44164</v>
      </c>
      <c r="B420">
        <v>3.1859999999999999E-4</v>
      </c>
      <c r="C420">
        <v>3.2489999999999998E-4</v>
      </c>
      <c r="D420">
        <v>3.1389999999999999E-4</v>
      </c>
      <c r="E420">
        <v>3.1869999999999999E-4</v>
      </c>
      <c r="F420">
        <v>8893107488</v>
      </c>
      <c r="G420">
        <v>0</v>
      </c>
      <c r="L420" t="s">
        <v>7</v>
      </c>
      <c r="M420" t="s">
        <v>7</v>
      </c>
      <c r="N420" t="s">
        <v>8</v>
      </c>
      <c r="P420">
        <f t="shared" si="930"/>
        <v>-0.12727272727272548</v>
      </c>
      <c r="Q420">
        <f t="shared" si="931"/>
        <v>-1131850043.9272568</v>
      </c>
      <c r="R420">
        <f t="shared" si="932"/>
        <v>135742741730.51448</v>
      </c>
      <c r="S420">
        <f t="shared" si="933"/>
        <v>1357427.4173051447</v>
      </c>
      <c r="T420">
        <f t="shared" si="934"/>
        <v>1357.4274173051447</v>
      </c>
    </row>
    <row r="421" spans="1:20" x14ac:dyDescent="0.25">
      <c r="A421" s="5">
        <v>44163</v>
      </c>
      <c r="B421">
        <v>3.1139999999999998E-4</v>
      </c>
      <c r="C421">
        <v>3.2249999999999998E-4</v>
      </c>
      <c r="D421">
        <v>3.0249999999999998E-4</v>
      </c>
      <c r="E421">
        <v>3.1839999999999999E-4</v>
      </c>
      <c r="F421">
        <v>9471122794</v>
      </c>
      <c r="G421">
        <v>0</v>
      </c>
      <c r="L421" t="s">
        <v>8</v>
      </c>
      <c r="M421" t="s">
        <v>7</v>
      </c>
      <c r="N421" t="s">
        <v>8</v>
      </c>
      <c r="P421">
        <f t="shared" si="930"/>
        <v>0.59000000000000086</v>
      </c>
      <c r="Q421">
        <f t="shared" si="931"/>
        <v>5587962448.4600077</v>
      </c>
      <c r="R421">
        <f t="shared" si="932"/>
        <v>136874591774.44174</v>
      </c>
      <c r="S421">
        <f t="shared" si="933"/>
        <v>1368745.9177444174</v>
      </c>
      <c r="T421">
        <f t="shared" si="934"/>
        <v>1368.7459177444175</v>
      </c>
    </row>
    <row r="422" spans="1:20" x14ac:dyDescent="0.25">
      <c r="A422" s="5">
        <v>44162</v>
      </c>
      <c r="B422">
        <v>3.1050000000000001E-4</v>
      </c>
      <c r="C422">
        <v>3.1409999999999999E-4</v>
      </c>
      <c r="D422">
        <v>2.9599999999999998E-4</v>
      </c>
      <c r="E422">
        <v>3.1159999999999998E-4</v>
      </c>
      <c r="F422">
        <v>11330620029</v>
      </c>
      <c r="G422">
        <v>0</v>
      </c>
      <c r="L422" t="s">
        <v>7</v>
      </c>
      <c r="M422" t="s">
        <v>7</v>
      </c>
      <c r="N422" t="s">
        <v>8</v>
      </c>
      <c r="P422">
        <f t="shared" si="930"/>
        <v>0.72375690607734744</v>
      </c>
      <c r="Q422">
        <f t="shared" si="931"/>
        <v>8200614496.1270647</v>
      </c>
      <c r="R422">
        <f t="shared" si="932"/>
        <v>131286629325.98174</v>
      </c>
      <c r="S422">
        <f t="shared" si="933"/>
        <v>1312866.2932598174</v>
      </c>
      <c r="T422">
        <f t="shared" si="934"/>
        <v>1312.8662932598174</v>
      </c>
    </row>
    <row r="423" spans="1:20" x14ac:dyDescent="0.25">
      <c r="A423" s="5">
        <v>44161</v>
      </c>
      <c r="B423">
        <v>3.4049999999999998E-4</v>
      </c>
      <c r="C423">
        <v>3.5100000000000002E-4</v>
      </c>
      <c r="D423">
        <v>2.9139999999999998E-4</v>
      </c>
      <c r="E423">
        <v>3.1040000000000001E-4</v>
      </c>
      <c r="F423">
        <v>14551357226</v>
      </c>
      <c r="G423">
        <v>0</v>
      </c>
      <c r="L423" t="s">
        <v>8</v>
      </c>
      <c r="M423" t="s">
        <v>7</v>
      </c>
      <c r="N423" t="s">
        <v>8</v>
      </c>
      <c r="P423">
        <f t="shared" si="930"/>
        <v>-0.36241610738254981</v>
      </c>
      <c r="Q423">
        <f t="shared" si="931"/>
        <v>-5273646242.9798584</v>
      </c>
      <c r="R423">
        <f t="shared" si="932"/>
        <v>123086014829.85468</v>
      </c>
      <c r="S423">
        <f t="shared" si="933"/>
        <v>1230860.1482985467</v>
      </c>
      <c r="T423">
        <f t="shared" si="934"/>
        <v>1230.8601482985466</v>
      </c>
    </row>
    <row r="424" spans="1:20" x14ac:dyDescent="0.25">
      <c r="A424" s="5">
        <v>44160</v>
      </c>
      <c r="B424">
        <v>3.5819999999999998E-4</v>
      </c>
      <c r="C424">
        <v>3.6650000000000002E-4</v>
      </c>
      <c r="D424">
        <v>3.3349999999999997E-4</v>
      </c>
      <c r="E424">
        <v>3.4079999999999999E-4</v>
      </c>
      <c r="F424">
        <v>13353426998</v>
      </c>
      <c r="G424">
        <v>0</v>
      </c>
      <c r="L424" t="s">
        <v>7</v>
      </c>
      <c r="M424" t="s">
        <v>8</v>
      </c>
      <c r="N424" t="s">
        <v>8</v>
      </c>
      <c r="P424">
        <f t="shared" si="930"/>
        <v>-0.55757575757575728</v>
      </c>
      <c r="Q424">
        <f t="shared" si="931"/>
        <v>-7445547174.6424208</v>
      </c>
      <c r="R424">
        <f t="shared" si="932"/>
        <v>128359661072.83453</v>
      </c>
      <c r="S424">
        <f t="shared" si="933"/>
        <v>1283596.6107283453</v>
      </c>
      <c r="T424">
        <f t="shared" si="934"/>
        <v>1283.5966107283452</v>
      </c>
    </row>
    <row r="425" spans="1:20" x14ac:dyDescent="0.25">
      <c r="A425" s="5">
        <v>44159</v>
      </c>
      <c r="B425">
        <v>3.2850000000000002E-4</v>
      </c>
      <c r="C425">
        <v>3.68E-4</v>
      </c>
      <c r="D425">
        <v>3.2699999999999998E-4</v>
      </c>
      <c r="E425">
        <v>3.5809999999999998E-4</v>
      </c>
      <c r="F425">
        <v>23904522223</v>
      </c>
      <c r="G425">
        <v>0</v>
      </c>
      <c r="L425" t="s">
        <v>8</v>
      </c>
      <c r="M425" t="s">
        <v>8</v>
      </c>
      <c r="N425" t="s">
        <v>8</v>
      </c>
      <c r="P425">
        <f t="shared" si="930"/>
        <v>0.51707317073170644</v>
      </c>
      <c r="Q425">
        <f t="shared" si="931"/>
        <v>12360387100.673149</v>
      </c>
      <c r="R425">
        <f t="shared" si="932"/>
        <v>135805208247.47696</v>
      </c>
      <c r="S425">
        <f t="shared" si="933"/>
        <v>1358052.0824747696</v>
      </c>
      <c r="T425">
        <f t="shared" si="934"/>
        <v>1358.0520824747696</v>
      </c>
    </row>
    <row r="426" spans="1:20" x14ac:dyDescent="0.25">
      <c r="A426" s="5">
        <v>44158</v>
      </c>
      <c r="B426">
        <v>3.1169999999999999E-4</v>
      </c>
      <c r="C426">
        <v>3.3050000000000001E-4</v>
      </c>
      <c r="D426">
        <v>3.0699999999999998E-4</v>
      </c>
      <c r="E426">
        <v>3.2810000000000001E-4</v>
      </c>
      <c r="F426">
        <v>17609189531</v>
      </c>
      <c r="G426">
        <v>0</v>
      </c>
      <c r="L426" t="s">
        <v>7</v>
      </c>
      <c r="M426" t="s">
        <v>8</v>
      </c>
      <c r="N426" t="s">
        <v>7</v>
      </c>
      <c r="P426">
        <f t="shared" si="930"/>
        <v>0.79574468085106376</v>
      </c>
      <c r="Q426">
        <f t="shared" si="931"/>
        <v>14012418903.391489</v>
      </c>
      <c r="R426">
        <f t="shared" si="932"/>
        <v>123444821146.8038</v>
      </c>
      <c r="S426">
        <f t="shared" si="933"/>
        <v>1234448.2114680379</v>
      </c>
      <c r="T426">
        <f t="shared" si="934"/>
        <v>1234.4482114680379</v>
      </c>
    </row>
    <row r="427" spans="1:20" x14ac:dyDescent="0.25">
      <c r="A427" s="5">
        <v>44157</v>
      </c>
      <c r="B427">
        <v>3.2749999999999999E-4</v>
      </c>
      <c r="C427">
        <v>3.2939999999999998E-4</v>
      </c>
      <c r="D427">
        <v>3.01E-4</v>
      </c>
      <c r="E427">
        <v>3.1179999999999999E-4</v>
      </c>
      <c r="F427">
        <v>18889541108</v>
      </c>
      <c r="G427">
        <v>0</v>
      </c>
      <c r="L427" t="s">
        <v>8</v>
      </c>
      <c r="M427" t="s">
        <v>8</v>
      </c>
      <c r="N427" t="s">
        <v>7</v>
      </c>
      <c r="P427">
        <f t="shared" si="930"/>
        <v>-0.23943661971831007</v>
      </c>
      <c r="Q427">
        <f t="shared" si="931"/>
        <v>-4522847870.9295816</v>
      </c>
      <c r="R427">
        <f t="shared" si="932"/>
        <v>109432402243.41231</v>
      </c>
      <c r="S427">
        <f t="shared" si="933"/>
        <v>1094324.0224341231</v>
      </c>
      <c r="T427">
        <f t="shared" si="934"/>
        <v>1094.324022434123</v>
      </c>
    </row>
    <row r="428" spans="1:20" x14ac:dyDescent="0.25">
      <c r="A428" s="5">
        <v>44156</v>
      </c>
      <c r="B428">
        <v>2.987E-4</v>
      </c>
      <c r="C428">
        <v>3.2899999999999997E-4</v>
      </c>
      <c r="D428">
        <v>2.968E-4</v>
      </c>
      <c r="E428">
        <v>3.2759999999999999E-4</v>
      </c>
      <c r="F428">
        <v>16593947816</v>
      </c>
      <c r="G428">
        <v>0</v>
      </c>
      <c r="L428" t="s">
        <v>7</v>
      </c>
      <c r="M428" t="s">
        <v>8</v>
      </c>
      <c r="N428" t="s">
        <v>7</v>
      </c>
      <c r="P428">
        <f t="shared" si="930"/>
        <v>0.91304347826087073</v>
      </c>
      <c r="Q428">
        <f t="shared" si="931"/>
        <v>15150995832.000019</v>
      </c>
      <c r="R428">
        <f t="shared" si="932"/>
        <v>113955250114.34189</v>
      </c>
      <c r="S428">
        <f t="shared" si="933"/>
        <v>1139552.501143419</v>
      </c>
      <c r="T428">
        <f t="shared" si="934"/>
        <v>1139.552501143419</v>
      </c>
    </row>
    <row r="429" spans="1:20" x14ac:dyDescent="0.25">
      <c r="A429" s="5">
        <v>44155</v>
      </c>
      <c r="B429">
        <v>2.943E-4</v>
      </c>
      <c r="C429">
        <v>3.0029999999999998E-4</v>
      </c>
      <c r="D429">
        <v>2.9369999999999998E-4</v>
      </c>
      <c r="E429">
        <v>2.9859999999999999E-4</v>
      </c>
      <c r="F429">
        <v>11148029594</v>
      </c>
      <c r="G429">
        <v>0</v>
      </c>
      <c r="L429" t="s">
        <v>8</v>
      </c>
      <c r="M429" t="s">
        <v>7</v>
      </c>
      <c r="N429" t="s">
        <v>7</v>
      </c>
      <c r="P429">
        <f t="shared" si="930"/>
        <v>0.48484848484848858</v>
      </c>
      <c r="Q429">
        <f t="shared" si="931"/>
        <v>5405105257.697011</v>
      </c>
      <c r="R429">
        <f t="shared" si="932"/>
        <v>98804254282.341873</v>
      </c>
      <c r="S429">
        <f t="shared" si="933"/>
        <v>988042.54282341874</v>
      </c>
      <c r="T429">
        <f t="shared" si="934"/>
        <v>988.04254282341878</v>
      </c>
    </row>
    <row r="430" spans="1:20" x14ac:dyDescent="0.25">
      <c r="A430" s="5">
        <v>44154</v>
      </c>
      <c r="B430">
        <v>2.9999999999999997E-4</v>
      </c>
      <c r="C430">
        <v>3.0059999999999999E-4</v>
      </c>
      <c r="D430">
        <v>2.9060000000000002E-4</v>
      </c>
      <c r="E430">
        <v>2.9399999999999999E-4</v>
      </c>
      <c r="F430">
        <v>8847394386</v>
      </c>
      <c r="G430">
        <v>0</v>
      </c>
      <c r="L430" t="s">
        <v>7</v>
      </c>
      <c r="M430" t="s">
        <v>7</v>
      </c>
      <c r="N430" t="s">
        <v>7</v>
      </c>
      <c r="P430">
        <f t="shared" si="930"/>
        <v>-0.32000000000000323</v>
      </c>
      <c r="Q430">
        <f t="shared" si="931"/>
        <v>-2831166203.5200286</v>
      </c>
      <c r="R430">
        <f t="shared" si="932"/>
        <v>93399149024.644867</v>
      </c>
      <c r="S430">
        <f t="shared" si="933"/>
        <v>933991.49024644867</v>
      </c>
      <c r="T430">
        <f t="shared" si="934"/>
        <v>933.99149024644862</v>
      </c>
    </row>
    <row r="431" spans="1:20" x14ac:dyDescent="0.25">
      <c r="A431" s="5">
        <v>44153</v>
      </c>
      <c r="B431">
        <v>2.9990000000000003E-4</v>
      </c>
      <c r="C431">
        <v>3.0210000000000002E-4</v>
      </c>
      <c r="D431">
        <v>2.9E-4</v>
      </c>
      <c r="E431">
        <v>2.9999999999999997E-4</v>
      </c>
      <c r="F431">
        <v>12009479648</v>
      </c>
      <c r="G431">
        <v>0</v>
      </c>
      <c r="L431" t="s">
        <v>8</v>
      </c>
      <c r="M431" t="s">
        <v>7</v>
      </c>
      <c r="N431" t="s">
        <v>7</v>
      </c>
      <c r="P431">
        <f t="shared" si="930"/>
        <v>0.65289256198346335</v>
      </c>
      <c r="Q431">
        <f t="shared" si="931"/>
        <v>7840899935.4709816</v>
      </c>
      <c r="R431">
        <f t="shared" si="932"/>
        <v>96230315228.164902</v>
      </c>
      <c r="S431">
        <f t="shared" si="933"/>
        <v>962303.15228164906</v>
      </c>
      <c r="T431">
        <f t="shared" si="934"/>
        <v>962.30315228164909</v>
      </c>
    </row>
    <row r="432" spans="1:20" x14ac:dyDescent="0.25">
      <c r="A432" s="5">
        <v>44152</v>
      </c>
      <c r="B432">
        <v>2.9310000000000002E-4</v>
      </c>
      <c r="C432">
        <v>3.0289999999999999E-4</v>
      </c>
      <c r="D432">
        <v>2.9260000000000001E-4</v>
      </c>
      <c r="E432">
        <v>2.9960000000000002E-4</v>
      </c>
      <c r="F432">
        <v>11296629022</v>
      </c>
      <c r="G432">
        <v>0</v>
      </c>
      <c r="L432" t="s">
        <v>7</v>
      </c>
      <c r="M432" t="s">
        <v>7</v>
      </c>
      <c r="N432" t="s">
        <v>7</v>
      </c>
      <c r="P432">
        <f t="shared" si="930"/>
        <v>0.35922330097087796</v>
      </c>
      <c r="Q432">
        <f t="shared" si="931"/>
        <v>4058012367.1262608</v>
      </c>
      <c r="R432">
        <f t="shared" si="932"/>
        <v>88389415292.693924</v>
      </c>
      <c r="S432">
        <f t="shared" si="933"/>
        <v>883894.15292693919</v>
      </c>
      <c r="T432">
        <f t="shared" si="934"/>
        <v>883.89415292693923</v>
      </c>
    </row>
    <row r="433" spans="1:20" x14ac:dyDescent="0.25">
      <c r="A433" s="5">
        <v>44151</v>
      </c>
      <c r="B433">
        <v>2.9020000000000001E-4</v>
      </c>
      <c r="C433">
        <v>2.9460000000000001E-4</v>
      </c>
      <c r="D433">
        <v>2.8840000000000002E-4</v>
      </c>
      <c r="E433">
        <v>2.9300000000000002E-4</v>
      </c>
      <c r="F433">
        <v>10134600688</v>
      </c>
      <c r="G433">
        <v>0</v>
      </c>
      <c r="L433" t="s">
        <v>8</v>
      </c>
      <c r="M433" t="s">
        <v>7</v>
      </c>
      <c r="N433" t="s">
        <v>7</v>
      </c>
      <c r="P433">
        <f t="shared" si="930"/>
        <v>0.48387096774193944</v>
      </c>
      <c r="Q433">
        <f t="shared" si="931"/>
        <v>4903839042.5806856</v>
      </c>
      <c r="R433">
        <f t="shared" si="932"/>
        <v>84331402925.567657</v>
      </c>
      <c r="S433">
        <f t="shared" si="933"/>
        <v>843314.02925567655</v>
      </c>
      <c r="T433">
        <f t="shared" si="934"/>
        <v>843.31402925567659</v>
      </c>
    </row>
    <row r="434" spans="1:20" x14ac:dyDescent="0.25">
      <c r="A434" s="5">
        <v>44150</v>
      </c>
      <c r="B434">
        <v>2.9100000000000003E-4</v>
      </c>
      <c r="C434">
        <v>3.009E-4</v>
      </c>
      <c r="D434">
        <v>2.877E-4</v>
      </c>
      <c r="E434">
        <v>2.9030000000000001E-4</v>
      </c>
      <c r="F434">
        <v>10904473588</v>
      </c>
      <c r="G434">
        <v>0</v>
      </c>
      <c r="L434" t="s">
        <v>7</v>
      </c>
      <c r="M434" t="s">
        <v>7</v>
      </c>
      <c r="N434" t="s">
        <v>7</v>
      </c>
      <c r="P434">
        <f t="shared" si="930"/>
        <v>-0.60606060606060452</v>
      </c>
      <c r="Q434">
        <f t="shared" si="931"/>
        <v>-6608771871.5151348</v>
      </c>
      <c r="R434">
        <f t="shared" si="932"/>
        <v>79427563882.986969</v>
      </c>
      <c r="S434">
        <f t="shared" si="933"/>
        <v>794275.63882986968</v>
      </c>
      <c r="T434">
        <f t="shared" si="934"/>
        <v>794.27563882986965</v>
      </c>
    </row>
    <row r="435" spans="1:20" x14ac:dyDescent="0.25">
      <c r="A435" s="5">
        <v>44149</v>
      </c>
      <c r="B435">
        <v>2.9189999999999999E-4</v>
      </c>
      <c r="C435">
        <v>2.9369999999999998E-4</v>
      </c>
      <c r="D435">
        <v>2.8669999999999998E-4</v>
      </c>
      <c r="E435">
        <v>2.9109999999999997E-4</v>
      </c>
      <c r="F435">
        <v>10395976405</v>
      </c>
      <c r="G435">
        <v>0</v>
      </c>
      <c r="L435" t="s">
        <v>8</v>
      </c>
      <c r="M435" t="s">
        <v>7</v>
      </c>
      <c r="N435" t="s">
        <v>7</v>
      </c>
      <c r="P435">
        <f t="shared" si="930"/>
        <v>0.2571428571428554</v>
      </c>
      <c r="Q435">
        <f t="shared" si="931"/>
        <v>2673251075.5714107</v>
      </c>
      <c r="R435">
        <f t="shared" si="932"/>
        <v>86036335754.502106</v>
      </c>
      <c r="S435">
        <f t="shared" si="933"/>
        <v>860363.35754502111</v>
      </c>
      <c r="T435">
        <f t="shared" si="934"/>
        <v>860.36335754502113</v>
      </c>
    </row>
    <row r="436" spans="1:20" x14ac:dyDescent="0.25">
      <c r="A436" s="5">
        <v>44148</v>
      </c>
      <c r="B436">
        <v>2.8709999999999999E-4</v>
      </c>
      <c r="C436">
        <v>2.9799999999999998E-4</v>
      </c>
      <c r="D436">
        <v>2.8630000000000002E-4</v>
      </c>
      <c r="E436">
        <v>2.9169999999999999E-4</v>
      </c>
      <c r="F436">
        <v>12442629849</v>
      </c>
      <c r="G436">
        <v>0</v>
      </c>
      <c r="L436" t="s">
        <v>7</v>
      </c>
      <c r="M436" t="s">
        <v>7</v>
      </c>
      <c r="N436" t="s">
        <v>7</v>
      </c>
      <c r="P436">
        <f t="shared" si="930"/>
        <v>-7.6923076923079065E-2</v>
      </c>
      <c r="Q436">
        <f t="shared" si="931"/>
        <v>-957125373.0000267</v>
      </c>
      <c r="R436">
        <f t="shared" si="932"/>
        <v>83363084678.930695</v>
      </c>
      <c r="S436">
        <f t="shared" si="933"/>
        <v>833630.84678930696</v>
      </c>
      <c r="T436">
        <f t="shared" si="934"/>
        <v>833.63084678930693</v>
      </c>
    </row>
    <row r="437" spans="1:20" x14ac:dyDescent="0.25">
      <c r="A437" s="5">
        <v>44147</v>
      </c>
      <c r="B437">
        <v>2.9189999999999999E-4</v>
      </c>
      <c r="C437">
        <v>2.9320000000000003E-4</v>
      </c>
      <c r="D437">
        <v>2.8620000000000002E-4</v>
      </c>
      <c r="E437">
        <v>2.8699999999999998E-4</v>
      </c>
      <c r="F437">
        <v>13546392627</v>
      </c>
      <c r="G437">
        <v>0</v>
      </c>
      <c r="L437" t="s">
        <v>8</v>
      </c>
      <c r="M437" t="s">
        <v>7</v>
      </c>
      <c r="N437" t="s">
        <v>7</v>
      </c>
      <c r="P437">
        <f t="shared" si="930"/>
        <v>-0.77142857142858157</v>
      </c>
      <c r="Q437">
        <f t="shared" si="931"/>
        <v>-10450074312.25728</v>
      </c>
      <c r="R437">
        <f t="shared" si="932"/>
        <v>84320210051.930725</v>
      </c>
      <c r="S437">
        <f t="shared" si="933"/>
        <v>843202.10051930731</v>
      </c>
      <c r="T437">
        <f t="shared" si="934"/>
        <v>843.20210051930735</v>
      </c>
    </row>
    <row r="438" spans="1:20" x14ac:dyDescent="0.25">
      <c r="A438" s="5">
        <v>44146</v>
      </c>
      <c r="B438">
        <v>2.9240000000000001E-4</v>
      </c>
      <c r="C438">
        <v>2.9579999999999998E-4</v>
      </c>
      <c r="D438">
        <v>2.9090000000000002E-4</v>
      </c>
      <c r="E438">
        <v>2.9169999999999999E-4</v>
      </c>
      <c r="F438">
        <v>11652336614</v>
      </c>
      <c r="G438">
        <v>0</v>
      </c>
      <c r="L438" t="s">
        <v>7</v>
      </c>
      <c r="M438" t="s">
        <v>7</v>
      </c>
      <c r="N438" t="s">
        <v>7</v>
      </c>
      <c r="P438">
        <f t="shared" si="930"/>
        <v>-0.67346938775511334</v>
      </c>
      <c r="Q438">
        <f t="shared" si="931"/>
        <v>-7847492005.3470707</v>
      </c>
      <c r="R438">
        <f t="shared" si="932"/>
        <v>94770284364.188004</v>
      </c>
      <c r="S438">
        <f t="shared" si="933"/>
        <v>947702.84364188008</v>
      </c>
      <c r="T438">
        <f t="shared" si="934"/>
        <v>947.70284364188012</v>
      </c>
    </row>
    <row r="439" spans="1:20" x14ac:dyDescent="0.25">
      <c r="A439" s="5">
        <v>44145</v>
      </c>
      <c r="B439">
        <v>2.9179999999999999E-4</v>
      </c>
      <c r="C439">
        <v>2.9629999999999999E-4</v>
      </c>
      <c r="D439">
        <v>2.8880000000000003E-4</v>
      </c>
      <c r="E439">
        <v>2.922E-4</v>
      </c>
      <c r="F439">
        <v>9237094952</v>
      </c>
      <c r="G439">
        <v>0</v>
      </c>
      <c r="L439" t="s">
        <v>8</v>
      </c>
      <c r="M439" t="s">
        <v>7</v>
      </c>
      <c r="N439" t="s">
        <v>7</v>
      </c>
      <c r="P439">
        <f t="shared" si="930"/>
        <v>-9.333333333333603E-2</v>
      </c>
      <c r="Q439">
        <f t="shared" si="931"/>
        <v>-862128862.18669152</v>
      </c>
      <c r="R439">
        <f t="shared" si="932"/>
        <v>102617776369.53508</v>
      </c>
      <c r="S439">
        <f t="shared" si="933"/>
        <v>1026177.7636953508</v>
      </c>
      <c r="T439">
        <f t="shared" si="934"/>
        <v>1026.1777636953509</v>
      </c>
    </row>
    <row r="440" spans="1:20" x14ac:dyDescent="0.25">
      <c r="A440" s="5">
        <v>44144</v>
      </c>
      <c r="B440">
        <v>2.9559999999999998E-4</v>
      </c>
      <c r="C440">
        <v>2.9829999999999999E-4</v>
      </c>
      <c r="D440">
        <v>2.877E-4</v>
      </c>
      <c r="E440">
        <v>2.9159999999999999E-4</v>
      </c>
      <c r="F440">
        <v>13052378795</v>
      </c>
      <c r="G440">
        <v>0</v>
      </c>
      <c r="L440" t="s">
        <v>7</v>
      </c>
      <c r="M440" t="s">
        <v>7</v>
      </c>
      <c r="N440" t="s">
        <v>7</v>
      </c>
      <c r="P440">
        <f t="shared" si="930"/>
        <v>-0.26415094339622808</v>
      </c>
      <c r="Q440">
        <f t="shared" si="931"/>
        <v>-3447798172.2641726</v>
      </c>
      <c r="R440">
        <f t="shared" si="932"/>
        <v>103479905231.72177</v>
      </c>
      <c r="S440">
        <f t="shared" si="933"/>
        <v>1034799.0523172177</v>
      </c>
      <c r="T440">
        <f t="shared" si="934"/>
        <v>1034.7990523172177</v>
      </c>
    </row>
    <row r="441" spans="1:20" x14ac:dyDescent="0.25">
      <c r="A441" s="5">
        <v>44143</v>
      </c>
      <c r="B441">
        <v>2.854E-4</v>
      </c>
      <c r="C441">
        <v>2.966E-4</v>
      </c>
      <c r="D441">
        <v>2.833E-4</v>
      </c>
      <c r="E441">
        <v>2.9559999999999998E-4</v>
      </c>
      <c r="F441">
        <v>9771782569</v>
      </c>
      <c r="G441">
        <v>0</v>
      </c>
      <c r="L441" t="s">
        <v>8</v>
      </c>
      <c r="M441" t="s">
        <v>7</v>
      </c>
      <c r="N441" t="s">
        <v>7</v>
      </c>
      <c r="P441">
        <f t="shared" si="930"/>
        <v>0.84962406015037228</v>
      </c>
      <c r="Q441">
        <f t="shared" si="931"/>
        <v>8302341581.1804152</v>
      </c>
      <c r="R441">
        <f t="shared" si="932"/>
        <v>106927703403.98595</v>
      </c>
      <c r="S441">
        <f t="shared" si="933"/>
        <v>1069277.0340398594</v>
      </c>
      <c r="T441">
        <f t="shared" si="934"/>
        <v>1069.2770340398595</v>
      </c>
    </row>
    <row r="442" spans="1:20" x14ac:dyDescent="0.25">
      <c r="A442" s="5">
        <v>44142</v>
      </c>
      <c r="B442">
        <v>2.9980000000000002E-4</v>
      </c>
      <c r="C442">
        <v>3.0529999999999999E-4</v>
      </c>
      <c r="D442">
        <v>2.8299999999999999E-4</v>
      </c>
      <c r="E442">
        <v>2.8519999999999999E-4</v>
      </c>
      <c r="F442">
        <v>13683218420</v>
      </c>
      <c r="G442">
        <v>0</v>
      </c>
      <c r="L442" t="s">
        <v>7</v>
      </c>
      <c r="M442" t="s">
        <v>7</v>
      </c>
      <c r="N442" t="s">
        <v>7</v>
      </c>
      <c r="P442">
        <f t="shared" si="930"/>
        <v>-0.80269058295964135</v>
      </c>
      <c r="Q442">
        <f t="shared" si="931"/>
        <v>-10983390570.313902</v>
      </c>
      <c r="R442">
        <f t="shared" si="932"/>
        <v>98625361822.805527</v>
      </c>
      <c r="S442">
        <f t="shared" si="933"/>
        <v>986253.6182280553</v>
      </c>
      <c r="T442">
        <f t="shared" si="934"/>
        <v>986.2536182280553</v>
      </c>
    </row>
    <row r="443" spans="1:20" x14ac:dyDescent="0.25">
      <c r="A443" s="5">
        <v>44141</v>
      </c>
      <c r="B443">
        <v>2.833E-4</v>
      </c>
      <c r="C443">
        <v>3.0249999999999998E-4</v>
      </c>
      <c r="D443">
        <v>2.8229999999999998E-4</v>
      </c>
      <c r="E443">
        <v>2.9970000000000002E-4</v>
      </c>
      <c r="F443">
        <v>16302865526</v>
      </c>
      <c r="G443">
        <v>0</v>
      </c>
      <c r="L443" t="s">
        <v>8</v>
      </c>
      <c r="M443" t="s">
        <v>7</v>
      </c>
      <c r="N443" t="s">
        <v>7</v>
      </c>
      <c r="P443">
        <f t="shared" si="930"/>
        <v>0.72277227722772686</v>
      </c>
      <c r="Q443">
        <f t="shared" si="931"/>
        <v>11783259241.564423</v>
      </c>
      <c r="R443">
        <f t="shared" si="932"/>
        <v>109608752393.11943</v>
      </c>
      <c r="S443">
        <f t="shared" si="933"/>
        <v>1096087.5239311943</v>
      </c>
      <c r="T443">
        <f t="shared" si="934"/>
        <v>1096.0875239311943</v>
      </c>
    </row>
    <row r="444" spans="1:20" x14ac:dyDescent="0.25">
      <c r="A444" s="5">
        <v>44140</v>
      </c>
      <c r="B444">
        <v>2.7700000000000001E-4</v>
      </c>
      <c r="C444">
        <v>2.8580000000000001E-4</v>
      </c>
      <c r="D444">
        <v>2.7359999999999998E-4</v>
      </c>
      <c r="E444">
        <v>2.8299999999999999E-4</v>
      </c>
      <c r="F444">
        <v>16081613108</v>
      </c>
      <c r="G444">
        <v>0</v>
      </c>
      <c r="L444" t="s">
        <v>7</v>
      </c>
      <c r="M444" t="s">
        <v>7</v>
      </c>
      <c r="N444" t="s">
        <v>7</v>
      </c>
      <c r="P444">
        <f t="shared" si="930"/>
        <v>0.54098360655737576</v>
      </c>
      <c r="Q444">
        <f t="shared" si="931"/>
        <v>8699889058.4262085</v>
      </c>
      <c r="R444">
        <f t="shared" si="932"/>
        <v>97825493151.555008</v>
      </c>
      <c r="S444">
        <f t="shared" si="933"/>
        <v>978254.93151555012</v>
      </c>
      <c r="T444">
        <f t="shared" si="934"/>
        <v>978.25493151555008</v>
      </c>
    </row>
    <row r="445" spans="1:20" x14ac:dyDescent="0.25">
      <c r="A445" s="5">
        <v>44139</v>
      </c>
      <c r="B445">
        <v>2.787E-4</v>
      </c>
      <c r="C445">
        <v>2.9999999999999997E-4</v>
      </c>
      <c r="D445">
        <v>2.7030000000000001E-4</v>
      </c>
      <c r="E445">
        <v>2.7690000000000001E-4</v>
      </c>
      <c r="F445">
        <v>15625065136</v>
      </c>
      <c r="G445">
        <v>0</v>
      </c>
      <c r="L445" t="s">
        <v>8</v>
      </c>
      <c r="M445" t="s">
        <v>7</v>
      </c>
      <c r="N445" t="s">
        <v>7</v>
      </c>
      <c r="P445">
        <f t="shared" ref="P445:P508" si="935">IF(C445=D445,0,((E445-D445)-(C445-E445))/(C445-D445))</f>
        <v>-0.55555555555555514</v>
      </c>
      <c r="Q445">
        <f t="shared" ref="Q445:Q508" si="936">F445*P445</f>
        <v>-8680591742.2222157</v>
      </c>
      <c r="R445">
        <f t="shared" ref="R445:R508" si="937">R446+Q445</f>
        <v>89125604093.128799</v>
      </c>
      <c r="S445">
        <f t="shared" ref="S445:S508" si="938">R445/100000</f>
        <v>891256.04093128804</v>
      </c>
      <c r="T445">
        <f t="shared" ref="T445:T508" si="939">S445/1000</f>
        <v>891.256040931288</v>
      </c>
    </row>
    <row r="446" spans="1:20" x14ac:dyDescent="0.25">
      <c r="A446" s="5">
        <v>44138</v>
      </c>
      <c r="B446">
        <v>2.8499999999999999E-4</v>
      </c>
      <c r="C446">
        <v>3.1E-4</v>
      </c>
      <c r="D446">
        <v>2.6919999999999998E-4</v>
      </c>
      <c r="E446">
        <v>2.7849999999999999E-4</v>
      </c>
      <c r="F446">
        <v>15599018895</v>
      </c>
      <c r="G446">
        <v>0</v>
      </c>
      <c r="L446" t="s">
        <v>7</v>
      </c>
      <c r="M446" t="s">
        <v>7</v>
      </c>
      <c r="N446" t="s">
        <v>7</v>
      </c>
      <c r="P446">
        <f t="shared" si="935"/>
        <v>-0.54411764705882326</v>
      </c>
      <c r="Q446">
        <f t="shared" si="936"/>
        <v>-8487701457.5735254</v>
      </c>
      <c r="R446">
        <f t="shared" si="937"/>
        <v>97806195835.351013</v>
      </c>
      <c r="S446">
        <f t="shared" si="938"/>
        <v>978061.95835351013</v>
      </c>
      <c r="T446">
        <f t="shared" si="939"/>
        <v>978.06195835351014</v>
      </c>
    </row>
    <row r="447" spans="1:20" x14ac:dyDescent="0.25">
      <c r="A447" s="5">
        <v>44137</v>
      </c>
      <c r="B447">
        <v>2.9700000000000001E-4</v>
      </c>
      <c r="C447">
        <v>3.0309999999999999E-4</v>
      </c>
      <c r="D447">
        <v>2.8499999999999999E-4</v>
      </c>
      <c r="E447">
        <v>2.8509999999999999E-4</v>
      </c>
      <c r="F447">
        <v>11252105301</v>
      </c>
      <c r="G447">
        <v>0</v>
      </c>
      <c r="L447" t="s">
        <v>8</v>
      </c>
      <c r="M447" t="s">
        <v>7</v>
      </c>
      <c r="N447" t="s">
        <v>7</v>
      </c>
      <c r="P447">
        <f t="shared" si="935"/>
        <v>-0.98895027624309362</v>
      </c>
      <c r="Q447">
        <f t="shared" si="936"/>
        <v>-11127772645.740328</v>
      </c>
      <c r="R447">
        <f t="shared" si="937"/>
        <v>106293897292.92455</v>
      </c>
      <c r="S447">
        <f t="shared" si="938"/>
        <v>1062938.9729292456</v>
      </c>
      <c r="T447">
        <f t="shared" si="939"/>
        <v>1062.9389729292457</v>
      </c>
    </row>
    <row r="448" spans="1:20" x14ac:dyDescent="0.25">
      <c r="A448" s="5">
        <v>44136</v>
      </c>
      <c r="B448">
        <v>3.01E-4</v>
      </c>
      <c r="C448">
        <v>3.0370000000000001E-4</v>
      </c>
      <c r="D448">
        <v>2.9359999999999998E-4</v>
      </c>
      <c r="E448">
        <v>2.9710000000000001E-4</v>
      </c>
      <c r="F448">
        <v>8038019288</v>
      </c>
      <c r="G448">
        <v>0</v>
      </c>
      <c r="L448" t="s">
        <v>7</v>
      </c>
      <c r="M448" t="s">
        <v>7</v>
      </c>
      <c r="N448" t="s">
        <v>7</v>
      </c>
      <c r="P448">
        <f t="shared" si="935"/>
        <v>-0.30693069306930276</v>
      </c>
      <c r="Q448">
        <f t="shared" si="936"/>
        <v>-2467114830.9702635</v>
      </c>
      <c r="R448">
        <f t="shared" si="937"/>
        <v>117421669938.66487</v>
      </c>
      <c r="S448">
        <f t="shared" si="938"/>
        <v>1174216.6993866486</v>
      </c>
      <c r="T448">
        <f t="shared" si="939"/>
        <v>1174.2166993866485</v>
      </c>
    </row>
    <row r="449" spans="1:20" x14ac:dyDescent="0.25">
      <c r="A449" s="5">
        <v>44135</v>
      </c>
      <c r="B449">
        <v>2.922E-4</v>
      </c>
      <c r="C449">
        <v>3.0390000000000001E-4</v>
      </c>
      <c r="D449">
        <v>2.898E-4</v>
      </c>
      <c r="E449">
        <v>3.012E-4</v>
      </c>
      <c r="F449">
        <v>10110749860</v>
      </c>
      <c r="G449">
        <v>0</v>
      </c>
      <c r="L449" t="s">
        <v>8</v>
      </c>
      <c r="M449" t="s">
        <v>7</v>
      </c>
      <c r="N449" t="s">
        <v>7</v>
      </c>
      <c r="P449">
        <f t="shared" si="935"/>
        <v>0.61702127659574357</v>
      </c>
      <c r="Q449">
        <f t="shared" si="936"/>
        <v>6238547785.9574356</v>
      </c>
      <c r="R449">
        <f t="shared" si="937"/>
        <v>119888784769.63513</v>
      </c>
      <c r="S449">
        <f t="shared" si="938"/>
        <v>1198887.8476963514</v>
      </c>
      <c r="T449">
        <f t="shared" si="939"/>
        <v>1198.8878476963514</v>
      </c>
    </row>
    <row r="450" spans="1:20" x14ac:dyDescent="0.25">
      <c r="A450" s="5">
        <v>44134</v>
      </c>
      <c r="B450">
        <v>3.0269999999999999E-4</v>
      </c>
      <c r="C450">
        <v>3.0279999999999999E-4</v>
      </c>
      <c r="D450">
        <v>2.7960000000000002E-4</v>
      </c>
      <c r="E450">
        <v>2.9250000000000001E-4</v>
      </c>
      <c r="F450">
        <v>11801782147</v>
      </c>
      <c r="G450">
        <v>0</v>
      </c>
      <c r="L450" t="s">
        <v>7</v>
      </c>
      <c r="M450" t="s">
        <v>7</v>
      </c>
      <c r="N450" t="s">
        <v>7</v>
      </c>
      <c r="P450">
        <f t="shared" si="935"/>
        <v>0.11206896551724192</v>
      </c>
      <c r="Q450">
        <f t="shared" si="936"/>
        <v>1322613516.4741445</v>
      </c>
      <c r="R450">
        <f t="shared" si="937"/>
        <v>113650236983.67769</v>
      </c>
      <c r="S450">
        <f t="shared" si="938"/>
        <v>1136502.369836777</v>
      </c>
      <c r="T450">
        <f t="shared" si="939"/>
        <v>1136.502369836777</v>
      </c>
    </row>
    <row r="451" spans="1:20" x14ac:dyDescent="0.25">
      <c r="A451" s="5">
        <v>44133</v>
      </c>
      <c r="B451">
        <v>3.0830000000000001E-4</v>
      </c>
      <c r="C451">
        <v>3.1119999999999997E-4</v>
      </c>
      <c r="D451">
        <v>2.965E-4</v>
      </c>
      <c r="E451">
        <v>3.0299999999999999E-4</v>
      </c>
      <c r="F451">
        <v>10464846688</v>
      </c>
      <c r="G451">
        <v>0</v>
      </c>
      <c r="L451" t="s">
        <v>8</v>
      </c>
      <c r="M451" t="s">
        <v>7</v>
      </c>
      <c r="N451" t="s">
        <v>7</v>
      </c>
      <c r="P451">
        <f t="shared" si="935"/>
        <v>-0.11564625850340066</v>
      </c>
      <c r="Q451">
        <f t="shared" si="936"/>
        <v>-1210220365.2789042</v>
      </c>
      <c r="R451">
        <f t="shared" si="937"/>
        <v>112327623467.20354</v>
      </c>
      <c r="S451">
        <f t="shared" si="938"/>
        <v>1123276.2346720353</v>
      </c>
      <c r="T451">
        <f t="shared" si="939"/>
        <v>1123.2762346720353</v>
      </c>
    </row>
    <row r="452" spans="1:20" x14ac:dyDescent="0.25">
      <c r="A452" s="5">
        <v>44132</v>
      </c>
      <c r="B452">
        <v>3.1639999999999999E-4</v>
      </c>
      <c r="C452">
        <v>3.212E-4</v>
      </c>
      <c r="D452">
        <v>3.0410000000000002E-4</v>
      </c>
      <c r="E452">
        <v>3.0830000000000001E-4</v>
      </c>
      <c r="F452">
        <v>10316636896</v>
      </c>
      <c r="G452">
        <v>0</v>
      </c>
      <c r="L452" t="s">
        <v>7</v>
      </c>
      <c r="M452" t="s">
        <v>8</v>
      </c>
      <c r="N452" t="s">
        <v>7</v>
      </c>
      <c r="P452">
        <f t="shared" si="935"/>
        <v>-0.50877192982456165</v>
      </c>
      <c r="Q452">
        <f t="shared" si="936"/>
        <v>-5248815262.8771954</v>
      </c>
      <c r="R452">
        <f t="shared" si="937"/>
        <v>113537843832.48244</v>
      </c>
      <c r="S452">
        <f t="shared" si="938"/>
        <v>1135378.4383248244</v>
      </c>
      <c r="T452">
        <f t="shared" si="939"/>
        <v>1135.3784383248244</v>
      </c>
    </row>
    <row r="453" spans="1:20" x14ac:dyDescent="0.25">
      <c r="A453" s="5">
        <v>44131</v>
      </c>
      <c r="B453">
        <v>3.1540000000000002E-4</v>
      </c>
      <c r="C453">
        <v>3.2089999999999999E-4</v>
      </c>
      <c r="D453">
        <v>3.1290000000000002E-4</v>
      </c>
      <c r="E453">
        <v>3.167E-4</v>
      </c>
      <c r="F453">
        <v>9587597834</v>
      </c>
      <c r="G453">
        <v>0</v>
      </c>
      <c r="L453" t="s">
        <v>8</v>
      </c>
      <c r="M453" t="s">
        <v>8</v>
      </c>
      <c r="N453" t="s">
        <v>7</v>
      </c>
      <c r="P453">
        <f t="shared" si="935"/>
        <v>-5.0000000000001356E-2</v>
      </c>
      <c r="Q453">
        <f t="shared" si="936"/>
        <v>-479379891.70001298</v>
      </c>
      <c r="R453">
        <f t="shared" si="937"/>
        <v>118786659095.35963</v>
      </c>
      <c r="S453">
        <f t="shared" si="938"/>
        <v>1187866.5909535964</v>
      </c>
      <c r="T453">
        <f t="shared" si="939"/>
        <v>1187.8665909535964</v>
      </c>
    </row>
    <row r="454" spans="1:20" x14ac:dyDescent="0.25">
      <c r="A454" s="5">
        <v>44130</v>
      </c>
      <c r="B454">
        <v>3.2749999999999999E-4</v>
      </c>
      <c r="C454">
        <v>3.3159999999999998E-4</v>
      </c>
      <c r="D454">
        <v>3.1290000000000002E-4</v>
      </c>
      <c r="E454">
        <v>3.1559999999999997E-4</v>
      </c>
      <c r="F454">
        <v>11660648417</v>
      </c>
      <c r="G454">
        <v>0</v>
      </c>
      <c r="L454" t="s">
        <v>7</v>
      </c>
      <c r="M454" t="s">
        <v>8</v>
      </c>
      <c r="N454" t="s">
        <v>7</v>
      </c>
      <c r="P454">
        <f t="shared" si="935"/>
        <v>-0.71122994652406824</v>
      </c>
      <c r="Q454">
        <f t="shared" si="936"/>
        <v>-8293402350.0588713</v>
      </c>
      <c r="R454">
        <f t="shared" si="937"/>
        <v>119266038987.05965</v>
      </c>
      <c r="S454">
        <f t="shared" si="938"/>
        <v>1192660.3898705964</v>
      </c>
      <c r="T454">
        <f t="shared" si="939"/>
        <v>1192.6603898705964</v>
      </c>
    </row>
    <row r="455" spans="1:20" x14ac:dyDescent="0.25">
      <c r="A455" s="5">
        <v>44129</v>
      </c>
      <c r="B455">
        <v>3.3330000000000002E-4</v>
      </c>
      <c r="C455">
        <v>3.3399999999999999E-4</v>
      </c>
      <c r="D455">
        <v>3.2679999999999997E-4</v>
      </c>
      <c r="E455">
        <v>3.278E-4</v>
      </c>
      <c r="F455">
        <v>9364044310</v>
      </c>
      <c r="G455">
        <v>0</v>
      </c>
      <c r="L455" t="s">
        <v>8</v>
      </c>
      <c r="M455" t="s">
        <v>8</v>
      </c>
      <c r="N455" t="s">
        <v>7</v>
      </c>
      <c r="P455">
        <f t="shared" si="935"/>
        <v>-0.72222222222221599</v>
      </c>
      <c r="Q455">
        <f t="shared" si="936"/>
        <v>-6762920890.5554972</v>
      </c>
      <c r="R455">
        <f t="shared" si="937"/>
        <v>127559441337.11852</v>
      </c>
      <c r="S455">
        <f t="shared" si="938"/>
        <v>1275594.4133711851</v>
      </c>
      <c r="T455">
        <f t="shared" si="939"/>
        <v>1275.5944133711851</v>
      </c>
    </row>
    <row r="456" spans="1:20" x14ac:dyDescent="0.25">
      <c r="A456" s="5">
        <v>44128</v>
      </c>
      <c r="B456">
        <v>3.3369999999999998E-4</v>
      </c>
      <c r="C456">
        <v>3.4650000000000002E-4</v>
      </c>
      <c r="D456">
        <v>3.3080000000000002E-4</v>
      </c>
      <c r="E456">
        <v>3.3349999999999997E-4</v>
      </c>
      <c r="F456">
        <v>8947316858</v>
      </c>
      <c r="G456">
        <v>0</v>
      </c>
      <c r="L456" t="s">
        <v>7</v>
      </c>
      <c r="M456" t="s">
        <v>8</v>
      </c>
      <c r="N456" t="s">
        <v>7</v>
      </c>
      <c r="P456">
        <f t="shared" si="935"/>
        <v>-0.65605095541401826</v>
      </c>
      <c r="Q456">
        <f t="shared" si="936"/>
        <v>-5869895773.0828524</v>
      </c>
      <c r="R456">
        <f t="shared" si="937"/>
        <v>134322362227.67401</v>
      </c>
      <c r="S456">
        <f t="shared" si="938"/>
        <v>1343223.6222767401</v>
      </c>
      <c r="T456">
        <f t="shared" si="939"/>
        <v>1343.2236222767401</v>
      </c>
    </row>
    <row r="457" spans="1:20" x14ac:dyDescent="0.25">
      <c r="A457" s="5">
        <v>44127</v>
      </c>
      <c r="B457">
        <v>3.3829999999999998E-4</v>
      </c>
      <c r="C457">
        <v>3.4059999999999998E-4</v>
      </c>
      <c r="D457">
        <v>3.2959999999999999E-4</v>
      </c>
      <c r="E457">
        <v>3.3409999999999999E-4</v>
      </c>
      <c r="F457">
        <v>10345355367</v>
      </c>
      <c r="G457">
        <v>0</v>
      </c>
      <c r="L457" t="s">
        <v>8</v>
      </c>
      <c r="M457" t="s">
        <v>8</v>
      </c>
      <c r="N457" t="s">
        <v>7</v>
      </c>
      <c r="P457">
        <f t="shared" si="935"/>
        <v>-0.18181818181818138</v>
      </c>
      <c r="Q457">
        <f t="shared" si="936"/>
        <v>-1880973703.0909045</v>
      </c>
      <c r="R457">
        <f t="shared" si="937"/>
        <v>140192258000.75687</v>
      </c>
      <c r="S457">
        <f t="shared" si="938"/>
        <v>1401922.5800075687</v>
      </c>
      <c r="T457">
        <f t="shared" si="939"/>
        <v>1401.9225800075687</v>
      </c>
    </row>
    <row r="458" spans="1:20" x14ac:dyDescent="0.25">
      <c r="A458" s="5">
        <v>44126</v>
      </c>
      <c r="B458">
        <v>3.3639999999999999E-4</v>
      </c>
      <c r="C458">
        <v>3.481E-4</v>
      </c>
      <c r="D458">
        <v>3.3480000000000001E-4</v>
      </c>
      <c r="E458">
        <v>3.3829999999999998E-4</v>
      </c>
      <c r="F458">
        <v>12053920733</v>
      </c>
      <c r="G458">
        <v>0</v>
      </c>
      <c r="L458" t="s">
        <v>7</v>
      </c>
      <c r="M458" t="s">
        <v>8</v>
      </c>
      <c r="N458" t="s">
        <v>7</v>
      </c>
      <c r="P458">
        <f t="shared" si="935"/>
        <v>-0.4736842105263192</v>
      </c>
      <c r="Q458">
        <f t="shared" si="936"/>
        <v>-5709751926.1579361</v>
      </c>
      <c r="R458">
        <f t="shared" si="937"/>
        <v>142073231703.84778</v>
      </c>
      <c r="S458">
        <f t="shared" si="938"/>
        <v>1420732.3170384779</v>
      </c>
      <c r="T458">
        <f t="shared" si="939"/>
        <v>1420.732317038478</v>
      </c>
    </row>
    <row r="459" spans="1:20" x14ac:dyDescent="0.25">
      <c r="A459" s="5">
        <v>44125</v>
      </c>
      <c r="B459">
        <v>3.322E-4</v>
      </c>
      <c r="C459">
        <v>3.4200000000000002E-4</v>
      </c>
      <c r="D459">
        <v>3.322E-4</v>
      </c>
      <c r="E459">
        <v>3.368E-4</v>
      </c>
      <c r="F459">
        <v>10574426775</v>
      </c>
      <c r="G459">
        <v>0</v>
      </c>
      <c r="L459" t="s">
        <v>8</v>
      </c>
      <c r="M459" t="s">
        <v>8</v>
      </c>
      <c r="N459" t="s">
        <v>7</v>
      </c>
      <c r="P459">
        <f t="shared" si="935"/>
        <v>-6.1224489795919719E-2</v>
      </c>
      <c r="Q459">
        <f t="shared" si="936"/>
        <v>-647413884.18368781</v>
      </c>
      <c r="R459">
        <f t="shared" si="937"/>
        <v>147782983630.00571</v>
      </c>
      <c r="S459">
        <f t="shared" si="938"/>
        <v>1477829.8363000571</v>
      </c>
      <c r="T459">
        <f t="shared" si="939"/>
        <v>1477.8298363000572</v>
      </c>
    </row>
    <row r="460" spans="1:20" x14ac:dyDescent="0.25">
      <c r="A460" s="5">
        <v>44124</v>
      </c>
      <c r="B460">
        <v>3.3990000000000002E-4</v>
      </c>
      <c r="C460">
        <v>3.4749999999999999E-4</v>
      </c>
      <c r="D460">
        <v>3.2650000000000002E-4</v>
      </c>
      <c r="E460">
        <v>3.324E-4</v>
      </c>
      <c r="F460">
        <v>11534566143</v>
      </c>
      <c r="G460">
        <v>0</v>
      </c>
      <c r="L460" t="s">
        <v>7</v>
      </c>
      <c r="M460" t="s">
        <v>8</v>
      </c>
      <c r="N460" t="s">
        <v>7</v>
      </c>
      <c r="P460">
        <f t="shared" si="935"/>
        <v>-0.43809523809523909</v>
      </c>
      <c r="Q460">
        <f t="shared" si="936"/>
        <v>-5053238500.7428684</v>
      </c>
      <c r="R460">
        <f t="shared" si="937"/>
        <v>148430397514.18939</v>
      </c>
      <c r="S460">
        <f t="shared" si="938"/>
        <v>1484303.9751418938</v>
      </c>
      <c r="T460">
        <f t="shared" si="939"/>
        <v>1484.3039751418939</v>
      </c>
    </row>
    <row r="461" spans="1:20" x14ac:dyDescent="0.25">
      <c r="A461" s="5">
        <v>44123</v>
      </c>
      <c r="B461">
        <v>3.4249999999999998E-4</v>
      </c>
      <c r="C461">
        <v>3.434E-4</v>
      </c>
      <c r="D461">
        <v>3.346E-4</v>
      </c>
      <c r="E461">
        <v>3.3980000000000002E-4</v>
      </c>
      <c r="F461">
        <v>10131073288</v>
      </c>
      <c r="G461">
        <v>0</v>
      </c>
      <c r="L461" t="s">
        <v>8</v>
      </c>
      <c r="M461" t="s">
        <v>8</v>
      </c>
      <c r="N461" t="s">
        <v>7</v>
      </c>
      <c r="P461">
        <f t="shared" si="935"/>
        <v>0.18181818181818629</v>
      </c>
      <c r="Q461">
        <f t="shared" si="936"/>
        <v>1842013325.0909543</v>
      </c>
      <c r="R461">
        <f t="shared" si="937"/>
        <v>153483636014.93225</v>
      </c>
      <c r="S461">
        <f t="shared" si="938"/>
        <v>1534836.3601493225</v>
      </c>
      <c r="T461">
        <f t="shared" si="939"/>
        <v>1534.8363601493224</v>
      </c>
    </row>
    <row r="462" spans="1:20" x14ac:dyDescent="0.25">
      <c r="A462" s="5">
        <v>44122</v>
      </c>
      <c r="B462">
        <v>3.3389999999999998E-4</v>
      </c>
      <c r="C462">
        <v>3.433E-4</v>
      </c>
      <c r="D462">
        <v>3.321E-4</v>
      </c>
      <c r="E462">
        <v>3.4259999999999998E-4</v>
      </c>
      <c r="F462">
        <v>8506707213</v>
      </c>
      <c r="G462">
        <v>0</v>
      </c>
      <c r="L462" t="s">
        <v>7</v>
      </c>
      <c r="M462" t="s">
        <v>8</v>
      </c>
      <c r="N462" t="s">
        <v>7</v>
      </c>
      <c r="P462">
        <f t="shared" si="935"/>
        <v>0.874999999999997</v>
      </c>
      <c r="Q462">
        <f t="shared" si="936"/>
        <v>7443368811.3749743</v>
      </c>
      <c r="R462">
        <f t="shared" si="937"/>
        <v>151641622689.84131</v>
      </c>
      <c r="S462">
        <f t="shared" si="938"/>
        <v>1516416.2268984132</v>
      </c>
      <c r="T462">
        <f t="shared" si="939"/>
        <v>1516.4162268984132</v>
      </c>
    </row>
    <row r="463" spans="1:20" x14ac:dyDescent="0.25">
      <c r="A463" s="5">
        <v>44121</v>
      </c>
      <c r="B463">
        <v>3.3280000000000001E-4</v>
      </c>
      <c r="C463">
        <v>3.414E-4</v>
      </c>
      <c r="D463">
        <v>3.2830000000000001E-4</v>
      </c>
      <c r="E463">
        <v>3.3409999999999999E-4</v>
      </c>
      <c r="F463">
        <v>8552445304</v>
      </c>
      <c r="G463">
        <v>0</v>
      </c>
      <c r="L463" t="s">
        <v>8</v>
      </c>
      <c r="M463" t="s">
        <v>8</v>
      </c>
      <c r="N463" t="s">
        <v>7</v>
      </c>
      <c r="P463">
        <f t="shared" si="935"/>
        <v>-0.11450381679389597</v>
      </c>
      <c r="Q463">
        <f t="shared" si="936"/>
        <v>-979287630.22903192</v>
      </c>
      <c r="R463">
        <f t="shared" si="937"/>
        <v>144198253878.46634</v>
      </c>
      <c r="S463">
        <f t="shared" si="938"/>
        <v>1441982.5387846634</v>
      </c>
      <c r="T463">
        <f t="shared" si="939"/>
        <v>1441.9825387846633</v>
      </c>
    </row>
    <row r="464" spans="1:20" x14ac:dyDescent="0.25">
      <c r="A464" s="5">
        <v>44120</v>
      </c>
      <c r="B464">
        <v>3.4370000000000001E-4</v>
      </c>
      <c r="C464">
        <v>3.4469999999999998E-4</v>
      </c>
      <c r="D464">
        <v>3.2610000000000001E-4</v>
      </c>
      <c r="E464">
        <v>3.3300000000000002E-4</v>
      </c>
      <c r="F464">
        <v>12685164908</v>
      </c>
      <c r="G464">
        <v>0</v>
      </c>
      <c r="L464" t="s">
        <v>7</v>
      </c>
      <c r="M464" t="s">
        <v>8</v>
      </c>
      <c r="N464" t="s">
        <v>7</v>
      </c>
      <c r="P464">
        <f t="shared" si="935"/>
        <v>-0.25806451612903031</v>
      </c>
      <c r="Q464">
        <f t="shared" si="936"/>
        <v>-3273590943.9999752</v>
      </c>
      <c r="R464">
        <f t="shared" si="937"/>
        <v>145177541508.69537</v>
      </c>
      <c r="S464">
        <f t="shared" si="938"/>
        <v>1451775.4150869537</v>
      </c>
      <c r="T464">
        <f t="shared" si="939"/>
        <v>1451.7754150869537</v>
      </c>
    </row>
    <row r="465" spans="1:20" x14ac:dyDescent="0.25">
      <c r="A465" s="5">
        <v>44119</v>
      </c>
      <c r="B465">
        <v>3.301E-4</v>
      </c>
      <c r="C465">
        <v>3.6489999999999998E-4</v>
      </c>
      <c r="D465">
        <v>3.2679999999999997E-4</v>
      </c>
      <c r="E465">
        <v>3.4390000000000001E-4</v>
      </c>
      <c r="F465">
        <v>16431476052</v>
      </c>
      <c r="G465">
        <v>0</v>
      </c>
      <c r="L465" t="s">
        <v>8</v>
      </c>
      <c r="M465" t="s">
        <v>8</v>
      </c>
      <c r="N465" t="s">
        <v>7</v>
      </c>
      <c r="P465">
        <f t="shared" si="935"/>
        <v>-0.10236220472440766</v>
      </c>
      <c r="Q465">
        <f t="shared" si="936"/>
        <v>-1681962115.5590258</v>
      </c>
      <c r="R465">
        <f t="shared" si="937"/>
        <v>148451132452.69534</v>
      </c>
      <c r="S465">
        <f t="shared" si="938"/>
        <v>1484511.3245269535</v>
      </c>
      <c r="T465">
        <f t="shared" si="939"/>
        <v>1484.5113245269536</v>
      </c>
    </row>
    <row r="466" spans="1:20" x14ac:dyDescent="0.25">
      <c r="A466" s="5">
        <v>44118</v>
      </c>
      <c r="B466">
        <v>3.4450000000000003E-4</v>
      </c>
      <c r="C466">
        <v>3.4830000000000001E-4</v>
      </c>
      <c r="D466">
        <v>3.2289999999999999E-4</v>
      </c>
      <c r="E466">
        <v>3.301E-4</v>
      </c>
      <c r="F466">
        <v>12078682918</v>
      </c>
      <c r="G466">
        <v>0</v>
      </c>
      <c r="L466" t="s">
        <v>7</v>
      </c>
      <c r="M466" t="s">
        <v>8</v>
      </c>
      <c r="N466" t="s">
        <v>7</v>
      </c>
      <c r="P466">
        <f t="shared" si="935"/>
        <v>-0.43307086614173179</v>
      </c>
      <c r="Q466">
        <f t="shared" si="936"/>
        <v>-5230925673.1496</v>
      </c>
      <c r="R466">
        <f t="shared" si="937"/>
        <v>150133094568.25436</v>
      </c>
      <c r="S466">
        <f t="shared" si="938"/>
        <v>1501330.9456825436</v>
      </c>
      <c r="T466">
        <f t="shared" si="939"/>
        <v>1501.3309456825436</v>
      </c>
    </row>
    <row r="467" spans="1:20" x14ac:dyDescent="0.25">
      <c r="A467" s="5">
        <v>44117</v>
      </c>
      <c r="B467">
        <v>3.5139999999999998E-4</v>
      </c>
      <c r="C467">
        <v>3.5720000000000001E-4</v>
      </c>
      <c r="D467">
        <v>3.4029999999999998E-4</v>
      </c>
      <c r="E467">
        <v>3.4440000000000002E-4</v>
      </c>
      <c r="F467">
        <v>16832902705</v>
      </c>
      <c r="G467">
        <v>0</v>
      </c>
      <c r="L467" t="s">
        <v>8</v>
      </c>
      <c r="M467" t="s">
        <v>8</v>
      </c>
      <c r="N467" t="s">
        <v>7</v>
      </c>
      <c r="P467">
        <f t="shared" si="935"/>
        <v>-0.51479289940827955</v>
      </c>
      <c r="Q467">
        <f t="shared" si="936"/>
        <v>-8665458788.9644222</v>
      </c>
      <c r="R467">
        <f t="shared" si="937"/>
        <v>155364020241.40396</v>
      </c>
      <c r="S467">
        <f t="shared" si="938"/>
        <v>1553640.2024140395</v>
      </c>
      <c r="T467">
        <f t="shared" si="939"/>
        <v>1553.6402024140395</v>
      </c>
    </row>
    <row r="468" spans="1:20" x14ac:dyDescent="0.25">
      <c r="A468" s="5">
        <v>44116</v>
      </c>
      <c r="B468">
        <v>3.4739999999999999E-4</v>
      </c>
      <c r="C468">
        <v>3.5799999999999997E-4</v>
      </c>
      <c r="D468">
        <v>3.388E-4</v>
      </c>
      <c r="E468">
        <v>3.5100000000000002E-4</v>
      </c>
      <c r="F468">
        <v>26907064248</v>
      </c>
      <c r="G468">
        <v>0</v>
      </c>
      <c r="L468" t="s">
        <v>7</v>
      </c>
      <c r="M468" t="s">
        <v>8</v>
      </c>
      <c r="N468" t="s">
        <v>7</v>
      </c>
      <c r="P468">
        <f t="shared" si="935"/>
        <v>0.27083333333333737</v>
      </c>
      <c r="Q468">
        <f t="shared" si="936"/>
        <v>7287329900.5001087</v>
      </c>
      <c r="R468">
        <f t="shared" si="937"/>
        <v>164029479030.36838</v>
      </c>
      <c r="S468">
        <f t="shared" si="938"/>
        <v>1640294.7903036838</v>
      </c>
      <c r="T468">
        <f t="shared" si="939"/>
        <v>1640.2947903036838</v>
      </c>
    </row>
    <row r="469" spans="1:20" x14ac:dyDescent="0.25">
      <c r="A469" s="5">
        <v>44115</v>
      </c>
      <c r="B469">
        <v>3.6420000000000002E-4</v>
      </c>
      <c r="C469">
        <v>3.6479999999999998E-4</v>
      </c>
      <c r="D469">
        <v>3.4600000000000001E-4</v>
      </c>
      <c r="E469">
        <v>3.4759999999999999E-4</v>
      </c>
      <c r="F469">
        <v>13651268867</v>
      </c>
      <c r="G469">
        <v>0</v>
      </c>
      <c r="L469" t="s">
        <v>8</v>
      </c>
      <c r="M469" t="s">
        <v>8</v>
      </c>
      <c r="N469" t="s">
        <v>7</v>
      </c>
      <c r="P469">
        <f t="shared" si="935"/>
        <v>-0.8297872340425545</v>
      </c>
      <c r="Q469">
        <f t="shared" si="936"/>
        <v>-11327648634.319166</v>
      </c>
      <c r="R469">
        <f t="shared" si="937"/>
        <v>156742149129.86826</v>
      </c>
      <c r="S469">
        <f t="shared" si="938"/>
        <v>1567421.4912986825</v>
      </c>
      <c r="T469">
        <f t="shared" si="939"/>
        <v>1567.4214912986824</v>
      </c>
    </row>
    <row r="470" spans="1:20" x14ac:dyDescent="0.25">
      <c r="A470" s="5">
        <v>44114</v>
      </c>
      <c r="B470">
        <v>3.4309999999999999E-4</v>
      </c>
      <c r="C470">
        <v>3.6680000000000003E-4</v>
      </c>
      <c r="D470">
        <v>3.4279999999999998E-4</v>
      </c>
      <c r="E470">
        <v>3.6450000000000002E-4</v>
      </c>
      <c r="F470">
        <v>21965611517</v>
      </c>
      <c r="G470">
        <v>0</v>
      </c>
      <c r="L470" t="s">
        <v>7</v>
      </c>
      <c r="M470" t="s">
        <v>8</v>
      </c>
      <c r="N470" t="s">
        <v>7</v>
      </c>
      <c r="P470">
        <f t="shared" si="935"/>
        <v>0.80833333333333357</v>
      </c>
      <c r="Q470">
        <f t="shared" si="936"/>
        <v>17755535976.241673</v>
      </c>
      <c r="R470">
        <f t="shared" si="937"/>
        <v>168069797764.18741</v>
      </c>
      <c r="S470">
        <f t="shared" si="938"/>
        <v>1680697.977641874</v>
      </c>
      <c r="T470">
        <f t="shared" si="939"/>
        <v>1680.6979776418741</v>
      </c>
    </row>
    <row r="471" spans="1:20" x14ac:dyDescent="0.25">
      <c r="A471" s="5">
        <v>44113</v>
      </c>
      <c r="B471">
        <v>3.301E-4</v>
      </c>
      <c r="C471">
        <v>3.5780000000000002E-4</v>
      </c>
      <c r="D471">
        <v>3.277E-4</v>
      </c>
      <c r="E471">
        <v>3.4319999999999999E-4</v>
      </c>
      <c r="F471">
        <v>33772402813</v>
      </c>
      <c r="G471">
        <v>0</v>
      </c>
      <c r="L471" t="s">
        <v>8</v>
      </c>
      <c r="M471" t="s">
        <v>8</v>
      </c>
      <c r="N471" t="s">
        <v>7</v>
      </c>
      <c r="P471">
        <f t="shared" si="935"/>
        <v>2.990033222591252E-2</v>
      </c>
      <c r="Q471">
        <f t="shared" si="936"/>
        <v>1009806064.1760426</v>
      </c>
      <c r="R471">
        <f t="shared" si="937"/>
        <v>150314261787.94574</v>
      </c>
      <c r="S471">
        <f t="shared" si="938"/>
        <v>1503142.6178794573</v>
      </c>
      <c r="T471">
        <f t="shared" si="939"/>
        <v>1503.1426178794572</v>
      </c>
    </row>
    <row r="472" spans="1:20" x14ac:dyDescent="0.25">
      <c r="A472" s="5">
        <v>44112</v>
      </c>
      <c r="B472">
        <v>3.2170000000000001E-4</v>
      </c>
      <c r="C472">
        <v>3.325E-4</v>
      </c>
      <c r="D472">
        <v>3.1189999999999999E-4</v>
      </c>
      <c r="E472">
        <v>3.2969999999999999E-4</v>
      </c>
      <c r="F472">
        <v>24362679828</v>
      </c>
      <c r="G472">
        <v>0</v>
      </c>
      <c r="L472" t="s">
        <v>7</v>
      </c>
      <c r="M472" t="s">
        <v>8</v>
      </c>
      <c r="N472" t="s">
        <v>7</v>
      </c>
      <c r="P472">
        <f t="shared" si="935"/>
        <v>0.72815533980582403</v>
      </c>
      <c r="Q472">
        <f t="shared" si="936"/>
        <v>17739815408.737835</v>
      </c>
      <c r="R472">
        <f t="shared" si="937"/>
        <v>149304455723.76968</v>
      </c>
      <c r="S472">
        <f t="shared" si="938"/>
        <v>1493044.5572376968</v>
      </c>
      <c r="T472">
        <f t="shared" si="939"/>
        <v>1493.0445572376968</v>
      </c>
    </row>
    <row r="473" spans="1:20" x14ac:dyDescent="0.25">
      <c r="A473" s="5">
        <v>44111</v>
      </c>
      <c r="B473">
        <v>3.121E-4</v>
      </c>
      <c r="C473">
        <v>3.2499999999999999E-4</v>
      </c>
      <c r="D473">
        <v>3.034E-4</v>
      </c>
      <c r="E473">
        <v>3.2180000000000002E-4</v>
      </c>
      <c r="F473">
        <v>29693586725</v>
      </c>
      <c r="G473">
        <v>0</v>
      </c>
      <c r="L473" t="s">
        <v>8</v>
      </c>
      <c r="M473" t="s">
        <v>8</v>
      </c>
      <c r="N473" t="s">
        <v>7</v>
      </c>
      <c r="P473">
        <f t="shared" si="935"/>
        <v>0.70370370370370627</v>
      </c>
      <c r="Q473">
        <f t="shared" si="936"/>
        <v>20895486954.629707</v>
      </c>
      <c r="R473">
        <f t="shared" si="937"/>
        <v>131564640315.03186</v>
      </c>
      <c r="S473">
        <f t="shared" si="938"/>
        <v>1315646.4031503187</v>
      </c>
      <c r="T473">
        <f t="shared" si="939"/>
        <v>1315.6464031503187</v>
      </c>
    </row>
    <row r="474" spans="1:20" x14ac:dyDescent="0.25">
      <c r="A474" s="5">
        <v>44110</v>
      </c>
      <c r="B474">
        <v>3.2870000000000002E-4</v>
      </c>
      <c r="C474">
        <v>3.3E-4</v>
      </c>
      <c r="D474">
        <v>3.1E-4</v>
      </c>
      <c r="E474">
        <v>3.1129999999999998E-4</v>
      </c>
      <c r="F474">
        <v>29784130325</v>
      </c>
      <c r="G474">
        <v>0</v>
      </c>
      <c r="L474" t="s">
        <v>7</v>
      </c>
      <c r="M474" t="s">
        <v>8</v>
      </c>
      <c r="N474" t="s">
        <v>7</v>
      </c>
      <c r="P474">
        <f t="shared" si="935"/>
        <v>-0.87000000000000222</v>
      </c>
      <c r="Q474">
        <f t="shared" si="936"/>
        <v>-25912193382.750065</v>
      </c>
      <c r="R474">
        <f t="shared" si="937"/>
        <v>110669153360.40216</v>
      </c>
      <c r="S474">
        <f t="shared" si="938"/>
        <v>1106691.5336040216</v>
      </c>
      <c r="T474">
        <f t="shared" si="939"/>
        <v>1106.6915336040217</v>
      </c>
    </row>
    <row r="475" spans="1:20" x14ac:dyDescent="0.25">
      <c r="A475" s="5">
        <v>44109</v>
      </c>
      <c r="B475">
        <v>3.2939999999999998E-4</v>
      </c>
      <c r="C475">
        <v>3.3419999999999999E-4</v>
      </c>
      <c r="D475">
        <v>3.2390000000000001E-4</v>
      </c>
      <c r="E475">
        <v>3.2860000000000002E-4</v>
      </c>
      <c r="F475">
        <v>24518924347</v>
      </c>
      <c r="G475">
        <v>0</v>
      </c>
      <c r="L475" t="s">
        <v>8</v>
      </c>
      <c r="M475" t="s">
        <v>8</v>
      </c>
      <c r="N475" t="s">
        <v>7</v>
      </c>
      <c r="P475">
        <f t="shared" si="935"/>
        <v>-8.7378640776696062E-2</v>
      </c>
      <c r="Q475">
        <f t="shared" si="936"/>
        <v>-2142430282.7475002</v>
      </c>
      <c r="R475">
        <f t="shared" si="937"/>
        <v>136581346743.15222</v>
      </c>
      <c r="S475">
        <f t="shared" si="938"/>
        <v>1365813.4674315222</v>
      </c>
      <c r="T475">
        <f t="shared" si="939"/>
        <v>1365.8134674315222</v>
      </c>
    </row>
    <row r="476" spans="1:20" x14ac:dyDescent="0.25">
      <c r="A476" s="5">
        <v>44108</v>
      </c>
      <c r="B476">
        <v>3.301E-4</v>
      </c>
      <c r="C476">
        <v>3.3260000000000001E-4</v>
      </c>
      <c r="D476">
        <v>3.2299999999999999E-4</v>
      </c>
      <c r="E476">
        <v>3.2959999999999999E-4</v>
      </c>
      <c r="F476">
        <v>25353599536</v>
      </c>
      <c r="G476">
        <v>0</v>
      </c>
      <c r="L476" t="s">
        <v>7</v>
      </c>
      <c r="M476" t="s">
        <v>8</v>
      </c>
      <c r="N476" t="s">
        <v>7</v>
      </c>
      <c r="P476">
        <f t="shared" si="935"/>
        <v>0.37499999999999717</v>
      </c>
      <c r="Q476">
        <f t="shared" si="936"/>
        <v>9507599825.9999275</v>
      </c>
      <c r="R476">
        <f t="shared" si="937"/>
        <v>138723777025.89972</v>
      </c>
      <c r="S476">
        <f t="shared" si="938"/>
        <v>1387237.7702589971</v>
      </c>
      <c r="T476">
        <f t="shared" si="939"/>
        <v>1387.237770258997</v>
      </c>
    </row>
    <row r="477" spans="1:20" x14ac:dyDescent="0.25">
      <c r="A477" s="5">
        <v>44107</v>
      </c>
      <c r="B477">
        <v>3.3199999999999999E-4</v>
      </c>
      <c r="C477">
        <v>3.3950000000000001E-4</v>
      </c>
      <c r="D477">
        <v>3.2969999999999999E-4</v>
      </c>
      <c r="E477">
        <v>3.3030000000000001E-4</v>
      </c>
      <c r="F477">
        <v>21055697735</v>
      </c>
      <c r="G477">
        <v>0</v>
      </c>
      <c r="L477" t="s">
        <v>8</v>
      </c>
      <c r="M477" t="s">
        <v>8</v>
      </c>
      <c r="N477" t="s">
        <v>7</v>
      </c>
      <c r="P477">
        <f t="shared" si="935"/>
        <v>-0.87755102040816058</v>
      </c>
      <c r="Q477">
        <f t="shared" si="936"/>
        <v>-18477449032.755047</v>
      </c>
      <c r="R477">
        <f t="shared" si="937"/>
        <v>129216177199.8998</v>
      </c>
      <c r="S477">
        <f t="shared" si="938"/>
        <v>1292161.771998998</v>
      </c>
      <c r="T477">
        <f t="shared" si="939"/>
        <v>1292.1617719989981</v>
      </c>
    </row>
    <row r="478" spans="1:20" x14ac:dyDescent="0.25">
      <c r="A478" s="5">
        <v>44106</v>
      </c>
      <c r="B478">
        <v>3.3359999999999998E-4</v>
      </c>
      <c r="C478">
        <v>3.4210000000000002E-4</v>
      </c>
      <c r="D478">
        <v>3.1E-4</v>
      </c>
      <c r="E478">
        <v>3.3189999999999999E-4</v>
      </c>
      <c r="F478">
        <v>22690795723</v>
      </c>
      <c r="G478">
        <v>0</v>
      </c>
      <c r="L478" t="s">
        <v>7</v>
      </c>
      <c r="M478" t="s">
        <v>8</v>
      </c>
      <c r="N478" t="s">
        <v>7</v>
      </c>
      <c r="P478">
        <f t="shared" si="935"/>
        <v>0.3644859813084097</v>
      </c>
      <c r="Q478">
        <f t="shared" si="936"/>
        <v>8270476945.7663212</v>
      </c>
      <c r="R478">
        <f t="shared" si="937"/>
        <v>147693626232.65485</v>
      </c>
      <c r="S478">
        <f t="shared" si="938"/>
        <v>1476936.2623265486</v>
      </c>
      <c r="T478">
        <f t="shared" si="939"/>
        <v>1476.9362623265486</v>
      </c>
    </row>
    <row r="479" spans="1:20" x14ac:dyDescent="0.25">
      <c r="A479" s="5">
        <v>44105</v>
      </c>
      <c r="B479">
        <v>3.3490000000000001E-4</v>
      </c>
      <c r="C479">
        <v>3.5550000000000002E-4</v>
      </c>
      <c r="D479">
        <v>3.2079999999999999E-4</v>
      </c>
      <c r="E479">
        <v>3.3320000000000002E-4</v>
      </c>
      <c r="F479">
        <v>28558924024</v>
      </c>
      <c r="G479">
        <v>0</v>
      </c>
      <c r="L479" t="s">
        <v>8</v>
      </c>
      <c r="M479" t="s">
        <v>8</v>
      </c>
      <c r="N479" t="s">
        <v>7</v>
      </c>
      <c r="P479">
        <f t="shared" si="935"/>
        <v>-0.28530259365994126</v>
      </c>
      <c r="Q479">
        <f t="shared" si="936"/>
        <v>-8147935096.1844063</v>
      </c>
      <c r="R479">
        <f t="shared" si="937"/>
        <v>139423149286.88852</v>
      </c>
      <c r="S479">
        <f t="shared" si="938"/>
        <v>1394231.4928688852</v>
      </c>
      <c r="T479">
        <f t="shared" si="939"/>
        <v>1394.2314928688852</v>
      </c>
    </row>
    <row r="480" spans="1:20" x14ac:dyDescent="0.25">
      <c r="A480" s="5">
        <v>44104</v>
      </c>
      <c r="B480">
        <v>3.099E-4</v>
      </c>
      <c r="C480">
        <v>3.4469999999999998E-4</v>
      </c>
      <c r="D480">
        <v>3.0499999999999999E-4</v>
      </c>
      <c r="E480">
        <v>3.3500000000000001E-4</v>
      </c>
      <c r="F480">
        <v>34443931026</v>
      </c>
      <c r="G480">
        <v>0</v>
      </c>
      <c r="L480" t="s">
        <v>7</v>
      </c>
      <c r="M480" t="s">
        <v>8</v>
      </c>
      <c r="N480" t="s">
        <v>7</v>
      </c>
      <c r="P480">
        <f t="shared" si="935"/>
        <v>0.51133501259446013</v>
      </c>
      <c r="Q480">
        <f t="shared" si="936"/>
        <v>17612387904.982426</v>
      </c>
      <c r="R480">
        <f t="shared" si="937"/>
        <v>147571084383.07294</v>
      </c>
      <c r="S480">
        <f t="shared" si="938"/>
        <v>1475710.8438307294</v>
      </c>
      <c r="T480">
        <f t="shared" si="939"/>
        <v>1475.7108438307293</v>
      </c>
    </row>
    <row r="481" spans="1:20" x14ac:dyDescent="0.25">
      <c r="A481" s="5">
        <v>44103</v>
      </c>
      <c r="B481">
        <v>2.9720000000000001E-4</v>
      </c>
      <c r="C481">
        <v>3.1419999999999999E-4</v>
      </c>
      <c r="D481">
        <v>2.9389999999999999E-4</v>
      </c>
      <c r="E481">
        <v>3.099E-4</v>
      </c>
      <c r="F481">
        <v>23638890349</v>
      </c>
      <c r="G481">
        <v>0</v>
      </c>
      <c r="L481" t="s">
        <v>8</v>
      </c>
      <c r="M481" t="s">
        <v>7</v>
      </c>
      <c r="N481" t="s">
        <v>7</v>
      </c>
      <c r="P481">
        <f t="shared" si="935"/>
        <v>0.57635467980295618</v>
      </c>
      <c r="Q481">
        <f t="shared" si="936"/>
        <v>13624385077.995087</v>
      </c>
      <c r="R481">
        <f t="shared" si="937"/>
        <v>129958696478.09052</v>
      </c>
      <c r="S481">
        <f t="shared" si="938"/>
        <v>1299586.9647809051</v>
      </c>
      <c r="T481">
        <f t="shared" si="939"/>
        <v>1299.586964780905</v>
      </c>
    </row>
    <row r="482" spans="1:20" x14ac:dyDescent="0.25">
      <c r="A482" s="5">
        <v>44102</v>
      </c>
      <c r="B482">
        <v>3.0370000000000001E-4</v>
      </c>
      <c r="C482">
        <v>3.124E-4</v>
      </c>
      <c r="D482">
        <v>2.965E-4</v>
      </c>
      <c r="E482">
        <v>2.9760000000000002E-4</v>
      </c>
      <c r="F482">
        <v>26424755096</v>
      </c>
      <c r="G482">
        <v>0</v>
      </c>
      <c r="L482" t="s">
        <v>7</v>
      </c>
      <c r="M482" t="s">
        <v>7</v>
      </c>
      <c r="N482" t="s">
        <v>7</v>
      </c>
      <c r="P482">
        <f t="shared" si="935"/>
        <v>-0.86163522012578286</v>
      </c>
      <c r="Q482">
        <f t="shared" si="936"/>
        <v>-22768499673.911861</v>
      </c>
      <c r="R482">
        <f t="shared" si="937"/>
        <v>116334311400.09543</v>
      </c>
      <c r="S482">
        <f t="shared" si="938"/>
        <v>1163343.1140009542</v>
      </c>
      <c r="T482">
        <f t="shared" si="939"/>
        <v>1163.3431140009543</v>
      </c>
    </row>
    <row r="483" spans="1:20" x14ac:dyDescent="0.25">
      <c r="A483" s="5">
        <v>44101</v>
      </c>
      <c r="B483">
        <v>3.0830000000000001E-4</v>
      </c>
      <c r="C483">
        <v>3.1250000000000001E-4</v>
      </c>
      <c r="D483">
        <v>2.987E-4</v>
      </c>
      <c r="E483">
        <v>3.034E-4</v>
      </c>
      <c r="F483">
        <v>20724362793</v>
      </c>
      <c r="G483">
        <v>0</v>
      </c>
      <c r="L483" t="s">
        <v>8</v>
      </c>
      <c r="M483" t="s">
        <v>7</v>
      </c>
      <c r="N483" t="s">
        <v>7</v>
      </c>
      <c r="P483">
        <f t="shared" si="935"/>
        <v>-0.31884057971014457</v>
      </c>
      <c r="Q483">
        <f t="shared" si="936"/>
        <v>-6607767847.0434704</v>
      </c>
      <c r="R483">
        <f t="shared" si="937"/>
        <v>139102811074.00729</v>
      </c>
      <c r="S483">
        <f t="shared" si="938"/>
        <v>1391028.110740073</v>
      </c>
      <c r="T483">
        <f t="shared" si="939"/>
        <v>1391.0281107400731</v>
      </c>
    </row>
    <row r="484" spans="1:20" x14ac:dyDescent="0.25">
      <c r="A484" s="5">
        <v>44100</v>
      </c>
      <c r="B484">
        <v>3.1E-4</v>
      </c>
      <c r="C484">
        <v>3.1980000000000002E-4</v>
      </c>
      <c r="D484">
        <v>3.0739999999999999E-4</v>
      </c>
      <c r="E484">
        <v>3.0899999999999998E-4</v>
      </c>
      <c r="F484">
        <v>25156425257</v>
      </c>
      <c r="G484">
        <v>0</v>
      </c>
      <c r="L484" t="s">
        <v>7</v>
      </c>
      <c r="M484" t="s">
        <v>7</v>
      </c>
      <c r="N484" t="s">
        <v>7</v>
      </c>
      <c r="P484">
        <f t="shared" si="935"/>
        <v>-0.74193548387097086</v>
      </c>
      <c r="Q484">
        <f t="shared" si="936"/>
        <v>-18664444545.516209</v>
      </c>
      <c r="R484">
        <f t="shared" si="937"/>
        <v>145710578921.05075</v>
      </c>
      <c r="S484">
        <f t="shared" si="938"/>
        <v>1457105.7892105074</v>
      </c>
      <c r="T484">
        <f t="shared" si="939"/>
        <v>1457.1057892105075</v>
      </c>
    </row>
    <row r="485" spans="1:20" x14ac:dyDescent="0.25">
      <c r="A485" s="5">
        <v>44099</v>
      </c>
      <c r="B485">
        <v>3.0289999999999999E-4</v>
      </c>
      <c r="C485">
        <v>3.1139999999999998E-4</v>
      </c>
      <c r="D485">
        <v>2.943E-4</v>
      </c>
      <c r="E485">
        <v>3.099E-4</v>
      </c>
      <c r="F485">
        <v>35851188898</v>
      </c>
      <c r="G485">
        <v>0</v>
      </c>
      <c r="L485" t="s">
        <v>8</v>
      </c>
      <c r="M485" t="s">
        <v>7</v>
      </c>
      <c r="N485" t="s">
        <v>7</v>
      </c>
      <c r="P485">
        <f t="shared" si="935"/>
        <v>0.82456140350877383</v>
      </c>
      <c r="Q485">
        <f t="shared" si="936"/>
        <v>29561506635.19305</v>
      </c>
      <c r="R485">
        <f t="shared" si="937"/>
        <v>164375023466.56696</v>
      </c>
      <c r="S485">
        <f t="shared" si="938"/>
        <v>1643750.2346656695</v>
      </c>
      <c r="T485">
        <f t="shared" si="939"/>
        <v>1643.7502346656695</v>
      </c>
    </row>
    <row r="486" spans="1:20" x14ac:dyDescent="0.25">
      <c r="A486" s="5">
        <v>44098</v>
      </c>
      <c r="B486">
        <v>2.853E-4</v>
      </c>
      <c r="C486">
        <v>3.0299999999999999E-4</v>
      </c>
      <c r="D486">
        <v>2.8400000000000002E-4</v>
      </c>
      <c r="E486">
        <v>3.0299999999999999E-4</v>
      </c>
      <c r="F486">
        <v>20188912192</v>
      </c>
      <c r="G486">
        <v>0</v>
      </c>
      <c r="L486" t="s">
        <v>7</v>
      </c>
      <c r="M486" t="s">
        <v>7</v>
      </c>
      <c r="N486" t="s">
        <v>7</v>
      </c>
      <c r="P486">
        <f t="shared" si="935"/>
        <v>1</v>
      </c>
      <c r="Q486">
        <f t="shared" si="936"/>
        <v>20188912192</v>
      </c>
      <c r="R486">
        <f t="shared" si="937"/>
        <v>134813516831.3739</v>
      </c>
      <c r="S486">
        <f t="shared" si="938"/>
        <v>1348135.1683137391</v>
      </c>
      <c r="T486">
        <f t="shared" si="939"/>
        <v>1348.1351683137391</v>
      </c>
    </row>
    <row r="487" spans="1:20" x14ac:dyDescent="0.25">
      <c r="A487" s="5">
        <v>44097</v>
      </c>
      <c r="B487">
        <v>2.9839999999999999E-4</v>
      </c>
      <c r="C487">
        <v>3.0699999999999998E-4</v>
      </c>
      <c r="D487">
        <v>2.8499999999999999E-4</v>
      </c>
      <c r="E487">
        <v>2.8519999999999999E-4</v>
      </c>
      <c r="F487">
        <v>14514624488</v>
      </c>
      <c r="G487">
        <v>0</v>
      </c>
      <c r="L487" t="s">
        <v>8</v>
      </c>
      <c r="M487" t="s">
        <v>7</v>
      </c>
      <c r="N487" t="s">
        <v>7</v>
      </c>
      <c r="P487">
        <f t="shared" si="935"/>
        <v>-0.98181818181818137</v>
      </c>
      <c r="Q487">
        <f t="shared" si="936"/>
        <v>-14250722224.581812</v>
      </c>
      <c r="R487">
        <f t="shared" si="937"/>
        <v>114624604639.3739</v>
      </c>
      <c r="S487">
        <f t="shared" si="938"/>
        <v>1146246.0463937391</v>
      </c>
      <c r="T487">
        <f t="shared" si="939"/>
        <v>1146.2460463937391</v>
      </c>
    </row>
    <row r="488" spans="1:20" x14ac:dyDescent="0.25">
      <c r="A488" s="5">
        <v>44096</v>
      </c>
      <c r="B488">
        <v>2.9700000000000001E-4</v>
      </c>
      <c r="C488">
        <v>3.0249999999999998E-4</v>
      </c>
      <c r="D488">
        <v>2.9E-4</v>
      </c>
      <c r="E488">
        <v>2.9829999999999999E-4</v>
      </c>
      <c r="F488">
        <v>13594251924</v>
      </c>
      <c r="G488">
        <v>0</v>
      </c>
      <c r="L488" t="s">
        <v>7</v>
      </c>
      <c r="M488" t="s">
        <v>7</v>
      </c>
      <c r="N488" t="s">
        <v>7</v>
      </c>
      <c r="P488">
        <f t="shared" si="935"/>
        <v>0.32799999999999985</v>
      </c>
      <c r="Q488">
        <f t="shared" si="936"/>
        <v>4458914631.0719976</v>
      </c>
      <c r="R488">
        <f t="shared" si="937"/>
        <v>128875326863.95572</v>
      </c>
      <c r="S488">
        <f t="shared" si="938"/>
        <v>1288753.2686395573</v>
      </c>
      <c r="T488">
        <f t="shared" si="939"/>
        <v>1288.7532686395573</v>
      </c>
    </row>
    <row r="489" spans="1:20" x14ac:dyDescent="0.25">
      <c r="A489" s="5">
        <v>44095</v>
      </c>
      <c r="B489">
        <v>3.2919999999999998E-4</v>
      </c>
      <c r="C489">
        <v>3.3119999999999997E-4</v>
      </c>
      <c r="D489">
        <v>2.899E-4</v>
      </c>
      <c r="E489">
        <v>2.9710000000000001E-4</v>
      </c>
      <c r="F489">
        <v>12129803521</v>
      </c>
      <c r="G489">
        <v>0</v>
      </c>
      <c r="L489" t="s">
        <v>8</v>
      </c>
      <c r="M489" t="s">
        <v>7</v>
      </c>
      <c r="N489" t="s">
        <v>7</v>
      </c>
      <c r="P489">
        <f t="shared" si="935"/>
        <v>-0.65133171912832843</v>
      </c>
      <c r="Q489">
        <f t="shared" si="936"/>
        <v>-7900525780.021781</v>
      </c>
      <c r="R489">
        <f t="shared" si="937"/>
        <v>124416412232.88373</v>
      </c>
      <c r="S489">
        <f t="shared" si="938"/>
        <v>1244164.1223288372</v>
      </c>
      <c r="T489">
        <f t="shared" si="939"/>
        <v>1244.1641223288373</v>
      </c>
    </row>
    <row r="490" spans="1:20" x14ac:dyDescent="0.25">
      <c r="A490" s="5">
        <v>44094</v>
      </c>
      <c r="B490">
        <v>3.3379999999999998E-4</v>
      </c>
      <c r="C490">
        <v>3.367E-4</v>
      </c>
      <c r="D490">
        <v>3.2309999999999999E-4</v>
      </c>
      <c r="E490">
        <v>3.2919999999999998E-4</v>
      </c>
      <c r="F490">
        <v>16253834975</v>
      </c>
      <c r="G490">
        <v>0</v>
      </c>
      <c r="L490" t="s">
        <v>7</v>
      </c>
      <c r="M490" t="s">
        <v>8</v>
      </c>
      <c r="N490" t="s">
        <v>7</v>
      </c>
      <c r="P490">
        <f t="shared" si="935"/>
        <v>-0.1029411764705907</v>
      </c>
      <c r="Q490">
        <f t="shared" si="936"/>
        <v>-1673188894.4853342</v>
      </c>
      <c r="R490">
        <f t="shared" si="937"/>
        <v>132316938012.9055</v>
      </c>
      <c r="S490">
        <f t="shared" si="938"/>
        <v>1323169.3801290551</v>
      </c>
      <c r="T490">
        <f t="shared" si="939"/>
        <v>1323.1693801290551</v>
      </c>
    </row>
    <row r="491" spans="1:20" x14ac:dyDescent="0.25">
      <c r="A491" s="5">
        <v>44093</v>
      </c>
      <c r="B491">
        <v>3.3189999999999999E-4</v>
      </c>
      <c r="C491">
        <v>3.4239999999999997E-4</v>
      </c>
      <c r="D491">
        <v>3.2860000000000002E-4</v>
      </c>
      <c r="E491">
        <v>3.3429999999999999E-4</v>
      </c>
      <c r="F491">
        <v>16943283233</v>
      </c>
      <c r="G491">
        <v>0</v>
      </c>
      <c r="L491" t="s">
        <v>8</v>
      </c>
      <c r="M491" t="s">
        <v>8</v>
      </c>
      <c r="N491" t="s">
        <v>7</v>
      </c>
      <c r="P491">
        <f t="shared" si="935"/>
        <v>-0.17391304347826173</v>
      </c>
      <c r="Q491">
        <f t="shared" si="936"/>
        <v>-2946657953.5652318</v>
      </c>
      <c r="R491">
        <f t="shared" si="937"/>
        <v>133990126907.39084</v>
      </c>
      <c r="S491">
        <f t="shared" si="938"/>
        <v>1339901.2690739085</v>
      </c>
      <c r="T491">
        <f t="shared" si="939"/>
        <v>1339.9012690739085</v>
      </c>
    </row>
    <row r="492" spans="1:20" x14ac:dyDescent="0.25">
      <c r="A492" s="5">
        <v>44092</v>
      </c>
      <c r="B492">
        <v>3.324E-4</v>
      </c>
      <c r="C492">
        <v>3.4450000000000003E-4</v>
      </c>
      <c r="D492">
        <v>3.2820000000000001E-4</v>
      </c>
      <c r="E492">
        <v>3.3159999999999998E-4</v>
      </c>
      <c r="F492">
        <v>21901821116</v>
      </c>
      <c r="G492">
        <v>0</v>
      </c>
      <c r="L492" t="s">
        <v>7</v>
      </c>
      <c r="M492" t="s">
        <v>8</v>
      </c>
      <c r="N492" t="s">
        <v>7</v>
      </c>
      <c r="P492">
        <f t="shared" si="935"/>
        <v>-0.58282208588957418</v>
      </c>
      <c r="Q492">
        <f t="shared" si="936"/>
        <v>-12764865067.607441</v>
      </c>
      <c r="R492">
        <f t="shared" si="937"/>
        <v>136936784860.95607</v>
      </c>
      <c r="S492">
        <f t="shared" si="938"/>
        <v>1369367.8486095606</v>
      </c>
      <c r="T492">
        <f t="shared" si="939"/>
        <v>1369.3678486095607</v>
      </c>
    </row>
    <row r="493" spans="1:20" x14ac:dyDescent="0.25">
      <c r="A493" s="5">
        <v>44091</v>
      </c>
      <c r="B493">
        <v>3.323E-4</v>
      </c>
      <c r="C493">
        <v>3.456E-4</v>
      </c>
      <c r="D493">
        <v>3.2049999999999998E-4</v>
      </c>
      <c r="E493">
        <v>3.323E-4</v>
      </c>
      <c r="F493">
        <v>15207291807</v>
      </c>
      <c r="G493">
        <v>0</v>
      </c>
      <c r="L493" t="s">
        <v>8</v>
      </c>
      <c r="M493" t="s">
        <v>8</v>
      </c>
      <c r="N493" t="s">
        <v>7</v>
      </c>
      <c r="P493">
        <f t="shared" si="935"/>
        <v>-5.9760956175298065E-2</v>
      </c>
      <c r="Q493">
        <f t="shared" si="936"/>
        <v>-908802299.22309637</v>
      </c>
      <c r="R493">
        <f t="shared" si="937"/>
        <v>149701649928.56351</v>
      </c>
      <c r="S493">
        <f t="shared" si="938"/>
        <v>1497016.4992856351</v>
      </c>
      <c r="T493">
        <f t="shared" si="939"/>
        <v>1497.0164992856351</v>
      </c>
    </row>
    <row r="494" spans="1:20" x14ac:dyDescent="0.25">
      <c r="A494" s="5">
        <v>44090</v>
      </c>
      <c r="B494">
        <v>3.3280000000000001E-4</v>
      </c>
      <c r="C494">
        <v>3.3990000000000002E-4</v>
      </c>
      <c r="D494">
        <v>3.1940000000000001E-4</v>
      </c>
      <c r="E494">
        <v>3.3260000000000001E-4</v>
      </c>
      <c r="F494">
        <v>22258519661</v>
      </c>
      <c r="G494">
        <v>0</v>
      </c>
      <c r="L494" t="s">
        <v>7</v>
      </c>
      <c r="M494" t="s">
        <v>8</v>
      </c>
      <c r="N494" t="s">
        <v>7</v>
      </c>
      <c r="P494">
        <f t="shared" si="935"/>
        <v>0.28780487804877941</v>
      </c>
      <c r="Q494">
        <f t="shared" si="936"/>
        <v>6406110536.5804634</v>
      </c>
      <c r="R494">
        <f t="shared" si="937"/>
        <v>150610452227.78659</v>
      </c>
      <c r="S494">
        <f t="shared" si="938"/>
        <v>1506104.5222778658</v>
      </c>
      <c r="T494">
        <f t="shared" si="939"/>
        <v>1506.1045222778657</v>
      </c>
    </row>
    <row r="495" spans="1:20" x14ac:dyDescent="0.25">
      <c r="A495" s="5">
        <v>44089</v>
      </c>
      <c r="B495">
        <v>3.4620000000000001E-4</v>
      </c>
      <c r="C495">
        <v>3.5139999999999998E-4</v>
      </c>
      <c r="D495">
        <v>3.3179999999999999E-4</v>
      </c>
      <c r="E495">
        <v>3.3290000000000001E-4</v>
      </c>
      <c r="F495">
        <v>17438832353</v>
      </c>
      <c r="G495">
        <v>0</v>
      </c>
      <c r="L495" t="s">
        <v>8</v>
      </c>
      <c r="M495" t="s">
        <v>8</v>
      </c>
      <c r="N495" t="s">
        <v>7</v>
      </c>
      <c r="P495">
        <f t="shared" si="935"/>
        <v>-0.88775510204081354</v>
      </c>
      <c r="Q495">
        <f t="shared" si="936"/>
        <v>-15481412395.010155</v>
      </c>
      <c r="R495">
        <f t="shared" si="937"/>
        <v>144204341691.20612</v>
      </c>
      <c r="S495">
        <f t="shared" si="938"/>
        <v>1442043.4169120612</v>
      </c>
      <c r="T495">
        <f t="shared" si="939"/>
        <v>1442.0434169120613</v>
      </c>
    </row>
    <row r="496" spans="1:20" x14ac:dyDescent="0.25">
      <c r="A496" s="5">
        <v>44088</v>
      </c>
      <c r="B496">
        <v>3.3990000000000002E-4</v>
      </c>
      <c r="C496">
        <v>3.5550000000000002E-4</v>
      </c>
      <c r="D496">
        <v>3.3129999999999998E-4</v>
      </c>
      <c r="E496">
        <v>3.4620000000000001E-4</v>
      </c>
      <c r="F496">
        <v>19940406018</v>
      </c>
      <c r="G496">
        <v>0</v>
      </c>
      <c r="L496" t="s">
        <v>7</v>
      </c>
      <c r="M496" t="s">
        <v>8</v>
      </c>
      <c r="N496" t="s">
        <v>7</v>
      </c>
      <c r="P496">
        <f t="shared" si="935"/>
        <v>0.23140495867768665</v>
      </c>
      <c r="Q496">
        <f t="shared" si="936"/>
        <v>4614308830.6115847</v>
      </c>
      <c r="R496">
        <f t="shared" si="937"/>
        <v>159685754086.21628</v>
      </c>
      <c r="S496">
        <f t="shared" si="938"/>
        <v>1596857.5408621628</v>
      </c>
      <c r="T496">
        <f t="shared" si="939"/>
        <v>1596.8575408621628</v>
      </c>
    </row>
    <row r="497" spans="1:20" x14ac:dyDescent="0.25">
      <c r="A497" s="5">
        <v>44087</v>
      </c>
      <c r="B497">
        <v>3.6069999999999999E-4</v>
      </c>
      <c r="C497">
        <v>3.635E-4</v>
      </c>
      <c r="D497">
        <v>3.3129999999999998E-4</v>
      </c>
      <c r="E497">
        <v>3.3990000000000002E-4</v>
      </c>
      <c r="F497">
        <v>17176809300</v>
      </c>
      <c r="G497">
        <v>0</v>
      </c>
      <c r="L497" t="s">
        <v>8</v>
      </c>
      <c r="M497" t="s">
        <v>8</v>
      </c>
      <c r="N497" t="s">
        <v>7</v>
      </c>
      <c r="P497">
        <f t="shared" si="935"/>
        <v>-0.46583850931676768</v>
      </c>
      <c r="Q497">
        <f t="shared" si="936"/>
        <v>-8001619239.1303921</v>
      </c>
      <c r="R497">
        <f t="shared" si="937"/>
        <v>155071445255.60471</v>
      </c>
      <c r="S497">
        <f t="shared" si="938"/>
        <v>1550714.4525560471</v>
      </c>
      <c r="T497">
        <f t="shared" si="939"/>
        <v>1550.714452556047</v>
      </c>
    </row>
    <row r="498" spans="1:20" x14ac:dyDescent="0.25">
      <c r="A498" s="5">
        <v>44086</v>
      </c>
      <c r="B498">
        <v>3.59E-4</v>
      </c>
      <c r="C498">
        <v>3.6900000000000002E-4</v>
      </c>
      <c r="D498">
        <v>3.5209999999999999E-4</v>
      </c>
      <c r="E498">
        <v>3.6059999999999998E-4</v>
      </c>
      <c r="F498">
        <v>17965596160</v>
      </c>
      <c r="G498">
        <v>0</v>
      </c>
      <c r="L498" t="s">
        <v>7</v>
      </c>
      <c r="M498" t="s">
        <v>8</v>
      </c>
      <c r="N498" t="s">
        <v>7</v>
      </c>
      <c r="P498">
        <f t="shared" si="935"/>
        <v>5.9171597633105345E-3</v>
      </c>
      <c r="Q498">
        <f t="shared" si="936"/>
        <v>106305302.72183825</v>
      </c>
      <c r="R498">
        <f t="shared" si="937"/>
        <v>163073064494.73511</v>
      </c>
      <c r="S498">
        <f t="shared" si="938"/>
        <v>1630730.6449473512</v>
      </c>
      <c r="T498">
        <f t="shared" si="939"/>
        <v>1630.7306449473513</v>
      </c>
    </row>
    <row r="499" spans="1:20" x14ac:dyDescent="0.25">
      <c r="A499" s="5">
        <v>44085</v>
      </c>
      <c r="B499">
        <v>3.5570000000000003E-4</v>
      </c>
      <c r="C499">
        <v>3.6989999999999999E-4</v>
      </c>
      <c r="D499">
        <v>3.4469999999999998E-4</v>
      </c>
      <c r="E499">
        <v>3.5940000000000001E-4</v>
      </c>
      <c r="F499">
        <v>20780849537</v>
      </c>
      <c r="G499">
        <v>0</v>
      </c>
      <c r="L499" t="s">
        <v>8</v>
      </c>
      <c r="M499" t="s">
        <v>8</v>
      </c>
      <c r="N499" t="s">
        <v>7</v>
      </c>
      <c r="P499">
        <f t="shared" si="935"/>
        <v>0.16666666666666846</v>
      </c>
      <c r="Q499">
        <f t="shared" si="936"/>
        <v>3463474922.8333707</v>
      </c>
      <c r="R499">
        <f t="shared" si="937"/>
        <v>162966759192.01328</v>
      </c>
      <c r="S499">
        <f t="shared" si="938"/>
        <v>1629667.5919201327</v>
      </c>
      <c r="T499">
        <f t="shared" si="939"/>
        <v>1629.6675919201327</v>
      </c>
    </row>
    <row r="500" spans="1:20" x14ac:dyDescent="0.25">
      <c r="A500" s="5">
        <v>44084</v>
      </c>
      <c r="B500">
        <v>3.5179999999999999E-4</v>
      </c>
      <c r="C500">
        <v>3.6390000000000001E-4</v>
      </c>
      <c r="D500">
        <v>3.4220000000000002E-4</v>
      </c>
      <c r="E500">
        <v>3.5540000000000002E-4</v>
      </c>
      <c r="F500">
        <v>17470464449</v>
      </c>
      <c r="G500">
        <v>0</v>
      </c>
      <c r="L500" t="s">
        <v>7</v>
      </c>
      <c r="M500" t="s">
        <v>8</v>
      </c>
      <c r="N500" t="s">
        <v>7</v>
      </c>
      <c r="P500">
        <f t="shared" si="935"/>
        <v>0.2165898617511525</v>
      </c>
      <c r="Q500">
        <f t="shared" si="936"/>
        <v>3783925479.7373347</v>
      </c>
      <c r="R500">
        <f t="shared" si="937"/>
        <v>159503284269.1799</v>
      </c>
      <c r="S500">
        <f t="shared" si="938"/>
        <v>1595032.8426917989</v>
      </c>
      <c r="T500">
        <f t="shared" si="939"/>
        <v>1595.032842691799</v>
      </c>
    </row>
    <row r="501" spans="1:20" x14ac:dyDescent="0.25">
      <c r="A501" s="5">
        <v>44083</v>
      </c>
      <c r="B501">
        <v>3.411E-4</v>
      </c>
      <c r="C501">
        <v>3.525E-4</v>
      </c>
      <c r="D501">
        <v>3.3300000000000002E-4</v>
      </c>
      <c r="E501">
        <v>3.5139999999999998E-4</v>
      </c>
      <c r="F501">
        <v>12088984737</v>
      </c>
      <c r="G501">
        <v>0</v>
      </c>
      <c r="L501" t="s">
        <v>8</v>
      </c>
      <c r="M501" t="s">
        <v>8</v>
      </c>
      <c r="N501" t="s">
        <v>7</v>
      </c>
      <c r="P501">
        <f t="shared" si="935"/>
        <v>0.88717948717948436</v>
      </c>
      <c r="Q501">
        <f t="shared" si="936"/>
        <v>10725099279.492273</v>
      </c>
      <c r="R501">
        <f t="shared" si="937"/>
        <v>155719358789.44257</v>
      </c>
      <c r="S501">
        <f t="shared" si="938"/>
        <v>1557193.5878944257</v>
      </c>
      <c r="T501">
        <f t="shared" si="939"/>
        <v>1557.1935878944257</v>
      </c>
    </row>
    <row r="502" spans="1:20" x14ac:dyDescent="0.25">
      <c r="A502" s="5">
        <v>44082</v>
      </c>
      <c r="B502">
        <v>3.3829999999999998E-4</v>
      </c>
      <c r="C502">
        <v>3.5129999999999997E-4</v>
      </c>
      <c r="D502">
        <v>3.2929999999999998E-4</v>
      </c>
      <c r="E502">
        <v>3.4160000000000001E-4</v>
      </c>
      <c r="F502">
        <v>20420085350</v>
      </c>
      <c r="G502">
        <v>0</v>
      </c>
      <c r="L502" t="s">
        <v>7</v>
      </c>
      <c r="M502" t="s">
        <v>8</v>
      </c>
      <c r="N502" t="s">
        <v>7</v>
      </c>
      <c r="P502">
        <f t="shared" si="935"/>
        <v>0.11818181818182109</v>
      </c>
      <c r="Q502">
        <f t="shared" si="936"/>
        <v>2413282814.0909686</v>
      </c>
      <c r="R502">
        <f t="shared" si="937"/>
        <v>144994259509.95029</v>
      </c>
      <c r="S502">
        <f t="shared" si="938"/>
        <v>1449942.5950995029</v>
      </c>
      <c r="T502">
        <f t="shared" si="939"/>
        <v>1449.942595099503</v>
      </c>
    </row>
    <row r="503" spans="1:20" x14ac:dyDescent="0.25">
      <c r="A503" s="5">
        <v>44081</v>
      </c>
      <c r="B503">
        <v>3.4180000000000001E-4</v>
      </c>
      <c r="C503">
        <v>3.5340000000000002E-4</v>
      </c>
      <c r="D503">
        <v>3.123E-4</v>
      </c>
      <c r="E503">
        <v>3.3849999999999999E-4</v>
      </c>
      <c r="F503">
        <v>18434996003</v>
      </c>
      <c r="G503">
        <v>0</v>
      </c>
      <c r="L503" t="s">
        <v>8</v>
      </c>
      <c r="M503" t="s">
        <v>8</v>
      </c>
      <c r="N503" t="s">
        <v>7</v>
      </c>
      <c r="P503">
        <f t="shared" si="935"/>
        <v>0.27493917274939034</v>
      </c>
      <c r="Q503">
        <f t="shared" si="936"/>
        <v>5068502550.7031374</v>
      </c>
      <c r="R503">
        <f t="shared" si="937"/>
        <v>142580976695.85931</v>
      </c>
      <c r="S503">
        <f t="shared" si="938"/>
        <v>1425809.7669585932</v>
      </c>
      <c r="T503">
        <f t="shared" si="939"/>
        <v>1425.8097669585932</v>
      </c>
    </row>
    <row r="504" spans="1:20" x14ac:dyDescent="0.25">
      <c r="A504" s="5">
        <v>44080</v>
      </c>
      <c r="B504">
        <v>3.4269999999999998E-4</v>
      </c>
      <c r="C504">
        <v>3.5540000000000002E-4</v>
      </c>
      <c r="D504">
        <v>3.0019999999999998E-4</v>
      </c>
      <c r="E504">
        <v>3.4170000000000001E-4</v>
      </c>
      <c r="F504">
        <v>11951010265</v>
      </c>
      <c r="G504">
        <v>0</v>
      </c>
      <c r="L504" t="s">
        <v>7</v>
      </c>
      <c r="M504" t="s">
        <v>7</v>
      </c>
      <c r="N504" t="s">
        <v>7</v>
      </c>
      <c r="P504">
        <f t="shared" si="935"/>
        <v>0.50362318840579723</v>
      </c>
      <c r="Q504">
        <f t="shared" si="936"/>
        <v>6018805894.3297119</v>
      </c>
      <c r="R504">
        <f t="shared" si="937"/>
        <v>137512474145.15619</v>
      </c>
      <c r="S504">
        <f t="shared" si="938"/>
        <v>1375124.7414515619</v>
      </c>
      <c r="T504">
        <f t="shared" si="939"/>
        <v>1375.1247414515619</v>
      </c>
    </row>
    <row r="505" spans="1:20" x14ac:dyDescent="0.25">
      <c r="A505" s="5">
        <v>44079</v>
      </c>
      <c r="B505">
        <v>3.9819999999999998E-4</v>
      </c>
      <c r="C505">
        <v>4.2999999999999999E-4</v>
      </c>
      <c r="D505">
        <v>3.2499999999999999E-4</v>
      </c>
      <c r="E505">
        <v>3.4269999999999998E-4</v>
      </c>
      <c r="F505">
        <v>18789666076</v>
      </c>
      <c r="G505">
        <v>0</v>
      </c>
      <c r="L505" t="s">
        <v>8</v>
      </c>
      <c r="M505" t="s">
        <v>7</v>
      </c>
      <c r="N505" t="s">
        <v>7</v>
      </c>
      <c r="P505">
        <f t="shared" si="935"/>
        <v>-0.66285714285714292</v>
      </c>
      <c r="Q505">
        <f t="shared" si="936"/>
        <v>-12454864370.377144</v>
      </c>
      <c r="R505">
        <f t="shared" si="937"/>
        <v>131493668250.82648</v>
      </c>
      <c r="S505">
        <f t="shared" si="938"/>
        <v>1314936.6825082647</v>
      </c>
      <c r="T505">
        <f t="shared" si="939"/>
        <v>1314.9366825082648</v>
      </c>
    </row>
    <row r="506" spans="1:20" x14ac:dyDescent="0.25">
      <c r="A506" s="5">
        <v>44078</v>
      </c>
      <c r="B506">
        <v>4.2920000000000002E-4</v>
      </c>
      <c r="C506">
        <v>4.393E-4</v>
      </c>
      <c r="D506">
        <v>3.6190000000000001E-4</v>
      </c>
      <c r="E506">
        <v>3.9819999999999998E-4</v>
      </c>
      <c r="F506">
        <v>20152986901</v>
      </c>
      <c r="G506">
        <v>0</v>
      </c>
      <c r="L506" t="s">
        <v>7</v>
      </c>
      <c r="M506" t="s">
        <v>7</v>
      </c>
      <c r="N506" t="s">
        <v>7</v>
      </c>
      <c r="P506">
        <f t="shared" si="935"/>
        <v>-6.201550387596981E-2</v>
      </c>
      <c r="Q506">
        <f t="shared" si="936"/>
        <v>-1249797637.2713344</v>
      </c>
      <c r="R506">
        <f t="shared" si="937"/>
        <v>143948532621.20361</v>
      </c>
      <c r="S506">
        <f t="shared" si="938"/>
        <v>1439485.3262120362</v>
      </c>
      <c r="T506">
        <f t="shared" si="939"/>
        <v>1439.4853262120362</v>
      </c>
    </row>
    <row r="507" spans="1:20" x14ac:dyDescent="0.25">
      <c r="A507" s="5">
        <v>44077</v>
      </c>
      <c r="B507">
        <v>4.1790000000000002E-4</v>
      </c>
      <c r="C507">
        <v>5.1630000000000003E-4</v>
      </c>
      <c r="D507">
        <v>3.992E-4</v>
      </c>
      <c r="E507">
        <v>4.2920000000000002E-4</v>
      </c>
      <c r="F507">
        <v>35416953788</v>
      </c>
      <c r="G507">
        <v>0</v>
      </c>
      <c r="L507" t="s">
        <v>8</v>
      </c>
      <c r="M507" t="s">
        <v>8</v>
      </c>
      <c r="N507" t="s">
        <v>8</v>
      </c>
      <c r="P507">
        <f t="shared" si="935"/>
        <v>-0.48761742100768546</v>
      </c>
      <c r="Q507">
        <f t="shared" si="936"/>
        <v>-17269923666.052937</v>
      </c>
      <c r="R507">
        <f t="shared" si="937"/>
        <v>145198330258.47495</v>
      </c>
      <c r="S507">
        <f t="shared" si="938"/>
        <v>1451983.3025847494</v>
      </c>
      <c r="T507">
        <f t="shared" si="939"/>
        <v>1451.9833025847495</v>
      </c>
    </row>
    <row r="508" spans="1:20" x14ac:dyDescent="0.25">
      <c r="A508" s="5">
        <v>44076</v>
      </c>
      <c r="B508">
        <v>4.5320000000000001E-4</v>
      </c>
      <c r="C508">
        <v>4.6200000000000001E-4</v>
      </c>
      <c r="D508">
        <v>4.0680000000000002E-4</v>
      </c>
      <c r="E508">
        <v>4.1810000000000003E-4</v>
      </c>
      <c r="F508">
        <v>27769455698</v>
      </c>
      <c r="G508">
        <v>0</v>
      </c>
      <c r="L508" t="s">
        <v>7</v>
      </c>
      <c r="M508" t="s">
        <v>8</v>
      </c>
      <c r="N508" t="s">
        <v>8</v>
      </c>
      <c r="P508">
        <f t="shared" si="935"/>
        <v>-0.59057971014492727</v>
      </c>
      <c r="Q508">
        <f t="shared" si="936"/>
        <v>-16400077097.007238</v>
      </c>
      <c r="R508">
        <f t="shared" si="937"/>
        <v>162468253924.52789</v>
      </c>
      <c r="S508">
        <f t="shared" si="938"/>
        <v>1624682.539245279</v>
      </c>
      <c r="T508">
        <f t="shared" si="939"/>
        <v>1624.682539245279</v>
      </c>
    </row>
    <row r="509" spans="1:20" x14ac:dyDescent="0.25">
      <c r="A509" s="5">
        <v>44075</v>
      </c>
      <c r="B509">
        <v>4.4850000000000001E-4</v>
      </c>
      <c r="C509">
        <v>4.5669999999999999E-4</v>
      </c>
      <c r="D509">
        <v>4.3100000000000001E-4</v>
      </c>
      <c r="E509">
        <v>4.5340000000000002E-4</v>
      </c>
      <c r="F509">
        <v>29119975818</v>
      </c>
      <c r="G509">
        <v>0</v>
      </c>
      <c r="L509" t="s">
        <v>8</v>
      </c>
      <c r="M509" t="s">
        <v>8</v>
      </c>
      <c r="N509" t="s">
        <v>8</v>
      </c>
      <c r="P509">
        <f t="shared" ref="P509:P572" si="940">IF(C509=D509,0,((E509-D509)-(C509-E509))/(C509-D509))</f>
        <v>0.74319066147860113</v>
      </c>
      <c r="Q509">
        <f t="shared" ref="Q509:Q572" si="941">F509*P509</f>
        <v>21641694090.420288</v>
      </c>
      <c r="R509">
        <f t="shared" ref="R509:R572" si="942">R510+Q509</f>
        <v>178868331021.53513</v>
      </c>
      <c r="S509">
        <f t="shared" ref="S509:S572" si="943">R509/100000</f>
        <v>1788683.3102153512</v>
      </c>
      <c r="T509">
        <f t="shared" ref="T509:T572" si="944">S509/1000</f>
        <v>1788.6833102153512</v>
      </c>
    </row>
    <row r="510" spans="1:20" x14ac:dyDescent="0.25">
      <c r="A510" s="5">
        <v>44074</v>
      </c>
      <c r="B510">
        <v>4.5810000000000002E-4</v>
      </c>
      <c r="C510">
        <v>4.6910000000000002E-4</v>
      </c>
      <c r="D510">
        <v>4.4329999999999999E-4</v>
      </c>
      <c r="E510">
        <v>4.482E-4</v>
      </c>
      <c r="F510">
        <v>27996224032</v>
      </c>
      <c r="G510">
        <v>0</v>
      </c>
      <c r="L510" t="s">
        <v>7</v>
      </c>
      <c r="M510" t="s">
        <v>8</v>
      </c>
      <c r="N510" t="s">
        <v>8</v>
      </c>
      <c r="P510">
        <f t="shared" si="940"/>
        <v>-0.62015503875968958</v>
      </c>
      <c r="Q510">
        <f t="shared" si="941"/>
        <v>-17361999399.689915</v>
      </c>
      <c r="R510">
        <f t="shared" si="942"/>
        <v>157226636931.11484</v>
      </c>
      <c r="S510">
        <f t="shared" si="943"/>
        <v>1572266.3693111483</v>
      </c>
      <c r="T510">
        <f t="shared" si="944"/>
        <v>1572.2663693111483</v>
      </c>
    </row>
    <row r="511" spans="1:20" x14ac:dyDescent="0.25">
      <c r="A511" s="5">
        <v>44073</v>
      </c>
      <c r="B511">
        <v>4.4759999999999998E-4</v>
      </c>
      <c r="C511">
        <v>4.6319999999999998E-4</v>
      </c>
      <c r="D511">
        <v>4.4059999999999998E-4</v>
      </c>
      <c r="E511">
        <v>4.5839999999999998E-4</v>
      </c>
      <c r="F511">
        <v>21001151497</v>
      </c>
      <c r="G511">
        <v>0</v>
      </c>
      <c r="L511" t="s">
        <v>8</v>
      </c>
      <c r="M511" t="s">
        <v>8</v>
      </c>
      <c r="N511" t="s">
        <v>8</v>
      </c>
      <c r="P511">
        <f t="shared" si="940"/>
        <v>0.57522123893805255</v>
      </c>
      <c r="Q511">
        <f t="shared" si="941"/>
        <v>12080308383.230078</v>
      </c>
      <c r="R511">
        <f t="shared" si="942"/>
        <v>174588636330.80475</v>
      </c>
      <c r="S511">
        <f t="shared" si="943"/>
        <v>1745886.3633080474</v>
      </c>
      <c r="T511">
        <f t="shared" si="944"/>
        <v>1745.8863633080475</v>
      </c>
    </row>
    <row r="512" spans="1:20" x14ac:dyDescent="0.25">
      <c r="A512" s="5">
        <v>44072</v>
      </c>
      <c r="B512">
        <v>4.2939999999999997E-4</v>
      </c>
      <c r="C512">
        <v>4.7360000000000002E-4</v>
      </c>
      <c r="D512">
        <v>4.2910000000000002E-4</v>
      </c>
      <c r="E512">
        <v>4.4769999999999999E-4</v>
      </c>
      <c r="F512">
        <v>22326214485</v>
      </c>
      <c r="G512">
        <v>0</v>
      </c>
      <c r="L512" t="s">
        <v>7</v>
      </c>
      <c r="M512" t="s">
        <v>8</v>
      </c>
      <c r="N512" t="s">
        <v>8</v>
      </c>
      <c r="P512">
        <f t="shared" si="940"/>
        <v>-0.16404494382022627</v>
      </c>
      <c r="Q512">
        <f t="shared" si="941"/>
        <v>-3662502600.9101472</v>
      </c>
      <c r="R512">
        <f t="shared" si="942"/>
        <v>162508327947.57468</v>
      </c>
      <c r="S512">
        <f t="shared" si="943"/>
        <v>1625083.2794757467</v>
      </c>
      <c r="T512">
        <f t="shared" si="944"/>
        <v>1625.0832794757466</v>
      </c>
    </row>
    <row r="513" spans="1:20" x14ac:dyDescent="0.25">
      <c r="A513" s="5">
        <v>44071</v>
      </c>
      <c r="B513">
        <v>4.1009999999999999E-4</v>
      </c>
      <c r="C513">
        <v>4.3009999999999999E-4</v>
      </c>
      <c r="D513">
        <v>4.0529999999999999E-4</v>
      </c>
      <c r="E513">
        <v>4.2989999999999999E-4</v>
      </c>
      <c r="F513">
        <v>4643777370</v>
      </c>
      <c r="G513">
        <v>0</v>
      </c>
      <c r="L513" t="s">
        <v>8</v>
      </c>
      <c r="M513" t="s">
        <v>7</v>
      </c>
      <c r="N513" t="s">
        <v>8</v>
      </c>
      <c r="P513">
        <f t="shared" si="940"/>
        <v>0.98387096774193505</v>
      </c>
      <c r="Q513">
        <f t="shared" si="941"/>
        <v>4568877734.9999981</v>
      </c>
      <c r="R513">
        <f t="shared" si="942"/>
        <v>166170830548.48483</v>
      </c>
      <c r="S513">
        <f t="shared" si="943"/>
        <v>1661708.3054848483</v>
      </c>
      <c r="T513">
        <f t="shared" si="944"/>
        <v>1661.7083054848483</v>
      </c>
    </row>
    <row r="514" spans="1:20" x14ac:dyDescent="0.25">
      <c r="A514" s="5">
        <v>44070</v>
      </c>
      <c r="B514">
        <v>4.194E-4</v>
      </c>
      <c r="C514">
        <v>4.28E-4</v>
      </c>
      <c r="D514">
        <v>4.0000000000000002E-4</v>
      </c>
      <c r="E514">
        <v>4.1009999999999999E-4</v>
      </c>
      <c r="F514">
        <v>4749488488</v>
      </c>
      <c r="G514">
        <v>0</v>
      </c>
      <c r="L514" t="s">
        <v>7</v>
      </c>
      <c r="M514" t="s">
        <v>7</v>
      </c>
      <c r="N514" t="s">
        <v>8</v>
      </c>
      <c r="P514">
        <f t="shared" si="940"/>
        <v>-0.2785714285714298</v>
      </c>
      <c r="Q514">
        <f t="shared" si="941"/>
        <v>-1323071793.0857201</v>
      </c>
      <c r="R514">
        <f t="shared" si="942"/>
        <v>161601952813.48483</v>
      </c>
      <c r="S514">
        <f t="shared" si="943"/>
        <v>1616019.5281348482</v>
      </c>
      <c r="T514">
        <f t="shared" si="944"/>
        <v>1616.0195281348483</v>
      </c>
    </row>
    <row r="515" spans="1:20" x14ac:dyDescent="0.25">
      <c r="A515" s="5">
        <v>44069</v>
      </c>
      <c r="B515">
        <v>4.0779999999999999E-4</v>
      </c>
      <c r="C515">
        <v>4.2900000000000002E-4</v>
      </c>
      <c r="D515">
        <v>4.0470000000000002E-4</v>
      </c>
      <c r="E515">
        <v>4.1960000000000001E-4</v>
      </c>
      <c r="F515">
        <v>2794527206</v>
      </c>
      <c r="G515">
        <v>0</v>
      </c>
      <c r="L515" t="s">
        <v>8</v>
      </c>
      <c r="M515" t="s">
        <v>7</v>
      </c>
      <c r="N515" t="s">
        <v>8</v>
      </c>
      <c r="P515">
        <f t="shared" si="940"/>
        <v>0.22633744855966964</v>
      </c>
      <c r="Q515">
        <f t="shared" si="941"/>
        <v>632506157.73662233</v>
      </c>
      <c r="R515">
        <f t="shared" si="942"/>
        <v>162925024606.57056</v>
      </c>
      <c r="S515">
        <f t="shared" si="943"/>
        <v>1629250.2460657055</v>
      </c>
      <c r="T515">
        <f t="shared" si="944"/>
        <v>1629.2502460657056</v>
      </c>
    </row>
    <row r="516" spans="1:20" x14ac:dyDescent="0.25">
      <c r="A516" s="5">
        <v>44068</v>
      </c>
      <c r="B516">
        <v>4.3560000000000002E-4</v>
      </c>
      <c r="C516">
        <v>4.3659999999999999E-4</v>
      </c>
      <c r="D516">
        <v>3.9599999999999998E-4</v>
      </c>
      <c r="E516">
        <v>4.0769999999999999E-4</v>
      </c>
      <c r="F516">
        <v>3830701395</v>
      </c>
      <c r="G516">
        <v>0</v>
      </c>
      <c r="L516" t="s">
        <v>7</v>
      </c>
      <c r="M516" t="s">
        <v>7</v>
      </c>
      <c r="N516" t="s">
        <v>8</v>
      </c>
      <c r="P516">
        <f t="shared" si="940"/>
        <v>-0.42364532019704382</v>
      </c>
      <c r="Q516">
        <f t="shared" si="941"/>
        <v>-1622858719.0640373</v>
      </c>
      <c r="R516">
        <f t="shared" si="942"/>
        <v>162292518448.83392</v>
      </c>
      <c r="S516">
        <f t="shared" si="943"/>
        <v>1622925.1844883393</v>
      </c>
      <c r="T516">
        <f t="shared" si="944"/>
        <v>1622.9251844883393</v>
      </c>
    </row>
    <row r="517" spans="1:20" x14ac:dyDescent="0.25">
      <c r="A517" s="5">
        <v>44067</v>
      </c>
      <c r="B517">
        <v>4.1679999999999999E-4</v>
      </c>
      <c r="C517">
        <v>4.4299999999999998E-4</v>
      </c>
      <c r="D517">
        <v>4.1540000000000001E-4</v>
      </c>
      <c r="E517">
        <v>4.3520000000000001E-4</v>
      </c>
      <c r="F517">
        <v>3334227617</v>
      </c>
      <c r="G517">
        <v>0</v>
      </c>
      <c r="L517" t="s">
        <v>8</v>
      </c>
      <c r="M517" t="s">
        <v>7</v>
      </c>
      <c r="N517" t="s">
        <v>8</v>
      </c>
      <c r="P517">
        <f t="shared" si="940"/>
        <v>0.43478260869565344</v>
      </c>
      <c r="Q517">
        <f t="shared" si="941"/>
        <v>1449664181.304352</v>
      </c>
      <c r="R517">
        <f t="shared" si="942"/>
        <v>163915377167.89795</v>
      </c>
      <c r="S517">
        <f t="shared" si="943"/>
        <v>1639153.7716789795</v>
      </c>
      <c r="T517">
        <f t="shared" si="944"/>
        <v>1639.1537716789794</v>
      </c>
    </row>
    <row r="518" spans="1:20" x14ac:dyDescent="0.25">
      <c r="A518" s="5">
        <v>44066</v>
      </c>
      <c r="B518">
        <v>4.303E-4</v>
      </c>
      <c r="C518">
        <v>4.3199999999999998E-4</v>
      </c>
      <c r="D518">
        <v>4.0739999999999998E-4</v>
      </c>
      <c r="E518">
        <v>4.171E-4</v>
      </c>
      <c r="F518">
        <v>2605250556</v>
      </c>
      <c r="G518">
        <v>0</v>
      </c>
      <c r="L518" t="s">
        <v>7</v>
      </c>
      <c r="M518" t="s">
        <v>7</v>
      </c>
      <c r="N518" t="s">
        <v>8</v>
      </c>
      <c r="P518">
        <f t="shared" si="940"/>
        <v>-0.21138211382113672</v>
      </c>
      <c r="Q518">
        <f t="shared" si="941"/>
        <v>-550703369.56097174</v>
      </c>
      <c r="R518">
        <f t="shared" si="942"/>
        <v>162465712986.5936</v>
      </c>
      <c r="S518">
        <f t="shared" si="943"/>
        <v>1624657.129865936</v>
      </c>
      <c r="T518">
        <f t="shared" si="944"/>
        <v>1624.657129865936</v>
      </c>
    </row>
    <row r="519" spans="1:20" x14ac:dyDescent="0.25">
      <c r="A519" s="5">
        <v>44065</v>
      </c>
      <c r="B519">
        <v>4.258E-4</v>
      </c>
      <c r="C519">
        <v>4.3070000000000001E-4</v>
      </c>
      <c r="D519">
        <v>3.9950000000000001E-4</v>
      </c>
      <c r="E519">
        <v>4.304E-4</v>
      </c>
      <c r="F519">
        <v>3589361830</v>
      </c>
      <c r="G519">
        <v>0</v>
      </c>
      <c r="L519" t="s">
        <v>8</v>
      </c>
      <c r="M519" t="s">
        <v>7</v>
      </c>
      <c r="N519" t="s">
        <v>8</v>
      </c>
      <c r="P519">
        <f t="shared" si="940"/>
        <v>0.98076923076923028</v>
      </c>
      <c r="Q519">
        <f t="shared" si="941"/>
        <v>3520335640.9615369</v>
      </c>
      <c r="R519">
        <f t="shared" si="942"/>
        <v>163016416356.15457</v>
      </c>
      <c r="S519">
        <f t="shared" si="943"/>
        <v>1630164.1635615458</v>
      </c>
      <c r="T519">
        <f t="shared" si="944"/>
        <v>1630.1641635615458</v>
      </c>
    </row>
    <row r="520" spans="1:20" x14ac:dyDescent="0.25">
      <c r="A520" s="5">
        <v>44064</v>
      </c>
      <c r="B520">
        <v>4.6710000000000002E-4</v>
      </c>
      <c r="C520">
        <v>4.7429999999999998E-4</v>
      </c>
      <c r="D520">
        <v>4.238E-4</v>
      </c>
      <c r="E520">
        <v>4.2509999999999998E-4</v>
      </c>
      <c r="F520">
        <v>5972647026</v>
      </c>
      <c r="G520">
        <v>0</v>
      </c>
      <c r="L520" t="s">
        <v>7</v>
      </c>
      <c r="M520" t="s">
        <v>7</v>
      </c>
      <c r="N520" t="s">
        <v>8</v>
      </c>
      <c r="P520">
        <f t="shared" si="940"/>
        <v>-0.94851485148514936</v>
      </c>
      <c r="Q520">
        <f t="shared" si="941"/>
        <v>-5665144406.8396091</v>
      </c>
      <c r="R520">
        <f t="shared" si="942"/>
        <v>159496080715.19302</v>
      </c>
      <c r="S520">
        <f t="shared" si="943"/>
        <v>1594960.8071519302</v>
      </c>
      <c r="T520">
        <f t="shared" si="944"/>
        <v>1594.9608071519301</v>
      </c>
    </row>
    <row r="521" spans="1:20" x14ac:dyDescent="0.25">
      <c r="A521" s="5">
        <v>44063</v>
      </c>
      <c r="B521">
        <v>4.6799999999999999E-4</v>
      </c>
      <c r="C521">
        <v>4.839E-4</v>
      </c>
      <c r="D521">
        <v>4.6210000000000001E-4</v>
      </c>
      <c r="E521">
        <v>4.6670000000000001E-4</v>
      </c>
      <c r="F521">
        <v>4391328505</v>
      </c>
      <c r="G521">
        <v>0</v>
      </c>
      <c r="L521" t="s">
        <v>8</v>
      </c>
      <c r="M521" t="s">
        <v>7</v>
      </c>
      <c r="N521" t="s">
        <v>8</v>
      </c>
      <c r="P521">
        <f t="shared" si="940"/>
        <v>-0.57798165137614621</v>
      </c>
      <c r="Q521">
        <f t="shared" si="941"/>
        <v>-2538107301.0550432</v>
      </c>
      <c r="R521">
        <f t="shared" si="942"/>
        <v>165161225122.03262</v>
      </c>
      <c r="S521">
        <f t="shared" si="943"/>
        <v>1651612.2512203262</v>
      </c>
      <c r="T521">
        <f t="shared" si="944"/>
        <v>1651.6122512203262</v>
      </c>
    </row>
    <row r="522" spans="1:20" x14ac:dyDescent="0.25">
      <c r="A522" s="5">
        <v>44062</v>
      </c>
      <c r="B522">
        <v>4.8149999999999999E-4</v>
      </c>
      <c r="C522">
        <v>4.8879999999999996E-4</v>
      </c>
      <c r="D522">
        <v>4.4200000000000001E-4</v>
      </c>
      <c r="E522">
        <v>4.6799999999999999E-4</v>
      </c>
      <c r="F522">
        <v>6887251894</v>
      </c>
      <c r="G522">
        <v>0</v>
      </c>
      <c r="L522" t="s">
        <v>7</v>
      </c>
      <c r="M522" t="s">
        <v>7</v>
      </c>
      <c r="N522" t="s">
        <v>8</v>
      </c>
      <c r="P522">
        <f t="shared" si="940"/>
        <v>0.11111111111111163</v>
      </c>
      <c r="Q522">
        <f t="shared" si="941"/>
        <v>765250210.44444799</v>
      </c>
      <c r="R522">
        <f t="shared" si="942"/>
        <v>167699332423.08768</v>
      </c>
      <c r="S522">
        <f t="shared" si="943"/>
        <v>1676993.3242308768</v>
      </c>
      <c r="T522">
        <f t="shared" si="944"/>
        <v>1676.9933242308769</v>
      </c>
    </row>
    <row r="523" spans="1:20" x14ac:dyDescent="0.25">
      <c r="A523" s="5">
        <v>44061</v>
      </c>
      <c r="B523">
        <v>5.3689999999999999E-4</v>
      </c>
      <c r="C523">
        <v>5.488E-4</v>
      </c>
      <c r="D523">
        <v>4.6710000000000002E-4</v>
      </c>
      <c r="E523">
        <v>4.816E-4</v>
      </c>
      <c r="F523">
        <v>9210612652</v>
      </c>
      <c r="G523">
        <v>0</v>
      </c>
      <c r="L523" t="s">
        <v>8</v>
      </c>
      <c r="M523" t="s">
        <v>8</v>
      </c>
      <c r="N523" t="s">
        <v>8</v>
      </c>
      <c r="P523">
        <f t="shared" si="940"/>
        <v>-0.64504283965728326</v>
      </c>
      <c r="Q523">
        <f t="shared" si="941"/>
        <v>-5941239740.0293808</v>
      </c>
      <c r="R523">
        <f t="shared" si="942"/>
        <v>166934082212.64322</v>
      </c>
      <c r="S523">
        <f t="shared" si="943"/>
        <v>1669340.8221264321</v>
      </c>
      <c r="T523">
        <f t="shared" si="944"/>
        <v>1669.3408221264322</v>
      </c>
    </row>
    <row r="524" spans="1:20" x14ac:dyDescent="0.25">
      <c r="A524" s="5">
        <v>44060</v>
      </c>
      <c r="B524">
        <v>5.1690000000000004E-4</v>
      </c>
      <c r="C524">
        <v>5.5349999999999996E-4</v>
      </c>
      <c r="D524">
        <v>5.0140000000000004E-4</v>
      </c>
      <c r="E524">
        <v>5.3529999999999995E-4</v>
      </c>
      <c r="F524">
        <v>11197848100</v>
      </c>
      <c r="G524">
        <v>0</v>
      </c>
      <c r="L524" t="s">
        <v>7</v>
      </c>
      <c r="M524" t="s">
        <v>8</v>
      </c>
      <c r="N524" t="s">
        <v>8</v>
      </c>
      <c r="P524">
        <f t="shared" si="940"/>
        <v>0.30134357005758006</v>
      </c>
      <c r="Q524">
        <f t="shared" si="941"/>
        <v>3374399523.4164896</v>
      </c>
      <c r="R524">
        <f t="shared" si="942"/>
        <v>172875321952.67261</v>
      </c>
      <c r="S524">
        <f t="shared" si="943"/>
        <v>1728753.2195267261</v>
      </c>
      <c r="T524">
        <f t="shared" si="944"/>
        <v>1728.7532195267261</v>
      </c>
    </row>
    <row r="525" spans="1:20" x14ac:dyDescent="0.25">
      <c r="A525" s="5">
        <v>44059</v>
      </c>
      <c r="B525">
        <v>4.6900000000000002E-4</v>
      </c>
      <c r="C525">
        <v>5.3240000000000004E-4</v>
      </c>
      <c r="D525">
        <v>4.6210000000000001E-4</v>
      </c>
      <c r="E525">
        <v>5.1659999999999998E-4</v>
      </c>
      <c r="F525">
        <v>13172605647</v>
      </c>
      <c r="G525">
        <v>0</v>
      </c>
      <c r="L525" t="s">
        <v>8</v>
      </c>
      <c r="M525" t="s">
        <v>8</v>
      </c>
      <c r="N525" t="s">
        <v>8</v>
      </c>
      <c r="P525">
        <f t="shared" si="940"/>
        <v>0.55049786628733843</v>
      </c>
      <c r="Q525">
        <f t="shared" si="941"/>
        <v>7251491302.1180449</v>
      </c>
      <c r="R525">
        <f t="shared" si="942"/>
        <v>169500922429.2561</v>
      </c>
      <c r="S525">
        <f t="shared" si="943"/>
        <v>1695009.2242925609</v>
      </c>
      <c r="T525">
        <f t="shared" si="944"/>
        <v>1695.0092242925609</v>
      </c>
    </row>
    <row r="526" spans="1:20" x14ac:dyDescent="0.25">
      <c r="A526" s="5">
        <v>44058</v>
      </c>
      <c r="B526">
        <v>4.705E-4</v>
      </c>
      <c r="C526">
        <v>4.8000000000000001E-4</v>
      </c>
      <c r="D526">
        <v>4.5970000000000001E-4</v>
      </c>
      <c r="E526">
        <v>4.683E-4</v>
      </c>
      <c r="F526">
        <v>4385248712</v>
      </c>
      <c r="G526">
        <v>0</v>
      </c>
      <c r="L526" t="s">
        <v>7</v>
      </c>
      <c r="M526" t="s">
        <v>8</v>
      </c>
      <c r="N526" t="s">
        <v>8</v>
      </c>
      <c r="P526">
        <f t="shared" si="940"/>
        <v>-0.15270935960591234</v>
      </c>
      <c r="Q526">
        <f t="shared" si="941"/>
        <v>-669668522.52217185</v>
      </c>
      <c r="R526">
        <f t="shared" si="942"/>
        <v>162249431127.13806</v>
      </c>
      <c r="S526">
        <f t="shared" si="943"/>
        <v>1622494.3112713806</v>
      </c>
      <c r="T526">
        <f t="shared" si="944"/>
        <v>1622.4943112713806</v>
      </c>
    </row>
    <row r="527" spans="1:20" x14ac:dyDescent="0.25">
      <c r="A527" s="5">
        <v>44057</v>
      </c>
      <c r="B527">
        <v>4.5439999999999999E-4</v>
      </c>
      <c r="C527">
        <v>4.86E-4</v>
      </c>
      <c r="D527">
        <v>4.5399999999999998E-4</v>
      </c>
      <c r="E527">
        <v>4.705E-4</v>
      </c>
      <c r="F527">
        <v>6829465741</v>
      </c>
      <c r="G527">
        <v>0</v>
      </c>
      <c r="L527" t="s">
        <v>8</v>
      </c>
      <c r="M527" t="s">
        <v>8</v>
      </c>
      <c r="N527" t="s">
        <v>8</v>
      </c>
      <c r="P527">
        <f t="shared" si="940"/>
        <v>3.1250000000000742E-2</v>
      </c>
      <c r="Q527">
        <f t="shared" si="941"/>
        <v>213420804.40625507</v>
      </c>
      <c r="R527">
        <f t="shared" si="942"/>
        <v>162919099649.66025</v>
      </c>
      <c r="S527">
        <f t="shared" si="943"/>
        <v>1629190.9964966024</v>
      </c>
      <c r="T527">
        <f t="shared" si="944"/>
        <v>1629.1909964966023</v>
      </c>
    </row>
    <row r="528" spans="1:20" x14ac:dyDescent="0.25">
      <c r="A528" s="5">
        <v>44056</v>
      </c>
      <c r="B528">
        <v>4.5520000000000001E-4</v>
      </c>
      <c r="C528">
        <v>4.6999999999999999E-4</v>
      </c>
      <c r="D528">
        <v>4.2999999999999999E-4</v>
      </c>
      <c r="E528">
        <v>4.5429999999999998E-4</v>
      </c>
      <c r="F528">
        <v>6556095912</v>
      </c>
      <c r="G528">
        <v>0</v>
      </c>
      <c r="L528" t="s">
        <v>7</v>
      </c>
      <c r="M528" t="s">
        <v>8</v>
      </c>
      <c r="N528" t="s">
        <v>8</v>
      </c>
      <c r="P528">
        <f t="shared" si="940"/>
        <v>0.21499999999999983</v>
      </c>
      <c r="Q528">
        <f t="shared" si="941"/>
        <v>1409560621.079999</v>
      </c>
      <c r="R528">
        <f t="shared" si="942"/>
        <v>162705678845.254</v>
      </c>
      <c r="S528">
        <f t="shared" si="943"/>
        <v>1627056.7884525401</v>
      </c>
      <c r="T528">
        <f t="shared" si="944"/>
        <v>1627.0567884525401</v>
      </c>
    </row>
    <row r="529" spans="1:20" x14ac:dyDescent="0.25">
      <c r="A529" s="5">
        <v>44055</v>
      </c>
      <c r="B529">
        <v>4.3540000000000001E-4</v>
      </c>
      <c r="C529">
        <v>4.6329999999999999E-4</v>
      </c>
      <c r="D529">
        <v>4.17E-4</v>
      </c>
      <c r="E529">
        <v>4.5560000000000002E-4</v>
      </c>
      <c r="F529">
        <v>6708133655</v>
      </c>
      <c r="G529">
        <v>0</v>
      </c>
      <c r="L529" t="s">
        <v>8</v>
      </c>
      <c r="M529" t="s">
        <v>8</v>
      </c>
      <c r="N529" t="s">
        <v>8</v>
      </c>
      <c r="P529">
        <f t="shared" si="940"/>
        <v>0.66738660907127545</v>
      </c>
      <c r="Q529">
        <f t="shared" si="941"/>
        <v>4476918573.2073507</v>
      </c>
      <c r="R529">
        <f t="shared" si="942"/>
        <v>161296118224.17401</v>
      </c>
      <c r="S529">
        <f t="shared" si="943"/>
        <v>1612961.1822417402</v>
      </c>
      <c r="T529">
        <f t="shared" si="944"/>
        <v>1612.9611822417401</v>
      </c>
    </row>
    <row r="530" spans="1:20" x14ac:dyDescent="0.25">
      <c r="A530" s="5">
        <v>44054</v>
      </c>
      <c r="B530">
        <v>4.7560000000000001E-4</v>
      </c>
      <c r="C530">
        <v>4.7790000000000002E-4</v>
      </c>
      <c r="D530">
        <v>4.2279999999999998E-4</v>
      </c>
      <c r="E530">
        <v>4.3540000000000001E-4</v>
      </c>
      <c r="F530">
        <v>9279486748</v>
      </c>
      <c r="G530">
        <v>0</v>
      </c>
      <c r="L530" t="s">
        <v>7</v>
      </c>
      <c r="M530" t="s">
        <v>8</v>
      </c>
      <c r="N530" t="s">
        <v>8</v>
      </c>
      <c r="P530">
        <f t="shared" si="940"/>
        <v>-0.54264972776769416</v>
      </c>
      <c r="Q530">
        <f t="shared" si="941"/>
        <v>-5035510957.6261253</v>
      </c>
      <c r="R530">
        <f t="shared" si="942"/>
        <v>156819199650.96667</v>
      </c>
      <c r="S530">
        <f t="shared" si="943"/>
        <v>1568191.9965096668</v>
      </c>
      <c r="T530">
        <f t="shared" si="944"/>
        <v>1568.1919965096668</v>
      </c>
    </row>
    <row r="531" spans="1:20" x14ac:dyDescent="0.25">
      <c r="A531" s="5">
        <v>44053</v>
      </c>
      <c r="B531">
        <v>4.2269999999999997E-4</v>
      </c>
      <c r="C531">
        <v>4.9299999999999995E-4</v>
      </c>
      <c r="D531">
        <v>4.15E-4</v>
      </c>
      <c r="E531">
        <v>4.7560000000000001E-4</v>
      </c>
      <c r="F531">
        <v>16452278616</v>
      </c>
      <c r="G531">
        <v>0</v>
      </c>
      <c r="L531" t="s">
        <v>8</v>
      </c>
      <c r="M531" t="s">
        <v>8</v>
      </c>
      <c r="N531" t="s">
        <v>8</v>
      </c>
      <c r="P531">
        <f t="shared" si="940"/>
        <v>0.55384615384615521</v>
      </c>
      <c r="Q531">
        <f t="shared" si="941"/>
        <v>9112031233.4769459</v>
      </c>
      <c r="R531">
        <f t="shared" si="942"/>
        <v>161854710608.5928</v>
      </c>
      <c r="S531">
        <f t="shared" si="943"/>
        <v>1618547.1060859279</v>
      </c>
      <c r="T531">
        <f t="shared" si="944"/>
        <v>1618.5471060859279</v>
      </c>
    </row>
    <row r="532" spans="1:20" x14ac:dyDescent="0.25">
      <c r="A532" s="5">
        <v>44052</v>
      </c>
      <c r="B532">
        <v>4.3760000000000001E-4</v>
      </c>
      <c r="C532">
        <v>4.3770000000000001E-4</v>
      </c>
      <c r="D532">
        <v>4.15E-4</v>
      </c>
      <c r="E532">
        <v>4.2269999999999997E-4</v>
      </c>
      <c r="F532">
        <v>4063796166</v>
      </c>
      <c r="G532">
        <v>0</v>
      </c>
      <c r="L532" t="s">
        <v>7</v>
      </c>
      <c r="M532" t="s">
        <v>8</v>
      </c>
      <c r="N532" t="s">
        <v>8</v>
      </c>
      <c r="P532">
        <f t="shared" si="940"/>
        <v>-0.32158590308370333</v>
      </c>
      <c r="Q532">
        <f t="shared" si="941"/>
        <v>-1306859559.9912012</v>
      </c>
      <c r="R532">
        <f t="shared" si="942"/>
        <v>152742679375.11584</v>
      </c>
      <c r="S532">
        <f t="shared" si="943"/>
        <v>1527426.7937511585</v>
      </c>
      <c r="T532">
        <f t="shared" si="944"/>
        <v>1527.4267937511586</v>
      </c>
    </row>
    <row r="533" spans="1:20" x14ac:dyDescent="0.25">
      <c r="A533" s="5">
        <v>44051</v>
      </c>
      <c r="B533">
        <v>4.0250000000000003E-4</v>
      </c>
      <c r="C533">
        <v>4.4789999999999999E-4</v>
      </c>
      <c r="D533">
        <v>3.9829999999999998E-4</v>
      </c>
      <c r="E533">
        <v>4.3750000000000001E-4</v>
      </c>
      <c r="F533">
        <v>10194495676</v>
      </c>
      <c r="G533">
        <v>0</v>
      </c>
      <c r="L533" t="s">
        <v>8</v>
      </c>
      <c r="M533" t="s">
        <v>8</v>
      </c>
      <c r="N533" t="s">
        <v>8</v>
      </c>
      <c r="P533">
        <f t="shared" si="940"/>
        <v>0.5806451612903234</v>
      </c>
      <c r="Q533">
        <f t="shared" si="941"/>
        <v>5919384586.0645247</v>
      </c>
      <c r="R533">
        <f t="shared" si="942"/>
        <v>154049538935.10706</v>
      </c>
      <c r="S533">
        <f t="shared" si="943"/>
        <v>1540495.3893510706</v>
      </c>
      <c r="T533">
        <f t="shared" si="944"/>
        <v>1540.4953893510706</v>
      </c>
    </row>
    <row r="534" spans="1:20" x14ac:dyDescent="0.25">
      <c r="A534" s="5">
        <v>44050</v>
      </c>
      <c r="B534">
        <v>4.192E-4</v>
      </c>
      <c r="C534">
        <v>4.2089999999999999E-4</v>
      </c>
      <c r="D534">
        <v>3.9409999999999998E-4</v>
      </c>
      <c r="E534">
        <v>4.0259999999999997E-4</v>
      </c>
      <c r="F534">
        <v>5311830679</v>
      </c>
      <c r="G534">
        <v>0</v>
      </c>
      <c r="L534" t="s">
        <v>7</v>
      </c>
      <c r="M534" t="s">
        <v>7</v>
      </c>
      <c r="N534" t="s">
        <v>8</v>
      </c>
      <c r="P534">
        <f t="shared" si="940"/>
        <v>-0.36567164179104555</v>
      </c>
      <c r="Q534">
        <f t="shared" si="941"/>
        <v>-1942385845.3059742</v>
      </c>
      <c r="R534">
        <f t="shared" si="942"/>
        <v>148130154349.04254</v>
      </c>
      <c r="S534">
        <f t="shared" si="943"/>
        <v>1481301.5434904255</v>
      </c>
      <c r="T534">
        <f t="shared" si="944"/>
        <v>1481.3015434904255</v>
      </c>
    </row>
    <row r="535" spans="1:20" x14ac:dyDescent="0.25">
      <c r="A535" s="5">
        <v>44049</v>
      </c>
      <c r="B535">
        <v>3.9070000000000001E-4</v>
      </c>
      <c r="C535">
        <v>4.2499999999999998E-4</v>
      </c>
      <c r="D535">
        <v>3.8699999999999997E-4</v>
      </c>
      <c r="E535">
        <v>4.1950000000000001E-4</v>
      </c>
      <c r="F535">
        <v>6228410948</v>
      </c>
      <c r="G535">
        <v>0</v>
      </c>
      <c r="L535" t="s">
        <v>8</v>
      </c>
      <c r="M535" t="s">
        <v>7</v>
      </c>
      <c r="N535" t="s">
        <v>8</v>
      </c>
      <c r="P535">
        <f t="shared" si="940"/>
        <v>0.71052631578947523</v>
      </c>
      <c r="Q535">
        <f t="shared" si="941"/>
        <v>4425449884.1052723</v>
      </c>
      <c r="R535">
        <f t="shared" si="942"/>
        <v>150072540194.34851</v>
      </c>
      <c r="S535">
        <f t="shared" si="943"/>
        <v>1500725.401943485</v>
      </c>
      <c r="T535">
        <f t="shared" si="944"/>
        <v>1500.7254019434849</v>
      </c>
    </row>
    <row r="536" spans="1:20" x14ac:dyDescent="0.25">
      <c r="A536" s="5">
        <v>44048</v>
      </c>
      <c r="B536">
        <v>3.8670000000000002E-4</v>
      </c>
      <c r="C536">
        <v>3.9350000000000002E-4</v>
      </c>
      <c r="D536">
        <v>3.8450000000000002E-4</v>
      </c>
      <c r="E536">
        <v>3.9070000000000001E-4</v>
      </c>
      <c r="F536">
        <v>3541811324</v>
      </c>
      <c r="G536">
        <v>0</v>
      </c>
      <c r="L536" t="s">
        <v>7</v>
      </c>
      <c r="M536" t="s">
        <v>7</v>
      </c>
      <c r="N536" t="s">
        <v>8</v>
      </c>
      <c r="P536">
        <f t="shared" si="940"/>
        <v>0.37777777777777483</v>
      </c>
      <c r="Q536">
        <f t="shared" si="941"/>
        <v>1338017611.2888784</v>
      </c>
      <c r="R536">
        <f t="shared" si="942"/>
        <v>145647090310.24323</v>
      </c>
      <c r="S536">
        <f t="shared" si="943"/>
        <v>1456470.9031024321</v>
      </c>
      <c r="T536">
        <f t="shared" si="944"/>
        <v>1456.4709031024322</v>
      </c>
    </row>
    <row r="537" spans="1:20" x14ac:dyDescent="0.25">
      <c r="A537" s="5">
        <v>44047</v>
      </c>
      <c r="B537">
        <v>3.8929999999999998E-4</v>
      </c>
      <c r="C537">
        <v>3.9609999999999998E-4</v>
      </c>
      <c r="D537">
        <v>3.8509999999999998E-4</v>
      </c>
      <c r="E537">
        <v>3.8660000000000002E-4</v>
      </c>
      <c r="F537">
        <v>3309222066</v>
      </c>
      <c r="G537">
        <v>0</v>
      </c>
      <c r="L537" t="s">
        <v>8</v>
      </c>
      <c r="M537" t="s">
        <v>7</v>
      </c>
      <c r="N537" t="s">
        <v>8</v>
      </c>
      <c r="P537">
        <f t="shared" si="940"/>
        <v>-0.72727272727272052</v>
      </c>
      <c r="Q537">
        <f t="shared" si="941"/>
        <v>-2406706957.0908866</v>
      </c>
      <c r="R537">
        <f t="shared" si="942"/>
        <v>144309072698.95435</v>
      </c>
      <c r="S537">
        <f t="shared" si="943"/>
        <v>1443090.7269895435</v>
      </c>
      <c r="T537">
        <f t="shared" si="944"/>
        <v>1443.0907269895436</v>
      </c>
    </row>
    <row r="538" spans="1:20" x14ac:dyDescent="0.25">
      <c r="A538" s="5">
        <v>44046</v>
      </c>
      <c r="B538">
        <v>3.838E-4</v>
      </c>
      <c r="C538">
        <v>3.9740000000000001E-4</v>
      </c>
      <c r="D538">
        <v>3.8109999999999999E-4</v>
      </c>
      <c r="E538">
        <v>3.8939999999999998E-4</v>
      </c>
      <c r="F538">
        <v>3639966247</v>
      </c>
      <c r="G538">
        <v>0</v>
      </c>
      <c r="L538" t="s">
        <v>7</v>
      </c>
      <c r="M538" t="s">
        <v>7</v>
      </c>
      <c r="N538" t="s">
        <v>8</v>
      </c>
      <c r="P538">
        <f t="shared" si="940"/>
        <v>1.8404907975457227E-2</v>
      </c>
      <c r="Q538">
        <f t="shared" si="941"/>
        <v>66993243.809805408</v>
      </c>
      <c r="R538">
        <f t="shared" si="942"/>
        <v>146715779656.04523</v>
      </c>
      <c r="S538">
        <f t="shared" si="943"/>
        <v>1467157.7965604523</v>
      </c>
      <c r="T538">
        <f t="shared" si="944"/>
        <v>1467.1577965604524</v>
      </c>
    </row>
    <row r="539" spans="1:20" x14ac:dyDescent="0.25">
      <c r="A539" s="5">
        <v>44045</v>
      </c>
      <c r="B539">
        <v>3.994E-4</v>
      </c>
      <c r="C539">
        <v>4.1120000000000002E-4</v>
      </c>
      <c r="D539">
        <v>3.7659999999999999E-4</v>
      </c>
      <c r="E539">
        <v>3.8390000000000001E-4</v>
      </c>
      <c r="F539">
        <v>4774551376</v>
      </c>
      <c r="G539">
        <v>0</v>
      </c>
      <c r="L539" t="s">
        <v>8</v>
      </c>
      <c r="M539" t="s">
        <v>7</v>
      </c>
      <c r="N539" t="s">
        <v>8</v>
      </c>
      <c r="P539">
        <f t="shared" si="940"/>
        <v>-0.57803468208092434</v>
      </c>
      <c r="Q539">
        <f t="shared" si="941"/>
        <v>-2759856286.7051997</v>
      </c>
      <c r="R539">
        <f t="shared" si="942"/>
        <v>146648786412.23541</v>
      </c>
      <c r="S539">
        <f t="shared" si="943"/>
        <v>1466487.8641223542</v>
      </c>
      <c r="T539">
        <f t="shared" si="944"/>
        <v>1466.4878641223543</v>
      </c>
    </row>
    <row r="540" spans="1:20" x14ac:dyDescent="0.25">
      <c r="A540" s="5">
        <v>44044</v>
      </c>
      <c r="B540">
        <v>3.8410000000000001E-4</v>
      </c>
      <c r="C540">
        <v>3.9960000000000001E-4</v>
      </c>
      <c r="D540">
        <v>3.812E-4</v>
      </c>
      <c r="E540">
        <v>3.994E-4</v>
      </c>
      <c r="F540">
        <v>4863894676</v>
      </c>
      <c r="G540">
        <v>0</v>
      </c>
      <c r="L540" t="s">
        <v>7</v>
      </c>
      <c r="M540" t="s">
        <v>7</v>
      </c>
      <c r="N540" t="s">
        <v>8</v>
      </c>
      <c r="P540">
        <f t="shared" si="940"/>
        <v>0.97826086956521685</v>
      </c>
      <c r="Q540">
        <f t="shared" si="941"/>
        <v>4758157835.2173891</v>
      </c>
      <c r="R540">
        <f t="shared" si="942"/>
        <v>149408642698.94061</v>
      </c>
      <c r="S540">
        <f t="shared" si="943"/>
        <v>1494086.4269894061</v>
      </c>
      <c r="T540">
        <f t="shared" si="944"/>
        <v>1494.0864269894062</v>
      </c>
    </row>
    <row r="541" spans="1:20" x14ac:dyDescent="0.25">
      <c r="A541" s="5">
        <v>44043</v>
      </c>
      <c r="B541">
        <v>3.8289999999999998E-4</v>
      </c>
      <c r="C541">
        <v>3.8729999999999998E-4</v>
      </c>
      <c r="D541">
        <v>3.79E-4</v>
      </c>
      <c r="E541">
        <v>3.8420000000000001E-4</v>
      </c>
      <c r="F541">
        <v>2860861763</v>
      </c>
      <c r="G541">
        <v>0</v>
      </c>
      <c r="L541" t="s">
        <v>8</v>
      </c>
      <c r="M541" t="s">
        <v>7</v>
      </c>
      <c r="N541" t="s">
        <v>8</v>
      </c>
      <c r="P541">
        <f t="shared" si="940"/>
        <v>0.25301204819277767</v>
      </c>
      <c r="Q541">
        <f t="shared" si="941"/>
        <v>723832494.2530309</v>
      </c>
      <c r="R541">
        <f t="shared" si="942"/>
        <v>144650484863.72324</v>
      </c>
      <c r="S541">
        <f t="shared" si="943"/>
        <v>1446504.8486372323</v>
      </c>
      <c r="T541">
        <f t="shared" si="944"/>
        <v>1446.5048486372323</v>
      </c>
    </row>
    <row r="542" spans="1:20" x14ac:dyDescent="0.25">
      <c r="A542" s="5">
        <v>44042</v>
      </c>
      <c r="B542">
        <v>3.8470000000000003E-4</v>
      </c>
      <c r="C542">
        <v>3.859E-4</v>
      </c>
      <c r="D542">
        <v>3.7750000000000001E-4</v>
      </c>
      <c r="E542">
        <v>3.8289999999999998E-4</v>
      </c>
      <c r="F542">
        <v>3493546923</v>
      </c>
      <c r="G542">
        <v>0</v>
      </c>
      <c r="L542" t="s">
        <v>7</v>
      </c>
      <c r="M542" t="s">
        <v>7</v>
      </c>
      <c r="N542" t="s">
        <v>8</v>
      </c>
      <c r="P542">
        <f t="shared" si="940"/>
        <v>0.2857142857142802</v>
      </c>
      <c r="Q542">
        <f t="shared" si="941"/>
        <v>998156263.71426642</v>
      </c>
      <c r="R542">
        <f t="shared" si="942"/>
        <v>143926652369.47021</v>
      </c>
      <c r="S542">
        <f t="shared" si="943"/>
        <v>1439266.5236947022</v>
      </c>
      <c r="T542">
        <f t="shared" si="944"/>
        <v>1439.2665236947023</v>
      </c>
    </row>
    <row r="543" spans="1:20" x14ac:dyDescent="0.25">
      <c r="A543" s="5">
        <v>44041</v>
      </c>
      <c r="B543">
        <v>3.8309999999999999E-4</v>
      </c>
      <c r="C543">
        <v>3.9199999999999999E-4</v>
      </c>
      <c r="D543">
        <v>3.8000000000000002E-4</v>
      </c>
      <c r="E543">
        <v>3.8450000000000002E-4</v>
      </c>
      <c r="F543">
        <v>4256164648</v>
      </c>
      <c r="G543">
        <v>0</v>
      </c>
      <c r="L543" t="s">
        <v>8</v>
      </c>
      <c r="M543" t="s">
        <v>7</v>
      </c>
      <c r="N543" t="s">
        <v>8</v>
      </c>
      <c r="P543">
        <f t="shared" si="940"/>
        <v>-0.24999999999999775</v>
      </c>
      <c r="Q543">
        <f t="shared" si="941"/>
        <v>-1064041161.9999905</v>
      </c>
      <c r="R543">
        <f t="shared" si="942"/>
        <v>142928496105.75595</v>
      </c>
      <c r="S543">
        <f t="shared" si="943"/>
        <v>1429284.9610575596</v>
      </c>
      <c r="T543">
        <f t="shared" si="944"/>
        <v>1429.2849610575595</v>
      </c>
    </row>
    <row r="544" spans="1:20" x14ac:dyDescent="0.25">
      <c r="A544" s="5">
        <v>44040</v>
      </c>
      <c r="B544">
        <v>3.7560000000000002E-4</v>
      </c>
      <c r="C544">
        <v>3.8499999999999998E-4</v>
      </c>
      <c r="D544">
        <v>3.7209999999999999E-4</v>
      </c>
      <c r="E544">
        <v>3.8309999999999999E-4</v>
      </c>
      <c r="F544">
        <v>4893145528</v>
      </c>
      <c r="G544">
        <v>0</v>
      </c>
      <c r="L544" t="s">
        <v>7</v>
      </c>
      <c r="M544" t="s">
        <v>7</v>
      </c>
      <c r="N544" t="s">
        <v>8</v>
      </c>
      <c r="P544">
        <f t="shared" si="940"/>
        <v>0.70542635658914832</v>
      </c>
      <c r="Q544">
        <f t="shared" si="941"/>
        <v>3451753822.0775247</v>
      </c>
      <c r="R544">
        <f t="shared" si="942"/>
        <v>143992537267.75595</v>
      </c>
      <c r="S544">
        <f t="shared" si="943"/>
        <v>1439925.3726775595</v>
      </c>
      <c r="T544">
        <f t="shared" si="944"/>
        <v>1439.9253726775596</v>
      </c>
    </row>
    <row r="545" spans="1:104" x14ac:dyDescent="0.25">
      <c r="A545" s="5">
        <v>44039</v>
      </c>
      <c r="B545">
        <v>3.8939999999999998E-4</v>
      </c>
      <c r="C545">
        <v>3.924E-4</v>
      </c>
      <c r="D545">
        <v>3.6620000000000001E-4</v>
      </c>
      <c r="E545">
        <v>3.7550000000000002E-4</v>
      </c>
      <c r="F545">
        <v>4920929359</v>
      </c>
      <c r="G545">
        <v>0</v>
      </c>
      <c r="L545" t="s">
        <v>8</v>
      </c>
      <c r="M545" t="s">
        <v>7</v>
      </c>
      <c r="N545" t="s">
        <v>8</v>
      </c>
      <c r="P545">
        <f t="shared" si="940"/>
        <v>-0.29007633587786152</v>
      </c>
      <c r="Q545">
        <f t="shared" si="941"/>
        <v>-1427445157.5725138</v>
      </c>
      <c r="R545">
        <f t="shared" si="942"/>
        <v>140540783445.67844</v>
      </c>
      <c r="S545">
        <f t="shared" si="943"/>
        <v>1405407.8344567844</v>
      </c>
      <c r="T545">
        <f t="shared" si="944"/>
        <v>1405.4078344567845</v>
      </c>
    </row>
    <row r="546" spans="1:104" x14ac:dyDescent="0.25">
      <c r="A546" s="5">
        <v>44038</v>
      </c>
      <c r="B546">
        <v>3.9149999999999998E-4</v>
      </c>
      <c r="C546">
        <v>3.9770000000000002E-4</v>
      </c>
      <c r="D546">
        <v>3.8499999999999998E-4</v>
      </c>
      <c r="E546">
        <v>3.8939999999999998E-4</v>
      </c>
      <c r="F546">
        <v>4503998861</v>
      </c>
      <c r="G546">
        <v>0</v>
      </c>
      <c r="L546" t="s">
        <v>7</v>
      </c>
      <c r="M546" t="s">
        <v>7</v>
      </c>
      <c r="N546" t="s">
        <v>8</v>
      </c>
      <c r="P546">
        <f t="shared" si="940"/>
        <v>-0.30708661417323063</v>
      </c>
      <c r="Q546">
        <f t="shared" si="941"/>
        <v>-1383117760.4645772</v>
      </c>
      <c r="R546">
        <f t="shared" si="942"/>
        <v>141968228603.25095</v>
      </c>
      <c r="S546">
        <f t="shared" si="943"/>
        <v>1419682.2860325095</v>
      </c>
      <c r="T546">
        <f t="shared" si="944"/>
        <v>1419.6822860325096</v>
      </c>
    </row>
    <row r="547" spans="1:104" x14ac:dyDescent="0.25">
      <c r="A547" s="5">
        <v>44037</v>
      </c>
      <c r="B547">
        <v>3.8890000000000002E-4</v>
      </c>
      <c r="C547">
        <v>3.9290000000000001E-4</v>
      </c>
      <c r="D547">
        <v>3.8529999999999999E-4</v>
      </c>
      <c r="E547">
        <v>3.9140000000000003E-4</v>
      </c>
      <c r="F547">
        <v>3221585823</v>
      </c>
      <c r="G547">
        <v>0</v>
      </c>
      <c r="L547" t="s">
        <v>8</v>
      </c>
      <c r="M547" t="s">
        <v>7</v>
      </c>
      <c r="N547" t="s">
        <v>8</v>
      </c>
      <c r="P547">
        <f t="shared" si="940"/>
        <v>0.60526315789474261</v>
      </c>
      <c r="Q547">
        <f t="shared" si="941"/>
        <v>1949907208.6579132</v>
      </c>
      <c r="R547">
        <f t="shared" si="942"/>
        <v>143351346363.71552</v>
      </c>
      <c r="S547">
        <f t="shared" si="943"/>
        <v>1433513.4636371552</v>
      </c>
      <c r="T547">
        <f t="shared" si="944"/>
        <v>1433.5134636371552</v>
      </c>
    </row>
    <row r="548" spans="1:104" x14ac:dyDescent="0.25">
      <c r="A548" s="5">
        <v>44036</v>
      </c>
      <c r="B548">
        <v>3.9189999999999998E-4</v>
      </c>
      <c r="C548">
        <v>3.9609999999999998E-4</v>
      </c>
      <c r="D548">
        <v>3.8440000000000002E-4</v>
      </c>
      <c r="E548">
        <v>3.8890000000000002E-4</v>
      </c>
      <c r="F548">
        <v>4690584051</v>
      </c>
      <c r="G548">
        <v>0</v>
      </c>
      <c r="L548" t="s">
        <v>7</v>
      </c>
      <c r="M548" t="s">
        <v>7</v>
      </c>
      <c r="N548" t="s">
        <v>8</v>
      </c>
      <c r="P548">
        <f t="shared" si="940"/>
        <v>-0.23076923076922792</v>
      </c>
      <c r="Q548">
        <f t="shared" si="941"/>
        <v>-1082442473.3076789</v>
      </c>
      <c r="R548">
        <f t="shared" si="942"/>
        <v>141401439155.05762</v>
      </c>
      <c r="S548">
        <f t="shared" si="943"/>
        <v>1414014.3915505761</v>
      </c>
      <c r="T548">
        <f t="shared" si="944"/>
        <v>1414.0143915505762</v>
      </c>
    </row>
    <row r="549" spans="1:104" x14ac:dyDescent="0.25">
      <c r="A549" s="5">
        <v>44035</v>
      </c>
      <c r="B549">
        <v>3.9659999999999999E-4</v>
      </c>
      <c r="C549">
        <v>3.9760000000000002E-4</v>
      </c>
      <c r="D549">
        <v>3.9100000000000002E-4</v>
      </c>
      <c r="E549">
        <v>3.9189999999999998E-4</v>
      </c>
      <c r="F549">
        <v>4227152015</v>
      </c>
      <c r="G549">
        <v>0</v>
      </c>
      <c r="L549" t="s">
        <v>8</v>
      </c>
      <c r="M549" t="s">
        <v>7</v>
      </c>
      <c r="N549" t="s">
        <v>8</v>
      </c>
      <c r="P549">
        <f t="shared" si="940"/>
        <v>-0.72727272727273695</v>
      </c>
      <c r="Q549">
        <f t="shared" si="941"/>
        <v>-3074292374.5454955</v>
      </c>
      <c r="R549">
        <f t="shared" si="942"/>
        <v>142483881628.3653</v>
      </c>
      <c r="S549">
        <f t="shared" si="943"/>
        <v>1424838.816283653</v>
      </c>
      <c r="T549">
        <f t="shared" si="944"/>
        <v>1424.8388162836529</v>
      </c>
    </row>
    <row r="550" spans="1:104" x14ac:dyDescent="0.25">
      <c r="A550" s="5">
        <v>44034</v>
      </c>
      <c r="B550">
        <v>3.9229999999999999E-4</v>
      </c>
      <c r="C550">
        <v>3.9750000000000001E-4</v>
      </c>
      <c r="D550">
        <v>3.86E-4</v>
      </c>
      <c r="E550">
        <v>3.9669999999999999E-4</v>
      </c>
      <c r="F550">
        <v>3299828041</v>
      </c>
      <c r="G550">
        <v>0</v>
      </c>
      <c r="L550" t="s">
        <v>7</v>
      </c>
      <c r="M550" t="s">
        <v>7</v>
      </c>
      <c r="N550" t="s">
        <v>8</v>
      </c>
      <c r="P550">
        <f t="shared" si="940"/>
        <v>0.860869565217388</v>
      </c>
      <c r="Q550">
        <f t="shared" si="941"/>
        <v>2840721530.9478154</v>
      </c>
      <c r="R550">
        <f t="shared" si="942"/>
        <v>145558174002.9108</v>
      </c>
      <c r="S550">
        <f t="shared" si="943"/>
        <v>1455581.740029108</v>
      </c>
      <c r="T550">
        <f t="shared" si="944"/>
        <v>1455.581740029108</v>
      </c>
    </row>
    <row r="551" spans="1:104" x14ac:dyDescent="0.25">
      <c r="A551" s="5">
        <v>44033</v>
      </c>
      <c r="B551">
        <v>3.8479999999999997E-4</v>
      </c>
      <c r="C551">
        <v>3.9899999999999999E-4</v>
      </c>
      <c r="D551">
        <v>3.8190000000000001E-4</v>
      </c>
      <c r="E551">
        <v>3.9229999999999999E-4</v>
      </c>
      <c r="F551">
        <v>3436440738</v>
      </c>
      <c r="G551">
        <v>0</v>
      </c>
      <c r="L551" t="s">
        <v>8</v>
      </c>
      <c r="M551" t="s">
        <v>7</v>
      </c>
      <c r="N551" t="s">
        <v>8</v>
      </c>
      <c r="P551">
        <f t="shared" si="940"/>
        <v>0.21637426900584711</v>
      </c>
      <c r="Q551">
        <f t="shared" si="941"/>
        <v>743557352.66666377</v>
      </c>
      <c r="R551">
        <f t="shared" si="942"/>
        <v>142717452471.96298</v>
      </c>
      <c r="S551">
        <f t="shared" si="943"/>
        <v>1427174.5247196299</v>
      </c>
      <c r="T551">
        <f t="shared" si="944"/>
        <v>1427.17452471963</v>
      </c>
    </row>
    <row r="552" spans="1:104" x14ac:dyDescent="0.25">
      <c r="A552" s="5">
        <v>44032</v>
      </c>
      <c r="B552">
        <v>3.9100000000000002E-4</v>
      </c>
      <c r="C552">
        <v>4.0000000000000002E-4</v>
      </c>
      <c r="D552">
        <v>3.812E-4</v>
      </c>
      <c r="E552">
        <v>3.8479999999999997E-4</v>
      </c>
      <c r="F552">
        <v>3141978372</v>
      </c>
      <c r="G552">
        <v>0</v>
      </c>
      <c r="L552" t="s">
        <v>7</v>
      </c>
      <c r="M552" t="s">
        <v>7</v>
      </c>
      <c r="N552" t="s">
        <v>8</v>
      </c>
      <c r="P552">
        <f t="shared" si="940"/>
        <v>-0.61702127659574735</v>
      </c>
      <c r="Q552">
        <f t="shared" si="941"/>
        <v>-1938667506.1276679</v>
      </c>
      <c r="R552">
        <f t="shared" si="942"/>
        <v>141973895119.29633</v>
      </c>
      <c r="S552">
        <f t="shared" si="943"/>
        <v>1419738.9511929632</v>
      </c>
      <c r="T552">
        <f t="shared" si="944"/>
        <v>1419.7389511929632</v>
      </c>
      <c r="CZ552" t="s">
        <v>7</v>
      </c>
    </row>
    <row r="553" spans="1:104" x14ac:dyDescent="0.25">
      <c r="A553" s="5">
        <v>44031</v>
      </c>
      <c r="B553">
        <v>3.8929999999999998E-4</v>
      </c>
      <c r="C553">
        <v>3.9580000000000003E-4</v>
      </c>
      <c r="D553">
        <v>3.791E-4</v>
      </c>
      <c r="E553">
        <v>3.904E-4</v>
      </c>
      <c r="F553">
        <v>3535391141</v>
      </c>
      <c r="G553">
        <v>0</v>
      </c>
      <c r="L553" t="s">
        <v>8</v>
      </c>
      <c r="M553" t="s">
        <v>7</v>
      </c>
      <c r="N553" t="s">
        <v>8</v>
      </c>
      <c r="P553">
        <f t="shared" si="940"/>
        <v>0.35329341317365098</v>
      </c>
      <c r="Q553">
        <f t="shared" si="941"/>
        <v>1249030403.1077783</v>
      </c>
      <c r="R553">
        <f t="shared" si="942"/>
        <v>143912562625.42398</v>
      </c>
      <c r="S553">
        <f t="shared" si="943"/>
        <v>1439125.6262542398</v>
      </c>
      <c r="T553">
        <f t="shared" si="944"/>
        <v>1439.1256262542397</v>
      </c>
      <c r="CZ553" t="s">
        <v>7</v>
      </c>
    </row>
    <row r="554" spans="1:104" x14ac:dyDescent="0.25">
      <c r="A554" s="5">
        <v>44030</v>
      </c>
      <c r="B554">
        <v>3.7750000000000001E-4</v>
      </c>
      <c r="C554">
        <v>3.9419999999999999E-4</v>
      </c>
      <c r="D554">
        <v>3.7209999999999999E-4</v>
      </c>
      <c r="E554">
        <v>3.8910000000000003E-4</v>
      </c>
      <c r="F554">
        <v>3352005722</v>
      </c>
      <c r="G554">
        <v>0</v>
      </c>
      <c r="L554" t="s">
        <v>7</v>
      </c>
      <c r="M554" t="s">
        <v>7</v>
      </c>
      <c r="N554" t="s">
        <v>8</v>
      </c>
      <c r="P554">
        <f t="shared" si="940"/>
        <v>0.53846153846154188</v>
      </c>
      <c r="Q554">
        <f t="shared" si="941"/>
        <v>1804926158.0000114</v>
      </c>
      <c r="R554">
        <f t="shared" si="942"/>
        <v>142663532222.31619</v>
      </c>
      <c r="S554">
        <f t="shared" si="943"/>
        <v>1426635.3222231618</v>
      </c>
      <c r="T554">
        <f t="shared" si="944"/>
        <v>1426.6353222231619</v>
      </c>
      <c r="CZ554" t="s">
        <v>7</v>
      </c>
    </row>
    <row r="555" spans="1:104" x14ac:dyDescent="0.25">
      <c r="A555" s="5">
        <v>44029</v>
      </c>
      <c r="B555">
        <v>3.8410000000000001E-4</v>
      </c>
      <c r="C555">
        <v>3.8709999999999998E-4</v>
      </c>
      <c r="D555">
        <v>3.7359999999999997E-4</v>
      </c>
      <c r="E555">
        <v>3.7760000000000002E-4</v>
      </c>
      <c r="F555">
        <v>3019239934</v>
      </c>
      <c r="G555">
        <v>0</v>
      </c>
      <c r="L555" t="s">
        <v>8</v>
      </c>
      <c r="M555" t="s">
        <v>7</v>
      </c>
      <c r="N555" t="s">
        <v>8</v>
      </c>
      <c r="P555">
        <f t="shared" si="940"/>
        <v>-0.40740740740740117</v>
      </c>
      <c r="Q555">
        <f t="shared" si="941"/>
        <v>-1230060713.8518331</v>
      </c>
      <c r="R555">
        <f t="shared" si="942"/>
        <v>140858606064.31619</v>
      </c>
      <c r="S555">
        <f t="shared" si="943"/>
        <v>1408586.0606431619</v>
      </c>
      <c r="T555">
        <f t="shared" si="944"/>
        <v>1408.5860606431618</v>
      </c>
    </row>
    <row r="556" spans="1:104" x14ac:dyDescent="0.25">
      <c r="A556" s="5">
        <v>44028</v>
      </c>
      <c r="B556">
        <v>3.994E-4</v>
      </c>
      <c r="C556">
        <v>4.0049999999999998E-4</v>
      </c>
      <c r="D556">
        <v>3.6200000000000002E-4</v>
      </c>
      <c r="E556">
        <v>3.8420000000000001E-4</v>
      </c>
      <c r="F556">
        <v>4933777028</v>
      </c>
      <c r="G556">
        <v>0</v>
      </c>
      <c r="L556" t="s">
        <v>7</v>
      </c>
      <c r="M556" t="s">
        <v>7</v>
      </c>
      <c r="N556" t="s">
        <v>8</v>
      </c>
      <c r="P556">
        <f t="shared" si="940"/>
        <v>0.15324675324675432</v>
      </c>
      <c r="Q556">
        <f t="shared" si="941"/>
        <v>756085310.78442085</v>
      </c>
      <c r="R556">
        <f t="shared" si="942"/>
        <v>142088666778.16803</v>
      </c>
      <c r="S556">
        <f t="shared" si="943"/>
        <v>1420886.6677816804</v>
      </c>
      <c r="T556">
        <f t="shared" si="944"/>
        <v>1420.8866677816804</v>
      </c>
    </row>
    <row r="557" spans="1:104" x14ac:dyDescent="0.25">
      <c r="A557" s="5">
        <v>44027</v>
      </c>
      <c r="B557">
        <v>3.9520000000000001E-4</v>
      </c>
      <c r="C557">
        <v>4.058E-4</v>
      </c>
      <c r="D557">
        <v>3.927E-4</v>
      </c>
      <c r="E557">
        <v>3.9950000000000001E-4</v>
      </c>
      <c r="F557">
        <v>3198517068</v>
      </c>
      <c r="G557">
        <v>0</v>
      </c>
      <c r="L557" t="s">
        <v>8</v>
      </c>
      <c r="M557" t="s">
        <v>7</v>
      </c>
      <c r="N557" t="s">
        <v>8</v>
      </c>
      <c r="P557">
        <f t="shared" si="940"/>
        <v>3.8167938931298655E-2</v>
      </c>
      <c r="Q557">
        <f t="shared" si="941"/>
        <v>122080804.12214042</v>
      </c>
      <c r="R557">
        <f t="shared" si="942"/>
        <v>141332581467.38361</v>
      </c>
      <c r="S557">
        <f t="shared" si="943"/>
        <v>1413325.8146738361</v>
      </c>
      <c r="T557">
        <f t="shared" si="944"/>
        <v>1413.325814673836</v>
      </c>
    </row>
    <row r="558" spans="1:104" x14ac:dyDescent="0.25">
      <c r="A558" s="5">
        <v>44026</v>
      </c>
      <c r="B558">
        <v>3.9990000000000002E-4</v>
      </c>
      <c r="C558">
        <v>4.0030000000000003E-4</v>
      </c>
      <c r="D558">
        <v>3.8020000000000003E-4</v>
      </c>
      <c r="E558">
        <v>3.9540000000000002E-4</v>
      </c>
      <c r="F558">
        <v>4652962573</v>
      </c>
      <c r="G558">
        <v>0</v>
      </c>
      <c r="L558" t="s">
        <v>7</v>
      </c>
      <c r="M558" t="s">
        <v>7</v>
      </c>
      <c r="N558" t="s">
        <v>8</v>
      </c>
      <c r="P558">
        <f t="shared" si="940"/>
        <v>0.51243781094527263</v>
      </c>
      <c r="Q558">
        <f t="shared" si="941"/>
        <v>2384353955.3184032</v>
      </c>
      <c r="R558">
        <f t="shared" si="942"/>
        <v>141210500663.26147</v>
      </c>
      <c r="S558">
        <f t="shared" si="943"/>
        <v>1412105.0066326146</v>
      </c>
      <c r="T558">
        <f t="shared" si="944"/>
        <v>1412.1050066326147</v>
      </c>
    </row>
    <row r="559" spans="1:104" x14ac:dyDescent="0.25">
      <c r="A559" s="5">
        <v>44025</v>
      </c>
      <c r="B559">
        <v>4.194E-4</v>
      </c>
      <c r="C559">
        <v>4.2999999999999999E-4</v>
      </c>
      <c r="D559">
        <v>3.9899999999999999E-4</v>
      </c>
      <c r="E559">
        <v>3.9990000000000002E-4</v>
      </c>
      <c r="F559">
        <v>4865346153</v>
      </c>
      <c r="G559">
        <v>0</v>
      </c>
      <c r="L559" t="s">
        <v>8</v>
      </c>
      <c r="M559" t="s">
        <v>7</v>
      </c>
      <c r="N559" t="s">
        <v>8</v>
      </c>
      <c r="P559">
        <f t="shared" si="940"/>
        <v>-0.94193548387096637</v>
      </c>
      <c r="Q559">
        <f t="shared" si="941"/>
        <v>-4582842182.8257999</v>
      </c>
      <c r="R559">
        <f t="shared" si="942"/>
        <v>138826146707.94308</v>
      </c>
      <c r="S559">
        <f t="shared" si="943"/>
        <v>1388261.4670794308</v>
      </c>
      <c r="T559">
        <f t="shared" si="944"/>
        <v>1388.2614670794308</v>
      </c>
    </row>
    <row r="560" spans="1:104" x14ac:dyDescent="0.25">
      <c r="A560" s="5">
        <v>44024</v>
      </c>
      <c r="B560">
        <v>4.0210000000000002E-4</v>
      </c>
      <c r="C560">
        <v>4.2039999999999997E-4</v>
      </c>
      <c r="D560">
        <v>3.9770000000000002E-4</v>
      </c>
      <c r="E560">
        <v>4.192E-4</v>
      </c>
      <c r="F560">
        <v>4921315712</v>
      </c>
      <c r="G560">
        <v>0</v>
      </c>
      <c r="L560" t="s">
        <v>7</v>
      </c>
      <c r="M560" t="s">
        <v>7</v>
      </c>
      <c r="N560" t="s">
        <v>8</v>
      </c>
      <c r="P560">
        <f t="shared" si="940"/>
        <v>0.89427312775330592</v>
      </c>
      <c r="Q560">
        <f t="shared" si="941"/>
        <v>4401000394.4317274</v>
      </c>
      <c r="R560">
        <f t="shared" si="942"/>
        <v>143408988890.76889</v>
      </c>
      <c r="S560">
        <f t="shared" si="943"/>
        <v>1434089.8889076889</v>
      </c>
      <c r="T560">
        <f t="shared" si="944"/>
        <v>1434.0898889076889</v>
      </c>
    </row>
    <row r="561" spans="1:20" x14ac:dyDescent="0.25">
      <c r="A561" s="5">
        <v>44023</v>
      </c>
      <c r="B561">
        <v>4.2939999999999997E-4</v>
      </c>
      <c r="C561">
        <v>4.392E-4</v>
      </c>
      <c r="D561">
        <v>3.947E-4</v>
      </c>
      <c r="E561">
        <v>4.0210000000000002E-4</v>
      </c>
      <c r="F561">
        <v>7175600875</v>
      </c>
      <c r="G561">
        <v>0</v>
      </c>
      <c r="L561" t="s">
        <v>8</v>
      </c>
      <c r="M561" t="s">
        <v>7</v>
      </c>
      <c r="N561" t="s">
        <v>8</v>
      </c>
      <c r="P561">
        <f t="shared" si="940"/>
        <v>-0.66741573033707791</v>
      </c>
      <c r="Q561">
        <f t="shared" si="941"/>
        <v>-4789108898.5955</v>
      </c>
      <c r="R561">
        <f t="shared" si="942"/>
        <v>139007988496.33716</v>
      </c>
      <c r="S561">
        <f t="shared" si="943"/>
        <v>1390079.8849633716</v>
      </c>
      <c r="T561">
        <f t="shared" si="944"/>
        <v>1390.0798849633716</v>
      </c>
    </row>
    <row r="562" spans="1:20" x14ac:dyDescent="0.25">
      <c r="A562" s="5">
        <v>44022</v>
      </c>
      <c r="B562">
        <v>3.9419999999999999E-4</v>
      </c>
      <c r="C562">
        <v>4.8680000000000001E-4</v>
      </c>
      <c r="D562">
        <v>3.8240000000000003E-4</v>
      </c>
      <c r="E562">
        <v>4.304E-4</v>
      </c>
      <c r="F562">
        <v>30847878246</v>
      </c>
      <c r="G562">
        <v>0</v>
      </c>
      <c r="L562" t="s">
        <v>7</v>
      </c>
      <c r="M562" t="s">
        <v>8</v>
      </c>
      <c r="N562" t="s">
        <v>8</v>
      </c>
      <c r="P562">
        <f t="shared" si="940"/>
        <v>-8.045977011494293E-2</v>
      </c>
      <c r="Q562">
        <f t="shared" si="941"/>
        <v>-2482013192.2069087</v>
      </c>
      <c r="R562">
        <f t="shared" si="942"/>
        <v>143797097394.93265</v>
      </c>
      <c r="S562">
        <f t="shared" si="943"/>
        <v>1437970.9739493264</v>
      </c>
      <c r="T562">
        <f t="shared" si="944"/>
        <v>1437.9709739493264</v>
      </c>
    </row>
    <row r="563" spans="1:20" x14ac:dyDescent="0.25">
      <c r="A563" s="5">
        <v>44021</v>
      </c>
      <c r="B563">
        <v>3.457E-4</v>
      </c>
      <c r="C563">
        <v>3.9889999999999999E-4</v>
      </c>
      <c r="D563">
        <v>3.3629999999999999E-4</v>
      </c>
      <c r="E563">
        <v>3.9419999999999999E-4</v>
      </c>
      <c r="F563">
        <v>11961527689</v>
      </c>
      <c r="G563">
        <v>0</v>
      </c>
      <c r="L563" t="s">
        <v>8</v>
      </c>
      <c r="M563" t="s">
        <v>8</v>
      </c>
      <c r="N563" t="s">
        <v>8</v>
      </c>
      <c r="P563">
        <f t="shared" si="940"/>
        <v>0.84984025559105414</v>
      </c>
      <c r="Q563">
        <f t="shared" si="941"/>
        <v>10165387748.479231</v>
      </c>
      <c r="R563">
        <f t="shared" si="942"/>
        <v>146279110587.13956</v>
      </c>
      <c r="S563">
        <f t="shared" si="943"/>
        <v>1462791.1058713957</v>
      </c>
      <c r="T563">
        <f t="shared" si="944"/>
        <v>1462.7911058713958</v>
      </c>
    </row>
    <row r="564" spans="1:20" x14ac:dyDescent="0.25">
      <c r="A564" s="5">
        <v>44020</v>
      </c>
      <c r="B564">
        <v>3.2719999999999998E-4</v>
      </c>
      <c r="C564">
        <v>3.4630000000000001E-4</v>
      </c>
      <c r="D564">
        <v>3.1990000000000002E-4</v>
      </c>
      <c r="E564">
        <v>3.457E-4</v>
      </c>
      <c r="F564">
        <v>5462408339</v>
      </c>
      <c r="G564">
        <v>0</v>
      </c>
      <c r="L564" t="s">
        <v>7</v>
      </c>
      <c r="M564" t="s">
        <v>8</v>
      </c>
      <c r="N564" t="s">
        <v>8</v>
      </c>
      <c r="P564">
        <f t="shared" si="940"/>
        <v>0.95454545454545348</v>
      </c>
      <c r="Q564">
        <f t="shared" si="941"/>
        <v>5214117050.8636303</v>
      </c>
      <c r="R564">
        <f t="shared" si="942"/>
        <v>136113722838.66032</v>
      </c>
      <c r="S564">
        <f t="shared" si="943"/>
        <v>1361137.2283866033</v>
      </c>
      <c r="T564">
        <f t="shared" si="944"/>
        <v>1361.1372283866033</v>
      </c>
    </row>
    <row r="565" spans="1:20" x14ac:dyDescent="0.25">
      <c r="A565" s="5">
        <v>44019</v>
      </c>
      <c r="B565">
        <v>3.3510000000000001E-4</v>
      </c>
      <c r="C565">
        <v>3.3829999999999998E-4</v>
      </c>
      <c r="D565">
        <v>3.2590000000000001E-4</v>
      </c>
      <c r="E565">
        <v>3.2749999999999999E-4</v>
      </c>
      <c r="F565">
        <v>4882193256</v>
      </c>
      <c r="G565">
        <v>0</v>
      </c>
      <c r="L565" t="s">
        <v>8</v>
      </c>
      <c r="M565" t="s">
        <v>8</v>
      </c>
      <c r="N565" t="s">
        <v>8</v>
      </c>
      <c r="P565">
        <f t="shared" si="940"/>
        <v>-0.74193548387096975</v>
      </c>
      <c r="Q565">
        <f t="shared" si="941"/>
        <v>-3622272415.7419453</v>
      </c>
      <c r="R565">
        <f t="shared" si="942"/>
        <v>130899605787.79669</v>
      </c>
      <c r="S565">
        <f t="shared" si="943"/>
        <v>1308996.0578779669</v>
      </c>
      <c r="T565">
        <f t="shared" si="944"/>
        <v>1308.9960578779669</v>
      </c>
    </row>
    <row r="566" spans="1:20" x14ac:dyDescent="0.25">
      <c r="A566" s="5">
        <v>44018</v>
      </c>
      <c r="B566">
        <v>3.2430000000000002E-4</v>
      </c>
      <c r="C566">
        <v>3.4000000000000002E-4</v>
      </c>
      <c r="D566">
        <v>3.2400000000000001E-4</v>
      </c>
      <c r="E566">
        <v>3.3510000000000001E-4</v>
      </c>
      <c r="F566">
        <v>5235624517</v>
      </c>
      <c r="G566">
        <v>0</v>
      </c>
      <c r="L566" t="s">
        <v>7</v>
      </c>
      <c r="M566" t="s">
        <v>8</v>
      </c>
      <c r="N566" t="s">
        <v>8</v>
      </c>
      <c r="P566">
        <f t="shared" si="940"/>
        <v>0.38749999999999901</v>
      </c>
      <c r="Q566">
        <f t="shared" si="941"/>
        <v>2028804500.3374949</v>
      </c>
      <c r="R566">
        <f t="shared" si="942"/>
        <v>134521878203.53864</v>
      </c>
      <c r="S566">
        <f t="shared" si="943"/>
        <v>1345218.7820353864</v>
      </c>
      <c r="T566">
        <f t="shared" si="944"/>
        <v>1345.2187820353863</v>
      </c>
    </row>
    <row r="567" spans="1:20" x14ac:dyDescent="0.25">
      <c r="A567" s="5">
        <v>44017</v>
      </c>
      <c r="B567">
        <v>3.2699999999999998E-4</v>
      </c>
      <c r="C567">
        <v>3.3E-4</v>
      </c>
      <c r="D567">
        <v>3.1419999999999999E-4</v>
      </c>
      <c r="E567">
        <v>3.2449999999999997E-4</v>
      </c>
      <c r="F567">
        <v>4776375658</v>
      </c>
      <c r="G567">
        <v>0</v>
      </c>
      <c r="L567" t="s">
        <v>8</v>
      </c>
      <c r="M567" t="s">
        <v>8</v>
      </c>
      <c r="N567" t="s">
        <v>8</v>
      </c>
      <c r="P567">
        <f t="shared" si="940"/>
        <v>0.30379746835442739</v>
      </c>
      <c r="Q567">
        <f t="shared" si="941"/>
        <v>1451050832.8101122</v>
      </c>
      <c r="R567">
        <f t="shared" si="942"/>
        <v>132493073703.20114</v>
      </c>
      <c r="S567">
        <f t="shared" si="943"/>
        <v>1324930.7370320114</v>
      </c>
      <c r="T567">
        <f t="shared" si="944"/>
        <v>1324.9307370320114</v>
      </c>
    </row>
    <row r="568" spans="1:20" x14ac:dyDescent="0.25">
      <c r="A568" s="5">
        <v>44016</v>
      </c>
      <c r="B568">
        <v>3.1789999999999998E-4</v>
      </c>
      <c r="C568">
        <v>3.3149999999999998E-4</v>
      </c>
      <c r="D568">
        <v>3.1740000000000002E-4</v>
      </c>
      <c r="E568">
        <v>3.2689999999999998E-4</v>
      </c>
      <c r="F568">
        <v>3914636606</v>
      </c>
      <c r="G568">
        <v>0</v>
      </c>
      <c r="L568" t="s">
        <v>7</v>
      </c>
      <c r="M568" t="s">
        <v>8</v>
      </c>
      <c r="N568" t="s">
        <v>8</v>
      </c>
      <c r="P568">
        <f t="shared" si="940"/>
        <v>0.34751773049645174</v>
      </c>
      <c r="Q568">
        <f t="shared" si="941"/>
        <v>1360405629.0354526</v>
      </c>
      <c r="R568">
        <f t="shared" si="942"/>
        <v>131042022870.39102</v>
      </c>
      <c r="S568">
        <f t="shared" si="943"/>
        <v>1310420.2287039103</v>
      </c>
      <c r="T568">
        <f t="shared" si="944"/>
        <v>1310.4202287039102</v>
      </c>
    </row>
    <row r="569" spans="1:20" x14ac:dyDescent="0.25">
      <c r="A569" s="5">
        <v>44015</v>
      </c>
      <c r="B569">
        <v>3.2509999999999999E-4</v>
      </c>
      <c r="C569">
        <v>3.3389999999999998E-4</v>
      </c>
      <c r="D569">
        <v>3.123E-4</v>
      </c>
      <c r="E569">
        <v>3.1809999999999998E-4</v>
      </c>
      <c r="F569">
        <v>4748135121</v>
      </c>
      <c r="G569">
        <v>0</v>
      </c>
      <c r="L569" t="s">
        <v>8</v>
      </c>
      <c r="M569" t="s">
        <v>8</v>
      </c>
      <c r="N569" t="s">
        <v>8</v>
      </c>
      <c r="P569">
        <f t="shared" si="940"/>
        <v>-0.46296296296296452</v>
      </c>
      <c r="Q569">
        <f t="shared" si="941"/>
        <v>-2198210704.1666741</v>
      </c>
      <c r="R569">
        <f t="shared" si="942"/>
        <v>129681617241.35558</v>
      </c>
      <c r="S569">
        <f t="shared" si="943"/>
        <v>1296816.1724135557</v>
      </c>
      <c r="T569">
        <f t="shared" si="944"/>
        <v>1296.8161724135557</v>
      </c>
    </row>
    <row r="570" spans="1:20" x14ac:dyDescent="0.25">
      <c r="A570" s="5">
        <v>44014</v>
      </c>
      <c r="B570">
        <v>3.2360000000000001E-4</v>
      </c>
      <c r="C570">
        <v>3.5940000000000001E-4</v>
      </c>
      <c r="D570">
        <v>3.1720000000000001E-4</v>
      </c>
      <c r="E570">
        <v>3.2529999999999999E-4</v>
      </c>
      <c r="F570">
        <v>12357590037</v>
      </c>
      <c r="G570">
        <v>0</v>
      </c>
      <c r="L570" t="s">
        <v>7</v>
      </c>
      <c r="M570" t="s">
        <v>8</v>
      </c>
      <c r="N570" t="s">
        <v>8</v>
      </c>
      <c r="P570">
        <f t="shared" si="940"/>
        <v>-0.61611374407583031</v>
      </c>
      <c r="Q570">
        <f t="shared" si="941"/>
        <v>-7613681065.4502487</v>
      </c>
      <c r="R570">
        <f t="shared" si="942"/>
        <v>131879827945.52225</v>
      </c>
      <c r="S570">
        <f t="shared" si="943"/>
        <v>1318798.2794552224</v>
      </c>
      <c r="T570">
        <f t="shared" si="944"/>
        <v>1318.7982794552224</v>
      </c>
    </row>
    <row r="571" spans="1:20" x14ac:dyDescent="0.25">
      <c r="A571" s="5">
        <v>44013</v>
      </c>
      <c r="B571">
        <v>2.9460000000000001E-4</v>
      </c>
      <c r="C571">
        <v>3.2719999999999998E-4</v>
      </c>
      <c r="D571">
        <v>2.9250000000000001E-4</v>
      </c>
      <c r="E571">
        <v>3.2360000000000001E-4</v>
      </c>
      <c r="F571">
        <v>6256297259</v>
      </c>
      <c r="G571">
        <v>0</v>
      </c>
      <c r="L571" t="s">
        <v>8</v>
      </c>
      <c r="M571" t="s">
        <v>7</v>
      </c>
      <c r="N571" t="s">
        <v>8</v>
      </c>
      <c r="P571">
        <f t="shared" si="940"/>
        <v>0.79250720461095203</v>
      </c>
      <c r="Q571">
        <f t="shared" si="941"/>
        <v>4958160651.9452515</v>
      </c>
      <c r="R571">
        <f t="shared" si="942"/>
        <v>139493509010.9725</v>
      </c>
      <c r="S571">
        <f t="shared" si="943"/>
        <v>1394935.090109725</v>
      </c>
      <c r="T571">
        <f t="shared" si="944"/>
        <v>1394.935090109725</v>
      </c>
    </row>
    <row r="572" spans="1:20" x14ac:dyDescent="0.25">
      <c r="A572" s="5">
        <v>44012</v>
      </c>
      <c r="B572">
        <v>2.944E-4</v>
      </c>
      <c r="C572">
        <v>3.009E-4</v>
      </c>
      <c r="D572">
        <v>2.9280000000000002E-4</v>
      </c>
      <c r="E572">
        <v>2.9460000000000001E-4</v>
      </c>
      <c r="F572">
        <v>3439340750</v>
      </c>
      <c r="G572">
        <v>0</v>
      </c>
      <c r="L572" t="s">
        <v>7</v>
      </c>
      <c r="M572" t="s">
        <v>7</v>
      </c>
      <c r="N572" t="s">
        <v>8</v>
      </c>
      <c r="P572">
        <f t="shared" si="940"/>
        <v>-0.55555555555555702</v>
      </c>
      <c r="Q572">
        <f t="shared" si="941"/>
        <v>-1910744861.1111162</v>
      </c>
      <c r="R572">
        <f t="shared" si="942"/>
        <v>134535348359.02725</v>
      </c>
      <c r="S572">
        <f t="shared" si="943"/>
        <v>1345353.4835902725</v>
      </c>
      <c r="T572">
        <f t="shared" si="944"/>
        <v>1345.3534835902724</v>
      </c>
    </row>
    <row r="573" spans="1:20" x14ac:dyDescent="0.25">
      <c r="A573" s="5">
        <v>44011</v>
      </c>
      <c r="B573">
        <v>2.9409999999999999E-4</v>
      </c>
      <c r="C573">
        <v>2.9700000000000001E-4</v>
      </c>
      <c r="D573">
        <v>2.9050000000000001E-4</v>
      </c>
      <c r="E573">
        <v>2.945E-4</v>
      </c>
      <c r="F573">
        <v>4224670160</v>
      </c>
      <c r="G573">
        <v>0</v>
      </c>
      <c r="L573" t="s">
        <v>8</v>
      </c>
      <c r="M573" t="s">
        <v>7</v>
      </c>
      <c r="N573" t="s">
        <v>8</v>
      </c>
      <c r="P573">
        <f t="shared" ref="P573:P636" si="945">IF(C573=D573,0,((E573-D573)-(C573-E573))/(C573-D573))</f>
        <v>0.2307692307692282</v>
      </c>
      <c r="Q573">
        <f t="shared" ref="Q573:Q636" si="946">F573*P573</f>
        <v>974923883.07691228</v>
      </c>
      <c r="R573">
        <f t="shared" ref="R573:R636" si="947">R574+Q573</f>
        <v>136446093220.13837</v>
      </c>
      <c r="S573">
        <f t="shared" ref="S573:S636" si="948">R573/100000</f>
        <v>1364460.9322013836</v>
      </c>
      <c r="T573">
        <f t="shared" ref="T573:T636" si="949">S573/1000</f>
        <v>1364.4609322013837</v>
      </c>
    </row>
    <row r="574" spans="1:20" x14ac:dyDescent="0.25">
      <c r="A574" s="5">
        <v>44010</v>
      </c>
      <c r="B574">
        <v>2.9399999999999999E-4</v>
      </c>
      <c r="C574">
        <v>2.989E-4</v>
      </c>
      <c r="D574">
        <v>2.8860000000000002E-4</v>
      </c>
      <c r="E574">
        <v>2.9409999999999999E-4</v>
      </c>
      <c r="F574">
        <v>2800438632</v>
      </c>
      <c r="G574">
        <v>0</v>
      </c>
      <c r="L574" t="s">
        <v>7</v>
      </c>
      <c r="M574" t="s">
        <v>7</v>
      </c>
      <c r="N574" t="s">
        <v>8</v>
      </c>
      <c r="P574">
        <f t="shared" si="945"/>
        <v>6.7961165048540217E-2</v>
      </c>
      <c r="Q574">
        <f t="shared" si="946"/>
        <v>190321072.07766017</v>
      </c>
      <c r="R574">
        <f t="shared" si="947"/>
        <v>135471169337.06145</v>
      </c>
      <c r="S574">
        <f t="shared" si="948"/>
        <v>1354711.6933706144</v>
      </c>
      <c r="T574">
        <f t="shared" si="949"/>
        <v>1354.7116933706145</v>
      </c>
    </row>
    <row r="575" spans="1:20" x14ac:dyDescent="0.25">
      <c r="A575" s="5">
        <v>44009</v>
      </c>
      <c r="B575">
        <v>2.99E-4</v>
      </c>
      <c r="C575">
        <v>3.1E-4</v>
      </c>
      <c r="D575">
        <v>2.9030000000000001E-4</v>
      </c>
      <c r="E575">
        <v>2.9399999999999999E-4</v>
      </c>
      <c r="F575">
        <v>6603115854</v>
      </c>
      <c r="G575">
        <v>0</v>
      </c>
      <c r="L575" t="s">
        <v>8</v>
      </c>
      <c r="M575" t="s">
        <v>7</v>
      </c>
      <c r="N575" t="s">
        <v>8</v>
      </c>
      <c r="P575">
        <f t="shared" si="945"/>
        <v>-0.62436548223350419</v>
      </c>
      <c r="Q575">
        <f t="shared" si="946"/>
        <v>-4122757614.4264069</v>
      </c>
      <c r="R575">
        <f t="shared" si="947"/>
        <v>135280848264.98378</v>
      </c>
      <c r="S575">
        <f t="shared" si="948"/>
        <v>1352808.4826498379</v>
      </c>
      <c r="T575">
        <f t="shared" si="949"/>
        <v>1352.8084826498377</v>
      </c>
    </row>
    <row r="576" spans="1:20" x14ac:dyDescent="0.25">
      <c r="A576" s="5">
        <v>44008</v>
      </c>
      <c r="B576">
        <v>2.9849999999999999E-4</v>
      </c>
      <c r="C576">
        <v>3.077E-4</v>
      </c>
      <c r="D576">
        <v>2.9379999999999999E-4</v>
      </c>
      <c r="E576">
        <v>2.9910000000000001E-4</v>
      </c>
      <c r="F576">
        <v>5170764286</v>
      </c>
      <c r="G576">
        <v>0</v>
      </c>
      <c r="L576" t="s">
        <v>7</v>
      </c>
      <c r="M576" t="s">
        <v>7</v>
      </c>
      <c r="N576" t="s">
        <v>8</v>
      </c>
      <c r="P576">
        <f t="shared" si="945"/>
        <v>-0.23741007194244379</v>
      </c>
      <c r="Q576">
        <f t="shared" si="946"/>
        <v>-1227591521.1366789</v>
      </c>
      <c r="R576">
        <f t="shared" si="947"/>
        <v>139403605879.41019</v>
      </c>
      <c r="S576">
        <f t="shared" si="948"/>
        <v>1394036.0587941019</v>
      </c>
      <c r="T576">
        <f t="shared" si="949"/>
        <v>1394.036058794102</v>
      </c>
    </row>
    <row r="577" spans="1:20" x14ac:dyDescent="0.25">
      <c r="A577" s="5">
        <v>44007</v>
      </c>
      <c r="B577">
        <v>3.012E-4</v>
      </c>
      <c r="C577">
        <v>3.0239999999999998E-4</v>
      </c>
      <c r="D577">
        <v>2.922E-4</v>
      </c>
      <c r="E577">
        <v>2.9849999999999999E-4</v>
      </c>
      <c r="F577">
        <v>5376182852</v>
      </c>
      <c r="G577">
        <v>0</v>
      </c>
      <c r="L577" t="s">
        <v>8</v>
      </c>
      <c r="M577" t="s">
        <v>7</v>
      </c>
      <c r="N577" t="s">
        <v>8</v>
      </c>
      <c r="P577">
        <f t="shared" si="945"/>
        <v>0.23529411764705976</v>
      </c>
      <c r="Q577">
        <f t="shared" si="946"/>
        <v>1264984200.4705932</v>
      </c>
      <c r="R577">
        <f t="shared" si="947"/>
        <v>140631197400.54688</v>
      </c>
      <c r="S577">
        <f t="shared" si="948"/>
        <v>1406311.9740054687</v>
      </c>
      <c r="T577">
        <f t="shared" si="949"/>
        <v>1406.3119740054688</v>
      </c>
    </row>
    <row r="578" spans="1:20" x14ac:dyDescent="0.25">
      <c r="A578" s="5">
        <v>44006</v>
      </c>
      <c r="B578">
        <v>3.0830000000000001E-4</v>
      </c>
      <c r="C578">
        <v>3.1330000000000003E-4</v>
      </c>
      <c r="D578">
        <v>2.9849999999999999E-4</v>
      </c>
      <c r="E578">
        <v>3.012E-4</v>
      </c>
      <c r="F578">
        <v>5427468585</v>
      </c>
      <c r="G578">
        <v>0</v>
      </c>
      <c r="L578" t="s">
        <v>7</v>
      </c>
      <c r="M578" t="s">
        <v>7</v>
      </c>
      <c r="N578" t="s">
        <v>8</v>
      </c>
      <c r="P578">
        <f t="shared" si="945"/>
        <v>-0.63513513513513442</v>
      </c>
      <c r="Q578">
        <f t="shared" si="946"/>
        <v>-3447175993.1756716</v>
      </c>
      <c r="R578">
        <f t="shared" si="947"/>
        <v>139366213200.07629</v>
      </c>
      <c r="S578">
        <f t="shared" si="948"/>
        <v>1393662.132000763</v>
      </c>
      <c r="T578">
        <f t="shared" si="949"/>
        <v>1393.662132000763</v>
      </c>
    </row>
    <row r="579" spans="1:20" x14ac:dyDescent="0.25">
      <c r="A579" s="5">
        <v>44005</v>
      </c>
      <c r="B579">
        <v>3.1359999999999998E-4</v>
      </c>
      <c r="C579">
        <v>3.1540000000000002E-4</v>
      </c>
      <c r="D579">
        <v>3.078E-4</v>
      </c>
      <c r="E579">
        <v>3.0830000000000001E-4</v>
      </c>
      <c r="F579">
        <v>5252635249</v>
      </c>
      <c r="G579">
        <v>0</v>
      </c>
      <c r="L579" t="s">
        <v>8</v>
      </c>
      <c r="M579" t="s">
        <v>7</v>
      </c>
      <c r="N579" t="s">
        <v>8</v>
      </c>
      <c r="P579">
        <f t="shared" si="945"/>
        <v>-0.8684210526315761</v>
      </c>
      <c r="Q579">
        <f t="shared" si="946"/>
        <v>-4561499032.0263004</v>
      </c>
      <c r="R579">
        <f t="shared" si="947"/>
        <v>142813389193.25195</v>
      </c>
      <c r="S579">
        <f t="shared" si="948"/>
        <v>1428133.8919325196</v>
      </c>
      <c r="T579">
        <f t="shared" si="949"/>
        <v>1428.1338919325196</v>
      </c>
    </row>
    <row r="580" spans="1:20" x14ac:dyDescent="0.25">
      <c r="A580" s="5">
        <v>44004</v>
      </c>
      <c r="B580">
        <v>3.0059999999999999E-4</v>
      </c>
      <c r="C580">
        <v>3.1619999999999999E-4</v>
      </c>
      <c r="D580">
        <v>3.0049999999999999E-4</v>
      </c>
      <c r="E580">
        <v>3.1359999999999998E-4</v>
      </c>
      <c r="F580">
        <v>5659569596</v>
      </c>
      <c r="G580">
        <v>0</v>
      </c>
      <c r="L580" t="s">
        <v>7</v>
      </c>
      <c r="M580" t="s">
        <v>7</v>
      </c>
      <c r="N580" t="s">
        <v>8</v>
      </c>
      <c r="P580">
        <f t="shared" si="945"/>
        <v>0.6687898089171963</v>
      </c>
      <c r="Q580">
        <f t="shared" si="946"/>
        <v>3785062468.6624141</v>
      </c>
      <c r="R580">
        <f t="shared" si="947"/>
        <v>147374888225.27826</v>
      </c>
      <c r="S580">
        <f t="shared" si="948"/>
        <v>1473748.8822527826</v>
      </c>
      <c r="T580">
        <f t="shared" si="949"/>
        <v>1473.7488822527826</v>
      </c>
    </row>
    <row r="581" spans="1:20" x14ac:dyDescent="0.25">
      <c r="A581" s="5">
        <v>44003</v>
      </c>
      <c r="B581">
        <v>2.9960000000000002E-4</v>
      </c>
      <c r="C581">
        <v>3.0390000000000001E-4</v>
      </c>
      <c r="D581">
        <v>2.9599999999999998E-4</v>
      </c>
      <c r="E581">
        <v>3.0059999999999999E-4</v>
      </c>
      <c r="F581">
        <v>3761043837</v>
      </c>
      <c r="G581">
        <v>0</v>
      </c>
      <c r="L581" t="s">
        <v>8</v>
      </c>
      <c r="M581" t="s">
        <v>7</v>
      </c>
      <c r="N581" t="s">
        <v>8</v>
      </c>
      <c r="P581">
        <f t="shared" si="945"/>
        <v>0.16455696202531298</v>
      </c>
      <c r="Q581">
        <f t="shared" si="946"/>
        <v>618905947.86074638</v>
      </c>
      <c r="R581">
        <f t="shared" si="947"/>
        <v>143589825756.61584</v>
      </c>
      <c r="S581">
        <f t="shared" si="948"/>
        <v>1435898.2575661584</v>
      </c>
      <c r="T581">
        <f t="shared" si="949"/>
        <v>1435.8982575661585</v>
      </c>
    </row>
    <row r="582" spans="1:20" x14ac:dyDescent="0.25">
      <c r="A582" s="5">
        <v>44002</v>
      </c>
      <c r="B582">
        <v>2.9639999999999999E-4</v>
      </c>
      <c r="C582">
        <v>3.0079999999999999E-4</v>
      </c>
      <c r="D582">
        <v>2.9139999999999998E-4</v>
      </c>
      <c r="E582">
        <v>2.9960000000000002E-4</v>
      </c>
      <c r="F582">
        <v>3572758092</v>
      </c>
      <c r="G582">
        <v>0</v>
      </c>
      <c r="L582" t="s">
        <v>7</v>
      </c>
      <c r="M582" t="s">
        <v>7</v>
      </c>
      <c r="N582" t="s">
        <v>8</v>
      </c>
      <c r="P582">
        <f t="shared" si="945"/>
        <v>0.74468085106383541</v>
      </c>
      <c r="Q582">
        <f t="shared" si="946"/>
        <v>2660564536.5957646</v>
      </c>
      <c r="R582">
        <f t="shared" si="947"/>
        <v>142970919808.7551</v>
      </c>
      <c r="S582">
        <f t="shared" si="948"/>
        <v>1429709.1980875509</v>
      </c>
      <c r="T582">
        <f t="shared" si="949"/>
        <v>1429.7091980875509</v>
      </c>
    </row>
    <row r="583" spans="1:20" x14ac:dyDescent="0.25">
      <c r="A583" s="5">
        <v>44001</v>
      </c>
      <c r="B583">
        <v>3.033E-4</v>
      </c>
      <c r="C583">
        <v>3.0380000000000001E-4</v>
      </c>
      <c r="D583">
        <v>2.9500000000000001E-4</v>
      </c>
      <c r="E583">
        <v>2.9639999999999999E-4</v>
      </c>
      <c r="F583">
        <v>5370519055</v>
      </c>
      <c r="G583">
        <v>0</v>
      </c>
      <c r="L583" t="s">
        <v>8</v>
      </c>
      <c r="M583" t="s">
        <v>7</v>
      </c>
      <c r="N583" t="s">
        <v>8</v>
      </c>
      <c r="P583">
        <f t="shared" si="945"/>
        <v>-0.68181818181818632</v>
      </c>
      <c r="Q583">
        <f t="shared" si="946"/>
        <v>-3661717537.5000243</v>
      </c>
      <c r="R583">
        <f t="shared" si="947"/>
        <v>140310355272.15933</v>
      </c>
      <c r="S583">
        <f t="shared" si="948"/>
        <v>1403103.5527215933</v>
      </c>
      <c r="T583">
        <f t="shared" si="949"/>
        <v>1403.1035527215934</v>
      </c>
    </row>
    <row r="584" spans="1:20" x14ac:dyDescent="0.25">
      <c r="A584" s="5">
        <v>44000</v>
      </c>
      <c r="B584">
        <v>3.0660000000000003E-4</v>
      </c>
      <c r="C584">
        <v>3.0749999999999999E-4</v>
      </c>
      <c r="D584">
        <v>2.9720000000000001E-4</v>
      </c>
      <c r="E584">
        <v>3.0289999999999999E-4</v>
      </c>
      <c r="F584">
        <v>3298467792</v>
      </c>
      <c r="G584">
        <v>0</v>
      </c>
      <c r="L584" t="s">
        <v>7</v>
      </c>
      <c r="M584" t="s">
        <v>7</v>
      </c>
      <c r="N584" t="s">
        <v>8</v>
      </c>
      <c r="P584">
        <f t="shared" si="945"/>
        <v>0.10679611650485192</v>
      </c>
      <c r="Q584">
        <f t="shared" si="946"/>
        <v>352263550.60193366</v>
      </c>
      <c r="R584">
        <f t="shared" si="947"/>
        <v>143972072809.65936</v>
      </c>
      <c r="S584">
        <f t="shared" si="948"/>
        <v>1439720.7280965936</v>
      </c>
      <c r="T584">
        <f t="shared" si="949"/>
        <v>1439.7207280965936</v>
      </c>
    </row>
    <row r="585" spans="1:20" x14ac:dyDescent="0.25">
      <c r="A585" s="5">
        <v>43999</v>
      </c>
      <c r="B585">
        <v>3.0810000000000001E-4</v>
      </c>
      <c r="C585">
        <v>3.1179999999999999E-4</v>
      </c>
      <c r="D585">
        <v>3.0009999999999998E-4</v>
      </c>
      <c r="E585">
        <v>3.0660000000000003E-4</v>
      </c>
      <c r="F585">
        <v>4347727143</v>
      </c>
      <c r="G585">
        <v>0</v>
      </c>
      <c r="L585" t="s">
        <v>8</v>
      </c>
      <c r="M585" t="s">
        <v>7</v>
      </c>
      <c r="N585" t="s">
        <v>8</v>
      </c>
      <c r="P585">
        <f t="shared" si="945"/>
        <v>0.11111111111111832</v>
      </c>
      <c r="Q585">
        <f t="shared" si="946"/>
        <v>483080793.66669804</v>
      </c>
      <c r="R585">
        <f t="shared" si="947"/>
        <v>143619809259.05743</v>
      </c>
      <c r="S585">
        <f t="shared" si="948"/>
        <v>1436198.0925905744</v>
      </c>
      <c r="T585">
        <f t="shared" si="949"/>
        <v>1436.1980925905743</v>
      </c>
    </row>
    <row r="586" spans="1:20" x14ac:dyDescent="0.25">
      <c r="A586" s="5">
        <v>43998</v>
      </c>
      <c r="B586">
        <v>2.9829999999999999E-4</v>
      </c>
      <c r="C586">
        <v>3.0909999999999998E-4</v>
      </c>
      <c r="D586">
        <v>2.9579999999999998E-4</v>
      </c>
      <c r="E586">
        <v>3.0810000000000001E-4</v>
      </c>
      <c r="F586">
        <v>5911717915</v>
      </c>
      <c r="G586">
        <v>0</v>
      </c>
      <c r="L586" t="s">
        <v>7</v>
      </c>
      <c r="M586" t="s">
        <v>7</v>
      </c>
      <c r="N586" t="s">
        <v>8</v>
      </c>
      <c r="P586">
        <f t="shared" si="945"/>
        <v>0.84962406015038039</v>
      </c>
      <c r="Q586">
        <f t="shared" si="946"/>
        <v>5022737777.4060411</v>
      </c>
      <c r="R586">
        <f t="shared" si="947"/>
        <v>143136728465.39075</v>
      </c>
      <c r="S586">
        <f t="shared" si="948"/>
        <v>1431367.2846539074</v>
      </c>
      <c r="T586">
        <f t="shared" si="949"/>
        <v>1431.3672846539075</v>
      </c>
    </row>
    <row r="587" spans="1:20" x14ac:dyDescent="0.25">
      <c r="A587" s="5">
        <v>43997</v>
      </c>
      <c r="B587">
        <v>3.012E-4</v>
      </c>
      <c r="C587">
        <v>3.0150000000000001E-4</v>
      </c>
      <c r="D587">
        <v>2.8069999999999999E-4</v>
      </c>
      <c r="E587">
        <v>2.9829999999999999E-4</v>
      </c>
      <c r="F587">
        <v>6335603950</v>
      </c>
      <c r="G587">
        <v>0</v>
      </c>
      <c r="L587" t="s">
        <v>8</v>
      </c>
      <c r="M587" t="s">
        <v>7</v>
      </c>
      <c r="N587" t="s">
        <v>8</v>
      </c>
      <c r="P587">
        <f t="shared" si="945"/>
        <v>0.69230769230769029</v>
      </c>
      <c r="Q587">
        <f t="shared" si="946"/>
        <v>4386187349.9999876</v>
      </c>
      <c r="R587">
        <f t="shared" si="947"/>
        <v>138113990687.98471</v>
      </c>
      <c r="S587">
        <f t="shared" si="948"/>
        <v>1381139.9068798472</v>
      </c>
      <c r="T587">
        <f t="shared" si="949"/>
        <v>1381.1399068798471</v>
      </c>
    </row>
    <row r="588" spans="1:20" x14ac:dyDescent="0.25">
      <c r="A588" s="5">
        <v>43996</v>
      </c>
      <c r="B588">
        <v>3.1250000000000001E-4</v>
      </c>
      <c r="C588">
        <v>3.1290000000000002E-4</v>
      </c>
      <c r="D588">
        <v>2.988E-4</v>
      </c>
      <c r="E588">
        <v>3.012E-4</v>
      </c>
      <c r="F588">
        <v>3970973225</v>
      </c>
      <c r="G588">
        <v>0</v>
      </c>
      <c r="L588" t="s">
        <v>7</v>
      </c>
      <c r="M588" t="s">
        <v>7</v>
      </c>
      <c r="N588" t="s">
        <v>8</v>
      </c>
      <c r="P588">
        <f t="shared" si="945"/>
        <v>-0.65957446808510622</v>
      </c>
      <c r="Q588">
        <f t="shared" si="946"/>
        <v>-2619152552.659574</v>
      </c>
      <c r="R588">
        <f t="shared" si="947"/>
        <v>133727803337.98473</v>
      </c>
      <c r="S588">
        <f t="shared" si="948"/>
        <v>1337278.0333798472</v>
      </c>
      <c r="T588">
        <f t="shared" si="949"/>
        <v>1337.2780333798471</v>
      </c>
    </row>
    <row r="589" spans="1:20" x14ac:dyDescent="0.25">
      <c r="A589" s="5">
        <v>43995</v>
      </c>
      <c r="B589">
        <v>3.0210000000000002E-4</v>
      </c>
      <c r="C589">
        <v>3.143E-4</v>
      </c>
      <c r="D589">
        <v>2.9609999999999999E-4</v>
      </c>
      <c r="E589">
        <v>3.123E-4</v>
      </c>
      <c r="F589">
        <v>3848893834</v>
      </c>
      <c r="G589">
        <v>0</v>
      </c>
      <c r="L589" t="s">
        <v>8</v>
      </c>
      <c r="M589" t="s">
        <v>7</v>
      </c>
      <c r="N589" t="s">
        <v>8</v>
      </c>
      <c r="P589">
        <f t="shared" si="945"/>
        <v>0.78021978021978089</v>
      </c>
      <c r="Q589">
        <f t="shared" si="946"/>
        <v>3002983101.2527499</v>
      </c>
      <c r="R589">
        <f t="shared" si="947"/>
        <v>136346955890.6443</v>
      </c>
      <c r="S589">
        <f t="shared" si="948"/>
        <v>1363469.558906443</v>
      </c>
      <c r="T589">
        <f t="shared" si="949"/>
        <v>1363.4695589064429</v>
      </c>
    </row>
    <row r="590" spans="1:20" x14ac:dyDescent="0.25">
      <c r="A590" s="5">
        <v>43994</v>
      </c>
      <c r="B590">
        <v>2.8509999999999999E-4</v>
      </c>
      <c r="C590">
        <v>3.0360000000000001E-4</v>
      </c>
      <c r="D590">
        <v>2.8229999999999998E-4</v>
      </c>
      <c r="E590">
        <v>3.0210000000000002E-4</v>
      </c>
      <c r="F590">
        <v>5665429339</v>
      </c>
      <c r="G590">
        <v>0</v>
      </c>
      <c r="L590" t="s">
        <v>7</v>
      </c>
      <c r="M590" t="s">
        <v>7</v>
      </c>
      <c r="N590" t="s">
        <v>8</v>
      </c>
      <c r="P590">
        <f t="shared" si="945"/>
        <v>0.85915492957746664</v>
      </c>
      <c r="Q590">
        <f t="shared" si="946"/>
        <v>4867481544.7746582</v>
      </c>
      <c r="R590">
        <f t="shared" si="947"/>
        <v>133343972789.39156</v>
      </c>
      <c r="S590">
        <f t="shared" si="948"/>
        <v>1333439.7278939155</v>
      </c>
      <c r="T590">
        <f t="shared" si="949"/>
        <v>1333.4397278939155</v>
      </c>
    </row>
    <row r="591" spans="1:20" x14ac:dyDescent="0.25">
      <c r="A591" s="5">
        <v>43993</v>
      </c>
      <c r="B591">
        <v>3.212E-4</v>
      </c>
      <c r="C591">
        <v>3.2499999999999999E-4</v>
      </c>
      <c r="D591">
        <v>2.8360000000000001E-4</v>
      </c>
      <c r="E591">
        <v>2.855E-4</v>
      </c>
      <c r="F591">
        <v>6418121175</v>
      </c>
      <c r="G591">
        <v>0</v>
      </c>
      <c r="L591" t="s">
        <v>8</v>
      </c>
      <c r="M591" t="s">
        <v>7</v>
      </c>
      <c r="N591" t="s">
        <v>8</v>
      </c>
      <c r="P591">
        <f t="shared" si="945"/>
        <v>-0.9082125603864738</v>
      </c>
      <c r="Q591">
        <f t="shared" si="946"/>
        <v>-5829018265.2173939</v>
      </c>
      <c r="R591">
        <f t="shared" si="947"/>
        <v>128476491244.6169</v>
      </c>
      <c r="S591">
        <f t="shared" si="948"/>
        <v>1284764.9124461689</v>
      </c>
      <c r="T591">
        <f t="shared" si="949"/>
        <v>1284.7649124461689</v>
      </c>
    </row>
    <row r="592" spans="1:20" x14ac:dyDescent="0.25">
      <c r="A592" s="5">
        <v>43992</v>
      </c>
      <c r="B592">
        <v>3.2279999999999999E-4</v>
      </c>
      <c r="C592">
        <v>3.2400000000000001E-4</v>
      </c>
      <c r="D592">
        <v>3.1500000000000001E-4</v>
      </c>
      <c r="E592">
        <v>3.211E-4</v>
      </c>
      <c r="F592">
        <v>4701788701</v>
      </c>
      <c r="G592">
        <v>0</v>
      </c>
      <c r="L592" t="s">
        <v>7</v>
      </c>
      <c r="M592" t="s">
        <v>8</v>
      </c>
      <c r="N592" t="s">
        <v>8</v>
      </c>
      <c r="P592">
        <f t="shared" si="945"/>
        <v>0.35555555555555207</v>
      </c>
      <c r="Q592">
        <f t="shared" si="946"/>
        <v>1671747093.6888726</v>
      </c>
      <c r="R592">
        <f t="shared" si="947"/>
        <v>134305509509.83429</v>
      </c>
      <c r="S592">
        <f t="shared" si="948"/>
        <v>1343055.095098343</v>
      </c>
      <c r="T592">
        <f t="shared" si="949"/>
        <v>1343.0550950983429</v>
      </c>
    </row>
    <row r="593" spans="1:20" x14ac:dyDescent="0.25">
      <c r="A593" s="5">
        <v>43991</v>
      </c>
      <c r="B593">
        <v>3.2630000000000002E-4</v>
      </c>
      <c r="C593">
        <v>3.347E-4</v>
      </c>
      <c r="D593">
        <v>3.167E-4</v>
      </c>
      <c r="E593">
        <v>3.2269999999999998E-4</v>
      </c>
      <c r="F593">
        <v>4424036788</v>
      </c>
      <c r="G593">
        <v>0</v>
      </c>
      <c r="L593" t="s">
        <v>8</v>
      </c>
      <c r="M593" t="s">
        <v>8</v>
      </c>
      <c r="N593" t="s">
        <v>8</v>
      </c>
      <c r="P593">
        <f t="shared" si="945"/>
        <v>-0.33333333333333537</v>
      </c>
      <c r="Q593">
        <f t="shared" si="946"/>
        <v>-1474678929.3333423</v>
      </c>
      <c r="R593">
        <f t="shared" si="947"/>
        <v>132633762416.14542</v>
      </c>
      <c r="S593">
        <f t="shared" si="948"/>
        <v>1326337.6241614542</v>
      </c>
      <c r="T593">
        <f t="shared" si="949"/>
        <v>1326.3376241614542</v>
      </c>
    </row>
    <row r="594" spans="1:20" x14ac:dyDescent="0.25">
      <c r="A594" s="5">
        <v>43990</v>
      </c>
      <c r="B594">
        <v>3.2489999999999998E-4</v>
      </c>
      <c r="C594">
        <v>3.2939999999999998E-4</v>
      </c>
      <c r="D594">
        <v>3.1859999999999999E-4</v>
      </c>
      <c r="E594">
        <v>3.2630000000000002E-4</v>
      </c>
      <c r="F594">
        <v>3334652449</v>
      </c>
      <c r="G594">
        <v>0</v>
      </c>
      <c r="L594" t="s">
        <v>7</v>
      </c>
      <c r="M594" t="s">
        <v>8</v>
      </c>
      <c r="N594" t="s">
        <v>8</v>
      </c>
      <c r="P594">
        <f t="shared" si="945"/>
        <v>0.42592592592593159</v>
      </c>
      <c r="Q594">
        <f t="shared" si="946"/>
        <v>1420314931.9815004</v>
      </c>
      <c r="R594">
        <f t="shared" si="947"/>
        <v>134108441345.47876</v>
      </c>
      <c r="S594">
        <f t="shared" si="948"/>
        <v>1341084.4134547876</v>
      </c>
      <c r="T594">
        <f t="shared" si="949"/>
        <v>1341.0844134547876</v>
      </c>
    </row>
    <row r="595" spans="1:20" x14ac:dyDescent="0.25">
      <c r="A595" s="5">
        <v>43989</v>
      </c>
      <c r="B595">
        <v>3.2689999999999998E-4</v>
      </c>
      <c r="C595">
        <v>3.302E-4</v>
      </c>
      <c r="D595">
        <v>3.0669999999999997E-4</v>
      </c>
      <c r="E595">
        <v>3.2489999999999998E-4</v>
      </c>
      <c r="F595">
        <v>4491215361</v>
      </c>
      <c r="G595">
        <v>0</v>
      </c>
      <c r="L595" t="s">
        <v>8</v>
      </c>
      <c r="M595" t="s">
        <v>8</v>
      </c>
      <c r="N595" t="s">
        <v>8</v>
      </c>
      <c r="P595">
        <f t="shared" si="945"/>
        <v>0.54893617021276475</v>
      </c>
      <c r="Q595">
        <f t="shared" si="946"/>
        <v>2465390559.8680797</v>
      </c>
      <c r="R595">
        <f t="shared" si="947"/>
        <v>132688126413.49725</v>
      </c>
      <c r="S595">
        <f t="shared" si="948"/>
        <v>1326881.2641349726</v>
      </c>
      <c r="T595">
        <f t="shared" si="949"/>
        <v>1326.8812641349725</v>
      </c>
    </row>
    <row r="596" spans="1:20" x14ac:dyDescent="0.25">
      <c r="A596" s="5">
        <v>43988</v>
      </c>
      <c r="B596">
        <v>3.2870000000000002E-4</v>
      </c>
      <c r="C596">
        <v>3.3169999999999999E-4</v>
      </c>
      <c r="D596">
        <v>3.2089999999999999E-4</v>
      </c>
      <c r="E596">
        <v>3.2689999999999998E-4</v>
      </c>
      <c r="F596">
        <v>3408538093</v>
      </c>
      <c r="G596">
        <v>0</v>
      </c>
      <c r="L596" t="s">
        <v>7</v>
      </c>
      <c r="M596" t="s">
        <v>8</v>
      </c>
      <c r="N596" t="s">
        <v>8</v>
      </c>
      <c r="P596">
        <f t="shared" si="945"/>
        <v>0.11111111111110888</v>
      </c>
      <c r="Q596">
        <f t="shared" si="946"/>
        <v>378726454.77777016</v>
      </c>
      <c r="R596">
        <f t="shared" si="947"/>
        <v>130222735853.62918</v>
      </c>
      <c r="S596">
        <f t="shared" si="948"/>
        <v>1302227.3585362919</v>
      </c>
      <c r="T596">
        <f t="shared" si="949"/>
        <v>1302.2273585362918</v>
      </c>
    </row>
    <row r="597" spans="1:20" x14ac:dyDescent="0.25">
      <c r="A597" s="5">
        <v>43987</v>
      </c>
      <c r="B597">
        <v>3.1470000000000001E-4</v>
      </c>
      <c r="C597">
        <v>3.3990000000000002E-4</v>
      </c>
      <c r="D597">
        <v>3.144E-4</v>
      </c>
      <c r="E597">
        <v>3.2870000000000002E-4</v>
      </c>
      <c r="F597">
        <v>6193380860</v>
      </c>
      <c r="G597">
        <v>0</v>
      </c>
      <c r="L597" t="s">
        <v>8</v>
      </c>
      <c r="M597" t="s">
        <v>8</v>
      </c>
      <c r="N597" t="s">
        <v>8</v>
      </c>
      <c r="P597">
        <f t="shared" si="945"/>
        <v>0.12156862745098111</v>
      </c>
      <c r="Q597">
        <f t="shared" si="946"/>
        <v>752920810.43137705</v>
      </c>
      <c r="R597">
        <f t="shared" si="947"/>
        <v>129844009398.85141</v>
      </c>
      <c r="S597">
        <f t="shared" si="948"/>
        <v>1298440.093988514</v>
      </c>
      <c r="T597">
        <f t="shared" si="949"/>
        <v>1298.440093988514</v>
      </c>
    </row>
    <row r="598" spans="1:20" x14ac:dyDescent="0.25">
      <c r="A598" s="5">
        <v>43986</v>
      </c>
      <c r="B598">
        <v>3.0130000000000001E-4</v>
      </c>
      <c r="C598">
        <v>3.2000000000000003E-4</v>
      </c>
      <c r="D598">
        <v>3.009E-4</v>
      </c>
      <c r="E598">
        <v>3.1470000000000001E-4</v>
      </c>
      <c r="F598">
        <v>5955011492</v>
      </c>
      <c r="G598">
        <v>0</v>
      </c>
      <c r="L598" t="s">
        <v>7</v>
      </c>
      <c r="M598" t="s">
        <v>8</v>
      </c>
      <c r="N598" t="s">
        <v>8</v>
      </c>
      <c r="P598">
        <f t="shared" si="945"/>
        <v>0.44502617801046995</v>
      </c>
      <c r="Q598">
        <f t="shared" si="946"/>
        <v>2650136004.2931862</v>
      </c>
      <c r="R598">
        <f t="shared" si="947"/>
        <v>129091088588.42003</v>
      </c>
      <c r="S598">
        <f t="shared" si="948"/>
        <v>1290910.8858842002</v>
      </c>
      <c r="T598">
        <f t="shared" si="949"/>
        <v>1290.9108858842003</v>
      </c>
    </row>
    <row r="599" spans="1:20" x14ac:dyDescent="0.25">
      <c r="A599" s="5">
        <v>43985</v>
      </c>
      <c r="B599">
        <v>2.9700000000000001E-4</v>
      </c>
      <c r="C599">
        <v>3.0969999999999999E-4</v>
      </c>
      <c r="D599">
        <v>2.877E-4</v>
      </c>
      <c r="E599">
        <v>3.0130000000000001E-4</v>
      </c>
      <c r="F599">
        <v>4757076758</v>
      </c>
      <c r="G599">
        <v>0</v>
      </c>
      <c r="L599" t="s">
        <v>8</v>
      </c>
      <c r="M599" t="s">
        <v>8</v>
      </c>
      <c r="N599" t="s">
        <v>8</v>
      </c>
      <c r="P599">
        <f t="shared" si="945"/>
        <v>0.23636363636363725</v>
      </c>
      <c r="Q599">
        <f t="shared" si="946"/>
        <v>1124399960.9818225</v>
      </c>
      <c r="R599">
        <f t="shared" si="947"/>
        <v>126440952584.12685</v>
      </c>
      <c r="S599">
        <f t="shared" si="948"/>
        <v>1264409.5258412685</v>
      </c>
      <c r="T599">
        <f t="shared" si="949"/>
        <v>1264.4095258412685</v>
      </c>
    </row>
    <row r="600" spans="1:20" x14ac:dyDescent="0.25">
      <c r="A600" s="5">
        <v>43984</v>
      </c>
      <c r="B600">
        <v>3.0949999999999999E-4</v>
      </c>
      <c r="C600">
        <v>3.1320000000000002E-4</v>
      </c>
      <c r="D600">
        <v>2.8729999999999999E-4</v>
      </c>
      <c r="E600">
        <v>2.9720000000000001E-4</v>
      </c>
      <c r="F600">
        <v>7216645405</v>
      </c>
      <c r="G600">
        <v>0</v>
      </c>
      <c r="L600" t="s">
        <v>7</v>
      </c>
      <c r="M600" t="s">
        <v>8</v>
      </c>
      <c r="N600" t="s">
        <v>8</v>
      </c>
      <c r="P600">
        <f t="shared" si="945"/>
        <v>-0.23552123552123466</v>
      </c>
      <c r="Q600">
        <f t="shared" si="946"/>
        <v>-1699673242.1042409</v>
      </c>
      <c r="R600">
        <f t="shared" si="947"/>
        <v>125316552623.14502</v>
      </c>
      <c r="S600">
        <f t="shared" si="948"/>
        <v>1253165.5262314503</v>
      </c>
      <c r="T600">
        <f t="shared" si="949"/>
        <v>1253.1655262314503</v>
      </c>
    </row>
    <row r="601" spans="1:20" x14ac:dyDescent="0.25">
      <c r="A601" s="5">
        <v>43983</v>
      </c>
      <c r="B601">
        <v>2.9849999999999999E-4</v>
      </c>
      <c r="C601">
        <v>3.1280000000000001E-4</v>
      </c>
      <c r="D601">
        <v>2.965E-4</v>
      </c>
      <c r="E601">
        <v>3.102E-4</v>
      </c>
      <c r="F601">
        <v>4734231380</v>
      </c>
      <c r="G601">
        <v>0</v>
      </c>
      <c r="L601" t="s">
        <v>8</v>
      </c>
      <c r="M601" t="s">
        <v>8</v>
      </c>
      <c r="N601" t="s">
        <v>8</v>
      </c>
      <c r="P601">
        <f t="shared" si="945"/>
        <v>0.68098159509202372</v>
      </c>
      <c r="Q601">
        <f t="shared" si="946"/>
        <v>3223924436.6871128</v>
      </c>
      <c r="R601">
        <f t="shared" si="947"/>
        <v>127016225865.24927</v>
      </c>
      <c r="S601">
        <f t="shared" si="948"/>
        <v>1270162.2586524927</v>
      </c>
      <c r="T601">
        <f t="shared" si="949"/>
        <v>1270.1622586524927</v>
      </c>
    </row>
    <row r="602" spans="1:20" x14ac:dyDescent="0.25">
      <c r="A602" s="5">
        <v>43982</v>
      </c>
      <c r="B602">
        <v>3.0200000000000002E-4</v>
      </c>
      <c r="C602">
        <v>3.1490000000000001E-4</v>
      </c>
      <c r="D602">
        <v>2.9510000000000002E-4</v>
      </c>
      <c r="E602">
        <v>2.9849999999999999E-4</v>
      </c>
      <c r="F602">
        <v>5396980093</v>
      </c>
      <c r="G602">
        <v>0</v>
      </c>
      <c r="L602" t="s">
        <v>7</v>
      </c>
      <c r="M602" t="s">
        <v>8</v>
      </c>
      <c r="N602" t="s">
        <v>8</v>
      </c>
      <c r="P602">
        <f t="shared" si="945"/>
        <v>-0.65656565656565902</v>
      </c>
      <c r="Q602">
        <f t="shared" si="946"/>
        <v>-3543471778.2323365</v>
      </c>
      <c r="R602">
        <f t="shared" si="947"/>
        <v>123792301428.56215</v>
      </c>
      <c r="S602">
        <f t="shared" si="948"/>
        <v>1237923.0142856215</v>
      </c>
      <c r="T602">
        <f t="shared" si="949"/>
        <v>1237.9230142856215</v>
      </c>
    </row>
    <row r="603" spans="1:20" x14ac:dyDescent="0.25">
      <c r="A603" s="5">
        <v>43981</v>
      </c>
      <c r="B603">
        <v>2.901E-4</v>
      </c>
      <c r="C603">
        <v>3.0739999999999999E-4</v>
      </c>
      <c r="D603">
        <v>2.8640000000000002E-4</v>
      </c>
      <c r="E603">
        <v>3.0200000000000002E-4</v>
      </c>
      <c r="F603">
        <v>6355736948</v>
      </c>
      <c r="G603">
        <v>0</v>
      </c>
      <c r="L603" t="s">
        <v>8</v>
      </c>
      <c r="M603" t="s">
        <v>8</v>
      </c>
      <c r="N603" t="s">
        <v>8</v>
      </c>
      <c r="P603">
        <f t="shared" si="945"/>
        <v>0.48571428571428793</v>
      </c>
      <c r="Q603">
        <f t="shared" si="946"/>
        <v>3087072231.8857284</v>
      </c>
      <c r="R603">
        <f t="shared" si="947"/>
        <v>127335773206.79448</v>
      </c>
      <c r="S603">
        <f t="shared" si="948"/>
        <v>1273357.7320679447</v>
      </c>
      <c r="T603">
        <f t="shared" si="949"/>
        <v>1273.3577320679447</v>
      </c>
    </row>
    <row r="604" spans="1:20" x14ac:dyDescent="0.25">
      <c r="A604" s="5">
        <v>43980</v>
      </c>
      <c r="B604">
        <v>2.9030000000000001E-4</v>
      </c>
      <c r="C604">
        <v>2.9920000000000001E-4</v>
      </c>
      <c r="D604">
        <v>2.8620000000000002E-4</v>
      </c>
      <c r="E604">
        <v>2.9E-4</v>
      </c>
      <c r="F604">
        <v>5881347044</v>
      </c>
      <c r="G604">
        <v>0</v>
      </c>
      <c r="L604" t="s">
        <v>7</v>
      </c>
      <c r="M604" t="s">
        <v>8</v>
      </c>
      <c r="N604" t="s">
        <v>8</v>
      </c>
      <c r="P604">
        <f t="shared" si="945"/>
        <v>-0.41538461538461746</v>
      </c>
      <c r="Q604">
        <f t="shared" si="946"/>
        <v>-2443021079.8153968</v>
      </c>
      <c r="R604">
        <f t="shared" si="947"/>
        <v>124248700974.90875</v>
      </c>
      <c r="S604">
        <f t="shared" si="948"/>
        <v>1242487.0097490875</v>
      </c>
      <c r="T604">
        <f t="shared" si="949"/>
        <v>1242.4870097490875</v>
      </c>
    </row>
    <row r="605" spans="1:20" x14ac:dyDescent="0.25">
      <c r="A605" s="5">
        <v>43979</v>
      </c>
      <c r="B605">
        <v>2.8130000000000001E-4</v>
      </c>
      <c r="C605">
        <v>2.9060000000000002E-4</v>
      </c>
      <c r="D605">
        <v>2.789E-4</v>
      </c>
      <c r="E605">
        <v>2.899E-4</v>
      </c>
      <c r="F605">
        <v>6426770543</v>
      </c>
      <c r="G605">
        <v>0</v>
      </c>
      <c r="L605" t="s">
        <v>8</v>
      </c>
      <c r="M605" t="s">
        <v>8</v>
      </c>
      <c r="N605" t="s">
        <v>8</v>
      </c>
      <c r="P605">
        <f t="shared" si="945"/>
        <v>0.88034188034187755</v>
      </c>
      <c r="Q605">
        <f t="shared" si="946"/>
        <v>5657755264.3504095</v>
      </c>
      <c r="R605">
        <f t="shared" si="947"/>
        <v>126691722054.72415</v>
      </c>
      <c r="S605">
        <f t="shared" si="948"/>
        <v>1266917.2205472416</v>
      </c>
      <c r="T605">
        <f t="shared" si="949"/>
        <v>1266.9172205472416</v>
      </c>
    </row>
    <row r="606" spans="1:20" x14ac:dyDescent="0.25">
      <c r="A606" s="5">
        <v>43978</v>
      </c>
      <c r="B606">
        <v>2.8049999999999999E-4</v>
      </c>
      <c r="C606">
        <v>2.8499999999999999E-4</v>
      </c>
      <c r="D606">
        <v>2.7779999999999998E-4</v>
      </c>
      <c r="E606">
        <v>2.8140000000000001E-4</v>
      </c>
      <c r="F606">
        <v>6400386170</v>
      </c>
      <c r="G606">
        <v>0</v>
      </c>
      <c r="L606" t="s">
        <v>7</v>
      </c>
      <c r="M606" t="s">
        <v>8</v>
      </c>
      <c r="N606" t="s">
        <v>8</v>
      </c>
      <c r="P606">
        <f t="shared" si="945"/>
        <v>7.5291817533715452E-15</v>
      </c>
      <c r="Q606">
        <f t="shared" si="946"/>
        <v>4.8189670765695587E-5</v>
      </c>
      <c r="R606">
        <f t="shared" si="947"/>
        <v>121033966790.37375</v>
      </c>
      <c r="S606">
        <f t="shared" si="948"/>
        <v>1210339.6679037374</v>
      </c>
      <c r="T606">
        <f t="shared" si="949"/>
        <v>1210.3396679037373</v>
      </c>
    </row>
    <row r="607" spans="1:20" x14ac:dyDescent="0.25">
      <c r="A607" s="5">
        <v>43977</v>
      </c>
      <c r="B607">
        <v>2.7960000000000002E-4</v>
      </c>
      <c r="C607">
        <v>2.8420000000000002E-4</v>
      </c>
      <c r="D607">
        <v>2.7609999999999999E-4</v>
      </c>
      <c r="E607">
        <v>2.8039999999999999E-4</v>
      </c>
      <c r="F607">
        <v>4986546855</v>
      </c>
      <c r="G607">
        <v>0</v>
      </c>
      <c r="L607" t="s">
        <v>8</v>
      </c>
      <c r="M607" t="s">
        <v>8</v>
      </c>
      <c r="N607" t="s">
        <v>8</v>
      </c>
      <c r="P607">
        <f t="shared" si="945"/>
        <v>6.1728395061722945E-2</v>
      </c>
      <c r="Q607">
        <f t="shared" si="946"/>
        <v>307811534.2592321</v>
      </c>
      <c r="R607">
        <f t="shared" si="947"/>
        <v>121033966790.3737</v>
      </c>
      <c r="S607">
        <f t="shared" si="948"/>
        <v>1210339.6679037369</v>
      </c>
      <c r="T607">
        <f t="shared" si="949"/>
        <v>1210.3396679037369</v>
      </c>
    </row>
    <row r="608" spans="1:20" x14ac:dyDescent="0.25">
      <c r="A608" s="5">
        <v>43976</v>
      </c>
      <c r="B608">
        <v>2.676E-4</v>
      </c>
      <c r="C608">
        <v>2.8180000000000002E-4</v>
      </c>
      <c r="D608">
        <v>2.652E-4</v>
      </c>
      <c r="E608">
        <v>2.7970000000000002E-4</v>
      </c>
      <c r="F608">
        <v>5870644173</v>
      </c>
      <c r="G608">
        <v>0</v>
      </c>
      <c r="L608" t="s">
        <v>7</v>
      </c>
      <c r="M608" t="s">
        <v>8</v>
      </c>
      <c r="N608" t="s">
        <v>8</v>
      </c>
      <c r="P608">
        <f t="shared" si="945"/>
        <v>0.74698795180722966</v>
      </c>
      <c r="Q608">
        <f t="shared" si="946"/>
        <v>4385300466.5783176</v>
      </c>
      <c r="R608">
        <f t="shared" si="947"/>
        <v>120726155256.11447</v>
      </c>
      <c r="S608">
        <f t="shared" si="948"/>
        <v>1207261.5525611448</v>
      </c>
      <c r="T608">
        <f t="shared" si="949"/>
        <v>1207.2615525611448</v>
      </c>
    </row>
    <row r="609" spans="1:20" x14ac:dyDescent="0.25">
      <c r="A609" s="5">
        <v>43975</v>
      </c>
      <c r="B609">
        <v>2.7E-4</v>
      </c>
      <c r="C609">
        <v>2.92E-4</v>
      </c>
      <c r="D609">
        <v>2.6489999999999999E-4</v>
      </c>
      <c r="E609">
        <v>2.675E-4</v>
      </c>
      <c r="F609">
        <v>7342989206</v>
      </c>
      <c r="G609">
        <v>0</v>
      </c>
      <c r="L609" t="s">
        <v>8</v>
      </c>
      <c r="M609" t="s">
        <v>8</v>
      </c>
      <c r="N609" t="s">
        <v>8</v>
      </c>
      <c r="P609">
        <f t="shared" si="945"/>
        <v>-0.80811808118081119</v>
      </c>
      <c r="Q609">
        <f t="shared" si="946"/>
        <v>-5934002347.2841282</v>
      </c>
      <c r="R609">
        <f t="shared" si="947"/>
        <v>116340854789.53615</v>
      </c>
      <c r="S609">
        <f t="shared" si="948"/>
        <v>1163408.5478953614</v>
      </c>
      <c r="T609">
        <f t="shared" si="949"/>
        <v>1163.4085478953614</v>
      </c>
    </row>
    <row r="610" spans="1:20" x14ac:dyDescent="0.25">
      <c r="A610" s="5">
        <v>43974</v>
      </c>
      <c r="B610">
        <v>2.6850000000000002E-4</v>
      </c>
      <c r="C610">
        <v>2.743E-4</v>
      </c>
      <c r="D610">
        <v>2.6249999999999998E-4</v>
      </c>
      <c r="E610">
        <v>2.7E-4</v>
      </c>
      <c r="F610">
        <v>4216712396</v>
      </c>
      <c r="G610">
        <v>0</v>
      </c>
      <c r="L610" t="s">
        <v>7</v>
      </c>
      <c r="M610" t="s">
        <v>7</v>
      </c>
      <c r="N610" t="s">
        <v>8</v>
      </c>
      <c r="P610">
        <f t="shared" si="945"/>
        <v>0.27118644067796771</v>
      </c>
      <c r="Q610">
        <f t="shared" si="946"/>
        <v>1143515226.033905</v>
      </c>
      <c r="R610">
        <f t="shared" si="947"/>
        <v>122274857136.82028</v>
      </c>
      <c r="S610">
        <f t="shared" si="948"/>
        <v>1222748.5713682028</v>
      </c>
      <c r="T610">
        <f t="shared" si="949"/>
        <v>1222.7485713682029</v>
      </c>
    </row>
    <row r="611" spans="1:20" x14ac:dyDescent="0.25">
      <c r="A611" s="5">
        <v>43973</v>
      </c>
      <c r="B611">
        <v>2.5930000000000001E-4</v>
      </c>
      <c r="C611">
        <v>2.6949999999999999E-4</v>
      </c>
      <c r="D611">
        <v>2.5460000000000001E-4</v>
      </c>
      <c r="E611">
        <v>2.6850000000000002E-4</v>
      </c>
      <c r="F611">
        <v>4131330642</v>
      </c>
      <c r="G611">
        <v>0</v>
      </c>
      <c r="L611" t="s">
        <v>8</v>
      </c>
      <c r="M611" t="s">
        <v>7</v>
      </c>
      <c r="N611" t="s">
        <v>8</v>
      </c>
      <c r="P611">
        <f t="shared" si="945"/>
        <v>0.86577181208054077</v>
      </c>
      <c r="Q611">
        <f t="shared" si="946"/>
        <v>3576789616.2282038</v>
      </c>
      <c r="R611">
        <f t="shared" si="947"/>
        <v>121131341910.78638</v>
      </c>
      <c r="S611">
        <f t="shared" si="948"/>
        <v>1211313.4191078637</v>
      </c>
      <c r="T611">
        <f t="shared" si="949"/>
        <v>1211.3134191078636</v>
      </c>
    </row>
    <row r="612" spans="1:20" x14ac:dyDescent="0.25">
      <c r="A612" s="5">
        <v>43972</v>
      </c>
      <c r="B612">
        <v>2.6919999999999998E-4</v>
      </c>
      <c r="C612">
        <v>2.7139999999999998E-4</v>
      </c>
      <c r="D612">
        <v>2.5000000000000001E-4</v>
      </c>
      <c r="E612">
        <v>2.5930000000000001E-4</v>
      </c>
      <c r="F612">
        <v>6549629338</v>
      </c>
      <c r="G612">
        <v>0</v>
      </c>
      <c r="L612" t="s">
        <v>7</v>
      </c>
      <c r="M612" t="s">
        <v>7</v>
      </c>
      <c r="N612" t="s">
        <v>8</v>
      </c>
      <c r="P612">
        <f t="shared" si="945"/>
        <v>-0.13084112149532534</v>
      </c>
      <c r="Q612">
        <f t="shared" si="946"/>
        <v>-856960847.96260524</v>
      </c>
      <c r="R612">
        <f t="shared" si="947"/>
        <v>117554552294.55817</v>
      </c>
      <c r="S612">
        <f t="shared" si="948"/>
        <v>1175545.5229455817</v>
      </c>
      <c r="T612">
        <f t="shared" si="949"/>
        <v>1175.5455229455818</v>
      </c>
    </row>
    <row r="613" spans="1:20" x14ac:dyDescent="0.25">
      <c r="A613" s="5">
        <v>43971</v>
      </c>
      <c r="B613">
        <v>2.7520000000000002E-4</v>
      </c>
      <c r="C613">
        <v>2.7779999999999998E-4</v>
      </c>
      <c r="D613">
        <v>2.6640000000000002E-4</v>
      </c>
      <c r="E613">
        <v>2.6919999999999998E-4</v>
      </c>
      <c r="F613">
        <v>5342025554</v>
      </c>
      <c r="G613">
        <v>0</v>
      </c>
      <c r="L613" t="s">
        <v>8</v>
      </c>
      <c r="M613" t="s">
        <v>7</v>
      </c>
      <c r="N613" t="s">
        <v>8</v>
      </c>
      <c r="P613">
        <f t="shared" si="945"/>
        <v>-0.50877192982456643</v>
      </c>
      <c r="Q613">
        <f t="shared" si="946"/>
        <v>-2717872650.2807288</v>
      </c>
      <c r="R613">
        <f t="shared" si="947"/>
        <v>118411513142.52077</v>
      </c>
      <c r="S613">
        <f t="shared" si="948"/>
        <v>1184115.1314252077</v>
      </c>
      <c r="T613">
        <f t="shared" si="949"/>
        <v>1184.1151314252077</v>
      </c>
    </row>
    <row r="614" spans="1:20" x14ac:dyDescent="0.25">
      <c r="A614" s="5">
        <v>43970</v>
      </c>
      <c r="B614">
        <v>2.744E-4</v>
      </c>
      <c r="C614">
        <v>2.7690000000000001E-4</v>
      </c>
      <c r="D614">
        <v>2.7030000000000001E-4</v>
      </c>
      <c r="E614">
        <v>2.7510000000000002E-4</v>
      </c>
      <c r="F614">
        <v>6214006368</v>
      </c>
      <c r="G614">
        <v>0</v>
      </c>
      <c r="L614" t="s">
        <v>7</v>
      </c>
      <c r="M614" t="s">
        <v>7</v>
      </c>
      <c r="N614" t="s">
        <v>8</v>
      </c>
      <c r="P614">
        <f t="shared" si="945"/>
        <v>0.45454545454545753</v>
      </c>
      <c r="Q614">
        <f t="shared" si="946"/>
        <v>2824548349.0909276</v>
      </c>
      <c r="R614">
        <f t="shared" si="947"/>
        <v>121129385792.8015</v>
      </c>
      <c r="S614">
        <f t="shared" si="948"/>
        <v>1211293.8579280151</v>
      </c>
      <c r="T614">
        <f t="shared" si="949"/>
        <v>1211.2938579280151</v>
      </c>
    </row>
    <row r="615" spans="1:20" x14ac:dyDescent="0.25">
      <c r="A615" s="5">
        <v>43969</v>
      </c>
      <c r="B615">
        <v>2.7080000000000002E-4</v>
      </c>
      <c r="C615">
        <v>2.7779999999999998E-4</v>
      </c>
      <c r="D615">
        <v>2.7050000000000002E-4</v>
      </c>
      <c r="E615">
        <v>2.744E-4</v>
      </c>
      <c r="F615">
        <v>5137850138</v>
      </c>
      <c r="G615">
        <v>0</v>
      </c>
      <c r="L615" t="s">
        <v>8</v>
      </c>
      <c r="M615" t="s">
        <v>7</v>
      </c>
      <c r="N615" t="s">
        <v>8</v>
      </c>
      <c r="P615">
        <f t="shared" si="945"/>
        <v>6.8493150684933543E-2</v>
      </c>
      <c r="Q615">
        <f t="shared" si="946"/>
        <v>351907543.69864058</v>
      </c>
      <c r="R615">
        <f t="shared" si="947"/>
        <v>118304837443.71057</v>
      </c>
      <c r="S615">
        <f t="shared" si="948"/>
        <v>1183048.3744371056</v>
      </c>
      <c r="T615">
        <f t="shared" si="949"/>
        <v>1183.0483744371056</v>
      </c>
    </row>
    <row r="616" spans="1:20" x14ac:dyDescent="0.25">
      <c r="A616" s="5">
        <v>43968</v>
      </c>
      <c r="B616">
        <v>2.699E-4</v>
      </c>
      <c r="C616">
        <v>2.743E-4</v>
      </c>
      <c r="D616">
        <v>2.6939999999999999E-4</v>
      </c>
      <c r="E616">
        <v>2.7070000000000002E-4</v>
      </c>
      <c r="F616">
        <v>3708116567</v>
      </c>
      <c r="G616">
        <v>0</v>
      </c>
      <c r="L616" t="s">
        <v>7</v>
      </c>
      <c r="M616" t="s">
        <v>7</v>
      </c>
      <c r="N616" t="s">
        <v>8</v>
      </c>
      <c r="P616">
        <f t="shared" si="945"/>
        <v>-0.46938775510202907</v>
      </c>
      <c r="Q616">
        <f t="shared" si="946"/>
        <v>-1740544511.0407727</v>
      </c>
      <c r="R616">
        <f t="shared" si="947"/>
        <v>117952929900.01193</v>
      </c>
      <c r="S616">
        <f t="shared" si="948"/>
        <v>1179529.2990001193</v>
      </c>
      <c r="T616">
        <f t="shared" si="949"/>
        <v>1179.5292990001194</v>
      </c>
    </row>
    <row r="617" spans="1:20" x14ac:dyDescent="0.25">
      <c r="A617" s="5">
        <v>43967</v>
      </c>
      <c r="B617">
        <v>2.6630000000000002E-4</v>
      </c>
      <c r="C617">
        <v>2.7339999999999998E-4</v>
      </c>
      <c r="D617">
        <v>2.6449999999999998E-4</v>
      </c>
      <c r="E617">
        <v>2.699E-4</v>
      </c>
      <c r="F617">
        <v>3411980155</v>
      </c>
      <c r="G617">
        <v>0</v>
      </c>
      <c r="L617" t="s">
        <v>8</v>
      </c>
      <c r="M617" t="s">
        <v>7</v>
      </c>
      <c r="N617" t="s">
        <v>8</v>
      </c>
      <c r="P617">
        <f t="shared" si="945"/>
        <v>0.21348314606742094</v>
      </c>
      <c r="Q617">
        <f t="shared" si="946"/>
        <v>728400257.80900657</v>
      </c>
      <c r="R617">
        <f t="shared" si="947"/>
        <v>119693474411.0527</v>
      </c>
      <c r="S617">
        <f t="shared" si="948"/>
        <v>1196934.744110527</v>
      </c>
      <c r="T617">
        <f t="shared" si="949"/>
        <v>1196.9347441105269</v>
      </c>
    </row>
    <row r="618" spans="1:20" x14ac:dyDescent="0.25">
      <c r="A618" s="5">
        <v>43966</v>
      </c>
      <c r="B618">
        <v>2.7300000000000002E-4</v>
      </c>
      <c r="C618">
        <v>2.7549999999999997E-4</v>
      </c>
      <c r="D618">
        <v>2.6439999999999998E-4</v>
      </c>
      <c r="E618">
        <v>2.6610000000000002E-4</v>
      </c>
      <c r="F618">
        <v>5853960068</v>
      </c>
      <c r="G618">
        <v>0</v>
      </c>
      <c r="L618" t="s">
        <v>7</v>
      </c>
      <c r="M618" t="s">
        <v>7</v>
      </c>
      <c r="N618" t="s">
        <v>8</v>
      </c>
      <c r="P618">
        <f t="shared" si="945"/>
        <v>-0.69369369369368616</v>
      </c>
      <c r="Q618">
        <f t="shared" si="946"/>
        <v>-4060855182.306262</v>
      </c>
      <c r="R618">
        <f t="shared" si="947"/>
        <v>118965074153.2437</v>
      </c>
      <c r="S618">
        <f t="shared" si="948"/>
        <v>1189650.741532437</v>
      </c>
      <c r="T618">
        <f t="shared" si="949"/>
        <v>1189.650741532437</v>
      </c>
    </row>
    <row r="619" spans="1:20" x14ac:dyDescent="0.25">
      <c r="A619" s="5">
        <v>43965</v>
      </c>
      <c r="B619">
        <v>2.7460000000000001E-4</v>
      </c>
      <c r="C619">
        <v>2.767E-4</v>
      </c>
      <c r="D619">
        <v>2.6790000000000001E-4</v>
      </c>
      <c r="E619">
        <v>2.7300000000000002E-4</v>
      </c>
      <c r="F619">
        <v>6360842837</v>
      </c>
      <c r="G619">
        <v>0</v>
      </c>
      <c r="L619" t="s">
        <v>8</v>
      </c>
      <c r="M619" t="s">
        <v>7</v>
      </c>
      <c r="N619" t="s">
        <v>8</v>
      </c>
      <c r="P619">
        <f t="shared" si="945"/>
        <v>0.159090909090913</v>
      </c>
      <c r="Q619">
        <f t="shared" si="946"/>
        <v>1011952269.5227522</v>
      </c>
      <c r="R619">
        <f t="shared" si="947"/>
        <v>123025929335.54996</v>
      </c>
      <c r="S619">
        <f t="shared" si="948"/>
        <v>1230259.2933554996</v>
      </c>
      <c r="T619">
        <f t="shared" si="949"/>
        <v>1230.2592933554997</v>
      </c>
    </row>
    <row r="620" spans="1:20" x14ac:dyDescent="0.25">
      <c r="A620" s="5">
        <v>43964</v>
      </c>
      <c r="B620">
        <v>2.6400000000000002E-4</v>
      </c>
      <c r="C620">
        <v>2.7490000000000001E-4</v>
      </c>
      <c r="D620">
        <v>2.6249999999999998E-4</v>
      </c>
      <c r="E620">
        <v>2.744E-4</v>
      </c>
      <c r="F620">
        <v>3963302772</v>
      </c>
      <c r="G620">
        <v>0</v>
      </c>
      <c r="L620" t="s">
        <v>7</v>
      </c>
      <c r="M620" t="s">
        <v>7</v>
      </c>
      <c r="N620" t="s">
        <v>8</v>
      </c>
      <c r="P620">
        <f t="shared" si="945"/>
        <v>0.9193548387096756</v>
      </c>
      <c r="Q620">
        <f t="shared" si="946"/>
        <v>3643681580.7096701</v>
      </c>
      <c r="R620">
        <f t="shared" si="947"/>
        <v>122013977066.02721</v>
      </c>
      <c r="S620">
        <f t="shared" si="948"/>
        <v>1220139.7706602721</v>
      </c>
      <c r="T620">
        <f t="shared" si="949"/>
        <v>1220.139770660272</v>
      </c>
    </row>
    <row r="621" spans="1:20" x14ac:dyDescent="0.25">
      <c r="A621" s="5">
        <v>43963</v>
      </c>
      <c r="B621">
        <v>2.5500000000000002E-4</v>
      </c>
      <c r="C621">
        <v>2.676E-4</v>
      </c>
      <c r="D621">
        <v>2.5349999999999998E-4</v>
      </c>
      <c r="E621">
        <v>2.6410000000000002E-4</v>
      </c>
      <c r="F621">
        <v>4345832260</v>
      </c>
      <c r="G621">
        <v>0</v>
      </c>
      <c r="L621" t="s">
        <v>8</v>
      </c>
      <c r="M621" t="s">
        <v>7</v>
      </c>
      <c r="N621" t="s">
        <v>8</v>
      </c>
      <c r="P621">
        <f t="shared" si="945"/>
        <v>0.50354609929078409</v>
      </c>
      <c r="Q621">
        <f t="shared" si="946"/>
        <v>2188326882.6950526</v>
      </c>
      <c r="R621">
        <f t="shared" si="947"/>
        <v>118370295485.31754</v>
      </c>
      <c r="S621">
        <f t="shared" si="948"/>
        <v>1183702.9548531754</v>
      </c>
      <c r="T621">
        <f t="shared" si="949"/>
        <v>1183.7029548531755</v>
      </c>
    </row>
    <row r="622" spans="1:20" x14ac:dyDescent="0.25">
      <c r="A622" s="5">
        <v>43962</v>
      </c>
      <c r="B622">
        <v>2.5470000000000001E-4</v>
      </c>
      <c r="C622">
        <v>2.6820000000000001E-4</v>
      </c>
      <c r="D622">
        <v>2.4459999999999998E-4</v>
      </c>
      <c r="E622">
        <v>2.5510000000000002E-4</v>
      </c>
      <c r="F622">
        <v>7386259715</v>
      </c>
      <c r="G622">
        <v>0</v>
      </c>
      <c r="L622" t="s">
        <v>7</v>
      </c>
      <c r="M622" t="s">
        <v>7</v>
      </c>
      <c r="N622" t="s">
        <v>8</v>
      </c>
      <c r="P622">
        <f t="shared" si="945"/>
        <v>-0.11016949152542166</v>
      </c>
      <c r="Q622">
        <f t="shared" si="946"/>
        <v>-813740477.07625592</v>
      </c>
      <c r="R622">
        <f t="shared" si="947"/>
        <v>116181968602.62248</v>
      </c>
      <c r="S622">
        <f t="shared" si="948"/>
        <v>1161819.6860262249</v>
      </c>
      <c r="T622">
        <f t="shared" si="949"/>
        <v>1161.8196860262249</v>
      </c>
    </row>
    <row r="623" spans="1:20" x14ac:dyDescent="0.25">
      <c r="A623" s="5">
        <v>43961</v>
      </c>
      <c r="B623">
        <v>2.854E-4</v>
      </c>
      <c r="C623">
        <v>2.8640000000000002E-4</v>
      </c>
      <c r="D623">
        <v>2.4259999999999999E-4</v>
      </c>
      <c r="E623">
        <v>2.5470000000000001E-4</v>
      </c>
      <c r="F623">
        <v>7641831945</v>
      </c>
      <c r="G623">
        <v>0</v>
      </c>
      <c r="L623" t="s">
        <v>8</v>
      </c>
      <c r="M623" t="s">
        <v>7</v>
      </c>
      <c r="N623" t="s">
        <v>8</v>
      </c>
      <c r="P623">
        <f t="shared" si="945"/>
        <v>-0.44748858447488521</v>
      </c>
      <c r="Q623">
        <f t="shared" si="946"/>
        <v>-3419632559.863009</v>
      </c>
      <c r="R623">
        <f t="shared" si="947"/>
        <v>116995709079.69875</v>
      </c>
      <c r="S623">
        <f t="shared" si="948"/>
        <v>1169957.0907969875</v>
      </c>
      <c r="T623">
        <f t="shared" si="949"/>
        <v>1169.9570907969876</v>
      </c>
    </row>
    <row r="624" spans="1:20" x14ac:dyDescent="0.25">
      <c r="A624" s="5">
        <v>43960</v>
      </c>
      <c r="B624">
        <v>2.9080000000000002E-4</v>
      </c>
      <c r="C624">
        <v>2.9930000000000001E-4</v>
      </c>
      <c r="D624">
        <v>2.8449999999999998E-4</v>
      </c>
      <c r="E624">
        <v>2.854E-4</v>
      </c>
      <c r="F624">
        <v>4986525815</v>
      </c>
      <c r="G624">
        <v>0</v>
      </c>
      <c r="L624" t="s">
        <v>7</v>
      </c>
      <c r="M624" t="s">
        <v>8</v>
      </c>
      <c r="N624" t="s">
        <v>8</v>
      </c>
      <c r="P624">
        <f t="shared" si="945"/>
        <v>-0.87837837837837573</v>
      </c>
      <c r="Q624">
        <f t="shared" si="946"/>
        <v>-4380056459.1216087</v>
      </c>
      <c r="R624">
        <f t="shared" si="947"/>
        <v>120415341639.56175</v>
      </c>
      <c r="S624">
        <f t="shared" si="948"/>
        <v>1204153.4163956174</v>
      </c>
      <c r="T624">
        <f t="shared" si="949"/>
        <v>1204.1534163956173</v>
      </c>
    </row>
    <row r="625" spans="1:20" x14ac:dyDescent="0.25">
      <c r="A625" s="5">
        <v>43959</v>
      </c>
      <c r="B625">
        <v>2.9159999999999999E-4</v>
      </c>
      <c r="C625">
        <v>2.9779999999999997E-4</v>
      </c>
      <c r="D625">
        <v>2.8370000000000001E-4</v>
      </c>
      <c r="E625">
        <v>2.9080000000000002E-4</v>
      </c>
      <c r="F625">
        <v>6490723229</v>
      </c>
      <c r="G625">
        <v>0</v>
      </c>
      <c r="L625" t="s">
        <v>8</v>
      </c>
      <c r="M625" t="s">
        <v>8</v>
      </c>
      <c r="N625" t="s">
        <v>8</v>
      </c>
      <c r="P625">
        <f t="shared" si="945"/>
        <v>7.0921985815643193E-3</v>
      </c>
      <c r="Q625">
        <f t="shared" si="946"/>
        <v>46033498.078040376</v>
      </c>
      <c r="R625">
        <f t="shared" si="947"/>
        <v>124795398098.68336</v>
      </c>
      <c r="S625">
        <f t="shared" si="948"/>
        <v>1247953.9809868336</v>
      </c>
      <c r="T625">
        <f t="shared" si="949"/>
        <v>1247.9539809868336</v>
      </c>
    </row>
    <row r="626" spans="1:20" x14ac:dyDescent="0.25">
      <c r="A626" s="5">
        <v>43958</v>
      </c>
      <c r="B626">
        <v>2.855E-4</v>
      </c>
      <c r="C626">
        <v>2.945E-4</v>
      </c>
      <c r="D626">
        <v>2.8019999999999998E-4</v>
      </c>
      <c r="E626">
        <v>2.9159999999999999E-4</v>
      </c>
      <c r="F626">
        <v>6951743329</v>
      </c>
      <c r="G626">
        <v>0</v>
      </c>
      <c r="L626" t="s">
        <v>7</v>
      </c>
      <c r="M626" t="s">
        <v>8</v>
      </c>
      <c r="N626" t="s">
        <v>8</v>
      </c>
      <c r="P626">
        <f t="shared" si="945"/>
        <v>0.59440559440559271</v>
      </c>
      <c r="Q626">
        <f t="shared" si="946"/>
        <v>4132155125.6293588</v>
      </c>
      <c r="R626">
        <f t="shared" si="947"/>
        <v>124749364600.60533</v>
      </c>
      <c r="S626">
        <f t="shared" si="948"/>
        <v>1247493.6460060533</v>
      </c>
      <c r="T626">
        <f t="shared" si="949"/>
        <v>1247.4936460060533</v>
      </c>
    </row>
    <row r="627" spans="1:20" x14ac:dyDescent="0.25">
      <c r="A627" s="5">
        <v>43957</v>
      </c>
      <c r="B627">
        <v>2.9750000000000002E-4</v>
      </c>
      <c r="C627">
        <v>2.9930000000000001E-4</v>
      </c>
      <c r="D627">
        <v>2.8279999999999999E-4</v>
      </c>
      <c r="E627">
        <v>2.855E-4</v>
      </c>
      <c r="F627">
        <v>6169668354</v>
      </c>
      <c r="G627">
        <v>0</v>
      </c>
      <c r="L627" t="s">
        <v>8</v>
      </c>
      <c r="M627" t="s">
        <v>8</v>
      </c>
      <c r="N627" t="s">
        <v>8</v>
      </c>
      <c r="P627">
        <f t="shared" si="945"/>
        <v>-0.67272727272727173</v>
      </c>
      <c r="Q627">
        <f t="shared" si="946"/>
        <v>-4150504165.4181757</v>
      </c>
      <c r="R627">
        <f t="shared" si="947"/>
        <v>120617209474.97597</v>
      </c>
      <c r="S627">
        <f t="shared" si="948"/>
        <v>1206172.0947497596</v>
      </c>
      <c r="T627">
        <f t="shared" si="949"/>
        <v>1206.1720947497597</v>
      </c>
    </row>
    <row r="628" spans="1:20" x14ac:dyDescent="0.25">
      <c r="A628" s="5">
        <v>43956</v>
      </c>
      <c r="B628">
        <v>2.9789999999999998E-4</v>
      </c>
      <c r="C628">
        <v>3.056E-4</v>
      </c>
      <c r="D628">
        <v>2.8969999999999999E-4</v>
      </c>
      <c r="E628">
        <v>2.9740000000000002E-4</v>
      </c>
      <c r="F628">
        <v>4412104688</v>
      </c>
      <c r="G628">
        <v>0</v>
      </c>
      <c r="L628" t="s">
        <v>7</v>
      </c>
      <c r="M628" t="s">
        <v>8</v>
      </c>
      <c r="N628" t="s">
        <v>8</v>
      </c>
      <c r="P628">
        <f t="shared" si="945"/>
        <v>-3.1446540880500487E-2</v>
      </c>
      <c r="Q628">
        <f t="shared" si="946"/>
        <v>-138745430.44023985</v>
      </c>
      <c r="R628">
        <f t="shared" si="947"/>
        <v>124767713640.39415</v>
      </c>
      <c r="S628">
        <f t="shared" si="948"/>
        <v>1247677.1364039415</v>
      </c>
      <c r="T628">
        <f t="shared" si="949"/>
        <v>1247.6771364039416</v>
      </c>
    </row>
    <row r="629" spans="1:20" x14ac:dyDescent="0.25">
      <c r="A629" s="5">
        <v>43955</v>
      </c>
      <c r="B629">
        <v>2.968E-4</v>
      </c>
      <c r="C629">
        <v>3.1389999999999999E-4</v>
      </c>
      <c r="D629">
        <v>2.7510000000000002E-4</v>
      </c>
      <c r="E629">
        <v>2.9789999999999998E-4</v>
      </c>
      <c r="F629">
        <v>9290340730</v>
      </c>
      <c r="G629">
        <v>0</v>
      </c>
      <c r="L629" t="s">
        <v>8</v>
      </c>
      <c r="M629" t="s">
        <v>8</v>
      </c>
      <c r="N629" t="s">
        <v>8</v>
      </c>
      <c r="P629">
        <f t="shared" si="945"/>
        <v>0.17525773195876171</v>
      </c>
      <c r="Q629">
        <f t="shared" si="946"/>
        <v>1628204045.4639065</v>
      </c>
      <c r="R629">
        <f t="shared" si="947"/>
        <v>124906459070.8344</v>
      </c>
      <c r="S629">
        <f t="shared" si="948"/>
        <v>1249064.590708344</v>
      </c>
      <c r="T629">
        <f t="shared" si="949"/>
        <v>1249.064590708344</v>
      </c>
    </row>
    <row r="630" spans="1:20" x14ac:dyDescent="0.25">
      <c r="A630" s="5">
        <v>43954</v>
      </c>
      <c r="B630">
        <v>2.9369999999999998E-4</v>
      </c>
      <c r="C630">
        <v>3.0390000000000001E-4</v>
      </c>
      <c r="D630">
        <v>2.7349999999999998E-4</v>
      </c>
      <c r="E630">
        <v>2.965E-4</v>
      </c>
      <c r="F630">
        <v>8631735422</v>
      </c>
      <c r="G630">
        <v>0</v>
      </c>
      <c r="L630" t="s">
        <v>7</v>
      </c>
      <c r="M630" t="s">
        <v>8</v>
      </c>
      <c r="N630" t="s">
        <v>8</v>
      </c>
      <c r="P630">
        <f t="shared" si="945"/>
        <v>0.51315789473684148</v>
      </c>
      <c r="Q630">
        <f t="shared" si="946"/>
        <v>4429443177.0789423</v>
      </c>
      <c r="R630">
        <f t="shared" si="947"/>
        <v>123278255025.37048</v>
      </c>
      <c r="S630">
        <f t="shared" si="948"/>
        <v>1232782.5502537049</v>
      </c>
      <c r="T630">
        <f t="shared" si="949"/>
        <v>1232.7825502537048</v>
      </c>
    </row>
    <row r="631" spans="1:20" x14ac:dyDescent="0.25">
      <c r="A631" s="5">
        <v>43953</v>
      </c>
      <c r="B631">
        <v>2.742E-4</v>
      </c>
      <c r="C631">
        <v>2.9470000000000001E-4</v>
      </c>
      <c r="D631">
        <v>2.7020000000000001E-4</v>
      </c>
      <c r="E631">
        <v>2.9369999999999998E-4</v>
      </c>
      <c r="F631">
        <v>5131923662</v>
      </c>
      <c r="G631">
        <v>0</v>
      </c>
      <c r="L631" t="s">
        <v>8</v>
      </c>
      <c r="M631" t="s">
        <v>8</v>
      </c>
      <c r="N631" t="s">
        <v>8</v>
      </c>
      <c r="P631">
        <f t="shared" si="945"/>
        <v>0.91836734693877353</v>
      </c>
      <c r="Q631">
        <f t="shared" si="946"/>
        <v>4712991118.1632547</v>
      </c>
      <c r="R631">
        <f t="shared" si="947"/>
        <v>118848811848.29153</v>
      </c>
      <c r="S631">
        <f t="shared" si="948"/>
        <v>1188488.1184829155</v>
      </c>
      <c r="T631">
        <f t="shared" si="949"/>
        <v>1188.4881184829155</v>
      </c>
    </row>
    <row r="632" spans="1:20" x14ac:dyDescent="0.25">
      <c r="A632" s="5">
        <v>43952</v>
      </c>
      <c r="B632">
        <v>2.566E-4</v>
      </c>
      <c r="C632">
        <v>2.8039999999999999E-4</v>
      </c>
      <c r="D632">
        <v>2.564E-4</v>
      </c>
      <c r="E632">
        <v>2.7379999999999999E-4</v>
      </c>
      <c r="F632">
        <v>7096998298</v>
      </c>
      <c r="G632">
        <v>0</v>
      </c>
      <c r="L632" t="s">
        <v>7</v>
      </c>
      <c r="M632" t="s">
        <v>8</v>
      </c>
      <c r="N632" t="s">
        <v>8</v>
      </c>
      <c r="P632">
        <f t="shared" si="945"/>
        <v>0.4499999999999999</v>
      </c>
      <c r="Q632">
        <f t="shared" si="946"/>
        <v>3193649234.0999994</v>
      </c>
      <c r="R632">
        <f t="shared" si="947"/>
        <v>114135820730.12828</v>
      </c>
      <c r="S632">
        <f t="shared" si="948"/>
        <v>1141358.2073012828</v>
      </c>
      <c r="T632">
        <f t="shared" si="949"/>
        <v>1141.3582073012828</v>
      </c>
    </row>
    <row r="633" spans="1:20" x14ac:dyDescent="0.25">
      <c r="A633" s="5">
        <v>43951</v>
      </c>
      <c r="B633">
        <v>2.6689999999999998E-4</v>
      </c>
      <c r="C633">
        <v>2.833E-4</v>
      </c>
      <c r="D633">
        <v>2.5260000000000001E-4</v>
      </c>
      <c r="E633">
        <v>2.566E-4</v>
      </c>
      <c r="F633">
        <v>7603653113</v>
      </c>
      <c r="G633">
        <v>0</v>
      </c>
      <c r="L633" t="s">
        <v>8</v>
      </c>
      <c r="M633" t="s">
        <v>8</v>
      </c>
      <c r="N633" t="s">
        <v>8</v>
      </c>
      <c r="P633">
        <f t="shared" si="945"/>
        <v>-0.73941368078175962</v>
      </c>
      <c r="Q633">
        <f t="shared" si="946"/>
        <v>-5622245135.6710148</v>
      </c>
      <c r="R633">
        <f t="shared" si="947"/>
        <v>110942171496.02827</v>
      </c>
      <c r="S633">
        <f t="shared" si="948"/>
        <v>1109421.7149602827</v>
      </c>
      <c r="T633">
        <f t="shared" si="949"/>
        <v>1109.4217149602828</v>
      </c>
    </row>
    <row r="634" spans="1:20" x14ac:dyDescent="0.25">
      <c r="A634" s="5">
        <v>43950</v>
      </c>
      <c r="B634">
        <v>2.4909999999999998E-4</v>
      </c>
      <c r="C634">
        <v>2.678E-4</v>
      </c>
      <c r="D634">
        <v>2.476E-4</v>
      </c>
      <c r="E634">
        <v>2.6699999999999998E-4</v>
      </c>
      <c r="F634">
        <v>8550691686</v>
      </c>
      <c r="G634">
        <v>0</v>
      </c>
      <c r="L634" t="s">
        <v>7</v>
      </c>
      <c r="M634" t="s">
        <v>8</v>
      </c>
      <c r="N634" t="s">
        <v>8</v>
      </c>
      <c r="P634">
        <f t="shared" si="945"/>
        <v>0.92079207920791883</v>
      </c>
      <c r="Q634">
        <f t="shared" si="946"/>
        <v>7873409176.2178049</v>
      </c>
      <c r="R634">
        <f t="shared" si="947"/>
        <v>116564416631.6993</v>
      </c>
      <c r="S634">
        <f t="shared" si="948"/>
        <v>1165644.1663169928</v>
      </c>
      <c r="T634">
        <f t="shared" si="949"/>
        <v>1165.6441663169928</v>
      </c>
    </row>
    <row r="635" spans="1:20" x14ac:dyDescent="0.25">
      <c r="A635" s="5">
        <v>43949</v>
      </c>
      <c r="B635">
        <v>2.4140000000000001E-4</v>
      </c>
      <c r="C635">
        <v>2.5549999999999998E-4</v>
      </c>
      <c r="D635">
        <v>2.374E-4</v>
      </c>
      <c r="E635">
        <v>2.4889999999999998E-4</v>
      </c>
      <c r="F635">
        <v>4649481276</v>
      </c>
      <c r="G635">
        <v>0</v>
      </c>
      <c r="L635" t="s">
        <v>8</v>
      </c>
      <c r="M635" t="s">
        <v>7</v>
      </c>
      <c r="N635" t="s">
        <v>7</v>
      </c>
      <c r="P635">
        <f t="shared" si="945"/>
        <v>0.27071823204419831</v>
      </c>
      <c r="Q635">
        <f t="shared" si="946"/>
        <v>1258699350.9613233</v>
      </c>
      <c r="R635">
        <f t="shared" si="947"/>
        <v>108691007455.48149</v>
      </c>
      <c r="S635">
        <f t="shared" si="948"/>
        <v>1086910.074554815</v>
      </c>
      <c r="T635">
        <f t="shared" si="949"/>
        <v>1086.9100745548149</v>
      </c>
    </row>
    <row r="636" spans="1:20" x14ac:dyDescent="0.25">
      <c r="A636" s="5">
        <v>43948</v>
      </c>
      <c r="B636">
        <v>2.496E-4</v>
      </c>
      <c r="C636">
        <v>2.5129999999999998E-4</v>
      </c>
      <c r="D636">
        <v>2.354E-4</v>
      </c>
      <c r="E636">
        <v>2.4140000000000001E-4</v>
      </c>
      <c r="F636">
        <v>7558112535</v>
      </c>
      <c r="G636">
        <v>0</v>
      </c>
      <c r="L636" t="s">
        <v>7</v>
      </c>
      <c r="M636" t="s">
        <v>7</v>
      </c>
      <c r="N636" t="s">
        <v>7</v>
      </c>
      <c r="P636">
        <f t="shared" si="945"/>
        <v>-0.24528301886792228</v>
      </c>
      <c r="Q636">
        <f t="shared" si="946"/>
        <v>-1853876659.5282848</v>
      </c>
      <c r="R636">
        <f t="shared" si="947"/>
        <v>107432308104.52017</v>
      </c>
      <c r="S636">
        <f t="shared" si="948"/>
        <v>1074323.0810452017</v>
      </c>
      <c r="T636">
        <f t="shared" si="949"/>
        <v>1074.3230810452017</v>
      </c>
    </row>
    <row r="637" spans="1:20" x14ac:dyDescent="0.25">
      <c r="A637" s="5">
        <v>43947</v>
      </c>
      <c r="B637">
        <v>2.4420000000000003E-4</v>
      </c>
      <c r="C637">
        <v>2.543E-4</v>
      </c>
      <c r="D637">
        <v>2.432E-4</v>
      </c>
      <c r="E637">
        <v>2.4929999999999999E-4</v>
      </c>
      <c r="F637">
        <v>5973699980</v>
      </c>
      <c r="G637">
        <v>0</v>
      </c>
      <c r="L637" t="s">
        <v>8</v>
      </c>
      <c r="M637" t="s">
        <v>7</v>
      </c>
      <c r="N637" t="s">
        <v>7</v>
      </c>
      <c r="P637">
        <f t="shared" ref="P637:P700" si="950">IF(C637=D637,0,((E637-D637)-(C637-E637))/(C637-D637))</f>
        <v>9.909909909909663E-2</v>
      </c>
      <c r="Q637">
        <f t="shared" ref="Q637:Q700" si="951">F637*P637</f>
        <v>591988286.30629158</v>
      </c>
      <c r="R637">
        <f t="shared" ref="R637:R700" si="952">R638+Q637</f>
        <v>109286184764.04846</v>
      </c>
      <c r="S637">
        <f t="shared" ref="S637:S700" si="953">R637/100000</f>
        <v>1092861.8476404846</v>
      </c>
      <c r="T637">
        <f t="shared" ref="T637:T700" si="954">S637/1000</f>
        <v>1092.8618476404845</v>
      </c>
    </row>
    <row r="638" spans="1:20" x14ac:dyDescent="0.25">
      <c r="A638" s="5">
        <v>43946</v>
      </c>
      <c r="B638">
        <v>2.396E-4</v>
      </c>
      <c r="C638">
        <v>2.499E-4</v>
      </c>
      <c r="D638">
        <v>2.374E-4</v>
      </c>
      <c r="E638">
        <v>2.4420000000000003E-4</v>
      </c>
      <c r="F638">
        <v>3701006265</v>
      </c>
      <c r="G638">
        <v>0</v>
      </c>
      <c r="L638" t="s">
        <v>7</v>
      </c>
      <c r="M638" t="s">
        <v>7</v>
      </c>
      <c r="N638" t="s">
        <v>7</v>
      </c>
      <c r="P638">
        <f t="shared" si="950"/>
        <v>8.8000000000004269E-2</v>
      </c>
      <c r="Q638">
        <f t="shared" si="951"/>
        <v>325688551.32001579</v>
      </c>
      <c r="R638">
        <f t="shared" si="952"/>
        <v>108694196477.74217</v>
      </c>
      <c r="S638">
        <f t="shared" si="953"/>
        <v>1086941.9647774217</v>
      </c>
      <c r="T638">
        <f t="shared" si="954"/>
        <v>1086.9419647774216</v>
      </c>
    </row>
    <row r="639" spans="1:20" x14ac:dyDescent="0.25">
      <c r="A639" s="5">
        <v>43945</v>
      </c>
      <c r="B639">
        <v>2.3159999999999999E-4</v>
      </c>
      <c r="C639">
        <v>2.4909999999999998E-4</v>
      </c>
      <c r="D639">
        <v>2.307E-4</v>
      </c>
      <c r="E639">
        <v>2.396E-4</v>
      </c>
      <c r="F639">
        <v>6705997080</v>
      </c>
      <c r="G639">
        <v>0</v>
      </c>
      <c r="L639" t="s">
        <v>8</v>
      </c>
      <c r="M639" t="s">
        <v>7</v>
      </c>
      <c r="N639" t="s">
        <v>7</v>
      </c>
      <c r="P639">
        <f t="shared" si="950"/>
        <v>-3.260869565217326E-2</v>
      </c>
      <c r="Q639">
        <f t="shared" si="951"/>
        <v>-218673817.82608259</v>
      </c>
      <c r="R639">
        <f t="shared" si="952"/>
        <v>108368507926.42215</v>
      </c>
      <c r="S639">
        <f t="shared" si="953"/>
        <v>1083685.0792642215</v>
      </c>
      <c r="T639">
        <f t="shared" si="954"/>
        <v>1083.6850792642215</v>
      </c>
    </row>
    <row r="640" spans="1:20" x14ac:dyDescent="0.25">
      <c r="A640" s="5">
        <v>43944</v>
      </c>
      <c r="B640">
        <v>2.2570000000000001E-4</v>
      </c>
      <c r="C640">
        <v>2.3800000000000001E-4</v>
      </c>
      <c r="D640">
        <v>2.2249999999999999E-4</v>
      </c>
      <c r="E640">
        <v>2.3159999999999999E-4</v>
      </c>
      <c r="F640">
        <v>6900638070</v>
      </c>
      <c r="G640">
        <v>0</v>
      </c>
      <c r="L640" t="s">
        <v>7</v>
      </c>
      <c r="M640" t="s">
        <v>7</v>
      </c>
      <c r="N640" t="s">
        <v>7</v>
      </c>
      <c r="P640">
        <f t="shared" si="950"/>
        <v>0.1741935483870955</v>
      </c>
      <c r="Q640">
        <f t="shared" si="951"/>
        <v>1202046631.5483782</v>
      </c>
      <c r="R640">
        <f t="shared" si="952"/>
        <v>108587181744.24823</v>
      </c>
      <c r="S640">
        <f t="shared" si="953"/>
        <v>1085871.8174424823</v>
      </c>
      <c r="T640">
        <f t="shared" si="954"/>
        <v>1085.8718174424823</v>
      </c>
    </row>
    <row r="641" spans="1:20" x14ac:dyDescent="0.25">
      <c r="A641" s="5">
        <v>43943</v>
      </c>
      <c r="B641">
        <v>2.184E-4</v>
      </c>
      <c r="C641">
        <v>2.3000000000000001E-4</v>
      </c>
      <c r="D641">
        <v>2.1699999999999999E-4</v>
      </c>
      <c r="E641">
        <v>2.2570000000000001E-4</v>
      </c>
      <c r="F641">
        <v>5322794729</v>
      </c>
      <c r="G641">
        <v>0</v>
      </c>
      <c r="L641" t="s">
        <v>8</v>
      </c>
      <c r="M641" t="s">
        <v>7</v>
      </c>
      <c r="N641" t="s">
        <v>7</v>
      </c>
      <c r="P641">
        <f t="shared" si="950"/>
        <v>0.33846153846153998</v>
      </c>
      <c r="Q641">
        <f t="shared" si="951"/>
        <v>1801561292.8923159</v>
      </c>
      <c r="R641">
        <f t="shared" si="952"/>
        <v>107385135112.69984</v>
      </c>
      <c r="S641">
        <f t="shared" si="953"/>
        <v>1073851.3511269984</v>
      </c>
      <c r="T641">
        <f t="shared" si="954"/>
        <v>1073.8513511269985</v>
      </c>
    </row>
    <row r="642" spans="1:20" x14ac:dyDescent="0.25">
      <c r="A642" s="5">
        <v>43942</v>
      </c>
      <c r="B642">
        <v>2.2000000000000001E-4</v>
      </c>
      <c r="C642">
        <v>2.2240000000000001E-4</v>
      </c>
      <c r="D642">
        <v>2.164E-4</v>
      </c>
      <c r="E642">
        <v>2.1829999999999999E-4</v>
      </c>
      <c r="F642">
        <v>5374733995</v>
      </c>
      <c r="G642">
        <v>0</v>
      </c>
      <c r="L642" t="s">
        <v>7</v>
      </c>
      <c r="M642" t="s">
        <v>7</v>
      </c>
      <c r="N642" t="s">
        <v>7</v>
      </c>
      <c r="P642">
        <f t="shared" si="950"/>
        <v>-0.36666666666667042</v>
      </c>
      <c r="Q642">
        <f t="shared" si="951"/>
        <v>-1970735798.1666868</v>
      </c>
      <c r="R642">
        <f t="shared" si="952"/>
        <v>105583573819.80753</v>
      </c>
      <c r="S642">
        <f t="shared" si="953"/>
        <v>1055835.7381980752</v>
      </c>
      <c r="T642">
        <f t="shared" si="954"/>
        <v>1055.8357381980752</v>
      </c>
    </row>
    <row r="643" spans="1:20" x14ac:dyDescent="0.25">
      <c r="A643" s="5">
        <v>43941</v>
      </c>
      <c r="B643">
        <v>2.2770000000000001E-4</v>
      </c>
      <c r="C643">
        <v>2.319E-4</v>
      </c>
      <c r="D643">
        <v>2.1800000000000001E-4</v>
      </c>
      <c r="E643">
        <v>2.2029999999999999E-4</v>
      </c>
      <c r="F643">
        <v>6984889257</v>
      </c>
      <c r="G643">
        <v>0</v>
      </c>
      <c r="L643" t="s">
        <v>8</v>
      </c>
      <c r="M643" t="s">
        <v>7</v>
      </c>
      <c r="N643" t="s">
        <v>7</v>
      </c>
      <c r="P643">
        <f t="shared" si="950"/>
        <v>-0.66906474820144213</v>
      </c>
      <c r="Q643">
        <f t="shared" si="951"/>
        <v>-4673343171.9496632</v>
      </c>
      <c r="R643">
        <f t="shared" si="952"/>
        <v>107554309617.97421</v>
      </c>
      <c r="S643">
        <f t="shared" si="953"/>
        <v>1075543.0961797421</v>
      </c>
      <c r="T643">
        <f t="shared" si="954"/>
        <v>1075.5430961797422</v>
      </c>
    </row>
    <row r="644" spans="1:20" x14ac:dyDescent="0.25">
      <c r="A644" s="5">
        <v>43940</v>
      </c>
      <c r="B644">
        <v>2.3350000000000001E-4</v>
      </c>
      <c r="C644">
        <v>2.3599999999999999E-4</v>
      </c>
      <c r="D644">
        <v>2.2580000000000001E-4</v>
      </c>
      <c r="E644">
        <v>2.2770000000000001E-4</v>
      </c>
      <c r="F644">
        <v>4303412786</v>
      </c>
      <c r="G644">
        <v>0</v>
      </c>
      <c r="L644" t="s">
        <v>7</v>
      </c>
      <c r="M644" t="s">
        <v>7</v>
      </c>
      <c r="N644" t="s">
        <v>7</v>
      </c>
      <c r="P644">
        <f t="shared" si="950"/>
        <v>-0.62745098039215763</v>
      </c>
      <c r="Q644">
        <f t="shared" si="951"/>
        <v>-2700180571.6078463</v>
      </c>
      <c r="R644">
        <f t="shared" si="952"/>
        <v>112227652789.92387</v>
      </c>
      <c r="S644">
        <f t="shared" si="953"/>
        <v>1122276.5278992387</v>
      </c>
      <c r="T644">
        <f t="shared" si="954"/>
        <v>1122.2765278992388</v>
      </c>
    </row>
    <row r="645" spans="1:20" x14ac:dyDescent="0.25">
      <c r="A645" s="5">
        <v>43939</v>
      </c>
      <c r="B645">
        <v>2.276E-4</v>
      </c>
      <c r="C645">
        <v>2.3589999999999999E-4</v>
      </c>
      <c r="D645">
        <v>2.276E-4</v>
      </c>
      <c r="E645">
        <v>2.3369999999999999E-4</v>
      </c>
      <c r="F645">
        <v>4741740587</v>
      </c>
      <c r="G645">
        <v>0</v>
      </c>
      <c r="L645" t="s">
        <v>8</v>
      </c>
      <c r="M645" t="s">
        <v>7</v>
      </c>
      <c r="N645" t="s">
        <v>7</v>
      </c>
      <c r="P645">
        <f t="shared" si="950"/>
        <v>0.46987951807228839</v>
      </c>
      <c r="Q645">
        <f t="shared" si="951"/>
        <v>2228046781.84337</v>
      </c>
      <c r="R645">
        <f t="shared" si="952"/>
        <v>114927833361.53172</v>
      </c>
      <c r="S645">
        <f t="shared" si="953"/>
        <v>1149278.3336153172</v>
      </c>
      <c r="T645">
        <f t="shared" si="954"/>
        <v>1149.2783336153173</v>
      </c>
    </row>
    <row r="646" spans="1:20" x14ac:dyDescent="0.25">
      <c r="A646" s="5">
        <v>43938</v>
      </c>
      <c r="B646">
        <v>2.3000000000000001E-4</v>
      </c>
      <c r="C646">
        <v>2.32E-4</v>
      </c>
      <c r="D646">
        <v>2.2379999999999999E-4</v>
      </c>
      <c r="E646">
        <v>2.276E-4</v>
      </c>
      <c r="F646">
        <v>4206143991</v>
      </c>
      <c r="G646">
        <v>0</v>
      </c>
      <c r="L646" t="s">
        <v>7</v>
      </c>
      <c r="M646" t="s">
        <v>7</v>
      </c>
      <c r="N646" t="s">
        <v>7</v>
      </c>
      <c r="P646">
        <f t="shared" si="950"/>
        <v>-7.3170731707315459E-2</v>
      </c>
      <c r="Q646">
        <f t="shared" si="951"/>
        <v>-307766633.48779809</v>
      </c>
      <c r="R646">
        <f t="shared" si="952"/>
        <v>112699786579.68835</v>
      </c>
      <c r="S646">
        <f t="shared" si="953"/>
        <v>1126997.8657968836</v>
      </c>
      <c r="T646">
        <f t="shared" si="954"/>
        <v>1126.9978657968836</v>
      </c>
    </row>
    <row r="647" spans="1:20" x14ac:dyDescent="0.25">
      <c r="A647" s="5">
        <v>43937</v>
      </c>
      <c r="B647">
        <v>2.1689999999999999E-4</v>
      </c>
      <c r="C647">
        <v>2.33E-4</v>
      </c>
      <c r="D647">
        <v>2.1120000000000001E-4</v>
      </c>
      <c r="E647">
        <v>2.3000000000000001E-4</v>
      </c>
      <c r="F647">
        <v>7359884534</v>
      </c>
      <c r="G647">
        <v>0</v>
      </c>
      <c r="L647" t="s">
        <v>8</v>
      </c>
      <c r="M647" t="s">
        <v>7</v>
      </c>
      <c r="N647" t="s">
        <v>7</v>
      </c>
      <c r="P647">
        <f t="shared" si="950"/>
        <v>0.72477064220183551</v>
      </c>
      <c r="Q647">
        <f t="shared" si="951"/>
        <v>5334228240.2385368</v>
      </c>
      <c r="R647">
        <f t="shared" si="952"/>
        <v>113007553213.17615</v>
      </c>
      <c r="S647">
        <f t="shared" si="953"/>
        <v>1130075.5321317615</v>
      </c>
      <c r="T647">
        <f t="shared" si="954"/>
        <v>1130.0755321317615</v>
      </c>
    </row>
    <row r="648" spans="1:20" x14ac:dyDescent="0.25">
      <c r="A648" s="5">
        <v>43936</v>
      </c>
      <c r="B648">
        <v>2.2580000000000001E-4</v>
      </c>
      <c r="C648">
        <v>2.2690000000000001E-4</v>
      </c>
      <c r="D648">
        <v>2.1550000000000001E-4</v>
      </c>
      <c r="E648">
        <v>2.1689999999999999E-4</v>
      </c>
      <c r="F648">
        <v>5335663743</v>
      </c>
      <c r="G648">
        <v>0</v>
      </c>
      <c r="L648" t="s">
        <v>7</v>
      </c>
      <c r="M648" t="s">
        <v>7</v>
      </c>
      <c r="N648" t="s">
        <v>7</v>
      </c>
      <c r="P648">
        <f t="shared" si="950"/>
        <v>-0.75438596491228438</v>
      </c>
      <c r="Q648">
        <f t="shared" si="951"/>
        <v>-4025149841.210546</v>
      </c>
      <c r="R648">
        <f t="shared" si="952"/>
        <v>107673324972.93761</v>
      </c>
      <c r="S648">
        <f t="shared" si="953"/>
        <v>1076733.2497293761</v>
      </c>
      <c r="T648">
        <f t="shared" si="954"/>
        <v>1076.733249729376</v>
      </c>
    </row>
    <row r="649" spans="1:20" x14ac:dyDescent="0.25">
      <c r="A649" s="5">
        <v>43935</v>
      </c>
      <c r="B649">
        <v>2.253E-4</v>
      </c>
      <c r="C649">
        <v>2.296E-4</v>
      </c>
      <c r="D649">
        <v>2.2259999999999999E-4</v>
      </c>
      <c r="E649">
        <v>2.2580000000000001E-4</v>
      </c>
      <c r="F649">
        <v>6175440184</v>
      </c>
      <c r="G649">
        <v>0</v>
      </c>
      <c r="L649" t="s">
        <v>8</v>
      </c>
      <c r="M649" t="s">
        <v>7</v>
      </c>
      <c r="N649" t="s">
        <v>7</v>
      </c>
      <c r="P649">
        <f t="shared" si="950"/>
        <v>-8.5714285714279956E-2</v>
      </c>
      <c r="Q649">
        <f t="shared" si="951"/>
        <v>-529323444.3428216</v>
      </c>
      <c r="R649">
        <f t="shared" si="952"/>
        <v>111698474814.14815</v>
      </c>
      <c r="S649">
        <f t="shared" si="953"/>
        <v>1116984.7481414815</v>
      </c>
      <c r="T649">
        <f t="shared" si="954"/>
        <v>1116.9847481414815</v>
      </c>
    </row>
    <row r="650" spans="1:20" x14ac:dyDescent="0.25">
      <c r="A650" s="5">
        <v>43934</v>
      </c>
      <c r="B650">
        <v>2.31E-4</v>
      </c>
      <c r="C650">
        <v>2.31E-4</v>
      </c>
      <c r="D650">
        <v>2.198E-4</v>
      </c>
      <c r="E650">
        <v>2.2560000000000001E-4</v>
      </c>
      <c r="F650">
        <v>5360493320</v>
      </c>
      <c r="G650">
        <v>0</v>
      </c>
      <c r="L650" t="s">
        <v>7</v>
      </c>
      <c r="M650" t="s">
        <v>7</v>
      </c>
      <c r="N650" t="s">
        <v>7</v>
      </c>
      <c r="P650">
        <f t="shared" si="950"/>
        <v>3.571428571428658E-2</v>
      </c>
      <c r="Q650">
        <f t="shared" si="951"/>
        <v>191446190.00000465</v>
      </c>
      <c r="R650">
        <f t="shared" si="952"/>
        <v>112227798258.49097</v>
      </c>
      <c r="S650">
        <f t="shared" si="953"/>
        <v>1122277.9825849098</v>
      </c>
      <c r="T650">
        <f t="shared" si="954"/>
        <v>1122.2779825849098</v>
      </c>
    </row>
    <row r="651" spans="1:20" x14ac:dyDescent="0.25">
      <c r="A651" s="5">
        <v>43933</v>
      </c>
      <c r="B651">
        <v>2.2580000000000001E-4</v>
      </c>
      <c r="C651">
        <v>2.3800000000000001E-4</v>
      </c>
      <c r="D651">
        <v>2.2220000000000001E-4</v>
      </c>
      <c r="E651">
        <v>2.31E-4</v>
      </c>
      <c r="F651">
        <v>5179653038</v>
      </c>
      <c r="G651">
        <v>0</v>
      </c>
      <c r="L651" t="s">
        <v>8</v>
      </c>
      <c r="M651" t="s">
        <v>7</v>
      </c>
      <c r="N651" t="s">
        <v>7</v>
      </c>
      <c r="P651">
        <f t="shared" si="950"/>
        <v>0.1139240506329107</v>
      </c>
      <c r="Q651">
        <f t="shared" si="951"/>
        <v>590087054.96202171</v>
      </c>
      <c r="R651">
        <f t="shared" si="952"/>
        <v>112036352068.49097</v>
      </c>
      <c r="S651">
        <f t="shared" si="953"/>
        <v>1120363.5206849098</v>
      </c>
      <c r="T651">
        <f t="shared" si="954"/>
        <v>1120.3635206849099</v>
      </c>
    </row>
    <row r="652" spans="1:20" x14ac:dyDescent="0.25">
      <c r="A652" s="5">
        <v>43932</v>
      </c>
      <c r="B652">
        <v>2.2709999999999999E-4</v>
      </c>
      <c r="C652">
        <v>2.321E-4</v>
      </c>
      <c r="D652">
        <v>2.2049999999999999E-4</v>
      </c>
      <c r="E652">
        <v>2.2580000000000001E-4</v>
      </c>
      <c r="F652">
        <v>4378457989</v>
      </c>
      <c r="G652">
        <v>0</v>
      </c>
      <c r="L652" t="s">
        <v>7</v>
      </c>
      <c r="M652" t="s">
        <v>7</v>
      </c>
      <c r="N652" t="s">
        <v>7</v>
      </c>
      <c r="P652">
        <f t="shared" si="950"/>
        <v>-8.6206896551721479E-2</v>
      </c>
      <c r="Q652">
        <f t="shared" si="951"/>
        <v>-377453274.91378146</v>
      </c>
      <c r="R652">
        <f t="shared" si="952"/>
        <v>111446265013.52895</v>
      </c>
      <c r="S652">
        <f t="shared" si="953"/>
        <v>1114462.6501352894</v>
      </c>
      <c r="T652">
        <f t="shared" si="954"/>
        <v>1114.4626501352893</v>
      </c>
    </row>
    <row r="653" spans="1:20" x14ac:dyDescent="0.25">
      <c r="A653" s="5">
        <v>43931</v>
      </c>
      <c r="B653">
        <v>2.4689999999999998E-4</v>
      </c>
      <c r="C653">
        <v>2.4889999999999998E-4</v>
      </c>
      <c r="D653">
        <v>2.198E-4</v>
      </c>
      <c r="E653">
        <v>2.2709999999999999E-4</v>
      </c>
      <c r="F653">
        <v>7427306609</v>
      </c>
      <c r="G653">
        <v>0</v>
      </c>
      <c r="L653" t="s">
        <v>8</v>
      </c>
      <c r="M653" t="s">
        <v>7</v>
      </c>
      <c r="N653" t="s">
        <v>7</v>
      </c>
      <c r="P653">
        <f t="shared" si="950"/>
        <v>-0.49828178694158121</v>
      </c>
      <c r="Q653">
        <f t="shared" si="951"/>
        <v>-3700891609.295536</v>
      </c>
      <c r="R653">
        <f t="shared" si="952"/>
        <v>111823718288.44273</v>
      </c>
      <c r="S653">
        <f t="shared" si="953"/>
        <v>1118237.1828844273</v>
      </c>
      <c r="T653">
        <f t="shared" si="954"/>
        <v>1118.2371828844273</v>
      </c>
    </row>
    <row r="654" spans="1:20" x14ac:dyDescent="0.25">
      <c r="A654" s="5">
        <v>43930</v>
      </c>
      <c r="B654">
        <v>2.5129999999999998E-4</v>
      </c>
      <c r="C654">
        <v>2.543E-4</v>
      </c>
      <c r="D654">
        <v>2.4159999999999999E-4</v>
      </c>
      <c r="E654">
        <v>2.4699999999999999E-4</v>
      </c>
      <c r="F654">
        <v>4512967579</v>
      </c>
      <c r="G654">
        <v>0</v>
      </c>
      <c r="L654" t="s">
        <v>7</v>
      </c>
      <c r="M654" t="s">
        <v>8</v>
      </c>
      <c r="N654" t="s">
        <v>7</v>
      </c>
      <c r="P654">
        <f t="shared" si="950"/>
        <v>-0.1496062992125998</v>
      </c>
      <c r="Q654">
        <f t="shared" si="951"/>
        <v>-675168377.96063614</v>
      </c>
      <c r="R654">
        <f t="shared" si="952"/>
        <v>115524609897.73827</v>
      </c>
      <c r="S654">
        <f t="shared" si="953"/>
        <v>1155246.0989773828</v>
      </c>
      <c r="T654">
        <f t="shared" si="954"/>
        <v>1155.2460989773829</v>
      </c>
    </row>
    <row r="655" spans="1:20" x14ac:dyDescent="0.25">
      <c r="A655" s="5">
        <v>43929</v>
      </c>
      <c r="B655">
        <v>2.421E-4</v>
      </c>
      <c r="C655">
        <v>2.52E-4</v>
      </c>
      <c r="D655">
        <v>2.41E-4</v>
      </c>
      <c r="E655">
        <v>2.5119999999999998E-4</v>
      </c>
      <c r="F655">
        <v>5546047188</v>
      </c>
      <c r="G655">
        <v>0</v>
      </c>
      <c r="L655" t="s">
        <v>8</v>
      </c>
      <c r="M655" t="s">
        <v>8</v>
      </c>
      <c r="N655" t="s">
        <v>7</v>
      </c>
      <c r="P655">
        <f t="shared" si="950"/>
        <v>0.85454545454545094</v>
      </c>
      <c r="Q655">
        <f t="shared" si="951"/>
        <v>4739349415.1999798</v>
      </c>
      <c r="R655">
        <f t="shared" si="952"/>
        <v>116199778275.6989</v>
      </c>
      <c r="S655">
        <f t="shared" si="953"/>
        <v>1161997.7827569889</v>
      </c>
      <c r="T655">
        <f t="shared" si="954"/>
        <v>1161.997782756989</v>
      </c>
    </row>
    <row r="656" spans="1:20" x14ac:dyDescent="0.25">
      <c r="A656" s="5">
        <v>43928</v>
      </c>
      <c r="B656">
        <v>2.5129999999999998E-4</v>
      </c>
      <c r="C656">
        <v>2.6499999999999999E-4</v>
      </c>
      <c r="D656">
        <v>2.388E-4</v>
      </c>
      <c r="E656">
        <v>2.4110000000000001E-4</v>
      </c>
      <c r="F656">
        <v>5535581026</v>
      </c>
      <c r="G656">
        <v>0</v>
      </c>
      <c r="L656" t="s">
        <v>7</v>
      </c>
      <c r="M656" t="s">
        <v>8</v>
      </c>
      <c r="N656" t="s">
        <v>7</v>
      </c>
      <c r="P656">
        <f t="shared" si="950"/>
        <v>-0.82442748091603035</v>
      </c>
      <c r="Q656">
        <f t="shared" si="951"/>
        <v>-4563685120.6717548</v>
      </c>
      <c r="R656">
        <f t="shared" si="952"/>
        <v>111460428860.49892</v>
      </c>
      <c r="S656">
        <f t="shared" si="953"/>
        <v>1114604.2886049892</v>
      </c>
      <c r="T656">
        <f t="shared" si="954"/>
        <v>1114.6042886049893</v>
      </c>
    </row>
    <row r="657" spans="1:20" x14ac:dyDescent="0.25">
      <c r="A657" s="5">
        <v>43927</v>
      </c>
      <c r="B657">
        <v>2.331E-4</v>
      </c>
      <c r="C657">
        <v>2.52E-4</v>
      </c>
      <c r="D657">
        <v>2.3250000000000001E-4</v>
      </c>
      <c r="E657">
        <v>2.5159999999999999E-4</v>
      </c>
      <c r="F657">
        <v>7694746865</v>
      </c>
      <c r="G657">
        <v>0</v>
      </c>
      <c r="L657" t="s">
        <v>8</v>
      </c>
      <c r="M657" t="s">
        <v>8</v>
      </c>
      <c r="N657" t="s">
        <v>7</v>
      </c>
      <c r="P657">
        <f t="shared" si="950"/>
        <v>0.9589743589743579</v>
      </c>
      <c r="Q657">
        <f t="shared" si="951"/>
        <v>7379064942.3333254</v>
      </c>
      <c r="R657">
        <f t="shared" si="952"/>
        <v>116024113981.17067</v>
      </c>
      <c r="S657">
        <f t="shared" si="953"/>
        <v>1160241.1398117067</v>
      </c>
      <c r="T657">
        <f t="shared" si="954"/>
        <v>1160.2411398117067</v>
      </c>
    </row>
    <row r="658" spans="1:20" x14ac:dyDescent="0.25">
      <c r="A658" s="5">
        <v>43926</v>
      </c>
      <c r="B658">
        <v>2.274E-4</v>
      </c>
      <c r="C658">
        <v>2.452E-4</v>
      </c>
      <c r="D658">
        <v>2.2350000000000001E-4</v>
      </c>
      <c r="E658">
        <v>2.331E-4</v>
      </c>
      <c r="F658">
        <v>5026858494</v>
      </c>
      <c r="G658">
        <v>0</v>
      </c>
      <c r="L658" t="s">
        <v>7</v>
      </c>
      <c r="M658" t="s">
        <v>8</v>
      </c>
      <c r="N658" t="s">
        <v>7</v>
      </c>
      <c r="P658">
        <f t="shared" si="950"/>
        <v>-0.11520737327188978</v>
      </c>
      <c r="Q658">
        <f t="shared" si="951"/>
        <v>-579131162.90322769</v>
      </c>
      <c r="R658">
        <f t="shared" si="952"/>
        <v>108645049038.83734</v>
      </c>
      <c r="S658">
        <f t="shared" si="953"/>
        <v>1086450.4903883734</v>
      </c>
      <c r="T658">
        <f t="shared" si="954"/>
        <v>1086.4504903883733</v>
      </c>
    </row>
    <row r="659" spans="1:20" x14ac:dyDescent="0.25">
      <c r="A659" s="5">
        <v>43925</v>
      </c>
      <c r="B659">
        <v>2.2499999999999999E-4</v>
      </c>
      <c r="C659">
        <v>2.2919999999999999E-4</v>
      </c>
      <c r="D659">
        <v>2.2169999999999999E-4</v>
      </c>
      <c r="E659">
        <v>2.2709999999999999E-4</v>
      </c>
      <c r="F659">
        <v>4591696919</v>
      </c>
      <c r="G659">
        <v>0</v>
      </c>
      <c r="L659" t="s">
        <v>8</v>
      </c>
      <c r="M659" t="s">
        <v>7</v>
      </c>
      <c r="N659" t="s">
        <v>7</v>
      </c>
      <c r="P659">
        <f t="shared" si="950"/>
        <v>0.44000000000000028</v>
      </c>
      <c r="Q659">
        <f t="shared" si="951"/>
        <v>2020346644.3600013</v>
      </c>
      <c r="R659">
        <f t="shared" si="952"/>
        <v>109224180201.74057</v>
      </c>
      <c r="S659">
        <f t="shared" si="953"/>
        <v>1092241.8020174056</v>
      </c>
      <c r="T659">
        <f t="shared" si="954"/>
        <v>1092.2418020174057</v>
      </c>
    </row>
    <row r="660" spans="1:20" x14ac:dyDescent="0.25">
      <c r="A660" s="5">
        <v>43924</v>
      </c>
      <c r="B660">
        <v>2.2690000000000001E-4</v>
      </c>
      <c r="C660">
        <v>2.307E-4</v>
      </c>
      <c r="D660">
        <v>2.2149999999999999E-4</v>
      </c>
      <c r="E660">
        <v>2.2499999999999999E-4</v>
      </c>
      <c r="F660">
        <v>7329121406</v>
      </c>
      <c r="G660">
        <v>0</v>
      </c>
      <c r="L660" t="s">
        <v>7</v>
      </c>
      <c r="M660" t="s">
        <v>7</v>
      </c>
      <c r="N660" t="s">
        <v>7</v>
      </c>
      <c r="P660">
        <f t="shared" si="950"/>
        <v>-0.23913043478260845</v>
      </c>
      <c r="Q660">
        <f t="shared" si="951"/>
        <v>-1752615988.3913026</v>
      </c>
      <c r="R660">
        <f t="shared" si="952"/>
        <v>107203833557.38057</v>
      </c>
      <c r="S660">
        <f t="shared" si="953"/>
        <v>1072038.3355738057</v>
      </c>
      <c r="T660">
        <f t="shared" si="954"/>
        <v>1072.0383355738056</v>
      </c>
    </row>
    <row r="661" spans="1:20" x14ac:dyDescent="0.25">
      <c r="A661" s="5">
        <v>43923</v>
      </c>
      <c r="B661">
        <v>2.2130000000000001E-4</v>
      </c>
      <c r="C661">
        <v>2.3499999999999999E-4</v>
      </c>
      <c r="D661">
        <v>2.1929999999999999E-4</v>
      </c>
      <c r="E661">
        <v>2.2690000000000001E-4</v>
      </c>
      <c r="F661">
        <v>7450917606</v>
      </c>
      <c r="G661">
        <v>0</v>
      </c>
      <c r="L661" t="s">
        <v>8</v>
      </c>
      <c r="M661" t="s">
        <v>7</v>
      </c>
      <c r="N661" t="s">
        <v>7</v>
      </c>
      <c r="P661">
        <f t="shared" si="950"/>
        <v>-3.1847133757959098E-2</v>
      </c>
      <c r="Q661">
        <f t="shared" si="951"/>
        <v>-237290369.61781439</v>
      </c>
      <c r="R661">
        <f t="shared" si="952"/>
        <v>108956449545.77187</v>
      </c>
      <c r="S661">
        <f t="shared" si="953"/>
        <v>1089564.4954577186</v>
      </c>
      <c r="T661">
        <f t="shared" si="954"/>
        <v>1089.5644954577185</v>
      </c>
    </row>
    <row r="662" spans="1:20" x14ac:dyDescent="0.25">
      <c r="A662" s="5">
        <v>43922</v>
      </c>
      <c r="B662">
        <v>2.218E-4</v>
      </c>
      <c r="C662">
        <v>2.2220000000000001E-4</v>
      </c>
      <c r="D662">
        <v>2.1350000000000001E-4</v>
      </c>
      <c r="E662">
        <v>2.2130000000000001E-4</v>
      </c>
      <c r="F662">
        <v>5977200141</v>
      </c>
      <c r="G662">
        <v>0</v>
      </c>
      <c r="L662" t="s">
        <v>7</v>
      </c>
      <c r="M662" t="s">
        <v>7</v>
      </c>
      <c r="N662" t="s">
        <v>7</v>
      </c>
      <c r="P662">
        <f t="shared" si="950"/>
        <v>0.7931034482758631</v>
      </c>
      <c r="Q662">
        <f t="shared" si="951"/>
        <v>4740538042.8620749</v>
      </c>
      <c r="R662">
        <f t="shared" si="952"/>
        <v>109193739915.38968</v>
      </c>
      <c r="S662">
        <f t="shared" si="953"/>
        <v>1091937.3991538968</v>
      </c>
      <c r="T662">
        <f t="shared" si="954"/>
        <v>1091.9373991538969</v>
      </c>
    </row>
    <row r="663" spans="1:20" x14ac:dyDescent="0.25">
      <c r="A663" s="5">
        <v>43921</v>
      </c>
      <c r="B663">
        <v>2.221E-4</v>
      </c>
      <c r="C663">
        <v>2.24E-4</v>
      </c>
      <c r="D663">
        <v>2.154E-4</v>
      </c>
      <c r="E663">
        <v>2.218E-4</v>
      </c>
      <c r="F663">
        <v>4824448608</v>
      </c>
      <c r="G663">
        <v>0</v>
      </c>
      <c r="L663" t="s">
        <v>8</v>
      </c>
      <c r="M663" t="s">
        <v>7</v>
      </c>
      <c r="N663" t="s">
        <v>7</v>
      </c>
      <c r="P663">
        <f t="shared" si="950"/>
        <v>0.48837209302325552</v>
      </c>
      <c r="Q663">
        <f t="shared" si="951"/>
        <v>2356126064.3720918</v>
      </c>
      <c r="R663">
        <f t="shared" si="952"/>
        <v>104453201872.5276</v>
      </c>
      <c r="S663">
        <f t="shared" si="953"/>
        <v>1044532.018725276</v>
      </c>
      <c r="T663">
        <f t="shared" si="954"/>
        <v>1044.532018725276</v>
      </c>
    </row>
    <row r="664" spans="1:20" x14ac:dyDescent="0.25">
      <c r="A664" s="5">
        <v>43920</v>
      </c>
      <c r="B664">
        <v>2.039E-4</v>
      </c>
      <c r="C664">
        <v>2.2489999999999999E-4</v>
      </c>
      <c r="D664">
        <v>2.0340000000000001E-4</v>
      </c>
      <c r="E664">
        <v>2.221E-4</v>
      </c>
      <c r="F664">
        <v>7248894706</v>
      </c>
      <c r="G664">
        <v>0</v>
      </c>
      <c r="L664" t="s">
        <v>7</v>
      </c>
      <c r="M664" t="s">
        <v>7</v>
      </c>
      <c r="N664" t="s">
        <v>7</v>
      </c>
      <c r="P664">
        <f t="shared" si="950"/>
        <v>0.73953488372093124</v>
      </c>
      <c r="Q664">
        <f t="shared" si="951"/>
        <v>5360810503.5069838</v>
      </c>
      <c r="R664">
        <f t="shared" si="952"/>
        <v>102097075808.15552</v>
      </c>
      <c r="S664">
        <f t="shared" si="953"/>
        <v>1020970.7580815551</v>
      </c>
      <c r="T664">
        <f t="shared" si="954"/>
        <v>1020.9707580815551</v>
      </c>
    </row>
    <row r="665" spans="1:20" x14ac:dyDescent="0.25">
      <c r="A665" s="5">
        <v>43919</v>
      </c>
      <c r="B665">
        <v>2.1609999999999999E-4</v>
      </c>
      <c r="C665">
        <v>2.1719999999999999E-4</v>
      </c>
      <c r="D665">
        <v>2.0359999999999999E-4</v>
      </c>
      <c r="E665">
        <v>2.039E-4</v>
      </c>
      <c r="F665">
        <v>4837505111</v>
      </c>
      <c r="G665">
        <v>0</v>
      </c>
      <c r="L665" t="s">
        <v>8</v>
      </c>
      <c r="M665" t="s">
        <v>7</v>
      </c>
      <c r="N665" t="s">
        <v>7</v>
      </c>
      <c r="P665">
        <f t="shared" si="950"/>
        <v>-0.95588235294117541</v>
      </c>
      <c r="Q665">
        <f t="shared" si="951"/>
        <v>-4624085767.8676414</v>
      </c>
      <c r="R665">
        <f t="shared" si="952"/>
        <v>96736265304.648529</v>
      </c>
      <c r="S665">
        <f t="shared" si="953"/>
        <v>967362.65304648527</v>
      </c>
      <c r="T665">
        <f t="shared" si="954"/>
        <v>967.36265304648532</v>
      </c>
    </row>
    <row r="666" spans="1:20" x14ac:dyDescent="0.25">
      <c r="A666" s="5">
        <v>43918</v>
      </c>
      <c r="B666">
        <v>2.1369999999999999E-4</v>
      </c>
      <c r="C666">
        <v>2.1609999999999999E-4</v>
      </c>
      <c r="D666">
        <v>2.075E-4</v>
      </c>
      <c r="E666">
        <v>2.1609999999999999E-4</v>
      </c>
      <c r="F666">
        <v>5616659168</v>
      </c>
      <c r="G666">
        <v>0</v>
      </c>
      <c r="L666" t="s">
        <v>7</v>
      </c>
      <c r="M666" t="s">
        <v>7</v>
      </c>
      <c r="N666" t="s">
        <v>7</v>
      </c>
      <c r="P666">
        <f t="shared" si="950"/>
        <v>1</v>
      </c>
      <c r="Q666">
        <f t="shared" si="951"/>
        <v>5616659168</v>
      </c>
      <c r="R666">
        <f t="shared" si="952"/>
        <v>101360351072.51617</v>
      </c>
      <c r="S666">
        <f t="shared" si="953"/>
        <v>1013603.5107251618</v>
      </c>
      <c r="T666">
        <f t="shared" si="954"/>
        <v>1013.6035107251618</v>
      </c>
    </row>
    <row r="667" spans="1:20" x14ac:dyDescent="0.25">
      <c r="A667" s="5">
        <v>43917</v>
      </c>
      <c r="B667">
        <v>2.2379999999999999E-4</v>
      </c>
      <c r="C667">
        <v>2.253E-4</v>
      </c>
      <c r="D667">
        <v>2.073E-4</v>
      </c>
      <c r="E667">
        <v>2.1359999999999999E-4</v>
      </c>
      <c r="F667">
        <v>4624364663</v>
      </c>
      <c r="G667">
        <v>0</v>
      </c>
      <c r="L667" t="s">
        <v>8</v>
      </c>
      <c r="M667" t="s">
        <v>7</v>
      </c>
      <c r="N667" t="s">
        <v>7</v>
      </c>
      <c r="P667">
        <f t="shared" si="950"/>
        <v>-0.30000000000000121</v>
      </c>
      <c r="Q667">
        <f t="shared" si="951"/>
        <v>-1387309398.9000056</v>
      </c>
      <c r="R667">
        <f t="shared" si="952"/>
        <v>95743691904.516174</v>
      </c>
      <c r="S667">
        <f t="shared" si="953"/>
        <v>957436.91904516169</v>
      </c>
      <c r="T667">
        <f t="shared" si="954"/>
        <v>957.43691904516174</v>
      </c>
    </row>
    <row r="668" spans="1:20" x14ac:dyDescent="0.25">
      <c r="A668" s="5">
        <v>43916</v>
      </c>
      <c r="B668">
        <v>2.1809999999999999E-4</v>
      </c>
      <c r="C668">
        <v>2.24E-4</v>
      </c>
      <c r="D668">
        <v>2.109E-4</v>
      </c>
      <c r="E668">
        <v>2.2379999999999999E-4</v>
      </c>
      <c r="F668">
        <v>4788839347</v>
      </c>
      <c r="G668">
        <v>0</v>
      </c>
      <c r="L668" t="s">
        <v>7</v>
      </c>
      <c r="M668" t="s">
        <v>7</v>
      </c>
      <c r="N668" t="s">
        <v>7</v>
      </c>
      <c r="P668">
        <f t="shared" si="950"/>
        <v>0.96946564885496112</v>
      </c>
      <c r="Q668">
        <f t="shared" si="951"/>
        <v>4642615244.8015232</v>
      </c>
      <c r="R668">
        <f t="shared" si="952"/>
        <v>97131001303.416183</v>
      </c>
      <c r="S668">
        <f t="shared" si="953"/>
        <v>971310.01303416188</v>
      </c>
      <c r="T668">
        <f t="shared" si="954"/>
        <v>971.3100130341619</v>
      </c>
    </row>
    <row r="669" spans="1:20" x14ac:dyDescent="0.25">
      <c r="A669" s="5">
        <v>43915</v>
      </c>
      <c r="B669">
        <v>2.1880000000000001E-4</v>
      </c>
      <c r="C669">
        <v>2.232E-4</v>
      </c>
      <c r="D669">
        <v>2.1259999999999999E-4</v>
      </c>
      <c r="E669">
        <v>2.1829999999999999E-4</v>
      </c>
      <c r="F669">
        <v>6029450423</v>
      </c>
      <c r="G669">
        <v>0</v>
      </c>
      <c r="L669" t="s">
        <v>8</v>
      </c>
      <c r="M669" t="s">
        <v>7</v>
      </c>
      <c r="N669" t="s">
        <v>7</v>
      </c>
      <c r="P669">
        <f t="shared" si="950"/>
        <v>7.5471698113206726E-2</v>
      </c>
      <c r="Q669">
        <f t="shared" si="951"/>
        <v>455052862.11320257</v>
      </c>
      <c r="R669">
        <f t="shared" si="952"/>
        <v>92488386058.614655</v>
      </c>
      <c r="S669">
        <f t="shared" si="953"/>
        <v>924883.86058614659</v>
      </c>
      <c r="T669">
        <f t="shared" si="954"/>
        <v>924.88386058614662</v>
      </c>
    </row>
    <row r="670" spans="1:20" x14ac:dyDescent="0.25">
      <c r="A670" s="5">
        <v>43914</v>
      </c>
      <c r="B670">
        <v>2.1829999999999999E-4</v>
      </c>
      <c r="C670">
        <v>2.2680000000000001E-4</v>
      </c>
      <c r="D670">
        <v>2.154E-4</v>
      </c>
      <c r="E670">
        <v>2.1880000000000001E-4</v>
      </c>
      <c r="F670">
        <v>6522694201</v>
      </c>
      <c r="G670">
        <v>0</v>
      </c>
      <c r="L670" t="s">
        <v>7</v>
      </c>
      <c r="M670" t="s">
        <v>7</v>
      </c>
      <c r="N670" t="s">
        <v>7</v>
      </c>
      <c r="P670">
        <f t="shared" si="950"/>
        <v>-0.40350877192982465</v>
      </c>
      <c r="Q670">
        <f t="shared" si="951"/>
        <v>-2631964326.7192988</v>
      </c>
      <c r="R670">
        <f t="shared" si="952"/>
        <v>92033333196.50145</v>
      </c>
      <c r="S670">
        <f t="shared" si="953"/>
        <v>920333.33196501445</v>
      </c>
      <c r="T670">
        <f t="shared" si="954"/>
        <v>920.33333196501451</v>
      </c>
    </row>
    <row r="671" spans="1:20" x14ac:dyDescent="0.25">
      <c r="A671" s="5">
        <v>43913</v>
      </c>
      <c r="B671">
        <v>2.04E-4</v>
      </c>
      <c r="C671">
        <v>2.2389999999999999E-4</v>
      </c>
      <c r="D671">
        <v>2.006E-4</v>
      </c>
      <c r="E671">
        <v>2.1829999999999999E-4</v>
      </c>
      <c r="F671">
        <v>6051598458</v>
      </c>
      <c r="G671">
        <v>0</v>
      </c>
      <c r="L671" t="s">
        <v>8</v>
      </c>
      <c r="M671" t="s">
        <v>7</v>
      </c>
      <c r="N671" t="s">
        <v>7</v>
      </c>
      <c r="P671">
        <f t="shared" si="950"/>
        <v>0.51931330472102988</v>
      </c>
      <c r="Q671">
        <f t="shared" si="951"/>
        <v>3142675594.0686684</v>
      </c>
      <c r="R671">
        <f t="shared" si="952"/>
        <v>94665297523.220749</v>
      </c>
      <c r="S671">
        <f t="shared" si="953"/>
        <v>946652.97523220745</v>
      </c>
      <c r="T671">
        <f t="shared" si="954"/>
        <v>946.6529752322075</v>
      </c>
    </row>
    <row r="672" spans="1:20" x14ac:dyDescent="0.25">
      <c r="A672" s="5">
        <v>43912</v>
      </c>
      <c r="B672">
        <v>2.2350000000000001E-4</v>
      </c>
      <c r="C672">
        <v>2.2890000000000001E-4</v>
      </c>
      <c r="D672">
        <v>2.0249999999999999E-4</v>
      </c>
      <c r="E672">
        <v>2.0369999999999999E-4</v>
      </c>
      <c r="F672">
        <v>4550077294</v>
      </c>
      <c r="G672">
        <v>0</v>
      </c>
      <c r="L672" t="s">
        <v>7</v>
      </c>
      <c r="M672" t="s">
        <v>7</v>
      </c>
      <c r="N672" t="s">
        <v>7</v>
      </c>
      <c r="P672">
        <f t="shared" si="950"/>
        <v>-0.90909090909090895</v>
      </c>
      <c r="Q672">
        <f t="shared" si="951"/>
        <v>-4136433903.636363</v>
      </c>
      <c r="R672">
        <f t="shared" si="952"/>
        <v>91522621929.152084</v>
      </c>
      <c r="S672">
        <f t="shared" si="953"/>
        <v>915226.21929152089</v>
      </c>
      <c r="T672">
        <f t="shared" si="954"/>
        <v>915.22621929152092</v>
      </c>
    </row>
    <row r="673" spans="1:20" x14ac:dyDescent="0.25">
      <c r="A673" s="5">
        <v>43911</v>
      </c>
      <c r="B673">
        <v>2.231E-4</v>
      </c>
      <c r="C673">
        <v>2.3269999999999999E-4</v>
      </c>
      <c r="D673">
        <v>2.12E-4</v>
      </c>
      <c r="E673">
        <v>2.2350000000000001E-4</v>
      </c>
      <c r="F673">
        <v>5241898863</v>
      </c>
      <c r="G673">
        <v>0</v>
      </c>
      <c r="L673" t="s">
        <v>8</v>
      </c>
      <c r="M673" t="s">
        <v>7</v>
      </c>
      <c r="N673" t="s">
        <v>7</v>
      </c>
      <c r="P673">
        <f t="shared" si="950"/>
        <v>0.11111111111111256</v>
      </c>
      <c r="Q673">
        <f t="shared" si="951"/>
        <v>582433207.00000763</v>
      </c>
      <c r="R673">
        <f t="shared" si="952"/>
        <v>95659055832.788452</v>
      </c>
      <c r="S673">
        <f t="shared" si="953"/>
        <v>956590.55832788453</v>
      </c>
      <c r="T673">
        <f t="shared" si="954"/>
        <v>956.59055832788454</v>
      </c>
    </row>
    <row r="674" spans="1:20" x14ac:dyDescent="0.25">
      <c r="A674" s="5">
        <v>43910</v>
      </c>
      <c r="B674">
        <v>2.3020000000000001E-4</v>
      </c>
      <c r="C674">
        <v>3.2600000000000001E-4</v>
      </c>
      <c r="D674">
        <v>2.0770000000000001E-4</v>
      </c>
      <c r="E674">
        <v>2.229E-4</v>
      </c>
      <c r="F674">
        <v>7389891397</v>
      </c>
      <c r="G674">
        <v>0</v>
      </c>
      <c r="L674" t="s">
        <v>7</v>
      </c>
      <c r="M674" t="s">
        <v>8</v>
      </c>
      <c r="N674" t="s">
        <v>8</v>
      </c>
      <c r="P674">
        <f t="shared" si="950"/>
        <v>-0.74302620456466628</v>
      </c>
      <c r="Q674">
        <f t="shared" si="951"/>
        <v>-5490882956.8579893</v>
      </c>
      <c r="R674">
        <f t="shared" si="952"/>
        <v>95076622625.788437</v>
      </c>
      <c r="S674">
        <f t="shared" si="953"/>
        <v>950766.22625788441</v>
      </c>
      <c r="T674">
        <f t="shared" si="954"/>
        <v>950.76622625788445</v>
      </c>
    </row>
    <row r="675" spans="1:20" x14ac:dyDescent="0.25">
      <c r="A675" s="5">
        <v>43909</v>
      </c>
      <c r="B675">
        <v>2.0019999999999999E-4</v>
      </c>
      <c r="C675">
        <v>2.3709999999999999E-4</v>
      </c>
      <c r="D675">
        <v>1.9900000000000001E-4</v>
      </c>
      <c r="E675">
        <v>2.3020000000000001E-4</v>
      </c>
      <c r="F675">
        <v>6912322964</v>
      </c>
      <c r="G675">
        <v>0</v>
      </c>
      <c r="L675" t="s">
        <v>8</v>
      </c>
      <c r="M675" t="s">
        <v>8</v>
      </c>
      <c r="N675" t="s">
        <v>8</v>
      </c>
      <c r="P675">
        <f t="shared" si="950"/>
        <v>0.63779527559055216</v>
      </c>
      <c r="Q675">
        <f t="shared" si="951"/>
        <v>4408646929.7952824</v>
      </c>
      <c r="R675">
        <f t="shared" si="952"/>
        <v>100567505582.64642</v>
      </c>
      <c r="S675">
        <f t="shared" si="953"/>
        <v>1005675.0558264642</v>
      </c>
      <c r="T675">
        <f t="shared" si="954"/>
        <v>1005.6750558264642</v>
      </c>
    </row>
    <row r="676" spans="1:20" x14ac:dyDescent="0.25">
      <c r="A676" s="5">
        <v>43908</v>
      </c>
      <c r="B676">
        <v>2.0340000000000001E-4</v>
      </c>
      <c r="C676">
        <v>2.0550000000000001E-4</v>
      </c>
      <c r="D676">
        <v>1.9120000000000001E-4</v>
      </c>
      <c r="E676">
        <v>2.0019999999999999E-4</v>
      </c>
      <c r="F676">
        <v>4956526942</v>
      </c>
      <c r="G676">
        <v>0</v>
      </c>
      <c r="L676" t="s">
        <v>7</v>
      </c>
      <c r="M676" t="s">
        <v>8</v>
      </c>
      <c r="N676" t="s">
        <v>8</v>
      </c>
      <c r="P676">
        <f t="shared" si="950"/>
        <v>0.25874125874125564</v>
      </c>
      <c r="Q676">
        <f t="shared" si="951"/>
        <v>1282458019.9580266</v>
      </c>
      <c r="R676">
        <f t="shared" si="952"/>
        <v>96158858652.851135</v>
      </c>
      <c r="S676">
        <f t="shared" si="953"/>
        <v>961588.58652851137</v>
      </c>
      <c r="T676">
        <f t="shared" si="954"/>
        <v>961.58858652851131</v>
      </c>
    </row>
    <row r="677" spans="1:20" x14ac:dyDescent="0.25">
      <c r="A677" s="5">
        <v>43907</v>
      </c>
      <c r="B677">
        <v>1.9239999999999999E-4</v>
      </c>
      <c r="C677">
        <v>2.0790000000000001E-4</v>
      </c>
      <c r="D677">
        <v>1.9019999999999999E-4</v>
      </c>
      <c r="E677">
        <v>2.0340000000000001E-4</v>
      </c>
      <c r="F677">
        <v>6045027229</v>
      </c>
      <c r="G677">
        <v>0</v>
      </c>
      <c r="L677" t="s">
        <v>8</v>
      </c>
      <c r="M677" t="s">
        <v>8</v>
      </c>
      <c r="N677" t="s">
        <v>8</v>
      </c>
      <c r="P677">
        <f t="shared" si="950"/>
        <v>0.49152542372881414</v>
      </c>
      <c r="Q677">
        <f t="shared" si="951"/>
        <v>2971284570.1864443</v>
      </c>
      <c r="R677">
        <f t="shared" si="952"/>
        <v>94876400632.893112</v>
      </c>
      <c r="S677">
        <f t="shared" si="953"/>
        <v>948764.00632893108</v>
      </c>
      <c r="T677">
        <f t="shared" si="954"/>
        <v>948.76400632893103</v>
      </c>
    </row>
    <row r="678" spans="1:20" x14ac:dyDescent="0.25">
      <c r="A678" s="5">
        <v>43906</v>
      </c>
      <c r="B678">
        <v>2.129E-4</v>
      </c>
      <c r="C678">
        <v>2.129E-4</v>
      </c>
      <c r="D678">
        <v>1.6909999999999999E-4</v>
      </c>
      <c r="E678">
        <v>1.9239999999999999E-4</v>
      </c>
      <c r="F678">
        <v>7776876151</v>
      </c>
      <c r="G678">
        <v>0</v>
      </c>
      <c r="L678" t="s">
        <v>7</v>
      </c>
      <c r="M678" t="s">
        <v>7</v>
      </c>
      <c r="N678" t="s">
        <v>8</v>
      </c>
      <c r="P678">
        <f t="shared" si="950"/>
        <v>6.3926940639269098E-2</v>
      </c>
      <c r="Q678">
        <f t="shared" si="951"/>
        <v>497151900.06392455</v>
      </c>
      <c r="R678">
        <f t="shared" si="952"/>
        <v>91905116062.706665</v>
      </c>
      <c r="S678">
        <f t="shared" si="953"/>
        <v>919051.16062706662</v>
      </c>
      <c r="T678">
        <f t="shared" si="954"/>
        <v>919.05116062706668</v>
      </c>
    </row>
    <row r="679" spans="1:20" x14ac:dyDescent="0.25">
      <c r="A679" s="5">
        <v>43905</v>
      </c>
      <c r="B679">
        <v>1.973E-4</v>
      </c>
      <c r="C679">
        <v>2.252E-4</v>
      </c>
      <c r="D679">
        <v>1.953E-4</v>
      </c>
      <c r="E679">
        <v>2.128E-4</v>
      </c>
      <c r="F679">
        <v>5513908564</v>
      </c>
      <c r="G679">
        <v>0</v>
      </c>
      <c r="L679" t="s">
        <v>8</v>
      </c>
      <c r="M679" t="s">
        <v>8</v>
      </c>
      <c r="N679" t="s">
        <v>8</v>
      </c>
      <c r="P679">
        <f t="shared" si="950"/>
        <v>0.17056856187290934</v>
      </c>
      <c r="Q679">
        <f t="shared" si="951"/>
        <v>940499454.06019866</v>
      </c>
      <c r="R679">
        <f t="shared" si="952"/>
        <v>91407964162.642746</v>
      </c>
      <c r="S679">
        <f t="shared" si="953"/>
        <v>914079.64162642742</v>
      </c>
      <c r="T679">
        <f t="shared" si="954"/>
        <v>914.07964162642736</v>
      </c>
    </row>
    <row r="680" spans="1:20" x14ac:dyDescent="0.25">
      <c r="A680" s="5">
        <v>43904</v>
      </c>
      <c r="B680">
        <v>2.0589999999999999E-4</v>
      </c>
      <c r="C680">
        <v>2.195E-4</v>
      </c>
      <c r="D680">
        <v>1.9139999999999999E-4</v>
      </c>
      <c r="E680">
        <v>1.973E-4</v>
      </c>
      <c r="F680">
        <v>7088166007</v>
      </c>
      <c r="G680">
        <v>0</v>
      </c>
      <c r="L680" t="s">
        <v>7</v>
      </c>
      <c r="M680" t="s">
        <v>8</v>
      </c>
      <c r="N680" t="s">
        <v>8</v>
      </c>
      <c r="P680">
        <f t="shared" si="950"/>
        <v>-0.58007117437722366</v>
      </c>
      <c r="Q680">
        <f t="shared" si="951"/>
        <v>-4111640779.8612061</v>
      </c>
      <c r="R680">
        <f t="shared" si="952"/>
        <v>90467464708.58255</v>
      </c>
      <c r="S680">
        <f t="shared" si="953"/>
        <v>904674.64708582545</v>
      </c>
      <c r="T680">
        <f t="shared" si="954"/>
        <v>904.67464708582543</v>
      </c>
    </row>
    <row r="681" spans="1:20" x14ac:dyDescent="0.25">
      <c r="A681" s="5">
        <v>43903</v>
      </c>
      <c r="B681">
        <v>1.7789999999999999E-4</v>
      </c>
      <c r="C681">
        <v>2.1709999999999999E-4</v>
      </c>
      <c r="D681">
        <v>1.248E-4</v>
      </c>
      <c r="E681">
        <v>2.0599999999999999E-4</v>
      </c>
      <c r="F681">
        <v>14265646894</v>
      </c>
      <c r="G681">
        <v>0</v>
      </c>
      <c r="L681" t="s">
        <v>8</v>
      </c>
      <c r="M681" t="s">
        <v>7</v>
      </c>
      <c r="N681" t="s">
        <v>7</v>
      </c>
      <c r="P681">
        <f t="shared" si="950"/>
        <v>0.75947995666305523</v>
      </c>
      <c r="Q681">
        <f t="shared" si="951"/>
        <v>10834472884.825569</v>
      </c>
      <c r="R681">
        <f t="shared" si="952"/>
        <v>94579105488.443756</v>
      </c>
      <c r="S681">
        <f t="shared" si="953"/>
        <v>945791.05488443759</v>
      </c>
      <c r="T681">
        <f t="shared" si="954"/>
        <v>945.79105488443759</v>
      </c>
    </row>
    <row r="682" spans="1:20" x14ac:dyDescent="0.25">
      <c r="A682" s="5">
        <v>43902</v>
      </c>
      <c r="B682">
        <v>3.143E-4</v>
      </c>
      <c r="C682">
        <v>3.1569999999999998E-4</v>
      </c>
      <c r="D682">
        <v>1.7100000000000001E-4</v>
      </c>
      <c r="E682">
        <v>1.786E-4</v>
      </c>
      <c r="F682">
        <v>10844819405</v>
      </c>
      <c r="G682">
        <v>0</v>
      </c>
      <c r="L682" t="s">
        <v>7</v>
      </c>
      <c r="M682" t="s">
        <v>7</v>
      </c>
      <c r="N682" t="s">
        <v>7</v>
      </c>
      <c r="P682">
        <f t="shared" si="950"/>
        <v>-0.89495507947477548</v>
      </c>
      <c r="Q682">
        <f t="shared" si="951"/>
        <v>-9705626212.4913616</v>
      </c>
      <c r="R682">
        <f t="shared" si="952"/>
        <v>83744632603.618179</v>
      </c>
      <c r="S682">
        <f t="shared" si="953"/>
        <v>837446.32603618177</v>
      </c>
      <c r="T682">
        <f t="shared" si="954"/>
        <v>837.44632603618174</v>
      </c>
    </row>
    <row r="683" spans="1:20" x14ac:dyDescent="0.25">
      <c r="A683" s="5">
        <v>43901</v>
      </c>
      <c r="B683">
        <v>3.1859999999999999E-4</v>
      </c>
      <c r="C683">
        <v>3.2289999999999999E-4</v>
      </c>
      <c r="D683">
        <v>3.0049999999999999E-4</v>
      </c>
      <c r="E683">
        <v>3.143E-4</v>
      </c>
      <c r="F683">
        <v>7548132462</v>
      </c>
      <c r="G683">
        <v>0</v>
      </c>
      <c r="L683" t="s">
        <v>8</v>
      </c>
      <c r="M683" t="s">
        <v>7</v>
      </c>
      <c r="N683" t="s">
        <v>7</v>
      </c>
      <c r="P683">
        <f t="shared" si="950"/>
        <v>0.23214285714285793</v>
      </c>
      <c r="Q683">
        <f t="shared" si="951"/>
        <v>1752245035.8214345</v>
      </c>
      <c r="R683">
        <f t="shared" si="952"/>
        <v>93450258816.109543</v>
      </c>
      <c r="S683">
        <f t="shared" si="953"/>
        <v>934502.58816109539</v>
      </c>
      <c r="T683">
        <f t="shared" si="954"/>
        <v>934.50258816109545</v>
      </c>
    </row>
    <row r="684" spans="1:20" x14ac:dyDescent="0.25">
      <c r="A684" s="5">
        <v>43900</v>
      </c>
      <c r="B684">
        <v>3.2410000000000002E-4</v>
      </c>
      <c r="C684">
        <v>3.2840000000000001E-4</v>
      </c>
      <c r="D684">
        <v>3.1169999999999999E-4</v>
      </c>
      <c r="E684">
        <v>3.1859999999999999E-4</v>
      </c>
      <c r="F684">
        <v>7996359902</v>
      </c>
      <c r="G684">
        <v>0</v>
      </c>
      <c r="L684" t="s">
        <v>7</v>
      </c>
      <c r="M684" t="s">
        <v>7</v>
      </c>
      <c r="N684" t="s">
        <v>7</v>
      </c>
      <c r="P684">
        <f t="shared" si="950"/>
        <v>-0.17365269461077915</v>
      </c>
      <c r="Q684">
        <f t="shared" si="951"/>
        <v>-1388589444.0598857</v>
      </c>
      <c r="R684">
        <f t="shared" si="952"/>
        <v>91698013780.288101</v>
      </c>
      <c r="S684">
        <f t="shared" si="953"/>
        <v>916980.13780288096</v>
      </c>
      <c r="T684">
        <f t="shared" si="954"/>
        <v>916.9801378028809</v>
      </c>
    </row>
    <row r="685" spans="1:20" x14ac:dyDescent="0.25">
      <c r="A685" s="5">
        <v>43899</v>
      </c>
      <c r="B685">
        <v>3.188E-4</v>
      </c>
      <c r="C685">
        <v>3.2539999999999999E-4</v>
      </c>
      <c r="D685">
        <v>3.0059999999999999E-4</v>
      </c>
      <c r="E685">
        <v>3.2410000000000002E-4</v>
      </c>
      <c r="F685">
        <v>7748765820</v>
      </c>
      <c r="G685">
        <v>0</v>
      </c>
      <c r="L685" t="s">
        <v>8</v>
      </c>
      <c r="M685" t="s">
        <v>7</v>
      </c>
      <c r="N685" t="s">
        <v>7</v>
      </c>
      <c r="P685">
        <f t="shared" si="950"/>
        <v>0.89516129032258251</v>
      </c>
      <c r="Q685">
        <f t="shared" si="951"/>
        <v>6936395209.8387241</v>
      </c>
      <c r="R685">
        <f t="shared" si="952"/>
        <v>93086603224.347992</v>
      </c>
      <c r="S685">
        <f t="shared" si="953"/>
        <v>930866.03224347997</v>
      </c>
      <c r="T685">
        <f t="shared" si="954"/>
        <v>930.86603224347994</v>
      </c>
    </row>
    <row r="686" spans="1:20" x14ac:dyDescent="0.25">
      <c r="A686" s="5">
        <v>43898</v>
      </c>
      <c r="B686">
        <v>3.701E-4</v>
      </c>
      <c r="C686">
        <v>3.702E-4</v>
      </c>
      <c r="D686">
        <v>3.1520000000000002E-4</v>
      </c>
      <c r="E686">
        <v>3.1869999999999999E-4</v>
      </c>
      <c r="F686">
        <v>8354073349</v>
      </c>
      <c r="G686">
        <v>0</v>
      </c>
      <c r="L686" t="s">
        <v>7</v>
      </c>
      <c r="M686" t="s">
        <v>7</v>
      </c>
      <c r="N686" t="s">
        <v>7</v>
      </c>
      <c r="P686">
        <f t="shared" si="950"/>
        <v>-0.87272727272727357</v>
      </c>
      <c r="Q686">
        <f t="shared" si="951"/>
        <v>-7290827650.0363703</v>
      </c>
      <c r="R686">
        <f t="shared" si="952"/>
        <v>86150208014.509262</v>
      </c>
      <c r="S686">
        <f t="shared" si="953"/>
        <v>861502.08014509256</v>
      </c>
      <c r="T686">
        <f t="shared" si="954"/>
        <v>861.50208014509258</v>
      </c>
    </row>
    <row r="687" spans="1:20" x14ac:dyDescent="0.25">
      <c r="A687" s="5">
        <v>43897</v>
      </c>
      <c r="B687">
        <v>3.903E-4</v>
      </c>
      <c r="C687">
        <v>3.9639999999999999E-4</v>
      </c>
      <c r="D687">
        <v>3.6529999999999999E-4</v>
      </c>
      <c r="E687">
        <v>3.701E-4</v>
      </c>
      <c r="F687">
        <v>5766762677</v>
      </c>
      <c r="G687">
        <v>0</v>
      </c>
      <c r="L687" t="s">
        <v>8</v>
      </c>
      <c r="M687" t="s">
        <v>7</v>
      </c>
      <c r="N687" t="s">
        <v>7</v>
      </c>
      <c r="P687">
        <f t="shared" si="950"/>
        <v>-0.69131832797427595</v>
      </c>
      <c r="Q687">
        <f t="shared" si="951"/>
        <v>-3986668731.6880994</v>
      </c>
      <c r="R687">
        <f t="shared" si="952"/>
        <v>93441035664.545639</v>
      </c>
      <c r="S687">
        <f t="shared" si="953"/>
        <v>934410.3566454564</v>
      </c>
      <c r="T687">
        <f t="shared" si="954"/>
        <v>934.41035664545643</v>
      </c>
    </row>
    <row r="688" spans="1:20" x14ac:dyDescent="0.25">
      <c r="A688" s="5">
        <v>43896</v>
      </c>
      <c r="B688">
        <v>3.7809999999999997E-4</v>
      </c>
      <c r="C688">
        <v>3.904E-4</v>
      </c>
      <c r="D688">
        <v>3.7629999999999999E-4</v>
      </c>
      <c r="E688">
        <v>3.903E-4</v>
      </c>
      <c r="F688">
        <v>5901732702</v>
      </c>
      <c r="G688">
        <v>0</v>
      </c>
      <c r="L688" t="s">
        <v>7</v>
      </c>
      <c r="M688" t="s">
        <v>7</v>
      </c>
      <c r="N688" t="s">
        <v>7</v>
      </c>
      <c r="P688">
        <f t="shared" si="950"/>
        <v>0.98581560283687908</v>
      </c>
      <c r="Q688">
        <f t="shared" si="951"/>
        <v>5818020181.404253</v>
      </c>
      <c r="R688">
        <f t="shared" si="952"/>
        <v>97427704396.233734</v>
      </c>
      <c r="S688">
        <f t="shared" si="953"/>
        <v>974277.04396233731</v>
      </c>
      <c r="T688">
        <f t="shared" si="954"/>
        <v>974.2770439623373</v>
      </c>
    </row>
    <row r="689" spans="1:20" x14ac:dyDescent="0.25">
      <c r="A689" s="5">
        <v>43895</v>
      </c>
      <c r="B689">
        <v>3.6759999999999999E-4</v>
      </c>
      <c r="C689">
        <v>3.88E-4</v>
      </c>
      <c r="D689">
        <v>3.6709999999999998E-4</v>
      </c>
      <c r="E689">
        <v>3.7809999999999997E-4</v>
      </c>
      <c r="F689">
        <v>6883676383</v>
      </c>
      <c r="G689">
        <v>0</v>
      </c>
      <c r="L689" t="s">
        <v>8</v>
      </c>
      <c r="M689" t="s">
        <v>7</v>
      </c>
      <c r="N689" t="s">
        <v>7</v>
      </c>
      <c r="P689">
        <f t="shared" si="950"/>
        <v>5.2631578947367058E-2</v>
      </c>
      <c r="Q689">
        <f t="shared" si="951"/>
        <v>362298756.99999064</v>
      </c>
      <c r="R689">
        <f t="shared" si="952"/>
        <v>91609684214.829483</v>
      </c>
      <c r="S689">
        <f t="shared" si="953"/>
        <v>916096.84214829479</v>
      </c>
      <c r="T689">
        <f t="shared" si="954"/>
        <v>916.09684214829474</v>
      </c>
    </row>
    <row r="690" spans="1:20" x14ac:dyDescent="0.25">
      <c r="A690" s="5">
        <v>43894</v>
      </c>
      <c r="B690">
        <v>3.68E-4</v>
      </c>
      <c r="C690">
        <v>3.7570000000000002E-4</v>
      </c>
      <c r="D690">
        <v>3.57E-4</v>
      </c>
      <c r="E690">
        <v>3.6759999999999999E-4</v>
      </c>
      <c r="F690">
        <v>4343307642</v>
      </c>
      <c r="G690">
        <v>0</v>
      </c>
      <c r="L690" t="s">
        <v>7</v>
      </c>
      <c r="M690" t="s">
        <v>7</v>
      </c>
      <c r="N690" t="s">
        <v>7</v>
      </c>
      <c r="P690">
        <f t="shared" si="950"/>
        <v>0.13368983957218983</v>
      </c>
      <c r="Q690">
        <f t="shared" si="951"/>
        <v>580656101.87164605</v>
      </c>
      <c r="R690">
        <f t="shared" si="952"/>
        <v>91247385457.829498</v>
      </c>
      <c r="S690">
        <f t="shared" si="953"/>
        <v>912473.85457829502</v>
      </c>
      <c r="T690">
        <f t="shared" si="954"/>
        <v>912.473854578295</v>
      </c>
    </row>
    <row r="691" spans="1:20" x14ac:dyDescent="0.25">
      <c r="A691" s="5">
        <v>43893</v>
      </c>
      <c r="B691">
        <v>3.7950000000000001E-4</v>
      </c>
      <c r="C691">
        <v>3.7950000000000001E-4</v>
      </c>
      <c r="D691">
        <v>3.6509999999999998E-4</v>
      </c>
      <c r="E691">
        <v>3.68E-4</v>
      </c>
      <c r="F691">
        <v>6221952672</v>
      </c>
      <c r="G691">
        <v>0</v>
      </c>
      <c r="L691" t="s">
        <v>8</v>
      </c>
      <c r="M691" t="s">
        <v>7</v>
      </c>
      <c r="N691" t="s">
        <v>7</v>
      </c>
      <c r="P691">
        <f t="shared" si="950"/>
        <v>-0.59722222222222066</v>
      </c>
      <c r="Q691">
        <f t="shared" si="951"/>
        <v>-3715888401.3333235</v>
      </c>
      <c r="R691">
        <f t="shared" si="952"/>
        <v>90666729355.957855</v>
      </c>
      <c r="S691">
        <f t="shared" si="953"/>
        <v>906667.2935595786</v>
      </c>
      <c r="T691">
        <f t="shared" si="954"/>
        <v>906.66729355957864</v>
      </c>
    </row>
    <row r="692" spans="1:20" x14ac:dyDescent="0.25">
      <c r="A692" s="5">
        <v>43892</v>
      </c>
      <c r="B692">
        <v>3.5970000000000002E-4</v>
      </c>
      <c r="C692">
        <v>3.8900000000000002E-4</v>
      </c>
      <c r="D692">
        <v>3.5560000000000002E-4</v>
      </c>
      <c r="E692">
        <v>3.793E-4</v>
      </c>
      <c r="F692">
        <v>3551723131</v>
      </c>
      <c r="G692">
        <v>0</v>
      </c>
      <c r="L692" t="s">
        <v>7</v>
      </c>
      <c r="M692" t="s">
        <v>7</v>
      </c>
      <c r="N692" t="s">
        <v>7</v>
      </c>
      <c r="P692">
        <f t="shared" si="950"/>
        <v>0.41916167664670545</v>
      </c>
      <c r="Q692">
        <f t="shared" si="951"/>
        <v>1488746222.5748463</v>
      </c>
      <c r="R692">
        <f t="shared" si="952"/>
        <v>94382617757.291183</v>
      </c>
      <c r="S692">
        <f t="shared" si="953"/>
        <v>943826.17757291184</v>
      </c>
      <c r="T692">
        <f t="shared" si="954"/>
        <v>943.82617757291189</v>
      </c>
    </row>
    <row r="693" spans="1:20" x14ac:dyDescent="0.25">
      <c r="A693" s="5">
        <v>43891</v>
      </c>
      <c r="B693">
        <v>3.5710000000000001E-4</v>
      </c>
      <c r="C693">
        <v>3.6999999999999999E-4</v>
      </c>
      <c r="D693">
        <v>3.5169999999999998E-4</v>
      </c>
      <c r="E693">
        <v>3.5970000000000002E-4</v>
      </c>
      <c r="F693">
        <v>3348611471</v>
      </c>
      <c r="G693">
        <v>0</v>
      </c>
      <c r="L693" t="s">
        <v>8</v>
      </c>
      <c r="M693" t="s">
        <v>7</v>
      </c>
      <c r="N693" t="s">
        <v>7</v>
      </c>
      <c r="P693">
        <f t="shared" si="950"/>
        <v>-0.12568306010928668</v>
      </c>
      <c r="Q693">
        <f t="shared" si="951"/>
        <v>-420863736.79233986</v>
      </c>
      <c r="R693">
        <f t="shared" si="952"/>
        <v>92893871534.716339</v>
      </c>
      <c r="S693">
        <f t="shared" si="953"/>
        <v>928938.71534716338</v>
      </c>
      <c r="T693">
        <f t="shared" si="954"/>
        <v>928.93871534716334</v>
      </c>
    </row>
    <row r="694" spans="1:20" x14ac:dyDescent="0.25">
      <c r="A694" s="5">
        <v>43890</v>
      </c>
      <c r="B694">
        <v>3.7199999999999999E-4</v>
      </c>
      <c r="C694">
        <v>3.7790000000000002E-4</v>
      </c>
      <c r="D694">
        <v>3.5540000000000002E-4</v>
      </c>
      <c r="E694">
        <v>3.5780000000000002E-4</v>
      </c>
      <c r="F694">
        <v>2820041421</v>
      </c>
      <c r="G694">
        <v>0</v>
      </c>
      <c r="L694" t="s">
        <v>7</v>
      </c>
      <c r="M694" t="s">
        <v>7</v>
      </c>
      <c r="N694" t="s">
        <v>7</v>
      </c>
      <c r="P694">
        <f t="shared" si="950"/>
        <v>-0.78666666666666629</v>
      </c>
      <c r="Q694">
        <f t="shared" si="951"/>
        <v>-2218432584.519999</v>
      </c>
      <c r="R694">
        <f t="shared" si="952"/>
        <v>93314735271.508682</v>
      </c>
      <c r="S694">
        <f t="shared" si="953"/>
        <v>933147.35271508677</v>
      </c>
      <c r="T694">
        <f t="shared" si="954"/>
        <v>933.14735271508675</v>
      </c>
    </row>
    <row r="695" spans="1:20" x14ac:dyDescent="0.25">
      <c r="A695" s="5">
        <v>43889</v>
      </c>
      <c r="B695">
        <v>3.7960000000000001E-4</v>
      </c>
      <c r="C695">
        <v>3.9520000000000001E-4</v>
      </c>
      <c r="D695">
        <v>3.4749999999999999E-4</v>
      </c>
      <c r="E695">
        <v>3.7219999999999999E-4</v>
      </c>
      <c r="F695">
        <v>4987704849</v>
      </c>
      <c r="G695">
        <v>0</v>
      </c>
      <c r="L695" t="s">
        <v>8</v>
      </c>
      <c r="M695" t="s">
        <v>7</v>
      </c>
      <c r="N695" t="s">
        <v>7</v>
      </c>
      <c r="P695">
        <f t="shared" si="950"/>
        <v>3.5639412997903276E-2</v>
      </c>
      <c r="Q695">
        <f t="shared" si="951"/>
        <v>177758873.02515578</v>
      </c>
      <c r="R695">
        <f t="shared" si="952"/>
        <v>95533167856.028687</v>
      </c>
      <c r="S695">
        <f t="shared" si="953"/>
        <v>955331.67856028688</v>
      </c>
      <c r="T695">
        <f t="shared" si="954"/>
        <v>955.33167856028683</v>
      </c>
    </row>
    <row r="696" spans="1:20" x14ac:dyDescent="0.25">
      <c r="A696" s="5">
        <v>43888</v>
      </c>
      <c r="B696">
        <v>3.6309999999999999E-4</v>
      </c>
      <c r="C696">
        <v>4.1849999999999998E-4</v>
      </c>
      <c r="D696">
        <v>3.4289999999999999E-4</v>
      </c>
      <c r="E696">
        <v>3.7960000000000001E-4</v>
      </c>
      <c r="F696">
        <v>7056386876</v>
      </c>
      <c r="G696">
        <v>0</v>
      </c>
      <c r="L696" t="s">
        <v>7</v>
      </c>
      <c r="M696" t="s">
        <v>8</v>
      </c>
      <c r="N696" t="s">
        <v>7</v>
      </c>
      <c r="P696">
        <f t="shared" si="950"/>
        <v>-2.9100529100528377E-2</v>
      </c>
      <c r="Q696">
        <f t="shared" si="951"/>
        <v>-205344591.62962452</v>
      </c>
      <c r="R696">
        <f t="shared" si="952"/>
        <v>95355408983.003525</v>
      </c>
      <c r="S696">
        <f t="shared" si="953"/>
        <v>953554.08983003523</v>
      </c>
      <c r="T696">
        <f t="shared" si="954"/>
        <v>953.5540898300352</v>
      </c>
    </row>
    <row r="697" spans="1:20" x14ac:dyDescent="0.25">
      <c r="A697" s="5">
        <v>43887</v>
      </c>
      <c r="B697">
        <v>4.1389999999999998E-4</v>
      </c>
      <c r="C697">
        <v>4.191E-4</v>
      </c>
      <c r="D697">
        <v>3.455E-4</v>
      </c>
      <c r="E697">
        <v>3.6319999999999999E-4</v>
      </c>
      <c r="F697">
        <v>7472118671</v>
      </c>
      <c r="G697">
        <v>0</v>
      </c>
      <c r="L697" t="s">
        <v>8</v>
      </c>
      <c r="M697" t="s">
        <v>7</v>
      </c>
      <c r="N697" t="s">
        <v>7</v>
      </c>
      <c r="P697">
        <f t="shared" si="950"/>
        <v>-0.51902173913043492</v>
      </c>
      <c r="Q697">
        <f t="shared" si="951"/>
        <v>-3878192027.611414</v>
      </c>
      <c r="R697">
        <f t="shared" si="952"/>
        <v>95560753574.633148</v>
      </c>
      <c r="S697">
        <f t="shared" si="953"/>
        <v>955607.53574633144</v>
      </c>
      <c r="T697">
        <f t="shared" si="954"/>
        <v>955.60753574633145</v>
      </c>
    </row>
    <row r="698" spans="1:20" x14ac:dyDescent="0.25">
      <c r="A698" s="5">
        <v>43886</v>
      </c>
      <c r="B698">
        <v>4.6450000000000001E-4</v>
      </c>
      <c r="C698">
        <v>4.6690000000000002E-4</v>
      </c>
      <c r="D698">
        <v>4.0779999999999999E-4</v>
      </c>
      <c r="E698">
        <v>4.1389999999999998E-4</v>
      </c>
      <c r="F698">
        <v>7118552766</v>
      </c>
      <c r="G698">
        <v>0</v>
      </c>
      <c r="L698" t="s">
        <v>7</v>
      </c>
      <c r="M698" t="s">
        <v>7</v>
      </c>
      <c r="N698" t="s">
        <v>7</v>
      </c>
      <c r="P698">
        <f t="shared" si="950"/>
        <v>-0.79357021996615962</v>
      </c>
      <c r="Q698">
        <f t="shared" si="951"/>
        <v>-5649071484.3553343</v>
      </c>
      <c r="R698">
        <f t="shared" si="952"/>
        <v>99438945602.244568</v>
      </c>
      <c r="S698">
        <f t="shared" si="953"/>
        <v>994389.45602244569</v>
      </c>
      <c r="T698">
        <f t="shared" si="954"/>
        <v>994.38945602244564</v>
      </c>
    </row>
    <row r="699" spans="1:20" x14ac:dyDescent="0.25">
      <c r="A699" s="5">
        <v>43885</v>
      </c>
      <c r="B699">
        <v>4.9120000000000001E-4</v>
      </c>
      <c r="C699">
        <v>4.9240000000000004E-4</v>
      </c>
      <c r="D699">
        <v>4.5009999999999999E-4</v>
      </c>
      <c r="E699">
        <v>4.6450000000000001E-4</v>
      </c>
      <c r="F699">
        <v>7014914387</v>
      </c>
      <c r="G699">
        <v>0</v>
      </c>
      <c r="L699" t="s">
        <v>8</v>
      </c>
      <c r="M699" t="s">
        <v>7</v>
      </c>
      <c r="N699" t="s">
        <v>8</v>
      </c>
      <c r="P699">
        <f t="shared" si="950"/>
        <v>-0.31914893617021245</v>
      </c>
      <c r="Q699">
        <f t="shared" si="951"/>
        <v>-2238802463.9361682</v>
      </c>
      <c r="R699">
        <f t="shared" si="952"/>
        <v>105088017086.5999</v>
      </c>
      <c r="S699">
        <f t="shared" si="953"/>
        <v>1050880.1708659991</v>
      </c>
      <c r="T699">
        <f t="shared" si="954"/>
        <v>1050.8801708659992</v>
      </c>
    </row>
    <row r="700" spans="1:20" x14ac:dyDescent="0.25">
      <c r="A700" s="5">
        <v>43884</v>
      </c>
      <c r="B700">
        <v>4.7990000000000001E-4</v>
      </c>
      <c r="C700">
        <v>4.9660000000000004E-4</v>
      </c>
      <c r="D700">
        <v>4.7790000000000002E-4</v>
      </c>
      <c r="E700">
        <v>4.9069999999999995E-4</v>
      </c>
      <c r="F700">
        <v>4250853100</v>
      </c>
      <c r="G700">
        <v>0</v>
      </c>
      <c r="L700" t="s">
        <v>7</v>
      </c>
      <c r="M700" t="s">
        <v>7</v>
      </c>
      <c r="N700" t="s">
        <v>8</v>
      </c>
      <c r="P700">
        <f t="shared" si="950"/>
        <v>0.36898395721924249</v>
      </c>
      <c r="Q700">
        <f t="shared" si="951"/>
        <v>1568496598.3956842</v>
      </c>
      <c r="R700">
        <f t="shared" si="952"/>
        <v>107326819550.53607</v>
      </c>
      <c r="S700">
        <f t="shared" si="953"/>
        <v>1073268.1955053606</v>
      </c>
      <c r="T700">
        <f t="shared" si="954"/>
        <v>1073.2681955053606</v>
      </c>
    </row>
    <row r="701" spans="1:20" x14ac:dyDescent="0.25">
      <c r="A701" s="5">
        <v>43883</v>
      </c>
      <c r="B701">
        <v>4.9410000000000003E-4</v>
      </c>
      <c r="C701">
        <v>4.9720000000000005E-4</v>
      </c>
      <c r="D701">
        <v>4.685E-4</v>
      </c>
      <c r="E701">
        <v>4.7990000000000001E-4</v>
      </c>
      <c r="F701">
        <v>3927551379</v>
      </c>
      <c r="G701">
        <v>0</v>
      </c>
      <c r="L701" t="s">
        <v>8</v>
      </c>
      <c r="M701" t="s">
        <v>7</v>
      </c>
      <c r="N701" t="s">
        <v>8</v>
      </c>
      <c r="P701">
        <f t="shared" ref="P701:P757" si="955">IF(C701=D701,0,((E701-D701)-(C701-E701))/(C701-D701))</f>
        <v>-0.20557491289198696</v>
      </c>
      <c r="Q701">
        <f t="shared" ref="Q701:Q757" si="956">F701*P701</f>
        <v>-807406032.61672819</v>
      </c>
      <c r="R701">
        <f t="shared" ref="R701:R757" si="957">R702+Q701</f>
        <v>105758322952.14038</v>
      </c>
      <c r="S701">
        <f t="shared" ref="S701:S757" si="958">R701/100000</f>
        <v>1057583.2295214038</v>
      </c>
      <c r="T701">
        <f t="shared" ref="T701:T757" si="959">S701/1000</f>
        <v>1057.5832295214038</v>
      </c>
    </row>
    <row r="702" spans="1:20" x14ac:dyDescent="0.25">
      <c r="A702" s="5">
        <v>43882</v>
      </c>
      <c r="B702">
        <v>4.7780000000000001E-4</v>
      </c>
      <c r="C702">
        <v>4.9739999999999995E-4</v>
      </c>
      <c r="D702">
        <v>4.705E-4</v>
      </c>
      <c r="E702">
        <v>4.9410000000000003E-4</v>
      </c>
      <c r="F702">
        <v>4097320247</v>
      </c>
      <c r="G702">
        <v>0</v>
      </c>
      <c r="L702" t="s">
        <v>7</v>
      </c>
      <c r="M702" t="s">
        <v>7</v>
      </c>
      <c r="N702" t="s">
        <v>8</v>
      </c>
      <c r="P702">
        <f t="shared" si="955"/>
        <v>0.75464684014870453</v>
      </c>
      <c r="Q702">
        <f t="shared" si="956"/>
        <v>3092029777.4758596</v>
      </c>
      <c r="R702">
        <f t="shared" si="957"/>
        <v>106565728984.75711</v>
      </c>
      <c r="S702">
        <f t="shared" si="958"/>
        <v>1065657.2898475712</v>
      </c>
      <c r="T702">
        <f t="shared" si="959"/>
        <v>1065.6572898475711</v>
      </c>
    </row>
    <row r="703" spans="1:20" x14ac:dyDescent="0.25">
      <c r="A703" s="5">
        <v>43881</v>
      </c>
      <c r="B703">
        <v>4.9919999999999999E-4</v>
      </c>
      <c r="C703">
        <v>5.1060000000000005E-4</v>
      </c>
      <c r="D703">
        <v>4.6089999999999998E-4</v>
      </c>
      <c r="E703">
        <v>4.7810000000000002E-4</v>
      </c>
      <c r="F703">
        <v>5887436020</v>
      </c>
      <c r="G703">
        <v>0</v>
      </c>
      <c r="L703" t="s">
        <v>8</v>
      </c>
      <c r="M703" t="s">
        <v>7</v>
      </c>
      <c r="N703" t="s">
        <v>8</v>
      </c>
      <c r="P703">
        <f t="shared" si="955"/>
        <v>-0.30784708249496923</v>
      </c>
      <c r="Q703">
        <f t="shared" si="956"/>
        <v>-1812430002.1327932</v>
      </c>
      <c r="R703">
        <f t="shared" si="957"/>
        <v>103473699207.28125</v>
      </c>
      <c r="S703">
        <f t="shared" si="958"/>
        <v>1034736.9920728125</v>
      </c>
      <c r="T703">
        <f t="shared" si="959"/>
        <v>1034.7369920728124</v>
      </c>
    </row>
    <row r="704" spans="1:20" x14ac:dyDescent="0.25">
      <c r="A704" s="5">
        <v>43880</v>
      </c>
      <c r="B704">
        <v>5.4609999999999999E-4</v>
      </c>
      <c r="C704">
        <v>5.4609999999999999E-4</v>
      </c>
      <c r="D704">
        <v>4.9310000000000001E-4</v>
      </c>
      <c r="E704">
        <v>4.9919999999999999E-4</v>
      </c>
      <c r="F704">
        <v>3775128417</v>
      </c>
      <c r="G704">
        <v>0</v>
      </c>
      <c r="L704" t="s">
        <v>7</v>
      </c>
      <c r="M704" t="s">
        <v>7</v>
      </c>
      <c r="N704" t="s">
        <v>8</v>
      </c>
      <c r="P704">
        <f t="shared" si="955"/>
        <v>-0.76981132075471748</v>
      </c>
      <c r="Q704">
        <f t="shared" si="956"/>
        <v>-2906136592.7094359</v>
      </c>
      <c r="R704">
        <f t="shared" si="957"/>
        <v>105286129209.41405</v>
      </c>
      <c r="S704">
        <f t="shared" si="958"/>
        <v>1052861.2920941405</v>
      </c>
      <c r="T704">
        <f t="shared" si="959"/>
        <v>1052.8612920941405</v>
      </c>
    </row>
    <row r="705" spans="1:20" x14ac:dyDescent="0.25">
      <c r="A705" s="5">
        <v>43879</v>
      </c>
      <c r="B705">
        <v>5.3450000000000004E-4</v>
      </c>
      <c r="C705">
        <v>5.5460000000000004E-4</v>
      </c>
      <c r="D705">
        <v>5.063E-4</v>
      </c>
      <c r="E705">
        <v>5.4580000000000004E-4</v>
      </c>
      <c r="F705">
        <v>4939232593</v>
      </c>
      <c r="G705">
        <v>0</v>
      </c>
      <c r="L705" t="s">
        <v>8</v>
      </c>
      <c r="M705" t="s">
        <v>7</v>
      </c>
      <c r="N705" t="s">
        <v>8</v>
      </c>
      <c r="P705">
        <f t="shared" si="955"/>
        <v>0.635610766045549</v>
      </c>
      <c r="Q705">
        <f t="shared" si="956"/>
        <v>3139429412.1138735</v>
      </c>
      <c r="R705">
        <f t="shared" si="957"/>
        <v>108192265802.12349</v>
      </c>
      <c r="S705">
        <f t="shared" si="958"/>
        <v>1081922.6580212349</v>
      </c>
      <c r="T705">
        <f t="shared" si="959"/>
        <v>1081.9226580212348</v>
      </c>
    </row>
    <row r="706" spans="1:20" x14ac:dyDescent="0.25">
      <c r="A706" s="5">
        <v>43878</v>
      </c>
      <c r="B706">
        <v>5.5329999999999995E-4</v>
      </c>
      <c r="C706">
        <v>5.5489999999999999E-4</v>
      </c>
      <c r="D706">
        <v>4.8309999999999998E-4</v>
      </c>
      <c r="E706">
        <v>5.3399999999999997E-4</v>
      </c>
      <c r="F706">
        <v>7242215451</v>
      </c>
      <c r="G706">
        <v>0</v>
      </c>
      <c r="L706" t="s">
        <v>7</v>
      </c>
      <c r="M706" t="s">
        <v>7</v>
      </c>
      <c r="N706" t="s">
        <v>8</v>
      </c>
      <c r="P706">
        <f t="shared" si="955"/>
        <v>0.4178272980501388</v>
      </c>
      <c r="Q706">
        <f t="shared" si="956"/>
        <v>3025995313.7882972</v>
      </c>
      <c r="R706">
        <f t="shared" si="957"/>
        <v>105052836390.00961</v>
      </c>
      <c r="S706">
        <f t="shared" si="958"/>
        <v>1050528.3639000962</v>
      </c>
      <c r="T706">
        <f t="shared" si="959"/>
        <v>1050.5283639000961</v>
      </c>
    </row>
    <row r="707" spans="1:20" x14ac:dyDescent="0.25">
      <c r="A707" s="5">
        <v>43877</v>
      </c>
      <c r="B707">
        <v>5.4940000000000002E-4</v>
      </c>
      <c r="C707">
        <v>5.8659999999999995E-4</v>
      </c>
      <c r="D707">
        <v>4.9709999999999999E-4</v>
      </c>
      <c r="E707">
        <v>5.5460000000000004E-4</v>
      </c>
      <c r="F707">
        <v>7874097997</v>
      </c>
      <c r="G707">
        <v>0</v>
      </c>
      <c r="L707" t="s">
        <v>8</v>
      </c>
      <c r="M707" t="s">
        <v>7</v>
      </c>
      <c r="N707" t="s">
        <v>8</v>
      </c>
      <c r="P707">
        <f t="shared" si="955"/>
        <v>0.28491620111732008</v>
      </c>
      <c r="Q707">
        <f t="shared" si="956"/>
        <v>2243458088.5307393</v>
      </c>
      <c r="R707">
        <f t="shared" si="957"/>
        <v>102026841076.22131</v>
      </c>
      <c r="S707">
        <f t="shared" si="958"/>
        <v>1020268.4107622132</v>
      </c>
      <c r="T707">
        <f t="shared" si="959"/>
        <v>1020.2684107622132</v>
      </c>
    </row>
    <row r="708" spans="1:20" x14ac:dyDescent="0.25">
      <c r="A708" s="5">
        <v>43876</v>
      </c>
      <c r="B708">
        <v>5.7700000000000004E-4</v>
      </c>
      <c r="C708">
        <v>6.3000000000000003E-4</v>
      </c>
      <c r="D708">
        <v>5.3019999999999999E-4</v>
      </c>
      <c r="E708">
        <v>5.4940000000000002E-4</v>
      </c>
      <c r="F708">
        <v>11386196372</v>
      </c>
      <c r="G708">
        <v>0</v>
      </c>
      <c r="L708" t="s">
        <v>7</v>
      </c>
      <c r="M708" t="s">
        <v>8</v>
      </c>
      <c r="N708" t="s">
        <v>8</v>
      </c>
      <c r="P708">
        <f t="shared" si="955"/>
        <v>-0.61523046092184319</v>
      </c>
      <c r="Q708">
        <f t="shared" si="956"/>
        <v>-7005134842.0921783</v>
      </c>
      <c r="R708">
        <f t="shared" si="957"/>
        <v>99783382987.690567</v>
      </c>
      <c r="S708">
        <f t="shared" si="958"/>
        <v>997833.82987690566</v>
      </c>
      <c r="T708">
        <f t="shared" si="959"/>
        <v>997.83382987690561</v>
      </c>
    </row>
    <row r="709" spans="1:20" x14ac:dyDescent="0.25">
      <c r="A709" s="5">
        <v>43875</v>
      </c>
      <c r="B709">
        <v>5.1190000000000003E-4</v>
      </c>
      <c r="C709">
        <v>5.8500000000000002E-4</v>
      </c>
      <c r="D709">
        <v>4.9850000000000003E-4</v>
      </c>
      <c r="E709">
        <v>5.7700000000000004E-4</v>
      </c>
      <c r="F709">
        <v>8420639286</v>
      </c>
      <c r="G709">
        <v>0</v>
      </c>
      <c r="L709" t="s">
        <v>8</v>
      </c>
      <c r="M709" t="s">
        <v>8</v>
      </c>
      <c r="N709" t="s">
        <v>8</v>
      </c>
      <c r="P709">
        <f t="shared" si="955"/>
        <v>0.81502890173410458</v>
      </c>
      <c r="Q709">
        <f t="shared" si="956"/>
        <v>6863064389.167635</v>
      </c>
      <c r="R709">
        <f t="shared" si="957"/>
        <v>106788517829.78275</v>
      </c>
      <c r="S709">
        <f t="shared" si="958"/>
        <v>1067885.1782978275</v>
      </c>
      <c r="T709">
        <f t="shared" si="959"/>
        <v>1067.8851782978275</v>
      </c>
    </row>
    <row r="710" spans="1:20" x14ac:dyDescent="0.25">
      <c r="A710" s="5">
        <v>43874</v>
      </c>
      <c r="B710">
        <v>4.9680000000000004E-4</v>
      </c>
      <c r="C710">
        <v>5.3609999999999997E-4</v>
      </c>
      <c r="D710">
        <v>4.8899999999999996E-4</v>
      </c>
      <c r="E710">
        <v>5.1259999999999999E-4</v>
      </c>
      <c r="F710">
        <v>8695985370</v>
      </c>
      <c r="G710">
        <v>0</v>
      </c>
      <c r="L710" t="s">
        <v>7</v>
      </c>
      <c r="M710" t="s">
        <v>8</v>
      </c>
      <c r="N710" t="s">
        <v>8</v>
      </c>
      <c r="P710">
        <f t="shared" si="955"/>
        <v>2.1231422505319877E-3</v>
      </c>
      <c r="Q710">
        <f t="shared" si="956"/>
        <v>18462813.949055038</v>
      </c>
      <c r="R710">
        <f t="shared" si="957"/>
        <v>99925453440.615112</v>
      </c>
      <c r="S710">
        <f t="shared" si="958"/>
        <v>999254.53440615116</v>
      </c>
      <c r="T710">
        <f t="shared" si="959"/>
        <v>999.25453440615115</v>
      </c>
    </row>
    <row r="711" spans="1:20" x14ac:dyDescent="0.25">
      <c r="A711" s="5">
        <v>43873</v>
      </c>
      <c r="B711">
        <v>4.683E-4</v>
      </c>
      <c r="C711">
        <v>5.0500000000000002E-4</v>
      </c>
      <c r="D711">
        <v>4.6799999999999999E-4</v>
      </c>
      <c r="E711">
        <v>4.9660000000000004E-4</v>
      </c>
      <c r="F711">
        <v>7457190102</v>
      </c>
      <c r="G711">
        <v>0</v>
      </c>
      <c r="L711" t="s">
        <v>8</v>
      </c>
      <c r="M711" t="s">
        <v>8</v>
      </c>
      <c r="N711" t="s">
        <v>8</v>
      </c>
      <c r="P711">
        <f t="shared" si="955"/>
        <v>0.54594594594594703</v>
      </c>
      <c r="Q711">
        <f t="shared" si="956"/>
        <v>4071222704.3351431</v>
      </c>
      <c r="R711">
        <f t="shared" si="957"/>
        <v>99906990626.666061</v>
      </c>
      <c r="S711">
        <f t="shared" si="958"/>
        <v>999069.90626666066</v>
      </c>
      <c r="T711">
        <f t="shared" si="959"/>
        <v>999.06990626666061</v>
      </c>
    </row>
    <row r="712" spans="1:20" x14ac:dyDescent="0.25">
      <c r="A712" s="5">
        <v>43872</v>
      </c>
      <c r="B712">
        <v>4.5770000000000001E-4</v>
      </c>
      <c r="C712">
        <v>4.7800000000000002E-4</v>
      </c>
      <c r="D712">
        <v>4.3909999999999999E-4</v>
      </c>
      <c r="E712">
        <v>4.683E-4</v>
      </c>
      <c r="F712">
        <v>5691787021</v>
      </c>
      <c r="G712">
        <v>0</v>
      </c>
      <c r="L712" t="s">
        <v>7</v>
      </c>
      <c r="M712" t="s">
        <v>8</v>
      </c>
      <c r="N712" t="s">
        <v>8</v>
      </c>
      <c r="P712">
        <f t="shared" si="955"/>
        <v>0.50128534704370109</v>
      </c>
      <c r="Q712">
        <f t="shared" si="956"/>
        <v>2853209432.1208186</v>
      </c>
      <c r="R712">
        <f t="shared" si="957"/>
        <v>95835767922.330917</v>
      </c>
      <c r="S712">
        <f t="shared" si="958"/>
        <v>958357.67922330915</v>
      </c>
      <c r="T712">
        <f t="shared" si="959"/>
        <v>958.35767922330911</v>
      </c>
    </row>
    <row r="713" spans="1:20" x14ac:dyDescent="0.25">
      <c r="A713" s="5">
        <v>43871</v>
      </c>
      <c r="B713">
        <v>4.73E-4</v>
      </c>
      <c r="C713">
        <v>4.7390000000000003E-4</v>
      </c>
      <c r="D713">
        <v>4.4000000000000002E-4</v>
      </c>
      <c r="E713">
        <v>4.573E-4</v>
      </c>
      <c r="F713">
        <v>5986769037</v>
      </c>
      <c r="G713">
        <v>0</v>
      </c>
      <c r="L713" t="s">
        <v>8</v>
      </c>
      <c r="M713" t="s">
        <v>8</v>
      </c>
      <c r="N713" t="s">
        <v>8</v>
      </c>
      <c r="P713">
        <f t="shared" si="955"/>
        <v>2.0648967551621315E-2</v>
      </c>
      <c r="Q713">
        <f t="shared" si="956"/>
        <v>123620599.58406419</v>
      </c>
      <c r="R713">
        <f t="shared" si="957"/>
        <v>92982558490.210098</v>
      </c>
      <c r="S713">
        <f t="shared" si="958"/>
        <v>929825.58490210096</v>
      </c>
      <c r="T713">
        <f t="shared" si="959"/>
        <v>929.82558490210101</v>
      </c>
    </row>
    <row r="714" spans="1:20" x14ac:dyDescent="0.25">
      <c r="A714" s="5">
        <v>43870</v>
      </c>
      <c r="B714">
        <v>4.6539999999999998E-4</v>
      </c>
      <c r="C714">
        <v>4.9930000000000005E-4</v>
      </c>
      <c r="D714">
        <v>4.5980000000000001E-4</v>
      </c>
      <c r="E714">
        <v>4.727E-4</v>
      </c>
      <c r="F714">
        <v>5390495816</v>
      </c>
      <c r="G714">
        <v>0</v>
      </c>
      <c r="L714" t="s">
        <v>7</v>
      </c>
      <c r="M714" t="s">
        <v>8</v>
      </c>
      <c r="N714" t="s">
        <v>8</v>
      </c>
      <c r="P714">
        <f t="shared" si="955"/>
        <v>-0.34683544303797592</v>
      </c>
      <c r="Q714">
        <f t="shared" si="956"/>
        <v>-1869615004.5367155</v>
      </c>
      <c r="R714">
        <f t="shared" si="957"/>
        <v>92858937890.626038</v>
      </c>
      <c r="S714">
        <f t="shared" si="958"/>
        <v>928589.37890626036</v>
      </c>
      <c r="T714">
        <f t="shared" si="959"/>
        <v>928.58937890626032</v>
      </c>
    </row>
    <row r="715" spans="1:20" x14ac:dyDescent="0.25">
      <c r="A715" s="5">
        <v>43869</v>
      </c>
      <c r="B715">
        <v>4.8710000000000002E-4</v>
      </c>
      <c r="C715">
        <v>4.8759999999999998E-4</v>
      </c>
      <c r="D715">
        <v>4.4190000000000001E-4</v>
      </c>
      <c r="E715">
        <v>4.6559999999999999E-4</v>
      </c>
      <c r="F715">
        <v>6306528142</v>
      </c>
      <c r="G715">
        <v>0</v>
      </c>
      <c r="L715" t="s">
        <v>8</v>
      </c>
      <c r="M715" t="s">
        <v>8</v>
      </c>
      <c r="N715" t="s">
        <v>8</v>
      </c>
      <c r="P715">
        <f t="shared" si="955"/>
        <v>3.7199124726476768E-2</v>
      </c>
      <c r="Q715">
        <f t="shared" si="956"/>
        <v>234597326.94529378</v>
      </c>
      <c r="R715">
        <f t="shared" si="957"/>
        <v>94728552895.16275</v>
      </c>
      <c r="S715">
        <f t="shared" si="958"/>
        <v>947285.52895162755</v>
      </c>
      <c r="T715">
        <f t="shared" si="959"/>
        <v>947.2855289516275</v>
      </c>
    </row>
    <row r="716" spans="1:20" x14ac:dyDescent="0.25">
      <c r="A716" s="5">
        <v>43868</v>
      </c>
      <c r="B716">
        <v>4.7179999999999998E-4</v>
      </c>
      <c r="C716">
        <v>5.0310000000000003E-4</v>
      </c>
      <c r="D716">
        <v>4.6299999999999998E-4</v>
      </c>
      <c r="E716">
        <v>4.8700000000000002E-4</v>
      </c>
      <c r="F716">
        <v>11440153144</v>
      </c>
      <c r="G716">
        <v>0</v>
      </c>
      <c r="L716" t="s">
        <v>7</v>
      </c>
      <c r="M716" t="s">
        <v>8</v>
      </c>
      <c r="N716" t="s">
        <v>8</v>
      </c>
      <c r="P716">
        <f t="shared" si="955"/>
        <v>0.19700748129675857</v>
      </c>
      <c r="Q716">
        <f t="shared" si="956"/>
        <v>2253795756.5486336</v>
      </c>
      <c r="R716">
        <f t="shared" si="957"/>
        <v>94493955568.217453</v>
      </c>
      <c r="S716">
        <f t="shared" si="958"/>
        <v>944939.55568217451</v>
      </c>
      <c r="T716">
        <f t="shared" si="959"/>
        <v>944.9395556821745</v>
      </c>
    </row>
    <row r="717" spans="1:20" x14ac:dyDescent="0.25">
      <c r="A717" s="5">
        <v>43867</v>
      </c>
      <c r="B717">
        <v>4.1439999999999999E-4</v>
      </c>
      <c r="C717">
        <v>4.7199999999999998E-4</v>
      </c>
      <c r="D717">
        <v>4.1229999999999999E-4</v>
      </c>
      <c r="E717">
        <v>4.7160000000000002E-4</v>
      </c>
      <c r="F717">
        <v>11551747960</v>
      </c>
      <c r="G717">
        <v>0</v>
      </c>
      <c r="L717" t="s">
        <v>8</v>
      </c>
      <c r="M717" t="s">
        <v>8</v>
      </c>
      <c r="N717" t="s">
        <v>8</v>
      </c>
      <c r="P717">
        <f t="shared" si="955"/>
        <v>0.98659966499162632</v>
      </c>
      <c r="Q717">
        <f t="shared" si="956"/>
        <v>11396950667.403704</v>
      </c>
      <c r="R717">
        <f t="shared" si="957"/>
        <v>92240159811.668823</v>
      </c>
      <c r="S717">
        <f t="shared" si="958"/>
        <v>922401.5981166882</v>
      </c>
      <c r="T717">
        <f t="shared" si="959"/>
        <v>922.40159811668821</v>
      </c>
    </row>
    <row r="718" spans="1:20" x14ac:dyDescent="0.25">
      <c r="A718" s="5">
        <v>43866</v>
      </c>
      <c r="B718">
        <v>3.9730000000000001E-4</v>
      </c>
      <c r="C718">
        <v>4.2089999999999999E-4</v>
      </c>
      <c r="D718">
        <v>3.9500000000000001E-4</v>
      </c>
      <c r="E718">
        <v>4.1459999999999999E-4</v>
      </c>
      <c r="F718">
        <v>11984685015</v>
      </c>
      <c r="G718">
        <v>0</v>
      </c>
      <c r="L718" t="s">
        <v>7</v>
      </c>
      <c r="M718" t="s">
        <v>8</v>
      </c>
      <c r="N718" t="s">
        <v>8</v>
      </c>
      <c r="P718">
        <f t="shared" si="955"/>
        <v>0.51351351351351382</v>
      </c>
      <c r="Q718">
        <f t="shared" si="956"/>
        <v>6154297710.4054089</v>
      </c>
      <c r="R718">
        <f t="shared" si="957"/>
        <v>80843209144.265121</v>
      </c>
      <c r="S718">
        <f t="shared" si="958"/>
        <v>808432.09144265123</v>
      </c>
      <c r="T718">
        <f t="shared" si="959"/>
        <v>808.4320914426512</v>
      </c>
    </row>
    <row r="719" spans="1:20" x14ac:dyDescent="0.25">
      <c r="A719" s="5">
        <v>43865</v>
      </c>
      <c r="B719">
        <v>3.8860000000000001E-4</v>
      </c>
      <c r="C719">
        <v>3.9760000000000002E-4</v>
      </c>
      <c r="D719">
        <v>3.7399999999999998E-4</v>
      </c>
      <c r="E719">
        <v>3.9730000000000001E-4</v>
      </c>
      <c r="F719">
        <v>11798743048</v>
      </c>
      <c r="G719">
        <v>0</v>
      </c>
      <c r="L719" t="s">
        <v>8</v>
      </c>
      <c r="M719" t="s">
        <v>8</v>
      </c>
      <c r="N719" t="s">
        <v>8</v>
      </c>
      <c r="P719">
        <f t="shared" si="955"/>
        <v>0.97457627118644008</v>
      </c>
      <c r="Q719">
        <f t="shared" si="956"/>
        <v>11498775004.406773</v>
      </c>
      <c r="R719">
        <f t="shared" si="957"/>
        <v>74688911433.859711</v>
      </c>
      <c r="S719">
        <f t="shared" si="958"/>
        <v>746889.11433859705</v>
      </c>
      <c r="T719">
        <f t="shared" si="959"/>
        <v>746.8891143385971</v>
      </c>
    </row>
    <row r="720" spans="1:20" x14ac:dyDescent="0.25">
      <c r="A720" s="5">
        <v>43864</v>
      </c>
      <c r="B720">
        <v>3.9419999999999999E-4</v>
      </c>
      <c r="C720">
        <v>4.1009999999999999E-4</v>
      </c>
      <c r="D720">
        <v>3.8410000000000001E-4</v>
      </c>
      <c r="E720">
        <v>3.8860000000000001E-4</v>
      </c>
      <c r="F720">
        <v>11639374999</v>
      </c>
      <c r="G720">
        <v>0</v>
      </c>
      <c r="L720" t="s">
        <v>7</v>
      </c>
      <c r="M720" t="s">
        <v>8</v>
      </c>
      <c r="N720" t="s">
        <v>8</v>
      </c>
      <c r="P720">
        <f t="shared" si="955"/>
        <v>-0.65384615384615352</v>
      </c>
      <c r="Q720">
        <f t="shared" si="956"/>
        <v>-7610360576.269227</v>
      </c>
      <c r="R720">
        <f t="shared" si="957"/>
        <v>63190136429.452942</v>
      </c>
      <c r="S720">
        <f t="shared" si="958"/>
        <v>631901.36429452943</v>
      </c>
      <c r="T720">
        <f t="shared" si="959"/>
        <v>631.90136429452946</v>
      </c>
    </row>
    <row r="721" spans="1:20" x14ac:dyDescent="0.25">
      <c r="A721" s="5">
        <v>43863</v>
      </c>
      <c r="B721">
        <v>3.8020000000000003E-4</v>
      </c>
      <c r="C721">
        <v>4.0489999999999998E-4</v>
      </c>
      <c r="D721">
        <v>3.7179999999999998E-4</v>
      </c>
      <c r="E721">
        <v>3.9399999999999998E-4</v>
      </c>
      <c r="F721">
        <v>11813633037</v>
      </c>
      <c r="G721">
        <v>0</v>
      </c>
      <c r="L721" t="s">
        <v>8</v>
      </c>
      <c r="M721" t="s">
        <v>8</v>
      </c>
      <c r="N721" t="s">
        <v>8</v>
      </c>
      <c r="P721">
        <f t="shared" si="955"/>
        <v>0.34138972809667695</v>
      </c>
      <c r="Q721">
        <f t="shared" si="956"/>
        <v>4033052970.33535</v>
      </c>
      <c r="R721">
        <f t="shared" si="957"/>
        <v>70800497005.722168</v>
      </c>
      <c r="S721">
        <f t="shared" si="958"/>
        <v>708004.97005722171</v>
      </c>
      <c r="T721">
        <f t="shared" si="959"/>
        <v>708.00497005722173</v>
      </c>
    </row>
    <row r="722" spans="1:20" x14ac:dyDescent="0.25">
      <c r="A722" s="5">
        <v>43862</v>
      </c>
      <c r="B722">
        <v>3.7350000000000003E-4</v>
      </c>
      <c r="C722">
        <v>3.88E-4</v>
      </c>
      <c r="D722">
        <v>3.7050000000000001E-4</v>
      </c>
      <c r="E722">
        <v>3.7990000000000002E-4</v>
      </c>
      <c r="F722">
        <v>10465042338</v>
      </c>
      <c r="G722">
        <v>0</v>
      </c>
      <c r="L722" t="s">
        <v>7</v>
      </c>
      <c r="M722" t="s">
        <v>8</v>
      </c>
      <c r="N722" t="s">
        <v>8</v>
      </c>
      <c r="P722">
        <f t="shared" si="955"/>
        <v>7.428571428571612E-2</v>
      </c>
      <c r="Q722">
        <f t="shared" si="956"/>
        <v>777403145.1085906</v>
      </c>
      <c r="R722">
        <f t="shared" si="957"/>
        <v>66767444035.386818</v>
      </c>
      <c r="S722">
        <f t="shared" si="958"/>
        <v>667674.44035386818</v>
      </c>
      <c r="T722">
        <f t="shared" si="959"/>
        <v>667.67444035386814</v>
      </c>
    </row>
    <row r="723" spans="1:20" x14ac:dyDescent="0.25">
      <c r="A723" s="5">
        <v>43861</v>
      </c>
      <c r="B723">
        <v>3.6969999999999999E-4</v>
      </c>
      <c r="C723">
        <v>3.8029999999999997E-4</v>
      </c>
      <c r="D723">
        <v>3.6309999999999999E-4</v>
      </c>
      <c r="E723">
        <v>3.7280000000000001E-4</v>
      </c>
      <c r="F723">
        <v>11763898781</v>
      </c>
      <c r="G723">
        <v>0</v>
      </c>
      <c r="L723" t="s">
        <v>8</v>
      </c>
      <c r="M723" t="s">
        <v>7</v>
      </c>
      <c r="N723" t="s">
        <v>8</v>
      </c>
      <c r="P723">
        <f t="shared" si="955"/>
        <v>0.12790697674418927</v>
      </c>
      <c r="Q723">
        <f t="shared" si="956"/>
        <v>1504684727.8023636</v>
      </c>
      <c r="R723">
        <f t="shared" si="957"/>
        <v>65990040890.278229</v>
      </c>
      <c r="S723">
        <f t="shared" si="958"/>
        <v>659900.40890278225</v>
      </c>
      <c r="T723">
        <f t="shared" si="959"/>
        <v>659.90040890278226</v>
      </c>
    </row>
    <row r="724" spans="1:20" x14ac:dyDescent="0.25">
      <c r="A724" s="5">
        <v>43860</v>
      </c>
      <c r="B724">
        <v>3.6460000000000003E-4</v>
      </c>
      <c r="C724">
        <v>3.7560000000000002E-4</v>
      </c>
      <c r="D724">
        <v>3.5270000000000001E-4</v>
      </c>
      <c r="E724">
        <v>3.6969999999999999E-4</v>
      </c>
      <c r="F724">
        <v>11954906174</v>
      </c>
      <c r="G724">
        <v>0</v>
      </c>
      <c r="L724" t="s">
        <v>7</v>
      </c>
      <c r="M724" t="s">
        <v>7</v>
      </c>
      <c r="N724" t="s">
        <v>8</v>
      </c>
      <c r="P724">
        <f t="shared" si="955"/>
        <v>0.48471615720523742</v>
      </c>
      <c r="Q724">
        <f t="shared" si="956"/>
        <v>5794736180.4104471</v>
      </c>
      <c r="R724">
        <f t="shared" si="957"/>
        <v>64485356162.475868</v>
      </c>
      <c r="S724">
        <f t="shared" si="958"/>
        <v>644853.56162475864</v>
      </c>
      <c r="T724">
        <f t="shared" si="959"/>
        <v>644.85356162475864</v>
      </c>
    </row>
    <row r="725" spans="1:20" x14ac:dyDescent="0.25">
      <c r="A725" s="5">
        <v>43859</v>
      </c>
      <c r="B725">
        <v>3.7179999999999998E-4</v>
      </c>
      <c r="C725">
        <v>3.8170000000000001E-4</v>
      </c>
      <c r="D725">
        <v>3.6420000000000002E-4</v>
      </c>
      <c r="E725">
        <v>3.6460000000000003E-4</v>
      </c>
      <c r="F725">
        <v>11811314061</v>
      </c>
      <c r="G725">
        <v>0</v>
      </c>
      <c r="L725" t="s">
        <v>8</v>
      </c>
      <c r="M725" t="s">
        <v>7</v>
      </c>
      <c r="N725" t="s">
        <v>8</v>
      </c>
      <c r="P725">
        <f t="shared" si="955"/>
        <v>-0.95428571428571318</v>
      </c>
      <c r="Q725">
        <f t="shared" si="956"/>
        <v>-11271368275.354273</v>
      </c>
      <c r="R725">
        <f t="shared" si="957"/>
        <v>58690619982.065422</v>
      </c>
      <c r="S725">
        <f t="shared" si="958"/>
        <v>586906.19982065423</v>
      </c>
      <c r="T725">
        <f t="shared" si="959"/>
        <v>586.90619982065425</v>
      </c>
    </row>
    <row r="726" spans="1:20" x14ac:dyDescent="0.25">
      <c r="A726" s="5">
        <v>43858</v>
      </c>
      <c r="B726">
        <v>3.5599999999999998E-4</v>
      </c>
      <c r="C726">
        <v>3.7379999999999998E-4</v>
      </c>
      <c r="D726">
        <v>3.5550000000000002E-4</v>
      </c>
      <c r="E726">
        <v>3.7139999999999997E-4</v>
      </c>
      <c r="F726">
        <v>11929647153</v>
      </c>
      <c r="G726">
        <v>0</v>
      </c>
      <c r="L726" t="s">
        <v>7</v>
      </c>
      <c r="M726" t="s">
        <v>7</v>
      </c>
      <c r="N726" t="s">
        <v>8</v>
      </c>
      <c r="P726">
        <f t="shared" si="955"/>
        <v>0.73770491803278582</v>
      </c>
      <c r="Q726">
        <f t="shared" si="956"/>
        <v>8800559375.1639214</v>
      </c>
      <c r="R726">
        <f t="shared" si="957"/>
        <v>69961988257.419693</v>
      </c>
      <c r="S726">
        <f t="shared" si="958"/>
        <v>699619.8825741969</v>
      </c>
      <c r="T726">
        <f t="shared" si="959"/>
        <v>699.61988257419694</v>
      </c>
    </row>
    <row r="727" spans="1:20" x14ac:dyDescent="0.25">
      <c r="A727" s="5">
        <v>43857</v>
      </c>
      <c r="B727">
        <v>3.4820000000000001E-4</v>
      </c>
      <c r="C727">
        <v>3.6019999999999997E-4</v>
      </c>
      <c r="D727">
        <v>3.4719999999999998E-4</v>
      </c>
      <c r="E727">
        <v>3.5619999999999998E-4</v>
      </c>
      <c r="F727">
        <v>11918882056</v>
      </c>
      <c r="G727">
        <v>0</v>
      </c>
      <c r="L727" t="s">
        <v>8</v>
      </c>
      <c r="M727" t="s">
        <v>7</v>
      </c>
      <c r="N727" t="s">
        <v>8</v>
      </c>
      <c r="P727">
        <f t="shared" si="955"/>
        <v>0.38461538461538591</v>
      </c>
      <c r="Q727">
        <f t="shared" si="956"/>
        <v>4584185406.153862</v>
      </c>
      <c r="R727">
        <f t="shared" si="957"/>
        <v>61161428882.255775</v>
      </c>
      <c r="S727">
        <f t="shared" si="958"/>
        <v>611614.28882255778</v>
      </c>
      <c r="T727">
        <f t="shared" si="959"/>
        <v>611.6142888225578</v>
      </c>
    </row>
    <row r="728" spans="1:20" x14ac:dyDescent="0.25">
      <c r="A728" s="5">
        <v>43856</v>
      </c>
      <c r="B728">
        <v>3.4370000000000001E-4</v>
      </c>
      <c r="C728">
        <v>3.4860000000000002E-4</v>
      </c>
      <c r="D728">
        <v>3.3809999999999998E-4</v>
      </c>
      <c r="E728">
        <v>3.4820000000000001E-4</v>
      </c>
      <c r="F728">
        <v>10659958182</v>
      </c>
      <c r="G728">
        <v>0</v>
      </c>
      <c r="L728" t="s">
        <v>7</v>
      </c>
      <c r="M728" t="s">
        <v>7</v>
      </c>
      <c r="N728" t="s">
        <v>8</v>
      </c>
      <c r="P728">
        <f t="shared" si="955"/>
        <v>0.92380952380952219</v>
      </c>
      <c r="Q728">
        <f t="shared" si="956"/>
        <v>9847770891.9428406</v>
      </c>
      <c r="R728">
        <f t="shared" si="957"/>
        <v>56577243476.101913</v>
      </c>
      <c r="S728">
        <f t="shared" si="958"/>
        <v>565772.43476101919</v>
      </c>
      <c r="T728">
        <f t="shared" si="959"/>
        <v>565.77243476101921</v>
      </c>
    </row>
    <row r="729" spans="1:20" x14ac:dyDescent="0.25">
      <c r="A729" s="5">
        <v>43855</v>
      </c>
      <c r="B729">
        <v>3.4680000000000003E-4</v>
      </c>
      <c r="C729">
        <v>3.4709999999999998E-4</v>
      </c>
      <c r="D729">
        <v>3.3710000000000001E-4</v>
      </c>
      <c r="E729">
        <v>3.4370000000000001E-4</v>
      </c>
      <c r="F729">
        <v>9844250137</v>
      </c>
      <c r="G729">
        <v>0</v>
      </c>
      <c r="L729" t="s">
        <v>8</v>
      </c>
      <c r="M729" t="s">
        <v>7</v>
      </c>
      <c r="N729" t="s">
        <v>8</v>
      </c>
      <c r="P729">
        <f t="shared" si="955"/>
        <v>0.32000000000000323</v>
      </c>
      <c r="Q729">
        <f t="shared" si="956"/>
        <v>3150160043.8400316</v>
      </c>
      <c r="R729">
        <f t="shared" si="957"/>
        <v>46729472584.159073</v>
      </c>
      <c r="S729">
        <f t="shared" si="958"/>
        <v>467294.72584159073</v>
      </c>
      <c r="T729">
        <f t="shared" si="959"/>
        <v>467.29472584159072</v>
      </c>
    </row>
    <row r="730" spans="1:20" x14ac:dyDescent="0.25">
      <c r="A730" s="5">
        <v>43854</v>
      </c>
      <c r="B730">
        <v>3.5110000000000002E-4</v>
      </c>
      <c r="C730">
        <v>3.5149999999999998E-4</v>
      </c>
      <c r="D730">
        <v>3.3260000000000001E-4</v>
      </c>
      <c r="E730">
        <v>3.4680000000000003E-4</v>
      </c>
      <c r="F730">
        <v>11840558257</v>
      </c>
      <c r="G730">
        <v>0</v>
      </c>
      <c r="L730" t="s">
        <v>7</v>
      </c>
      <c r="M730" t="s">
        <v>7</v>
      </c>
      <c r="N730" t="s">
        <v>8</v>
      </c>
      <c r="P730">
        <f t="shared" si="955"/>
        <v>0.502645502645507</v>
      </c>
      <c r="Q730">
        <f t="shared" si="956"/>
        <v>5951603356.6931734</v>
      </c>
      <c r="R730">
        <f t="shared" si="957"/>
        <v>43579312540.319038</v>
      </c>
      <c r="S730">
        <f t="shared" si="958"/>
        <v>435793.12540319038</v>
      </c>
      <c r="T730">
        <f t="shared" si="959"/>
        <v>435.7931254031904</v>
      </c>
    </row>
    <row r="731" spans="1:20" x14ac:dyDescent="0.25">
      <c r="A731" s="5">
        <v>43853</v>
      </c>
      <c r="B731">
        <v>3.7300000000000001E-4</v>
      </c>
      <c r="C731">
        <v>3.7350000000000003E-4</v>
      </c>
      <c r="D731">
        <v>3.4019999999999998E-4</v>
      </c>
      <c r="E731">
        <v>3.5080000000000002E-4</v>
      </c>
      <c r="F731">
        <v>11887260247</v>
      </c>
      <c r="G731">
        <v>0</v>
      </c>
      <c r="L731" t="s">
        <v>8</v>
      </c>
      <c r="M731" t="s">
        <v>8</v>
      </c>
      <c r="N731" t="s">
        <v>8</v>
      </c>
      <c r="P731">
        <f t="shared" si="955"/>
        <v>-0.36336336336336189</v>
      </c>
      <c r="Q731">
        <f t="shared" si="956"/>
        <v>-4319394864.5255079</v>
      </c>
      <c r="R731">
        <f t="shared" si="957"/>
        <v>37627709183.625862</v>
      </c>
      <c r="S731">
        <f t="shared" si="958"/>
        <v>376277.09183625859</v>
      </c>
      <c r="T731">
        <f t="shared" si="959"/>
        <v>376.27709183625859</v>
      </c>
    </row>
    <row r="732" spans="1:20" x14ac:dyDescent="0.25">
      <c r="A732" s="5">
        <v>43852</v>
      </c>
      <c r="B732">
        <v>3.723E-4</v>
      </c>
      <c r="C732">
        <v>3.7980000000000002E-4</v>
      </c>
      <c r="D732">
        <v>3.6989999999999999E-4</v>
      </c>
      <c r="E732">
        <v>3.7300000000000001E-4</v>
      </c>
      <c r="F732">
        <v>10553710282</v>
      </c>
      <c r="G732">
        <v>0</v>
      </c>
      <c r="L732" t="s">
        <v>7</v>
      </c>
      <c r="M732" t="s">
        <v>8</v>
      </c>
      <c r="N732" t="s">
        <v>8</v>
      </c>
      <c r="P732">
        <f t="shared" si="955"/>
        <v>-0.37373737373737098</v>
      </c>
      <c r="Q732">
        <f t="shared" si="956"/>
        <v>-3944315963.9797688</v>
      </c>
      <c r="R732">
        <f t="shared" si="957"/>
        <v>41947104048.151367</v>
      </c>
      <c r="S732">
        <f t="shared" si="958"/>
        <v>419471.04048151366</v>
      </c>
      <c r="T732">
        <f t="shared" si="959"/>
        <v>419.47104048151368</v>
      </c>
    </row>
    <row r="733" spans="1:20" x14ac:dyDescent="0.25">
      <c r="A733" s="5">
        <v>43851</v>
      </c>
      <c r="B733">
        <v>3.6010000000000003E-4</v>
      </c>
      <c r="C733">
        <v>3.7359999999999997E-4</v>
      </c>
      <c r="D733">
        <v>3.5809999999999998E-4</v>
      </c>
      <c r="E733">
        <v>3.7219999999999999E-4</v>
      </c>
      <c r="F733">
        <v>11069529160</v>
      </c>
      <c r="G733">
        <v>0</v>
      </c>
      <c r="L733" t="s">
        <v>8</v>
      </c>
      <c r="M733" t="s">
        <v>8</v>
      </c>
      <c r="N733" t="s">
        <v>8</v>
      </c>
      <c r="P733">
        <f t="shared" si="955"/>
        <v>0.81935483870967996</v>
      </c>
      <c r="Q733">
        <f t="shared" si="956"/>
        <v>9069872279.4838982</v>
      </c>
      <c r="R733">
        <f t="shared" si="957"/>
        <v>45891420012.131134</v>
      </c>
      <c r="S733">
        <f t="shared" si="958"/>
        <v>458914.20012131135</v>
      </c>
      <c r="T733">
        <f t="shared" si="959"/>
        <v>458.91420012131135</v>
      </c>
    </row>
    <row r="734" spans="1:20" x14ac:dyDescent="0.25">
      <c r="A734" s="5">
        <v>43850</v>
      </c>
      <c r="B734">
        <v>3.5280000000000001E-4</v>
      </c>
      <c r="C734">
        <v>3.6329999999999999E-4</v>
      </c>
      <c r="D734">
        <v>3.5040000000000001E-4</v>
      </c>
      <c r="E734">
        <v>3.6010000000000003E-4</v>
      </c>
      <c r="F734">
        <v>10799761127</v>
      </c>
      <c r="G734">
        <v>0</v>
      </c>
      <c r="L734" t="s">
        <v>7</v>
      </c>
      <c r="M734" t="s">
        <v>8</v>
      </c>
      <c r="N734" t="s">
        <v>8</v>
      </c>
      <c r="P734">
        <f t="shared" si="955"/>
        <v>0.5038759689922524</v>
      </c>
      <c r="Q734">
        <f t="shared" si="956"/>
        <v>5441740102.7519846</v>
      </c>
      <c r="R734">
        <f t="shared" si="957"/>
        <v>36821547732.64724</v>
      </c>
      <c r="S734">
        <f t="shared" si="958"/>
        <v>368215.47732647241</v>
      </c>
      <c r="T734">
        <f t="shared" si="959"/>
        <v>368.21547732647241</v>
      </c>
    </row>
    <row r="735" spans="1:20" x14ac:dyDescent="0.25">
      <c r="A735" s="5">
        <v>43849</v>
      </c>
      <c r="B735">
        <v>3.77E-4</v>
      </c>
      <c r="C735">
        <v>3.8299999999999999E-4</v>
      </c>
      <c r="D735">
        <v>3.4929999999999998E-4</v>
      </c>
      <c r="E735">
        <v>3.5290000000000001E-4</v>
      </c>
      <c r="F735">
        <v>12076057884</v>
      </c>
      <c r="G735">
        <v>0</v>
      </c>
      <c r="L735" t="s">
        <v>8</v>
      </c>
      <c r="M735" t="s">
        <v>8</v>
      </c>
      <c r="N735" t="s">
        <v>8</v>
      </c>
      <c r="P735">
        <f t="shared" si="955"/>
        <v>-0.78635014836795059</v>
      </c>
      <c r="Q735">
        <f t="shared" si="956"/>
        <v>-9496009908.7833595</v>
      </c>
      <c r="R735">
        <f t="shared" si="957"/>
        <v>31379807629.895252</v>
      </c>
      <c r="S735">
        <f t="shared" si="958"/>
        <v>313798.07629895251</v>
      </c>
      <c r="T735">
        <f t="shared" si="959"/>
        <v>313.79807629895254</v>
      </c>
    </row>
    <row r="736" spans="1:20" x14ac:dyDescent="0.25">
      <c r="A736" s="5">
        <v>43848</v>
      </c>
      <c r="B736">
        <v>3.7750000000000001E-4</v>
      </c>
      <c r="C736">
        <v>4.0000000000000002E-4</v>
      </c>
      <c r="D736">
        <v>3.6900000000000002E-4</v>
      </c>
      <c r="E736">
        <v>3.7720000000000001E-4</v>
      </c>
      <c r="F736">
        <v>10793126090</v>
      </c>
      <c r="G736">
        <v>0</v>
      </c>
      <c r="L736" t="s">
        <v>7</v>
      </c>
      <c r="M736" t="s">
        <v>8</v>
      </c>
      <c r="N736" t="s">
        <v>8</v>
      </c>
      <c r="P736">
        <f t="shared" si="955"/>
        <v>-0.47096774193548491</v>
      </c>
      <c r="Q736">
        <f t="shared" si="956"/>
        <v>-5083214223.0322695</v>
      </c>
      <c r="R736">
        <f t="shared" si="957"/>
        <v>40875817538.678612</v>
      </c>
      <c r="S736">
        <f t="shared" si="958"/>
        <v>408758.17538678611</v>
      </c>
      <c r="T736">
        <f t="shared" si="959"/>
        <v>408.75817538678609</v>
      </c>
    </row>
    <row r="737" spans="1:20" x14ac:dyDescent="0.25">
      <c r="A737" s="5">
        <v>43847</v>
      </c>
      <c r="B737">
        <v>3.6319999999999999E-4</v>
      </c>
      <c r="C737">
        <v>3.88E-4</v>
      </c>
      <c r="D737">
        <v>3.57E-4</v>
      </c>
      <c r="E737">
        <v>3.7750000000000001E-4</v>
      </c>
      <c r="F737">
        <v>12518166381</v>
      </c>
      <c r="G737">
        <v>0</v>
      </c>
      <c r="L737" t="s">
        <v>8</v>
      </c>
      <c r="M737" t="s">
        <v>8</v>
      </c>
      <c r="N737" t="s">
        <v>8</v>
      </c>
      <c r="P737">
        <f t="shared" si="955"/>
        <v>0.3225806451612912</v>
      </c>
      <c r="Q737">
        <f t="shared" si="956"/>
        <v>4038118187.4193659</v>
      </c>
      <c r="R737">
        <f t="shared" si="957"/>
        <v>45959031761.710884</v>
      </c>
      <c r="S737">
        <f t="shared" si="958"/>
        <v>459590.31761710881</v>
      </c>
      <c r="T737">
        <f t="shared" si="959"/>
        <v>459.59031761710884</v>
      </c>
    </row>
    <row r="738" spans="1:20" x14ac:dyDescent="0.25">
      <c r="A738" s="5">
        <v>43846</v>
      </c>
      <c r="B738">
        <v>3.7530000000000002E-4</v>
      </c>
      <c r="C738">
        <v>3.7809999999999997E-4</v>
      </c>
      <c r="D738">
        <v>3.4499999999999998E-4</v>
      </c>
      <c r="E738">
        <v>3.6319999999999999E-4</v>
      </c>
      <c r="F738">
        <v>12091207182</v>
      </c>
      <c r="G738">
        <v>0</v>
      </c>
      <c r="L738" t="s">
        <v>7</v>
      </c>
      <c r="M738" t="s">
        <v>8</v>
      </c>
      <c r="N738" t="s">
        <v>8</v>
      </c>
      <c r="P738">
        <f t="shared" si="955"/>
        <v>9.969788519637543E-2</v>
      </c>
      <c r="Q738">
        <f t="shared" si="956"/>
        <v>1205467785.5166261</v>
      </c>
      <c r="R738">
        <f t="shared" si="957"/>
        <v>41920913574.291519</v>
      </c>
      <c r="S738">
        <f t="shared" si="958"/>
        <v>419209.13574291521</v>
      </c>
      <c r="T738">
        <f t="shared" si="959"/>
        <v>419.20913574291524</v>
      </c>
    </row>
    <row r="739" spans="1:20" x14ac:dyDescent="0.25">
      <c r="A739" s="5">
        <v>43845</v>
      </c>
      <c r="B739">
        <v>3.4949999999999998E-4</v>
      </c>
      <c r="C739">
        <v>3.8529999999999999E-4</v>
      </c>
      <c r="D739">
        <v>3.3839999999999999E-4</v>
      </c>
      <c r="E739">
        <v>3.746E-4</v>
      </c>
      <c r="F739">
        <v>12417445427</v>
      </c>
      <c r="G739">
        <v>0</v>
      </c>
      <c r="L739" t="s">
        <v>8</v>
      </c>
      <c r="M739" t="s">
        <v>8</v>
      </c>
      <c r="N739" t="s">
        <v>8</v>
      </c>
      <c r="P739">
        <f t="shared" si="955"/>
        <v>0.54371002132196211</v>
      </c>
      <c r="Q739">
        <f t="shared" si="956"/>
        <v>6751489517.8784714</v>
      </c>
      <c r="R739">
        <f t="shared" si="957"/>
        <v>40715445788.774895</v>
      </c>
      <c r="S739">
        <f t="shared" si="958"/>
        <v>407154.45788774895</v>
      </c>
      <c r="T739">
        <f t="shared" si="959"/>
        <v>407.15445788774895</v>
      </c>
    </row>
    <row r="740" spans="1:20" x14ac:dyDescent="0.25">
      <c r="A740" s="5">
        <v>43844</v>
      </c>
      <c r="B740">
        <v>3.1040000000000001E-4</v>
      </c>
      <c r="C740">
        <v>3.502E-4</v>
      </c>
      <c r="D740">
        <v>3.1030000000000001E-4</v>
      </c>
      <c r="E740">
        <v>3.4959999999999999E-4</v>
      </c>
      <c r="F740">
        <v>21783304228</v>
      </c>
      <c r="G740">
        <v>0</v>
      </c>
      <c r="L740" t="s">
        <v>7</v>
      </c>
      <c r="M740" t="s">
        <v>8</v>
      </c>
      <c r="N740" t="s">
        <v>7</v>
      </c>
      <c r="P740">
        <f t="shared" si="955"/>
        <v>0.96992481203007441</v>
      </c>
      <c r="Q740">
        <f t="shared" si="956"/>
        <v>21128167258.736824</v>
      </c>
      <c r="R740">
        <f t="shared" si="957"/>
        <v>33963956270.896423</v>
      </c>
      <c r="S740">
        <f t="shared" si="958"/>
        <v>339639.56270896422</v>
      </c>
      <c r="T740">
        <f t="shared" si="959"/>
        <v>339.63956270896421</v>
      </c>
    </row>
    <row r="741" spans="1:20" x14ac:dyDescent="0.25">
      <c r="A741" s="5">
        <v>43843</v>
      </c>
      <c r="B741">
        <v>3.2650000000000002E-4</v>
      </c>
      <c r="C741">
        <v>3.2699999999999998E-4</v>
      </c>
      <c r="D741">
        <v>3.0170000000000002E-4</v>
      </c>
      <c r="E741">
        <v>3.1040000000000001E-4</v>
      </c>
      <c r="F741">
        <v>23050743752</v>
      </c>
      <c r="G741">
        <v>0</v>
      </c>
      <c r="L741" t="s">
        <v>8</v>
      </c>
      <c r="M741" t="s">
        <v>8</v>
      </c>
      <c r="N741" t="s">
        <v>7</v>
      </c>
      <c r="P741">
        <f t="shared" si="955"/>
        <v>-0.31225296442687694</v>
      </c>
      <c r="Q741">
        <f t="shared" si="956"/>
        <v>-7197663068.8063116</v>
      </c>
      <c r="R741">
        <f t="shared" si="957"/>
        <v>12835789012.159599</v>
      </c>
      <c r="S741">
        <f t="shared" si="958"/>
        <v>128357.89012159599</v>
      </c>
      <c r="T741">
        <f t="shared" si="959"/>
        <v>128.357890121596</v>
      </c>
    </row>
    <row r="742" spans="1:20" x14ac:dyDescent="0.25">
      <c r="A742" s="5">
        <v>43842</v>
      </c>
      <c r="B742">
        <v>2.9510000000000002E-4</v>
      </c>
      <c r="C742">
        <v>3.2650000000000002E-4</v>
      </c>
      <c r="D742">
        <v>2.9300000000000002E-4</v>
      </c>
      <c r="E742">
        <v>3.2630000000000002E-4</v>
      </c>
      <c r="F742">
        <v>27012211871</v>
      </c>
      <c r="G742">
        <v>0</v>
      </c>
      <c r="L742" t="s">
        <v>7</v>
      </c>
      <c r="M742" t="s">
        <v>8</v>
      </c>
      <c r="N742" t="s">
        <v>7</v>
      </c>
      <c r="P742">
        <f t="shared" si="955"/>
        <v>0.98805970149253697</v>
      </c>
      <c r="Q742">
        <f t="shared" si="956"/>
        <v>26689677997.913422</v>
      </c>
      <c r="R742">
        <f t="shared" si="957"/>
        <v>20033452080.965912</v>
      </c>
      <c r="S742">
        <f t="shared" si="958"/>
        <v>200334.52080965912</v>
      </c>
      <c r="T742">
        <f t="shared" si="959"/>
        <v>200.33452080965913</v>
      </c>
    </row>
    <row r="743" spans="1:20" x14ac:dyDescent="0.25">
      <c r="A743" s="5">
        <v>43841</v>
      </c>
      <c r="B743">
        <v>2.9760000000000002E-4</v>
      </c>
      <c r="C743">
        <v>3.0279999999999999E-4</v>
      </c>
      <c r="D743">
        <v>2.901E-4</v>
      </c>
      <c r="E743">
        <v>2.9510000000000002E-4</v>
      </c>
      <c r="F743">
        <v>21536476610</v>
      </c>
      <c r="G743">
        <v>0</v>
      </c>
      <c r="L743" t="s">
        <v>8</v>
      </c>
      <c r="M743" t="s">
        <v>7</v>
      </c>
      <c r="N743" t="s">
        <v>7</v>
      </c>
      <c r="P743">
        <f t="shared" si="955"/>
        <v>-0.2125984251968473</v>
      </c>
      <c r="Q743">
        <f t="shared" si="956"/>
        <v>-4578621011.5747366</v>
      </c>
      <c r="R743">
        <f t="shared" si="957"/>
        <v>-6656225916.9475088</v>
      </c>
      <c r="S743">
        <f t="shared" si="958"/>
        <v>-66562.259169475088</v>
      </c>
      <c r="T743">
        <f t="shared" si="959"/>
        <v>-66.562259169475084</v>
      </c>
    </row>
    <row r="744" spans="1:20" x14ac:dyDescent="0.25">
      <c r="A744" s="5">
        <v>43840</v>
      </c>
      <c r="B744">
        <v>2.876E-4</v>
      </c>
      <c r="C744">
        <v>3.0069999999999999E-4</v>
      </c>
      <c r="D744">
        <v>2.8390000000000002E-4</v>
      </c>
      <c r="E744">
        <v>2.9760000000000002E-4</v>
      </c>
      <c r="F744">
        <v>34338513389</v>
      </c>
      <c r="G744">
        <v>0</v>
      </c>
      <c r="L744" t="s">
        <v>7</v>
      </c>
      <c r="M744" t="s">
        <v>7</v>
      </c>
      <c r="N744" t="s">
        <v>7</v>
      </c>
      <c r="P744">
        <f t="shared" si="955"/>
        <v>0.63095238095238437</v>
      </c>
      <c r="Q744">
        <f t="shared" si="956"/>
        <v>21665966781.154881</v>
      </c>
      <c r="R744">
        <f t="shared" si="957"/>
        <v>-2077604905.3727722</v>
      </c>
      <c r="S744">
        <f t="shared" si="958"/>
        <v>-20776.049053727722</v>
      </c>
      <c r="T744">
        <f t="shared" si="959"/>
        <v>-20.776049053727721</v>
      </c>
    </row>
    <row r="745" spans="1:20" x14ac:dyDescent="0.25">
      <c r="A745" s="5">
        <v>43839</v>
      </c>
      <c r="B745">
        <v>2.944E-4</v>
      </c>
      <c r="C745">
        <v>2.945E-4</v>
      </c>
      <c r="D745">
        <v>2.854E-4</v>
      </c>
      <c r="E745">
        <v>2.876E-4</v>
      </c>
      <c r="F745">
        <v>15655975012</v>
      </c>
      <c r="G745">
        <v>0</v>
      </c>
      <c r="L745" t="s">
        <v>8</v>
      </c>
      <c r="M745" t="s">
        <v>7</v>
      </c>
      <c r="N745" t="s">
        <v>7</v>
      </c>
      <c r="P745">
        <f t="shared" si="955"/>
        <v>-0.51648351648351687</v>
      </c>
      <c r="Q745">
        <f t="shared" si="956"/>
        <v>-8086053028.1758299</v>
      </c>
      <c r="R745">
        <f t="shared" si="957"/>
        <v>-23743571686.527653</v>
      </c>
      <c r="S745">
        <f t="shared" si="958"/>
        <v>-237435.71686527654</v>
      </c>
      <c r="T745">
        <f t="shared" si="959"/>
        <v>-237.43571686527653</v>
      </c>
    </row>
    <row r="746" spans="1:20" x14ac:dyDescent="0.25">
      <c r="A746" s="5">
        <v>43838</v>
      </c>
      <c r="B746">
        <v>2.922E-4</v>
      </c>
      <c r="C746">
        <v>3.0650000000000002E-4</v>
      </c>
      <c r="D746">
        <v>2.8630000000000002E-4</v>
      </c>
      <c r="E746">
        <v>2.9409999999999999E-4</v>
      </c>
      <c r="F746">
        <v>23436618132</v>
      </c>
      <c r="G746">
        <v>0</v>
      </c>
      <c r="L746" t="s">
        <v>7</v>
      </c>
      <c r="M746" t="s">
        <v>7</v>
      </c>
      <c r="N746" t="s">
        <v>7</v>
      </c>
      <c r="P746">
        <f t="shared" si="955"/>
        <v>-0.22772277227723053</v>
      </c>
      <c r="Q746">
        <f t="shared" si="956"/>
        <v>-5337051653.8218479</v>
      </c>
      <c r="R746">
        <f t="shared" si="957"/>
        <v>-15657518658.351822</v>
      </c>
      <c r="S746">
        <f t="shared" si="958"/>
        <v>-156575.18658351823</v>
      </c>
      <c r="T746">
        <f t="shared" si="959"/>
        <v>-156.57518658351822</v>
      </c>
    </row>
    <row r="747" spans="1:20" x14ac:dyDescent="0.25">
      <c r="A747" s="5">
        <v>43837</v>
      </c>
      <c r="B747">
        <v>3.0959999999999999E-4</v>
      </c>
      <c r="C747">
        <v>3.102E-4</v>
      </c>
      <c r="D747">
        <v>2.8620000000000002E-4</v>
      </c>
      <c r="E747">
        <v>2.9159999999999999E-4</v>
      </c>
      <c r="F747">
        <v>12234176219</v>
      </c>
      <c r="G747">
        <v>0</v>
      </c>
      <c r="L747" t="s">
        <v>8</v>
      </c>
      <c r="M747" t="s">
        <v>7</v>
      </c>
      <c r="N747" t="s">
        <v>7</v>
      </c>
      <c r="P747">
        <f t="shared" si="955"/>
        <v>-0.55000000000000238</v>
      </c>
      <c r="Q747">
        <f t="shared" si="956"/>
        <v>-6728796920.4500294</v>
      </c>
      <c r="R747">
        <f t="shared" si="957"/>
        <v>-10320467004.529974</v>
      </c>
      <c r="S747">
        <f t="shared" si="958"/>
        <v>-103204.67004529975</v>
      </c>
      <c r="T747">
        <f t="shared" si="959"/>
        <v>-103.20467004529975</v>
      </c>
    </row>
    <row r="748" spans="1:20" x14ac:dyDescent="0.25">
      <c r="A748" s="5">
        <v>43836</v>
      </c>
      <c r="B748">
        <v>2.8800000000000001E-4</v>
      </c>
      <c r="C748">
        <v>3.098E-4</v>
      </c>
      <c r="D748">
        <v>2.877E-4</v>
      </c>
      <c r="E748">
        <v>3.0959999999999999E-4</v>
      </c>
      <c r="F748">
        <v>32574617789</v>
      </c>
      <c r="G748">
        <v>0</v>
      </c>
      <c r="L748" t="s">
        <v>7</v>
      </c>
      <c r="M748" t="s">
        <v>7</v>
      </c>
      <c r="N748" t="s">
        <v>7</v>
      </c>
      <c r="P748">
        <f t="shared" si="955"/>
        <v>0.98190045248868729</v>
      </c>
      <c r="Q748">
        <f t="shared" si="956"/>
        <v>31985031946.665142</v>
      </c>
      <c r="R748">
        <f t="shared" si="957"/>
        <v>-3591670084.0799446</v>
      </c>
      <c r="S748">
        <f t="shared" si="958"/>
        <v>-35916.700840799444</v>
      </c>
      <c r="T748">
        <f t="shared" si="959"/>
        <v>-35.916700840799443</v>
      </c>
    </row>
    <row r="749" spans="1:20" x14ac:dyDescent="0.25">
      <c r="A749" s="5">
        <v>43835</v>
      </c>
      <c r="B749">
        <v>2.8719999999999999E-4</v>
      </c>
      <c r="C749">
        <v>3.0239999999999998E-4</v>
      </c>
      <c r="D749">
        <v>2.8600000000000001E-4</v>
      </c>
      <c r="E749">
        <v>2.8810000000000001E-4</v>
      </c>
      <c r="F749">
        <v>33846765280</v>
      </c>
      <c r="G749">
        <v>0</v>
      </c>
      <c r="L749" t="s">
        <v>8</v>
      </c>
      <c r="M749" t="s">
        <v>7</v>
      </c>
      <c r="N749" t="s">
        <v>7</v>
      </c>
      <c r="P749">
        <f t="shared" si="955"/>
        <v>-0.74390243902439013</v>
      </c>
      <c r="Q749">
        <f t="shared" si="956"/>
        <v>-25178691244.878044</v>
      </c>
      <c r="R749">
        <f t="shared" si="957"/>
        <v>-35576702030.745087</v>
      </c>
      <c r="S749">
        <f t="shared" si="958"/>
        <v>-355767.02030745085</v>
      </c>
      <c r="T749">
        <f t="shared" si="959"/>
        <v>-355.76702030745082</v>
      </c>
    </row>
    <row r="750" spans="1:20" x14ac:dyDescent="0.25">
      <c r="A750" s="5">
        <v>43834</v>
      </c>
      <c r="B750">
        <v>2.8590000000000001E-4</v>
      </c>
      <c r="C750">
        <v>2.9100000000000003E-4</v>
      </c>
      <c r="D750">
        <v>2.831E-4</v>
      </c>
      <c r="E750">
        <v>2.8699999999999998E-4</v>
      </c>
      <c r="F750">
        <v>1433685651</v>
      </c>
      <c r="G750">
        <v>0</v>
      </c>
      <c r="L750" t="s">
        <v>7</v>
      </c>
      <c r="M750" t="s">
        <v>7</v>
      </c>
      <c r="N750" t="s">
        <v>7</v>
      </c>
      <c r="P750">
        <f t="shared" si="955"/>
        <v>-1.2658227848108388E-2</v>
      </c>
      <c r="Q750">
        <f t="shared" si="956"/>
        <v>-18147919.632921603</v>
      </c>
      <c r="R750">
        <f t="shared" si="957"/>
        <v>-10398010785.867041</v>
      </c>
      <c r="S750">
        <f t="shared" si="958"/>
        <v>-103980.10785867041</v>
      </c>
      <c r="T750">
        <f t="shared" si="959"/>
        <v>-103.98010785867041</v>
      </c>
    </row>
    <row r="751" spans="1:20" x14ac:dyDescent="0.25">
      <c r="A751" s="5">
        <v>43833</v>
      </c>
      <c r="B751">
        <v>2.7349999999999998E-4</v>
      </c>
      <c r="C751">
        <v>2.9189999999999999E-4</v>
      </c>
      <c r="D751">
        <v>2.7109999999999998E-4</v>
      </c>
      <c r="E751">
        <v>2.8590000000000001E-4</v>
      </c>
      <c r="F751">
        <v>38846071625</v>
      </c>
      <c r="G751">
        <v>0</v>
      </c>
      <c r="L751" t="s">
        <v>8</v>
      </c>
      <c r="M751" t="s">
        <v>7</v>
      </c>
      <c r="N751" t="s">
        <v>7</v>
      </c>
      <c r="P751">
        <f t="shared" si="955"/>
        <v>0.42307692307692518</v>
      </c>
      <c r="Q751">
        <f t="shared" si="956"/>
        <v>16434876456.73085</v>
      </c>
      <c r="R751">
        <f t="shared" si="957"/>
        <v>-10379862866.234119</v>
      </c>
      <c r="S751">
        <f t="shared" si="958"/>
        <v>-103798.62866234119</v>
      </c>
      <c r="T751">
        <f t="shared" si="959"/>
        <v>-103.79862866234119</v>
      </c>
    </row>
    <row r="752" spans="1:20" x14ac:dyDescent="0.25">
      <c r="A752" s="5">
        <v>43832</v>
      </c>
      <c r="B752">
        <v>2.8420000000000002E-4</v>
      </c>
      <c r="C752">
        <v>2.8570000000000001E-4</v>
      </c>
      <c r="D752">
        <v>2.7099999999999997E-4</v>
      </c>
      <c r="E752">
        <v>2.7339999999999998E-4</v>
      </c>
      <c r="F752">
        <v>18913967321</v>
      </c>
      <c r="G752">
        <v>0</v>
      </c>
      <c r="L752" t="s">
        <v>7</v>
      </c>
      <c r="M752" t="s">
        <v>7</v>
      </c>
      <c r="N752" t="s">
        <v>7</v>
      </c>
      <c r="P752">
        <f t="shared" si="955"/>
        <v>-0.67346938775510223</v>
      </c>
      <c r="Q752">
        <f t="shared" si="956"/>
        <v>-12737977991.693882</v>
      </c>
      <c r="R752">
        <f t="shared" si="957"/>
        <v>-26814739322.96497</v>
      </c>
      <c r="S752">
        <f t="shared" si="958"/>
        <v>-268147.39322964969</v>
      </c>
      <c r="T752">
        <f t="shared" si="959"/>
        <v>-268.14739322964971</v>
      </c>
    </row>
    <row r="753" spans="1:20" x14ac:dyDescent="0.25">
      <c r="A753" s="5">
        <v>43831</v>
      </c>
      <c r="B753">
        <v>2.8719999999999999E-4</v>
      </c>
      <c r="C753">
        <v>2.9369999999999998E-4</v>
      </c>
      <c r="D753">
        <v>2.8299999999999999E-4</v>
      </c>
      <c r="E753">
        <v>2.8449999999999998E-4</v>
      </c>
      <c r="F753">
        <v>19561213798</v>
      </c>
      <c r="G753">
        <v>0</v>
      </c>
      <c r="P753">
        <f t="shared" si="955"/>
        <v>-0.71962616822430214</v>
      </c>
      <c r="Q753">
        <f t="shared" si="956"/>
        <v>-14076761331.271088</v>
      </c>
      <c r="R753">
        <f t="shared" si="957"/>
        <v>-14076761331.271088</v>
      </c>
      <c r="S753">
        <f t="shared" si="958"/>
        <v>-140767.61331271086</v>
      </c>
      <c r="T753">
        <f t="shared" si="959"/>
        <v>-140.76761331271086</v>
      </c>
    </row>
    <row r="754" spans="1:20" x14ac:dyDescent="0.25">
      <c r="A754" s="5"/>
      <c r="C754" s="4"/>
      <c r="D754" s="4"/>
      <c r="P754">
        <f t="shared" si="955"/>
        <v>0</v>
      </c>
      <c r="Q754">
        <f t="shared" si="956"/>
        <v>0</v>
      </c>
      <c r="R754">
        <f t="shared" si="957"/>
        <v>0</v>
      </c>
      <c r="S754">
        <f t="shared" si="958"/>
        <v>0</v>
      </c>
      <c r="T754">
        <f t="shared" si="959"/>
        <v>0</v>
      </c>
    </row>
    <row r="755" spans="1:20" x14ac:dyDescent="0.25">
      <c r="A755" s="5"/>
      <c r="C755" s="4"/>
      <c r="D755" s="4"/>
      <c r="P755">
        <f t="shared" si="955"/>
        <v>0</v>
      </c>
      <c r="Q755">
        <f t="shared" si="956"/>
        <v>0</v>
      </c>
      <c r="R755">
        <f t="shared" si="957"/>
        <v>0</v>
      </c>
      <c r="S755">
        <f t="shared" si="958"/>
        <v>0</v>
      </c>
      <c r="T755">
        <f t="shared" si="959"/>
        <v>0</v>
      </c>
    </row>
    <row r="756" spans="1:20" x14ac:dyDescent="0.25">
      <c r="A756" s="5"/>
      <c r="C756" s="4"/>
      <c r="D756" s="4"/>
      <c r="P756">
        <f t="shared" si="955"/>
        <v>0</v>
      </c>
      <c r="Q756">
        <f t="shared" si="956"/>
        <v>0</v>
      </c>
      <c r="R756">
        <f t="shared" si="957"/>
        <v>0</v>
      </c>
      <c r="S756">
        <f t="shared" si="958"/>
        <v>0</v>
      </c>
      <c r="T756">
        <f t="shared" si="959"/>
        <v>0</v>
      </c>
    </row>
    <row r="757" spans="1:20" x14ac:dyDescent="0.25">
      <c r="A757" s="5"/>
      <c r="C757" s="4"/>
      <c r="D757" s="4"/>
      <c r="P757">
        <f t="shared" si="955"/>
        <v>0</v>
      </c>
      <c r="Q757">
        <f t="shared" si="956"/>
        <v>0</v>
      </c>
      <c r="R757">
        <f t="shared" si="957"/>
        <v>0</v>
      </c>
      <c r="S757">
        <f t="shared" si="958"/>
        <v>0</v>
      </c>
      <c r="T757">
        <f t="shared" si="959"/>
        <v>0</v>
      </c>
    </row>
    <row r="758" spans="1:20" x14ac:dyDescent="0.25">
      <c r="A758" s="5"/>
      <c r="C758" s="4"/>
      <c r="D758" s="4"/>
    </row>
    <row r="759" spans="1:20" x14ac:dyDescent="0.25">
      <c r="A759" s="5"/>
      <c r="C759" s="4"/>
      <c r="D759" s="4"/>
    </row>
    <row r="760" spans="1:20" x14ac:dyDescent="0.25">
      <c r="A760" s="5"/>
      <c r="C760" s="4"/>
      <c r="D760" s="4"/>
    </row>
    <row r="761" spans="1:20" x14ac:dyDescent="0.25">
      <c r="A761" s="5"/>
      <c r="C761" s="4"/>
      <c r="D761" s="4"/>
    </row>
    <row r="762" spans="1:20" x14ac:dyDescent="0.25">
      <c r="A762" s="5"/>
      <c r="C762" s="4"/>
      <c r="D762" s="4"/>
    </row>
    <row r="763" spans="1:20" x14ac:dyDescent="0.25">
      <c r="A763" s="5"/>
      <c r="C763" s="4"/>
      <c r="D763" s="4"/>
    </row>
    <row r="764" spans="1:20" x14ac:dyDescent="0.25">
      <c r="A764" s="5"/>
      <c r="C764" s="4"/>
      <c r="D764" s="4"/>
    </row>
    <row r="765" spans="1:20" x14ac:dyDescent="0.25">
      <c r="A765" s="5"/>
      <c r="C765" s="4"/>
      <c r="D765" s="4"/>
    </row>
    <row r="766" spans="1:20" x14ac:dyDescent="0.25">
      <c r="A766" s="5"/>
      <c r="C766" s="4"/>
      <c r="D766" s="4"/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</row>
    <row r="945" spans="1:4" x14ac:dyDescent="0.25">
      <c r="A945" s="5"/>
    </row>
    <row r="946" spans="1:4" x14ac:dyDescent="0.25">
      <c r="A946" s="5"/>
    </row>
    <row r="947" spans="1:4" x14ac:dyDescent="0.25">
      <c r="A947" s="5"/>
    </row>
    <row r="948" spans="1:4" x14ac:dyDescent="0.25">
      <c r="A948" s="5"/>
    </row>
    <row r="949" spans="1:4" x14ac:dyDescent="0.25">
      <c r="A949" s="5"/>
    </row>
    <row r="950" spans="1:4" x14ac:dyDescent="0.25">
      <c r="A950" s="5"/>
    </row>
    <row r="951" spans="1:4" x14ac:dyDescent="0.25">
      <c r="A951" s="5"/>
    </row>
    <row r="952" spans="1:4" x14ac:dyDescent="0.25">
      <c r="A952" s="5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</row>
    <row r="1708" spans="1:4" x14ac:dyDescent="0.25">
      <c r="A1708" s="5"/>
    </row>
    <row r="1709" spans="1:4" x14ac:dyDescent="0.25">
      <c r="A1709" s="5"/>
    </row>
    <row r="1710" spans="1:4" x14ac:dyDescent="0.25">
      <c r="A1710" s="5"/>
    </row>
    <row r="1711" spans="1:4" x14ac:dyDescent="0.25">
      <c r="A1711" s="5"/>
    </row>
    <row r="1712" spans="1:4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</sheetData>
  <conditionalFormatting sqref="D1:D4 D193:D1048576 C191:D192 D188:D190">
    <cfRule type="cellIs" dxfId="277" priority="184" operator="lessThan">
      <formula>$A$2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US884" sqref="US88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$A$883</v>
      </c>
      <c r="D111" s="1" t="str">
        <f>ADDRESS(C121-1,D121,1,1)</f>
        <v>$US$883</v>
      </c>
      <c r="E111"/>
    </row>
    <row r="112" spans="1:5" x14ac:dyDescent="0.25">
      <c r="A112" s="7">
        <v>12164.144957890772</v>
      </c>
      <c r="C112" s="1" t="str">
        <f>ADDRESS(C121,1,1,1)</f>
        <v>$A$884</v>
      </c>
      <c r="D112" s="1" t="str">
        <f>ADDRESS(C121,D121-1,1,1)</f>
        <v>$UR$884</v>
      </c>
      <c r="E112"/>
    </row>
    <row r="113" spans="1:5" x14ac:dyDescent="0.25">
      <c r="A113" s="7">
        <v>11925.63231165762</v>
      </c>
      <c r="C113" s="1" t="str">
        <f>ADDRESS(C121+1,1,1,1)</f>
        <v>$A$885</v>
      </c>
      <c r="D113" s="1" t="str">
        <f>ADDRESS(C121-1,D121+1,1,1)</f>
        <v>$UT$883</v>
      </c>
    </row>
    <row r="114" spans="1:5" x14ac:dyDescent="0.25">
      <c r="A114" s="7">
        <v>11691.796383978059</v>
      </c>
      <c r="C114" s="1" t="str">
        <f>ADDRESS(C121,D121,1,1)</f>
        <v>$US$884</v>
      </c>
      <c r="D114" s="1" t="str">
        <f>ADDRESS(C121+1,D121+1,1,1)</f>
        <v>$UT$885</v>
      </c>
    </row>
    <row r="115" spans="1:5" x14ac:dyDescent="0.25">
      <c r="A115" s="7">
        <v>11462.545474488292</v>
      </c>
      <c r="C115" s="1" t="str">
        <f>ADDRESS(C121+1,D121,1,1)</f>
        <v>$US$885</v>
      </c>
    </row>
    <row r="116" spans="1:5" x14ac:dyDescent="0.25">
      <c r="A116" s="7">
        <v>11237.789680870874</v>
      </c>
      <c r="C116" s="1">
        <f>C117-1</f>
        <v>883</v>
      </c>
    </row>
    <row r="117" spans="1:5" x14ac:dyDescent="0.25">
      <c r="A117" s="7">
        <v>11017.440863598895</v>
      </c>
      <c r="C117" s="1">
        <f>C121</f>
        <v>884</v>
      </c>
      <c r="D117" s="1">
        <f>D121</f>
        <v>565</v>
      </c>
    </row>
    <row r="118" spans="1:5" x14ac:dyDescent="0.25">
      <c r="A118" s="7">
        <v>10801.412611371465</v>
      </c>
      <c r="C118" s="1">
        <f>C117+1</f>
        <v>885</v>
      </c>
      <c r="D118" s="1">
        <f>D117+1</f>
        <v>566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884</v>
      </c>
      <c r="D121" s="19">
        <v>565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R884</v>
      </c>
      <c r="D123" s="1" t="str">
        <f>"C"&amp;D121</f>
        <v>C565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2.7909302746090209E-3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6" x14ac:dyDescent="0.25">
      <c r="A753" s="7">
        <v>3.7356956571232579E-2</v>
      </c>
      <c r="B753"/>
      <c r="C753"/>
      <c r="D753"/>
      <c r="E753"/>
      <c r="F753" s="27" t="s">
        <v>7</v>
      </c>
    </row>
    <row r="754" spans="1:6" x14ac:dyDescent="0.25">
      <c r="A754" s="7">
        <v>3.6624467226698605E-2</v>
      </c>
      <c r="B754"/>
      <c r="C754"/>
      <c r="D754"/>
      <c r="E754"/>
      <c r="F754" s="27" t="s">
        <v>7</v>
      </c>
    </row>
    <row r="755" spans="1:6" x14ac:dyDescent="0.25">
      <c r="A755" s="7">
        <v>3.5906340418331961E-2</v>
      </c>
      <c r="B755"/>
      <c r="C755"/>
      <c r="D755"/>
      <c r="E755"/>
      <c r="F755" s="27" t="s">
        <v>7</v>
      </c>
    </row>
    <row r="756" spans="1:6" x14ac:dyDescent="0.25">
      <c r="A756" s="7">
        <v>3.5202294527776436E-2</v>
      </c>
      <c r="B756"/>
      <c r="C756"/>
      <c r="D756"/>
      <c r="E756"/>
      <c r="F756" s="27" t="s">
        <v>7</v>
      </c>
    </row>
    <row r="757" spans="1:6" x14ac:dyDescent="0.25">
      <c r="A757" s="7">
        <v>3.451205345860435E-2</v>
      </c>
      <c r="B757"/>
      <c r="C757"/>
      <c r="D757"/>
      <c r="E757"/>
      <c r="F757" s="27" t="s">
        <v>7</v>
      </c>
    </row>
    <row r="758" spans="1:6" x14ac:dyDescent="0.25">
      <c r="A758" s="7">
        <v>3.3835346528043479E-2</v>
      </c>
      <c r="B758"/>
      <c r="C758"/>
      <c r="D758"/>
      <c r="E758"/>
      <c r="F758" s="27" t="s">
        <v>7</v>
      </c>
    </row>
    <row r="759" spans="1:6" x14ac:dyDescent="0.25">
      <c r="A759" s="7">
        <v>3.3171908360826938E-2</v>
      </c>
      <c r="B759"/>
      <c r="C759"/>
      <c r="D759"/>
      <c r="E759"/>
      <c r="F759" s="27" t="s">
        <v>7</v>
      </c>
    </row>
    <row r="760" spans="1:6" x14ac:dyDescent="0.25">
      <c r="A760" s="7">
        <v>3.2521478785124451E-2</v>
      </c>
      <c r="B760"/>
      <c r="C760"/>
      <c r="D760"/>
      <c r="E760"/>
      <c r="F760" s="27" t="s">
        <v>7</v>
      </c>
    </row>
    <row r="761" spans="1:6" x14ac:dyDescent="0.25">
      <c r="A761" s="7">
        <v>3.1883802730514173E-2</v>
      </c>
      <c r="B761"/>
      <c r="C761"/>
      <c r="D761"/>
      <c r="E761"/>
      <c r="F761" s="27" t="s">
        <v>7</v>
      </c>
    </row>
    <row r="762" spans="1:6" x14ac:dyDescent="0.25">
      <c r="A762" s="7">
        <v>3.1258630127955073E-2</v>
      </c>
      <c r="B762"/>
      <c r="C762"/>
      <c r="D762"/>
      <c r="E762"/>
      <c r="F762" s="27" t="s">
        <v>7</v>
      </c>
    </row>
    <row r="763" spans="1:6" x14ac:dyDescent="0.25">
      <c r="A763" s="7">
        <v>3.064571581172066E-2</v>
      </c>
      <c r="B763"/>
      <c r="C763"/>
      <c r="D763"/>
      <c r="E763"/>
      <c r="F763" s="27" t="s">
        <v>7</v>
      </c>
    </row>
    <row r="764" spans="1:6" x14ac:dyDescent="0.25">
      <c r="A764" s="7">
        <v>3.0044819423255549E-2</v>
      </c>
      <c r="B764"/>
      <c r="C764"/>
      <c r="D764"/>
      <c r="E764"/>
      <c r="F764" s="27" t="s">
        <v>7</v>
      </c>
    </row>
    <row r="765" spans="1:6" x14ac:dyDescent="0.25">
      <c r="A765" s="7">
        <v>2.9455705316917203E-2</v>
      </c>
      <c r="B765"/>
      <c r="C765"/>
      <c r="D765"/>
      <c r="E765"/>
      <c r="F765" s="27" t="s">
        <v>7</v>
      </c>
    </row>
    <row r="766" spans="1:6" x14ac:dyDescent="0.25">
      <c r="A766" s="7">
        <v>2.8878142467565884E-2</v>
      </c>
      <c r="B766"/>
      <c r="C766"/>
      <c r="D766"/>
      <c r="E766"/>
      <c r="F766" s="27" t="s">
        <v>7</v>
      </c>
    </row>
    <row r="767" spans="1:6" x14ac:dyDescent="0.25">
      <c r="A767" s="7">
        <v>2.8311904379966554E-2</v>
      </c>
      <c r="B767"/>
      <c r="C767"/>
      <c r="D767"/>
      <c r="E767"/>
      <c r="F767" s="27" t="s">
        <v>7</v>
      </c>
    </row>
    <row r="768" spans="1:6" x14ac:dyDescent="0.25">
      <c r="A768" s="7">
        <v>2.7756768999967207E-2</v>
      </c>
      <c r="B768"/>
      <c r="C768"/>
      <c r="D768"/>
      <c r="E768"/>
      <c r="F768" s="27" t="s">
        <v>7</v>
      </c>
    </row>
    <row r="769" spans="1:6" x14ac:dyDescent="0.25">
      <c r="A769" s="7">
        <v>2.7212518627418834E-2</v>
      </c>
      <c r="B769"/>
      <c r="C769"/>
      <c r="D769"/>
      <c r="E769"/>
      <c r="F769" s="27" t="s">
        <v>7</v>
      </c>
    </row>
    <row r="770" spans="1:6" x14ac:dyDescent="0.25">
      <c r="A770" s="7">
        <v>2.6678939830802779E-2</v>
      </c>
      <c r="B770"/>
      <c r="C770"/>
      <c r="D770"/>
      <c r="E770"/>
      <c r="F770" s="27" t="s">
        <v>7</v>
      </c>
    </row>
    <row r="771" spans="1:6" x14ac:dyDescent="0.25">
      <c r="A771" s="7">
        <v>2.615582336353214E-2</v>
      </c>
      <c r="B771"/>
      <c r="C771"/>
      <c r="D771"/>
      <c r="E771"/>
      <c r="F771" s="27" t="s">
        <v>7</v>
      </c>
    </row>
    <row r="772" spans="1:6" x14ac:dyDescent="0.25">
      <c r="A772" s="7">
        <v>2.5642964081894253E-2</v>
      </c>
      <c r="B772"/>
      <c r="C772"/>
      <c r="D772"/>
      <c r="E772"/>
      <c r="F772" s="27" t="s">
        <v>7</v>
      </c>
    </row>
    <row r="773" spans="1:6" x14ac:dyDescent="0.25">
      <c r="A773" s="7">
        <v>2.5140160864602207E-2</v>
      </c>
      <c r="B773"/>
      <c r="C773"/>
      <c r="D773"/>
      <c r="E773"/>
      <c r="F773" s="27" t="s">
        <v>7</v>
      </c>
    </row>
    <row r="774" spans="1:6" x14ac:dyDescent="0.25">
      <c r="A774" s="7">
        <v>2.4647216533923735E-2</v>
      </c>
      <c r="B774"/>
      <c r="C774"/>
      <c r="D774"/>
      <c r="E774"/>
      <c r="F774" s="27" t="s">
        <v>7</v>
      </c>
    </row>
    <row r="775" spans="1:6" x14ac:dyDescent="0.25">
      <c r="A775" s="7">
        <v>2.4163937778356601E-2</v>
      </c>
      <c r="B775"/>
      <c r="C775"/>
      <c r="D775"/>
      <c r="E775"/>
      <c r="F775" s="27" t="s">
        <v>7</v>
      </c>
    </row>
    <row r="776" spans="1:6" x14ac:dyDescent="0.25">
      <c r="A776" s="7">
        <v>2.3690135076820197E-2</v>
      </c>
      <c r="B776"/>
      <c r="C776"/>
      <c r="D776"/>
      <c r="E776"/>
      <c r="F776" s="27" t="s">
        <v>7</v>
      </c>
    </row>
    <row r="777" spans="1:6" x14ac:dyDescent="0.25">
      <c r="A777" s="7">
        <v>2.3225622624333527E-2</v>
      </c>
      <c r="B777"/>
      <c r="C777"/>
      <c r="D777"/>
      <c r="E777"/>
      <c r="F777" s="27" t="s">
        <v>7</v>
      </c>
    </row>
    <row r="778" spans="1:6" x14ac:dyDescent="0.25">
      <c r="A778" s="7">
        <v>2.2770218259150519E-2</v>
      </c>
      <c r="B778"/>
      <c r="C778"/>
      <c r="D778"/>
      <c r="E778"/>
      <c r="F778" s="27" t="s">
        <v>7</v>
      </c>
    </row>
    <row r="779" spans="1:6" x14ac:dyDescent="0.25">
      <c r="A779" s="7">
        <v>2.2323743391324039E-2</v>
      </c>
      <c r="B779"/>
      <c r="C779"/>
      <c r="D779"/>
      <c r="E779"/>
      <c r="F779" s="27" t="s">
        <v>7</v>
      </c>
    </row>
    <row r="780" spans="1:6" x14ac:dyDescent="0.25">
      <c r="A780" s="7">
        <v>2.188602293267063E-2</v>
      </c>
      <c r="B780"/>
      <c r="C780"/>
      <c r="D780"/>
      <c r="E780"/>
      <c r="F780" s="27" t="s">
        <v>7</v>
      </c>
    </row>
    <row r="781" spans="1:6" x14ac:dyDescent="0.25">
      <c r="A781" s="7">
        <v>2.1456885228108461E-2</v>
      </c>
      <c r="B781"/>
      <c r="C781"/>
      <c r="D781"/>
      <c r="E781"/>
      <c r="F781" s="27" t="s">
        <v>7</v>
      </c>
    </row>
    <row r="782" spans="1:6" x14ac:dyDescent="0.25">
      <c r="A782" s="7">
        <v>2.1036161988341632E-2</v>
      </c>
      <c r="B782"/>
      <c r="C782"/>
      <c r="D782"/>
      <c r="E782"/>
      <c r="F782" s="27" t="s">
        <v>7</v>
      </c>
    </row>
    <row r="783" spans="1:6" x14ac:dyDescent="0.25">
      <c r="A783" s="7">
        <v>2.0623688223864345E-2</v>
      </c>
      <c r="B783"/>
      <c r="C783"/>
      <c r="D783"/>
      <c r="E783"/>
      <c r="F783" s="27" t="s">
        <v>7</v>
      </c>
    </row>
    <row r="784" spans="1:6" x14ac:dyDescent="0.25">
      <c r="A784" s="7">
        <v>2.021930218025916E-2</v>
      </c>
      <c r="B784"/>
      <c r="C784"/>
      <c r="D784"/>
      <c r="E784"/>
      <c r="F784" s="27" t="s">
        <v>7</v>
      </c>
    </row>
    <row r="785" spans="1:6" x14ac:dyDescent="0.25">
      <c r="A785" s="7">
        <v>1.9822845274763884E-2</v>
      </c>
      <c r="B785"/>
      <c r="C785"/>
      <c r="D785"/>
      <c r="E785"/>
      <c r="F785" s="27" t="s">
        <v>7</v>
      </c>
    </row>
    <row r="786" spans="1:6" x14ac:dyDescent="0.25">
      <c r="A786" s="7">
        <v>1.9434162034082238E-2</v>
      </c>
      <c r="B786"/>
      <c r="C786"/>
      <c r="D786"/>
      <c r="E786"/>
      <c r="F786" s="27" t="s">
        <v>7</v>
      </c>
    </row>
    <row r="787" spans="1:6" x14ac:dyDescent="0.25">
      <c r="A787" s="7">
        <v>1.9053100033413959E-2</v>
      </c>
      <c r="B787"/>
      <c r="C787"/>
      <c r="D787"/>
      <c r="E787"/>
      <c r="F787" s="27" t="s">
        <v>7</v>
      </c>
    </row>
    <row r="788" spans="1:6" x14ac:dyDescent="0.25">
      <c r="A788" s="7">
        <v>1.867950983668035E-2</v>
      </c>
      <c r="B788"/>
      <c r="C788"/>
      <c r="D788"/>
      <c r="E788"/>
      <c r="F788" s="27" t="s">
        <v>7</v>
      </c>
    </row>
    <row r="789" spans="1:6" x14ac:dyDescent="0.25">
      <c r="A789" s="7">
        <v>1.8313244937921913E-2</v>
      </c>
      <c r="B789"/>
      <c r="C789"/>
      <c r="D789"/>
      <c r="E789"/>
      <c r="F789" s="27" t="s">
        <v>7</v>
      </c>
    </row>
    <row r="790" spans="1:6" x14ac:dyDescent="0.25">
      <c r="A790" s="7">
        <v>1.7954161703845013E-2</v>
      </c>
      <c r="B790"/>
      <c r="C790"/>
      <c r="D790"/>
      <c r="E790"/>
      <c r="F790" s="27" t="s">
        <v>7</v>
      </c>
    </row>
    <row r="791" spans="1:6" x14ac:dyDescent="0.25">
      <c r="A791" s="7">
        <v>1.7602119317495109E-2</v>
      </c>
      <c r="B791"/>
      <c r="C791"/>
      <c r="D791"/>
      <c r="E791"/>
      <c r="F791" s="27" t="s">
        <v>7</v>
      </c>
    </row>
    <row r="792" spans="1:6" x14ac:dyDescent="0.25">
      <c r="A792" s="7">
        <v>1.7256979723034419E-2</v>
      </c>
      <c r="B792"/>
      <c r="C792"/>
      <c r="D792"/>
      <c r="E792"/>
      <c r="F792" s="27" t="s">
        <v>7</v>
      </c>
    </row>
    <row r="793" spans="1:6" x14ac:dyDescent="0.25">
      <c r="A793" s="7">
        <v>1.6918607571602372E-2</v>
      </c>
      <c r="B793"/>
      <c r="C793"/>
      <c r="D793"/>
      <c r="E793"/>
      <c r="F793" s="27" t="s">
        <v>7</v>
      </c>
    </row>
    <row r="794" spans="1:6" x14ac:dyDescent="0.25">
      <c r="A794" s="7">
        <v>1.6586870168237622E-2</v>
      </c>
      <c r="B794"/>
      <c r="C794"/>
      <c r="D794"/>
      <c r="E794"/>
      <c r="F794" s="27" t="s">
        <v>7</v>
      </c>
    </row>
    <row r="795" spans="1:6" x14ac:dyDescent="0.25">
      <c r="A795" s="7">
        <v>1.6261637419840807E-2</v>
      </c>
      <c r="B795"/>
      <c r="C795"/>
      <c r="D795"/>
      <c r="E795"/>
      <c r="F795" s="27" t="s">
        <v>7</v>
      </c>
    </row>
    <row r="796" spans="1:6" x14ac:dyDescent="0.25">
      <c r="A796" s="7">
        <v>1.5942781784157655E-2</v>
      </c>
      <c r="B796"/>
      <c r="C796"/>
      <c r="D796"/>
      <c r="E796"/>
      <c r="F796" s="27" t="s">
        <v>7</v>
      </c>
    </row>
    <row r="797" spans="1:6" x14ac:dyDescent="0.25">
      <c r="A797" s="7">
        <v>1.5630178219762408E-2</v>
      </c>
      <c r="B797"/>
      <c r="C797"/>
      <c r="D797"/>
      <c r="E797"/>
      <c r="F797" s="27" t="s">
        <v>7</v>
      </c>
    </row>
    <row r="798" spans="1:6" x14ac:dyDescent="0.25">
      <c r="A798" s="7">
        <v>1.5323704137021967E-2</v>
      </c>
      <c r="B798"/>
      <c r="C798"/>
      <c r="D798"/>
      <c r="E798"/>
      <c r="F798" s="27" t="s">
        <v>7</v>
      </c>
    </row>
    <row r="799" spans="1:6" x14ac:dyDescent="0.25">
      <c r="A799" s="7">
        <v>1.5023239350021535E-2</v>
      </c>
      <c r="B799"/>
      <c r="C799"/>
      <c r="D799"/>
      <c r="E799"/>
      <c r="F799" s="27" t="s">
        <v>7</v>
      </c>
    </row>
    <row r="800" spans="1:6" x14ac:dyDescent="0.25">
      <c r="A800" s="7">
        <v>1.4728666029432878E-2</v>
      </c>
      <c r="B800"/>
      <c r="C800"/>
      <c r="D800"/>
      <c r="E800"/>
      <c r="F800" s="27" t="s">
        <v>7</v>
      </c>
    </row>
    <row r="801" spans="1:447" x14ac:dyDescent="0.25">
      <c r="A801" s="7">
        <v>1.4439868656306743E-2</v>
      </c>
      <c r="B801"/>
      <c r="C801"/>
      <c r="D801"/>
      <c r="E801"/>
      <c r="F801" s="27" t="s">
        <v>7</v>
      </c>
    </row>
    <row r="802" spans="1:447" x14ac:dyDescent="0.25">
      <c r="A802" s="7">
        <v>1.4156733976771318E-2</v>
      </c>
      <c r="B802"/>
      <c r="C802"/>
      <c r="D802"/>
      <c r="E802"/>
      <c r="F802" s="27" t="s">
        <v>7</v>
      </c>
    </row>
    <row r="803" spans="1:447" x14ac:dyDescent="0.25">
      <c r="A803" s="7">
        <v>1.3879150957618939E-2</v>
      </c>
      <c r="B803"/>
      <c r="C803"/>
      <c r="D803"/>
      <c r="E803"/>
      <c r="F803" s="27" t="s">
        <v>7</v>
      </c>
    </row>
    <row r="804" spans="1:447" x14ac:dyDescent="0.25">
      <c r="A804" s="7">
        <v>1.3607010742763666E-2</v>
      </c>
      <c r="B804"/>
      <c r="C804"/>
      <c r="D804"/>
      <c r="E804"/>
      <c r="F804" s="27" t="s">
        <v>7</v>
      </c>
    </row>
    <row r="805" spans="1:447" x14ac:dyDescent="0.25">
      <c r="A805" s="7">
        <v>1.3340206610552614E-2</v>
      </c>
      <c r="B805"/>
      <c r="C805"/>
      <c r="D805"/>
      <c r="E805"/>
      <c r="F805" s="27" t="s">
        <v>7</v>
      </c>
      <c r="PW805" s="27" t="s">
        <v>8</v>
      </c>
    </row>
    <row r="806" spans="1:447" x14ac:dyDescent="0.25">
      <c r="A806" s="7">
        <v>1.3078633931914328E-2</v>
      </c>
      <c r="B806"/>
      <c r="C806"/>
      <c r="D806"/>
      <c r="E806"/>
      <c r="F806" s="27" t="s">
        <v>7</v>
      </c>
      <c r="PW806" s="27" t="s">
        <v>8</v>
      </c>
      <c r="PX806" s="27" t="s">
        <v>7</v>
      </c>
    </row>
    <row r="807" spans="1:447" x14ac:dyDescent="0.25">
      <c r="A807" s="7">
        <v>1.2822190129327771E-2</v>
      </c>
      <c r="B807"/>
      <c r="C807"/>
      <c r="D807"/>
      <c r="E807"/>
      <c r="F807" s="27" t="s">
        <v>7</v>
      </c>
      <c r="PW807" s="27" t="s">
        <v>8</v>
      </c>
      <c r="PX807" s="27" t="s">
        <v>7</v>
      </c>
    </row>
    <row r="808" spans="1:447" x14ac:dyDescent="0.25">
      <c r="A808" s="7">
        <v>1.2570774636595854E-2</v>
      </c>
      <c r="B808"/>
      <c r="C808"/>
      <c r="D808"/>
      <c r="E808"/>
      <c r="F808" s="27" t="s">
        <v>7</v>
      </c>
      <c r="PW808" s="27" t="s">
        <v>8</v>
      </c>
      <c r="PX808" s="27" t="s">
        <v>7</v>
      </c>
    </row>
    <row r="809" spans="1:447" x14ac:dyDescent="0.25">
      <c r="A809" s="7">
        <v>1.23242888594077E-2</v>
      </c>
      <c r="B809"/>
      <c r="C809"/>
      <c r="D809"/>
      <c r="E809"/>
      <c r="F809" s="27" t="s">
        <v>7</v>
      </c>
      <c r="PW809" s="27" t="s">
        <v>8</v>
      </c>
      <c r="PX809" s="27" t="s">
        <v>7</v>
      </c>
    </row>
    <row r="810" spans="1:447" x14ac:dyDescent="0.25">
      <c r="A810" s="7">
        <v>1.2082636136674216E-2</v>
      </c>
      <c r="B810"/>
      <c r="C810"/>
      <c r="D810"/>
      <c r="E810"/>
      <c r="F810" s="27" t="s">
        <v>7</v>
      </c>
      <c r="PW810" s="27" t="s">
        <v>8</v>
      </c>
      <c r="PX810" s="27" t="s">
        <v>7</v>
      </c>
    </row>
    <row r="811" spans="1:447" x14ac:dyDescent="0.25">
      <c r="A811" s="7">
        <v>1.184572170262178E-2</v>
      </c>
      <c r="B811"/>
      <c r="C811"/>
      <c r="D811"/>
      <c r="E811"/>
      <c r="F811" s="27" t="s">
        <v>7</v>
      </c>
      <c r="PW811" s="27" t="s">
        <v>8</v>
      </c>
      <c r="PX811" s="27" t="s">
        <v>7</v>
      </c>
    </row>
    <row r="812" spans="1:447" x14ac:dyDescent="0.25">
      <c r="A812" s="7">
        <v>1.1613452649629196E-2</v>
      </c>
      <c r="B812"/>
      <c r="C812"/>
      <c r="D812"/>
      <c r="E812"/>
      <c r="F812" s="27" t="s">
        <v>7</v>
      </c>
      <c r="PW812" s="27" t="s">
        <v>8</v>
      </c>
      <c r="PX812" s="27" t="s">
        <v>7</v>
      </c>
    </row>
    <row r="813" spans="1:447" x14ac:dyDescent="0.25">
      <c r="A813" s="7">
        <v>1.138573789179333E-2</v>
      </c>
      <c r="B813"/>
      <c r="C813"/>
      <c r="D813"/>
      <c r="E813"/>
      <c r="F813" s="27" t="s">
        <v>7</v>
      </c>
      <c r="PW813" s="27" t="s">
        <v>8</v>
      </c>
      <c r="PX813" s="27" t="s">
        <v>7</v>
      </c>
    </row>
    <row r="814" spans="1:447" x14ac:dyDescent="0.25">
      <c r="A814" s="7">
        <v>1.1162488129209149E-2</v>
      </c>
      <c r="B814"/>
      <c r="C814"/>
      <c r="D814"/>
      <c r="E814"/>
      <c r="F814" s="27" t="s">
        <v>7</v>
      </c>
      <c r="PW814" s="27" t="s">
        <v>8</v>
      </c>
      <c r="PX814" s="27" t="s">
        <v>7</v>
      </c>
    </row>
    <row r="815" spans="1:447" x14ac:dyDescent="0.25">
      <c r="A815" s="7">
        <v>1.0943615812950145E-2</v>
      </c>
      <c r="B815"/>
      <c r="C815"/>
      <c r="D815"/>
      <c r="E815"/>
      <c r="F815" s="27" t="s">
        <v>7</v>
      </c>
      <c r="PW815" s="27" t="s">
        <v>8</v>
      </c>
      <c r="PX815" s="27" t="s">
        <v>7</v>
      </c>
    </row>
    <row r="816" spans="1:447" x14ac:dyDescent="0.25">
      <c r="A816" s="7">
        <v>1.0729035110735436E-2</v>
      </c>
      <c r="B816"/>
      <c r="C816"/>
      <c r="D816"/>
      <c r="E816"/>
      <c r="F816" s="27" t="s">
        <v>7</v>
      </c>
      <c r="PW816" s="27" t="s">
        <v>8</v>
      </c>
      <c r="PX816" s="27" t="s">
        <v>7</v>
      </c>
      <c r="QE816" s="27" t="s">
        <v>8</v>
      </c>
    </row>
    <row r="817" spans="1:458" x14ac:dyDescent="0.25">
      <c r="A817" s="7">
        <v>1.0518661873270036E-2</v>
      </c>
      <c r="B817"/>
      <c r="C817"/>
      <c r="D817"/>
      <c r="E817"/>
      <c r="F817" s="27" t="s">
        <v>7</v>
      </c>
      <c r="PW817" s="27" t="s">
        <v>8</v>
      </c>
      <c r="PX817" s="27" t="s">
        <v>7</v>
      </c>
      <c r="QE817" s="27" t="s">
        <v>8</v>
      </c>
      <c r="QF817" s="27" t="s">
        <v>7</v>
      </c>
    </row>
    <row r="818" spans="1:458" x14ac:dyDescent="0.25">
      <c r="A818" s="7">
        <v>1.0312413601245135E-2</v>
      </c>
      <c r="B818"/>
      <c r="C818"/>
      <c r="D818"/>
      <c r="E818"/>
      <c r="F818" s="27" t="s">
        <v>7</v>
      </c>
      <c r="PW818" s="27" t="s">
        <v>8</v>
      </c>
      <c r="PX818" s="27" t="s">
        <v>7</v>
      </c>
      <c r="QE818" s="27" t="s">
        <v>8</v>
      </c>
      <c r="QF818" s="27" t="s">
        <v>7</v>
      </c>
    </row>
    <row r="819" spans="1:458" x14ac:dyDescent="0.25">
      <c r="A819" s="7">
        <v>1.0110209412985426E-2</v>
      </c>
      <c r="B819"/>
      <c r="C819"/>
      <c r="D819"/>
      <c r="E819"/>
      <c r="F819" s="27" t="s">
        <v>7</v>
      </c>
      <c r="PW819" s="27" t="s">
        <v>8</v>
      </c>
      <c r="PX819" s="27" t="s">
        <v>7</v>
      </c>
      <c r="QE819" s="27" t="s">
        <v>8</v>
      </c>
      <c r="QF819" s="27" t="s">
        <v>7</v>
      </c>
    </row>
    <row r="820" spans="1:458" x14ac:dyDescent="0.25">
      <c r="A820" s="7">
        <v>9.9119700127308103E-3</v>
      </c>
      <c r="B820"/>
      <c r="C820"/>
      <c r="D820"/>
      <c r="E820"/>
      <c r="F820" s="27" t="s">
        <v>7</v>
      </c>
      <c r="PW820" s="27" t="s">
        <v>8</v>
      </c>
      <c r="PX820" s="27" t="s">
        <v>7</v>
      </c>
      <c r="PY820" s="27" t="s">
        <v>8</v>
      </c>
      <c r="QE820" s="27" t="s">
        <v>8</v>
      </c>
      <c r="QF820" s="27" t="s">
        <v>7</v>
      </c>
    </row>
    <row r="821" spans="1:458" x14ac:dyDescent="0.25">
      <c r="A821" s="7">
        <v>9.717617659540009E-3</v>
      </c>
      <c r="B821"/>
      <c r="C821"/>
      <c r="D821"/>
      <c r="E821"/>
      <c r="F821" s="27" t="s">
        <v>7</v>
      </c>
      <c r="PW821" s="27" t="s">
        <v>8</v>
      </c>
      <c r="PX821" s="27" t="s">
        <v>7</v>
      </c>
      <c r="PY821" s="27" t="s">
        <v>8</v>
      </c>
      <c r="PZ821" s="27" t="s">
        <v>7</v>
      </c>
      <c r="QE821" s="27" t="s">
        <v>8</v>
      </c>
      <c r="QF821" s="27" t="s">
        <v>7</v>
      </c>
    </row>
    <row r="822" spans="1:458" x14ac:dyDescent="0.25">
      <c r="A822" s="7">
        <v>9.5270761368039299E-3</v>
      </c>
      <c r="B822"/>
      <c r="C822"/>
      <c r="D822"/>
      <c r="E822"/>
      <c r="F822" s="27" t="s">
        <v>7</v>
      </c>
      <c r="PW822" s="27" t="s">
        <v>8</v>
      </c>
      <c r="PX822" s="27" t="s">
        <v>7</v>
      </c>
      <c r="PY822" s="27" t="s">
        <v>8</v>
      </c>
      <c r="PZ822" s="27" t="s">
        <v>7</v>
      </c>
      <c r="QE822" s="27" t="s">
        <v>8</v>
      </c>
      <c r="QF822" s="27" t="s">
        <v>7</v>
      </c>
    </row>
    <row r="823" spans="1:458" x14ac:dyDescent="0.25">
      <c r="A823" s="7">
        <v>9.3402707223567936E-3</v>
      </c>
      <c r="B823"/>
      <c r="C823"/>
      <c r="D823"/>
      <c r="E823"/>
      <c r="F823" s="27" t="s">
        <v>7</v>
      </c>
      <c r="PW823" s="27" t="s">
        <v>8</v>
      </c>
      <c r="PX823" s="27" t="s">
        <v>7</v>
      </c>
      <c r="PY823" s="27" t="s">
        <v>8</v>
      </c>
      <c r="PZ823" s="27" t="s">
        <v>7</v>
      </c>
      <c r="QE823" s="27" t="s">
        <v>8</v>
      </c>
      <c r="QF823" s="27" t="s">
        <v>7</v>
      </c>
    </row>
    <row r="824" spans="1:458" x14ac:dyDescent="0.25">
      <c r="A824" s="7">
        <v>9.1571281591733261E-3</v>
      </c>
      <c r="B824"/>
      <c r="C824"/>
      <c r="D824"/>
      <c r="E824"/>
      <c r="F824" s="27" t="s">
        <v>7</v>
      </c>
      <c r="PW824" s="27" t="s">
        <v>8</v>
      </c>
      <c r="PX824" s="27" t="s">
        <v>7</v>
      </c>
      <c r="PY824" s="27" t="s">
        <v>8</v>
      </c>
      <c r="PZ824" s="27" t="s">
        <v>7</v>
      </c>
      <c r="QE824" s="27" t="s">
        <v>8</v>
      </c>
      <c r="QF824" s="27" t="s">
        <v>7</v>
      </c>
      <c r="QO824" s="27" t="s">
        <v>8</v>
      </c>
    </row>
    <row r="825" spans="1:458" x14ac:dyDescent="0.25">
      <c r="A825" s="7">
        <v>8.9775766266405148E-3</v>
      </c>
      <c r="B825"/>
      <c r="C825"/>
      <c r="D825"/>
      <c r="E825"/>
      <c r="F825" s="27" t="s">
        <v>7</v>
      </c>
      <c r="PW825" s="27" t="s">
        <v>8</v>
      </c>
      <c r="PX825" s="27" t="s">
        <v>7</v>
      </c>
      <c r="PY825" s="27" t="s">
        <v>8</v>
      </c>
      <c r="PZ825" s="27" t="s">
        <v>7</v>
      </c>
      <c r="QE825" s="27" t="s">
        <v>8</v>
      </c>
      <c r="QF825" s="27" t="s">
        <v>7</v>
      </c>
      <c r="QO825" s="27" t="s">
        <v>8</v>
      </c>
      <c r="QP825" s="27" t="s">
        <v>7</v>
      </c>
    </row>
    <row r="826" spans="1:458" x14ac:dyDescent="0.25">
      <c r="A826" s="7">
        <v>8.8015457123926614E-3</v>
      </c>
      <c r="B826"/>
      <c r="C826"/>
      <c r="D826"/>
      <c r="E826"/>
      <c r="F826" s="27" t="s">
        <v>7</v>
      </c>
      <c r="PW826" s="27" t="s">
        <v>8</v>
      </c>
      <c r="PX826" s="27" t="s">
        <v>7</v>
      </c>
      <c r="PY826" s="27" t="s">
        <v>8</v>
      </c>
      <c r="PZ826" s="27" t="s">
        <v>7</v>
      </c>
      <c r="QE826" s="27" t="s">
        <v>8</v>
      </c>
      <c r="QF826" s="27" t="s">
        <v>7</v>
      </c>
      <c r="QO826" s="27" t="s">
        <v>8</v>
      </c>
      <c r="QP826" s="27" t="s">
        <v>7</v>
      </c>
    </row>
    <row r="827" spans="1:458" x14ac:dyDescent="0.25">
      <c r="A827" s="7">
        <v>8.6289663846986879E-3</v>
      </c>
      <c r="B827"/>
      <c r="C827"/>
      <c r="D827"/>
      <c r="E827"/>
      <c r="F827" s="27" t="s">
        <v>7</v>
      </c>
      <c r="PW827" s="27" t="s">
        <v>8</v>
      </c>
      <c r="PX827" s="27" t="s">
        <v>7</v>
      </c>
      <c r="PY827" s="27" t="s">
        <v>8</v>
      </c>
      <c r="PZ827" s="27" t="s">
        <v>7</v>
      </c>
      <c r="QC827" s="27" t="s">
        <v>8</v>
      </c>
      <c r="QE827" s="27" t="s">
        <v>8</v>
      </c>
      <c r="QF827" s="27" t="s">
        <v>7</v>
      </c>
      <c r="QO827" s="27" t="s">
        <v>8</v>
      </c>
      <c r="QP827" s="27" t="s">
        <v>7</v>
      </c>
    </row>
    <row r="828" spans="1:458" x14ac:dyDescent="0.25">
      <c r="A828" s="7">
        <v>8.4597709653908715E-3</v>
      </c>
      <c r="B828"/>
      <c r="C828"/>
      <c r="D828"/>
      <c r="E828"/>
      <c r="F828" s="27" t="s">
        <v>7</v>
      </c>
      <c r="PW828" s="27" t="s">
        <v>8</v>
      </c>
      <c r="PX828" s="27" t="s">
        <v>7</v>
      </c>
      <c r="PY828" s="27" t="s">
        <v>8</v>
      </c>
      <c r="PZ828" s="27" t="s">
        <v>7</v>
      </c>
      <c r="QA828" s="27" t="s">
        <v>8</v>
      </c>
      <c r="QC828" s="27" t="s">
        <v>8</v>
      </c>
      <c r="QD828" s="27" t="s">
        <v>7</v>
      </c>
      <c r="QE828" s="27" t="s">
        <v>8</v>
      </c>
      <c r="QF828" s="27" t="s">
        <v>7</v>
      </c>
      <c r="QO828" s="27" t="s">
        <v>8</v>
      </c>
      <c r="QP828" s="27" t="s">
        <v>7</v>
      </c>
    </row>
    <row r="829" spans="1:458" x14ac:dyDescent="0.25">
      <c r="A829" s="7">
        <v>8.2938931033243839E-3</v>
      </c>
      <c r="B829"/>
      <c r="C829"/>
      <c r="D829"/>
      <c r="E829"/>
      <c r="F829" s="27" t="s">
        <v>7</v>
      </c>
      <c r="PW829" s="27" t="s">
        <v>8</v>
      </c>
      <c r="PX829" s="27" t="s">
        <v>7</v>
      </c>
      <c r="PY829" s="27" t="s">
        <v>8</v>
      </c>
      <c r="PZ829" s="27" t="s">
        <v>7</v>
      </c>
      <c r="QA829" s="27" t="s">
        <v>8</v>
      </c>
      <c r="QB829" s="27" t="s">
        <v>7</v>
      </c>
      <c r="QC829" s="27" t="s">
        <v>8</v>
      </c>
      <c r="QD829" s="27" t="s">
        <v>7</v>
      </c>
      <c r="QE829" s="27" t="s">
        <v>8</v>
      </c>
      <c r="QF829" s="27" t="s">
        <v>7</v>
      </c>
      <c r="QG829" s="27" t="s">
        <v>8</v>
      </c>
      <c r="QO829" s="27" t="s">
        <v>8</v>
      </c>
      <c r="QP829" s="27" t="s">
        <v>7</v>
      </c>
    </row>
    <row r="830" spans="1:458" x14ac:dyDescent="0.25">
      <c r="A830" s="7">
        <v>8.1312677483572383E-3</v>
      </c>
      <c r="B830"/>
      <c r="C830"/>
      <c r="D830"/>
      <c r="E830"/>
      <c r="F830" s="27" t="s">
        <v>7</v>
      </c>
      <c r="PW830" s="27" t="s">
        <v>8</v>
      </c>
      <c r="PX830" s="27" t="s">
        <v>7</v>
      </c>
      <c r="PY830" s="27" t="s">
        <v>8</v>
      </c>
      <c r="PZ830" s="27" t="s">
        <v>7</v>
      </c>
      <c r="QA830" s="27" t="s">
        <v>8</v>
      </c>
      <c r="QB830" s="27" t="s">
        <v>7</v>
      </c>
      <c r="QC830" s="27" t="s">
        <v>8</v>
      </c>
      <c r="QD830" s="27" t="s">
        <v>7</v>
      </c>
      <c r="QE830" s="27" t="s">
        <v>8</v>
      </c>
      <c r="QF830" s="27" t="s">
        <v>7</v>
      </c>
      <c r="QG830" s="27" t="s">
        <v>8</v>
      </c>
      <c r="QH830" s="27" t="s">
        <v>7</v>
      </c>
      <c r="QO830" s="27" t="s">
        <v>8</v>
      </c>
      <c r="QP830" s="27" t="s">
        <v>7</v>
      </c>
    </row>
    <row r="831" spans="1:458" x14ac:dyDescent="0.25">
      <c r="A831" s="7">
        <v>7.9718311258404305E-3</v>
      </c>
      <c r="B831"/>
      <c r="C831"/>
      <c r="D831"/>
      <c r="E831"/>
      <c r="F831" s="27" t="s">
        <v>7</v>
      </c>
      <c r="PW831" s="27" t="s">
        <v>8</v>
      </c>
      <c r="PX831" s="27" t="s">
        <v>7</v>
      </c>
      <c r="PY831" s="27" t="s">
        <v>8</v>
      </c>
      <c r="PZ831" s="27" t="s">
        <v>7</v>
      </c>
      <c r="QB831" s="27" t="s">
        <v>7</v>
      </c>
      <c r="QC831" s="27" t="s">
        <v>8</v>
      </c>
      <c r="QD831" s="27" t="s">
        <v>7</v>
      </c>
      <c r="QE831" s="27" t="s">
        <v>8</v>
      </c>
      <c r="QF831" s="27" t="s">
        <v>7</v>
      </c>
      <c r="QG831" s="27" t="s">
        <v>8</v>
      </c>
      <c r="QH831" s="27" t="s">
        <v>7</v>
      </c>
      <c r="QO831" s="27" t="s">
        <v>8</v>
      </c>
      <c r="QP831" s="27" t="s">
        <v>7</v>
      </c>
    </row>
    <row r="832" spans="1:458" x14ac:dyDescent="0.25">
      <c r="A832" s="7">
        <v>7.8155207116082648E-3</v>
      </c>
      <c r="B832"/>
      <c r="C832"/>
      <c r="D832"/>
      <c r="E832"/>
      <c r="F832" s="27" t="s">
        <v>7</v>
      </c>
      <c r="PW832" s="27" t="s">
        <v>8</v>
      </c>
      <c r="PX832" s="27" t="s">
        <v>7</v>
      </c>
      <c r="PY832" s="27" t="s">
        <v>8</v>
      </c>
      <c r="QB832" s="27" t="s">
        <v>7</v>
      </c>
      <c r="QC832" s="27" t="s">
        <v>8</v>
      </c>
      <c r="QD832" s="27" t="s">
        <v>7</v>
      </c>
      <c r="QE832" s="27" t="s">
        <v>8</v>
      </c>
      <c r="QF832" s="27" t="s">
        <v>7</v>
      </c>
      <c r="QG832" s="27" t="s">
        <v>8</v>
      </c>
      <c r="QH832" s="27" t="s">
        <v>7</v>
      </c>
      <c r="QI832" s="27" t="s">
        <v>8</v>
      </c>
      <c r="QK832" s="27" t="s">
        <v>8</v>
      </c>
      <c r="QO832" s="27" t="s">
        <v>8</v>
      </c>
      <c r="QP832" s="27" t="s">
        <v>7</v>
      </c>
    </row>
    <row r="833" spans="1:462" x14ac:dyDescent="0.25">
      <c r="A833" s="7">
        <v>7.6622752074590825E-3</v>
      </c>
      <c r="B833"/>
      <c r="C833"/>
      <c r="D833"/>
      <c r="E833"/>
      <c r="F833" s="27" t="s">
        <v>7</v>
      </c>
      <c r="PW833" s="27" t="s">
        <v>8</v>
      </c>
      <c r="PX833" s="27" t="s">
        <v>7</v>
      </c>
      <c r="PY833" s="27" t="s">
        <v>8</v>
      </c>
      <c r="QB833" s="27" t="s">
        <v>7</v>
      </c>
      <c r="QC833" s="27" t="s">
        <v>8</v>
      </c>
      <c r="QD833" s="27" t="s">
        <v>7</v>
      </c>
      <c r="QE833" s="27" t="s">
        <v>8</v>
      </c>
      <c r="QF833" s="27" t="s">
        <v>7</v>
      </c>
      <c r="QG833" s="27" t="s">
        <v>8</v>
      </c>
      <c r="QH833" s="27" t="s">
        <v>7</v>
      </c>
      <c r="QI833" s="27" t="s">
        <v>8</v>
      </c>
      <c r="QJ833" s="27" t="s">
        <v>7</v>
      </c>
      <c r="QK833" s="27" t="s">
        <v>8</v>
      </c>
      <c r="QL833" s="27" t="s">
        <v>7</v>
      </c>
      <c r="QO833" s="27" t="s">
        <v>8</v>
      </c>
      <c r="QP833" s="27" t="s">
        <v>7</v>
      </c>
    </row>
    <row r="834" spans="1:462" x14ac:dyDescent="0.25">
      <c r="A834" s="7">
        <v>7.5120345171167469E-3</v>
      </c>
      <c r="B834"/>
      <c r="C834"/>
      <c r="D834"/>
      <c r="E834"/>
      <c r="F834" s="27" t="s">
        <v>7</v>
      </c>
      <c r="PW834" s="27" t="s">
        <v>8</v>
      </c>
      <c r="PX834" s="27" t="s">
        <v>7</v>
      </c>
      <c r="QB834" s="27" t="s">
        <v>7</v>
      </c>
      <c r="QC834" s="27" t="s">
        <v>8</v>
      </c>
      <c r="QD834" s="27" t="s">
        <v>7</v>
      </c>
      <c r="QE834" s="27" t="s">
        <v>8</v>
      </c>
      <c r="QF834" s="27" t="s">
        <v>7</v>
      </c>
      <c r="QG834" s="27" t="s">
        <v>8</v>
      </c>
      <c r="QH834" s="27" t="s">
        <v>7</v>
      </c>
      <c r="QI834" s="27" t="s">
        <v>8</v>
      </c>
      <c r="QJ834" s="27" t="s">
        <v>7</v>
      </c>
      <c r="QK834" s="27" t="s">
        <v>8</v>
      </c>
      <c r="QL834" s="27" t="s">
        <v>7</v>
      </c>
      <c r="QO834" s="27" t="s">
        <v>8</v>
      </c>
      <c r="QP834" s="27" t="s">
        <v>7</v>
      </c>
    </row>
    <row r="835" spans="1:462" x14ac:dyDescent="0.25">
      <c r="A835" s="7">
        <v>7.3647397226634772E-3</v>
      </c>
      <c r="B835"/>
      <c r="C835"/>
      <c r="D835"/>
      <c r="E835"/>
      <c r="F835" s="27" t="s">
        <v>7</v>
      </c>
      <c r="PW835" s="27" t="s">
        <v>8</v>
      </c>
      <c r="QB835" s="27" t="s">
        <v>7</v>
      </c>
      <c r="QC835" s="27" t="s">
        <v>8</v>
      </c>
      <c r="QD835" s="27" t="s">
        <v>7</v>
      </c>
      <c r="QF835" s="27" t="s">
        <v>7</v>
      </c>
      <c r="QG835" s="27" t="s">
        <v>8</v>
      </c>
      <c r="QH835" s="27" t="s">
        <v>7</v>
      </c>
      <c r="QI835" s="27" t="s">
        <v>8</v>
      </c>
      <c r="QJ835" s="27" t="s">
        <v>7</v>
      </c>
      <c r="QK835" s="27" t="s">
        <v>8</v>
      </c>
      <c r="QL835" s="27" t="s">
        <v>7</v>
      </c>
      <c r="QM835" s="27" t="s">
        <v>8</v>
      </c>
      <c r="QO835" s="27" t="s">
        <v>8</v>
      </c>
      <c r="QP835" s="27" t="s">
        <v>7</v>
      </c>
    </row>
    <row r="836" spans="1:462" x14ac:dyDescent="0.25">
      <c r="A836" s="7">
        <v>7.2203330614347815E-3</v>
      </c>
      <c r="B836"/>
      <c r="C836"/>
      <c r="D836"/>
      <c r="E836"/>
      <c r="F836" s="27" t="s">
        <v>7</v>
      </c>
      <c r="PW836" s="27" t="s">
        <v>8</v>
      </c>
      <c r="QB836" s="27" t="s">
        <v>7</v>
      </c>
      <c r="QC836" s="27" t="s">
        <v>8</v>
      </c>
      <c r="QF836" s="27" t="s">
        <v>7</v>
      </c>
      <c r="QG836" s="27" t="s">
        <v>8</v>
      </c>
      <c r="QH836" s="27" t="s">
        <v>7</v>
      </c>
      <c r="QI836" s="27" t="s">
        <v>8</v>
      </c>
      <c r="QJ836" s="27" t="s">
        <v>7</v>
      </c>
      <c r="QK836" s="27" t="s">
        <v>8</v>
      </c>
      <c r="QL836" s="27" t="s">
        <v>7</v>
      </c>
      <c r="QM836" s="27" t="s">
        <v>8</v>
      </c>
      <c r="QN836" s="27" t="s">
        <v>7</v>
      </c>
      <c r="QO836" s="27" t="s">
        <v>8</v>
      </c>
      <c r="QP836" s="27" t="s">
        <v>7</v>
      </c>
    </row>
    <row r="837" spans="1:462" x14ac:dyDescent="0.25">
      <c r="A837" s="7">
        <v>7.0787579033674327E-3</v>
      </c>
      <c r="B837"/>
      <c r="C837"/>
      <c r="D837"/>
      <c r="E837"/>
      <c r="F837" s="27" t="s">
        <v>7</v>
      </c>
      <c r="PW837" s="27" t="s">
        <v>8</v>
      </c>
      <c r="QB837" s="27" t="s">
        <v>7</v>
      </c>
      <c r="QF837" s="27" t="s">
        <v>7</v>
      </c>
      <c r="QH837" s="27" t="s">
        <v>7</v>
      </c>
      <c r="QI837" s="27" t="s">
        <v>8</v>
      </c>
      <c r="QJ837" s="27" t="s">
        <v>7</v>
      </c>
      <c r="QK837" s="27" t="s">
        <v>8</v>
      </c>
      <c r="QL837" s="27" t="s">
        <v>7</v>
      </c>
      <c r="QM837" s="27" t="s">
        <v>8</v>
      </c>
      <c r="QN837" s="27" t="s">
        <v>7</v>
      </c>
      <c r="QO837" s="27" t="s">
        <v>8</v>
      </c>
      <c r="QP837" s="27" t="s">
        <v>7</v>
      </c>
    </row>
    <row r="838" spans="1:462" x14ac:dyDescent="0.25">
      <c r="A838" s="7">
        <v>6.9399587287916013E-3</v>
      </c>
      <c r="B838"/>
      <c r="C838"/>
      <c r="D838"/>
      <c r="E838"/>
      <c r="F838" s="27" t="s">
        <v>7</v>
      </c>
      <c r="PW838" s="27" t="s">
        <v>8</v>
      </c>
      <c r="QH838" s="27" t="s">
        <v>7</v>
      </c>
      <c r="QI838" s="27" t="s">
        <v>8</v>
      </c>
      <c r="QJ838" s="27" t="s">
        <v>7</v>
      </c>
      <c r="QK838" s="27" t="s">
        <v>8</v>
      </c>
      <c r="QL838" s="27" t="s">
        <v>7</v>
      </c>
      <c r="QM838" s="27" t="s">
        <v>8</v>
      </c>
      <c r="QN838" s="27" t="s">
        <v>7</v>
      </c>
      <c r="QO838" s="27" t="s">
        <v>8</v>
      </c>
      <c r="QP838" s="27" t="s">
        <v>7</v>
      </c>
      <c r="QQ838" s="27" t="s">
        <v>8</v>
      </c>
    </row>
    <row r="839" spans="1:462" x14ac:dyDescent="0.25">
      <c r="A839" s="7">
        <v>6.8038811066584333E-3</v>
      </c>
      <c r="B839"/>
      <c r="C839"/>
      <c r="D839"/>
      <c r="E839"/>
      <c r="F839" s="27" t="s">
        <v>7</v>
      </c>
      <c r="PW839" s="27" t="s">
        <v>8</v>
      </c>
      <c r="QH839" s="27" t="s">
        <v>7</v>
      </c>
      <c r="QI839" s="27" t="s">
        <v>8</v>
      </c>
      <c r="QJ839" s="27" t="s">
        <v>7</v>
      </c>
      <c r="QK839" s="27" t="s">
        <v>8</v>
      </c>
      <c r="QL839" s="27" t="s">
        <v>7</v>
      </c>
      <c r="QN839" s="27" t="s">
        <v>7</v>
      </c>
      <c r="QO839" s="27" t="s">
        <v>8</v>
      </c>
      <c r="QP839" s="27" t="s">
        <v>7</v>
      </c>
      <c r="QQ839" s="27" t="s">
        <v>8</v>
      </c>
      <c r="QR839" s="27" t="s">
        <v>7</v>
      </c>
    </row>
    <row r="840" spans="1:462" x14ac:dyDescent="0.25">
      <c r="A840" s="7">
        <v>6.6704716731945425E-3</v>
      </c>
      <c r="B840"/>
      <c r="C840"/>
      <c r="D840"/>
      <c r="E840"/>
      <c r="F840" s="27" t="s">
        <v>7</v>
      </c>
      <c r="PW840" s="27" t="s">
        <v>8</v>
      </c>
      <c r="QH840" s="27" t="s">
        <v>7</v>
      </c>
      <c r="QI840" s="27" t="s">
        <v>8</v>
      </c>
      <c r="QJ840" s="27" t="s">
        <v>7</v>
      </c>
      <c r="QK840" s="27" t="s">
        <v>8</v>
      </c>
      <c r="QN840" s="27" t="s">
        <v>7</v>
      </c>
      <c r="QO840" s="27" t="s">
        <v>8</v>
      </c>
      <c r="QP840" s="27" t="s">
        <v>7</v>
      </c>
      <c r="QQ840" s="27" t="s">
        <v>8</v>
      </c>
      <c r="QR840" s="27" t="s">
        <v>7</v>
      </c>
    </row>
    <row r="841" spans="1:462" x14ac:dyDescent="0.25">
      <c r="A841" s="7">
        <v>6.5396781109750427E-3</v>
      </c>
      <c r="B841"/>
      <c r="C841"/>
      <c r="D841"/>
      <c r="E841"/>
      <c r="F841" s="27" t="s">
        <v>7</v>
      </c>
      <c r="PW841" s="27" t="s">
        <v>8</v>
      </c>
      <c r="QH841" s="27" t="s">
        <v>7</v>
      </c>
      <c r="QI841" s="27" t="s">
        <v>8</v>
      </c>
      <c r="QJ841" s="27" t="s">
        <v>7</v>
      </c>
      <c r="QK841" s="27" t="s">
        <v>8</v>
      </c>
      <c r="QN841" s="27" t="s">
        <v>7</v>
      </c>
      <c r="QO841" s="27" t="s">
        <v>8</v>
      </c>
      <c r="QP841" s="27" t="s">
        <v>7</v>
      </c>
      <c r="QQ841" s="27" t="s">
        <v>8</v>
      </c>
      <c r="QR841" s="27" t="s">
        <v>7</v>
      </c>
    </row>
    <row r="842" spans="1:462" x14ac:dyDescent="0.25">
      <c r="A842" s="7">
        <v>6.4114491284069045E-3</v>
      </c>
      <c r="B842"/>
      <c r="C842"/>
      <c r="D842"/>
      <c r="E842"/>
      <c r="F842" s="27" t="s">
        <v>7</v>
      </c>
      <c r="PW842" s="27" t="s">
        <v>8</v>
      </c>
      <c r="QH842" s="27" t="s">
        <v>7</v>
      </c>
      <c r="QI842" s="27" t="s">
        <v>8</v>
      </c>
      <c r="QJ842" s="27" t="s">
        <v>7</v>
      </c>
      <c r="QK842" s="27" t="s">
        <v>8</v>
      </c>
      <c r="QN842" s="27" t="s">
        <v>7</v>
      </c>
      <c r="QO842" s="27" t="s">
        <v>8</v>
      </c>
      <c r="QP842" s="27" t="s">
        <v>7</v>
      </c>
      <c r="QQ842" s="27" t="s">
        <v>8</v>
      </c>
      <c r="QR842" s="27" t="s">
        <v>7</v>
      </c>
    </row>
    <row r="843" spans="1:462" x14ac:dyDescent="0.25">
      <c r="A843" s="7">
        <v>6.2857344396146115E-3</v>
      </c>
      <c r="B843"/>
      <c r="C843"/>
      <c r="D843"/>
      <c r="E843"/>
      <c r="F843" s="27" t="s">
        <v>7</v>
      </c>
      <c r="PW843" s="27" t="s">
        <v>8</v>
      </c>
      <c r="QH843" s="27" t="s">
        <v>7</v>
      </c>
      <c r="QI843" s="27" t="s">
        <v>8</v>
      </c>
      <c r="QJ843" s="27" t="s">
        <v>7</v>
      </c>
      <c r="QK843" s="27" t="s">
        <v>8</v>
      </c>
      <c r="QN843" s="27" t="s">
        <v>7</v>
      </c>
      <c r="QP843" s="27" t="s">
        <v>7</v>
      </c>
      <c r="QQ843" s="27" t="s">
        <v>8</v>
      </c>
      <c r="QR843" s="27" t="s">
        <v>7</v>
      </c>
    </row>
    <row r="844" spans="1:462" x14ac:dyDescent="0.25">
      <c r="A844" s="7">
        <v>6.1624847447202076E-3</v>
      </c>
      <c r="B844"/>
      <c r="C844"/>
      <c r="D844"/>
      <c r="E844"/>
      <c r="F844" s="27" t="s">
        <v>7</v>
      </c>
      <c r="PW844" s="27" t="s">
        <v>8</v>
      </c>
      <c r="QH844" s="27" t="s">
        <v>7</v>
      </c>
      <c r="QI844" s="27" t="s">
        <v>8</v>
      </c>
      <c r="QJ844" s="27" t="s">
        <v>7</v>
      </c>
      <c r="QK844" s="27" t="s">
        <v>8</v>
      </c>
      <c r="QP844" s="27" t="s">
        <v>7</v>
      </c>
      <c r="QQ844" s="27" t="s">
        <v>8</v>
      </c>
      <c r="QR844" s="27" t="s">
        <v>7</v>
      </c>
      <c r="QS844" s="27" t="s">
        <v>8</v>
      </c>
    </row>
    <row r="845" spans="1:462" x14ac:dyDescent="0.25">
      <c r="A845" s="7">
        <v>6.0416517105100079E-3</v>
      </c>
      <c r="B845"/>
      <c r="C845"/>
      <c r="D845"/>
      <c r="E845"/>
      <c r="F845" s="27" t="s">
        <v>7</v>
      </c>
      <c r="PW845" s="27" t="s">
        <v>8</v>
      </c>
      <c r="QH845" s="27" t="s">
        <v>7</v>
      </c>
      <c r="QI845" s="27" t="s">
        <v>8</v>
      </c>
      <c r="QJ845" s="27" t="s">
        <v>7</v>
      </c>
      <c r="QK845" s="27" t="s">
        <v>8</v>
      </c>
      <c r="QP845" s="27" t="s">
        <v>7</v>
      </c>
      <c r="QQ845" s="27" t="s">
        <v>8</v>
      </c>
      <c r="QR845" s="27" t="s">
        <v>7</v>
      </c>
      <c r="QS845" s="27" t="s">
        <v>8</v>
      </c>
      <c r="QT845" s="27" t="s">
        <v>7</v>
      </c>
    </row>
    <row r="846" spans="1:462" x14ac:dyDescent="0.25">
      <c r="A846" s="7">
        <v>5.9231879514803996E-3</v>
      </c>
      <c r="B846"/>
      <c r="C846"/>
      <c r="D846"/>
      <c r="E846"/>
      <c r="F846" s="27" t="s">
        <v>7</v>
      </c>
      <c r="PW846" s="27" t="s">
        <v>8</v>
      </c>
      <c r="QH846" s="27" t="s">
        <v>7</v>
      </c>
      <c r="QI846" s="27" t="s">
        <v>8</v>
      </c>
      <c r="QJ846" s="27" t="s">
        <v>7</v>
      </c>
      <c r="QK846" s="27" t="s">
        <v>8</v>
      </c>
      <c r="QP846" s="27" t="s">
        <v>7</v>
      </c>
      <c r="QQ846" s="27" t="s">
        <v>8</v>
      </c>
      <c r="QR846" s="27" t="s">
        <v>7</v>
      </c>
      <c r="QS846" s="27" t="s">
        <v>8</v>
      </c>
      <c r="QT846" s="27" t="s">
        <v>7</v>
      </c>
    </row>
    <row r="847" spans="1:462" x14ac:dyDescent="0.25">
      <c r="A847" s="7">
        <v>5.8070470112552936E-3</v>
      </c>
      <c r="B847"/>
      <c r="C847"/>
      <c r="D847"/>
      <c r="E847"/>
      <c r="F847" s="27" t="s">
        <v>7</v>
      </c>
      <c r="PW847" s="27" t="s">
        <v>8</v>
      </c>
      <c r="QH847" s="27" t="s">
        <v>7</v>
      </c>
      <c r="QI847" s="27" t="s">
        <v>8</v>
      </c>
      <c r="QJ847" s="27" t="s">
        <v>7</v>
      </c>
      <c r="QP847" s="27" t="s">
        <v>7</v>
      </c>
      <c r="QR847" s="27" t="s">
        <v>7</v>
      </c>
      <c r="QS847" s="27" t="s">
        <v>8</v>
      </c>
      <c r="QT847" s="27" t="s">
        <v>7</v>
      </c>
    </row>
    <row r="848" spans="1:462" x14ac:dyDescent="0.25">
      <c r="A848" s="7">
        <v>5.6931833443679353E-3</v>
      </c>
      <c r="B848"/>
      <c r="C848"/>
      <c r="D848"/>
      <c r="E848"/>
      <c r="F848" s="27" t="s">
        <v>7</v>
      </c>
      <c r="PW848" s="27" t="s">
        <v>8</v>
      </c>
      <c r="QH848" s="27" t="s">
        <v>7</v>
      </c>
      <c r="QI848" s="27" t="s">
        <v>8</v>
      </c>
      <c r="QR848" s="27" t="s">
        <v>7</v>
      </c>
      <c r="QS848" s="27" t="s">
        <v>8</v>
      </c>
      <c r="QT848" s="27" t="s">
        <v>7</v>
      </c>
    </row>
    <row r="849" spans="1:549" x14ac:dyDescent="0.25">
      <c r="A849" s="7">
        <v>5.5815522983999367E-3</v>
      </c>
      <c r="B849"/>
      <c r="C849"/>
      <c r="D849"/>
      <c r="E849"/>
      <c r="F849" s="27" t="s">
        <v>7</v>
      </c>
      <c r="PW849" s="27" t="s">
        <v>8</v>
      </c>
      <c r="QH849" s="27" t="s">
        <v>7</v>
      </c>
      <c r="QI849" s="27" t="s">
        <v>8</v>
      </c>
      <c r="QR849" s="27" t="s">
        <v>7</v>
      </c>
      <c r="QS849" s="27" t="s">
        <v>8</v>
      </c>
      <c r="QT849" s="27" t="s">
        <v>7</v>
      </c>
      <c r="QU849" s="27" t="s">
        <v>8</v>
      </c>
    </row>
    <row r="850" spans="1:549" x14ac:dyDescent="0.25">
      <c r="A850" s="7">
        <v>5.4721100964705257E-3</v>
      </c>
      <c r="B850"/>
      <c r="C850"/>
      <c r="D850"/>
      <c r="E850"/>
      <c r="F850" s="27" t="s">
        <v>7</v>
      </c>
      <c r="PW850" s="27" t="s">
        <v>8</v>
      </c>
      <c r="QH850" s="27" t="s">
        <v>7</v>
      </c>
      <c r="QI850" s="27" t="s">
        <v>8</v>
      </c>
      <c r="QR850" s="27" t="s">
        <v>7</v>
      </c>
      <c r="QS850" s="27" t="s">
        <v>8</v>
      </c>
      <c r="QT850" s="27" t="s">
        <v>7</v>
      </c>
      <c r="QU850" s="27" t="s">
        <v>8</v>
      </c>
      <c r="QV850" s="27" t="s">
        <v>7</v>
      </c>
    </row>
    <row r="851" spans="1:549" x14ac:dyDescent="0.25">
      <c r="A851" s="7">
        <v>5.3648138200691423E-3</v>
      </c>
      <c r="B851"/>
      <c r="C851"/>
      <c r="D851"/>
      <c r="E851"/>
      <c r="F851" s="27" t="s">
        <v>7</v>
      </c>
      <c r="PW851" s="27" t="s">
        <v>8</v>
      </c>
      <c r="QH851" s="27" t="s">
        <v>7</v>
      </c>
      <c r="QI851" s="27" t="s">
        <v>8</v>
      </c>
      <c r="QR851" s="27" t="s">
        <v>7</v>
      </c>
      <c r="QS851" s="27" t="s">
        <v>8</v>
      </c>
      <c r="QT851" s="27" t="s">
        <v>7</v>
      </c>
      <c r="QU851" s="27" t="s">
        <v>8</v>
      </c>
      <c r="QV851" s="27" t="s">
        <v>7</v>
      </c>
    </row>
    <row r="852" spans="1:549" x14ac:dyDescent="0.25">
      <c r="A852" s="7">
        <v>5.2596213922246494E-3</v>
      </c>
      <c r="B852"/>
      <c r="C852"/>
      <c r="D852"/>
      <c r="E852"/>
      <c r="F852" s="27" t="s">
        <v>7</v>
      </c>
      <c r="PW852" s="27" t="s">
        <v>8</v>
      </c>
      <c r="QH852" s="27" t="s">
        <v>7</v>
      </c>
      <c r="QI852" s="27" t="s">
        <v>8</v>
      </c>
      <c r="QR852" s="27" t="s">
        <v>7</v>
      </c>
      <c r="QS852" s="27" t="s">
        <v>8</v>
      </c>
      <c r="QT852" s="27" t="s">
        <v>7</v>
      </c>
      <c r="QU852" s="27" t="s">
        <v>8</v>
      </c>
      <c r="QV852" s="27" t="s">
        <v>7</v>
      </c>
      <c r="SI852" s="27" t="s">
        <v>8</v>
      </c>
    </row>
    <row r="853" spans="1:549" x14ac:dyDescent="0.25">
      <c r="A853" s="7">
        <v>5.1564915610045588E-3</v>
      </c>
      <c r="B853"/>
      <c r="C853"/>
      <c r="D853"/>
      <c r="E853"/>
      <c r="F853" s="27" t="s">
        <v>7</v>
      </c>
      <c r="PW853" s="27" t="s">
        <v>8</v>
      </c>
      <c r="QH853" s="27" t="s">
        <v>7</v>
      </c>
      <c r="QI853" s="27" t="s">
        <v>8</v>
      </c>
      <c r="QR853" s="27" t="s">
        <v>7</v>
      </c>
      <c r="QT853" s="27" t="s">
        <v>7</v>
      </c>
      <c r="QV853" s="27" t="s">
        <v>7</v>
      </c>
      <c r="SI853" s="27" t="s">
        <v>8</v>
      </c>
      <c r="SJ853" s="27" t="s">
        <v>7</v>
      </c>
    </row>
    <row r="854" spans="1:549" x14ac:dyDescent="0.25">
      <c r="A854" s="7">
        <v>5.0553838833378023E-3</v>
      </c>
      <c r="B854"/>
      <c r="C854"/>
      <c r="D854"/>
      <c r="E854"/>
      <c r="F854" s="27" t="s">
        <v>7</v>
      </c>
      <c r="PW854" s="27" t="s">
        <v>8</v>
      </c>
      <c r="QH854" s="27" t="s">
        <v>7</v>
      </c>
      <c r="QI854" s="27" t="s">
        <v>8</v>
      </c>
      <c r="QV854" s="27" t="s">
        <v>7</v>
      </c>
      <c r="SI854" s="27" t="s">
        <v>8</v>
      </c>
      <c r="SJ854" s="27" t="s">
        <v>7</v>
      </c>
    </row>
    <row r="855" spans="1:549" x14ac:dyDescent="0.25">
      <c r="A855" s="7">
        <v>4.9562587091547079E-3</v>
      </c>
      <c r="B855"/>
      <c r="C855"/>
      <c r="D855"/>
      <c r="E855"/>
      <c r="F855" s="27" t="s">
        <v>7</v>
      </c>
      <c r="PW855" s="27" t="s">
        <v>8</v>
      </c>
      <c r="QH855" s="27" t="s">
        <v>7</v>
      </c>
      <c r="QI855" s="27" t="s">
        <v>8</v>
      </c>
      <c r="QV855" s="27" t="s">
        <v>7</v>
      </c>
      <c r="SC855" s="27" t="s">
        <v>8</v>
      </c>
      <c r="SI855" s="27" t="s">
        <v>8</v>
      </c>
      <c r="SJ855" s="27" t="s">
        <v>7</v>
      </c>
    </row>
    <row r="856" spans="1:549" x14ac:dyDescent="0.25">
      <c r="A856" s="7">
        <v>4.8590771658379491E-3</v>
      </c>
      <c r="B856"/>
      <c r="C856"/>
      <c r="D856"/>
      <c r="E856"/>
      <c r="F856" s="27" t="s">
        <v>7</v>
      </c>
      <c r="PW856" s="27" t="s">
        <v>8</v>
      </c>
      <c r="QH856" s="27" t="s">
        <v>7</v>
      </c>
      <c r="QI856" s="27" t="s">
        <v>8</v>
      </c>
      <c r="QV856" s="27" t="s">
        <v>7</v>
      </c>
      <c r="QW856" s="27" t="s">
        <v>8</v>
      </c>
      <c r="SA856" s="27" t="s">
        <v>8</v>
      </c>
      <c r="SC856" s="27" t="s">
        <v>8</v>
      </c>
      <c r="SD856" s="27" t="s">
        <v>7</v>
      </c>
      <c r="SI856" s="27" t="s">
        <v>8</v>
      </c>
      <c r="SJ856" s="27" t="s">
        <v>7</v>
      </c>
    </row>
    <row r="857" spans="1:549" x14ac:dyDescent="0.25">
      <c r="A857" s="7">
        <v>4.7638011429783815E-3</v>
      </c>
      <c r="B857"/>
      <c r="C857"/>
      <c r="D857"/>
      <c r="E857"/>
      <c r="F857" s="27" t="s">
        <v>7</v>
      </c>
      <c r="PW857" s="27" t="s">
        <v>8</v>
      </c>
      <c r="QH857" s="27" t="s">
        <v>7</v>
      </c>
      <c r="QI857" s="27" t="s">
        <v>8</v>
      </c>
      <c r="QV857" s="27" t="s">
        <v>7</v>
      </c>
      <c r="QW857" s="27" t="s">
        <v>8</v>
      </c>
      <c r="QX857" s="27" t="s">
        <v>7</v>
      </c>
      <c r="SA857" s="27" t="s">
        <v>8</v>
      </c>
      <c r="SB857" s="27" t="s">
        <v>7</v>
      </c>
      <c r="SC857" s="27" t="s">
        <v>8</v>
      </c>
      <c r="SD857" s="27" t="s">
        <v>7</v>
      </c>
      <c r="SI857" s="27" t="s">
        <v>8</v>
      </c>
      <c r="SJ857" s="27" t="s">
        <v>7</v>
      </c>
    </row>
    <row r="858" spans="1:549" x14ac:dyDescent="0.25">
      <c r="A858" s="7">
        <v>4.6703932774297859E-3</v>
      </c>
      <c r="B858"/>
      <c r="C858"/>
      <c r="D858"/>
      <c r="E858"/>
      <c r="F858" s="27" t="s">
        <v>7</v>
      </c>
      <c r="PW858" s="27" t="s">
        <v>8</v>
      </c>
      <c r="QH858" s="27" t="s">
        <v>7</v>
      </c>
      <c r="QI858" s="27" t="s">
        <v>8</v>
      </c>
      <c r="QV858" s="27" t="s">
        <v>7</v>
      </c>
      <c r="QW858" s="27" t="s">
        <v>8</v>
      </c>
      <c r="QX858" s="27" t="s">
        <v>7</v>
      </c>
      <c r="SA858" s="27" t="s">
        <v>8</v>
      </c>
      <c r="SB858" s="27" t="s">
        <v>7</v>
      </c>
      <c r="SC858" s="27" t="s">
        <v>8</v>
      </c>
      <c r="SD858" s="27" t="s">
        <v>7</v>
      </c>
      <c r="SI858" s="27" t="s">
        <v>8</v>
      </c>
      <c r="SJ858" s="27" t="s">
        <v>7</v>
      </c>
    </row>
    <row r="859" spans="1:549" x14ac:dyDescent="0.25">
      <c r="A859" s="7">
        <v>4.5788169386566527E-3</v>
      </c>
      <c r="B859"/>
      <c r="C859"/>
      <c r="D859"/>
      <c r="E859"/>
      <c r="F859" s="27" t="s">
        <v>7</v>
      </c>
      <c r="PW859" s="27" t="s">
        <v>8</v>
      </c>
      <c r="QH859" s="27" t="s">
        <v>7</v>
      </c>
      <c r="QI859" s="27" t="s">
        <v>8</v>
      </c>
      <c r="QV859" s="27" t="s">
        <v>7</v>
      </c>
      <c r="QW859" s="27" t="s">
        <v>8</v>
      </c>
      <c r="QX859" s="27" t="s">
        <v>7</v>
      </c>
      <c r="QY859" s="27" t="s">
        <v>8</v>
      </c>
      <c r="RA859" s="27" t="s">
        <v>8</v>
      </c>
      <c r="SA859" s="27" t="s">
        <v>8</v>
      </c>
      <c r="SB859" s="27" t="s">
        <v>7</v>
      </c>
      <c r="SD859" s="27" t="s">
        <v>7</v>
      </c>
      <c r="SE859" s="27" t="s">
        <v>8</v>
      </c>
      <c r="SI859" s="27" t="s">
        <v>8</v>
      </c>
      <c r="SJ859" s="27" t="s">
        <v>7</v>
      </c>
    </row>
    <row r="860" spans="1:549" x14ac:dyDescent="0.25">
      <c r="A860" s="7">
        <v>4.4890362143692672E-3</v>
      </c>
      <c r="B860"/>
      <c r="C860"/>
      <c r="D860"/>
      <c r="E860"/>
      <c r="F860" s="27" t="s">
        <v>7</v>
      </c>
      <c r="PW860" s="27" t="s">
        <v>8</v>
      </c>
      <c r="QH860" s="27" t="s">
        <v>7</v>
      </c>
      <c r="QI860" s="27" t="s">
        <v>8</v>
      </c>
      <c r="QV860" s="27" t="s">
        <v>7</v>
      </c>
      <c r="QW860" s="27" t="s">
        <v>8</v>
      </c>
      <c r="QX860" s="27" t="s">
        <v>7</v>
      </c>
      <c r="QY860" s="27" t="s">
        <v>8</v>
      </c>
      <c r="QZ860" s="27" t="s">
        <v>7</v>
      </c>
      <c r="RA860" s="27" t="s">
        <v>8</v>
      </c>
      <c r="RB860" s="27" t="s">
        <v>7</v>
      </c>
      <c r="SA860" s="27" t="s">
        <v>8</v>
      </c>
      <c r="SD860" s="27" t="s">
        <v>7</v>
      </c>
      <c r="SE860" s="27" t="s">
        <v>8</v>
      </c>
      <c r="SF860" s="27" t="s">
        <v>7</v>
      </c>
      <c r="SI860" s="27" t="s">
        <v>8</v>
      </c>
      <c r="SJ860" s="27" t="s">
        <v>7</v>
      </c>
      <c r="TI860" s="27" t="s">
        <v>8</v>
      </c>
    </row>
    <row r="861" spans="1:549" x14ac:dyDescent="0.25">
      <c r="A861" s="7">
        <v>4.4010158964404578E-3</v>
      </c>
      <c r="B861"/>
      <c r="C861"/>
      <c r="D861"/>
      <c r="E861"/>
      <c r="F861" s="27" t="s">
        <v>7</v>
      </c>
      <c r="PW861" s="27" t="s">
        <v>8</v>
      </c>
      <c r="QH861" s="27" t="s">
        <v>7</v>
      </c>
      <c r="QI861" s="27" t="s">
        <v>8</v>
      </c>
      <c r="QV861" s="27" t="s">
        <v>7</v>
      </c>
      <c r="QW861" s="27" t="s">
        <v>8</v>
      </c>
      <c r="QX861" s="27" t="s">
        <v>7</v>
      </c>
      <c r="QY861" s="27" t="s">
        <v>8</v>
      </c>
      <c r="QZ861" s="27" t="s">
        <v>7</v>
      </c>
      <c r="RA861" s="27" t="s">
        <v>8</v>
      </c>
      <c r="RB861" s="27" t="s">
        <v>7</v>
      </c>
      <c r="SA861" s="27" t="s">
        <v>8</v>
      </c>
      <c r="SD861" s="27" t="s">
        <v>7</v>
      </c>
      <c r="SE861" s="27" t="s">
        <v>8</v>
      </c>
      <c r="SF861" s="27" t="s">
        <v>7</v>
      </c>
      <c r="SG861" s="27" t="s">
        <v>8</v>
      </c>
      <c r="SI861" s="27" t="s">
        <v>8</v>
      </c>
      <c r="SJ861" s="27" t="s">
        <v>7</v>
      </c>
      <c r="TA861" s="27" t="s">
        <v>8</v>
      </c>
      <c r="TI861" s="27" t="s">
        <v>8</v>
      </c>
      <c r="TJ861" s="27" t="s">
        <v>7</v>
      </c>
    </row>
    <row r="862" spans="1:549" x14ac:dyDescent="0.25">
      <c r="A862" s="7">
        <v>4.314721467098488E-3</v>
      </c>
      <c r="B862"/>
      <c r="C862"/>
      <c r="D862"/>
      <c r="E862"/>
      <c r="F862" s="27" t="s">
        <v>7</v>
      </c>
      <c r="PW862" s="27" t="s">
        <v>8</v>
      </c>
      <c r="QH862" s="27" t="s">
        <v>7</v>
      </c>
      <c r="QV862" s="27" t="s">
        <v>7</v>
      </c>
      <c r="QW862" s="27" t="s">
        <v>8</v>
      </c>
      <c r="QX862" s="27" t="s">
        <v>7</v>
      </c>
      <c r="QY862" s="27" t="s">
        <v>8</v>
      </c>
      <c r="QZ862" s="27" t="s">
        <v>7</v>
      </c>
      <c r="RA862" s="27" t="s">
        <v>8</v>
      </c>
      <c r="RB862" s="27" t="s">
        <v>7</v>
      </c>
      <c r="SA862" s="27" t="s">
        <v>8</v>
      </c>
      <c r="SD862" s="27" t="s">
        <v>7</v>
      </c>
      <c r="SE862" s="27" t="s">
        <v>8</v>
      </c>
      <c r="SF862" s="27" t="s">
        <v>7</v>
      </c>
      <c r="SG862" s="27" t="s">
        <v>8</v>
      </c>
      <c r="SH862" s="27" t="s">
        <v>7</v>
      </c>
      <c r="SI862" s="27" t="s">
        <v>8</v>
      </c>
      <c r="SJ862" s="27" t="s">
        <v>7</v>
      </c>
      <c r="SM862" s="27" t="s">
        <v>8</v>
      </c>
      <c r="TA862" s="27" t="s">
        <v>8</v>
      </c>
      <c r="TB862" s="27" t="s">
        <v>7</v>
      </c>
      <c r="TI862" s="27" t="s">
        <v>8</v>
      </c>
      <c r="TJ862" s="27" t="s">
        <v>7</v>
      </c>
    </row>
    <row r="863" spans="1:549" x14ac:dyDescent="0.25">
      <c r="A863" s="7">
        <v>4.2301190853906746E-3</v>
      </c>
      <c r="B863"/>
      <c r="C863"/>
      <c r="D863"/>
      <c r="E863"/>
      <c r="F863" s="27" t="s">
        <v>7</v>
      </c>
      <c r="PW863" s="27" t="s">
        <v>8</v>
      </c>
      <c r="QV863" s="27" t="s">
        <v>7</v>
      </c>
      <c r="QW863" s="27" t="s">
        <v>8</v>
      </c>
      <c r="QX863" s="27" t="s">
        <v>7</v>
      </c>
      <c r="QY863" s="27" t="s">
        <v>8</v>
      </c>
      <c r="QZ863" s="27" t="s">
        <v>7</v>
      </c>
      <c r="RA863" s="27" t="s">
        <v>8</v>
      </c>
      <c r="RB863" s="27" t="s">
        <v>7</v>
      </c>
      <c r="SA863" s="27" t="s">
        <v>8</v>
      </c>
      <c r="SD863" s="27" t="s">
        <v>7</v>
      </c>
      <c r="SE863" s="27" t="s">
        <v>8</v>
      </c>
      <c r="SF863" s="27" t="s">
        <v>7</v>
      </c>
      <c r="SG863" s="27" t="s">
        <v>8</v>
      </c>
      <c r="SH863" s="27" t="s">
        <v>7</v>
      </c>
      <c r="SI863" s="27" t="s">
        <v>8</v>
      </c>
      <c r="SJ863" s="27" t="s">
        <v>7</v>
      </c>
      <c r="SM863" s="27" t="s">
        <v>8</v>
      </c>
      <c r="SN863" s="27" t="s">
        <v>7</v>
      </c>
      <c r="TA863" s="27" t="s">
        <v>8</v>
      </c>
      <c r="TB863" s="27" t="s">
        <v>7</v>
      </c>
      <c r="TI863" s="27" t="s">
        <v>8</v>
      </c>
      <c r="TJ863" s="27" t="s">
        <v>7</v>
      </c>
      <c r="TK863" s="27" t="s">
        <v>8</v>
      </c>
    </row>
    <row r="864" spans="1:549" x14ac:dyDescent="0.25">
      <c r="A864" s="7">
        <v>4.1471755739124266E-3</v>
      </c>
      <c r="B864"/>
      <c r="C864"/>
      <c r="D864"/>
      <c r="E864"/>
      <c r="F864" s="27" t="s">
        <v>7</v>
      </c>
      <c r="PW864" s="27" t="s">
        <v>8</v>
      </c>
      <c r="QV864" s="27" t="s">
        <v>7</v>
      </c>
      <c r="QW864" s="27" t="s">
        <v>8</v>
      </c>
      <c r="QX864" s="27" t="s">
        <v>7</v>
      </c>
      <c r="QY864" s="27" t="s">
        <v>8</v>
      </c>
      <c r="QZ864" s="27" t="s">
        <v>7</v>
      </c>
      <c r="RA864" s="27" t="s">
        <v>8</v>
      </c>
      <c r="RB864" s="27" t="s">
        <v>7</v>
      </c>
      <c r="SA864" s="27" t="s">
        <v>8</v>
      </c>
      <c r="SD864" s="27" t="s">
        <v>7</v>
      </c>
      <c r="SE864" s="27" t="s">
        <v>8</v>
      </c>
      <c r="SF864" s="27" t="s">
        <v>7</v>
      </c>
      <c r="SG864" s="27" t="s">
        <v>8</v>
      </c>
      <c r="SH864" s="27" t="s">
        <v>7</v>
      </c>
      <c r="SI864" s="27" t="s">
        <v>8</v>
      </c>
      <c r="SJ864" s="27" t="s">
        <v>7</v>
      </c>
      <c r="SK864" s="27" t="s">
        <v>8</v>
      </c>
      <c r="SM864" s="27" t="s">
        <v>8</v>
      </c>
      <c r="SN864" s="27" t="s">
        <v>7</v>
      </c>
      <c r="SO864" s="27" t="s">
        <v>8</v>
      </c>
      <c r="TA864" s="27" t="s">
        <v>8</v>
      </c>
      <c r="TB864" s="27" t="s">
        <v>7</v>
      </c>
      <c r="TI864" s="27" t="s">
        <v>8</v>
      </c>
      <c r="TJ864" s="27" t="s">
        <v>7</v>
      </c>
      <c r="TK864" s="27" t="s">
        <v>8</v>
      </c>
      <c r="TL864" s="27" t="s">
        <v>7</v>
      </c>
      <c r="TO864" s="27" t="s">
        <v>8</v>
      </c>
      <c r="UC864" s="27" t="s">
        <v>8</v>
      </c>
    </row>
    <row r="865" spans="1:562" x14ac:dyDescent="0.25">
      <c r="A865" s="7">
        <v>4.0658584057964966E-3</v>
      </c>
      <c r="B865"/>
      <c r="C865"/>
      <c r="D865"/>
      <c r="E865"/>
      <c r="F865" s="27" t="s">
        <v>7</v>
      </c>
      <c r="PU865" s="27" t="s">
        <v>8</v>
      </c>
      <c r="PW865" s="27" t="s">
        <v>8</v>
      </c>
      <c r="QV865" s="27" t="s">
        <v>7</v>
      </c>
      <c r="QW865" s="27" t="s">
        <v>8</v>
      </c>
      <c r="QX865" s="27" t="s">
        <v>7</v>
      </c>
      <c r="QY865" s="27" t="s">
        <v>8</v>
      </c>
      <c r="QZ865" s="27" t="s">
        <v>7</v>
      </c>
      <c r="RA865" s="27" t="s">
        <v>8</v>
      </c>
      <c r="RB865" s="27" t="s">
        <v>7</v>
      </c>
      <c r="RY865" s="27" t="s">
        <v>8</v>
      </c>
      <c r="SA865" s="27" t="s">
        <v>8</v>
      </c>
      <c r="SD865" s="27" t="s">
        <v>7</v>
      </c>
      <c r="SE865" s="27" t="s">
        <v>8</v>
      </c>
      <c r="SF865" s="27" t="s">
        <v>7</v>
      </c>
      <c r="SG865" s="27" t="s">
        <v>8</v>
      </c>
      <c r="SH865" s="27" t="s">
        <v>7</v>
      </c>
      <c r="SI865" s="27" t="s">
        <v>8</v>
      </c>
      <c r="SJ865" s="27" t="s">
        <v>7</v>
      </c>
      <c r="SK865" s="27" t="s">
        <v>8</v>
      </c>
      <c r="SL865" s="27" t="s">
        <v>7</v>
      </c>
      <c r="SM865" s="27" t="s">
        <v>8</v>
      </c>
      <c r="SN865" s="27" t="s">
        <v>7</v>
      </c>
      <c r="SO865" s="27" t="s">
        <v>8</v>
      </c>
      <c r="SP865" s="27" t="s">
        <v>7</v>
      </c>
      <c r="TA865" s="27" t="s">
        <v>8</v>
      </c>
      <c r="TB865" s="27" t="s">
        <v>7</v>
      </c>
      <c r="TI865" s="27" t="s">
        <v>8</v>
      </c>
      <c r="TJ865" s="27" t="s">
        <v>7</v>
      </c>
      <c r="TK865" s="27" t="s">
        <v>8</v>
      </c>
      <c r="TL865" s="27" t="s">
        <v>7</v>
      </c>
      <c r="TM865" s="27" t="s">
        <v>8</v>
      </c>
      <c r="TO865" s="27" t="s">
        <v>8</v>
      </c>
      <c r="TP865" s="27" t="s">
        <v>7</v>
      </c>
      <c r="UC865" s="27" t="s">
        <v>8</v>
      </c>
      <c r="UD865" s="27" t="s">
        <v>7</v>
      </c>
    </row>
    <row r="866" spans="1:562" x14ac:dyDescent="0.25">
      <c r="A866" s="7">
        <v>3.9861356919573491E-3</v>
      </c>
      <c r="B866"/>
      <c r="C866"/>
      <c r="D866"/>
      <c r="E866"/>
      <c r="F866" s="27" t="s">
        <v>7</v>
      </c>
      <c r="PU866" s="27" t="s">
        <v>8</v>
      </c>
      <c r="PV866" s="27" t="s">
        <v>7</v>
      </c>
      <c r="PW866" s="27" t="s">
        <v>8</v>
      </c>
      <c r="QV866" s="27" t="s">
        <v>7</v>
      </c>
      <c r="QW866" s="27" t="s">
        <v>8</v>
      </c>
      <c r="QX866" s="27" t="s">
        <v>7</v>
      </c>
      <c r="QY866" s="27" t="s">
        <v>8</v>
      </c>
      <c r="QZ866" s="27" t="s">
        <v>7</v>
      </c>
      <c r="RA866" s="27" t="s">
        <v>8</v>
      </c>
      <c r="RB866" s="27" t="s">
        <v>7</v>
      </c>
      <c r="RY866" s="27" t="s">
        <v>8</v>
      </c>
      <c r="RZ866" s="27" t="s">
        <v>7</v>
      </c>
      <c r="SA866" s="27" t="s">
        <v>8</v>
      </c>
      <c r="SD866" s="27" t="s">
        <v>7</v>
      </c>
      <c r="SE866" s="27" t="s">
        <v>8</v>
      </c>
      <c r="SF866" s="27" t="s">
        <v>7</v>
      </c>
      <c r="SG866" s="27" t="s">
        <v>8</v>
      </c>
      <c r="SH866" s="27" t="s">
        <v>7</v>
      </c>
      <c r="SJ866" s="27" t="s">
        <v>7</v>
      </c>
      <c r="SK866" s="27" t="s">
        <v>8</v>
      </c>
      <c r="SL866" s="27" t="s">
        <v>7</v>
      </c>
      <c r="SM866" s="27" t="s">
        <v>8</v>
      </c>
      <c r="SN866" s="27" t="s">
        <v>7</v>
      </c>
      <c r="SO866" s="27" t="s">
        <v>8</v>
      </c>
      <c r="SP866" s="27" t="s">
        <v>7</v>
      </c>
      <c r="TA866" s="27" t="s">
        <v>8</v>
      </c>
      <c r="TB866" s="27" t="s">
        <v>7</v>
      </c>
      <c r="TI866" s="27" t="s">
        <v>8</v>
      </c>
      <c r="TJ866" s="27" t="s">
        <v>7</v>
      </c>
      <c r="TK866" s="27" t="s">
        <v>8</v>
      </c>
      <c r="TL866" s="27" t="s">
        <v>7</v>
      </c>
      <c r="TM866" s="27" t="s">
        <v>8</v>
      </c>
      <c r="TN866" s="27" t="s">
        <v>7</v>
      </c>
      <c r="TO866" s="27" t="s">
        <v>8</v>
      </c>
      <c r="TP866" s="27" t="s">
        <v>7</v>
      </c>
      <c r="TS866" s="27" t="s">
        <v>8</v>
      </c>
      <c r="UC866" s="27" t="s">
        <v>8</v>
      </c>
      <c r="UD866" s="27" t="s">
        <v>7</v>
      </c>
    </row>
    <row r="867" spans="1:562" x14ac:dyDescent="0.25">
      <c r="A867" s="7">
        <v>3.9079761685856364E-3</v>
      </c>
      <c r="B867"/>
      <c r="C867"/>
      <c r="D867"/>
      <c r="E867"/>
      <c r="F867" s="27" t="s">
        <v>7</v>
      </c>
      <c r="PO867" s="27" t="s">
        <v>8</v>
      </c>
      <c r="PU867" s="27" t="s">
        <v>8</v>
      </c>
      <c r="PV867" s="27" t="s">
        <v>7</v>
      </c>
      <c r="PW867" s="27" t="s">
        <v>8</v>
      </c>
      <c r="QV867" s="27" t="s">
        <v>7</v>
      </c>
      <c r="QW867" s="27" t="s">
        <v>8</v>
      </c>
      <c r="QX867" s="27" t="s">
        <v>7</v>
      </c>
      <c r="QY867" s="27" t="s">
        <v>8</v>
      </c>
      <c r="QZ867" s="27" t="s">
        <v>7</v>
      </c>
      <c r="RA867" s="27" t="s">
        <v>8</v>
      </c>
      <c r="RB867" s="27" t="s">
        <v>7</v>
      </c>
      <c r="RY867" s="27" t="s">
        <v>8</v>
      </c>
      <c r="RZ867" s="27" t="s">
        <v>7</v>
      </c>
      <c r="SA867" s="27" t="s">
        <v>8</v>
      </c>
      <c r="SD867" s="27" t="s">
        <v>7</v>
      </c>
      <c r="SF867" s="27" t="s">
        <v>7</v>
      </c>
      <c r="SG867" s="27" t="s">
        <v>8</v>
      </c>
      <c r="SJ867" s="27" t="s">
        <v>7</v>
      </c>
      <c r="SK867" s="27" t="s">
        <v>8</v>
      </c>
      <c r="SL867" s="27" t="s">
        <v>7</v>
      </c>
      <c r="SM867" s="27" t="s">
        <v>8</v>
      </c>
      <c r="SN867" s="27" t="s">
        <v>7</v>
      </c>
      <c r="SO867" s="27" t="s">
        <v>8</v>
      </c>
      <c r="SP867" s="27" t="s">
        <v>7</v>
      </c>
      <c r="TA867" s="27" t="s">
        <v>8</v>
      </c>
      <c r="TB867" s="27" t="s">
        <v>7</v>
      </c>
      <c r="TG867" s="27" t="s">
        <v>8</v>
      </c>
      <c r="TI867" s="27" t="s">
        <v>8</v>
      </c>
      <c r="TJ867" s="27" t="s">
        <v>7</v>
      </c>
      <c r="TK867" s="27" t="s">
        <v>8</v>
      </c>
      <c r="TL867" s="27" t="s">
        <v>7</v>
      </c>
      <c r="TM867" s="27" t="s">
        <v>8</v>
      </c>
      <c r="TN867" s="27" t="s">
        <v>7</v>
      </c>
      <c r="TO867" s="27" t="s">
        <v>8</v>
      </c>
      <c r="TP867" s="27" t="s">
        <v>7</v>
      </c>
      <c r="TS867" s="27" t="s">
        <v>8</v>
      </c>
      <c r="TT867" s="27" t="s">
        <v>7</v>
      </c>
      <c r="UC867" s="27" t="s">
        <v>8</v>
      </c>
      <c r="UD867" s="27" t="s">
        <v>7</v>
      </c>
    </row>
    <row r="868" spans="1:562" x14ac:dyDescent="0.25">
      <c r="A868" s="7">
        <v>3.8313491848878793E-3</v>
      </c>
      <c r="B868"/>
      <c r="C868"/>
      <c r="D868"/>
      <c r="E868"/>
      <c r="F868" s="27" t="s">
        <v>7</v>
      </c>
      <c r="PO868" s="27" t="s">
        <v>8</v>
      </c>
      <c r="PP868" s="27" t="s">
        <v>7</v>
      </c>
      <c r="PU868" s="27" t="s">
        <v>8</v>
      </c>
      <c r="PV868" s="27" t="s">
        <v>7</v>
      </c>
      <c r="PW868" s="27" t="s">
        <v>8</v>
      </c>
      <c r="QV868" s="27" t="s">
        <v>7</v>
      </c>
      <c r="QW868" s="27" t="s">
        <v>8</v>
      </c>
      <c r="QX868" s="27" t="s">
        <v>7</v>
      </c>
      <c r="QY868" s="27" t="s">
        <v>8</v>
      </c>
      <c r="QZ868" s="27" t="s">
        <v>7</v>
      </c>
      <c r="RA868" s="27" t="s">
        <v>8</v>
      </c>
      <c r="RB868" s="27" t="s">
        <v>7</v>
      </c>
      <c r="RY868" s="27" t="s">
        <v>8</v>
      </c>
      <c r="RZ868" s="27" t="s">
        <v>7</v>
      </c>
      <c r="SA868" s="27" t="s">
        <v>8</v>
      </c>
      <c r="SF868" s="27" t="s">
        <v>7</v>
      </c>
      <c r="SJ868" s="27" t="s">
        <v>7</v>
      </c>
      <c r="SK868" s="27" t="s">
        <v>8</v>
      </c>
      <c r="SL868" s="27" t="s">
        <v>7</v>
      </c>
      <c r="SM868" s="27" t="s">
        <v>8</v>
      </c>
      <c r="SN868" s="27" t="s">
        <v>7</v>
      </c>
      <c r="SO868" s="27" t="s">
        <v>8</v>
      </c>
      <c r="SP868" s="27" t="s">
        <v>7</v>
      </c>
      <c r="SY868" s="27" t="s">
        <v>8</v>
      </c>
      <c r="TA868" s="27" t="s">
        <v>8</v>
      </c>
      <c r="TB868" s="27" t="s">
        <v>7</v>
      </c>
      <c r="TC868" s="27" t="s">
        <v>8</v>
      </c>
      <c r="TE868" s="27" t="s">
        <v>8</v>
      </c>
      <c r="TG868" s="27" t="s">
        <v>8</v>
      </c>
      <c r="TH868" s="27" t="s">
        <v>7</v>
      </c>
      <c r="TI868" s="27" t="s">
        <v>8</v>
      </c>
      <c r="TJ868" s="27" t="s">
        <v>7</v>
      </c>
      <c r="TL868" s="27" t="s">
        <v>7</v>
      </c>
      <c r="TN868" s="27" t="s">
        <v>7</v>
      </c>
      <c r="TO868" s="27" t="s">
        <v>8</v>
      </c>
      <c r="TP868" s="27" t="s">
        <v>7</v>
      </c>
      <c r="TQ868" s="27" t="s">
        <v>8</v>
      </c>
      <c r="TS868" s="27" t="s">
        <v>8</v>
      </c>
      <c r="TT868" s="27" t="s">
        <v>7</v>
      </c>
      <c r="UC868" s="27" t="s">
        <v>8</v>
      </c>
      <c r="UD868" s="27" t="s">
        <v>7</v>
      </c>
    </row>
    <row r="869" spans="1:562" x14ac:dyDescent="0.25">
      <c r="A869" s="7">
        <v>3.7562246910665485E-3</v>
      </c>
      <c r="B869"/>
      <c r="C869"/>
      <c r="D869"/>
      <c r="E869"/>
      <c r="F869" s="27" t="s">
        <v>7</v>
      </c>
      <c r="PO869" s="27" t="s">
        <v>8</v>
      </c>
      <c r="PP869" s="27" t="s">
        <v>7</v>
      </c>
      <c r="PU869" s="27" t="s">
        <v>8</v>
      </c>
      <c r="PV869" s="27" t="s">
        <v>7</v>
      </c>
      <c r="PW869" s="27" t="s">
        <v>8</v>
      </c>
      <c r="QV869" s="27" t="s">
        <v>7</v>
      </c>
      <c r="QW869" s="27" t="s">
        <v>8</v>
      </c>
      <c r="QX869" s="27" t="s">
        <v>7</v>
      </c>
      <c r="QY869" s="27" t="s">
        <v>8</v>
      </c>
      <c r="QZ869" s="27" t="s">
        <v>7</v>
      </c>
      <c r="RA869" s="27" t="s">
        <v>8</v>
      </c>
      <c r="RB869" s="27" t="s">
        <v>7</v>
      </c>
      <c r="RC869" s="27" t="s">
        <v>8</v>
      </c>
      <c r="RY869" s="27" t="s">
        <v>8</v>
      </c>
      <c r="RZ869" s="27" t="s">
        <v>7</v>
      </c>
      <c r="SA869" s="27" t="s">
        <v>8</v>
      </c>
      <c r="SJ869" s="27" t="s">
        <v>7</v>
      </c>
      <c r="SK869" s="27" t="s">
        <v>8</v>
      </c>
      <c r="SL869" s="27" t="s">
        <v>7</v>
      </c>
      <c r="SN869" s="27" t="s">
        <v>7</v>
      </c>
      <c r="SP869" s="27" t="s">
        <v>7</v>
      </c>
      <c r="SY869" s="27" t="s">
        <v>8</v>
      </c>
      <c r="SZ869" s="27" t="s">
        <v>7</v>
      </c>
      <c r="TA869" s="27" t="s">
        <v>8</v>
      </c>
      <c r="TB869" s="27" t="s">
        <v>7</v>
      </c>
      <c r="TC869" s="27" t="s">
        <v>8</v>
      </c>
      <c r="TD869" s="27" t="s">
        <v>7</v>
      </c>
      <c r="TE869" s="27" t="s">
        <v>8</v>
      </c>
      <c r="TF869" s="27" t="s">
        <v>7</v>
      </c>
      <c r="TG869" s="27" t="s">
        <v>8</v>
      </c>
      <c r="TH869" s="27" t="s">
        <v>7</v>
      </c>
      <c r="TI869" s="27" t="s">
        <v>8</v>
      </c>
      <c r="TN869" s="27" t="s">
        <v>7</v>
      </c>
      <c r="TO869" s="27" t="s">
        <v>8</v>
      </c>
      <c r="TP869" s="27" t="s">
        <v>7</v>
      </c>
      <c r="TQ869" s="27" t="s">
        <v>8</v>
      </c>
      <c r="TR869" s="27" t="s">
        <v>7</v>
      </c>
      <c r="TS869" s="27" t="s">
        <v>8</v>
      </c>
      <c r="TT869" s="27" t="s">
        <v>7</v>
      </c>
      <c r="UC869" s="27" t="s">
        <v>8</v>
      </c>
      <c r="UD869" s="27" t="s">
        <v>7</v>
      </c>
    </row>
    <row r="870" spans="1:562" x14ac:dyDescent="0.25">
      <c r="A870" s="7">
        <v>3.6825732265358315E-3</v>
      </c>
      <c r="B870"/>
      <c r="C870"/>
      <c r="D870"/>
      <c r="E870"/>
      <c r="F870" s="27" t="s">
        <v>7</v>
      </c>
      <c r="PO870" s="27" t="s">
        <v>8</v>
      </c>
      <c r="PP870" s="27" t="s">
        <v>7</v>
      </c>
      <c r="PQ870" s="27" t="s">
        <v>8</v>
      </c>
      <c r="PS870" s="27" t="s">
        <v>8</v>
      </c>
      <c r="PU870" s="27" t="s">
        <v>8</v>
      </c>
      <c r="PV870" s="27" t="s">
        <v>7</v>
      </c>
      <c r="PW870" s="27" t="s">
        <v>8</v>
      </c>
      <c r="QV870" s="27" t="s">
        <v>7</v>
      </c>
      <c r="QW870" s="27" t="s">
        <v>8</v>
      </c>
      <c r="QX870" s="27" t="s">
        <v>7</v>
      </c>
      <c r="QY870" s="27" t="s">
        <v>8</v>
      </c>
      <c r="QZ870" s="27" t="s">
        <v>7</v>
      </c>
      <c r="RA870" s="27" t="s">
        <v>8</v>
      </c>
      <c r="RB870" s="27" t="s">
        <v>7</v>
      </c>
      <c r="RC870" s="27" t="s">
        <v>8</v>
      </c>
      <c r="RD870" s="27" t="s">
        <v>7</v>
      </c>
      <c r="RY870" s="27" t="s">
        <v>8</v>
      </c>
      <c r="RZ870" s="27" t="s">
        <v>7</v>
      </c>
      <c r="SJ870" s="27" t="s">
        <v>7</v>
      </c>
      <c r="SK870" s="27" t="s">
        <v>8</v>
      </c>
      <c r="SP870" s="27" t="s">
        <v>7</v>
      </c>
      <c r="SY870" s="27" t="s">
        <v>8</v>
      </c>
      <c r="SZ870" s="27" t="s">
        <v>7</v>
      </c>
      <c r="TA870" s="27" t="s">
        <v>8</v>
      </c>
      <c r="TB870" s="27" t="s">
        <v>7</v>
      </c>
      <c r="TC870" s="27" t="s">
        <v>8</v>
      </c>
      <c r="TD870" s="27" t="s">
        <v>7</v>
      </c>
      <c r="TE870" s="27" t="s">
        <v>8</v>
      </c>
      <c r="TF870" s="27" t="s">
        <v>7</v>
      </c>
      <c r="TG870" s="27" t="s">
        <v>8</v>
      </c>
      <c r="TH870" s="27" t="s">
        <v>7</v>
      </c>
      <c r="TI870" s="27" t="s">
        <v>8</v>
      </c>
      <c r="TN870" s="27" t="s">
        <v>7</v>
      </c>
      <c r="TP870" s="27" t="s">
        <v>7</v>
      </c>
      <c r="TQ870" s="27" t="s">
        <v>8</v>
      </c>
      <c r="TR870" s="27" t="s">
        <v>7</v>
      </c>
      <c r="TS870" s="27" t="s">
        <v>8</v>
      </c>
      <c r="TT870" s="27" t="s">
        <v>7</v>
      </c>
      <c r="UC870" s="27" t="s">
        <v>8</v>
      </c>
      <c r="UD870" s="27" t="s">
        <v>7</v>
      </c>
    </row>
    <row r="871" spans="1:562" x14ac:dyDescent="0.25">
      <c r="A871" s="7">
        <v>3.6103659083684624E-3</v>
      </c>
      <c r="B871"/>
      <c r="C871"/>
      <c r="D871"/>
      <c r="E871"/>
      <c r="F871" s="27" t="s">
        <v>7</v>
      </c>
      <c r="PO871" s="27" t="s">
        <v>8</v>
      </c>
      <c r="PP871" s="27" t="s">
        <v>7</v>
      </c>
      <c r="PQ871" s="27" t="s">
        <v>8</v>
      </c>
      <c r="PR871" s="27" t="s">
        <v>7</v>
      </c>
      <c r="PS871" s="27" t="s">
        <v>8</v>
      </c>
      <c r="PT871" s="27" t="s">
        <v>7</v>
      </c>
      <c r="PU871" s="27" t="s">
        <v>8</v>
      </c>
      <c r="PV871" s="27" t="s">
        <v>7</v>
      </c>
      <c r="PW871" s="27" t="s">
        <v>8</v>
      </c>
      <c r="QV871" s="27" t="s">
        <v>7</v>
      </c>
      <c r="QW871" s="27" t="s">
        <v>8</v>
      </c>
      <c r="QX871" s="27" t="s">
        <v>7</v>
      </c>
      <c r="QY871" s="27" t="s">
        <v>8</v>
      </c>
      <c r="QZ871" s="27" t="s">
        <v>7</v>
      </c>
      <c r="RA871" s="27" t="s">
        <v>8</v>
      </c>
      <c r="RB871" s="27" t="s">
        <v>7</v>
      </c>
      <c r="RC871" s="27" t="s">
        <v>8</v>
      </c>
      <c r="RD871" s="27" t="s">
        <v>7</v>
      </c>
      <c r="RE871" s="27" t="s">
        <v>8</v>
      </c>
      <c r="RY871" s="27" t="s">
        <v>8</v>
      </c>
      <c r="SJ871" s="27" t="s">
        <v>7</v>
      </c>
      <c r="SK871" s="27" t="s">
        <v>8</v>
      </c>
      <c r="SP871" s="27" t="s">
        <v>7</v>
      </c>
      <c r="SW871" s="27" t="s">
        <v>8</v>
      </c>
      <c r="SY871" s="27" t="s">
        <v>8</v>
      </c>
      <c r="SZ871" s="27" t="s">
        <v>7</v>
      </c>
      <c r="TA871" s="27" t="s">
        <v>8</v>
      </c>
      <c r="TB871" s="27" t="s">
        <v>7</v>
      </c>
      <c r="TC871" s="27" t="s">
        <v>8</v>
      </c>
      <c r="TD871" s="27" t="s">
        <v>7</v>
      </c>
      <c r="TE871" s="27" t="s">
        <v>8</v>
      </c>
      <c r="TF871" s="27" t="s">
        <v>7</v>
      </c>
      <c r="TG871" s="27" t="s">
        <v>8</v>
      </c>
      <c r="TH871" s="27" t="s">
        <v>7</v>
      </c>
      <c r="TI871" s="27" t="s">
        <v>8</v>
      </c>
      <c r="TP871" s="27" t="s">
        <v>7</v>
      </c>
      <c r="TQ871" s="27" t="s">
        <v>8</v>
      </c>
      <c r="TR871" s="27" t="s">
        <v>7</v>
      </c>
      <c r="TT871" s="27" t="s">
        <v>7</v>
      </c>
      <c r="TU871" s="27" t="s">
        <v>8</v>
      </c>
      <c r="UC871" s="27" t="s">
        <v>8</v>
      </c>
      <c r="UD871" s="27" t="s">
        <v>7</v>
      </c>
    </row>
    <row r="872" spans="1:562" x14ac:dyDescent="0.25">
      <c r="A872" s="7">
        <v>3.539574419969081E-3</v>
      </c>
      <c r="B872"/>
      <c r="C872"/>
      <c r="D872"/>
      <c r="E872"/>
      <c r="F872" s="27" t="s">
        <v>7</v>
      </c>
      <c r="PO872" s="27" t="s">
        <v>8</v>
      </c>
      <c r="PP872" s="27" t="s">
        <v>7</v>
      </c>
      <c r="PQ872" s="27" t="s">
        <v>8</v>
      </c>
      <c r="PR872" s="27" t="s">
        <v>7</v>
      </c>
      <c r="PS872" s="27" t="s">
        <v>8</v>
      </c>
      <c r="PT872" s="27" t="s">
        <v>7</v>
      </c>
      <c r="PU872" s="27" t="s">
        <v>8</v>
      </c>
      <c r="PV872" s="27" t="s">
        <v>7</v>
      </c>
      <c r="QV872" s="27" t="s">
        <v>7</v>
      </c>
      <c r="QW872" s="27" t="s">
        <v>8</v>
      </c>
      <c r="QX872" s="27" t="s">
        <v>7</v>
      </c>
      <c r="QY872" s="27" t="s">
        <v>8</v>
      </c>
      <c r="QZ872" s="27" t="s">
        <v>7</v>
      </c>
      <c r="RA872" s="27" t="s">
        <v>8</v>
      </c>
      <c r="RB872" s="27" t="s">
        <v>7</v>
      </c>
      <c r="RC872" s="27" t="s">
        <v>8</v>
      </c>
      <c r="RD872" s="27" t="s">
        <v>7</v>
      </c>
      <c r="RE872" s="27" t="s">
        <v>8</v>
      </c>
      <c r="RF872" s="27" t="s">
        <v>7</v>
      </c>
      <c r="RY872" s="27" t="s">
        <v>8</v>
      </c>
      <c r="SJ872" s="27" t="s">
        <v>7</v>
      </c>
      <c r="SK872" s="27" t="s">
        <v>8</v>
      </c>
      <c r="SP872" s="27" t="s">
        <v>7</v>
      </c>
      <c r="SQ872" s="27" t="s">
        <v>8</v>
      </c>
      <c r="SW872" s="27" t="s">
        <v>8</v>
      </c>
      <c r="SX872" s="27" t="s">
        <v>7</v>
      </c>
      <c r="SY872" s="27" t="s">
        <v>8</v>
      </c>
      <c r="SZ872" s="27" t="s">
        <v>7</v>
      </c>
      <c r="TA872" s="27" t="s">
        <v>8</v>
      </c>
      <c r="TB872" s="27" t="s">
        <v>7</v>
      </c>
      <c r="TD872" s="27" t="s">
        <v>7</v>
      </c>
      <c r="TE872" s="27" t="s">
        <v>8</v>
      </c>
      <c r="TF872" s="27" t="s">
        <v>7</v>
      </c>
      <c r="TH872" s="27" t="s">
        <v>7</v>
      </c>
      <c r="TI872" s="27" t="s">
        <v>8</v>
      </c>
      <c r="TP872" s="27" t="s">
        <v>7</v>
      </c>
      <c r="TT872" s="27" t="s">
        <v>7</v>
      </c>
      <c r="TU872" s="27" t="s">
        <v>8</v>
      </c>
      <c r="TV872" s="27" t="s">
        <v>7</v>
      </c>
      <c r="UC872" s="27" t="s">
        <v>8</v>
      </c>
      <c r="UD872" s="27" t="s">
        <v>7</v>
      </c>
    </row>
    <row r="873" spans="1:562" x14ac:dyDescent="0.25">
      <c r="A873" s="7">
        <v>3.4701709999696872E-3</v>
      </c>
      <c r="B873"/>
      <c r="C873"/>
      <c r="D873"/>
      <c r="E873"/>
      <c r="F873" s="27" t="s">
        <v>7</v>
      </c>
      <c r="PO873" s="27" t="s">
        <v>8</v>
      </c>
      <c r="PP873" s="27" t="s">
        <v>7</v>
      </c>
      <c r="PQ873" s="27" t="s">
        <v>8</v>
      </c>
      <c r="PR873" s="27" t="s">
        <v>7</v>
      </c>
      <c r="PS873" s="27" t="s">
        <v>8</v>
      </c>
      <c r="PT873" s="27" t="s">
        <v>7</v>
      </c>
      <c r="PU873" s="27" t="s">
        <v>8</v>
      </c>
      <c r="QV873" s="27" t="s">
        <v>7</v>
      </c>
      <c r="QW873" s="27" t="s">
        <v>8</v>
      </c>
      <c r="QX873" s="27" t="s">
        <v>7</v>
      </c>
      <c r="QY873" s="27" t="s">
        <v>8</v>
      </c>
      <c r="QZ873" s="27" t="s">
        <v>7</v>
      </c>
      <c r="RA873" s="27" t="s">
        <v>8</v>
      </c>
      <c r="RB873" s="27" t="s">
        <v>7</v>
      </c>
      <c r="RC873" s="27" t="s">
        <v>8</v>
      </c>
      <c r="RD873" s="27" t="s">
        <v>7</v>
      </c>
      <c r="RE873" s="27" t="s">
        <v>8</v>
      </c>
      <c r="RF873" s="27" t="s">
        <v>7</v>
      </c>
      <c r="RY873" s="27" t="s">
        <v>8</v>
      </c>
      <c r="SJ873" s="27" t="s">
        <v>7</v>
      </c>
      <c r="SK873" s="27" t="s">
        <v>8</v>
      </c>
      <c r="SP873" s="27" t="s">
        <v>7</v>
      </c>
      <c r="SQ873" s="27" t="s">
        <v>8</v>
      </c>
      <c r="SR873" s="27" t="s">
        <v>7</v>
      </c>
      <c r="SW873" s="27" t="s">
        <v>8</v>
      </c>
      <c r="SX873" s="27" t="s">
        <v>7</v>
      </c>
      <c r="SY873" s="27" t="s">
        <v>8</v>
      </c>
      <c r="SZ873" s="27" t="s">
        <v>7</v>
      </c>
      <c r="TD873" s="27" t="s">
        <v>7</v>
      </c>
      <c r="TH873" s="27" t="s">
        <v>7</v>
      </c>
      <c r="TI873" s="27" t="s">
        <v>8</v>
      </c>
      <c r="TT873" s="27" t="s">
        <v>7</v>
      </c>
      <c r="TU873" s="27" t="s">
        <v>8</v>
      </c>
      <c r="TV873" s="27" t="s">
        <v>7</v>
      </c>
      <c r="TW873" s="27" t="s">
        <v>8</v>
      </c>
      <c r="UC873" s="27" t="s">
        <v>8</v>
      </c>
      <c r="UD873" s="27" t="s">
        <v>7</v>
      </c>
      <c r="UE873" s="27" t="s">
        <v>8</v>
      </c>
    </row>
    <row r="874" spans="1:562" x14ac:dyDescent="0.25">
      <c r="A874" s="7">
        <v>3.4021284313428307E-3</v>
      </c>
      <c r="B874"/>
      <c r="C874"/>
      <c r="D874"/>
      <c r="E874"/>
      <c r="F874" s="27" t="s">
        <v>7</v>
      </c>
      <c r="PO874" s="27" t="s">
        <v>8</v>
      </c>
      <c r="PP874" s="27" t="s">
        <v>7</v>
      </c>
      <c r="PQ874" s="27" t="s">
        <v>8</v>
      </c>
      <c r="PR874" s="27" t="s">
        <v>7</v>
      </c>
      <c r="PS874" s="27" t="s">
        <v>8</v>
      </c>
      <c r="PT874" s="27" t="s">
        <v>7</v>
      </c>
      <c r="PU874" s="27" t="s">
        <v>8</v>
      </c>
      <c r="QV874" s="27" t="s">
        <v>7</v>
      </c>
      <c r="QW874" s="27" t="s">
        <v>8</v>
      </c>
      <c r="QX874" s="27" t="s">
        <v>7</v>
      </c>
      <c r="QY874" s="27" t="s">
        <v>8</v>
      </c>
      <c r="QZ874" s="27" t="s">
        <v>7</v>
      </c>
      <c r="RA874" s="27" t="s">
        <v>8</v>
      </c>
      <c r="RB874" s="27" t="s">
        <v>7</v>
      </c>
      <c r="RD874" s="27" t="s">
        <v>7</v>
      </c>
      <c r="RE874" s="27" t="s">
        <v>8</v>
      </c>
      <c r="RF874" s="27" t="s">
        <v>7</v>
      </c>
      <c r="RY874" s="27" t="s">
        <v>8</v>
      </c>
      <c r="SJ874" s="27" t="s">
        <v>7</v>
      </c>
      <c r="SK874" s="27" t="s">
        <v>8</v>
      </c>
      <c r="SP874" s="27" t="s">
        <v>7</v>
      </c>
      <c r="SQ874" s="27" t="s">
        <v>8</v>
      </c>
      <c r="SR874" s="27" t="s">
        <v>7</v>
      </c>
      <c r="SW874" s="27" t="s">
        <v>8</v>
      </c>
      <c r="SX874" s="27" t="s">
        <v>7</v>
      </c>
      <c r="SY874" s="27" t="s">
        <v>8</v>
      </c>
      <c r="TH874" s="27" t="s">
        <v>7</v>
      </c>
      <c r="TI874" s="27" t="s">
        <v>8</v>
      </c>
      <c r="TT874" s="27" t="s">
        <v>7</v>
      </c>
      <c r="TU874" s="27" t="s">
        <v>8</v>
      </c>
      <c r="TV874" s="27" t="s">
        <v>7</v>
      </c>
      <c r="TW874" s="27" t="s">
        <v>8</v>
      </c>
      <c r="TX874" s="27" t="s">
        <v>7</v>
      </c>
      <c r="UC874" s="27" t="s">
        <v>8</v>
      </c>
      <c r="UD874" s="27" t="s">
        <v>7</v>
      </c>
      <c r="UE874" s="27" t="s">
        <v>8</v>
      </c>
      <c r="UF874" s="27" t="s">
        <v>7</v>
      </c>
    </row>
    <row r="875" spans="1:562" x14ac:dyDescent="0.25">
      <c r="A875" s="7">
        <v>3.3354200307282654E-3</v>
      </c>
      <c r="B875"/>
      <c r="C875"/>
      <c r="D875"/>
      <c r="E875"/>
      <c r="F875" s="27" t="s">
        <v>7</v>
      </c>
      <c r="PO875" s="27" t="s">
        <v>8</v>
      </c>
      <c r="PP875" s="27" t="s">
        <v>7</v>
      </c>
      <c r="PQ875" s="27" t="s">
        <v>8</v>
      </c>
      <c r="PR875" s="27" t="s">
        <v>7</v>
      </c>
      <c r="PS875" s="27" t="s">
        <v>8</v>
      </c>
      <c r="PT875" s="27" t="s">
        <v>7</v>
      </c>
      <c r="PU875" s="27" t="s">
        <v>8</v>
      </c>
      <c r="QV875" s="27" t="s">
        <v>7</v>
      </c>
      <c r="QW875" s="27" t="s">
        <v>8</v>
      </c>
      <c r="QX875" s="27" t="s">
        <v>7</v>
      </c>
      <c r="QY875" s="27" t="s">
        <v>8</v>
      </c>
      <c r="QZ875" s="27" t="s">
        <v>7</v>
      </c>
      <c r="RD875" s="27" t="s">
        <v>7</v>
      </c>
      <c r="RF875" s="27" t="s">
        <v>7</v>
      </c>
      <c r="RY875" s="27" t="s">
        <v>8</v>
      </c>
      <c r="SJ875" s="27" t="s">
        <v>7</v>
      </c>
      <c r="SK875" s="27" t="s">
        <v>8</v>
      </c>
      <c r="SP875" s="27" t="s">
        <v>7</v>
      </c>
      <c r="SQ875" s="27" t="s">
        <v>8</v>
      </c>
      <c r="SR875" s="27" t="s">
        <v>7</v>
      </c>
      <c r="SS875" s="27" t="s">
        <v>8</v>
      </c>
      <c r="SW875" s="27" t="s">
        <v>8</v>
      </c>
      <c r="SX875" s="27" t="s">
        <v>7</v>
      </c>
      <c r="TH875" s="27" t="s">
        <v>7</v>
      </c>
      <c r="TI875" s="27" t="s">
        <v>8</v>
      </c>
      <c r="TT875" s="27" t="s">
        <v>7</v>
      </c>
      <c r="TV875" s="27" t="s">
        <v>7</v>
      </c>
      <c r="TW875" s="27" t="s">
        <v>8</v>
      </c>
      <c r="TX875" s="27" t="s">
        <v>7</v>
      </c>
      <c r="UC875" s="27" t="s">
        <v>8</v>
      </c>
      <c r="UD875" s="27" t="s">
        <v>7</v>
      </c>
      <c r="UE875" s="27" t="s">
        <v>8</v>
      </c>
      <c r="UF875" s="27" t="s">
        <v>7</v>
      </c>
    </row>
    <row r="876" spans="1:562" x14ac:dyDescent="0.25">
      <c r="A876" s="7">
        <v>3.2700196379688881E-3</v>
      </c>
      <c r="B876"/>
      <c r="C876"/>
      <c r="D876"/>
      <c r="E876"/>
      <c r="F876" s="27" t="s">
        <v>7</v>
      </c>
      <c r="PO876" s="27" t="s">
        <v>8</v>
      </c>
      <c r="PP876" s="27" t="s">
        <v>7</v>
      </c>
      <c r="PQ876" s="27" t="s">
        <v>8</v>
      </c>
      <c r="PR876" s="27" t="s">
        <v>7</v>
      </c>
      <c r="PS876" s="27" t="s">
        <v>8</v>
      </c>
      <c r="PT876" s="27" t="s">
        <v>7</v>
      </c>
      <c r="PU876" s="27" t="s">
        <v>8</v>
      </c>
      <c r="QV876" s="27" t="s">
        <v>7</v>
      </c>
      <c r="QW876" s="27" t="s">
        <v>8</v>
      </c>
      <c r="QX876" s="27" t="s">
        <v>7</v>
      </c>
      <c r="QY876" s="27" t="s">
        <v>8</v>
      </c>
      <c r="RF876" s="27" t="s">
        <v>7</v>
      </c>
      <c r="RY876" s="27" t="s">
        <v>8</v>
      </c>
      <c r="SJ876" s="27" t="s">
        <v>7</v>
      </c>
      <c r="SK876" s="27" t="s">
        <v>8</v>
      </c>
      <c r="SP876" s="27" t="s">
        <v>7</v>
      </c>
      <c r="SQ876" s="27" t="s">
        <v>8</v>
      </c>
      <c r="SR876" s="27" t="s">
        <v>7</v>
      </c>
      <c r="SS876" s="27" t="s">
        <v>8</v>
      </c>
      <c r="ST876" s="27" t="s">
        <v>7</v>
      </c>
      <c r="SU876" s="27" t="s">
        <v>8</v>
      </c>
      <c r="SW876" s="27" t="s">
        <v>8</v>
      </c>
      <c r="TH876" s="27" t="s">
        <v>7</v>
      </c>
      <c r="TI876" s="27" t="s">
        <v>8</v>
      </c>
      <c r="TV876" s="27" t="s">
        <v>7</v>
      </c>
      <c r="TX876" s="27" t="s">
        <v>7</v>
      </c>
      <c r="UC876" s="27" t="s">
        <v>8</v>
      </c>
      <c r="UD876" s="27" t="s">
        <v>7</v>
      </c>
      <c r="UE876" s="27" t="s">
        <v>8</v>
      </c>
      <c r="UF876" s="27" t="s">
        <v>7</v>
      </c>
    </row>
    <row r="877" spans="1:562" x14ac:dyDescent="0.25">
      <c r="A877" s="7">
        <v>3.205901605851851E-3</v>
      </c>
      <c r="B877"/>
      <c r="C877"/>
      <c r="D877"/>
      <c r="E877"/>
      <c r="F877" s="27" t="s">
        <v>7</v>
      </c>
      <c r="PO877" s="27" t="s">
        <v>8</v>
      </c>
      <c r="PP877" s="27" t="s">
        <v>7</v>
      </c>
      <c r="PQ877" s="27" t="s">
        <v>8</v>
      </c>
      <c r="PR877" s="27" t="s">
        <v>7</v>
      </c>
      <c r="PS877" s="27" t="s">
        <v>8</v>
      </c>
      <c r="PT877" s="27" t="s">
        <v>7</v>
      </c>
      <c r="PU877" s="27" t="s">
        <v>8</v>
      </c>
      <c r="QV877" s="27" t="s">
        <v>7</v>
      </c>
      <c r="QW877" s="27" t="s">
        <v>8</v>
      </c>
      <c r="QX877" s="27" t="s">
        <v>7</v>
      </c>
      <c r="QY877" s="27" t="s">
        <v>8</v>
      </c>
      <c r="RF877" s="27" t="s">
        <v>7</v>
      </c>
      <c r="RY877" s="27" t="s">
        <v>8</v>
      </c>
      <c r="SJ877" s="27" t="s">
        <v>7</v>
      </c>
      <c r="SK877" s="27" t="s">
        <v>8</v>
      </c>
      <c r="SP877" s="27" t="s">
        <v>7</v>
      </c>
      <c r="SQ877" s="27" t="s">
        <v>8</v>
      </c>
      <c r="SR877" s="27" t="s">
        <v>7</v>
      </c>
      <c r="SS877" s="27" t="s">
        <v>8</v>
      </c>
      <c r="ST877" s="27" t="s">
        <v>7</v>
      </c>
      <c r="SU877" s="27" t="s">
        <v>8</v>
      </c>
      <c r="SV877" s="27" t="s">
        <v>7</v>
      </c>
      <c r="SW877" s="27" t="s">
        <v>8</v>
      </c>
      <c r="TH877" s="27" t="s">
        <v>7</v>
      </c>
      <c r="TI877" s="27" t="s">
        <v>8</v>
      </c>
      <c r="TX877" s="27" t="s">
        <v>7</v>
      </c>
      <c r="TY877" s="27" t="s">
        <v>8</v>
      </c>
      <c r="UA877" s="27" t="s">
        <v>8</v>
      </c>
      <c r="UC877" s="27" t="s">
        <v>8</v>
      </c>
      <c r="UD877" s="27" t="s">
        <v>7</v>
      </c>
      <c r="UE877" s="27" t="s">
        <v>8</v>
      </c>
      <c r="UF877" s="27" t="s">
        <v>7</v>
      </c>
    </row>
    <row r="878" spans="1:562" x14ac:dyDescent="0.25">
      <c r="A878" s="7">
        <v>3.1430407900508344E-3</v>
      </c>
      <c r="B878"/>
      <c r="C878"/>
      <c r="D878"/>
      <c r="E878"/>
      <c r="F878" s="27" t="s">
        <v>7</v>
      </c>
      <c r="PO878" s="27" t="s">
        <v>8</v>
      </c>
      <c r="PP878" s="27" t="s">
        <v>7</v>
      </c>
      <c r="PQ878" s="27" t="s">
        <v>8</v>
      </c>
      <c r="PR878" s="27" t="s">
        <v>7</v>
      </c>
      <c r="PS878" s="27" t="s">
        <v>8</v>
      </c>
      <c r="PT878" s="27" t="s">
        <v>7</v>
      </c>
      <c r="PU878" s="27" t="s">
        <v>8</v>
      </c>
      <c r="QV878" s="27" t="s">
        <v>7</v>
      </c>
      <c r="QW878" s="27" t="s">
        <v>8</v>
      </c>
      <c r="QX878" s="27" t="s">
        <v>7</v>
      </c>
      <c r="QY878" s="27" t="s">
        <v>8</v>
      </c>
      <c r="RF878" s="27" t="s">
        <v>7</v>
      </c>
      <c r="RY878" s="27" t="s">
        <v>8</v>
      </c>
      <c r="SJ878" s="27" t="s">
        <v>7</v>
      </c>
      <c r="SK878" s="27" t="s">
        <v>8</v>
      </c>
      <c r="SP878" s="27" t="s">
        <v>7</v>
      </c>
      <c r="SQ878" s="27" t="s">
        <v>8</v>
      </c>
      <c r="SR878" s="27" t="s">
        <v>7</v>
      </c>
      <c r="SS878" s="27" t="s">
        <v>8</v>
      </c>
      <c r="ST878" s="27" t="s">
        <v>7</v>
      </c>
      <c r="SU878" s="27" t="s">
        <v>8</v>
      </c>
      <c r="SV878" s="27" t="s">
        <v>7</v>
      </c>
      <c r="SW878" s="27" t="s">
        <v>8</v>
      </c>
      <c r="TH878" s="27" t="s">
        <v>7</v>
      </c>
      <c r="TI878" s="27" t="s">
        <v>8</v>
      </c>
      <c r="TX878" s="27" t="s">
        <v>7</v>
      </c>
      <c r="TY878" s="27" t="s">
        <v>8</v>
      </c>
      <c r="TZ878" s="27" t="s">
        <v>7</v>
      </c>
      <c r="UA878" s="27" t="s">
        <v>8</v>
      </c>
      <c r="UB878" s="27" t="s">
        <v>7</v>
      </c>
      <c r="UC878" s="27" t="s">
        <v>8</v>
      </c>
      <c r="UD878" s="27" t="s">
        <v>7</v>
      </c>
      <c r="UE878" s="27" t="s">
        <v>8</v>
      </c>
      <c r="UF878" s="27" t="s">
        <v>7</v>
      </c>
      <c r="UO878" s="27" t="s">
        <v>8</v>
      </c>
    </row>
    <row r="879" spans="1:562" x14ac:dyDescent="0.25">
      <c r="A879" s="7">
        <v>3.0814125392655241E-3</v>
      </c>
      <c r="B879"/>
      <c r="C879"/>
      <c r="D879"/>
      <c r="E879"/>
      <c r="F879" s="27" t="s">
        <v>7</v>
      </c>
      <c r="PO879" s="27" t="s">
        <v>8</v>
      </c>
      <c r="PP879" s="27" t="s">
        <v>7</v>
      </c>
      <c r="PQ879" s="27" t="s">
        <v>8</v>
      </c>
      <c r="PR879" s="27" t="s">
        <v>7</v>
      </c>
      <c r="PS879" s="27" t="s">
        <v>8</v>
      </c>
      <c r="PT879" s="27" t="s">
        <v>7</v>
      </c>
      <c r="PU879" s="27" t="s">
        <v>8</v>
      </c>
      <c r="QV879" s="27" t="s">
        <v>7</v>
      </c>
      <c r="QW879" s="27" t="s">
        <v>8</v>
      </c>
      <c r="QX879" s="27" t="s">
        <v>7</v>
      </c>
      <c r="QY879" s="27" t="s">
        <v>8</v>
      </c>
      <c r="RF879" s="27" t="s">
        <v>7</v>
      </c>
      <c r="RY879" s="27" t="s">
        <v>8</v>
      </c>
      <c r="SJ879" s="27" t="s">
        <v>7</v>
      </c>
      <c r="SP879" s="27" t="s">
        <v>7</v>
      </c>
      <c r="SR879" s="27" t="s">
        <v>7</v>
      </c>
      <c r="ST879" s="27" t="s">
        <v>7</v>
      </c>
      <c r="SV879" s="27" t="s">
        <v>7</v>
      </c>
      <c r="SW879" s="27" t="s">
        <v>8</v>
      </c>
      <c r="TH879" s="27" t="s">
        <v>7</v>
      </c>
      <c r="TX879" s="27" t="s">
        <v>7</v>
      </c>
      <c r="TY879" s="27" t="s">
        <v>8</v>
      </c>
      <c r="TZ879" s="27" t="s">
        <v>7</v>
      </c>
      <c r="UA879" s="27" t="s">
        <v>8</v>
      </c>
      <c r="UB879" s="27" t="s">
        <v>7</v>
      </c>
      <c r="UC879" s="27" t="s">
        <v>8</v>
      </c>
      <c r="UD879" s="27" t="s">
        <v>7</v>
      </c>
      <c r="UE879" s="27" t="s">
        <v>8</v>
      </c>
      <c r="UF879" s="27" t="s">
        <v>7</v>
      </c>
      <c r="UM879" s="27" t="s">
        <v>8</v>
      </c>
      <c r="UO879" s="27" t="s">
        <v>8</v>
      </c>
      <c r="UP879" s="27" t="s">
        <v>7</v>
      </c>
    </row>
    <row r="880" spans="1:562" x14ac:dyDescent="0.25">
      <c r="A880" s="7">
        <v>3.0209926855544354E-3</v>
      </c>
      <c r="B880"/>
      <c r="C880"/>
      <c r="D880"/>
      <c r="E880"/>
      <c r="F880" s="27" t="s">
        <v>7</v>
      </c>
      <c r="PO880" s="27" t="s">
        <v>8</v>
      </c>
      <c r="PP880" s="27" t="s">
        <v>7</v>
      </c>
      <c r="PQ880" s="27" t="s">
        <v>8</v>
      </c>
      <c r="PR880" s="27" t="s">
        <v>7</v>
      </c>
      <c r="PS880" s="27" t="s">
        <v>8</v>
      </c>
      <c r="PT880" s="27" t="s">
        <v>7</v>
      </c>
      <c r="QV880" s="27" t="s">
        <v>7</v>
      </c>
      <c r="QW880" s="27" t="s">
        <v>8</v>
      </c>
      <c r="QX880" s="27" t="s">
        <v>7</v>
      </c>
      <c r="QY880" s="27" t="s">
        <v>8</v>
      </c>
      <c r="RF880" s="27" t="s">
        <v>7</v>
      </c>
      <c r="RS880" s="27" t="s">
        <v>8</v>
      </c>
      <c r="RU880" s="27" t="s">
        <v>8</v>
      </c>
      <c r="RW880" s="27" t="s">
        <v>8</v>
      </c>
      <c r="RY880" s="27" t="s">
        <v>8</v>
      </c>
      <c r="SV880" s="27" t="s">
        <v>7</v>
      </c>
      <c r="SW880" s="27" t="s">
        <v>8</v>
      </c>
      <c r="TX880" s="27" t="s">
        <v>7</v>
      </c>
      <c r="TZ880" s="27" t="s">
        <v>7</v>
      </c>
      <c r="UA880" s="27" t="s">
        <v>8</v>
      </c>
      <c r="UB880" s="27" t="s">
        <v>7</v>
      </c>
      <c r="UC880" s="27" t="s">
        <v>8</v>
      </c>
      <c r="UD880" s="27" t="s">
        <v>7</v>
      </c>
      <c r="UF880" s="27" t="s">
        <v>7</v>
      </c>
      <c r="UM880" s="27" t="s">
        <v>8</v>
      </c>
      <c r="UN880" s="27" t="s">
        <v>7</v>
      </c>
      <c r="UO880" s="27" t="s">
        <v>8</v>
      </c>
      <c r="UP880" s="27" t="s">
        <v>7</v>
      </c>
    </row>
    <row r="881" spans="1:565" x14ac:dyDescent="0.25">
      <c r="A881" s="7">
        <v>2.9617575348572897E-3</v>
      </c>
      <c r="B881"/>
      <c r="C881"/>
      <c r="D881"/>
      <c r="E881"/>
      <c r="F881" s="27" t="s">
        <v>7</v>
      </c>
      <c r="PO881" s="27" t="s">
        <v>8</v>
      </c>
      <c r="PP881" s="27" t="s">
        <v>7</v>
      </c>
      <c r="PQ881" s="27" t="s">
        <v>8</v>
      </c>
      <c r="PR881" s="27" t="s">
        <v>7</v>
      </c>
      <c r="QV881" s="27" t="s">
        <v>7</v>
      </c>
      <c r="QW881" s="27" t="s">
        <v>8</v>
      </c>
      <c r="QX881" s="27" t="s">
        <v>7</v>
      </c>
      <c r="QY881" s="27" t="s">
        <v>8</v>
      </c>
      <c r="RF881" s="27" t="s">
        <v>7</v>
      </c>
      <c r="RS881" s="27" t="s">
        <v>8</v>
      </c>
      <c r="RT881" s="27" t="s">
        <v>7</v>
      </c>
      <c r="RU881" s="27" t="s">
        <v>8</v>
      </c>
      <c r="RV881" s="27" t="s">
        <v>7</v>
      </c>
      <c r="RW881" s="27" t="s">
        <v>8</v>
      </c>
      <c r="RX881" s="27" t="s">
        <v>7</v>
      </c>
      <c r="RY881" s="27" t="s">
        <v>8</v>
      </c>
      <c r="SV881" s="27" t="s">
        <v>7</v>
      </c>
      <c r="TZ881" s="27" t="s">
        <v>7</v>
      </c>
      <c r="UB881" s="27" t="s">
        <v>7</v>
      </c>
      <c r="UC881" s="27" t="s">
        <v>8</v>
      </c>
      <c r="UF881" s="27" t="s">
        <v>7</v>
      </c>
      <c r="UK881" s="27" t="s">
        <v>8</v>
      </c>
      <c r="UM881" s="27" t="s">
        <v>8</v>
      </c>
      <c r="UN881" s="27" t="s">
        <v>7</v>
      </c>
      <c r="UO881" s="27" t="s">
        <v>8</v>
      </c>
      <c r="UP881" s="27" t="s">
        <v>7</v>
      </c>
    </row>
    <row r="882" spans="1:565" x14ac:dyDescent="0.25">
      <c r="A882" s="7">
        <v>2.9036838577032251E-3</v>
      </c>
      <c r="B882"/>
      <c r="C882"/>
      <c r="D882"/>
      <c r="E882"/>
      <c r="F882" s="27" t="s">
        <v>7</v>
      </c>
      <c r="PO882" s="27" t="s">
        <v>8</v>
      </c>
      <c r="PP882" s="27" t="s">
        <v>7</v>
      </c>
      <c r="PQ882" s="27" t="s">
        <v>8</v>
      </c>
      <c r="QV882" s="27" t="s">
        <v>7</v>
      </c>
      <c r="QW882" s="27" t="s">
        <v>8</v>
      </c>
      <c r="QX882" s="27" t="s">
        <v>7</v>
      </c>
      <c r="QY882" s="27" t="s">
        <v>8</v>
      </c>
      <c r="RF882" s="27" t="s">
        <v>7</v>
      </c>
      <c r="RS882" s="27" t="s">
        <v>8</v>
      </c>
      <c r="RT882" s="27" t="s">
        <v>7</v>
      </c>
      <c r="RU882" s="27" t="s">
        <v>8</v>
      </c>
      <c r="RV882" s="27" t="s">
        <v>7</v>
      </c>
      <c r="RW882" s="27" t="s">
        <v>8</v>
      </c>
      <c r="RX882" s="27" t="s">
        <v>7</v>
      </c>
      <c r="RY882" s="27" t="s">
        <v>8</v>
      </c>
      <c r="UB882" s="27" t="s">
        <v>7</v>
      </c>
      <c r="UC882" s="27" t="s">
        <v>8</v>
      </c>
      <c r="UF882" s="27" t="s">
        <v>7</v>
      </c>
      <c r="UK882" s="27" t="s">
        <v>8</v>
      </c>
      <c r="UL882" s="27" t="s">
        <v>7</v>
      </c>
      <c r="UM882" s="27" t="s">
        <v>8</v>
      </c>
      <c r="UN882" s="27" t="s">
        <v>7</v>
      </c>
      <c r="UO882" s="27" t="s">
        <v>8</v>
      </c>
      <c r="UP882" s="27" t="s">
        <v>7</v>
      </c>
    </row>
    <row r="883" spans="1:565" x14ac:dyDescent="0.25">
      <c r="A883" s="7">
        <v>2.8467488801012012E-3</v>
      </c>
      <c r="B883"/>
      <c r="C883"/>
      <c r="D883"/>
      <c r="E883"/>
      <c r="F883" s="27" t="s">
        <v>7</v>
      </c>
      <c r="PO883" s="27" t="s">
        <v>8</v>
      </c>
      <c r="PP883" s="27" t="s">
        <v>7</v>
      </c>
      <c r="QV883" s="27" t="s">
        <v>7</v>
      </c>
      <c r="QW883" s="27" t="s">
        <v>8</v>
      </c>
      <c r="QX883" s="27" t="s">
        <v>7</v>
      </c>
      <c r="QY883" s="27" t="s">
        <v>8</v>
      </c>
      <c r="RF883" s="27" t="s">
        <v>7</v>
      </c>
      <c r="RI883" s="27" t="s">
        <v>8</v>
      </c>
      <c r="RS883" s="27" t="s">
        <v>8</v>
      </c>
      <c r="RT883" s="27" t="s">
        <v>7</v>
      </c>
      <c r="RU883" s="27" t="s">
        <v>8</v>
      </c>
      <c r="RV883" s="27" t="s">
        <v>7</v>
      </c>
      <c r="RW883" s="27" t="s">
        <v>8</v>
      </c>
      <c r="RX883" s="27" t="s">
        <v>7</v>
      </c>
      <c r="RY883" s="27" t="s">
        <v>8</v>
      </c>
      <c r="UB883" s="27" t="s">
        <v>7</v>
      </c>
      <c r="UC883" s="27" t="s">
        <v>8</v>
      </c>
      <c r="UF883" s="27" t="s">
        <v>7</v>
      </c>
      <c r="UG883" s="27" t="s">
        <v>8</v>
      </c>
      <c r="UK883" s="27" t="s">
        <v>8</v>
      </c>
      <c r="UL883" s="27" t="s">
        <v>7</v>
      </c>
      <c r="UM883" s="27" t="s">
        <v>8</v>
      </c>
      <c r="UN883" s="27" t="s">
        <v>7</v>
      </c>
      <c r="UO883" s="27" t="s">
        <v>8</v>
      </c>
      <c r="UP883" s="27" t="s">
        <v>7</v>
      </c>
    </row>
    <row r="884" spans="1:565" x14ac:dyDescent="0.25">
      <c r="A884" s="7">
        <v>2.7909302746090209E-3</v>
      </c>
      <c r="B884"/>
      <c r="C884"/>
      <c r="D884"/>
      <c r="E884"/>
      <c r="F884" s="27" t="s">
        <v>7</v>
      </c>
      <c r="PO884" s="27" t="s">
        <v>8</v>
      </c>
      <c r="QV884" s="27" t="s">
        <v>7</v>
      </c>
      <c r="QW884" s="27" t="s">
        <v>8</v>
      </c>
      <c r="QX884" s="27" t="s">
        <v>7</v>
      </c>
      <c r="QY884" s="27" t="s">
        <v>8</v>
      </c>
      <c r="RF884" s="27" t="s">
        <v>7</v>
      </c>
      <c r="RI884" s="27" t="s">
        <v>8</v>
      </c>
      <c r="RJ884" s="27" t="s">
        <v>7</v>
      </c>
      <c r="RK884" s="27" t="s">
        <v>8</v>
      </c>
      <c r="RM884" s="27" t="s">
        <v>8</v>
      </c>
      <c r="RS884" s="27" t="s">
        <v>8</v>
      </c>
      <c r="RT884" s="27" t="s">
        <v>7</v>
      </c>
      <c r="RU884" s="27" t="s">
        <v>8</v>
      </c>
      <c r="RV884" s="27" t="s">
        <v>7</v>
      </c>
      <c r="RW884" s="27" t="s">
        <v>8</v>
      </c>
      <c r="RX884" s="27" t="s">
        <v>7</v>
      </c>
      <c r="UB884" s="27" t="s">
        <v>7</v>
      </c>
      <c r="UC884" s="27" t="s">
        <v>8</v>
      </c>
      <c r="UF884" s="27" t="s">
        <v>7</v>
      </c>
      <c r="UG884" s="27" t="s">
        <v>8</v>
      </c>
      <c r="UH884" s="27" t="s">
        <v>7</v>
      </c>
      <c r="UK884" s="27" t="s">
        <v>8</v>
      </c>
      <c r="UL884" s="27" t="s">
        <v>7</v>
      </c>
      <c r="UM884" s="27" t="s">
        <v>8</v>
      </c>
      <c r="UN884" s="27" t="s">
        <v>7</v>
      </c>
      <c r="UO884" s="27" t="s">
        <v>8</v>
      </c>
      <c r="UP884" s="27" t="s">
        <v>7</v>
      </c>
      <c r="US884" s="27" t="s">
        <v>8</v>
      </c>
    </row>
    <row r="885" spans="1:565" x14ac:dyDescent="0.25">
      <c r="A885" s="7">
        <v>2.7362061515774716E-3</v>
      </c>
      <c r="B885"/>
      <c r="C885"/>
      <c r="D885"/>
      <c r="E885"/>
      <c r="F885" s="27" t="s">
        <v>7</v>
      </c>
      <c r="PO885" s="27" t="s">
        <v>8</v>
      </c>
      <c r="QV885" s="27" t="s">
        <v>7</v>
      </c>
      <c r="QW885" s="27" t="s">
        <v>8</v>
      </c>
      <c r="QX885" s="27" t="s">
        <v>7</v>
      </c>
      <c r="QY885" s="27" t="s">
        <v>8</v>
      </c>
      <c r="RF885" s="27" t="s">
        <v>7</v>
      </c>
      <c r="RI885" s="27" t="s">
        <v>8</v>
      </c>
      <c r="RJ885" s="27" t="s">
        <v>7</v>
      </c>
      <c r="RK885" s="27" t="s">
        <v>8</v>
      </c>
      <c r="RL885" s="27" t="s">
        <v>7</v>
      </c>
      <c r="RM885" s="27" t="s">
        <v>8</v>
      </c>
      <c r="RN885" s="27" t="s">
        <v>7</v>
      </c>
      <c r="RS885" s="27" t="s">
        <v>8</v>
      </c>
      <c r="RT885" s="27" t="s">
        <v>7</v>
      </c>
      <c r="RU885" s="27" t="s">
        <v>8</v>
      </c>
      <c r="RV885" s="27" t="s">
        <v>7</v>
      </c>
      <c r="RW885" s="27" t="s">
        <v>8</v>
      </c>
      <c r="UB885" s="27" t="s">
        <v>7</v>
      </c>
      <c r="UC885" s="27" t="s">
        <v>8</v>
      </c>
      <c r="UF885" s="27" t="s">
        <v>7</v>
      </c>
      <c r="UG885" s="27" t="s">
        <v>8</v>
      </c>
      <c r="UH885" s="27" t="s">
        <v>7</v>
      </c>
      <c r="UK885" s="27" t="s">
        <v>8</v>
      </c>
      <c r="UL885" s="27" t="s">
        <v>7</v>
      </c>
      <c r="UM885" s="27" t="s">
        <v>8</v>
      </c>
      <c r="UN885" s="27" t="s">
        <v>7</v>
      </c>
      <c r="UO885" s="27" t="s">
        <v>8</v>
      </c>
      <c r="UP885" s="27" t="s">
        <v>7</v>
      </c>
      <c r="US885" s="27" t="s">
        <v>8</v>
      </c>
    </row>
    <row r="886" spans="1:565" x14ac:dyDescent="0.25">
      <c r="A886" s="7">
        <v>2.6825550505661486E-3</v>
      </c>
      <c r="B886"/>
      <c r="C886"/>
      <c r="D886"/>
      <c r="E886"/>
      <c r="F886" s="27" t="s">
        <v>7</v>
      </c>
      <c r="PO886" s="27" t="s">
        <v>8</v>
      </c>
      <c r="QV886" s="27" t="s">
        <v>7</v>
      </c>
      <c r="QW886" s="27" t="s">
        <v>8</v>
      </c>
      <c r="QX886" s="27" t="s">
        <v>7</v>
      </c>
      <c r="RF886" s="27" t="s">
        <v>7</v>
      </c>
      <c r="RG886" s="27" t="s">
        <v>8</v>
      </c>
      <c r="RI886" s="27" t="s">
        <v>8</v>
      </c>
      <c r="RJ886" s="27" t="s">
        <v>7</v>
      </c>
      <c r="RK886" s="27" t="s">
        <v>8</v>
      </c>
      <c r="RL886" s="27" t="s">
        <v>7</v>
      </c>
      <c r="RM886" s="27" t="s">
        <v>8</v>
      </c>
      <c r="RN886" s="27" t="s">
        <v>7</v>
      </c>
      <c r="RS886" s="27" t="s">
        <v>8</v>
      </c>
      <c r="RT886" s="27" t="s">
        <v>7</v>
      </c>
      <c r="RU886" s="27" t="s">
        <v>8</v>
      </c>
      <c r="RV886" s="27" t="s">
        <v>7</v>
      </c>
      <c r="UB886" s="27" t="s">
        <v>7</v>
      </c>
      <c r="UC886" s="27" t="s">
        <v>8</v>
      </c>
      <c r="UF886" s="27" t="s">
        <v>7</v>
      </c>
      <c r="UG886" s="27" t="s">
        <v>8</v>
      </c>
      <c r="UH886" s="27" t="s">
        <v>7</v>
      </c>
      <c r="UI886" s="27" t="s">
        <v>8</v>
      </c>
      <c r="UK886" s="27" t="s">
        <v>8</v>
      </c>
      <c r="UL886" s="27" t="s">
        <v>7</v>
      </c>
      <c r="UM886" s="27" t="s">
        <v>8</v>
      </c>
      <c r="UN886" s="27" t="s">
        <v>7</v>
      </c>
      <c r="UO886" s="27" t="s">
        <v>8</v>
      </c>
      <c r="UP886" s="27" t="s">
        <v>7</v>
      </c>
      <c r="US886" s="27" t="s">
        <v>8</v>
      </c>
    </row>
    <row r="887" spans="1:565" x14ac:dyDescent="0.25">
      <c r="A887" s="7">
        <v>2.6299559319275965E-3</v>
      </c>
      <c r="B887"/>
      <c r="C887"/>
      <c r="D887"/>
      <c r="E887"/>
      <c r="F887" s="27" t="s">
        <v>7</v>
      </c>
      <c r="PO887" s="27" t="s">
        <v>8</v>
      </c>
      <c r="QV887" s="27" t="s">
        <v>7</v>
      </c>
      <c r="QW887" s="27" t="s">
        <v>8</v>
      </c>
      <c r="RF887" s="27" t="s">
        <v>7</v>
      </c>
      <c r="RG887" s="27" t="s">
        <v>8</v>
      </c>
      <c r="RH887" s="27" t="s">
        <v>7</v>
      </c>
      <c r="RI887" s="27" t="s">
        <v>8</v>
      </c>
      <c r="RJ887" s="27" t="s">
        <v>7</v>
      </c>
      <c r="RK887" s="27" t="s">
        <v>8</v>
      </c>
      <c r="RL887" s="27" t="s">
        <v>7</v>
      </c>
      <c r="RM887" s="27" t="s">
        <v>8</v>
      </c>
      <c r="RN887" s="27" t="s">
        <v>7</v>
      </c>
      <c r="RS887" s="27" t="s">
        <v>8</v>
      </c>
      <c r="RT887" s="27" t="s">
        <v>7</v>
      </c>
      <c r="RU887" s="27" t="s">
        <v>8</v>
      </c>
      <c r="UB887" s="27" t="s">
        <v>7</v>
      </c>
      <c r="UC887" s="27" t="s">
        <v>8</v>
      </c>
      <c r="UF887" s="27" t="s">
        <v>7</v>
      </c>
      <c r="UH887" s="27" t="s">
        <v>7</v>
      </c>
      <c r="UI887" s="27" t="s">
        <v>8</v>
      </c>
      <c r="UJ887" s="27" t="s">
        <v>7</v>
      </c>
      <c r="UK887" s="27" t="s">
        <v>8</v>
      </c>
      <c r="UL887" s="27" t="s">
        <v>7</v>
      </c>
      <c r="UN887" s="27" t="s">
        <v>7</v>
      </c>
      <c r="UP887" s="27" t="s">
        <v>7</v>
      </c>
      <c r="UQ887" s="27" t="s">
        <v>8</v>
      </c>
      <c r="US887" s="27" t="s">
        <v>8</v>
      </c>
    </row>
    <row r="888" spans="1:565" x14ac:dyDescent="0.25">
      <c r="A888" s="7">
        <v>2.578388168556467E-3</v>
      </c>
      <c r="B888"/>
      <c r="C888"/>
      <c r="D888"/>
      <c r="E888"/>
      <c r="F888" s="27" t="s">
        <v>7</v>
      </c>
      <c r="PO888" s="27" t="s">
        <v>8</v>
      </c>
      <c r="QV888" s="27" t="s">
        <v>7</v>
      </c>
      <c r="RF888" s="27" t="s">
        <v>7</v>
      </c>
      <c r="RG888" s="27" t="s">
        <v>8</v>
      </c>
      <c r="RH888" s="27" t="s">
        <v>7</v>
      </c>
      <c r="RI888" s="27" t="s">
        <v>8</v>
      </c>
      <c r="RJ888" s="27" t="s">
        <v>7</v>
      </c>
      <c r="RL888" s="27" t="s">
        <v>7</v>
      </c>
      <c r="RN888" s="27" t="s">
        <v>7</v>
      </c>
      <c r="RO888" s="27" t="s">
        <v>8</v>
      </c>
      <c r="RS888" s="27" t="s">
        <v>8</v>
      </c>
      <c r="RT888" s="27" t="s">
        <v>7</v>
      </c>
      <c r="RU888" s="27" t="s">
        <v>8</v>
      </c>
      <c r="UB888" s="27" t="s">
        <v>7</v>
      </c>
      <c r="UC888" s="27" t="s">
        <v>8</v>
      </c>
      <c r="UH888" s="27" t="s">
        <v>7</v>
      </c>
      <c r="UI888" s="27" t="s">
        <v>8</v>
      </c>
      <c r="UJ888" s="27" t="s">
        <v>7</v>
      </c>
      <c r="UK888" s="27" t="s">
        <v>8</v>
      </c>
      <c r="UP888" s="27" t="s">
        <v>7</v>
      </c>
      <c r="UQ888" s="27" t="s">
        <v>8</v>
      </c>
      <c r="UR888" s="27" t="s">
        <v>7</v>
      </c>
      <c r="US888" s="27" t="s">
        <v>8</v>
      </c>
    </row>
    <row r="889" spans="1:565" x14ac:dyDescent="0.25">
      <c r="A889" s="7">
        <v>2.5278315378004577E-3</v>
      </c>
      <c r="B889"/>
      <c r="C889"/>
      <c r="D889"/>
      <c r="E889"/>
      <c r="F889" s="27" t="s">
        <v>7</v>
      </c>
      <c r="PO889" s="27" t="s">
        <v>8</v>
      </c>
      <c r="RF889" s="27" t="s">
        <v>7</v>
      </c>
      <c r="RG889" s="27" t="s">
        <v>8</v>
      </c>
      <c r="RH889" s="27" t="s">
        <v>7</v>
      </c>
      <c r="RI889" s="27" t="s">
        <v>8</v>
      </c>
      <c r="RN889" s="27" t="s">
        <v>7</v>
      </c>
      <c r="RO889" s="27" t="s">
        <v>8</v>
      </c>
      <c r="RP889" s="27" t="s">
        <v>7</v>
      </c>
      <c r="RS889" s="27" t="s">
        <v>8</v>
      </c>
      <c r="RT889" s="27" t="s">
        <v>7</v>
      </c>
      <c r="RU889" s="27" t="s">
        <v>8</v>
      </c>
      <c r="UB889" s="27" t="s">
        <v>7</v>
      </c>
      <c r="UC889" s="27" t="s">
        <v>8</v>
      </c>
      <c r="UH889" s="27" t="s">
        <v>7</v>
      </c>
      <c r="UJ889" s="27" t="s">
        <v>7</v>
      </c>
      <c r="UK889" s="27" t="s">
        <v>8</v>
      </c>
      <c r="UP889" s="27" t="s">
        <v>7</v>
      </c>
      <c r="UQ889" s="27" t="s">
        <v>8</v>
      </c>
      <c r="UR889" s="27" t="s">
        <v>7</v>
      </c>
      <c r="US889" s="27" t="s">
        <v>8</v>
      </c>
    </row>
    <row r="890" spans="1:565" x14ac:dyDescent="0.25">
      <c r="A890" s="7">
        <v>2.4782662135298603E-3</v>
      </c>
      <c r="B890"/>
      <c r="C890"/>
      <c r="D890"/>
      <c r="E890"/>
      <c r="F890" s="27" t="s">
        <v>7</v>
      </c>
      <c r="PO890" s="27" t="s">
        <v>8</v>
      </c>
      <c r="RF890" s="27" t="s">
        <v>7</v>
      </c>
      <c r="RG890" s="27" t="s">
        <v>8</v>
      </c>
      <c r="RH890" s="27" t="s">
        <v>7</v>
      </c>
      <c r="RI890" s="27" t="s">
        <v>8</v>
      </c>
      <c r="RN890" s="27" t="s">
        <v>7</v>
      </c>
      <c r="RO890" s="27" t="s">
        <v>8</v>
      </c>
      <c r="RP890" s="27" t="s">
        <v>7</v>
      </c>
      <c r="RS890" s="27" t="s">
        <v>8</v>
      </c>
      <c r="RT890" s="27" t="s">
        <v>7</v>
      </c>
      <c r="UB890" s="27" t="s">
        <v>7</v>
      </c>
      <c r="UC890" s="27" t="s">
        <v>8</v>
      </c>
      <c r="UJ890" s="27" t="s">
        <v>7</v>
      </c>
      <c r="UP890" s="27" t="s">
        <v>7</v>
      </c>
      <c r="UQ890" s="27" t="s">
        <v>8</v>
      </c>
      <c r="UR890" s="27" t="s">
        <v>7</v>
      </c>
    </row>
    <row r="891" spans="1:565" x14ac:dyDescent="0.25">
      <c r="A891" s="7">
        <v>2.4296727583626083E-3</v>
      </c>
      <c r="B891"/>
      <c r="C891"/>
      <c r="D891"/>
      <c r="E891"/>
      <c r="F891" s="27" t="s">
        <v>7</v>
      </c>
      <c r="PO891" s="27" t="s">
        <v>8</v>
      </c>
      <c r="RF891" s="27" t="s">
        <v>7</v>
      </c>
      <c r="RG891" s="27" t="s">
        <v>8</v>
      </c>
      <c r="RH891" s="27" t="s">
        <v>7</v>
      </c>
      <c r="RI891" s="27" t="s">
        <v>8</v>
      </c>
      <c r="RN891" s="27" t="s">
        <v>7</v>
      </c>
      <c r="RO891" s="27" t="s">
        <v>8</v>
      </c>
      <c r="RP891" s="27" t="s">
        <v>7</v>
      </c>
      <c r="RS891" s="27" t="s">
        <v>8</v>
      </c>
      <c r="UB891" s="27" t="s">
        <v>7</v>
      </c>
      <c r="UC891" s="27" t="s">
        <v>8</v>
      </c>
      <c r="UP891" s="27" t="s">
        <v>7</v>
      </c>
      <c r="UQ891" s="27" t="s">
        <v>8</v>
      </c>
    </row>
    <row r="892" spans="1:565" x14ac:dyDescent="0.25">
      <c r="A892" s="7">
        <v>2.3820321160417726E-3</v>
      </c>
      <c r="B892"/>
      <c r="C892"/>
      <c r="D892"/>
      <c r="E892"/>
      <c r="F892" s="27" t="s">
        <v>7</v>
      </c>
      <c r="PO892" s="27" t="s">
        <v>8</v>
      </c>
      <c r="RF892" s="27" t="s">
        <v>7</v>
      </c>
      <c r="RG892" s="27" t="s">
        <v>8</v>
      </c>
      <c r="RH892" s="27" t="s">
        <v>7</v>
      </c>
      <c r="RI892" s="27" t="s">
        <v>8</v>
      </c>
      <c r="RN892" s="27" t="s">
        <v>7</v>
      </c>
      <c r="RP892" s="27" t="s">
        <v>7</v>
      </c>
      <c r="RS892" s="27" t="s">
        <v>8</v>
      </c>
      <c r="UB892" s="27" t="s">
        <v>7</v>
      </c>
      <c r="UC892" s="27" t="s">
        <v>8</v>
      </c>
      <c r="UP892" s="27" t="s">
        <v>7</v>
      </c>
      <c r="UQ892" s="27" t="s">
        <v>8</v>
      </c>
    </row>
    <row r="893" spans="1:565" x14ac:dyDescent="0.25">
      <c r="A893" s="7">
        <v>2.3353256039625224E-3</v>
      </c>
      <c r="B893"/>
      <c r="C893"/>
      <c r="D893"/>
      <c r="E893"/>
      <c r="F893" s="27" t="s">
        <v>7</v>
      </c>
      <c r="PO893" s="27" t="s">
        <v>8</v>
      </c>
      <c r="RF893" s="27" t="s">
        <v>7</v>
      </c>
      <c r="RG893" s="27" t="s">
        <v>8</v>
      </c>
      <c r="RH893" s="27" t="s">
        <v>7</v>
      </c>
      <c r="RI893" s="27" t="s">
        <v>8</v>
      </c>
      <c r="RP893" s="27" t="s">
        <v>7</v>
      </c>
      <c r="RS893" s="27" t="s">
        <v>8</v>
      </c>
      <c r="UB893" s="27" t="s">
        <v>7</v>
      </c>
      <c r="UC893" s="27" t="s">
        <v>8</v>
      </c>
      <c r="UP893" s="27" t="s">
        <v>7</v>
      </c>
    </row>
    <row r="894" spans="1:565" x14ac:dyDescent="0.25">
      <c r="A894" s="7">
        <v>2.2895349058456101E-3</v>
      </c>
      <c r="B894"/>
      <c r="C894"/>
      <c r="D894"/>
      <c r="E894"/>
      <c r="F894" s="27" t="s">
        <v>7</v>
      </c>
      <c r="PO894" s="27" t="s">
        <v>8</v>
      </c>
      <c r="RF894" s="27" t="s">
        <v>7</v>
      </c>
      <c r="RG894" s="27" t="s">
        <v>8</v>
      </c>
      <c r="RH894" s="27" t="s">
        <v>7</v>
      </c>
      <c r="RI894" s="27" t="s">
        <v>8</v>
      </c>
      <c r="RP894" s="27" t="s">
        <v>7</v>
      </c>
      <c r="RQ894" s="27" t="s">
        <v>8</v>
      </c>
      <c r="RS894" s="27" t="s">
        <v>8</v>
      </c>
      <c r="UB894" s="27" t="s">
        <v>7</v>
      </c>
      <c r="UC894" s="27" t="s">
        <v>8</v>
      </c>
    </row>
    <row r="895" spans="1:565" x14ac:dyDescent="0.25">
      <c r="A895" s="7">
        <v>2.24464206455452E-3</v>
      </c>
      <c r="B895"/>
      <c r="C895"/>
      <c r="D895"/>
      <c r="E895"/>
      <c r="F895" s="27" t="s">
        <v>7</v>
      </c>
      <c r="PO895" s="27" t="s">
        <v>8</v>
      </c>
      <c r="RF895" s="27" t="s">
        <v>7</v>
      </c>
      <c r="RG895" s="27" t="s">
        <v>8</v>
      </c>
      <c r="RH895" s="27" t="s">
        <v>7</v>
      </c>
      <c r="RP895" s="27" t="s">
        <v>7</v>
      </c>
      <c r="RQ895" s="27" t="s">
        <v>8</v>
      </c>
      <c r="RR895" s="27" t="s">
        <v>7</v>
      </c>
      <c r="RS895" s="27" t="s">
        <v>8</v>
      </c>
      <c r="UB895" s="27" t="s">
        <v>7</v>
      </c>
      <c r="UC895" s="27" t="s">
        <v>8</v>
      </c>
    </row>
    <row r="896" spans="1:565" x14ac:dyDescent="0.25">
      <c r="A896" s="7">
        <v>2.200629475053451E-3</v>
      </c>
      <c r="B896"/>
      <c r="C896"/>
      <c r="D896"/>
      <c r="E896"/>
      <c r="F896" s="27" t="s">
        <v>7</v>
      </c>
      <c r="PO896" s="27" t="s">
        <v>8</v>
      </c>
      <c r="RF896" s="27" t="s">
        <v>7</v>
      </c>
      <c r="RG896" s="27" t="s">
        <v>8</v>
      </c>
      <c r="RP896" s="27" t="s">
        <v>7</v>
      </c>
      <c r="RQ896" s="27" t="s">
        <v>8</v>
      </c>
      <c r="RR896" s="27" t="s">
        <v>7</v>
      </c>
      <c r="RS896" s="27" t="s">
        <v>8</v>
      </c>
      <c r="UB896" s="27" t="s">
        <v>7</v>
      </c>
      <c r="UC896" s="27" t="s">
        <v>8</v>
      </c>
    </row>
    <row r="897" spans="1:549" x14ac:dyDescent="0.25">
      <c r="A897" s="7">
        <v>2.1574798775033832E-3</v>
      </c>
      <c r="B897"/>
      <c r="C897"/>
      <c r="D897"/>
      <c r="E897"/>
      <c r="F897" s="27" t="s">
        <v>7</v>
      </c>
      <c r="PO897" s="27" t="s">
        <v>8</v>
      </c>
      <c r="RF897" s="27" t="s">
        <v>7</v>
      </c>
      <c r="RG897" s="27" t="s">
        <v>8</v>
      </c>
      <c r="RP897" s="27" t="s">
        <v>7</v>
      </c>
      <c r="RR897" s="27" t="s">
        <v>7</v>
      </c>
      <c r="RS897" s="27" t="s">
        <v>8</v>
      </c>
      <c r="UB897" s="27" t="s">
        <v>7</v>
      </c>
      <c r="UC897" s="27" t="s">
        <v>8</v>
      </c>
    </row>
    <row r="898" spans="1:549" x14ac:dyDescent="0.25">
      <c r="A898" s="7">
        <v>2.115176350493513E-3</v>
      </c>
      <c r="B898"/>
      <c r="C898"/>
      <c r="D898"/>
      <c r="E898"/>
      <c r="F898" s="27" t="s">
        <v>7</v>
      </c>
      <c r="PO898" s="27" t="s">
        <v>8</v>
      </c>
      <c r="RF898" s="27" t="s">
        <v>7</v>
      </c>
      <c r="RG898" s="27" t="s">
        <v>8</v>
      </c>
      <c r="RR898" s="27" t="s">
        <v>7</v>
      </c>
      <c r="RS898" s="27" t="s">
        <v>8</v>
      </c>
      <c r="UB898" s="27" t="s">
        <v>7</v>
      </c>
      <c r="UC898" s="27" t="s">
        <v>8</v>
      </c>
    </row>
    <row r="899" spans="1:549" x14ac:dyDescent="0.25">
      <c r="A899" s="7">
        <v>2.0737023044054047E-3</v>
      </c>
      <c r="B899"/>
      <c r="C899"/>
      <c r="D899"/>
      <c r="E899"/>
      <c r="F899" s="27" t="s">
        <v>7</v>
      </c>
      <c r="PO899" s="27" t="s">
        <v>8</v>
      </c>
      <c r="RF899" s="27" t="s">
        <v>7</v>
      </c>
      <c r="RG899" s="27" t="s">
        <v>8</v>
      </c>
      <c r="RR899" s="18" t="s">
        <v>7</v>
      </c>
      <c r="RS899" s="27" t="s">
        <v>8</v>
      </c>
      <c r="UB899" s="27" t="s">
        <v>7</v>
      </c>
      <c r="UC899" s="27" t="s">
        <v>8</v>
      </c>
    </row>
    <row r="900" spans="1:549" x14ac:dyDescent="0.25">
      <c r="A900" s="7">
        <v>2.0330414749072595E-3</v>
      </c>
      <c r="B900"/>
      <c r="C900"/>
      <c r="D900"/>
      <c r="E900"/>
      <c r="F900" s="27" t="s">
        <v>7</v>
      </c>
      <c r="PO900" s="27" t="s">
        <v>8</v>
      </c>
      <c r="RF900" s="27" t="s">
        <v>7</v>
      </c>
      <c r="RG900" s="27" t="s">
        <v>8</v>
      </c>
      <c r="RR900" s="27" t="s">
        <v>7</v>
      </c>
      <c r="RS900" s="27" t="s">
        <v>8</v>
      </c>
      <c r="UB900" s="27" t="s">
        <v>7</v>
      </c>
    </row>
    <row r="901" spans="1:549" x14ac:dyDescent="0.25">
      <c r="A901" s="7">
        <v>1.9931779165757446E-3</v>
      </c>
      <c r="B901"/>
      <c r="C901"/>
      <c r="D901"/>
      <c r="E901"/>
      <c r="F901" s="27" t="s">
        <v>7</v>
      </c>
      <c r="OS901" s="27" t="s">
        <v>8</v>
      </c>
      <c r="PK901" s="27" t="s">
        <v>8</v>
      </c>
      <c r="PO901" s="27" t="s">
        <v>8</v>
      </c>
      <c r="RF901" s="27" t="s">
        <v>7</v>
      </c>
      <c r="RG901" s="27" t="s">
        <v>8</v>
      </c>
      <c r="RR901" s="27" t="s">
        <v>7</v>
      </c>
      <c r="RS901" s="27" t="s">
        <v>8</v>
      </c>
    </row>
    <row r="902" spans="1:549" x14ac:dyDescent="0.25">
      <c r="A902" s="7">
        <v>1.954095996642887E-3</v>
      </c>
      <c r="B902"/>
      <c r="C902"/>
      <c r="D902"/>
      <c r="E902"/>
      <c r="F902" s="27" t="s">
        <v>7</v>
      </c>
      <c r="OS902" s="27" t="s">
        <v>8</v>
      </c>
      <c r="OT902" s="27" t="s">
        <v>7</v>
      </c>
      <c r="OY902" s="27" t="s">
        <v>8</v>
      </c>
      <c r="PK902" s="27" t="s">
        <v>8</v>
      </c>
      <c r="PL902" s="27" t="s">
        <v>7</v>
      </c>
      <c r="PO902" s="27" t="s">
        <v>8</v>
      </c>
      <c r="RF902" s="27" t="s">
        <v>7</v>
      </c>
      <c r="RG902" s="27" t="s">
        <v>8</v>
      </c>
      <c r="RR902" s="27" t="s">
        <v>7</v>
      </c>
      <c r="RS902" s="27" t="s">
        <v>8</v>
      </c>
    </row>
    <row r="903" spans="1:549" x14ac:dyDescent="0.25">
      <c r="A903" s="7">
        <v>1.9157803888655755E-3</v>
      </c>
      <c r="B903"/>
      <c r="C903"/>
      <c r="D903"/>
      <c r="E903"/>
      <c r="F903" s="27" t="s">
        <v>7</v>
      </c>
      <c r="OS903" s="27" t="s">
        <v>8</v>
      </c>
      <c r="OT903" s="27" t="s">
        <v>7</v>
      </c>
      <c r="OY903" s="27" t="s">
        <v>8</v>
      </c>
      <c r="OZ903" s="27" t="s">
        <v>7</v>
      </c>
      <c r="PK903" s="27" t="s">
        <v>8</v>
      </c>
      <c r="PL903" s="27" t="s">
        <v>7</v>
      </c>
      <c r="PO903" s="27" t="s">
        <v>8</v>
      </c>
      <c r="RF903" s="27" t="s">
        <v>7</v>
      </c>
      <c r="RG903" s="27" t="s">
        <v>8</v>
      </c>
      <c r="RR903" s="27" t="s">
        <v>7</v>
      </c>
    </row>
    <row r="904" spans="1:549" x14ac:dyDescent="0.25">
      <c r="A904" s="7">
        <v>1.8782160675152703E-3</v>
      </c>
      <c r="B904"/>
      <c r="C904"/>
      <c r="D904"/>
      <c r="E904"/>
      <c r="F904" s="27" t="s">
        <v>7</v>
      </c>
      <c r="OS904" s="27" t="s">
        <v>8</v>
      </c>
      <c r="OT904" s="27" t="s">
        <v>7</v>
      </c>
      <c r="OY904" s="27" t="s">
        <v>8</v>
      </c>
      <c r="OZ904" s="27" t="s">
        <v>7</v>
      </c>
      <c r="PK904" s="27" t="s">
        <v>8</v>
      </c>
      <c r="PL904" s="27" t="s">
        <v>7</v>
      </c>
      <c r="PO904" s="27" t="s">
        <v>8</v>
      </c>
      <c r="RF904" s="27" t="s">
        <v>7</v>
      </c>
      <c r="RG904" s="27" t="s">
        <v>8</v>
      </c>
    </row>
    <row r="905" spans="1:549" x14ac:dyDescent="0.25">
      <c r="A905" s="7">
        <v>1.8413883014855592E-3</v>
      </c>
      <c r="B905"/>
      <c r="C905"/>
      <c r="D905"/>
      <c r="E905"/>
      <c r="F905" s="27" t="s">
        <v>7</v>
      </c>
      <c r="OS905" s="27" t="s">
        <v>8</v>
      </c>
      <c r="OT905" s="27" t="s">
        <v>7</v>
      </c>
      <c r="OY905" s="27" t="s">
        <v>8</v>
      </c>
      <c r="OZ905" s="27" t="s">
        <v>7</v>
      </c>
      <c r="PK905" s="27" t="s">
        <v>8</v>
      </c>
      <c r="PL905" s="27" t="s">
        <v>7</v>
      </c>
      <c r="PO905" s="27" t="s">
        <v>8</v>
      </c>
      <c r="RF905" s="27" t="s">
        <v>7</v>
      </c>
      <c r="RG905" s="27" t="s">
        <v>8</v>
      </c>
    </row>
    <row r="906" spans="1:549" x14ac:dyDescent="0.25">
      <c r="A906" s="7">
        <v>1.8052826485152542E-3</v>
      </c>
      <c r="B906"/>
      <c r="C906"/>
      <c r="D906"/>
      <c r="E906"/>
      <c r="F906" s="27" t="s">
        <v>7</v>
      </c>
      <c r="OS906" s="27" t="s">
        <v>8</v>
      </c>
      <c r="OT906" s="27" t="s">
        <v>7</v>
      </c>
      <c r="OY906" s="27" t="s">
        <v>8</v>
      </c>
      <c r="OZ906" s="27" t="s">
        <v>7</v>
      </c>
      <c r="PK906" s="27" t="s">
        <v>8</v>
      </c>
      <c r="PL906" s="27" t="s">
        <v>7</v>
      </c>
      <c r="PO906" s="27" t="s">
        <v>8</v>
      </c>
      <c r="RF906" s="27" t="s">
        <v>7</v>
      </c>
    </row>
    <row r="907" spans="1:549" x14ac:dyDescent="0.25">
      <c r="A907" s="7">
        <v>1.7698849495247592E-3</v>
      </c>
      <c r="B907"/>
      <c r="C907"/>
      <c r="D907"/>
      <c r="E907"/>
      <c r="F907" s="27" t="s">
        <v>7</v>
      </c>
      <c r="OS907" s="27" t="s">
        <v>8</v>
      </c>
      <c r="OT907" s="27" t="s">
        <v>7</v>
      </c>
      <c r="OY907" s="27" t="s">
        <v>8</v>
      </c>
      <c r="OZ907" s="27" t="s">
        <v>7</v>
      </c>
      <c r="PK907" s="27" t="s">
        <v>8</v>
      </c>
      <c r="PL907" s="27" t="s">
        <v>7</v>
      </c>
      <c r="PO907" s="27" t="s">
        <v>8</v>
      </c>
    </row>
    <row r="908" spans="1:549" x14ac:dyDescent="0.25">
      <c r="A908" s="7">
        <v>1.7351813230634893E-3</v>
      </c>
      <c r="B908"/>
      <c r="C908"/>
      <c r="D908"/>
      <c r="E908"/>
      <c r="F908" s="27" t="s">
        <v>7</v>
      </c>
      <c r="OS908" s="27" t="s">
        <v>8</v>
      </c>
      <c r="OT908" s="27" t="s">
        <v>7</v>
      </c>
      <c r="OY908" s="27" t="s">
        <v>8</v>
      </c>
      <c r="OZ908" s="27" t="s">
        <v>7</v>
      </c>
      <c r="PK908" s="27" t="s">
        <v>8</v>
      </c>
      <c r="PL908" s="27" t="s">
        <v>7</v>
      </c>
      <c r="PO908" s="27" t="s">
        <v>8</v>
      </c>
    </row>
    <row r="909" spans="1:549" x14ac:dyDescent="0.25">
      <c r="A909" s="7">
        <v>1.701158159866166E-3</v>
      </c>
      <c r="B909"/>
      <c r="C909"/>
      <c r="D909"/>
      <c r="E909"/>
      <c r="F909" s="27" t="s">
        <v>7</v>
      </c>
      <c r="OS909" s="27" t="s">
        <v>8</v>
      </c>
      <c r="OT909" s="27" t="s">
        <v>7</v>
      </c>
      <c r="OY909" s="27" t="s">
        <v>8</v>
      </c>
      <c r="OZ909" s="27" t="s">
        <v>7</v>
      </c>
      <c r="PK909" s="27" t="s">
        <v>8</v>
      </c>
      <c r="PL909" s="27" t="s">
        <v>7</v>
      </c>
      <c r="PM909" s="27" t="s">
        <v>8</v>
      </c>
      <c r="PO909" s="27" t="s">
        <v>8</v>
      </c>
    </row>
    <row r="910" spans="1:549" x14ac:dyDescent="0.25">
      <c r="A910" s="7">
        <v>1.6678021175158492E-3</v>
      </c>
      <c r="B910"/>
      <c r="C910"/>
      <c r="D910"/>
      <c r="E910"/>
      <c r="F910" s="27" t="s">
        <v>7</v>
      </c>
      <c r="OS910" s="27" t="s">
        <v>8</v>
      </c>
      <c r="OT910" s="27" t="s">
        <v>7</v>
      </c>
      <c r="OY910" s="27" t="s">
        <v>8</v>
      </c>
      <c r="OZ910" s="27" t="s">
        <v>7</v>
      </c>
      <c r="PK910" s="27" t="s">
        <v>8</v>
      </c>
      <c r="PL910" s="27" t="s">
        <v>7</v>
      </c>
      <c r="PM910" s="27" t="s">
        <v>8</v>
      </c>
      <c r="PN910" s="27" t="s">
        <v>7</v>
      </c>
      <c r="PO910" s="27" t="s">
        <v>8</v>
      </c>
    </row>
    <row r="911" spans="1:549" x14ac:dyDescent="0.25">
      <c r="A911" s="7">
        <v>1.6351001152116167E-3</v>
      </c>
      <c r="B911"/>
      <c r="C911"/>
      <c r="D911"/>
      <c r="E911"/>
      <c r="F911" s="27" t="s">
        <v>7</v>
      </c>
      <c r="OS911" s="27" t="s">
        <v>8</v>
      </c>
      <c r="OT911" s="27" t="s">
        <v>7</v>
      </c>
      <c r="OY911" s="27" t="s">
        <v>8</v>
      </c>
      <c r="OZ911" s="27" t="s">
        <v>7</v>
      </c>
      <c r="PK911" s="27" t="s">
        <v>8</v>
      </c>
      <c r="PL911" s="27" t="s">
        <v>7</v>
      </c>
      <c r="PM911" s="27" t="s">
        <v>8</v>
      </c>
      <c r="PN911" s="27" t="s">
        <v>7</v>
      </c>
      <c r="PO911" s="27" t="s">
        <v>8</v>
      </c>
    </row>
    <row r="912" spans="1:549" x14ac:dyDescent="0.25">
      <c r="A912" s="7">
        <v>1.60303932863884E-3</v>
      </c>
      <c r="B912"/>
      <c r="C912"/>
      <c r="D912"/>
      <c r="E912"/>
      <c r="F912" s="27" t="s">
        <v>7</v>
      </c>
      <c r="OS912" s="27" t="s">
        <v>8</v>
      </c>
      <c r="OT912" s="27" t="s">
        <v>7</v>
      </c>
      <c r="OY912" s="27" t="s">
        <v>8</v>
      </c>
      <c r="OZ912" s="27" t="s">
        <v>7</v>
      </c>
      <c r="PK912" s="27" t="s">
        <v>8</v>
      </c>
      <c r="PL912" s="27" t="s">
        <v>7</v>
      </c>
      <c r="PM912" s="27" t="s">
        <v>8</v>
      </c>
      <c r="PN912" s="27" t="s">
        <v>7</v>
      </c>
    </row>
    <row r="913" spans="1:429" x14ac:dyDescent="0.25">
      <c r="A913" s="7">
        <v>1.5716071849400392E-3</v>
      </c>
      <c r="B913"/>
      <c r="C913"/>
      <c r="D913"/>
      <c r="E913"/>
      <c r="F913" s="27" t="s">
        <v>7</v>
      </c>
      <c r="OS913" s="27" t="s">
        <v>8</v>
      </c>
      <c r="OT913" s="27" t="s">
        <v>7</v>
      </c>
      <c r="OY913" s="27" t="s">
        <v>8</v>
      </c>
      <c r="OZ913" s="27" t="s">
        <v>7</v>
      </c>
      <c r="PI913" s="27" t="s">
        <v>8</v>
      </c>
      <c r="PK913" s="27" t="s">
        <v>8</v>
      </c>
      <c r="PL913" s="27" t="s">
        <v>7</v>
      </c>
      <c r="PM913" s="27" t="s">
        <v>8</v>
      </c>
    </row>
    <row r="914" spans="1:429" x14ac:dyDescent="0.25">
      <c r="A914" s="7">
        <v>1.5407913577843522E-3</v>
      </c>
      <c r="B914"/>
      <c r="C914"/>
      <c r="D914"/>
      <c r="E914"/>
      <c r="F914" s="27" t="s">
        <v>7</v>
      </c>
      <c r="OS914" s="27" t="s">
        <v>8</v>
      </c>
      <c r="OT914" s="27" t="s">
        <v>7</v>
      </c>
      <c r="OY914" s="27" t="s">
        <v>8</v>
      </c>
      <c r="OZ914" s="27" t="s">
        <v>7</v>
      </c>
      <c r="PI914" s="27" t="s">
        <v>8</v>
      </c>
      <c r="PJ914" s="27" t="s">
        <v>7</v>
      </c>
      <c r="PK914" s="27" t="s">
        <v>8</v>
      </c>
      <c r="PL914" s="27" t="s">
        <v>7</v>
      </c>
    </row>
    <row r="915" spans="1:429" x14ac:dyDescent="0.25">
      <c r="A915" s="7">
        <v>1.5105797625336785E-3</v>
      </c>
      <c r="B915"/>
      <c r="C915"/>
      <c r="D915"/>
      <c r="E915"/>
      <c r="F915" s="27" t="s">
        <v>7</v>
      </c>
      <c r="OS915" s="27" t="s">
        <v>8</v>
      </c>
      <c r="OT915" s="27" t="s">
        <v>7</v>
      </c>
      <c r="OY915" s="27" t="s">
        <v>8</v>
      </c>
      <c r="OZ915" s="27" t="s">
        <v>7</v>
      </c>
      <c r="PA915" s="27" t="s">
        <v>8</v>
      </c>
      <c r="PI915" s="27" t="s">
        <v>8</v>
      </c>
      <c r="PJ915" s="27" t="s">
        <v>7</v>
      </c>
      <c r="PK915" s="27" t="s">
        <v>8</v>
      </c>
    </row>
    <row r="916" spans="1:429" x14ac:dyDescent="0.25">
      <c r="A916" s="7">
        <v>1.4809605515036064E-3</v>
      </c>
      <c r="B916"/>
      <c r="C916"/>
      <c r="D916"/>
      <c r="E916"/>
      <c r="F916" s="27" t="s">
        <v>7</v>
      </c>
      <c r="OS916" s="27" t="s">
        <v>8</v>
      </c>
      <c r="OT916" s="27" t="s">
        <v>7</v>
      </c>
      <c r="OY916" s="27" t="s">
        <v>8</v>
      </c>
      <c r="OZ916" s="27" t="s">
        <v>7</v>
      </c>
      <c r="PA916" s="27" t="s">
        <v>8</v>
      </c>
      <c r="PB916" s="27" t="s">
        <v>7</v>
      </c>
      <c r="PI916" s="27" t="s">
        <v>8</v>
      </c>
      <c r="PJ916" s="27" t="s">
        <v>7</v>
      </c>
      <c r="PK916" s="27" t="s">
        <v>8</v>
      </c>
    </row>
    <row r="917" spans="1:429" x14ac:dyDescent="0.25">
      <c r="A917" s="7">
        <v>1.4519221093172612E-3</v>
      </c>
      <c r="B917"/>
      <c r="C917"/>
      <c r="D917"/>
      <c r="E917"/>
      <c r="F917" s="27" t="s">
        <v>7</v>
      </c>
      <c r="OS917" s="27" t="s">
        <v>8</v>
      </c>
      <c r="OT917" s="27" t="s">
        <v>7</v>
      </c>
      <c r="OY917" s="27" t="s">
        <v>8</v>
      </c>
      <c r="OZ917" s="27" t="s">
        <v>7</v>
      </c>
      <c r="PA917" s="27" t="s">
        <v>8</v>
      </c>
      <c r="PB917" s="27" t="s">
        <v>7</v>
      </c>
      <c r="PI917" s="27" t="s">
        <v>8</v>
      </c>
      <c r="PJ917" s="27" t="s">
        <v>7</v>
      </c>
      <c r="PK917" s="27" t="s">
        <v>8</v>
      </c>
    </row>
    <row r="918" spans="1:429" x14ac:dyDescent="0.25">
      <c r="A918" s="7">
        <v>1.423453048350256E-3</v>
      </c>
      <c r="B918"/>
      <c r="C918"/>
      <c r="D918"/>
      <c r="E918"/>
      <c r="F918" s="27" t="s">
        <v>7</v>
      </c>
      <c r="OS918" s="27" t="s">
        <v>8</v>
      </c>
      <c r="OT918" s="27" t="s">
        <v>7</v>
      </c>
      <c r="OU918" s="27" t="s">
        <v>8</v>
      </c>
      <c r="OY918" s="27" t="s">
        <v>8</v>
      </c>
      <c r="OZ918" s="27" t="s">
        <v>7</v>
      </c>
      <c r="PA918" s="27" t="s">
        <v>8</v>
      </c>
      <c r="PB918" s="27" t="s">
        <v>7</v>
      </c>
      <c r="PI918" s="27" t="s">
        <v>8</v>
      </c>
      <c r="PJ918" s="27" t="s">
        <v>7</v>
      </c>
      <c r="PK918" s="27" t="s">
        <v>8</v>
      </c>
    </row>
    <row r="919" spans="1:429" x14ac:dyDescent="0.25">
      <c r="A919" s="7">
        <v>1.3955422042649568E-3</v>
      </c>
      <c r="B919"/>
      <c r="C919"/>
      <c r="D919"/>
      <c r="E919"/>
      <c r="F919" s="27" t="s">
        <v>7</v>
      </c>
      <c r="OS919" s="27" t="s">
        <v>8</v>
      </c>
      <c r="OT919" s="27" t="s">
        <v>7</v>
      </c>
      <c r="OU919" s="27" t="s">
        <v>8</v>
      </c>
      <c r="OV919" s="27" t="s">
        <v>7</v>
      </c>
      <c r="OY919" s="27" t="s">
        <v>8</v>
      </c>
      <c r="OZ919" s="27" t="s">
        <v>7</v>
      </c>
      <c r="PA919" s="27" t="s">
        <v>8</v>
      </c>
      <c r="PB919" s="27" t="s">
        <v>7</v>
      </c>
      <c r="PG919" s="27" t="s">
        <v>8</v>
      </c>
      <c r="PI919" s="27" t="s">
        <v>8</v>
      </c>
      <c r="PJ919" s="27" t="s">
        <v>7</v>
      </c>
      <c r="PK919" s="27" t="s">
        <v>8</v>
      </c>
    </row>
    <row r="920" spans="1:429" x14ac:dyDescent="0.25">
      <c r="A920" s="7">
        <v>1.3681786316323105E-3</v>
      </c>
      <c r="B920"/>
      <c r="C920"/>
      <c r="D920"/>
      <c r="E920"/>
      <c r="F920" s="27" t="s">
        <v>7</v>
      </c>
      <c r="OS920" s="27" t="s">
        <v>8</v>
      </c>
      <c r="OT920" s="27" t="s">
        <v>7</v>
      </c>
      <c r="OU920" s="27" t="s">
        <v>8</v>
      </c>
      <c r="OV920" s="27" t="s">
        <v>7</v>
      </c>
      <c r="OW920" s="27" t="s">
        <v>8</v>
      </c>
      <c r="OY920" s="27" t="s">
        <v>8</v>
      </c>
      <c r="OZ920" s="27" t="s">
        <v>7</v>
      </c>
      <c r="PA920" s="27" t="s">
        <v>8</v>
      </c>
      <c r="PB920" s="27" t="s">
        <v>7</v>
      </c>
      <c r="PG920" s="27" t="s">
        <v>8</v>
      </c>
      <c r="PH920" s="27" t="s">
        <v>7</v>
      </c>
      <c r="PI920" s="27" t="s">
        <v>8</v>
      </c>
      <c r="PJ920" s="27" t="s">
        <v>7</v>
      </c>
      <c r="PK920" s="27" t="s">
        <v>8</v>
      </c>
    </row>
    <row r="921" spans="1:429" x14ac:dyDescent="0.25">
      <c r="A921" s="7">
        <v>1.3413515996395203E-3</v>
      </c>
      <c r="B921"/>
      <c r="C921"/>
      <c r="D921"/>
      <c r="E921"/>
      <c r="F921" s="27" t="s">
        <v>7</v>
      </c>
      <c r="OS921" s="27" t="s">
        <v>8</v>
      </c>
      <c r="OT921" s="27" t="s">
        <v>7</v>
      </c>
      <c r="OU921" s="27" t="s">
        <v>8</v>
      </c>
      <c r="OV921" s="27" t="s">
        <v>7</v>
      </c>
      <c r="OW921" s="27" t="s">
        <v>8</v>
      </c>
      <c r="OX921" s="27" t="s">
        <v>7</v>
      </c>
      <c r="OY921" s="27" t="s">
        <v>8</v>
      </c>
      <c r="OZ921" s="27" t="s">
        <v>7</v>
      </c>
      <c r="PA921" s="27" t="s">
        <v>8</v>
      </c>
      <c r="PB921" s="27" t="s">
        <v>7</v>
      </c>
      <c r="PG921" s="27" t="s">
        <v>8</v>
      </c>
      <c r="PH921" s="27" t="s">
        <v>7</v>
      </c>
      <c r="PI921" s="27" t="s">
        <v>8</v>
      </c>
      <c r="PJ921" s="27" t="s">
        <v>7</v>
      </c>
      <c r="PK921" s="27" t="s">
        <v>8</v>
      </c>
    </row>
    <row r="922" spans="1:429" x14ac:dyDescent="0.25">
      <c r="A922" s="7">
        <v>1.3150505878818826E-3</v>
      </c>
      <c r="B922"/>
      <c r="C922"/>
      <c r="D922"/>
      <c r="E922"/>
      <c r="F922" s="27" t="s">
        <v>7</v>
      </c>
      <c r="OS922" s="27" t="s">
        <v>8</v>
      </c>
      <c r="OT922" s="27" t="s">
        <v>7</v>
      </c>
      <c r="OU922" s="27" t="s">
        <v>8</v>
      </c>
      <c r="OV922" s="27" t="s">
        <v>7</v>
      </c>
      <c r="OW922" s="27" t="s">
        <v>8</v>
      </c>
      <c r="OX922" s="27" t="s">
        <v>7</v>
      </c>
      <c r="OY922" s="27" t="s">
        <v>8</v>
      </c>
      <c r="OZ922" s="27" t="s">
        <v>7</v>
      </c>
      <c r="PA922" s="27" t="s">
        <v>8</v>
      </c>
      <c r="PB922" s="27" t="s">
        <v>7</v>
      </c>
      <c r="PC922" s="27" t="s">
        <v>8</v>
      </c>
      <c r="PG922" s="27" t="s">
        <v>8</v>
      </c>
      <c r="PH922" s="27" t="s">
        <v>7</v>
      </c>
      <c r="PI922" s="27" t="s">
        <v>8</v>
      </c>
      <c r="PJ922" s="27" t="s">
        <v>7</v>
      </c>
      <c r="PK922" s="27" t="s">
        <v>8</v>
      </c>
    </row>
    <row r="923" spans="1:429" x14ac:dyDescent="0.25">
      <c r="A923" s="7">
        <v>1.2892652822371396E-3</v>
      </c>
      <c r="B923"/>
      <c r="C923"/>
      <c r="D923"/>
      <c r="E923"/>
      <c r="F923" s="27" t="s">
        <v>7</v>
      </c>
      <c r="OS923" s="27" t="s">
        <v>8</v>
      </c>
      <c r="OT923" s="27" t="s">
        <v>7</v>
      </c>
      <c r="OU923" s="27" t="s">
        <v>8</v>
      </c>
      <c r="OV923" s="27" t="s">
        <v>7</v>
      </c>
      <c r="OW923" s="27" t="s">
        <v>8</v>
      </c>
      <c r="OX923" s="27" t="s">
        <v>7</v>
      </c>
      <c r="OY923" s="27" t="s">
        <v>8</v>
      </c>
      <c r="OZ923" s="27" t="s">
        <v>7</v>
      </c>
      <c r="PA923" s="27" t="s">
        <v>8</v>
      </c>
      <c r="PB923" s="27" t="s">
        <v>7</v>
      </c>
      <c r="PC923" s="27" t="s">
        <v>8</v>
      </c>
      <c r="PD923" s="27" t="s">
        <v>7</v>
      </c>
      <c r="PG923" s="27" t="s">
        <v>8</v>
      </c>
      <c r="PH923" s="27" t="s">
        <v>7</v>
      </c>
      <c r="PI923" s="27" t="s">
        <v>8</v>
      </c>
      <c r="PJ923" s="27" t="s">
        <v>7</v>
      </c>
    </row>
    <row r="924" spans="1:429" x14ac:dyDescent="0.25">
      <c r="A924" s="7">
        <v>1.2639855708207251E-3</v>
      </c>
      <c r="B924"/>
      <c r="C924"/>
      <c r="D924"/>
      <c r="E924"/>
      <c r="F924" s="27" t="s">
        <v>7</v>
      </c>
      <c r="OS924" s="27" t="s">
        <v>8</v>
      </c>
      <c r="OT924" s="27" t="s">
        <v>7</v>
      </c>
      <c r="OU924" s="27" t="s">
        <v>8</v>
      </c>
      <c r="OV924" s="27" t="s">
        <v>7</v>
      </c>
      <c r="OW924" s="27" t="s">
        <v>8</v>
      </c>
      <c r="OX924" s="27" t="s">
        <v>7</v>
      </c>
      <c r="OY924" s="27" t="s">
        <v>8</v>
      </c>
      <c r="OZ924" s="27" t="s">
        <v>7</v>
      </c>
      <c r="PA924" s="27" t="s">
        <v>8</v>
      </c>
      <c r="PB924" s="27" t="s">
        <v>7</v>
      </c>
      <c r="PC924" s="27" t="s">
        <v>8</v>
      </c>
      <c r="PD924" s="27" t="s">
        <v>7</v>
      </c>
      <c r="PE924" s="27" t="s">
        <v>8</v>
      </c>
      <c r="PG924" s="27" t="s">
        <v>8</v>
      </c>
      <c r="PH924" s="27" t="s">
        <v>7</v>
      </c>
    </row>
    <row r="925" spans="1:429" x14ac:dyDescent="0.25">
      <c r="A925" s="7">
        <v>1.2392015400203187E-3</v>
      </c>
      <c r="B925"/>
      <c r="C925"/>
      <c r="D925"/>
      <c r="E925"/>
      <c r="F925" s="27" t="s">
        <v>7</v>
      </c>
      <c r="OS925" s="27" t="s">
        <v>8</v>
      </c>
      <c r="OT925" s="27" t="s">
        <v>7</v>
      </c>
      <c r="OU925" s="27" t="s">
        <v>8</v>
      </c>
      <c r="OV925" s="27" t="s">
        <v>7</v>
      </c>
      <c r="OW925" s="27" t="s">
        <v>8</v>
      </c>
      <c r="OX925" s="27" t="s">
        <v>7</v>
      </c>
      <c r="OY925" s="27" t="s">
        <v>8</v>
      </c>
      <c r="OZ925" s="27" t="s">
        <v>7</v>
      </c>
      <c r="PA925" s="27" t="s">
        <v>8</v>
      </c>
      <c r="PB925" s="27" t="s">
        <v>7</v>
      </c>
      <c r="PD925" s="27" t="s">
        <v>7</v>
      </c>
      <c r="PE925" s="27" t="s">
        <v>8</v>
      </c>
      <c r="PF925" s="27" t="s">
        <v>7</v>
      </c>
      <c r="PG925" s="27" t="s">
        <v>8</v>
      </c>
    </row>
    <row r="926" spans="1:429" x14ac:dyDescent="0.25">
      <c r="A926" s="7">
        <v>1.2149034706081556E-3</v>
      </c>
      <c r="B926"/>
      <c r="C926"/>
      <c r="D926"/>
      <c r="E926"/>
      <c r="F926" s="27" t="s">
        <v>7</v>
      </c>
      <c r="OS926" s="27" t="s">
        <v>8</v>
      </c>
      <c r="OT926" s="27" t="s">
        <v>7</v>
      </c>
      <c r="OU926" s="27" t="s">
        <v>8</v>
      </c>
      <c r="OV926" s="27" t="s">
        <v>7</v>
      </c>
      <c r="OW926" s="27" t="s">
        <v>8</v>
      </c>
      <c r="OX926" s="27" t="s">
        <v>7</v>
      </c>
      <c r="OZ926" s="27" t="s">
        <v>7</v>
      </c>
      <c r="PA926" s="27" t="s">
        <v>8</v>
      </c>
      <c r="PD926" s="27" t="s">
        <v>7</v>
      </c>
      <c r="PE926" s="27" t="s">
        <v>8</v>
      </c>
      <c r="PF926" s="27" t="s">
        <v>7</v>
      </c>
      <c r="PG926" s="27" t="s">
        <v>8</v>
      </c>
    </row>
    <row r="927" spans="1:429" x14ac:dyDescent="0.25">
      <c r="A927" s="7">
        <v>1.1910818339295644E-3</v>
      </c>
      <c r="B927"/>
      <c r="C927"/>
      <c r="D927"/>
      <c r="E927"/>
      <c r="F927" s="27" t="s">
        <v>7</v>
      </c>
      <c r="OS927" s="27" t="s">
        <v>8</v>
      </c>
      <c r="OT927" s="27" t="s">
        <v>7</v>
      </c>
      <c r="OU927" s="27" t="s">
        <v>8</v>
      </c>
      <c r="OV927" s="27" t="s">
        <v>7</v>
      </c>
      <c r="OW927" s="27" t="s">
        <v>8</v>
      </c>
      <c r="OZ927" s="27" t="s">
        <v>7</v>
      </c>
      <c r="PA927" s="27" t="s">
        <v>8</v>
      </c>
      <c r="PD927" s="27" t="s">
        <v>7</v>
      </c>
      <c r="PE927" s="27" t="s">
        <v>8</v>
      </c>
      <c r="PF927" s="27" t="s">
        <v>7</v>
      </c>
      <c r="PG927" s="27" t="s">
        <v>8</v>
      </c>
    </row>
    <row r="928" spans="1:429" x14ac:dyDescent="0.25">
      <c r="A928" s="7">
        <v>1.1677272881662395E-3</v>
      </c>
      <c r="B928"/>
      <c r="C928"/>
      <c r="D928"/>
      <c r="E928"/>
      <c r="F928" s="27" t="s">
        <v>7</v>
      </c>
      <c r="OS928" s="27" t="s">
        <v>8</v>
      </c>
      <c r="OT928" s="27" t="s">
        <v>7</v>
      </c>
      <c r="OU928" s="27" t="s">
        <v>8</v>
      </c>
      <c r="OV928" s="27" t="s">
        <v>7</v>
      </c>
      <c r="OW928" s="27" t="s">
        <v>8</v>
      </c>
      <c r="OZ928" s="27" t="s">
        <v>7</v>
      </c>
      <c r="PA928" s="27" t="s">
        <v>8</v>
      </c>
      <c r="PD928" s="27" t="s">
        <v>7</v>
      </c>
      <c r="PE928" s="27" t="s">
        <v>8</v>
      </c>
      <c r="PF928" s="27" t="s">
        <v>7</v>
      </c>
      <c r="PG928" s="27" t="s">
        <v>8</v>
      </c>
    </row>
    <row r="929" spans="1:422" x14ac:dyDescent="0.25">
      <c r="A929" s="7">
        <v>1.1448306746727837E-3</v>
      </c>
      <c r="B929"/>
      <c r="C929"/>
      <c r="D929"/>
      <c r="E929"/>
      <c r="F929" s="27" t="s">
        <v>7</v>
      </c>
      <c r="OS929" s="27" t="s">
        <v>8</v>
      </c>
      <c r="OT929" s="27" t="s">
        <v>7</v>
      </c>
      <c r="OU929" s="27" t="s">
        <v>8</v>
      </c>
      <c r="OV929" s="27" t="s">
        <v>7</v>
      </c>
      <c r="OW929" s="27" t="s">
        <v>8</v>
      </c>
      <c r="OZ929" s="27" t="s">
        <v>7</v>
      </c>
      <c r="PA929" s="27" t="s">
        <v>8</v>
      </c>
      <c r="PD929" s="27" t="s">
        <v>7</v>
      </c>
      <c r="PE929" s="27" t="s">
        <v>8</v>
      </c>
      <c r="PF929" s="27" t="s">
        <v>7</v>
      </c>
    </row>
    <row r="930" spans="1:422" x14ac:dyDescent="0.25">
      <c r="A930" s="7">
        <v>1.1223830143850821E-3</v>
      </c>
      <c r="B930"/>
      <c r="C930"/>
      <c r="D930"/>
      <c r="E930"/>
      <c r="F930" s="27" t="s">
        <v>7</v>
      </c>
      <c r="OS930" s="27" t="s">
        <v>8</v>
      </c>
      <c r="OT930" s="27" t="s">
        <v>7</v>
      </c>
      <c r="OU930" s="27" t="s">
        <v>8</v>
      </c>
      <c r="OV930" s="27" t="s">
        <v>7</v>
      </c>
      <c r="OW930" s="27" t="s">
        <v>8</v>
      </c>
      <c r="OZ930" s="27" t="s">
        <v>7</v>
      </c>
      <c r="PA930" s="27" t="s">
        <v>8</v>
      </c>
      <c r="PD930" s="27" t="s">
        <v>7</v>
      </c>
      <c r="PE930" s="27" t="s">
        <v>8</v>
      </c>
    </row>
    <row r="931" spans="1:422" x14ac:dyDescent="0.25">
      <c r="A931" s="7">
        <v>1.1003755042991001E-3</v>
      </c>
      <c r="B931"/>
      <c r="C931"/>
      <c r="D931"/>
      <c r="E931"/>
      <c r="F931" s="27" t="s">
        <v>7</v>
      </c>
      <c r="OS931" s="27" t="s">
        <v>8</v>
      </c>
      <c r="OT931" s="27" t="s">
        <v>7</v>
      </c>
      <c r="OU931" s="27" t="s">
        <v>8</v>
      </c>
      <c r="OV931" s="27" t="s">
        <v>7</v>
      </c>
      <c r="OW931" s="27" t="s">
        <v>8</v>
      </c>
      <c r="OZ931" s="27" t="s">
        <v>7</v>
      </c>
      <c r="PA931" s="27" t="s">
        <v>8</v>
      </c>
      <c r="PD931" s="27" t="s">
        <v>7</v>
      </c>
      <c r="PE931" s="27" t="s">
        <v>8</v>
      </c>
    </row>
    <row r="932" spans="1:422" x14ac:dyDescent="0.25">
      <c r="A932" s="7">
        <v>1.0787995140187257E-3</v>
      </c>
      <c r="B932"/>
      <c r="C932"/>
      <c r="D932"/>
      <c r="E932"/>
      <c r="F932" s="27" t="s">
        <v>7</v>
      </c>
      <c r="OS932" s="27" t="s">
        <v>8</v>
      </c>
      <c r="OT932" s="27" t="s">
        <v>7</v>
      </c>
      <c r="OU932" s="27" t="s">
        <v>8</v>
      </c>
      <c r="OV932" s="27" t="s">
        <v>7</v>
      </c>
      <c r="OW932" s="27" t="s">
        <v>8</v>
      </c>
      <c r="OZ932" s="27" t="s">
        <v>7</v>
      </c>
      <c r="PA932" s="27" t="s">
        <v>8</v>
      </c>
      <c r="PD932" s="27" t="s">
        <v>7</v>
      </c>
      <c r="PE932" s="27" t="s">
        <v>8</v>
      </c>
    </row>
    <row r="933" spans="1:422" x14ac:dyDescent="0.25">
      <c r="A933" s="7">
        <v>1.0576465823712996E-3</v>
      </c>
      <c r="B933"/>
      <c r="C933"/>
      <c r="D933"/>
      <c r="E933"/>
      <c r="F933" s="27" t="s">
        <v>7</v>
      </c>
      <c r="OS933" s="27" t="s">
        <v>8</v>
      </c>
      <c r="OT933" s="27" t="s">
        <v>7</v>
      </c>
      <c r="OU933" s="27" t="s">
        <v>8</v>
      </c>
      <c r="OV933" s="27" t="s">
        <v>7</v>
      </c>
      <c r="OW933" s="27" t="s">
        <v>8</v>
      </c>
      <c r="OZ933" s="27" t="s">
        <v>7</v>
      </c>
      <c r="PA933" s="27" t="s">
        <v>8</v>
      </c>
      <c r="PD933" s="27" t="s">
        <v>7</v>
      </c>
    </row>
    <row r="934" spans="1:422" x14ac:dyDescent="0.25">
      <c r="A934" s="7">
        <v>1.0369084140895094E-3</v>
      </c>
      <c r="B934"/>
      <c r="C934"/>
      <c r="D934"/>
      <c r="E934"/>
      <c r="F934" s="27" t="s">
        <v>7</v>
      </c>
      <c r="OS934" s="27" t="s">
        <v>8</v>
      </c>
      <c r="OT934" s="27" t="s">
        <v>7</v>
      </c>
      <c r="OV934" s="27" t="s">
        <v>7</v>
      </c>
      <c r="OW934" s="27" t="s">
        <v>8</v>
      </c>
      <c r="OZ934" s="27" t="s">
        <v>7</v>
      </c>
      <c r="PA934" s="27" t="s">
        <v>8</v>
      </c>
    </row>
    <row r="935" spans="1:422" x14ac:dyDescent="0.25">
      <c r="A935" s="7">
        <v>1.0165768765583426E-3</v>
      </c>
      <c r="B935"/>
      <c r="C935"/>
      <c r="D935"/>
      <c r="E935"/>
      <c r="F935" s="27" t="s">
        <v>7</v>
      </c>
      <c r="OS935" s="27" t="s">
        <v>8</v>
      </c>
      <c r="OV935" s="27" t="s">
        <v>7</v>
      </c>
      <c r="OW935" s="27" t="s">
        <v>8</v>
      </c>
      <c r="OZ935" s="27" t="s">
        <v>7</v>
      </c>
    </row>
    <row r="936" spans="1:422" x14ac:dyDescent="0.25">
      <c r="A936" s="7">
        <v>9.966439966258261E-4</v>
      </c>
      <c r="B936"/>
      <c r="C936"/>
      <c r="D936"/>
      <c r="E936"/>
      <c r="F936" s="27" t="s">
        <v>7</v>
      </c>
      <c r="G936" s="27" t="s">
        <v>8</v>
      </c>
      <c r="I936" s="27" t="s">
        <v>8</v>
      </c>
      <c r="K936" s="27" t="s">
        <v>8</v>
      </c>
      <c r="M936" s="27" t="s">
        <v>8</v>
      </c>
      <c r="O936" s="27" t="s">
        <v>8</v>
      </c>
      <c r="Q936" s="27" t="s">
        <v>8</v>
      </c>
      <c r="S936" s="27" t="s">
        <v>8</v>
      </c>
      <c r="U936" s="27" t="s">
        <v>8</v>
      </c>
      <c r="W936" s="27" t="s">
        <v>8</v>
      </c>
      <c r="Y936" s="27" t="s">
        <v>8</v>
      </c>
      <c r="AA936" s="27" t="s">
        <v>8</v>
      </c>
      <c r="AC936" s="27" t="s">
        <v>8</v>
      </c>
      <c r="AE936" s="27" t="s">
        <v>8</v>
      </c>
      <c r="AG936" s="27" t="s">
        <v>8</v>
      </c>
      <c r="AI936" s="27" t="s">
        <v>8</v>
      </c>
      <c r="AK936" s="27" t="s">
        <v>8</v>
      </c>
      <c r="AM936" s="27" t="s">
        <v>8</v>
      </c>
      <c r="AO936" s="27" t="s">
        <v>8</v>
      </c>
      <c r="AQ936" s="27" t="s">
        <v>8</v>
      </c>
      <c r="AS936" s="27" t="s">
        <v>8</v>
      </c>
      <c r="AU936" s="27" t="s">
        <v>8</v>
      </c>
      <c r="AW936" s="27" t="s">
        <v>8</v>
      </c>
      <c r="AY936" s="27" t="s">
        <v>8</v>
      </c>
      <c r="BA936" s="27" t="s">
        <v>8</v>
      </c>
      <c r="BC936" s="27" t="s">
        <v>8</v>
      </c>
      <c r="BE936" s="27" t="s">
        <v>8</v>
      </c>
      <c r="BG936" s="27" t="s">
        <v>8</v>
      </c>
      <c r="BI936" s="27" t="s">
        <v>8</v>
      </c>
      <c r="BK936" s="27" t="s">
        <v>8</v>
      </c>
      <c r="BM936" s="27" t="s">
        <v>8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27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G936" s="27" t="s">
        <v>8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Y936" s="27" t="s">
        <v>8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  <c r="FI936" s="27" t="s">
        <v>8</v>
      </c>
      <c r="FK936" s="27" t="s">
        <v>8</v>
      </c>
      <c r="FM936" s="27" t="s">
        <v>8</v>
      </c>
      <c r="FO936" s="27" t="s">
        <v>8</v>
      </c>
      <c r="FQ936" s="27" t="s">
        <v>8</v>
      </c>
      <c r="FS936" s="27" t="s">
        <v>8</v>
      </c>
      <c r="FU936" s="27" t="s">
        <v>8</v>
      </c>
      <c r="FW936" s="27" t="s">
        <v>8</v>
      </c>
      <c r="FY936" s="27" t="s">
        <v>8</v>
      </c>
      <c r="GA936" s="27" t="s">
        <v>8</v>
      </c>
      <c r="GC936" s="27" t="s">
        <v>8</v>
      </c>
      <c r="GE936" s="27" t="s">
        <v>8</v>
      </c>
      <c r="GG936" s="27" t="s">
        <v>8</v>
      </c>
      <c r="GI936" s="27" t="s">
        <v>8</v>
      </c>
      <c r="GK936" s="27" t="s">
        <v>8</v>
      </c>
      <c r="GM936" s="27" t="s">
        <v>8</v>
      </c>
      <c r="GO936" s="27" t="s">
        <v>8</v>
      </c>
      <c r="GQ936" s="27" t="s">
        <v>8</v>
      </c>
      <c r="GS936" s="27" t="s">
        <v>8</v>
      </c>
      <c r="GU936" s="27" t="s">
        <v>8</v>
      </c>
      <c r="GW936" s="27" t="s">
        <v>8</v>
      </c>
      <c r="GY936" s="27" t="s">
        <v>8</v>
      </c>
      <c r="HA936" s="27" t="s">
        <v>8</v>
      </c>
      <c r="HC936" s="27" t="s">
        <v>8</v>
      </c>
      <c r="HE936" s="27" t="s">
        <v>8</v>
      </c>
      <c r="HG936" s="27" t="s">
        <v>8</v>
      </c>
      <c r="HI936" s="27" t="s">
        <v>8</v>
      </c>
      <c r="HK936" s="27" t="s">
        <v>8</v>
      </c>
      <c r="HM936" s="27" t="s">
        <v>8</v>
      </c>
      <c r="HO936" s="27" t="s">
        <v>8</v>
      </c>
      <c r="HQ936" s="27" t="s">
        <v>8</v>
      </c>
      <c r="HS936" s="27" t="s">
        <v>8</v>
      </c>
      <c r="HU936" s="27" t="s">
        <v>8</v>
      </c>
      <c r="HW936" s="27" t="s">
        <v>8</v>
      </c>
      <c r="HY936" s="27" t="s">
        <v>8</v>
      </c>
      <c r="IA936" s="27" t="s">
        <v>8</v>
      </c>
      <c r="IC936" s="27" t="s">
        <v>8</v>
      </c>
      <c r="IE936" s="27" t="s">
        <v>8</v>
      </c>
      <c r="IG936" s="27" t="s">
        <v>8</v>
      </c>
      <c r="II936" s="27" t="s">
        <v>8</v>
      </c>
      <c r="IK936" s="27" t="s">
        <v>8</v>
      </c>
      <c r="IM936" s="27" t="s">
        <v>8</v>
      </c>
      <c r="IO936" s="27" t="s">
        <v>8</v>
      </c>
      <c r="IQ936" s="27" t="s">
        <v>8</v>
      </c>
      <c r="IS936" s="27" t="s">
        <v>8</v>
      </c>
      <c r="IU936" s="27" t="s">
        <v>8</v>
      </c>
      <c r="IW936" s="27" t="s">
        <v>8</v>
      </c>
      <c r="IY936" s="27" t="s">
        <v>8</v>
      </c>
      <c r="JA936" s="27" t="s">
        <v>8</v>
      </c>
      <c r="JC936" s="27" t="s">
        <v>8</v>
      </c>
      <c r="JE936" s="27" t="s">
        <v>8</v>
      </c>
      <c r="JG936" s="27" t="s">
        <v>8</v>
      </c>
      <c r="JI936" s="27" t="s">
        <v>8</v>
      </c>
      <c r="JK936" s="27" t="s">
        <v>8</v>
      </c>
      <c r="JM936" s="27" t="s">
        <v>8</v>
      </c>
      <c r="JO936" s="27" t="s">
        <v>8</v>
      </c>
      <c r="JQ936" s="27" t="s">
        <v>8</v>
      </c>
      <c r="JS936" s="27" t="s">
        <v>8</v>
      </c>
      <c r="JU936" s="27" t="s">
        <v>8</v>
      </c>
      <c r="JW936" s="27" t="s">
        <v>8</v>
      </c>
      <c r="JY936" s="27" t="s">
        <v>8</v>
      </c>
      <c r="KA936" s="27" t="s">
        <v>8</v>
      </c>
      <c r="KC936" s="27" t="s">
        <v>8</v>
      </c>
      <c r="KE936" s="27" t="s">
        <v>8</v>
      </c>
      <c r="KG936" s="27" t="s">
        <v>8</v>
      </c>
      <c r="KI936" s="27" t="s">
        <v>8</v>
      </c>
      <c r="KK936" s="27" t="s">
        <v>8</v>
      </c>
      <c r="KM936" s="27" t="s">
        <v>8</v>
      </c>
      <c r="KO936" s="27" t="s">
        <v>8</v>
      </c>
      <c r="KQ936" s="27" t="s">
        <v>8</v>
      </c>
      <c r="KS936" s="27" t="s">
        <v>8</v>
      </c>
      <c r="KU936" s="27" t="s">
        <v>8</v>
      </c>
      <c r="KW936" s="27" t="s">
        <v>8</v>
      </c>
      <c r="KY936" s="27" t="s">
        <v>8</v>
      </c>
      <c r="LA936" s="27" t="s">
        <v>8</v>
      </c>
      <c r="LC936" s="27" t="s">
        <v>8</v>
      </c>
      <c r="LE936" s="27" t="s">
        <v>8</v>
      </c>
      <c r="LG936" s="27" t="s">
        <v>8</v>
      </c>
      <c r="LI936" s="27" t="s">
        <v>8</v>
      </c>
      <c r="LK936" s="27" t="s">
        <v>8</v>
      </c>
      <c r="LM936" s="27" t="s">
        <v>8</v>
      </c>
      <c r="LO936" s="27" t="s">
        <v>8</v>
      </c>
      <c r="LQ936" s="27" t="s">
        <v>8</v>
      </c>
      <c r="LS936" s="27" t="s">
        <v>8</v>
      </c>
      <c r="LU936" s="27" t="s">
        <v>8</v>
      </c>
      <c r="LW936" s="27" t="s">
        <v>8</v>
      </c>
      <c r="LY936" s="27" t="s">
        <v>8</v>
      </c>
      <c r="MA936" s="27" t="s">
        <v>8</v>
      </c>
      <c r="MC936" s="27" t="s">
        <v>8</v>
      </c>
      <c r="ME936" s="27" t="s">
        <v>8</v>
      </c>
      <c r="MG936" s="27" t="s">
        <v>8</v>
      </c>
      <c r="MI936" s="27" t="s">
        <v>8</v>
      </c>
      <c r="MK936" s="27" t="s">
        <v>8</v>
      </c>
      <c r="MM936" s="27" t="s">
        <v>8</v>
      </c>
      <c r="MO936" s="27" t="s">
        <v>8</v>
      </c>
      <c r="MQ936" s="27" t="s">
        <v>8</v>
      </c>
      <c r="MS936" s="27" t="s">
        <v>8</v>
      </c>
      <c r="MU936" s="27" t="s">
        <v>8</v>
      </c>
      <c r="MW936" s="27" t="s">
        <v>8</v>
      </c>
      <c r="MY936" s="27" t="s">
        <v>8</v>
      </c>
      <c r="NA936" s="27" t="s">
        <v>8</v>
      </c>
      <c r="NC936" s="27" t="s">
        <v>8</v>
      </c>
      <c r="NE936" s="27" t="s">
        <v>8</v>
      </c>
      <c r="NG936" s="27" t="s">
        <v>8</v>
      </c>
      <c r="NI936" s="27" t="s">
        <v>8</v>
      </c>
      <c r="NK936" s="27" t="s">
        <v>8</v>
      </c>
      <c r="NM936" s="27" t="s">
        <v>8</v>
      </c>
      <c r="NO936" s="27" t="s">
        <v>8</v>
      </c>
      <c r="NQ936" s="27" t="s">
        <v>8</v>
      </c>
      <c r="NS936" s="27" t="s">
        <v>8</v>
      </c>
      <c r="NU936" s="27" t="s">
        <v>8</v>
      </c>
      <c r="NW936" s="27" t="s">
        <v>8</v>
      </c>
      <c r="NY936" s="27" t="s">
        <v>8</v>
      </c>
      <c r="OA936" s="27" t="s">
        <v>8</v>
      </c>
      <c r="OC936" s="27" t="s">
        <v>8</v>
      </c>
      <c r="OE936" s="27" t="s">
        <v>8</v>
      </c>
      <c r="OG936" s="27" t="s">
        <v>8</v>
      </c>
      <c r="OI936" s="27" t="s">
        <v>8</v>
      </c>
      <c r="OK936" s="27" t="s">
        <v>8</v>
      </c>
      <c r="OM936" s="27" t="s">
        <v>8</v>
      </c>
      <c r="OO936" s="27" t="s">
        <v>8</v>
      </c>
      <c r="OQ936" s="27" t="s">
        <v>8</v>
      </c>
      <c r="OS936" s="27" t="s">
        <v>8</v>
      </c>
      <c r="OV936" s="27" t="s">
        <v>7</v>
      </c>
      <c r="OW936" s="27" t="s">
        <v>8</v>
      </c>
    </row>
    <row r="937" spans="1:422" x14ac:dyDescent="0.25">
      <c r="F937" s="27" t="s">
        <v>7</v>
      </c>
      <c r="H937" s="27" t="s">
        <v>7</v>
      </c>
      <c r="J937" s="27" t="s">
        <v>7</v>
      </c>
      <c r="L937" s="27" t="s">
        <v>7</v>
      </c>
      <c r="N937" s="27" t="s">
        <v>7</v>
      </c>
      <c r="P937" s="27" t="s">
        <v>7</v>
      </c>
      <c r="R937" s="27" t="s">
        <v>7</v>
      </c>
      <c r="T937" s="27" t="s">
        <v>7</v>
      </c>
      <c r="V937" s="27" t="s">
        <v>7</v>
      </c>
      <c r="X937" s="27" t="s">
        <v>7</v>
      </c>
      <c r="Z937" s="27" t="s">
        <v>7</v>
      </c>
      <c r="AB937" s="27" t="s">
        <v>7</v>
      </c>
      <c r="AD937" s="27" t="s">
        <v>7</v>
      </c>
      <c r="AF937" s="27" t="s">
        <v>7</v>
      </c>
      <c r="AH937" s="27" t="s">
        <v>7</v>
      </c>
      <c r="AJ937" s="27" t="s">
        <v>7</v>
      </c>
      <c r="AL937" s="27" t="s">
        <v>7</v>
      </c>
      <c r="AN937" s="27" t="s">
        <v>7</v>
      </c>
      <c r="AP937" s="27" t="s">
        <v>7</v>
      </c>
      <c r="AR937" s="27" t="s">
        <v>7</v>
      </c>
      <c r="AT937" s="27" t="s">
        <v>7</v>
      </c>
      <c r="AV937" s="27" t="s">
        <v>7</v>
      </c>
      <c r="AX937" s="27" t="s">
        <v>7</v>
      </c>
      <c r="AZ937" s="27" t="s">
        <v>7</v>
      </c>
      <c r="BB937" s="27" t="s">
        <v>7</v>
      </c>
      <c r="BD937" s="27" t="s">
        <v>7</v>
      </c>
      <c r="BF937" s="27" t="s">
        <v>7</v>
      </c>
      <c r="BH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F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H937" s="27" t="s">
        <v>7</v>
      </c>
      <c r="FJ937" s="27" t="s">
        <v>7</v>
      </c>
      <c r="FL937" s="27" t="s">
        <v>7</v>
      </c>
      <c r="FN937" s="27" t="s">
        <v>7</v>
      </c>
      <c r="FP937" s="27" t="s">
        <v>7</v>
      </c>
      <c r="FR937" s="27" t="s">
        <v>7</v>
      </c>
      <c r="FT937" s="27" t="s">
        <v>7</v>
      </c>
      <c r="FV937" s="27" t="s">
        <v>7</v>
      </c>
      <c r="FX937" s="27" t="s">
        <v>7</v>
      </c>
      <c r="FZ937" s="27" t="s">
        <v>7</v>
      </c>
      <c r="GB937" s="27" t="s">
        <v>7</v>
      </c>
      <c r="GD937" s="27" t="s">
        <v>7</v>
      </c>
      <c r="GF937" s="27" t="s">
        <v>7</v>
      </c>
      <c r="GH937" s="27" t="s">
        <v>7</v>
      </c>
      <c r="GJ937" s="27" t="s">
        <v>7</v>
      </c>
      <c r="GL937" s="27" t="s">
        <v>7</v>
      </c>
      <c r="GN937" s="27" t="s">
        <v>7</v>
      </c>
      <c r="GP937" s="27" t="s">
        <v>7</v>
      </c>
      <c r="GR937" s="27" t="s">
        <v>7</v>
      </c>
      <c r="GT937" s="27" t="s">
        <v>7</v>
      </c>
      <c r="GV937" s="27" t="s">
        <v>7</v>
      </c>
      <c r="GX937" s="27" t="s">
        <v>7</v>
      </c>
      <c r="GZ937" s="27" t="s">
        <v>7</v>
      </c>
      <c r="HB937" s="27" t="s">
        <v>7</v>
      </c>
      <c r="HD937" s="27" t="s">
        <v>7</v>
      </c>
      <c r="HF937" s="27" t="s">
        <v>7</v>
      </c>
      <c r="HH937" s="27" t="s">
        <v>7</v>
      </c>
      <c r="HJ937" s="27" t="s">
        <v>7</v>
      </c>
      <c r="HL937" s="27" t="s">
        <v>7</v>
      </c>
      <c r="HN937" s="27" t="s">
        <v>7</v>
      </c>
      <c r="HP937" s="27" t="s">
        <v>7</v>
      </c>
      <c r="HR937" s="27" t="s">
        <v>7</v>
      </c>
      <c r="HT937" s="27" t="s">
        <v>7</v>
      </c>
      <c r="HV937" s="27" t="s">
        <v>7</v>
      </c>
      <c r="HX937" s="27" t="s">
        <v>7</v>
      </c>
      <c r="HZ937" s="27" t="s">
        <v>7</v>
      </c>
      <c r="IB937" s="27" t="s">
        <v>7</v>
      </c>
      <c r="ID937" s="27" t="s">
        <v>7</v>
      </c>
      <c r="IF937" s="27" t="s">
        <v>7</v>
      </c>
      <c r="IH937" s="27" t="s">
        <v>7</v>
      </c>
      <c r="IJ937" s="27" t="s">
        <v>7</v>
      </c>
      <c r="IL937" s="27" t="s">
        <v>7</v>
      </c>
      <c r="IN937" s="27" t="s">
        <v>7</v>
      </c>
      <c r="IP937" s="27" t="s">
        <v>7</v>
      </c>
      <c r="IR937" s="27" t="s">
        <v>7</v>
      </c>
      <c r="IT937" s="27" t="s">
        <v>7</v>
      </c>
      <c r="IV937" s="27" t="s">
        <v>7</v>
      </c>
      <c r="IX937" s="27" t="s">
        <v>7</v>
      </c>
      <c r="IZ937" s="27" t="s">
        <v>7</v>
      </c>
      <c r="JB937" s="27" t="s">
        <v>7</v>
      </c>
      <c r="JD937" s="27" t="s">
        <v>7</v>
      </c>
      <c r="JF937" s="27" t="s">
        <v>7</v>
      </c>
      <c r="JH937" s="27" t="s">
        <v>7</v>
      </c>
      <c r="JJ937" s="27" t="s">
        <v>7</v>
      </c>
      <c r="JL937" s="27" t="s">
        <v>7</v>
      </c>
      <c r="JN937" s="27" t="s">
        <v>7</v>
      </c>
      <c r="JP937" s="27" t="s">
        <v>7</v>
      </c>
      <c r="JR937" s="27" t="s">
        <v>7</v>
      </c>
      <c r="JT937" s="27" t="s">
        <v>7</v>
      </c>
      <c r="JV937" s="27" t="s">
        <v>7</v>
      </c>
      <c r="JX937" s="27" t="s">
        <v>7</v>
      </c>
      <c r="JZ937" s="27" t="s">
        <v>7</v>
      </c>
      <c r="KB937" s="27" t="s">
        <v>7</v>
      </c>
      <c r="KD937" s="27" t="s">
        <v>7</v>
      </c>
      <c r="KF937" s="27" t="s">
        <v>7</v>
      </c>
      <c r="KH937" s="27" t="s">
        <v>7</v>
      </c>
      <c r="KJ937" s="27" t="s">
        <v>7</v>
      </c>
      <c r="KL937" s="27" t="s">
        <v>7</v>
      </c>
      <c r="KN937" s="27" t="s">
        <v>7</v>
      </c>
      <c r="KP937" s="27" t="s">
        <v>7</v>
      </c>
      <c r="KR937" s="27" t="s">
        <v>7</v>
      </c>
      <c r="KT937" s="27" t="s">
        <v>7</v>
      </c>
      <c r="KV937" s="27" t="s">
        <v>7</v>
      </c>
      <c r="KX937" s="27" t="s">
        <v>7</v>
      </c>
      <c r="KZ937" s="27" t="s">
        <v>7</v>
      </c>
      <c r="LB937" s="27" t="s">
        <v>7</v>
      </c>
      <c r="LD937" s="27" t="s">
        <v>7</v>
      </c>
      <c r="LF937" s="27" t="s">
        <v>7</v>
      </c>
      <c r="LH937" s="27" t="s">
        <v>7</v>
      </c>
      <c r="LJ937" s="27" t="s">
        <v>7</v>
      </c>
      <c r="LL937" s="27" t="s">
        <v>7</v>
      </c>
      <c r="LN937" s="27" t="s">
        <v>7</v>
      </c>
      <c r="LP937" s="27" t="s">
        <v>7</v>
      </c>
      <c r="LR937" s="27" t="s">
        <v>7</v>
      </c>
      <c r="LT937" s="27" t="s">
        <v>7</v>
      </c>
      <c r="LV937" s="27" t="s">
        <v>7</v>
      </c>
      <c r="LX937" s="27" t="s">
        <v>7</v>
      </c>
      <c r="LZ937" s="27" t="s">
        <v>7</v>
      </c>
      <c r="MB937" s="27" t="s">
        <v>7</v>
      </c>
      <c r="MD937" s="27" t="s">
        <v>7</v>
      </c>
      <c r="MF937" s="27" t="s">
        <v>7</v>
      </c>
      <c r="MH937" s="27" t="s">
        <v>7</v>
      </c>
      <c r="MJ937" s="27" t="s">
        <v>7</v>
      </c>
      <c r="ML937" s="27" t="s">
        <v>7</v>
      </c>
      <c r="MN937" s="27" t="s">
        <v>7</v>
      </c>
      <c r="MP937" s="27" t="s">
        <v>7</v>
      </c>
      <c r="MR937" s="27" t="s">
        <v>7</v>
      </c>
      <c r="MT937" s="27" t="s">
        <v>7</v>
      </c>
      <c r="MV937" s="27" t="s">
        <v>7</v>
      </c>
      <c r="MX937" s="27" t="s">
        <v>7</v>
      </c>
      <c r="MZ937" s="27" t="s">
        <v>7</v>
      </c>
      <c r="NB937" s="27" t="s">
        <v>7</v>
      </c>
      <c r="ND937" s="27" t="s">
        <v>7</v>
      </c>
      <c r="NF937" s="27" t="s">
        <v>7</v>
      </c>
      <c r="NH937" s="27" t="s">
        <v>7</v>
      </c>
      <c r="NJ937" s="27" t="s">
        <v>7</v>
      </c>
      <c r="NL937" s="27" t="s">
        <v>7</v>
      </c>
      <c r="NN937" s="27" t="s">
        <v>7</v>
      </c>
      <c r="NP937" s="27" t="s">
        <v>7</v>
      </c>
      <c r="NR937" s="27" t="s">
        <v>7</v>
      </c>
      <c r="NT937" s="27" t="s">
        <v>7</v>
      </c>
      <c r="NV937" s="27" t="s">
        <v>7</v>
      </c>
      <c r="NX937" s="27" t="s">
        <v>7</v>
      </c>
      <c r="NZ937" s="27" t="s">
        <v>7</v>
      </c>
      <c r="OB937" s="27" t="s">
        <v>7</v>
      </c>
      <c r="OD937" s="27" t="s">
        <v>7</v>
      </c>
      <c r="OF937" s="27" t="s">
        <v>7</v>
      </c>
      <c r="OH937" s="27" t="s">
        <v>7</v>
      </c>
      <c r="OJ937" s="27" t="s">
        <v>7</v>
      </c>
      <c r="OL937" s="27" t="s">
        <v>7</v>
      </c>
      <c r="ON937" s="27" t="s">
        <v>7</v>
      </c>
      <c r="OP937" s="27" t="s">
        <v>7</v>
      </c>
      <c r="OR937" s="27" t="s">
        <v>7</v>
      </c>
      <c r="OV937" s="27" t="s">
        <v>7</v>
      </c>
    </row>
  </sheetData>
  <conditionalFormatting sqref="C27">
    <cfRule type="cellIs" dxfId="90" priority="1136" operator="equal">
      <formula>$U$1</formula>
    </cfRule>
    <cfRule type="cellIs" dxfId="89" priority="1137" operator="equal">
      <formula>$S$1</formula>
    </cfRule>
  </conditionalFormatting>
  <conditionalFormatting sqref="D27">
    <cfRule type="cellIs" dxfId="88" priority="1134" operator="equal">
      <formula>$S$1</formula>
    </cfRule>
    <cfRule type="cellIs" dxfId="87" priority="1135" operator="equal">
      <formula>$U$1</formula>
    </cfRule>
  </conditionalFormatting>
  <conditionalFormatting sqref="C164">
    <cfRule type="cellIs" dxfId="86" priority="1132" operator="equal">
      <formula>$U$1</formula>
    </cfRule>
    <cfRule type="cellIs" dxfId="85" priority="1133" operator="equal">
      <formula>$S$1</formula>
    </cfRule>
  </conditionalFormatting>
  <conditionalFormatting sqref="D164">
    <cfRule type="cellIs" dxfId="84" priority="1130" operator="equal">
      <formula>$S$1</formula>
    </cfRule>
    <cfRule type="cellIs" dxfId="83" priority="1131" operator="equal">
      <formula>$U$1</formula>
    </cfRule>
  </conditionalFormatting>
  <conditionalFormatting sqref="C55">
    <cfRule type="cellIs" dxfId="82" priority="1128" operator="equal">
      <formula>$U$1</formula>
    </cfRule>
    <cfRule type="cellIs" dxfId="81" priority="1129" operator="equal">
      <formula>$S$1</formula>
    </cfRule>
  </conditionalFormatting>
  <conditionalFormatting sqref="D55">
    <cfRule type="cellIs" dxfId="80" priority="1126" operator="equal">
      <formula>$S$1</formula>
    </cfRule>
    <cfRule type="cellIs" dxfId="79" priority="1127" operator="equal">
      <formula>$U$1</formula>
    </cfRule>
  </conditionalFormatting>
  <conditionalFormatting sqref="C89">
    <cfRule type="cellIs" dxfId="78" priority="1124" operator="equal">
      <formula>$U$1</formula>
    </cfRule>
    <cfRule type="cellIs" dxfId="77" priority="1125" operator="equal">
      <formula>$S$1</formula>
    </cfRule>
  </conditionalFormatting>
  <conditionalFormatting sqref="D89">
    <cfRule type="cellIs" dxfId="76" priority="1122" operator="equal">
      <formula>$S$1</formula>
    </cfRule>
    <cfRule type="cellIs" dxfId="75" priority="1123" operator="equal">
      <formula>$U$1</formula>
    </cfRule>
  </conditionalFormatting>
  <conditionalFormatting sqref="C136">
    <cfRule type="cellIs" dxfId="74" priority="1120" operator="equal">
      <formula>$U$1</formula>
    </cfRule>
    <cfRule type="cellIs" dxfId="73" priority="1121" operator="equal">
      <formula>$S$1</formula>
    </cfRule>
  </conditionalFormatting>
  <conditionalFormatting sqref="D136">
    <cfRule type="cellIs" dxfId="72" priority="1118" operator="equal">
      <formula>$S$1</formula>
    </cfRule>
    <cfRule type="cellIs" dxfId="71" priority="1119" operator="equal">
      <formula>$U$1</formula>
    </cfRule>
  </conditionalFormatting>
  <conditionalFormatting sqref="C1">
    <cfRule type="cellIs" dxfId="70" priority="111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36" zoomScale="90" zoomScaleNormal="90" workbookViewId="0">
      <pane xSplit="4" topLeftCell="BI1" activePane="topRight" state="frozen"/>
      <selection activeCell="A109" sqref="A109"/>
      <selection pane="topRight" activeCell="DC361" sqref="DC36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$A$360</v>
      </c>
      <c r="D111" s="1" t="str">
        <f>ADDRESS(C121-1,D121,1,1)</f>
        <v>$DC$360</v>
      </c>
      <c r="E111"/>
    </row>
    <row r="112" spans="1:5" x14ac:dyDescent="0.25">
      <c r="A112" s="30">
        <v>515.50191262726139</v>
      </c>
      <c r="C112" s="1" t="str">
        <f>ADDRESS(C121,1,1,1)</f>
        <v>$A$361</v>
      </c>
      <c r="D112" s="1" t="str">
        <f>ADDRESS(C121,D121-1,1,1)</f>
        <v>$DB$361</v>
      </c>
      <c r="E112"/>
    </row>
    <row r="113" spans="1:5" x14ac:dyDescent="0.25">
      <c r="A113" s="30">
        <v>490.95420250215363</v>
      </c>
      <c r="C113" s="1" t="str">
        <f>ADDRESS(C121+1,1,1,1)</f>
        <v>$A$362</v>
      </c>
      <c r="D113" s="1" t="str">
        <f>ADDRESS(C121-1,D121+1,1,1)</f>
        <v>$DD$360</v>
      </c>
    </row>
    <row r="114" spans="1:5" x14ac:dyDescent="0.25">
      <c r="A114" s="30">
        <v>467.57543095443202</v>
      </c>
      <c r="C114" s="1" t="str">
        <f>ADDRESS(C121,D121,1,1)</f>
        <v>$DC$361</v>
      </c>
      <c r="D114" s="1" t="str">
        <f>ADDRESS(C121+1,D121+1,1,1)</f>
        <v>$DD$362</v>
      </c>
    </row>
    <row r="115" spans="1:5" x14ac:dyDescent="0.25">
      <c r="A115" s="30">
        <v>445.30993424231622</v>
      </c>
      <c r="C115" s="1" t="str">
        <f>ADDRESS(C121+1,D121,1,1)</f>
        <v>$DC$362</v>
      </c>
    </row>
    <row r="116" spans="1:5" x14ac:dyDescent="0.25">
      <c r="A116" s="30">
        <v>424.10469927839637</v>
      </c>
      <c r="C116" s="1">
        <f>C117-1</f>
        <v>360</v>
      </c>
    </row>
    <row r="117" spans="1:5" x14ac:dyDescent="0.25">
      <c r="A117" s="30">
        <v>403.9092374079965</v>
      </c>
      <c r="C117" s="1">
        <f>C121</f>
        <v>361</v>
      </c>
      <c r="D117" s="1">
        <f>D121</f>
        <v>107</v>
      </c>
    </row>
    <row r="118" spans="1:5" x14ac:dyDescent="0.25">
      <c r="A118" s="30">
        <v>384.6754641980919</v>
      </c>
      <c r="C118" s="1">
        <f>C117+1</f>
        <v>362</v>
      </c>
      <c r="D118" s="1">
        <f>D117+1</f>
        <v>108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361</v>
      </c>
      <c r="D121" s="19">
        <v>107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R361</v>
      </c>
      <c r="D123" s="1" t="str">
        <f>"C"&amp;D121</f>
        <v>C107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2.7295736217250611E-3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6" x14ac:dyDescent="0.25">
      <c r="A305" s="30">
        <v>4.1946483690970725E-2</v>
      </c>
      <c r="B305"/>
      <c r="C305"/>
      <c r="D305"/>
      <c r="E305"/>
      <c r="F305" s="27" t="s">
        <v>7</v>
      </c>
    </row>
    <row r="306" spans="1:6" x14ac:dyDescent="0.25">
      <c r="A306" s="30">
        <v>3.9949032086638768E-2</v>
      </c>
      <c r="B306"/>
      <c r="C306"/>
      <c r="D306"/>
      <c r="E306"/>
      <c r="F306" s="27" t="s">
        <v>7</v>
      </c>
    </row>
    <row r="307" spans="1:6" x14ac:dyDescent="0.25">
      <c r="A307" s="30">
        <v>3.8046697225370241E-2</v>
      </c>
      <c r="B307"/>
      <c r="C307"/>
      <c r="D307"/>
      <c r="E307"/>
      <c r="F307" s="27" t="s">
        <v>7</v>
      </c>
    </row>
    <row r="308" spans="1:6" x14ac:dyDescent="0.25">
      <c r="A308" s="30">
        <v>3.6234949738447833E-2</v>
      </c>
      <c r="B308"/>
      <c r="C308"/>
      <c r="D308"/>
      <c r="E308"/>
      <c r="F308" s="27" t="s">
        <v>7</v>
      </c>
    </row>
    <row r="309" spans="1:6" x14ac:dyDescent="0.25">
      <c r="A309" s="30">
        <v>3.4509475941378875E-2</v>
      </c>
      <c r="B309"/>
      <c r="C309"/>
      <c r="D309"/>
      <c r="E309"/>
      <c r="F309" s="27" t="s">
        <v>7</v>
      </c>
    </row>
    <row r="310" spans="1:6" x14ac:dyDescent="0.25">
      <c r="A310" s="30">
        <v>3.286616756321796E-2</v>
      </c>
      <c r="B310"/>
      <c r="C310"/>
      <c r="D310"/>
      <c r="E310"/>
      <c r="F310" s="27" t="s">
        <v>7</v>
      </c>
    </row>
    <row r="311" spans="1:6" x14ac:dyDescent="0.25">
      <c r="A311" s="30">
        <v>3.1301111964969472E-2</v>
      </c>
      <c r="B311"/>
      <c r="C311"/>
      <c r="D311"/>
      <c r="E311"/>
      <c r="F311" s="27" t="s">
        <v>7</v>
      </c>
    </row>
    <row r="312" spans="1:6" x14ac:dyDescent="0.25">
      <c r="A312" s="30">
        <v>2.9810582823780438E-2</v>
      </c>
      <c r="B312"/>
      <c r="C312"/>
      <c r="D312"/>
      <c r="E312"/>
      <c r="F312" s="27" t="s">
        <v>7</v>
      </c>
    </row>
    <row r="313" spans="1:6" x14ac:dyDescent="0.25">
      <c r="A313" s="30">
        <v>2.8391031260743264E-2</v>
      </c>
      <c r="B313"/>
      <c r="C313"/>
      <c r="D313"/>
      <c r="E313"/>
      <c r="F313" s="27" t="s">
        <v>7</v>
      </c>
    </row>
    <row r="314" spans="1:6" x14ac:dyDescent="0.25">
      <c r="A314" s="30">
        <v>2.7039077391184052E-2</v>
      </c>
      <c r="B314"/>
      <c r="C314"/>
      <c r="D314"/>
      <c r="E314"/>
      <c r="F314" s="27" t="s">
        <v>7</v>
      </c>
    </row>
    <row r="315" spans="1:6" x14ac:dyDescent="0.25">
      <c r="A315" s="30">
        <v>2.5751502277318133E-2</v>
      </c>
      <c r="B315"/>
      <c r="C315"/>
      <c r="D315"/>
      <c r="E315"/>
      <c r="F315" s="27" t="s">
        <v>7</v>
      </c>
    </row>
    <row r="316" spans="1:6" x14ac:dyDescent="0.25">
      <c r="A316" s="30">
        <v>2.4525240264112496E-2</v>
      </c>
      <c r="B316"/>
      <c r="C316"/>
      <c r="D316"/>
      <c r="E316"/>
      <c r="F316" s="27" t="s">
        <v>7</v>
      </c>
    </row>
    <row r="317" spans="1:6" x14ac:dyDescent="0.25">
      <c r="A317" s="30">
        <v>2.3357371680107129E-2</v>
      </c>
      <c r="B317"/>
      <c r="C317"/>
      <c r="D317"/>
      <c r="E317"/>
      <c r="F317" s="27" t="s">
        <v>7</v>
      </c>
    </row>
    <row r="318" spans="1:6" x14ac:dyDescent="0.25">
      <c r="A318" s="30">
        <v>2.2245115885816305E-2</v>
      </c>
      <c r="B318"/>
      <c r="C318"/>
      <c r="D318"/>
      <c r="E318"/>
      <c r="F318" s="27" t="s">
        <v>7</v>
      </c>
    </row>
    <row r="319" spans="1:6" x14ac:dyDescent="0.25">
      <c r="A319" s="30">
        <v>2.1185824653158377E-2</v>
      </c>
      <c r="B319"/>
      <c r="C319"/>
      <c r="D319"/>
      <c r="E319"/>
      <c r="F319" s="27" t="s">
        <v>7</v>
      </c>
    </row>
    <row r="320" spans="1:6" x14ac:dyDescent="0.25">
      <c r="A320" s="30">
        <v>2.0176975860150829E-2</v>
      </c>
      <c r="B320"/>
      <c r="C320"/>
      <c r="D320"/>
      <c r="E320"/>
      <c r="F320" s="27" t="s">
        <v>7</v>
      </c>
    </row>
    <row r="321" spans="1:70" x14ac:dyDescent="0.25">
      <c r="A321" s="30">
        <v>1.9216167485857926E-2</v>
      </c>
      <c r="B321"/>
      <c r="C321"/>
      <c r="D321"/>
      <c r="E321"/>
      <c r="F321" s="27" t="s">
        <v>7</v>
      </c>
    </row>
    <row r="322" spans="1:70" x14ac:dyDescent="0.25">
      <c r="A322" s="30">
        <v>1.8301111891293256E-2</v>
      </c>
      <c r="B322"/>
      <c r="C322"/>
      <c r="D322"/>
      <c r="E322"/>
      <c r="F322" s="27" t="s">
        <v>7</v>
      </c>
    </row>
    <row r="323" spans="1:70" x14ac:dyDescent="0.25">
      <c r="A323" s="30">
        <v>1.7429630372660238E-2</v>
      </c>
      <c r="B323"/>
      <c r="C323"/>
      <c r="D323"/>
      <c r="E323"/>
      <c r="F323" s="27" t="s">
        <v>7</v>
      </c>
    </row>
    <row r="324" spans="1:70" x14ac:dyDescent="0.25">
      <c r="A324" s="30">
        <v>1.6599647973962125E-2</v>
      </c>
      <c r="B324"/>
      <c r="C324"/>
      <c r="D324"/>
      <c r="E324"/>
      <c r="F324" s="27" t="s">
        <v>7</v>
      </c>
    </row>
    <row r="325" spans="1:70" x14ac:dyDescent="0.25">
      <c r="A325" s="30">
        <v>1.580918854663059E-2</v>
      </c>
      <c r="B325"/>
      <c r="C325"/>
      <c r="D325"/>
      <c r="E325"/>
      <c r="F325" s="27" t="s">
        <v>7</v>
      </c>
    </row>
    <row r="326" spans="1:70" x14ac:dyDescent="0.25">
      <c r="A326" s="30">
        <v>1.5056370044410079E-2</v>
      </c>
      <c r="B326"/>
      <c r="C326"/>
      <c r="D326"/>
      <c r="E326"/>
      <c r="F326" s="27" t="s">
        <v>7</v>
      </c>
    </row>
    <row r="327" spans="1:70" x14ac:dyDescent="0.25">
      <c r="A327" s="30">
        <v>1.4339400042295308E-2</v>
      </c>
      <c r="B327"/>
      <c r="C327"/>
      <c r="D327"/>
      <c r="E327"/>
      <c r="F327" s="27" t="s">
        <v>7</v>
      </c>
    </row>
    <row r="328" spans="1:70" x14ac:dyDescent="0.25">
      <c r="A328" s="30">
        <v>1.365657146885267E-2</v>
      </c>
      <c r="B328"/>
      <c r="C328"/>
      <c r="D328"/>
      <c r="E328"/>
      <c r="F328" s="27" t="s">
        <v>7</v>
      </c>
    </row>
    <row r="329" spans="1:70" x14ac:dyDescent="0.25">
      <c r="A329" s="30">
        <v>1.3006258541764442E-2</v>
      </c>
      <c r="B329"/>
      <c r="C329"/>
      <c r="D329"/>
      <c r="E329"/>
      <c r="F329" s="27" t="s">
        <v>7</v>
      </c>
      <c r="BK329" s="31" t="s">
        <v>8</v>
      </c>
    </row>
    <row r="330" spans="1:70" x14ac:dyDescent="0.25">
      <c r="A330" s="30">
        <v>1.2386912896918512E-2</v>
      </c>
      <c r="B330"/>
      <c r="C330"/>
      <c r="D330"/>
      <c r="E330"/>
      <c r="F330" s="27" t="s">
        <v>7</v>
      </c>
      <c r="BK330" s="27" t="s">
        <v>8</v>
      </c>
      <c r="BL330" s="31" t="s">
        <v>7</v>
      </c>
    </row>
    <row r="331" spans="1:70" x14ac:dyDescent="0.25">
      <c r="A331" s="30">
        <v>1.179705990182715E-2</v>
      </c>
      <c r="B331"/>
      <c r="C331"/>
      <c r="D331"/>
      <c r="E331"/>
      <c r="F331" s="27" t="s">
        <v>7</v>
      </c>
      <c r="BK331" s="27" t="s">
        <v>8</v>
      </c>
      <c r="BL331" s="27" t="s">
        <v>7</v>
      </c>
      <c r="BM331" s="31"/>
    </row>
    <row r="332" spans="1:70" x14ac:dyDescent="0.25">
      <c r="A332" s="30">
        <v>1.1235295144597281E-2</v>
      </c>
      <c r="B332"/>
      <c r="C332"/>
      <c r="D332"/>
      <c r="E332"/>
      <c r="F332" s="27" t="s">
        <v>7</v>
      </c>
      <c r="BK332" s="27" t="s">
        <v>8</v>
      </c>
      <c r="BL332" s="27" t="s">
        <v>7</v>
      </c>
      <c r="BN332" s="31"/>
    </row>
    <row r="333" spans="1:70" x14ac:dyDescent="0.25">
      <c r="A333" s="30">
        <v>1.0700281090092644E-2</v>
      </c>
      <c r="B333"/>
      <c r="C333"/>
      <c r="D333"/>
      <c r="E333"/>
      <c r="F333" s="27" t="s">
        <v>7</v>
      </c>
      <c r="BK333" s="27" t="s">
        <v>8</v>
      </c>
      <c r="BL333" s="27" t="s">
        <v>7</v>
      </c>
      <c r="BO333" s="31" t="s">
        <v>8</v>
      </c>
    </row>
    <row r="334" spans="1:70" x14ac:dyDescent="0.25">
      <c r="A334" s="30">
        <v>1.0190743895326324E-2</v>
      </c>
      <c r="B334"/>
      <c r="C334"/>
      <c r="D334"/>
      <c r="E334"/>
      <c r="F334" s="27" t="s">
        <v>7</v>
      </c>
      <c r="BK334" s="27" t="s">
        <v>8</v>
      </c>
      <c r="BL334" s="27" t="s">
        <v>7</v>
      </c>
      <c r="BO334" s="27" t="s">
        <v>8</v>
      </c>
      <c r="BP334" s="31" t="s">
        <v>7</v>
      </c>
    </row>
    <row r="335" spans="1:70" x14ac:dyDescent="0.25">
      <c r="A335" s="30">
        <v>9.7054703765012563E-3</v>
      </c>
      <c r="B335"/>
      <c r="C335"/>
      <c r="D335"/>
      <c r="E335"/>
      <c r="F335" s="27" t="s">
        <v>7</v>
      </c>
      <c r="BK335" s="27" t="s">
        <v>8</v>
      </c>
      <c r="BL335" s="27" t="s">
        <v>7</v>
      </c>
      <c r="BM335" s="27" t="s">
        <v>8</v>
      </c>
      <c r="BO335" s="27" t="s">
        <v>8</v>
      </c>
      <c r="BP335" s="27" t="s">
        <v>7</v>
      </c>
      <c r="BQ335" s="31"/>
    </row>
    <row r="336" spans="1:70" x14ac:dyDescent="0.25">
      <c r="A336" s="30">
        <v>9.2433051204773835E-3</v>
      </c>
      <c r="B336"/>
      <c r="C336"/>
      <c r="D336"/>
      <c r="E336"/>
      <c r="F336" s="27" t="s">
        <v>7</v>
      </c>
      <c r="BK336" s="27" t="s">
        <v>8</v>
      </c>
      <c r="BL336" s="27" t="s">
        <v>7</v>
      </c>
      <c r="BM336" s="27" t="s">
        <v>8</v>
      </c>
      <c r="BN336" s="27" t="s">
        <v>7</v>
      </c>
      <c r="BO336" s="27" t="s">
        <v>8</v>
      </c>
      <c r="BP336" s="27" t="s">
        <v>7</v>
      </c>
      <c r="BR336" s="31"/>
    </row>
    <row r="337" spans="1:100" x14ac:dyDescent="0.25">
      <c r="A337" s="30">
        <v>8.8031477337879808E-3</v>
      </c>
      <c r="B337"/>
      <c r="C337"/>
      <c r="D337"/>
      <c r="E337"/>
      <c r="F337" s="27" t="s">
        <v>7</v>
      </c>
      <c r="BK337" s="27" t="s">
        <v>8</v>
      </c>
      <c r="BL337" s="27" t="s">
        <v>7</v>
      </c>
      <c r="BM337" s="27" t="s">
        <v>8</v>
      </c>
      <c r="BN337" s="27" t="s">
        <v>7</v>
      </c>
      <c r="BO337" s="27" t="s">
        <v>8</v>
      </c>
      <c r="BP337" s="27" t="s">
        <v>7</v>
      </c>
      <c r="BS337" s="31"/>
      <c r="BU337" s="27" t="s">
        <v>8</v>
      </c>
    </row>
    <row r="338" spans="1:100" x14ac:dyDescent="0.25">
      <c r="A338" s="30">
        <v>8.3839502226552166E-3</v>
      </c>
      <c r="B338"/>
      <c r="C338"/>
      <c r="D338"/>
      <c r="E338"/>
      <c r="F338" s="27" t="s">
        <v>7</v>
      </c>
      <c r="BK338" s="27" t="s">
        <v>8</v>
      </c>
      <c r="BL338" s="27" t="s">
        <v>7</v>
      </c>
      <c r="BM338" s="27" t="s">
        <v>8</v>
      </c>
      <c r="BN338" s="27" t="s">
        <v>7</v>
      </c>
      <c r="BO338" s="27" t="s">
        <v>8</v>
      </c>
      <c r="BP338" s="27" t="s">
        <v>7</v>
      </c>
      <c r="BT338" s="31"/>
      <c r="BU338" s="27" t="s">
        <v>8</v>
      </c>
      <c r="BV338" s="31" t="s">
        <v>7</v>
      </c>
    </row>
    <row r="339" spans="1:100" x14ac:dyDescent="0.25">
      <c r="A339" s="30">
        <v>7.9847144977668698E-3</v>
      </c>
      <c r="B339"/>
      <c r="C339"/>
      <c r="D339"/>
      <c r="E339"/>
      <c r="F339" s="27" t="s">
        <v>7</v>
      </c>
      <c r="BK339" s="27" t="s">
        <v>8</v>
      </c>
      <c r="BL339" s="27" t="s">
        <v>7</v>
      </c>
      <c r="BM339" s="27" t="s">
        <v>8</v>
      </c>
      <c r="BN339" s="27" t="s">
        <v>7</v>
      </c>
      <c r="BO339" s="27" t="s">
        <v>8</v>
      </c>
      <c r="BP339" s="27" t="s">
        <v>7</v>
      </c>
      <c r="BU339" s="31" t="s">
        <v>8</v>
      </c>
      <c r="BV339" s="27" t="s">
        <v>7</v>
      </c>
      <c r="BW339" s="31"/>
    </row>
    <row r="340" spans="1:100" x14ac:dyDescent="0.25">
      <c r="A340" s="30">
        <v>7.6044899978732058E-3</v>
      </c>
      <c r="B340"/>
      <c r="C340"/>
      <c r="D340"/>
      <c r="E340"/>
      <c r="F340" s="27" t="s">
        <v>7</v>
      </c>
      <c r="BK340" s="27" t="s">
        <v>8</v>
      </c>
      <c r="BL340" s="27" t="s">
        <v>7</v>
      </c>
      <c r="BN340" s="27" t="s">
        <v>7</v>
      </c>
      <c r="BO340" s="27" t="s">
        <v>8</v>
      </c>
      <c r="BP340" s="27" t="s">
        <v>7</v>
      </c>
      <c r="BQ340" s="32" t="s">
        <v>8</v>
      </c>
      <c r="BS340" s="32" t="s">
        <v>8</v>
      </c>
      <c r="BU340" s="27" t="s">
        <v>8</v>
      </c>
      <c r="BV340" s="27" t="s">
        <v>7</v>
      </c>
      <c r="BX340" s="31"/>
    </row>
    <row r="341" spans="1:100" x14ac:dyDescent="0.25">
      <c r="A341" s="30">
        <v>7.2423714265459072E-3</v>
      </c>
      <c r="B341"/>
      <c r="C341"/>
      <c r="D341"/>
      <c r="E341"/>
      <c r="F341" s="27" t="s">
        <v>7</v>
      </c>
      <c r="BK341" s="27" t="s">
        <v>8</v>
      </c>
      <c r="BN341" s="27" t="s">
        <v>7</v>
      </c>
      <c r="BP341" s="27" t="s">
        <v>7</v>
      </c>
      <c r="BQ341" s="27" t="s">
        <v>8</v>
      </c>
      <c r="BR341" s="27" t="s">
        <v>7</v>
      </c>
      <c r="BS341" s="27" t="s">
        <v>8</v>
      </c>
      <c r="BT341" s="27" t="s">
        <v>7</v>
      </c>
      <c r="BU341" s="27" t="s">
        <v>8</v>
      </c>
      <c r="BV341" s="27" t="s">
        <v>7</v>
      </c>
      <c r="BY341" s="31"/>
    </row>
    <row r="342" spans="1:100" x14ac:dyDescent="0.25">
      <c r="A342" s="30">
        <v>6.8974965967103846E-3</v>
      </c>
      <c r="B342"/>
      <c r="C342"/>
      <c r="D342"/>
      <c r="E342"/>
      <c r="F342" s="27" t="s">
        <v>7</v>
      </c>
      <c r="BK342" s="27" t="s">
        <v>8</v>
      </c>
      <c r="BP342" s="27" t="s">
        <v>7</v>
      </c>
      <c r="BQ342" s="27" t="s">
        <v>8</v>
      </c>
      <c r="BR342" s="27" t="s">
        <v>7</v>
      </c>
      <c r="BS342" s="27" t="s">
        <v>8</v>
      </c>
      <c r="BT342" s="27" t="s">
        <v>7</v>
      </c>
      <c r="BU342" s="27" t="s">
        <v>8</v>
      </c>
      <c r="BV342" s="27" t="s">
        <v>7</v>
      </c>
      <c r="BW342" s="27" t="s">
        <v>8</v>
      </c>
      <c r="BZ342" s="31"/>
    </row>
    <row r="343" spans="1:100" x14ac:dyDescent="0.25">
      <c r="A343" s="30">
        <v>6.5690443778194116E-3</v>
      </c>
      <c r="B343"/>
      <c r="C343"/>
      <c r="D343"/>
      <c r="E343"/>
      <c r="F343" s="27" t="s">
        <v>7</v>
      </c>
      <c r="BK343" s="27" t="s">
        <v>8</v>
      </c>
      <c r="BP343" s="27" t="s">
        <v>7</v>
      </c>
      <c r="BQ343" s="27" t="s">
        <v>8</v>
      </c>
      <c r="BR343" s="27" t="s">
        <v>7</v>
      </c>
      <c r="BS343" s="27" t="s">
        <v>8</v>
      </c>
      <c r="BT343" s="27" t="s">
        <v>7</v>
      </c>
      <c r="BU343" s="27" t="s">
        <v>8</v>
      </c>
      <c r="BV343" s="27" t="s">
        <v>7</v>
      </c>
      <c r="BW343" s="27" t="s">
        <v>8</v>
      </c>
      <c r="BX343" s="27" t="s">
        <v>7</v>
      </c>
      <c r="CA343" s="31"/>
    </row>
    <row r="344" spans="1:100" x14ac:dyDescent="0.25">
      <c r="A344" s="30">
        <v>6.2562327407803897E-3</v>
      </c>
      <c r="B344"/>
      <c r="C344"/>
      <c r="D344"/>
      <c r="E344"/>
      <c r="F344" s="27" t="s">
        <v>7</v>
      </c>
      <c r="BK344" s="27" t="s">
        <v>8</v>
      </c>
      <c r="BP344" s="27" t="s">
        <v>7</v>
      </c>
      <c r="BQ344" s="27" t="s">
        <v>8</v>
      </c>
      <c r="BR344" s="27" t="s">
        <v>7</v>
      </c>
      <c r="BS344" s="27" t="s">
        <v>8</v>
      </c>
      <c r="BT344" s="27" t="s">
        <v>7</v>
      </c>
      <c r="BV344" s="27" t="s">
        <v>7</v>
      </c>
      <c r="BW344" s="27" t="s">
        <v>8</v>
      </c>
      <c r="BX344" s="27" t="s">
        <v>7</v>
      </c>
      <c r="BY344" s="27" t="s">
        <v>8</v>
      </c>
      <c r="CB344" s="31"/>
    </row>
    <row r="345" spans="1:100" x14ac:dyDescent="0.25">
      <c r="A345" s="30">
        <v>5.9583168959813212E-3</v>
      </c>
      <c r="B345"/>
      <c r="C345"/>
      <c r="D345"/>
      <c r="E345"/>
      <c r="F345" s="27" t="s">
        <v>7</v>
      </c>
      <c r="BK345" s="27" t="s">
        <v>8</v>
      </c>
      <c r="BP345" s="27" t="s">
        <v>7</v>
      </c>
      <c r="BQ345" s="27" t="s">
        <v>8</v>
      </c>
      <c r="BR345" s="27" t="s">
        <v>7</v>
      </c>
      <c r="BV345" s="27" t="s">
        <v>7</v>
      </c>
      <c r="BX345" s="27" t="s">
        <v>7</v>
      </c>
      <c r="BY345" s="27" t="s">
        <v>8</v>
      </c>
      <c r="BZ345" s="27" t="s">
        <v>7</v>
      </c>
      <c r="CC345" s="31"/>
    </row>
    <row r="346" spans="1:100" x14ac:dyDescent="0.25">
      <c r="A346" s="30">
        <v>5.6745875199822084E-3</v>
      </c>
      <c r="B346"/>
      <c r="C346"/>
      <c r="D346"/>
      <c r="E346"/>
      <c r="F346" s="27" t="s">
        <v>7</v>
      </c>
      <c r="BK346" s="27" t="s">
        <v>8</v>
      </c>
      <c r="BP346" s="27" t="s">
        <v>7</v>
      </c>
      <c r="BQ346" s="27" t="s">
        <v>8</v>
      </c>
      <c r="BX346" s="27" t="s">
        <v>7</v>
      </c>
      <c r="BY346" s="27" t="s">
        <v>8</v>
      </c>
      <c r="BZ346" s="27" t="s">
        <v>7</v>
      </c>
      <c r="CD346" s="31"/>
    </row>
    <row r="347" spans="1:100" x14ac:dyDescent="0.25">
      <c r="A347" s="30">
        <v>5.4043690666497205E-3</v>
      </c>
      <c r="B347"/>
      <c r="C347"/>
      <c r="D347"/>
      <c r="E347"/>
      <c r="F347" s="27" t="s">
        <v>7</v>
      </c>
      <c r="BK347" s="27" t="s">
        <v>8</v>
      </c>
      <c r="BP347" s="27" t="s">
        <v>7</v>
      </c>
      <c r="BQ347" s="27" t="s">
        <v>8</v>
      </c>
      <c r="BX347" s="27" t="s">
        <v>7</v>
      </c>
      <c r="BY347" s="27" t="s">
        <v>8</v>
      </c>
      <c r="BZ347" s="27" t="s">
        <v>7</v>
      </c>
      <c r="CE347" s="31"/>
    </row>
    <row r="348" spans="1:100" x14ac:dyDescent="0.25">
      <c r="A348" s="30">
        <v>5.1470181587140174E-3</v>
      </c>
      <c r="B348"/>
      <c r="C348"/>
      <c r="D348"/>
      <c r="E348"/>
      <c r="F348" s="27" t="s">
        <v>7</v>
      </c>
      <c r="BK348" s="27" t="s">
        <v>8</v>
      </c>
      <c r="BP348" s="27" t="s">
        <v>7</v>
      </c>
      <c r="BQ348" s="27" t="s">
        <v>8</v>
      </c>
      <c r="BX348" s="27" t="s">
        <v>7</v>
      </c>
      <c r="BZ348" s="27" t="s">
        <v>7</v>
      </c>
      <c r="CF348" s="31"/>
      <c r="CO348" s="27" t="s">
        <v>8</v>
      </c>
    </row>
    <row r="349" spans="1:100" x14ac:dyDescent="0.25">
      <c r="A349" s="30">
        <v>4.9019220559181099E-3</v>
      </c>
      <c r="B349"/>
      <c r="C349"/>
      <c r="D349"/>
      <c r="E349"/>
      <c r="F349" s="27" t="s">
        <v>7</v>
      </c>
      <c r="BK349" s="27" t="s">
        <v>8</v>
      </c>
      <c r="BP349" s="27" t="s">
        <v>7</v>
      </c>
      <c r="BQ349" s="27" t="s">
        <v>8</v>
      </c>
      <c r="BZ349" s="27" t="s">
        <v>7</v>
      </c>
      <c r="CA349" s="27" t="s">
        <v>8</v>
      </c>
      <c r="CG349" s="31"/>
      <c r="CM349" s="27" t="s">
        <v>8</v>
      </c>
      <c r="CO349" s="27" t="s">
        <v>8</v>
      </c>
      <c r="CP349" s="27" t="s">
        <v>7</v>
      </c>
    </row>
    <row r="350" spans="1:100" x14ac:dyDescent="0.25">
      <c r="A350" s="30">
        <v>4.6684971961124836E-3</v>
      </c>
      <c r="B350"/>
      <c r="C350"/>
      <c r="D350"/>
      <c r="E350"/>
      <c r="F350" s="27" t="s">
        <v>7</v>
      </c>
      <c r="BK350" s="27" t="s">
        <v>8</v>
      </c>
      <c r="BP350" s="27" t="s">
        <v>7</v>
      </c>
      <c r="BQ350" s="27" t="s">
        <v>8</v>
      </c>
      <c r="BZ350" s="27" t="s">
        <v>7</v>
      </c>
      <c r="CA350" s="27" t="s">
        <v>8</v>
      </c>
      <c r="CB350" s="27" t="s">
        <v>7</v>
      </c>
      <c r="CH350" s="31"/>
      <c r="CM350" s="27" t="s">
        <v>8</v>
      </c>
      <c r="CN350" s="27" t="s">
        <v>7</v>
      </c>
      <c r="CO350" s="27" t="s">
        <v>8</v>
      </c>
      <c r="CP350" s="27" t="s">
        <v>7</v>
      </c>
    </row>
    <row r="351" spans="1:100" x14ac:dyDescent="0.25">
      <c r="A351" s="30">
        <v>4.4461878058214112E-3</v>
      </c>
      <c r="B351"/>
      <c r="C351"/>
      <c r="D351"/>
      <c r="E351"/>
      <c r="F351" s="27" t="s">
        <v>7</v>
      </c>
      <c r="BK351" s="27" t="s">
        <v>8</v>
      </c>
      <c r="BP351" s="27" t="s">
        <v>7</v>
      </c>
      <c r="BZ351" s="27" t="s">
        <v>7</v>
      </c>
      <c r="CA351" s="27" t="s">
        <v>8</v>
      </c>
      <c r="CB351" s="27" t="s">
        <v>7</v>
      </c>
      <c r="CC351" s="32" t="s">
        <v>8</v>
      </c>
      <c r="CE351" s="32" t="s">
        <v>8</v>
      </c>
      <c r="CI351" s="31"/>
      <c r="CM351" s="27" t="s">
        <v>8</v>
      </c>
      <c r="CN351" s="27" t="s">
        <v>7</v>
      </c>
      <c r="CO351" s="27" t="s">
        <v>8</v>
      </c>
      <c r="CP351" s="27" t="s">
        <v>7</v>
      </c>
      <c r="CU351" s="27" t="s">
        <v>8</v>
      </c>
    </row>
    <row r="352" spans="1:100" x14ac:dyDescent="0.25">
      <c r="A352" s="30">
        <v>4.2344645769727711E-3</v>
      </c>
      <c r="B352"/>
      <c r="C352"/>
      <c r="D352"/>
      <c r="E352"/>
      <c r="F352" s="27" t="s">
        <v>7</v>
      </c>
      <c r="BK352" s="27" t="s">
        <v>8</v>
      </c>
      <c r="BZ352" s="27" t="s">
        <v>7</v>
      </c>
      <c r="CA352" s="27" t="s">
        <v>8</v>
      </c>
      <c r="CB352" s="27" t="s">
        <v>7</v>
      </c>
      <c r="CC352" s="27" t="s">
        <v>8</v>
      </c>
      <c r="CD352" s="27" t="s">
        <v>7</v>
      </c>
      <c r="CE352" s="27" t="s">
        <v>8</v>
      </c>
      <c r="CF352" s="27" t="s">
        <v>7</v>
      </c>
      <c r="CJ352" s="31"/>
      <c r="CM352" s="27" t="s">
        <v>8</v>
      </c>
      <c r="CN352" s="27" t="s">
        <v>7</v>
      </c>
      <c r="CO352" s="27" t="s">
        <v>8</v>
      </c>
      <c r="CP352" s="27" t="s">
        <v>7</v>
      </c>
      <c r="CQ352" s="27" t="s">
        <v>8</v>
      </c>
      <c r="CS352" s="27" t="s">
        <v>8</v>
      </c>
      <c r="CU352" s="27" t="s">
        <v>8</v>
      </c>
      <c r="CV352" s="27" t="s">
        <v>7</v>
      </c>
    </row>
    <row r="353" spans="1:107" x14ac:dyDescent="0.25">
      <c r="A353" s="30">
        <v>4.0328234066407329E-3</v>
      </c>
      <c r="B353"/>
      <c r="C353"/>
      <c r="D353"/>
      <c r="E353"/>
      <c r="F353" s="27" t="s">
        <v>7</v>
      </c>
      <c r="BK353" s="27" t="s">
        <v>8</v>
      </c>
      <c r="BZ353" s="27" t="s">
        <v>7</v>
      </c>
      <c r="CA353" s="27" t="s">
        <v>8</v>
      </c>
      <c r="CB353" s="27" t="s">
        <v>7</v>
      </c>
      <c r="CC353" s="27" t="s">
        <v>8</v>
      </c>
      <c r="CD353" s="27" t="s">
        <v>7</v>
      </c>
      <c r="CE353" s="27" t="s">
        <v>8</v>
      </c>
      <c r="CF353" s="27" t="s">
        <v>7</v>
      </c>
      <c r="CK353" s="31"/>
      <c r="CM353" s="27" t="s">
        <v>8</v>
      </c>
      <c r="CN353" s="27" t="s">
        <v>7</v>
      </c>
      <c r="CO353" s="27" t="s">
        <v>8</v>
      </c>
      <c r="CP353" s="27" t="s">
        <v>7</v>
      </c>
      <c r="CQ353" s="27" t="s">
        <v>8</v>
      </c>
      <c r="CR353" s="27" t="s">
        <v>7</v>
      </c>
      <c r="CS353" s="27" t="s">
        <v>8</v>
      </c>
      <c r="CT353" s="27" t="s">
        <v>7</v>
      </c>
      <c r="CU353" s="27" t="s">
        <v>8</v>
      </c>
      <c r="CV353" s="27" t="s">
        <v>7</v>
      </c>
      <c r="CW353" s="27" t="s">
        <v>8</v>
      </c>
    </row>
    <row r="354" spans="1:107" x14ac:dyDescent="0.25">
      <c r="A354" s="30">
        <v>3.8407841968006963E-3</v>
      </c>
      <c r="B354"/>
      <c r="C354"/>
      <c r="D354"/>
      <c r="E354"/>
      <c r="F354" s="27" t="s">
        <v>7</v>
      </c>
      <c r="BE354" s="27" t="s">
        <v>8</v>
      </c>
      <c r="BK354" s="27" t="s">
        <v>8</v>
      </c>
      <c r="BZ354" s="27" t="s">
        <v>7</v>
      </c>
      <c r="CA354" s="27" t="s">
        <v>8</v>
      </c>
      <c r="CB354" s="27" t="s">
        <v>7</v>
      </c>
      <c r="CC354" s="27" t="s">
        <v>8</v>
      </c>
      <c r="CD354" s="27" t="s">
        <v>7</v>
      </c>
      <c r="CE354" s="27" t="s">
        <v>8</v>
      </c>
      <c r="CF354" s="27" t="s">
        <v>7</v>
      </c>
      <c r="CL354" s="31"/>
      <c r="CM354" s="27" t="s">
        <v>8</v>
      </c>
      <c r="CN354" s="27" t="s">
        <v>7</v>
      </c>
      <c r="CP354" s="27" t="s">
        <v>7</v>
      </c>
      <c r="CQ354" s="27" t="s">
        <v>8</v>
      </c>
      <c r="CR354" s="27" t="s">
        <v>7</v>
      </c>
      <c r="CS354" s="27" t="s">
        <v>8</v>
      </c>
      <c r="CT354" s="27" t="s">
        <v>7</v>
      </c>
      <c r="CU354" s="27" t="s">
        <v>8</v>
      </c>
      <c r="CV354" s="27" t="s">
        <v>7</v>
      </c>
      <c r="CW354" s="27" t="s">
        <v>8</v>
      </c>
      <c r="CX354" s="27" t="s">
        <v>7</v>
      </c>
    </row>
    <row r="355" spans="1:107" x14ac:dyDescent="0.25">
      <c r="A355" s="30">
        <v>3.6578897112387568E-3</v>
      </c>
      <c r="B355"/>
      <c r="C355"/>
      <c r="D355"/>
      <c r="E355"/>
      <c r="F355" s="27" t="s">
        <v>7</v>
      </c>
      <c r="BE355" s="27" t="s">
        <v>8</v>
      </c>
      <c r="BF355" s="27" t="s">
        <v>7</v>
      </c>
      <c r="BG355" s="32" t="s">
        <v>8</v>
      </c>
      <c r="BI355" s="32" t="s">
        <v>8</v>
      </c>
      <c r="BK355" s="27" t="s">
        <v>8</v>
      </c>
      <c r="BZ355" s="27" t="s">
        <v>7</v>
      </c>
      <c r="CA355" s="27" t="s">
        <v>8</v>
      </c>
      <c r="CB355" s="27" t="s">
        <v>7</v>
      </c>
      <c r="CC355" s="27" t="s">
        <v>8</v>
      </c>
      <c r="CD355" s="27" t="s">
        <v>7</v>
      </c>
      <c r="CE355" s="27" t="s">
        <v>8</v>
      </c>
      <c r="CF355" s="27" t="s">
        <v>7</v>
      </c>
      <c r="CM355" s="31" t="s">
        <v>8</v>
      </c>
      <c r="CP355" s="27" t="s">
        <v>7</v>
      </c>
      <c r="CQ355" s="27" t="s">
        <v>8</v>
      </c>
      <c r="CR355" s="27" t="s">
        <v>7</v>
      </c>
      <c r="CS355" s="27" t="s">
        <v>8</v>
      </c>
      <c r="CT355" s="27" t="s">
        <v>7</v>
      </c>
      <c r="CU355" s="27" t="s">
        <v>8</v>
      </c>
      <c r="CV355" s="27" t="s">
        <v>7</v>
      </c>
      <c r="CW355" s="27" t="s">
        <v>8</v>
      </c>
      <c r="CX355" s="27" t="s">
        <v>7</v>
      </c>
    </row>
    <row r="356" spans="1:107" x14ac:dyDescent="0.25">
      <c r="A356" s="30">
        <v>3.4837044868940526E-3</v>
      </c>
      <c r="B356"/>
      <c r="C356"/>
      <c r="D356"/>
      <c r="E356"/>
      <c r="F356" s="27" t="s">
        <v>7</v>
      </c>
      <c r="BE356" s="27" t="s">
        <v>8</v>
      </c>
      <c r="BF356" s="27" t="s">
        <v>7</v>
      </c>
      <c r="BG356" s="27" t="s">
        <v>8</v>
      </c>
      <c r="BH356" s="27" t="s">
        <v>7</v>
      </c>
      <c r="BI356" s="27" t="s">
        <v>8</v>
      </c>
      <c r="BJ356" s="27" t="s">
        <v>7</v>
      </c>
      <c r="BK356" s="27" t="s">
        <v>8</v>
      </c>
      <c r="BZ356" s="27" t="s">
        <v>7</v>
      </c>
      <c r="CA356" s="27" t="s">
        <v>8</v>
      </c>
      <c r="CB356" s="27" t="s">
        <v>7</v>
      </c>
      <c r="CC356" s="27" t="s">
        <v>8</v>
      </c>
      <c r="CD356" s="27" t="s">
        <v>7</v>
      </c>
      <c r="CF356" s="27" t="s">
        <v>7</v>
      </c>
      <c r="CM356" s="27" t="s">
        <v>8</v>
      </c>
      <c r="CN356" s="31"/>
      <c r="CP356" s="27" t="s">
        <v>7</v>
      </c>
      <c r="CQ356" s="27" t="s">
        <v>8</v>
      </c>
      <c r="CR356" s="27" t="s">
        <v>7</v>
      </c>
      <c r="CS356" s="27" t="s">
        <v>8</v>
      </c>
      <c r="CT356" s="27" t="s">
        <v>7</v>
      </c>
      <c r="CU356" s="27" t="s">
        <v>8</v>
      </c>
      <c r="CV356" s="27" t="s">
        <v>7</v>
      </c>
      <c r="CW356" s="27" t="s">
        <v>8</v>
      </c>
      <c r="CX356" s="27" t="s">
        <v>7</v>
      </c>
      <c r="CY356" s="27" t="s">
        <v>8</v>
      </c>
    </row>
    <row r="357" spans="1:107" x14ac:dyDescent="0.25">
      <c r="A357" s="30">
        <v>3.3178137970419535E-3</v>
      </c>
      <c r="B357"/>
      <c r="C357"/>
      <c r="D357"/>
      <c r="E357"/>
      <c r="F357" s="27" t="s">
        <v>7</v>
      </c>
      <c r="BE357" s="27" t="s">
        <v>8</v>
      </c>
      <c r="BF357" s="27" t="s">
        <v>7</v>
      </c>
      <c r="BG357" s="27" t="s">
        <v>8</v>
      </c>
      <c r="BH357" s="27" t="s">
        <v>7</v>
      </c>
      <c r="BI357" s="27" t="s">
        <v>8</v>
      </c>
      <c r="BJ357" s="27" t="s">
        <v>7</v>
      </c>
      <c r="BK357" s="27" t="s">
        <v>8</v>
      </c>
      <c r="BZ357" s="27" t="s">
        <v>7</v>
      </c>
      <c r="CA357" s="27" t="s">
        <v>8</v>
      </c>
      <c r="CB357" s="27" t="s">
        <v>7</v>
      </c>
      <c r="CC357" s="27" t="s">
        <v>8</v>
      </c>
      <c r="CF357" s="33" t="s">
        <v>7</v>
      </c>
      <c r="CM357" s="27" t="s">
        <v>8</v>
      </c>
      <c r="CO357" s="31"/>
      <c r="CP357" s="27" t="s">
        <v>7</v>
      </c>
      <c r="CQ357" s="27" t="s">
        <v>8</v>
      </c>
      <c r="CR357" s="27" t="s">
        <v>7</v>
      </c>
      <c r="CS357" s="27" t="s">
        <v>8</v>
      </c>
      <c r="CT357" s="27" t="s">
        <v>7</v>
      </c>
      <c r="CU357" s="27" t="s">
        <v>8</v>
      </c>
      <c r="CV357" s="27" t="s">
        <v>7</v>
      </c>
      <c r="CW357" s="27" t="s">
        <v>8</v>
      </c>
      <c r="CX357" s="27" t="s">
        <v>7</v>
      </c>
      <c r="CY357" s="27" t="s">
        <v>8</v>
      </c>
      <c r="CZ357" s="27" t="s">
        <v>7</v>
      </c>
    </row>
    <row r="358" spans="1:107" x14ac:dyDescent="0.25">
      <c r="A358" s="30">
        <v>3.1598226638494781E-3</v>
      </c>
      <c r="B358"/>
      <c r="C358"/>
      <c r="D358"/>
      <c r="E358"/>
      <c r="F358" s="27" t="s">
        <v>7</v>
      </c>
      <c r="BE358" s="27" t="s">
        <v>8</v>
      </c>
      <c r="BF358" s="27" t="s">
        <v>7</v>
      </c>
      <c r="BG358" s="27" t="s">
        <v>8</v>
      </c>
      <c r="BH358" s="27" t="s">
        <v>7</v>
      </c>
      <c r="BI358" s="27" t="s">
        <v>8</v>
      </c>
      <c r="BJ358" s="27" t="s">
        <v>7</v>
      </c>
      <c r="BK358" s="27" t="s">
        <v>8</v>
      </c>
      <c r="BZ358" s="27" t="s">
        <v>7</v>
      </c>
      <c r="CA358" s="27" t="s">
        <v>8</v>
      </c>
      <c r="CB358" s="27" t="s">
        <v>7</v>
      </c>
      <c r="CC358" s="27" t="s">
        <v>8</v>
      </c>
      <c r="CF358" s="27" t="s">
        <v>7</v>
      </c>
      <c r="CM358" s="27" t="s">
        <v>8</v>
      </c>
      <c r="CP358" s="27" t="s">
        <v>7</v>
      </c>
      <c r="CR358" s="27" t="s">
        <v>7</v>
      </c>
      <c r="CS358" s="27" t="s">
        <v>8</v>
      </c>
      <c r="CT358" s="27" t="s">
        <v>7</v>
      </c>
      <c r="CV358" s="27" t="s">
        <v>7</v>
      </c>
      <c r="CW358" s="27" t="s">
        <v>8</v>
      </c>
      <c r="CX358" s="27" t="s">
        <v>7</v>
      </c>
      <c r="CY358" s="27" t="s">
        <v>8</v>
      </c>
      <c r="CZ358" s="27" t="s">
        <v>7</v>
      </c>
      <c r="DA358" s="27" t="s">
        <v>8</v>
      </c>
    </row>
    <row r="359" spans="1:107" x14ac:dyDescent="0.25">
      <c r="A359" s="30">
        <v>3.0093549179518826E-3</v>
      </c>
      <c r="B359"/>
      <c r="C359"/>
      <c r="D359"/>
      <c r="E359"/>
      <c r="F359" s="27" t="s">
        <v>7</v>
      </c>
      <c r="BE359" s="27" t="s">
        <v>8</v>
      </c>
      <c r="BF359" s="27" t="s">
        <v>7</v>
      </c>
      <c r="BG359" s="27" t="s">
        <v>8</v>
      </c>
      <c r="BH359" s="32" t="s">
        <v>7</v>
      </c>
      <c r="BJ359" s="32" t="s">
        <v>7</v>
      </c>
      <c r="BZ359" s="27" t="s">
        <v>7</v>
      </c>
      <c r="CA359" s="27" t="s">
        <v>8</v>
      </c>
      <c r="CB359" s="27" t="s">
        <v>7</v>
      </c>
      <c r="CC359" s="27" t="s">
        <v>8</v>
      </c>
      <c r="CF359" s="27" t="s">
        <v>7</v>
      </c>
      <c r="CK359" s="34" t="s">
        <v>8</v>
      </c>
      <c r="CM359" s="27" t="s">
        <v>8</v>
      </c>
      <c r="CR359" s="27" t="s">
        <v>7</v>
      </c>
      <c r="CV359" s="27" t="s">
        <v>7</v>
      </c>
      <c r="CW359" s="27" t="s">
        <v>8</v>
      </c>
      <c r="CX359" s="27" t="s">
        <v>7</v>
      </c>
      <c r="CZ359" s="27" t="s">
        <v>7</v>
      </c>
      <c r="DA359" s="27" t="s">
        <v>8</v>
      </c>
      <c r="DB359" s="27" t="s">
        <v>7</v>
      </c>
    </row>
    <row r="360" spans="1:107" x14ac:dyDescent="0.25">
      <c r="A360" s="30">
        <v>2.8660523028113155E-3</v>
      </c>
      <c r="B360"/>
      <c r="C360"/>
      <c r="D360"/>
      <c r="E360"/>
      <c r="F360" s="27" t="s">
        <v>7</v>
      </c>
      <c r="BE360" s="27" t="s">
        <v>8</v>
      </c>
      <c r="BF360" s="27" t="s">
        <v>7</v>
      </c>
      <c r="BZ360" s="27" t="s">
        <v>7</v>
      </c>
      <c r="CA360" s="27" t="s">
        <v>8</v>
      </c>
      <c r="CB360" s="27" t="s">
        <v>7</v>
      </c>
      <c r="CC360" s="27" t="s">
        <v>8</v>
      </c>
      <c r="CF360" s="27" t="s">
        <v>7</v>
      </c>
      <c r="CI360" s="27" t="s">
        <v>8</v>
      </c>
      <c r="CK360" s="27" t="s">
        <v>8</v>
      </c>
      <c r="CL360" s="27" t="s">
        <v>7</v>
      </c>
      <c r="CM360" s="27" t="s">
        <v>8</v>
      </c>
      <c r="CV360" s="27" t="s">
        <v>7</v>
      </c>
      <c r="CW360" s="27" t="s">
        <v>8</v>
      </c>
      <c r="CZ360" s="27" t="s">
        <v>7</v>
      </c>
      <c r="DA360" s="27" t="s">
        <v>8</v>
      </c>
      <c r="DB360" s="27" t="s">
        <v>7</v>
      </c>
    </row>
    <row r="361" spans="1:107" x14ac:dyDescent="0.25">
      <c r="A361" s="30">
        <v>2.7295736217250611E-3</v>
      </c>
      <c r="B361"/>
      <c r="C361"/>
      <c r="D361"/>
      <c r="E361"/>
      <c r="F361" s="27" t="s">
        <v>7</v>
      </c>
      <c r="BE361" s="27" t="s">
        <v>8</v>
      </c>
      <c r="BZ361" s="27" t="s">
        <v>7</v>
      </c>
      <c r="CA361" s="27" t="s">
        <v>8</v>
      </c>
      <c r="CB361" s="27" t="s">
        <v>7</v>
      </c>
      <c r="CF361" s="27" t="s">
        <v>7</v>
      </c>
      <c r="CI361" s="34" t="s">
        <v>8</v>
      </c>
      <c r="CJ361" s="27" t="s">
        <v>7</v>
      </c>
      <c r="CK361" s="27" t="s">
        <v>8</v>
      </c>
      <c r="CL361" s="27" t="s">
        <v>7</v>
      </c>
      <c r="CM361" s="27" t="s">
        <v>8</v>
      </c>
      <c r="CV361" s="27" t="s">
        <v>7</v>
      </c>
      <c r="CW361" s="27" t="s">
        <v>8</v>
      </c>
      <c r="CZ361" s="27" t="s">
        <v>7</v>
      </c>
      <c r="DA361" s="27" t="s">
        <v>8</v>
      </c>
      <c r="DB361" s="27" t="s">
        <v>7</v>
      </c>
      <c r="DC361" s="27" t="s">
        <v>8</v>
      </c>
    </row>
    <row r="362" spans="1:107" x14ac:dyDescent="0.25">
      <c r="A362" s="30">
        <v>2.5995939254524381E-3</v>
      </c>
      <c r="B362"/>
      <c r="C362"/>
      <c r="D362"/>
      <c r="E362"/>
      <c r="F362" s="27" t="s">
        <v>7</v>
      </c>
      <c r="BE362" s="27" t="s">
        <v>8</v>
      </c>
      <c r="BZ362" s="27" t="s">
        <v>7</v>
      </c>
      <c r="CF362" s="27" t="s">
        <v>7</v>
      </c>
      <c r="CG362" s="27" t="s">
        <v>8</v>
      </c>
      <c r="CI362" s="27" t="s">
        <v>8</v>
      </c>
      <c r="CJ362" s="27" t="s">
        <v>7</v>
      </c>
      <c r="CK362" s="27" t="s">
        <v>8</v>
      </c>
      <c r="CL362" s="27" t="s">
        <v>7</v>
      </c>
      <c r="CM362" s="27" t="s">
        <v>8</v>
      </c>
      <c r="CV362" s="27" t="s">
        <v>7</v>
      </c>
      <c r="CW362" s="27" t="s">
        <v>8</v>
      </c>
      <c r="CZ362" s="27" t="s">
        <v>7</v>
      </c>
      <c r="DA362" s="27" t="s">
        <v>8</v>
      </c>
      <c r="DB362" s="27" t="s">
        <v>7</v>
      </c>
      <c r="DC362" s="27" t="s">
        <v>8</v>
      </c>
    </row>
    <row r="363" spans="1:107" x14ac:dyDescent="0.25">
      <c r="A363" s="30">
        <v>2.4758037385261304E-3</v>
      </c>
      <c r="B363"/>
      <c r="C363"/>
      <c r="D363"/>
      <c r="E363"/>
      <c r="F363" s="27" t="s">
        <v>7</v>
      </c>
      <c r="BE363" s="27" t="s">
        <v>8</v>
      </c>
      <c r="CF363" s="31" t="s">
        <v>7</v>
      </c>
      <c r="CG363" s="27" t="s">
        <v>8</v>
      </c>
      <c r="CH363" s="27" t="s">
        <v>7</v>
      </c>
      <c r="CI363" s="27" t="s">
        <v>8</v>
      </c>
      <c r="CJ363" s="27" t="s">
        <v>7</v>
      </c>
      <c r="CK363" s="27" t="s">
        <v>8</v>
      </c>
      <c r="CL363" s="27" t="s">
        <v>7</v>
      </c>
      <c r="CV363" s="27" t="s">
        <v>7</v>
      </c>
      <c r="CW363" s="27" t="s">
        <v>8</v>
      </c>
      <c r="CZ363" s="27" t="s">
        <v>7</v>
      </c>
      <c r="DB363" s="27" t="s">
        <v>7</v>
      </c>
      <c r="DC363" s="27" t="s">
        <v>8</v>
      </c>
    </row>
    <row r="364" spans="1:107" x14ac:dyDescent="0.25">
      <c r="A364" s="30">
        <v>2.3579083224058374E-3</v>
      </c>
      <c r="B364"/>
      <c r="C364"/>
      <c r="D364"/>
      <c r="E364"/>
      <c r="F364" s="27" t="s">
        <v>7</v>
      </c>
      <c r="BE364" s="27" t="s">
        <v>8</v>
      </c>
      <c r="CE364" s="31"/>
      <c r="CF364" s="27" t="s">
        <v>7</v>
      </c>
      <c r="CG364" s="27" t="s">
        <v>8</v>
      </c>
      <c r="CH364" s="27" t="s">
        <v>7</v>
      </c>
      <c r="CI364" s="27" t="s">
        <v>8</v>
      </c>
      <c r="CJ364" s="27" t="s">
        <v>7</v>
      </c>
      <c r="CK364" s="27" t="s">
        <v>8</v>
      </c>
      <c r="CV364" s="27" t="s">
        <v>7</v>
      </c>
      <c r="CW364" s="27" t="s">
        <v>8</v>
      </c>
      <c r="DB364" s="27" t="s">
        <v>7</v>
      </c>
    </row>
    <row r="365" spans="1:107" x14ac:dyDescent="0.25">
      <c r="A365" s="30">
        <v>2.245626973719844E-3</v>
      </c>
      <c r="B365"/>
      <c r="C365"/>
      <c r="D365"/>
      <c r="E365"/>
      <c r="F365" s="27" t="s">
        <v>7</v>
      </c>
      <c r="BE365" s="27" t="s">
        <v>8</v>
      </c>
      <c r="CF365" s="27" t="s">
        <v>7</v>
      </c>
      <c r="CG365" s="27" t="s">
        <v>8</v>
      </c>
      <c r="CH365" s="27" t="s">
        <v>7</v>
      </c>
      <c r="CJ365" s="27" t="s">
        <v>7</v>
      </c>
      <c r="CK365" s="27" t="s">
        <v>8</v>
      </c>
      <c r="CV365" s="27" t="s">
        <v>7</v>
      </c>
      <c r="CW365" s="27" t="s">
        <v>8</v>
      </c>
    </row>
    <row r="366" spans="1:107" x14ac:dyDescent="0.25">
      <c r="A366" s="30">
        <v>2.1386923559236601E-3</v>
      </c>
      <c r="B366"/>
      <c r="C366"/>
      <c r="D366"/>
      <c r="E366"/>
      <c r="F366" s="27" t="s">
        <v>7</v>
      </c>
      <c r="BE366" s="27" t="s">
        <v>8</v>
      </c>
      <c r="CF366" s="27" t="s">
        <v>7</v>
      </c>
      <c r="CG366" s="27" t="s">
        <v>8</v>
      </c>
      <c r="CJ366" s="33" t="s">
        <v>7</v>
      </c>
      <c r="CK366" s="27" t="s">
        <v>8</v>
      </c>
      <c r="CV366" s="27" t="s">
        <v>7</v>
      </c>
      <c r="CW366" s="27" t="s">
        <v>8</v>
      </c>
    </row>
    <row r="367" spans="1:107" x14ac:dyDescent="0.25">
      <c r="A367" s="30">
        <v>2.0368498627844375E-3</v>
      </c>
      <c r="B367"/>
      <c r="C367"/>
      <c r="D367"/>
      <c r="E367"/>
      <c r="F367" s="27" t="s">
        <v>7</v>
      </c>
      <c r="BE367" s="27" t="s">
        <v>8</v>
      </c>
      <c r="CB367" s="31"/>
      <c r="CF367" s="27" t="s">
        <v>7</v>
      </c>
      <c r="CG367" s="27" t="s">
        <v>8</v>
      </c>
      <c r="CJ367" s="27" t="s">
        <v>7</v>
      </c>
      <c r="CK367" s="27" t="s">
        <v>8</v>
      </c>
      <c r="CV367" s="27" t="s">
        <v>7</v>
      </c>
    </row>
    <row r="368" spans="1:107" x14ac:dyDescent="0.25">
      <c r="A368" s="30">
        <v>1.9398570121756541E-3</v>
      </c>
      <c r="B368"/>
      <c r="C368"/>
      <c r="D368"/>
      <c r="E368"/>
      <c r="F368" s="27" t="s">
        <v>7</v>
      </c>
      <c r="AS368" s="27" t="s">
        <v>8</v>
      </c>
      <c r="AW368" s="27" t="s">
        <v>8</v>
      </c>
      <c r="BC368" s="27" t="s">
        <v>8</v>
      </c>
      <c r="BE368" s="27" t="s">
        <v>8</v>
      </c>
      <c r="CF368" s="27" t="s">
        <v>7</v>
      </c>
      <c r="CG368" s="27" t="s">
        <v>8</v>
      </c>
      <c r="CJ368" s="27" t="s">
        <v>7</v>
      </c>
    </row>
    <row r="369" spans="1:84" x14ac:dyDescent="0.25">
      <c r="A369" s="30">
        <v>1.8474828687387174E-3</v>
      </c>
      <c r="B369"/>
      <c r="C369"/>
      <c r="D369"/>
      <c r="E369"/>
      <c r="F369" s="27" t="s">
        <v>7</v>
      </c>
      <c r="AS369" s="27" t="s">
        <v>8</v>
      </c>
      <c r="AT369" s="27" t="s">
        <v>7</v>
      </c>
      <c r="AW369" s="27" t="s">
        <v>8</v>
      </c>
      <c r="AX369" s="27" t="s">
        <v>7</v>
      </c>
      <c r="BC369" s="27" t="s">
        <v>8</v>
      </c>
      <c r="BD369" s="27" t="s">
        <v>7</v>
      </c>
      <c r="BE369" s="27" t="s">
        <v>8</v>
      </c>
      <c r="CF369" s="27" t="s">
        <v>7</v>
      </c>
    </row>
    <row r="370" spans="1:84" x14ac:dyDescent="0.25">
      <c r="A370" s="30">
        <v>1.759507494036873E-3</v>
      </c>
      <c r="B370"/>
      <c r="C370"/>
      <c r="D370"/>
      <c r="E370"/>
      <c r="F370" s="27" t="s">
        <v>7</v>
      </c>
      <c r="AS370" s="27" t="s">
        <v>8</v>
      </c>
      <c r="AT370" s="27" t="s">
        <v>7</v>
      </c>
      <c r="AW370" s="27" t="s">
        <v>8</v>
      </c>
      <c r="AX370" s="27" t="s">
        <v>7</v>
      </c>
      <c r="BC370" s="27" t="s">
        <v>8</v>
      </c>
      <c r="BD370" s="27" t="s">
        <v>7</v>
      </c>
      <c r="BE370" s="27" t="s">
        <v>8</v>
      </c>
    </row>
    <row r="371" spans="1:84" x14ac:dyDescent="0.25">
      <c r="A371" s="30">
        <v>1.6757214228922594E-3</v>
      </c>
      <c r="B371"/>
      <c r="C371"/>
      <c r="D371"/>
      <c r="E371"/>
      <c r="F371" s="27" t="s">
        <v>7</v>
      </c>
      <c r="AS371" s="27" t="s">
        <v>8</v>
      </c>
      <c r="AT371" s="27" t="s">
        <v>7</v>
      </c>
      <c r="AW371" s="27" t="s">
        <v>8</v>
      </c>
      <c r="AX371" s="27" t="s">
        <v>7</v>
      </c>
      <c r="BC371" s="27" t="s">
        <v>8</v>
      </c>
      <c r="BD371" s="27" t="s">
        <v>7</v>
      </c>
      <c r="BE371" s="27" t="s">
        <v>8</v>
      </c>
    </row>
    <row r="372" spans="1:84" x14ac:dyDescent="0.25">
      <c r="A372" s="30">
        <v>1.595925164659294E-3</v>
      </c>
      <c r="B372"/>
      <c r="C372"/>
      <c r="D372"/>
      <c r="E372"/>
      <c r="F372" s="27" t="s">
        <v>7</v>
      </c>
      <c r="AS372" s="27" t="s">
        <v>8</v>
      </c>
      <c r="AT372" s="27" t="s">
        <v>7</v>
      </c>
      <c r="AW372" s="27" t="s">
        <v>8</v>
      </c>
      <c r="AX372" s="27" t="s">
        <v>7</v>
      </c>
      <c r="BC372" s="27" t="s">
        <v>8</v>
      </c>
      <c r="BD372" s="27" t="s">
        <v>7</v>
      </c>
      <c r="BW372" s="31"/>
    </row>
    <row r="373" spans="1:84" x14ac:dyDescent="0.25">
      <c r="A373" s="30">
        <v>1.5199287282469461E-3</v>
      </c>
      <c r="B373"/>
      <c r="C373"/>
      <c r="D373"/>
      <c r="E373"/>
      <c r="F373" s="27" t="s">
        <v>7</v>
      </c>
      <c r="AS373" s="27" t="s">
        <v>8</v>
      </c>
      <c r="AT373" s="27" t="s">
        <v>7</v>
      </c>
      <c r="AW373" s="27" t="s">
        <v>8</v>
      </c>
      <c r="AX373" s="27" t="s">
        <v>7</v>
      </c>
      <c r="AY373" s="27" t="s">
        <v>8</v>
      </c>
      <c r="BA373" s="27" t="s">
        <v>8</v>
      </c>
      <c r="BC373" s="27" t="s">
        <v>8</v>
      </c>
    </row>
    <row r="374" spans="1:84" x14ac:dyDescent="0.25">
      <c r="A374" s="30">
        <v>1.4475511697589958E-3</v>
      </c>
      <c r="B374"/>
      <c r="C374"/>
      <c r="D374"/>
      <c r="E374"/>
      <c r="F374" s="27" t="s">
        <v>7</v>
      </c>
      <c r="AS374" s="27" t="s">
        <v>8</v>
      </c>
      <c r="AT374" s="27" t="s">
        <v>7</v>
      </c>
      <c r="AW374" s="27" t="s">
        <v>8</v>
      </c>
      <c r="AX374" s="27" t="s">
        <v>7</v>
      </c>
      <c r="AY374" s="27" t="s">
        <v>8</v>
      </c>
      <c r="AZ374" s="27" t="s">
        <v>7</v>
      </c>
      <c r="BA374" s="27" t="s">
        <v>8</v>
      </c>
      <c r="BB374" s="27" t="s">
        <v>7</v>
      </c>
      <c r="BC374" s="27" t="s">
        <v>8</v>
      </c>
    </row>
    <row r="375" spans="1:84" x14ac:dyDescent="0.25">
      <c r="A375" s="30">
        <v>1.3786201616752334E-3</v>
      </c>
      <c r="B375"/>
      <c r="C375"/>
      <c r="D375"/>
      <c r="E375"/>
      <c r="F375" s="27" t="s">
        <v>7</v>
      </c>
      <c r="AS375" s="27" t="s">
        <v>8</v>
      </c>
      <c r="AT375" s="27" t="s">
        <v>7</v>
      </c>
      <c r="AU375" s="27" t="s">
        <v>8</v>
      </c>
      <c r="AW375" s="27" t="s">
        <v>8</v>
      </c>
      <c r="AX375" s="27" t="s">
        <v>7</v>
      </c>
      <c r="AY375" s="27" t="s">
        <v>8</v>
      </c>
      <c r="AZ375" s="27" t="s">
        <v>7</v>
      </c>
      <c r="BA375" s="27" t="s">
        <v>8</v>
      </c>
      <c r="BB375" s="27" t="s">
        <v>7</v>
      </c>
      <c r="BC375" s="27" t="s">
        <v>8</v>
      </c>
    </row>
    <row r="376" spans="1:84" x14ac:dyDescent="0.25">
      <c r="A376" s="30">
        <v>1.3129715825478407E-3</v>
      </c>
      <c r="B376"/>
      <c r="C376"/>
      <c r="D376"/>
      <c r="E376"/>
      <c r="F376" s="27" t="s">
        <v>7</v>
      </c>
      <c r="AS376" s="27" t="s">
        <v>8</v>
      </c>
      <c r="AT376" s="27" t="s">
        <v>7</v>
      </c>
      <c r="AU376" s="27" t="s">
        <v>8</v>
      </c>
      <c r="AV376" s="27" t="s">
        <v>7</v>
      </c>
      <c r="AW376" s="27" t="s">
        <v>8</v>
      </c>
      <c r="AX376" s="27" t="s">
        <v>7</v>
      </c>
      <c r="AY376" s="27" t="s">
        <v>8</v>
      </c>
      <c r="AZ376" s="27" t="s">
        <v>7</v>
      </c>
      <c r="BA376" s="27" t="s">
        <v>8</v>
      </c>
      <c r="BB376" s="27" t="s">
        <v>7</v>
      </c>
    </row>
    <row r="377" spans="1:84" x14ac:dyDescent="0.25">
      <c r="A377" s="30">
        <v>1.2504491262360382E-3</v>
      </c>
      <c r="B377"/>
      <c r="C377"/>
      <c r="D377"/>
      <c r="E377"/>
      <c r="F377" s="27" t="s">
        <v>7</v>
      </c>
      <c r="AS377" s="27" t="s">
        <v>8</v>
      </c>
      <c r="AT377" s="27" t="s">
        <v>7</v>
      </c>
      <c r="AU377" s="27" t="s">
        <v>8</v>
      </c>
      <c r="AV377" s="27" t="s">
        <v>7</v>
      </c>
      <c r="AW377" s="27" t="s">
        <v>8</v>
      </c>
      <c r="AX377" s="27" t="s">
        <v>7</v>
      </c>
      <c r="AY377" s="27" t="s">
        <v>8</v>
      </c>
      <c r="AZ377" s="27" t="s">
        <v>7</v>
      </c>
      <c r="BA377" s="27" t="s">
        <v>8</v>
      </c>
      <c r="BR377" s="31"/>
    </row>
    <row r="378" spans="1:84" x14ac:dyDescent="0.25">
      <c r="A378" s="30">
        <v>1.1909039297486072E-3</v>
      </c>
      <c r="B378"/>
      <c r="C378"/>
      <c r="D378"/>
      <c r="E378"/>
      <c r="F378" s="27" t="s">
        <v>7</v>
      </c>
      <c r="AS378" s="27" t="s">
        <v>8</v>
      </c>
      <c r="AT378" s="27" t="s">
        <v>7</v>
      </c>
      <c r="AU378" s="27" t="s">
        <v>8</v>
      </c>
      <c r="AV378" s="27" t="s">
        <v>7</v>
      </c>
      <c r="AW378" s="27" t="s">
        <v>8</v>
      </c>
      <c r="AX378" s="27" t="s">
        <v>7</v>
      </c>
      <c r="AY378" s="27" t="s">
        <v>8</v>
      </c>
      <c r="AZ378" s="27" t="s">
        <v>7</v>
      </c>
      <c r="BA378" s="27" t="s">
        <v>8</v>
      </c>
    </row>
    <row r="379" spans="1:84" x14ac:dyDescent="0.25">
      <c r="A379" s="30">
        <v>1.1341942188081969E-3</v>
      </c>
      <c r="B379"/>
      <c r="C379"/>
      <c r="D379"/>
      <c r="E379"/>
      <c r="F379" s="27" t="s">
        <v>7</v>
      </c>
      <c r="AS379" s="27" t="s">
        <v>8</v>
      </c>
      <c r="AT379" s="27" t="s">
        <v>7</v>
      </c>
      <c r="AU379" s="27" t="s">
        <v>8</v>
      </c>
      <c r="AV379" s="27" t="s">
        <v>7</v>
      </c>
      <c r="AW379" s="27" t="s">
        <v>8</v>
      </c>
      <c r="AX379" s="27" t="s">
        <v>7</v>
      </c>
      <c r="AY379" s="27" t="s">
        <v>8</v>
      </c>
      <c r="AZ379" s="27" t="s">
        <v>7</v>
      </c>
      <c r="BA379" s="27" t="s">
        <v>8</v>
      </c>
    </row>
    <row r="380" spans="1:84" x14ac:dyDescent="0.25">
      <c r="A380" s="30">
        <v>1.0801849702935203E-3</v>
      </c>
      <c r="B380"/>
      <c r="C380"/>
      <c r="D380"/>
      <c r="E380"/>
      <c r="F380" s="27" t="s">
        <v>7</v>
      </c>
      <c r="AS380" s="27" t="s">
        <v>8</v>
      </c>
      <c r="AT380" s="27" t="s">
        <v>7</v>
      </c>
      <c r="AU380" s="27" t="s">
        <v>8</v>
      </c>
      <c r="AV380" s="27" t="s">
        <v>7</v>
      </c>
      <c r="AW380" s="27" t="s">
        <v>8</v>
      </c>
      <c r="AX380" s="27" t="s">
        <v>7</v>
      </c>
      <c r="AY380" s="27" t="s">
        <v>8</v>
      </c>
      <c r="AZ380" s="27" t="s">
        <v>7</v>
      </c>
    </row>
    <row r="381" spans="1:84" x14ac:dyDescent="0.25">
      <c r="A381" s="30">
        <v>1.0287475907557332E-3</v>
      </c>
      <c r="B381"/>
      <c r="C381"/>
      <c r="D381"/>
      <c r="E381"/>
      <c r="F381" s="27" t="s">
        <v>7</v>
      </c>
      <c r="AS381" s="27" t="s">
        <v>8</v>
      </c>
      <c r="AT381" s="27" t="s">
        <v>7</v>
      </c>
      <c r="AV381" s="27" t="s">
        <v>7</v>
      </c>
      <c r="AW381" s="27" t="s">
        <v>8</v>
      </c>
      <c r="AX381" s="27" t="s">
        <v>7</v>
      </c>
    </row>
    <row r="382" spans="1:84" x14ac:dyDescent="0.25">
      <c r="A382" s="30">
        <v>9.7731021121794646E-4</v>
      </c>
      <c r="F382" s="27" t="s">
        <v>7</v>
      </c>
      <c r="AS382" s="27" t="s">
        <v>8</v>
      </c>
      <c r="AV382" s="27" t="s">
        <v>7</v>
      </c>
      <c r="BM382" s="31"/>
    </row>
    <row r="383" spans="1:84" x14ac:dyDescent="0.25">
      <c r="A383" s="30">
        <v>9.2844470065704904E-4</v>
      </c>
      <c r="F383" s="27" t="s">
        <v>7</v>
      </c>
      <c r="AS383" s="27" t="s">
        <v>8</v>
      </c>
    </row>
    <row r="384" spans="1:84" x14ac:dyDescent="0.25">
      <c r="A384" s="30">
        <v>8.8202246562419653E-4</v>
      </c>
      <c r="F384" s="27" t="s">
        <v>7</v>
      </c>
      <c r="AS384" s="27" t="s">
        <v>8</v>
      </c>
    </row>
    <row r="385" spans="1:60" x14ac:dyDescent="0.25">
      <c r="A385" s="30">
        <v>8.3792134234298668E-4</v>
      </c>
      <c r="F385" s="27" t="s">
        <v>7</v>
      </c>
      <c r="AS385" s="27" t="s">
        <v>8</v>
      </c>
    </row>
    <row r="386" spans="1:60" x14ac:dyDescent="0.25">
      <c r="A386" s="30">
        <v>7.9602527522583736E-4</v>
      </c>
      <c r="F386" s="27" t="s">
        <v>7</v>
      </c>
      <c r="AS386" s="27" t="s">
        <v>8</v>
      </c>
    </row>
    <row r="387" spans="1:60" x14ac:dyDescent="0.25">
      <c r="A387" s="30">
        <v>7.5622401146454546E-4</v>
      </c>
      <c r="F387" s="27" t="s">
        <v>7</v>
      </c>
      <c r="AS387" s="27" t="s">
        <v>8</v>
      </c>
      <c r="BH387" s="31"/>
    </row>
    <row r="388" spans="1:60" x14ac:dyDescent="0.25">
      <c r="A388" s="30">
        <v>7.1841281089131816E-4</v>
      </c>
      <c r="F388" s="27" t="s">
        <v>7</v>
      </c>
      <c r="AS388" s="27" t="s">
        <v>8</v>
      </c>
    </row>
    <row r="389" spans="1:60" x14ac:dyDescent="0.25">
      <c r="A389" s="30">
        <v>6.8249217034675226E-4</v>
      </c>
      <c r="F389" s="27" t="s">
        <v>7</v>
      </c>
      <c r="AS389" s="27" t="s">
        <v>8</v>
      </c>
    </row>
    <row r="390" spans="1:60" x14ac:dyDescent="0.25">
      <c r="A390" s="30">
        <v>6.4836756182941465E-4</v>
      </c>
      <c r="F390" s="27" t="s">
        <v>7</v>
      </c>
      <c r="AS390" s="27" t="s">
        <v>8</v>
      </c>
    </row>
    <row r="391" spans="1:60" x14ac:dyDescent="0.25">
      <c r="A391" s="30">
        <v>6.1594918373794388E-4</v>
      </c>
      <c r="F391" s="27" t="s">
        <v>7</v>
      </c>
      <c r="I391" s="27" t="s">
        <v>8</v>
      </c>
      <c r="AS391" s="27" t="s">
        <v>8</v>
      </c>
      <c r="BD391" s="31"/>
    </row>
    <row r="392" spans="1:60" x14ac:dyDescent="0.25">
      <c r="A392" s="30">
        <v>5.8515172455104666E-4</v>
      </c>
      <c r="F392" s="27" t="s">
        <v>7</v>
      </c>
      <c r="I392" s="27" t="s">
        <v>8</v>
      </c>
      <c r="J392" s="27" t="s">
        <v>7</v>
      </c>
      <c r="AS392" s="27" t="s">
        <v>8</v>
      </c>
      <c r="BC392" s="31"/>
    </row>
    <row r="393" spans="1:60" x14ac:dyDescent="0.25">
      <c r="A393" s="30">
        <v>5.5589413832349429E-4</v>
      </c>
      <c r="F393" s="27" t="s">
        <v>7</v>
      </c>
      <c r="I393" s="27" t="s">
        <v>8</v>
      </c>
      <c r="J393" s="27" t="s">
        <v>7</v>
      </c>
      <c r="AS393" s="27" t="s">
        <v>8</v>
      </c>
    </row>
    <row r="394" spans="1:60" x14ac:dyDescent="0.25">
      <c r="A394" s="30">
        <v>5.2809943140731956E-4</v>
      </c>
      <c r="F394" s="27" t="s">
        <v>7</v>
      </c>
      <c r="I394" s="27" t="s">
        <v>8</v>
      </c>
      <c r="J394" s="27" t="s">
        <v>7</v>
      </c>
      <c r="Y394" s="27" t="s">
        <v>8</v>
      </c>
      <c r="AM394" s="27" t="s">
        <v>8</v>
      </c>
      <c r="AS394" s="27" t="s">
        <v>8</v>
      </c>
    </row>
    <row r="395" spans="1:60" x14ac:dyDescent="0.25">
      <c r="A395" s="30">
        <v>5.0169445983695357E-4</v>
      </c>
      <c r="F395" s="27" t="s">
        <v>7</v>
      </c>
      <c r="I395" s="27" t="s">
        <v>8</v>
      </c>
      <c r="J395" s="27" t="s">
        <v>7</v>
      </c>
      <c r="Y395" s="27" t="s">
        <v>8</v>
      </c>
      <c r="Z395" s="27" t="s">
        <v>7</v>
      </c>
      <c r="AA395" s="27" t="s">
        <v>8</v>
      </c>
      <c r="AM395" s="27" t="s">
        <v>8</v>
      </c>
      <c r="AN395" s="27" t="s">
        <v>7</v>
      </c>
      <c r="AS395" s="27" t="s">
        <v>8</v>
      </c>
    </row>
    <row r="396" spans="1:60" x14ac:dyDescent="0.25">
      <c r="A396" s="30">
        <v>4.7660973684510589E-4</v>
      </c>
      <c r="F396" s="27" t="s">
        <v>7</v>
      </c>
      <c r="I396" s="27" t="s">
        <v>8</v>
      </c>
      <c r="J396" s="27" t="s">
        <v>7</v>
      </c>
      <c r="W396" s="27" t="s">
        <v>8</v>
      </c>
      <c r="Y396" s="27" t="s">
        <v>8</v>
      </c>
      <c r="Z396" s="27" t="s">
        <v>7</v>
      </c>
      <c r="AA396" s="27" t="s">
        <v>8</v>
      </c>
      <c r="AB396" s="27" t="s">
        <v>7</v>
      </c>
      <c r="AM396" s="27" t="s">
        <v>8</v>
      </c>
      <c r="AN396" s="27" t="s">
        <v>7</v>
      </c>
      <c r="AS396" s="27" t="s">
        <v>8</v>
      </c>
    </row>
    <row r="397" spans="1:60" x14ac:dyDescent="0.25">
      <c r="A397" s="30">
        <v>4.5277925000285056E-4</v>
      </c>
      <c r="F397" s="27" t="s">
        <v>7</v>
      </c>
      <c r="I397" s="27" t="s">
        <v>8</v>
      </c>
      <c r="J397" s="27" t="s">
        <v>7</v>
      </c>
      <c r="W397" s="27" t="s">
        <v>8</v>
      </c>
      <c r="X397" s="27" t="s">
        <v>7</v>
      </c>
      <c r="Y397" s="27" t="s">
        <v>8</v>
      </c>
      <c r="Z397" s="27" t="s">
        <v>7</v>
      </c>
      <c r="AA397" s="27" t="s">
        <v>8</v>
      </c>
      <c r="AB397" s="27" t="s">
        <v>7</v>
      </c>
      <c r="AM397" s="27" t="s">
        <v>8</v>
      </c>
      <c r="AN397" s="27" t="s">
        <v>7</v>
      </c>
      <c r="AS397" s="27" t="s">
        <v>8</v>
      </c>
      <c r="AX397" s="31"/>
    </row>
    <row r="398" spans="1:60" x14ac:dyDescent="0.25">
      <c r="A398" s="30">
        <v>4.3014028750270803E-4</v>
      </c>
      <c r="F398" s="27" t="s">
        <v>7</v>
      </c>
      <c r="I398" s="27" t="s">
        <v>8</v>
      </c>
      <c r="J398" s="27" t="s">
        <v>7</v>
      </c>
      <c r="W398" s="27" t="s">
        <v>8</v>
      </c>
      <c r="X398" s="27" t="s">
        <v>7</v>
      </c>
      <c r="Y398" s="27" t="s">
        <v>8</v>
      </c>
      <c r="Z398" s="27" t="s">
        <v>7</v>
      </c>
      <c r="AA398" s="27" t="s">
        <v>8</v>
      </c>
      <c r="AB398" s="27" t="s">
        <v>7</v>
      </c>
      <c r="AM398" s="27" t="s">
        <v>8</v>
      </c>
      <c r="AN398" s="27" t="s">
        <v>7</v>
      </c>
      <c r="AS398" s="27" t="s">
        <v>8</v>
      </c>
    </row>
    <row r="399" spans="1:60" x14ac:dyDescent="0.25">
      <c r="A399" s="30">
        <v>4.0863327312757263E-4</v>
      </c>
      <c r="F399" s="27" t="s">
        <v>7</v>
      </c>
      <c r="I399" s="27" t="s">
        <v>8</v>
      </c>
      <c r="J399" s="27" t="s">
        <v>7</v>
      </c>
      <c r="K399" s="27" t="s">
        <v>8</v>
      </c>
      <c r="W399" s="27" t="s">
        <v>8</v>
      </c>
      <c r="X399" s="27" t="s">
        <v>7</v>
      </c>
      <c r="Y399" s="27" t="s">
        <v>8</v>
      </c>
      <c r="Z399" s="27" t="s">
        <v>7</v>
      </c>
      <c r="AB399" s="27" t="s">
        <v>7</v>
      </c>
      <c r="AI399" s="27" t="s">
        <v>8</v>
      </c>
      <c r="AM399" s="27" t="s">
        <v>8</v>
      </c>
      <c r="AN399" s="27" t="s">
        <v>7</v>
      </c>
      <c r="AS399" s="27" t="s">
        <v>8</v>
      </c>
      <c r="AV399" s="31"/>
    </row>
    <row r="400" spans="1:60" x14ac:dyDescent="0.25">
      <c r="A400" s="30">
        <v>3.8820160947119396E-4</v>
      </c>
      <c r="F400" s="27" t="s">
        <v>7</v>
      </c>
      <c r="G400" s="27" t="s">
        <v>8</v>
      </c>
      <c r="I400" s="27" t="s">
        <v>8</v>
      </c>
      <c r="J400" s="27" t="s">
        <v>7</v>
      </c>
      <c r="K400" s="27" t="s">
        <v>8</v>
      </c>
      <c r="L400" s="27" t="s">
        <v>7</v>
      </c>
      <c r="W400" s="27" t="s">
        <v>8</v>
      </c>
      <c r="X400" s="27" t="s">
        <v>7</v>
      </c>
      <c r="Y400" s="27" t="s">
        <v>8</v>
      </c>
      <c r="AB400" s="27" t="s">
        <v>7</v>
      </c>
      <c r="AI400" s="27" t="s">
        <v>8</v>
      </c>
      <c r="AJ400" s="27" t="s">
        <v>7</v>
      </c>
      <c r="AM400" s="27" t="s">
        <v>8</v>
      </c>
      <c r="AN400" s="27" t="s">
        <v>7</v>
      </c>
      <c r="AO400" s="27" t="s">
        <v>8</v>
      </c>
      <c r="AQ400" s="27" t="s">
        <v>8</v>
      </c>
      <c r="AS400" s="27" t="s">
        <v>8</v>
      </c>
      <c r="AU400" s="31"/>
    </row>
    <row r="401" spans="1:46" x14ac:dyDescent="0.25">
      <c r="A401" s="30">
        <v>3.6879152899763426E-4</v>
      </c>
      <c r="F401" s="27" t="s">
        <v>7</v>
      </c>
      <c r="G401" s="27" t="s">
        <v>8</v>
      </c>
      <c r="H401" s="27" t="s">
        <v>7</v>
      </c>
      <c r="I401" s="27" t="s">
        <v>8</v>
      </c>
      <c r="J401" s="27" t="s">
        <v>7</v>
      </c>
      <c r="K401" s="27" t="s">
        <v>8</v>
      </c>
      <c r="L401" s="27" t="s">
        <v>7</v>
      </c>
      <c r="W401" s="27" t="s">
        <v>8</v>
      </c>
      <c r="X401" s="27" t="s">
        <v>7</v>
      </c>
      <c r="AB401" s="27" t="s">
        <v>7</v>
      </c>
      <c r="AC401" s="27" t="s">
        <v>8</v>
      </c>
      <c r="AG401" s="27" t="s">
        <v>8</v>
      </c>
      <c r="AI401" s="27" t="s">
        <v>8</v>
      </c>
      <c r="AJ401" s="27" t="s">
        <v>7</v>
      </c>
      <c r="AK401" s="27" t="s">
        <v>8</v>
      </c>
      <c r="AM401" s="27" t="s">
        <v>8</v>
      </c>
      <c r="AN401" s="27" t="s">
        <v>7</v>
      </c>
      <c r="AO401" s="27" t="s">
        <v>8</v>
      </c>
      <c r="AP401" s="27" t="s">
        <v>7</v>
      </c>
      <c r="AQ401" s="27" t="s">
        <v>8</v>
      </c>
      <c r="AR401" s="27" t="s">
        <v>7</v>
      </c>
      <c r="AS401" s="27" t="s">
        <v>8</v>
      </c>
      <c r="AT401" s="31"/>
    </row>
    <row r="402" spans="1:46" x14ac:dyDescent="0.25">
      <c r="A402" s="30">
        <v>3.5035195254775253E-4</v>
      </c>
      <c r="F402" s="27" t="s">
        <v>7</v>
      </c>
      <c r="G402" s="27" t="s">
        <v>8</v>
      </c>
      <c r="H402" s="27" t="s">
        <v>7</v>
      </c>
      <c r="I402" s="27" t="s">
        <v>8</v>
      </c>
      <c r="J402" s="27" t="s">
        <v>7</v>
      </c>
      <c r="L402" s="27" t="s">
        <v>7</v>
      </c>
      <c r="W402" s="27" t="s">
        <v>8</v>
      </c>
      <c r="AB402" s="27" t="s">
        <v>7</v>
      </c>
      <c r="AC402" s="27" t="s">
        <v>8</v>
      </c>
      <c r="AD402" s="27" t="s">
        <v>7</v>
      </c>
      <c r="AE402" s="27" t="s">
        <v>8</v>
      </c>
      <c r="AG402" s="27" t="s">
        <v>8</v>
      </c>
      <c r="AH402" s="27" t="s">
        <v>7</v>
      </c>
      <c r="AI402" s="27" t="s">
        <v>8</v>
      </c>
      <c r="AJ402" s="27" t="s">
        <v>7</v>
      </c>
      <c r="AK402" s="27" t="s">
        <v>8</v>
      </c>
      <c r="AL402" s="27" t="s">
        <v>7</v>
      </c>
      <c r="AM402" s="27" t="s">
        <v>8</v>
      </c>
      <c r="AN402" s="27" t="s">
        <v>7</v>
      </c>
      <c r="AO402" s="27" t="s">
        <v>8</v>
      </c>
      <c r="AP402" s="27" t="s">
        <v>7</v>
      </c>
      <c r="AQ402" s="27" t="s">
        <v>8</v>
      </c>
      <c r="AR402" s="27" t="s">
        <v>7</v>
      </c>
      <c r="AS402" s="31" t="s">
        <v>8</v>
      </c>
    </row>
    <row r="403" spans="1:46" x14ac:dyDescent="0.25">
      <c r="A403" s="30">
        <v>3.3283435492036491E-4</v>
      </c>
      <c r="F403" s="27" t="s">
        <v>7</v>
      </c>
      <c r="G403" s="27" t="s">
        <v>8</v>
      </c>
      <c r="H403" s="27" t="s">
        <v>7</v>
      </c>
      <c r="L403" s="27" t="s">
        <v>7</v>
      </c>
      <c r="U403" s="27" t="s">
        <v>8</v>
      </c>
      <c r="W403" s="27" t="s">
        <v>8</v>
      </c>
      <c r="AB403" s="27" t="s">
        <v>7</v>
      </c>
      <c r="AC403" s="27" t="s">
        <v>8</v>
      </c>
      <c r="AD403" s="27" t="s">
        <v>7</v>
      </c>
      <c r="AE403" s="27" t="s">
        <v>8</v>
      </c>
      <c r="AF403" s="27" t="s">
        <v>7</v>
      </c>
      <c r="AG403" s="27" t="s">
        <v>8</v>
      </c>
      <c r="AH403" s="27" t="s">
        <v>7</v>
      </c>
      <c r="AI403" s="27" t="s">
        <v>8</v>
      </c>
      <c r="AJ403" s="27" t="s">
        <v>7</v>
      </c>
      <c r="AK403" s="27" t="s">
        <v>8</v>
      </c>
      <c r="AL403" s="27" t="s">
        <v>7</v>
      </c>
      <c r="AM403" s="27" t="s">
        <v>8</v>
      </c>
      <c r="AN403" s="27" t="s">
        <v>7</v>
      </c>
      <c r="AO403" s="27" t="s">
        <v>8</v>
      </c>
      <c r="AP403" s="27" t="s">
        <v>7</v>
      </c>
      <c r="AR403" s="31" t="s">
        <v>7</v>
      </c>
    </row>
    <row r="404" spans="1:46" x14ac:dyDescent="0.25">
      <c r="A404" s="30">
        <v>3.1619263717434668E-4</v>
      </c>
      <c r="F404" s="27" t="s">
        <v>7</v>
      </c>
      <c r="G404" s="27" t="s">
        <v>8</v>
      </c>
      <c r="L404" s="27" t="s">
        <v>7</v>
      </c>
      <c r="O404" s="27" t="s">
        <v>8</v>
      </c>
      <c r="U404" s="27" t="s">
        <v>8</v>
      </c>
      <c r="V404" s="27" t="s">
        <v>7</v>
      </c>
      <c r="W404" s="27" t="s">
        <v>8</v>
      </c>
      <c r="AB404" s="27" t="s">
        <v>7</v>
      </c>
      <c r="AC404" s="27" t="s">
        <v>8</v>
      </c>
      <c r="AD404" s="27" t="s">
        <v>7</v>
      </c>
      <c r="AE404" s="27" t="s">
        <v>8</v>
      </c>
      <c r="AF404" s="27" t="s">
        <v>7</v>
      </c>
      <c r="AG404" s="27" t="s">
        <v>8</v>
      </c>
      <c r="AH404" s="27" t="s">
        <v>7</v>
      </c>
      <c r="AI404" s="27" t="s">
        <v>8</v>
      </c>
      <c r="AJ404" s="27" t="s">
        <v>7</v>
      </c>
      <c r="AK404" s="27" t="s">
        <v>8</v>
      </c>
      <c r="AL404" s="27" t="s">
        <v>7</v>
      </c>
      <c r="AM404" s="27" t="s">
        <v>8</v>
      </c>
      <c r="AN404" s="27" t="s">
        <v>7</v>
      </c>
    </row>
    <row r="405" spans="1:46" x14ac:dyDescent="0.25">
      <c r="A405" s="30">
        <v>3.0038300531562933E-4</v>
      </c>
      <c r="F405" s="27" t="s">
        <v>7</v>
      </c>
      <c r="G405" s="27" t="s">
        <v>8</v>
      </c>
      <c r="L405" s="27" t="s">
        <v>7</v>
      </c>
      <c r="O405" s="27" t="s">
        <v>8</v>
      </c>
      <c r="P405" s="27" t="s">
        <v>7</v>
      </c>
      <c r="S405" s="27" t="s">
        <v>8</v>
      </c>
      <c r="U405" s="27" t="s">
        <v>8</v>
      </c>
      <c r="V405" s="27" t="s">
        <v>7</v>
      </c>
      <c r="W405" s="27" t="s">
        <v>8</v>
      </c>
      <c r="AB405" s="27" t="s">
        <v>7</v>
      </c>
      <c r="AD405" s="27" t="s">
        <v>7</v>
      </c>
      <c r="AE405" s="27" t="s">
        <v>8</v>
      </c>
      <c r="AF405" s="27" t="s">
        <v>7</v>
      </c>
      <c r="AG405" s="27" t="s">
        <v>8</v>
      </c>
      <c r="AH405" s="27" t="s">
        <v>7</v>
      </c>
      <c r="AJ405" s="27" t="s">
        <v>7</v>
      </c>
      <c r="AK405" s="27" t="s">
        <v>8</v>
      </c>
      <c r="AL405" s="27" t="s">
        <v>7</v>
      </c>
    </row>
    <row r="406" spans="1:46" x14ac:dyDescent="0.25">
      <c r="A406" s="30">
        <v>2.8536385504984783E-4</v>
      </c>
      <c r="F406" s="27" t="s">
        <v>7</v>
      </c>
      <c r="G406" s="27" t="s">
        <v>8</v>
      </c>
      <c r="L406" s="27" t="s">
        <v>7</v>
      </c>
      <c r="O406" s="27" t="s">
        <v>8</v>
      </c>
      <c r="P406" s="27" t="s">
        <v>7</v>
      </c>
      <c r="S406" s="27" t="s">
        <v>8</v>
      </c>
      <c r="T406" s="27" t="s">
        <v>7</v>
      </c>
      <c r="U406" s="27" t="s">
        <v>8</v>
      </c>
      <c r="V406" s="27" t="s">
        <v>7</v>
      </c>
      <c r="AD406" s="27" t="s">
        <v>7</v>
      </c>
      <c r="AF406" s="27" t="s">
        <v>7</v>
      </c>
      <c r="AG406" s="27" t="s">
        <v>8</v>
      </c>
      <c r="AJ406" s="27" t="s">
        <v>7</v>
      </c>
      <c r="AK406" s="27" t="s">
        <v>8</v>
      </c>
    </row>
    <row r="407" spans="1:46" x14ac:dyDescent="0.25">
      <c r="A407" s="30">
        <v>2.7109566229735542E-4</v>
      </c>
      <c r="F407" s="27" t="s">
        <v>7</v>
      </c>
      <c r="L407" s="27" t="s">
        <v>7</v>
      </c>
      <c r="O407" s="27" t="s">
        <v>8</v>
      </c>
      <c r="P407" s="27" t="s">
        <v>7</v>
      </c>
      <c r="S407" s="27" t="s">
        <v>8</v>
      </c>
      <c r="T407" s="27" t="s">
        <v>7</v>
      </c>
      <c r="U407" s="27" t="s">
        <v>8</v>
      </c>
      <c r="AF407" s="27" t="s">
        <v>7</v>
      </c>
      <c r="AJ407" s="27" t="s">
        <v>7</v>
      </c>
    </row>
    <row r="408" spans="1:46" x14ac:dyDescent="0.25">
      <c r="A408" s="30">
        <v>2.5754087918248761E-4</v>
      </c>
      <c r="L408" s="27" t="s">
        <v>7</v>
      </c>
      <c r="O408" s="27" t="s">
        <v>8</v>
      </c>
      <c r="P408" s="27" t="s">
        <v>7</v>
      </c>
      <c r="Q408" s="27" t="s">
        <v>8</v>
      </c>
      <c r="S408" s="27" t="s">
        <v>8</v>
      </c>
      <c r="T408" s="27" t="s">
        <v>7</v>
      </c>
      <c r="U408" s="27" t="s">
        <v>8</v>
      </c>
    </row>
    <row r="409" spans="1:46" x14ac:dyDescent="0.25">
      <c r="A409" s="30">
        <v>2.4466383522336323E-4</v>
      </c>
      <c r="L409" s="27" t="s">
        <v>7</v>
      </c>
      <c r="O409" s="27" t="s">
        <v>8</v>
      </c>
      <c r="P409" s="27" t="s">
        <v>7</v>
      </c>
      <c r="Q409" s="27" t="s">
        <v>8</v>
      </c>
      <c r="R409" s="27" t="s">
        <v>7</v>
      </c>
      <c r="S409" s="27" t="s">
        <v>8</v>
      </c>
      <c r="T409" s="27" t="s">
        <v>7</v>
      </c>
    </row>
    <row r="410" spans="1:46" x14ac:dyDescent="0.25">
      <c r="A410" s="30">
        <v>2.3243064346219506E-4</v>
      </c>
      <c r="L410" s="27" t="s">
        <v>7</v>
      </c>
      <c r="O410" s="27" t="s">
        <v>8</v>
      </c>
      <c r="P410" s="27" t="s">
        <v>7</v>
      </c>
      <c r="Q410" s="27" t="s">
        <v>8</v>
      </c>
      <c r="R410" s="27" t="s">
        <v>7</v>
      </c>
      <c r="S410" s="27" t="s">
        <v>8</v>
      </c>
    </row>
    <row r="411" spans="1:46" x14ac:dyDescent="0.25">
      <c r="A411" s="30">
        <v>2.2080911128908529E-4</v>
      </c>
      <c r="L411" s="27" t="s">
        <v>7</v>
      </c>
      <c r="M411" s="27" t="s">
        <v>8</v>
      </c>
      <c r="O411" s="27" t="s">
        <v>8</v>
      </c>
      <c r="P411" s="27" t="s">
        <v>7</v>
      </c>
      <c r="Q411" s="27" t="s">
        <v>8</v>
      </c>
      <c r="R411" s="27" t="s">
        <v>7</v>
      </c>
    </row>
    <row r="412" spans="1:46" x14ac:dyDescent="0.25">
      <c r="A412" s="30">
        <v>2.0976865572463102E-4</v>
      </c>
      <c r="L412" s="27" t="s">
        <v>7</v>
      </c>
      <c r="M412" s="27" t="s">
        <v>8</v>
      </c>
      <c r="N412" s="27" t="s">
        <v>7</v>
      </c>
      <c r="O412" s="27" t="s">
        <v>8</v>
      </c>
      <c r="P412" s="27" t="s">
        <v>7</v>
      </c>
    </row>
    <row r="413" spans="1:46" x14ac:dyDescent="0.25">
      <c r="A413" s="30">
        <v>1.9928022293839946E-4</v>
      </c>
      <c r="L413" s="27" t="s">
        <v>7</v>
      </c>
      <c r="M413" s="27" t="s">
        <v>8</v>
      </c>
      <c r="N413" s="27" t="s">
        <v>7</v>
      </c>
      <c r="O413" s="27" t="s">
        <v>8</v>
      </c>
    </row>
    <row r="414" spans="1:46" x14ac:dyDescent="0.25">
      <c r="A414" s="30">
        <v>1.8931621179147948E-4</v>
      </c>
      <c r="L414" s="27" t="s">
        <v>7</v>
      </c>
      <c r="M414" s="27" t="s">
        <v>8</v>
      </c>
      <c r="N414" s="27" t="s">
        <v>7</v>
      </c>
      <c r="O414" s="27" t="s">
        <v>8</v>
      </c>
    </row>
    <row r="415" spans="1:46" x14ac:dyDescent="0.25">
      <c r="A415" s="30">
        <v>1.798504012019055E-4</v>
      </c>
      <c r="L415" s="27" t="s">
        <v>7</v>
      </c>
      <c r="M415" s="27" t="s">
        <v>8</v>
      </c>
      <c r="N415" s="27" t="s">
        <v>7</v>
      </c>
      <c r="O415" s="27" t="s">
        <v>8</v>
      </c>
    </row>
    <row r="416" spans="1:46" x14ac:dyDescent="0.25">
      <c r="A416" s="30">
        <v>1.7085788114181021E-4</v>
      </c>
      <c r="L416" s="27" t="s">
        <v>7</v>
      </c>
      <c r="M416" s="27" t="s">
        <v>8</v>
      </c>
      <c r="N416" s="27" t="s">
        <v>7</v>
      </c>
    </row>
    <row r="417" spans="1:13" x14ac:dyDescent="0.25">
      <c r="A417" s="30">
        <v>1.623149870847197E-4</v>
      </c>
      <c r="L417" s="27" t="s">
        <v>7</v>
      </c>
      <c r="M417" s="27" t="s">
        <v>8</v>
      </c>
    </row>
    <row r="418" spans="1:13" x14ac:dyDescent="0.25">
      <c r="A418" s="30">
        <v>1.541992377304837E-4</v>
      </c>
      <c r="L418" s="27" t="s">
        <v>7</v>
      </c>
      <c r="M418" s="27" t="s">
        <v>8</v>
      </c>
    </row>
    <row r="419" spans="1:13" x14ac:dyDescent="0.25">
      <c r="A419" s="30">
        <v>1.4648927584395952E-4</v>
      </c>
      <c r="L419" s="27" t="s">
        <v>7</v>
      </c>
      <c r="M419" s="27" t="s">
        <v>8</v>
      </c>
    </row>
    <row r="420" spans="1:13" x14ac:dyDescent="0.25">
      <c r="A420" s="30">
        <v>1.3916481205176153E-4</v>
      </c>
      <c r="L420" s="27" t="s">
        <v>7</v>
      </c>
      <c r="M420" s="27" t="s">
        <v>8</v>
      </c>
    </row>
    <row r="421" spans="1:13" x14ac:dyDescent="0.25">
      <c r="A421" s="30">
        <v>1.3220657144917344E-4</v>
      </c>
      <c r="L421" s="27" t="s">
        <v>7</v>
      </c>
      <c r="M421" s="27" t="s">
        <v>8</v>
      </c>
    </row>
    <row r="422" spans="1:13" x14ac:dyDescent="0.25">
      <c r="A422" s="30">
        <v>1.2559624287671476E-4</v>
      </c>
      <c r="L422" s="27" t="s">
        <v>7</v>
      </c>
    </row>
    <row r="423" spans="1:13" x14ac:dyDescent="0.25">
      <c r="A423" s="30">
        <v>1.1931643073287902E-4</v>
      </c>
    </row>
    <row r="424" spans="1:13" x14ac:dyDescent="0.25">
      <c r="A424" s="30">
        <v>1.1335060919623506E-4</v>
      </c>
    </row>
    <row r="425" spans="1:13" x14ac:dyDescent="0.25">
      <c r="A425" s="30">
        <v>1.076830787364233E-4</v>
      </c>
    </row>
    <row r="426" spans="1:13" x14ac:dyDescent="0.25">
      <c r="A426" s="30">
        <v>1.0229892479960213E-4</v>
      </c>
    </row>
    <row r="427" spans="1:13" x14ac:dyDescent="0.25">
      <c r="A427" s="30">
        <v>9.7183978559622027E-5</v>
      </c>
    </row>
    <row r="428" spans="1:13" x14ac:dyDescent="0.25">
      <c r="A428" s="30">
        <v>9.2324779631640922E-5</v>
      </c>
    </row>
    <row r="429" spans="1:13" x14ac:dyDescent="0.25">
      <c r="A429" s="30">
        <v>8.7708540650058869E-5</v>
      </c>
    </row>
    <row r="430" spans="1:13" x14ac:dyDescent="0.25">
      <c r="A430" s="30">
        <v>8.3323113617555917E-5</v>
      </c>
    </row>
    <row r="431" spans="1:13" x14ac:dyDescent="0.25">
      <c r="A431" s="30">
        <v>7.9156957936678114E-5</v>
      </c>
    </row>
    <row r="432" spans="1:13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51" operator="equal">
      <formula>$U$1</formula>
    </cfRule>
    <cfRule type="cellIs" dxfId="67" priority="1152" operator="equal">
      <formula>$S$1</formula>
    </cfRule>
  </conditionalFormatting>
  <conditionalFormatting sqref="D136">
    <cfRule type="cellIs" dxfId="66" priority="1149" operator="equal">
      <formula>$S$1</formula>
    </cfRule>
    <cfRule type="cellIs" dxfId="65" priority="1150" operator="equal">
      <formula>$U$1</formula>
    </cfRule>
  </conditionalFormatting>
  <conditionalFormatting sqref="C162">
    <cfRule type="cellIs" dxfId="64" priority="1147" operator="equal">
      <formula>$U$1</formula>
    </cfRule>
    <cfRule type="cellIs" dxfId="63" priority="1148" operator="equal">
      <formula>$S$1</formula>
    </cfRule>
  </conditionalFormatting>
  <conditionalFormatting sqref="D162">
    <cfRule type="cellIs" dxfId="62" priority="1145" operator="equal">
      <formula>$S$1</formula>
    </cfRule>
    <cfRule type="cellIs" dxfId="61" priority="1146" operator="equal">
      <formula>$U$1</formula>
    </cfRule>
  </conditionalFormatting>
  <conditionalFormatting sqref="C187">
    <cfRule type="cellIs" dxfId="60" priority="1143" operator="equal">
      <formula>$U$1</formula>
    </cfRule>
    <cfRule type="cellIs" dxfId="59" priority="1144" operator="equal">
      <formula>$S$1</formula>
    </cfRule>
  </conditionalFormatting>
  <conditionalFormatting sqref="D187">
    <cfRule type="cellIs" dxfId="58" priority="1141" operator="equal">
      <formula>$S$1</formula>
    </cfRule>
    <cfRule type="cellIs" dxfId="57" priority="1142" operator="equal">
      <formula>$U$1</formula>
    </cfRule>
  </conditionalFormatting>
  <conditionalFormatting sqref="C212">
    <cfRule type="cellIs" dxfId="56" priority="1139" operator="equal">
      <formula>$U$1</formula>
    </cfRule>
    <cfRule type="cellIs" dxfId="55" priority="1140" operator="equal">
      <formula>$S$1</formula>
    </cfRule>
  </conditionalFormatting>
  <conditionalFormatting sqref="D212">
    <cfRule type="cellIs" dxfId="54" priority="1137" operator="equal">
      <formula>$S$1</formula>
    </cfRule>
    <cfRule type="cellIs" dxfId="53" priority="1138" operator="equal">
      <formula>$U$1</formula>
    </cfRule>
  </conditionalFormatting>
  <conditionalFormatting sqref="C237">
    <cfRule type="cellIs" dxfId="52" priority="1135" operator="equal">
      <formula>$U$1</formula>
    </cfRule>
    <cfRule type="cellIs" dxfId="51" priority="1136" operator="equal">
      <formula>$S$1</formula>
    </cfRule>
  </conditionalFormatting>
  <conditionalFormatting sqref="D237">
    <cfRule type="cellIs" dxfId="50" priority="1133" operator="equal">
      <formula>$S$1</formula>
    </cfRule>
    <cfRule type="cellIs" dxfId="49" priority="1134" operator="equal">
      <formula>$U$1</formula>
    </cfRule>
  </conditionalFormatting>
  <conditionalFormatting sqref="C106">
    <cfRule type="cellIs" dxfId="48" priority="1131" operator="equal">
      <formula>$U$1</formula>
    </cfRule>
    <cfRule type="cellIs" dxfId="47" priority="1132" operator="equal">
      <formula>$S$1</formula>
    </cfRule>
  </conditionalFormatting>
  <conditionalFormatting sqref="D106">
    <cfRule type="cellIs" dxfId="46" priority="1129" operator="equal">
      <formula>$S$1</formula>
    </cfRule>
    <cfRule type="cellIs" dxfId="45" priority="1130" operator="equal">
      <formula>$U$1</formula>
    </cfRule>
  </conditionalFormatting>
  <conditionalFormatting sqref="C81">
    <cfRule type="cellIs" dxfId="44" priority="1127" operator="equal">
      <formula>$U$1</formula>
    </cfRule>
    <cfRule type="cellIs" dxfId="43" priority="1128" operator="equal">
      <formula>$S$1</formula>
    </cfRule>
  </conditionalFormatting>
  <conditionalFormatting sqref="D81">
    <cfRule type="cellIs" dxfId="42" priority="1125" operator="equal">
      <formula>$S$1</formula>
    </cfRule>
    <cfRule type="cellIs" dxfId="41" priority="1126" operator="equal">
      <formula>$U$1</formula>
    </cfRule>
  </conditionalFormatting>
  <conditionalFormatting sqref="C56">
    <cfRule type="cellIs" dxfId="40" priority="1123" operator="equal">
      <formula>$U$1</formula>
    </cfRule>
    <cfRule type="cellIs" dxfId="39" priority="1124" operator="equal">
      <formula>$S$1</formula>
    </cfRule>
  </conditionalFormatting>
  <conditionalFormatting sqref="D56">
    <cfRule type="cellIs" dxfId="38" priority="1121" operator="equal">
      <formula>$S$1</formula>
    </cfRule>
    <cfRule type="cellIs" dxfId="37" priority="1122" operator="equal">
      <formula>$U$1</formula>
    </cfRule>
  </conditionalFormatting>
  <conditionalFormatting sqref="C31">
    <cfRule type="cellIs" dxfId="36" priority="1119" operator="equal">
      <formula>$U$1</formula>
    </cfRule>
    <cfRule type="cellIs" dxfId="35" priority="1120" operator="equal">
      <formula>$S$1</formula>
    </cfRule>
  </conditionalFormatting>
  <conditionalFormatting sqref="D31">
    <cfRule type="cellIs" dxfId="34" priority="1117" operator="equal">
      <formula>$S$1</formula>
    </cfRule>
    <cfRule type="cellIs" dxfId="33" priority="111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52" zoomScale="90" zoomScaleNormal="90" workbookViewId="0">
      <pane xSplit="4" topLeftCell="G1" activePane="topRight" state="frozen"/>
      <selection activeCell="A109" sqref="A109"/>
      <selection pane="topRight" activeCell="AT184" sqref="AT18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$A$183</v>
      </c>
      <c r="D111" s="1" t="str">
        <f>ADDRESS(C121-1,D121,1,1)</f>
        <v>$AT$183</v>
      </c>
      <c r="E111"/>
    </row>
    <row r="112" spans="1:5" x14ac:dyDescent="0.25">
      <c r="A112" s="30">
        <v>2.3579476910000019</v>
      </c>
      <c r="C112" s="1" t="str">
        <f>ADDRESS(C121,1,1,1)</f>
        <v>$A$184</v>
      </c>
      <c r="D112" s="1" t="str">
        <f>ADDRESS(C121,D121-1,1,1)</f>
        <v>$AS$184</v>
      </c>
      <c r="E112"/>
    </row>
    <row r="113" spans="1:6" x14ac:dyDescent="0.25">
      <c r="A113" s="30">
        <v>2.1435888100000016</v>
      </c>
      <c r="C113" s="1" t="str">
        <f>ADDRESS(C121+1,1,1,1)</f>
        <v>$A$185</v>
      </c>
      <c r="D113" s="1" t="str">
        <f>ADDRESS(C121-1,D121+1,1,1)</f>
        <v>$AU$183</v>
      </c>
    </row>
    <row r="114" spans="1:6" x14ac:dyDescent="0.25">
      <c r="A114" s="30">
        <v>1.9487171000000014</v>
      </c>
      <c r="C114" s="1" t="str">
        <f>ADDRESS(C121,D121,1,1)</f>
        <v>$AT$184</v>
      </c>
      <c r="D114" s="1" t="str">
        <f>ADDRESS(C121+1,D121+1,1,1)</f>
        <v>$AU$185</v>
      </c>
    </row>
    <row r="115" spans="1:6" x14ac:dyDescent="0.25">
      <c r="A115" s="30">
        <v>1.7715610000000011</v>
      </c>
      <c r="C115" s="1" t="str">
        <f>ADDRESS(C121+1,D121,1,1)</f>
        <v>$AT$185</v>
      </c>
    </row>
    <row r="116" spans="1:6" x14ac:dyDescent="0.25">
      <c r="A116" s="30">
        <v>1.6105100000000008</v>
      </c>
      <c r="C116" s="1">
        <f>C117-1</f>
        <v>183</v>
      </c>
    </row>
    <row r="117" spans="1:6" x14ac:dyDescent="0.25">
      <c r="A117" s="30">
        <v>1.4641000000000006</v>
      </c>
      <c r="C117" s="1">
        <f>C121</f>
        <v>184</v>
      </c>
      <c r="D117" s="1">
        <f>D121</f>
        <v>46</v>
      </c>
    </row>
    <row r="118" spans="1:6" x14ac:dyDescent="0.25">
      <c r="A118" s="30">
        <v>1.3310000000000004</v>
      </c>
      <c r="C118" s="1">
        <f>C117+1</f>
        <v>185</v>
      </c>
      <c r="D118" s="1">
        <f>D117+1</f>
        <v>47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184</v>
      </c>
      <c r="D121" s="19">
        <v>46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R184</v>
      </c>
      <c r="D123" s="1" t="str">
        <f>"C"&amp;D121</f>
        <v>C46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2.4675208726317021E-3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" x14ac:dyDescent="0.25">
      <c r="A145" s="30">
        <v>0.10152559799477026</v>
      </c>
      <c r="B145"/>
      <c r="C145"/>
      <c r="D145"/>
      <c r="E145"/>
      <c r="F145" s="27" t="s">
        <v>7</v>
      </c>
    </row>
    <row r="146" spans="1:6" x14ac:dyDescent="0.25">
      <c r="A146" s="30">
        <v>9.2295998177063854E-2</v>
      </c>
      <c r="B146"/>
      <c r="C146"/>
      <c r="D146"/>
      <c r="E146"/>
      <c r="F146" s="27" t="s">
        <v>7</v>
      </c>
    </row>
    <row r="147" spans="1:6" x14ac:dyDescent="0.25">
      <c r="A147" s="30">
        <v>8.3905452888239848E-2</v>
      </c>
      <c r="B147"/>
      <c r="C147"/>
      <c r="D147"/>
      <c r="E147"/>
      <c r="F147" s="27" t="s">
        <v>7</v>
      </c>
    </row>
    <row r="148" spans="1:6" x14ac:dyDescent="0.25">
      <c r="A148" s="30">
        <v>7.6277684443854396E-2</v>
      </c>
      <c r="B148"/>
      <c r="C148"/>
      <c r="D148"/>
      <c r="E148"/>
      <c r="F148" s="27" t="s">
        <v>7</v>
      </c>
    </row>
    <row r="149" spans="1:6" x14ac:dyDescent="0.25">
      <c r="A149" s="30">
        <v>6.9343349494413078E-2</v>
      </c>
      <c r="B149"/>
      <c r="C149"/>
      <c r="D149"/>
      <c r="E149"/>
      <c r="F149" s="27" t="s">
        <v>7</v>
      </c>
    </row>
    <row r="150" spans="1:6" x14ac:dyDescent="0.25">
      <c r="A150" s="30">
        <v>6.3039408631284613E-2</v>
      </c>
      <c r="B150"/>
      <c r="C150"/>
      <c r="D150"/>
      <c r="E150"/>
      <c r="F150" s="27" t="s">
        <v>7</v>
      </c>
    </row>
    <row r="151" spans="1:6" x14ac:dyDescent="0.25">
      <c r="A151" s="30">
        <v>5.7308553301167818E-2</v>
      </c>
      <c r="B151"/>
      <c r="C151"/>
      <c r="D151"/>
      <c r="E151"/>
      <c r="F151" s="27" t="s">
        <v>7</v>
      </c>
    </row>
    <row r="152" spans="1:6" x14ac:dyDescent="0.25">
      <c r="A152" s="30">
        <v>5.2098684819243464E-2</v>
      </c>
      <c r="B152"/>
      <c r="C152"/>
      <c r="D152"/>
      <c r="E152"/>
      <c r="F152" s="27" t="s">
        <v>7</v>
      </c>
    </row>
    <row r="153" spans="1:6" x14ac:dyDescent="0.25">
      <c r="A153" s="30">
        <v>4.7362440744766775E-2</v>
      </c>
      <c r="B153"/>
      <c r="C153"/>
      <c r="D153"/>
      <c r="E153"/>
      <c r="F153" s="27" t="s">
        <v>7</v>
      </c>
    </row>
    <row r="154" spans="1:6" x14ac:dyDescent="0.25">
      <c r="A154" s="30">
        <v>4.3056764313424332E-2</v>
      </c>
      <c r="B154"/>
      <c r="C154"/>
      <c r="D154"/>
      <c r="E154"/>
      <c r="F154" s="27" t="s">
        <v>7</v>
      </c>
    </row>
    <row r="155" spans="1:6" x14ac:dyDescent="0.25">
      <c r="A155" s="30">
        <v>3.9142513012203929E-2</v>
      </c>
      <c r="B155"/>
      <c r="C155"/>
      <c r="D155"/>
      <c r="E155"/>
      <c r="F155" s="27" t="s">
        <v>7</v>
      </c>
    </row>
    <row r="156" spans="1:6" x14ac:dyDescent="0.25">
      <c r="A156" s="30">
        <v>3.55841027383672E-2</v>
      </c>
      <c r="B156"/>
      <c r="C156"/>
      <c r="D156"/>
      <c r="E156"/>
      <c r="F156" s="27" t="s">
        <v>7</v>
      </c>
    </row>
    <row r="157" spans="1:6" x14ac:dyDescent="0.25">
      <c r="A157" s="30">
        <v>3.2349184307606541E-2</v>
      </c>
      <c r="B157"/>
      <c r="C157"/>
      <c r="D157"/>
      <c r="E157"/>
      <c r="F157" s="27" t="s">
        <v>7</v>
      </c>
    </row>
    <row r="158" spans="1:6" x14ac:dyDescent="0.25">
      <c r="A158" s="30">
        <v>2.9408349370551395E-2</v>
      </c>
      <c r="B158"/>
      <c r="C158"/>
      <c r="D158"/>
      <c r="E158"/>
      <c r="F158" s="27" t="s">
        <v>7</v>
      </c>
    </row>
    <row r="159" spans="1:6" x14ac:dyDescent="0.25">
      <c r="A159" s="30">
        <v>2.6734863064137627E-2</v>
      </c>
      <c r="B159"/>
      <c r="C159"/>
      <c r="D159"/>
      <c r="E159"/>
      <c r="F159" s="27" t="s">
        <v>7</v>
      </c>
    </row>
    <row r="160" spans="1:6" x14ac:dyDescent="0.25">
      <c r="A160" s="30">
        <v>2.4304420967397839E-2</v>
      </c>
      <c r="B160"/>
      <c r="C160"/>
      <c r="D160"/>
      <c r="E160"/>
      <c r="F160" s="27" t="s">
        <v>7</v>
      </c>
    </row>
    <row r="161" spans="1:39" x14ac:dyDescent="0.25">
      <c r="A161" s="30">
        <v>2.2094928152179852E-2</v>
      </c>
      <c r="B161"/>
      <c r="C161"/>
      <c r="D161"/>
      <c r="E161"/>
      <c r="F161" s="27" t="s">
        <v>7</v>
      </c>
    </row>
    <row r="162" spans="1:39" x14ac:dyDescent="0.25">
      <c r="A162" s="30">
        <v>2.0086298320163499E-2</v>
      </c>
      <c r="B162"/>
      <c r="C162"/>
      <c r="D162"/>
      <c r="E162"/>
      <c r="F162" s="27" t="s">
        <v>7</v>
      </c>
    </row>
    <row r="163" spans="1:39" x14ac:dyDescent="0.25">
      <c r="A163" s="30">
        <v>1.8260271200148632E-2</v>
      </c>
      <c r="B163"/>
      <c r="C163"/>
      <c r="D163"/>
      <c r="E163"/>
      <c r="F163" s="27" t="s">
        <v>7</v>
      </c>
    </row>
    <row r="164" spans="1:39" x14ac:dyDescent="0.25">
      <c r="A164" s="30">
        <v>1.6600246545589663E-2</v>
      </c>
      <c r="B164"/>
      <c r="C164"/>
      <c r="D164"/>
      <c r="E164"/>
      <c r="F164" s="27" t="s">
        <v>7</v>
      </c>
    </row>
    <row r="165" spans="1:39" x14ac:dyDescent="0.25">
      <c r="A165" s="30">
        <v>1.5091133223263328E-2</v>
      </c>
      <c r="B165"/>
      <c r="C165"/>
      <c r="D165"/>
      <c r="E165"/>
      <c r="F165" s="27" t="s">
        <v>7</v>
      </c>
    </row>
    <row r="166" spans="1:39" x14ac:dyDescent="0.25">
      <c r="A166" s="30">
        <v>1.3719212021148477E-2</v>
      </c>
      <c r="B166"/>
      <c r="C166"/>
      <c r="D166"/>
      <c r="E166"/>
      <c r="F166" s="27" t="s">
        <v>7</v>
      </c>
    </row>
    <row r="167" spans="1:39" x14ac:dyDescent="0.25">
      <c r="A167" s="30">
        <v>1.2472010928316795E-2</v>
      </c>
      <c r="B167"/>
      <c r="C167"/>
      <c r="D167"/>
      <c r="E167"/>
      <c r="F167" s="27" t="s">
        <v>7</v>
      </c>
      <c r="Y167" s="27" t="s">
        <v>8</v>
      </c>
    </row>
    <row r="168" spans="1:39" x14ac:dyDescent="0.25">
      <c r="A168" s="30">
        <v>1.1338191753015267E-2</v>
      </c>
      <c r="B168"/>
      <c r="C168"/>
      <c r="D168"/>
      <c r="E168"/>
      <c r="F168" s="27" t="s">
        <v>7</v>
      </c>
      <c r="Y168" s="27" t="s">
        <v>8</v>
      </c>
      <c r="Z168" s="27" t="s">
        <v>7</v>
      </c>
    </row>
    <row r="169" spans="1:39" x14ac:dyDescent="0.25">
      <c r="A169" s="30">
        <v>1.0307447048195697E-2</v>
      </c>
      <c r="B169"/>
      <c r="C169"/>
      <c r="D169"/>
      <c r="E169"/>
      <c r="F169" s="27" t="s">
        <v>7</v>
      </c>
      <c r="Y169" s="27" t="s">
        <v>8</v>
      </c>
      <c r="Z169" s="27" t="s">
        <v>7</v>
      </c>
      <c r="AA169" s="27" t="s">
        <v>8</v>
      </c>
    </row>
    <row r="170" spans="1:39" x14ac:dyDescent="0.25">
      <c r="A170" s="30">
        <v>9.3704064074506318E-3</v>
      </c>
      <c r="B170"/>
      <c r="C170"/>
      <c r="D170"/>
      <c r="E170"/>
      <c r="F170" s="27" t="s">
        <v>7</v>
      </c>
      <c r="Y170" s="27" t="s">
        <v>8</v>
      </c>
      <c r="Z170" s="27" t="s">
        <v>7</v>
      </c>
      <c r="AA170" s="27" t="s">
        <v>8</v>
      </c>
      <c r="AB170" s="27" t="s">
        <v>7</v>
      </c>
    </row>
    <row r="171" spans="1:39" x14ac:dyDescent="0.25">
      <c r="A171" s="30">
        <v>8.5185512795005747E-3</v>
      </c>
      <c r="F171" s="27" t="s">
        <v>7</v>
      </c>
      <c r="Y171" s="27" t="s">
        <v>8</v>
      </c>
      <c r="Z171" s="27" t="s">
        <v>7</v>
      </c>
      <c r="AA171" s="27" t="s">
        <v>8</v>
      </c>
      <c r="AB171" s="27" t="s">
        <v>7</v>
      </c>
      <c r="AE171" s="31" t="s">
        <v>8</v>
      </c>
    </row>
    <row r="172" spans="1:39" x14ac:dyDescent="0.25">
      <c r="A172" s="30">
        <v>7.744137526818704E-3</v>
      </c>
      <c r="F172" s="27" t="s">
        <v>7</v>
      </c>
      <c r="Y172" s="27" t="s">
        <v>8</v>
      </c>
      <c r="Z172" s="27" t="s">
        <v>7</v>
      </c>
      <c r="AA172" s="27" t="s">
        <v>8</v>
      </c>
      <c r="AB172" s="27" t="s">
        <v>7</v>
      </c>
      <c r="AC172" s="27" t="s">
        <v>8</v>
      </c>
      <c r="AE172" s="27" t="s">
        <v>8</v>
      </c>
      <c r="AF172" s="31" t="s">
        <v>7</v>
      </c>
    </row>
    <row r="173" spans="1:39" x14ac:dyDescent="0.25">
      <c r="A173" s="30">
        <v>7.0401250243806394E-3</v>
      </c>
      <c r="F173" s="27" t="s">
        <v>7</v>
      </c>
      <c r="Y173" s="27" t="s">
        <v>8</v>
      </c>
      <c r="Z173" s="27" t="s">
        <v>7</v>
      </c>
      <c r="AB173" s="27" t="s">
        <v>7</v>
      </c>
      <c r="AC173" s="27" t="s">
        <v>8</v>
      </c>
      <c r="AD173" s="27" t="s">
        <v>7</v>
      </c>
      <c r="AE173" s="27" t="s">
        <v>8</v>
      </c>
      <c r="AF173" s="27" t="s">
        <v>7</v>
      </c>
      <c r="AG173" s="31"/>
    </row>
    <row r="174" spans="1:39" x14ac:dyDescent="0.25">
      <c r="A174" s="30">
        <v>6.4001136585278536E-3</v>
      </c>
      <c r="F174" s="27" t="s">
        <v>7</v>
      </c>
      <c r="Y174" s="27" t="s">
        <v>8</v>
      </c>
      <c r="AB174" s="27" t="s">
        <v>7</v>
      </c>
      <c r="AC174" s="27" t="s">
        <v>8</v>
      </c>
      <c r="AD174" s="27" t="s">
        <v>7</v>
      </c>
      <c r="AE174" s="27" t="s">
        <v>8</v>
      </c>
      <c r="AF174" s="27" t="s">
        <v>7</v>
      </c>
      <c r="AH174" s="31"/>
    </row>
    <row r="175" spans="1:39" x14ac:dyDescent="0.25">
      <c r="A175" s="30">
        <v>5.8182851441162305E-3</v>
      </c>
      <c r="F175" s="27" t="s">
        <v>7</v>
      </c>
      <c r="Y175" s="27" t="s">
        <v>8</v>
      </c>
      <c r="AB175" s="27" t="s">
        <v>7</v>
      </c>
      <c r="AC175" s="27" t="s">
        <v>8</v>
      </c>
      <c r="AD175" s="27" t="s">
        <v>7</v>
      </c>
      <c r="AF175" s="27" t="s">
        <v>7</v>
      </c>
      <c r="AI175" s="31"/>
    </row>
    <row r="176" spans="1:39" x14ac:dyDescent="0.25">
      <c r="A176" s="30">
        <v>5.2893501310147546E-3</v>
      </c>
      <c r="F176" s="27" t="s">
        <v>7</v>
      </c>
      <c r="Y176" s="27" t="s">
        <v>8</v>
      </c>
      <c r="AB176" s="27" t="s">
        <v>7</v>
      </c>
      <c r="AC176" s="27" t="s">
        <v>8</v>
      </c>
      <c r="AF176" s="27" t="s">
        <v>7</v>
      </c>
      <c r="AJ176" s="31"/>
      <c r="AM176" s="27" t="s">
        <v>8</v>
      </c>
    </row>
    <row r="177" spans="1:46" x14ac:dyDescent="0.25">
      <c r="A177" s="30">
        <v>4.8085001191043222E-3</v>
      </c>
      <c r="F177" s="27" t="s">
        <v>7</v>
      </c>
      <c r="Y177" s="27" t="s">
        <v>8</v>
      </c>
      <c r="AB177" s="27" t="s">
        <v>7</v>
      </c>
      <c r="AC177" s="27" t="s">
        <v>8</v>
      </c>
      <c r="AF177" s="27" t="s">
        <v>7</v>
      </c>
      <c r="AG177" s="27" t="s">
        <v>8</v>
      </c>
      <c r="AK177" s="31"/>
      <c r="AM177" s="27" t="s">
        <v>8</v>
      </c>
      <c r="AN177" s="27" t="s">
        <v>7</v>
      </c>
    </row>
    <row r="178" spans="1:46" x14ac:dyDescent="0.25">
      <c r="A178" s="30">
        <v>4.3713637446402926E-3</v>
      </c>
      <c r="F178" s="27" t="s">
        <v>7</v>
      </c>
      <c r="Y178" s="27" t="s">
        <v>8</v>
      </c>
      <c r="AB178" s="27" t="s">
        <v>7</v>
      </c>
      <c r="AF178" s="27" t="s">
        <v>7</v>
      </c>
      <c r="AG178" s="27" t="s">
        <v>8</v>
      </c>
      <c r="AH178" s="27" t="s">
        <v>7</v>
      </c>
      <c r="AI178" s="27" t="s">
        <v>8</v>
      </c>
      <c r="AL178" s="31"/>
      <c r="AM178" s="27" t="s">
        <v>8</v>
      </c>
      <c r="AN178" s="27" t="s">
        <v>7</v>
      </c>
      <c r="AO178" s="27" t="s">
        <v>8</v>
      </c>
      <c r="AQ178" s="27" t="s">
        <v>8</v>
      </c>
    </row>
    <row r="179" spans="1:46" x14ac:dyDescent="0.25">
      <c r="A179" s="30">
        <v>3.9739670405820838E-3</v>
      </c>
      <c r="F179" s="27" t="s">
        <v>7</v>
      </c>
      <c r="Y179" s="27" t="s">
        <v>8</v>
      </c>
      <c r="AF179" s="27" t="s">
        <v>7</v>
      </c>
      <c r="AG179" s="27" t="s">
        <v>8</v>
      </c>
      <c r="AH179" s="27" t="s">
        <v>7</v>
      </c>
      <c r="AI179" s="27" t="s">
        <v>8</v>
      </c>
      <c r="AJ179" s="27" t="s">
        <v>7</v>
      </c>
      <c r="AM179" s="31" t="s">
        <v>8</v>
      </c>
      <c r="AN179" s="27" t="s">
        <v>7</v>
      </c>
      <c r="AO179" s="27" t="s">
        <v>8</v>
      </c>
      <c r="AP179" s="27" t="s">
        <v>7</v>
      </c>
      <c r="AQ179" s="27" t="s">
        <v>8</v>
      </c>
      <c r="AR179" s="27" t="s">
        <v>7</v>
      </c>
      <c r="AS179" s="27" t="s">
        <v>8</v>
      </c>
    </row>
    <row r="180" spans="1:46" x14ac:dyDescent="0.25">
      <c r="A180" s="30">
        <v>3.6126973096200759E-3</v>
      </c>
      <c r="F180" s="27" t="s">
        <v>7</v>
      </c>
      <c r="Y180" s="27" t="s">
        <v>8</v>
      </c>
      <c r="AF180" s="27" t="s">
        <v>7</v>
      </c>
      <c r="AG180" s="27" t="s">
        <v>8</v>
      </c>
      <c r="AH180" s="27" t="s">
        <v>7</v>
      </c>
      <c r="AI180" s="27" t="s">
        <v>8</v>
      </c>
      <c r="AJ180" s="27" t="s">
        <v>7</v>
      </c>
      <c r="AM180" s="27" t="s">
        <v>8</v>
      </c>
      <c r="AN180" s="27" t="s">
        <v>7</v>
      </c>
      <c r="AO180" s="27" t="s">
        <v>8</v>
      </c>
      <c r="AP180" s="27" t="s">
        <v>7</v>
      </c>
      <c r="AQ180" s="27" t="s">
        <v>8</v>
      </c>
      <c r="AR180" s="27" t="s">
        <v>7</v>
      </c>
      <c r="AS180" s="27" t="s">
        <v>8</v>
      </c>
      <c r="AT180" s="27" t="s">
        <v>7</v>
      </c>
    </row>
    <row r="181" spans="1:46" x14ac:dyDescent="0.25">
      <c r="A181" s="30">
        <v>3.2842702814727962E-3</v>
      </c>
      <c r="F181" s="27" t="s">
        <v>7</v>
      </c>
      <c r="Y181" s="27" t="s">
        <v>8</v>
      </c>
      <c r="AF181" s="27" t="s">
        <v>7</v>
      </c>
      <c r="AG181" s="27" t="s">
        <v>8</v>
      </c>
      <c r="AH181" s="27" t="s">
        <v>7</v>
      </c>
      <c r="AI181" s="27" t="s">
        <v>8</v>
      </c>
      <c r="AJ181" s="27" t="s">
        <v>7</v>
      </c>
      <c r="AM181" s="27" t="s">
        <v>8</v>
      </c>
      <c r="AN181" s="27" t="s">
        <v>7</v>
      </c>
      <c r="AO181" s="27" t="s">
        <v>8</v>
      </c>
      <c r="AP181" s="27" t="s">
        <v>7</v>
      </c>
      <c r="AR181" s="27" t="s">
        <v>7</v>
      </c>
      <c r="AS181" s="27" t="s">
        <v>8</v>
      </c>
      <c r="AT181" s="27" t="s">
        <v>7</v>
      </c>
    </row>
    <row r="182" spans="1:46" x14ac:dyDescent="0.25">
      <c r="A182" s="30">
        <v>2.9857002558843601E-3</v>
      </c>
      <c r="F182" s="27" t="s">
        <v>7</v>
      </c>
      <c r="Y182" s="27" t="s">
        <v>8</v>
      </c>
      <c r="AF182" s="27" t="s">
        <v>7</v>
      </c>
      <c r="AG182" s="27" t="s">
        <v>8</v>
      </c>
      <c r="AH182" s="27" t="s">
        <v>7</v>
      </c>
      <c r="AI182" s="27" t="s">
        <v>8</v>
      </c>
      <c r="AJ182" s="27" t="s">
        <v>7</v>
      </c>
      <c r="AM182" s="27" t="s">
        <v>8</v>
      </c>
      <c r="AN182" s="27" t="s">
        <v>7</v>
      </c>
      <c r="AR182" s="27" t="s">
        <v>7</v>
      </c>
      <c r="AS182" s="27" t="s">
        <v>8</v>
      </c>
      <c r="AT182" s="27" t="s">
        <v>7</v>
      </c>
    </row>
    <row r="183" spans="1:46" x14ac:dyDescent="0.25">
      <c r="A183" s="30">
        <v>2.7142729598948726E-3</v>
      </c>
      <c r="F183" s="27" t="s">
        <v>7</v>
      </c>
      <c r="Y183" s="27" t="s">
        <v>8</v>
      </c>
      <c r="AF183" s="27" t="s">
        <v>7</v>
      </c>
      <c r="AH183" s="27" t="s">
        <v>7</v>
      </c>
      <c r="AJ183" s="27" t="s">
        <v>7</v>
      </c>
      <c r="AK183" s="18" t="s">
        <v>8</v>
      </c>
      <c r="AM183" s="27" t="s">
        <v>8</v>
      </c>
      <c r="AR183" s="27" t="s">
        <v>7</v>
      </c>
      <c r="AS183" s="27" t="s">
        <v>8</v>
      </c>
      <c r="AT183" s="27" t="s">
        <v>7</v>
      </c>
    </row>
    <row r="184" spans="1:46" x14ac:dyDescent="0.25">
      <c r="A184" s="30">
        <v>2.4675208726317021E-3</v>
      </c>
      <c r="F184" s="27" t="s">
        <v>7</v>
      </c>
      <c r="Y184" s="27" t="s">
        <v>8</v>
      </c>
      <c r="AJ184" s="27" t="s">
        <v>7</v>
      </c>
      <c r="AK184" s="27" t="s">
        <v>8</v>
      </c>
      <c r="AL184" s="27" t="s">
        <v>7</v>
      </c>
      <c r="AM184" s="27" t="s">
        <v>8</v>
      </c>
      <c r="AR184" s="27" t="s">
        <v>7</v>
      </c>
      <c r="AS184" s="27" t="s">
        <v>8</v>
      </c>
      <c r="AT184" s="27" t="s">
        <v>7</v>
      </c>
    </row>
    <row r="185" spans="1:46" x14ac:dyDescent="0.25">
      <c r="A185" s="30">
        <v>2.2432007933015472E-3</v>
      </c>
      <c r="F185" s="27" t="s">
        <v>7</v>
      </c>
      <c r="Y185" s="27" t="s">
        <v>8</v>
      </c>
      <c r="AJ185" s="31" t="s">
        <v>7</v>
      </c>
      <c r="AK185" s="27" t="s">
        <v>8</v>
      </c>
      <c r="AL185" s="27" t="s">
        <v>7</v>
      </c>
      <c r="AM185" s="27" t="s">
        <v>8</v>
      </c>
      <c r="AR185" s="27" t="s">
        <v>7</v>
      </c>
      <c r="AS185" s="27" t="s">
        <v>8</v>
      </c>
    </row>
    <row r="186" spans="1:46" x14ac:dyDescent="0.25">
      <c r="A186" s="30">
        <v>2.0392734484559519E-3</v>
      </c>
      <c r="F186" s="27" t="s">
        <v>7</v>
      </c>
      <c r="Y186" s="27" t="s">
        <v>8</v>
      </c>
      <c r="AI186" s="31"/>
      <c r="AJ186" s="27" t="s">
        <v>7</v>
      </c>
      <c r="AK186" s="27" t="s">
        <v>8</v>
      </c>
      <c r="AL186" s="27" t="s">
        <v>7</v>
      </c>
      <c r="AR186" s="27" t="s">
        <v>7</v>
      </c>
    </row>
    <row r="187" spans="1:46" x14ac:dyDescent="0.25">
      <c r="A187" s="30">
        <v>1.8538849531417744E-3</v>
      </c>
      <c r="F187" s="27" t="s">
        <v>7</v>
      </c>
      <c r="Q187" s="27" t="s">
        <v>8</v>
      </c>
      <c r="U187" s="27" t="s">
        <v>8</v>
      </c>
      <c r="Y187" s="27" t="s">
        <v>8</v>
      </c>
      <c r="AH187" s="31"/>
      <c r="AJ187" s="27" t="s">
        <v>7</v>
      </c>
    </row>
    <row r="188" spans="1:46" x14ac:dyDescent="0.25">
      <c r="A188" s="30">
        <v>1.6853499574016129E-3</v>
      </c>
      <c r="F188" s="27" t="s">
        <v>7</v>
      </c>
      <c r="Q188" s="27" t="s">
        <v>8</v>
      </c>
      <c r="R188" s="27" t="s">
        <v>7</v>
      </c>
      <c r="U188" s="27" t="s">
        <v>8</v>
      </c>
      <c r="V188" s="27" t="s">
        <v>7</v>
      </c>
      <c r="Y188" s="27" t="s">
        <v>8</v>
      </c>
      <c r="AG188" s="31"/>
    </row>
    <row r="189" spans="1:46" x14ac:dyDescent="0.25">
      <c r="A189" s="30">
        <v>1.5321363249105571E-3</v>
      </c>
      <c r="F189" s="27" t="s">
        <v>7</v>
      </c>
      <c r="Q189" s="27" t="s">
        <v>8</v>
      </c>
      <c r="R189" s="27" t="s">
        <v>7</v>
      </c>
      <c r="U189" s="27" t="s">
        <v>8</v>
      </c>
      <c r="V189" s="27" t="s">
        <v>7</v>
      </c>
      <c r="W189" s="27" t="s">
        <v>8</v>
      </c>
      <c r="Y189" s="27" t="s">
        <v>8</v>
      </c>
      <c r="AF189" s="31"/>
    </row>
    <row r="190" spans="1:46" x14ac:dyDescent="0.25">
      <c r="A190" s="30">
        <v>1.3928512044641427E-3</v>
      </c>
      <c r="F190" s="27" t="s">
        <v>7</v>
      </c>
      <c r="Q190" s="27" t="s">
        <v>8</v>
      </c>
      <c r="R190" s="27" t="s">
        <v>7</v>
      </c>
      <c r="S190" s="27" t="s">
        <v>8</v>
      </c>
      <c r="U190" s="27" t="s">
        <v>8</v>
      </c>
      <c r="V190" s="27" t="s">
        <v>7</v>
      </c>
      <c r="W190" s="27" t="s">
        <v>8</v>
      </c>
      <c r="X190" s="27" t="s">
        <v>7</v>
      </c>
      <c r="Y190" s="27" t="s">
        <v>8</v>
      </c>
      <c r="AE190" s="31"/>
    </row>
    <row r="191" spans="1:46" x14ac:dyDescent="0.25">
      <c r="A191" s="30">
        <v>1.2662283676946752E-3</v>
      </c>
      <c r="F191" s="27" t="s">
        <v>7</v>
      </c>
      <c r="Q191" s="27" t="s">
        <v>8</v>
      </c>
      <c r="R191" s="27" t="s">
        <v>7</v>
      </c>
      <c r="S191" s="27" t="s">
        <v>8</v>
      </c>
      <c r="T191" s="27" t="s">
        <v>7</v>
      </c>
      <c r="U191" s="27" t="s">
        <v>8</v>
      </c>
      <c r="V191" s="27" t="s">
        <v>7</v>
      </c>
      <c r="W191" s="27" t="s">
        <v>8</v>
      </c>
      <c r="X191" s="27" t="s">
        <v>7</v>
      </c>
      <c r="Y191" s="27" t="s">
        <v>8</v>
      </c>
      <c r="AD191" s="31"/>
    </row>
    <row r="192" spans="1:46" x14ac:dyDescent="0.25">
      <c r="A192" s="30">
        <v>1.15111669790425E-3</v>
      </c>
      <c r="F192" s="27" t="s">
        <v>7</v>
      </c>
      <c r="Q192" s="27" t="s">
        <v>8</v>
      </c>
      <c r="R192" s="27" t="s">
        <v>7</v>
      </c>
      <c r="S192" s="27" t="s">
        <v>8</v>
      </c>
      <c r="T192" s="27" t="s">
        <v>7</v>
      </c>
      <c r="U192" s="27" t="s">
        <v>8</v>
      </c>
      <c r="V192" s="27" t="s">
        <v>7</v>
      </c>
      <c r="W192" s="27" t="s">
        <v>8</v>
      </c>
      <c r="X192" s="27" t="s">
        <v>7</v>
      </c>
      <c r="Y192" s="27" t="s">
        <v>8</v>
      </c>
      <c r="AC192" s="31"/>
    </row>
    <row r="193" spans="1:28" x14ac:dyDescent="0.25">
      <c r="A193" s="30">
        <v>1.0464697253675E-3</v>
      </c>
      <c r="F193" s="27" t="s">
        <v>7</v>
      </c>
      <c r="Q193" s="27" t="s">
        <v>8</v>
      </c>
      <c r="R193" s="27" t="s">
        <v>7</v>
      </c>
      <c r="T193" s="27" t="s">
        <v>7</v>
      </c>
      <c r="U193" s="27" t="s">
        <v>8</v>
      </c>
      <c r="V193" s="27" t="s">
        <v>7</v>
      </c>
      <c r="X193" s="27" t="s">
        <v>7</v>
      </c>
      <c r="AB193" s="31"/>
    </row>
    <row r="194" spans="1:28" x14ac:dyDescent="0.25">
      <c r="A194" s="30">
        <v>9.5133611397045449E-4</v>
      </c>
      <c r="F194" s="27" t="s">
        <v>7</v>
      </c>
      <c r="Q194" s="27" t="s">
        <v>8</v>
      </c>
      <c r="T194" s="27" t="s">
        <v>7</v>
      </c>
      <c r="AA194" s="31"/>
    </row>
    <row r="195" spans="1:28" x14ac:dyDescent="0.25">
      <c r="A195" s="30">
        <v>8.6485101270041313E-4</v>
      </c>
      <c r="F195" s="27" t="s">
        <v>7</v>
      </c>
      <c r="Q195" s="27" t="s">
        <v>8</v>
      </c>
      <c r="Z195" s="31"/>
    </row>
    <row r="196" spans="1:28" x14ac:dyDescent="0.25">
      <c r="A196" s="30">
        <v>7.862281933640119E-4</v>
      </c>
      <c r="F196" s="27" t="s">
        <v>7</v>
      </c>
      <c r="Q196" s="27" t="s">
        <v>8</v>
      </c>
      <c r="Y196" s="31"/>
    </row>
    <row r="197" spans="1:28" x14ac:dyDescent="0.25">
      <c r="A197" s="30">
        <v>7.0760537402761068E-4</v>
      </c>
      <c r="F197" s="27" t="s">
        <v>7</v>
      </c>
      <c r="Q197" s="27" t="s">
        <v>8</v>
      </c>
      <c r="X197" s="31"/>
    </row>
    <row r="198" spans="1:28" x14ac:dyDescent="0.25">
      <c r="A198" s="30">
        <v>6.368448366248496E-4</v>
      </c>
      <c r="F198" s="27" t="s">
        <v>7</v>
      </c>
      <c r="Q198" s="27" t="s">
        <v>8</v>
      </c>
      <c r="W198" s="31"/>
    </row>
    <row r="199" spans="1:28" x14ac:dyDescent="0.25">
      <c r="A199" s="30">
        <v>5.7316035296236471E-4</v>
      </c>
      <c r="F199" s="27" t="s">
        <v>7</v>
      </c>
      <c r="G199" s="27" t="s">
        <v>8</v>
      </c>
      <c r="Q199" s="27" t="s">
        <v>8</v>
      </c>
      <c r="V199" s="31"/>
    </row>
    <row r="200" spans="1:28" x14ac:dyDescent="0.25">
      <c r="A200" s="30">
        <v>5.1584431766612821E-4</v>
      </c>
      <c r="F200" s="27" t="s">
        <v>7</v>
      </c>
      <c r="G200" s="27" t="s">
        <v>8</v>
      </c>
      <c r="H200" s="27" t="s">
        <v>7</v>
      </c>
      <c r="K200" s="27" t="s">
        <v>8</v>
      </c>
      <c r="O200" s="27" t="s">
        <v>8</v>
      </c>
      <c r="Q200" s="27" t="s">
        <v>8</v>
      </c>
      <c r="U200" s="31"/>
    </row>
    <row r="201" spans="1:28" x14ac:dyDescent="0.25">
      <c r="A201" s="30">
        <v>4.6425988589951538E-4</v>
      </c>
      <c r="F201" s="27" t="s">
        <v>7</v>
      </c>
      <c r="G201" s="27" t="s">
        <v>8</v>
      </c>
      <c r="H201" s="27" t="s">
        <v>7</v>
      </c>
      <c r="K201" s="27" t="s">
        <v>8</v>
      </c>
      <c r="L201" s="27" t="s">
        <v>7</v>
      </c>
      <c r="O201" s="27" t="s">
        <v>8</v>
      </c>
      <c r="P201" s="27" t="s">
        <v>7</v>
      </c>
      <c r="Q201" s="27" t="s">
        <v>8</v>
      </c>
      <c r="T201" s="31"/>
    </row>
    <row r="202" spans="1:28" x14ac:dyDescent="0.25">
      <c r="A202" s="30">
        <v>4.1783389730956383E-4</v>
      </c>
      <c r="F202" s="27" t="s">
        <v>7</v>
      </c>
      <c r="G202" s="27" t="s">
        <v>8</v>
      </c>
      <c r="H202" s="27" t="s">
        <v>7</v>
      </c>
      <c r="K202" s="27" t="s">
        <v>8</v>
      </c>
      <c r="L202" s="27" t="s">
        <v>7</v>
      </c>
      <c r="M202" s="27" t="s">
        <v>8</v>
      </c>
      <c r="O202" s="27" t="s">
        <v>8</v>
      </c>
      <c r="P202" s="27" t="s">
        <v>7</v>
      </c>
      <c r="Q202" s="27" t="s">
        <v>8</v>
      </c>
      <c r="S202" s="31"/>
    </row>
    <row r="203" spans="1:28" x14ac:dyDescent="0.25">
      <c r="A203" s="30">
        <v>3.7605050757860746E-4</v>
      </c>
      <c r="F203" s="27" t="s">
        <v>7</v>
      </c>
      <c r="G203" s="27" t="s">
        <v>8</v>
      </c>
      <c r="H203" s="27" t="s">
        <v>7</v>
      </c>
      <c r="K203" s="27" t="s">
        <v>8</v>
      </c>
      <c r="L203" s="27" t="s">
        <v>7</v>
      </c>
      <c r="M203" s="27" t="s">
        <v>8</v>
      </c>
      <c r="N203" s="27" t="s">
        <v>7</v>
      </c>
      <c r="O203" s="27" t="s">
        <v>8</v>
      </c>
      <c r="P203" s="27" t="s">
        <v>7</v>
      </c>
      <c r="Q203" s="27" t="s">
        <v>8</v>
      </c>
      <c r="R203" s="31"/>
    </row>
    <row r="204" spans="1:28" x14ac:dyDescent="0.25">
      <c r="A204" s="30">
        <v>3.3844545682074675E-4</v>
      </c>
      <c r="F204" s="27" t="s">
        <v>7</v>
      </c>
      <c r="G204" s="27" t="s">
        <v>8</v>
      </c>
      <c r="H204" s="27" t="s">
        <v>7</v>
      </c>
      <c r="K204" s="27" t="s">
        <v>8</v>
      </c>
      <c r="L204" s="27" t="s">
        <v>7</v>
      </c>
      <c r="M204" s="27" t="s">
        <v>8</v>
      </c>
      <c r="N204" s="27" t="s">
        <v>7</v>
      </c>
      <c r="O204" s="27" t="s">
        <v>8</v>
      </c>
      <c r="P204" s="27" t="s">
        <v>7</v>
      </c>
      <c r="Q204" s="31"/>
    </row>
    <row r="205" spans="1:28" x14ac:dyDescent="0.25">
      <c r="A205" s="30">
        <v>3.0460091113867208E-4</v>
      </c>
      <c r="F205" s="27" t="s">
        <v>7</v>
      </c>
      <c r="G205" s="27" t="s">
        <v>8</v>
      </c>
      <c r="H205" s="27" t="s">
        <v>7</v>
      </c>
      <c r="I205" s="27" t="s">
        <v>8</v>
      </c>
      <c r="K205" s="27" t="s">
        <v>8</v>
      </c>
      <c r="L205" s="27" t="s">
        <v>7</v>
      </c>
      <c r="M205" s="27" t="s">
        <v>8</v>
      </c>
      <c r="N205" s="27" t="s">
        <v>7</v>
      </c>
      <c r="O205" s="27" t="s">
        <v>8</v>
      </c>
      <c r="P205" s="31"/>
    </row>
    <row r="206" spans="1:28" x14ac:dyDescent="0.25">
      <c r="A206" s="30">
        <v>2.7414082002480487E-4</v>
      </c>
      <c r="F206" s="27" t="s">
        <v>7</v>
      </c>
      <c r="H206" s="27" t="s">
        <v>7</v>
      </c>
      <c r="I206" s="27" t="s">
        <v>8</v>
      </c>
      <c r="J206" s="27" t="s">
        <v>7</v>
      </c>
      <c r="K206" s="27" t="s">
        <v>8</v>
      </c>
      <c r="L206" s="27" t="s">
        <v>7</v>
      </c>
      <c r="N206" s="27" t="s">
        <v>7</v>
      </c>
      <c r="O206" s="31"/>
    </row>
    <row r="207" spans="1:28" x14ac:dyDescent="0.25">
      <c r="A207" s="30">
        <v>2.4672673802232442E-4</v>
      </c>
      <c r="H207" s="27" t="s">
        <v>7</v>
      </c>
      <c r="I207" s="27" t="s">
        <v>8</v>
      </c>
      <c r="J207" s="27" t="s">
        <v>7</v>
      </c>
      <c r="K207" s="27" t="s">
        <v>8</v>
      </c>
      <c r="N207" s="31"/>
    </row>
    <row r="208" spans="1:28" x14ac:dyDescent="0.25">
      <c r="A208" s="30">
        <v>2.2205406422009198E-4</v>
      </c>
      <c r="H208" s="27" t="s">
        <v>7</v>
      </c>
      <c r="I208" s="27" t="s">
        <v>8</v>
      </c>
      <c r="J208" s="27" t="s">
        <v>7</v>
      </c>
      <c r="K208" s="27" t="s">
        <v>8</v>
      </c>
      <c r="M208" s="31"/>
    </row>
    <row r="209" spans="1:12" x14ac:dyDescent="0.25">
      <c r="A209" s="30">
        <v>1.998486577980828E-4</v>
      </c>
      <c r="H209" s="27" t="s">
        <v>7</v>
      </c>
      <c r="I209" s="27" t="s">
        <v>8</v>
      </c>
      <c r="J209" s="27" t="s">
        <v>7</v>
      </c>
      <c r="L209" s="31"/>
    </row>
    <row r="210" spans="1:12" x14ac:dyDescent="0.25">
      <c r="A210" s="30">
        <v>1.7986379201827453E-4</v>
      </c>
      <c r="H210" s="27" t="s">
        <v>7</v>
      </c>
      <c r="I210" s="27" t="s">
        <v>8</v>
      </c>
      <c r="K210" s="31"/>
    </row>
    <row r="211" spans="1:12" x14ac:dyDescent="0.25">
      <c r="A211" s="30">
        <v>1.6187741281644709E-4</v>
      </c>
      <c r="H211" s="27" t="s">
        <v>7</v>
      </c>
      <c r="I211" s="27" t="s">
        <v>8</v>
      </c>
      <c r="J211" s="31"/>
    </row>
    <row r="212" spans="1:12" x14ac:dyDescent="0.25">
      <c r="A212" s="30">
        <v>1.4568967153480238E-4</v>
      </c>
      <c r="H212" s="27" t="s">
        <v>7</v>
      </c>
      <c r="I212" s="31" t="s">
        <v>8</v>
      </c>
    </row>
    <row r="213" spans="1:12" x14ac:dyDescent="0.25">
      <c r="A213" s="30">
        <v>1.3112070438132215E-4</v>
      </c>
      <c r="H213" s="31" t="s">
        <v>7</v>
      </c>
    </row>
    <row r="214" spans="1:12" x14ac:dyDescent="0.25">
      <c r="A214" s="30">
        <v>1.1800863394318995E-4</v>
      </c>
    </row>
    <row r="215" spans="1:12" x14ac:dyDescent="0.25">
      <c r="A215" s="30">
        <v>1.0620777054887096E-4</v>
      </c>
    </row>
    <row r="216" spans="1:12" x14ac:dyDescent="0.25">
      <c r="A216" s="30">
        <v>9.5586993493983861E-5</v>
      </c>
    </row>
    <row r="217" spans="1:12" x14ac:dyDescent="0.25">
      <c r="A217" s="30">
        <v>8.6028294144585476E-5</v>
      </c>
    </row>
    <row r="218" spans="1:12" x14ac:dyDescent="0.25">
      <c r="A218" s="30">
        <v>7.7425464730126924E-5</v>
      </c>
    </row>
    <row r="219" spans="1:12" x14ac:dyDescent="0.25">
      <c r="A219" s="30">
        <v>6.9682918257114228E-5</v>
      </c>
    </row>
    <row r="220" spans="1:12" x14ac:dyDescent="0.25">
      <c r="A220" s="30">
        <v>6.2714626431402813E-5</v>
      </c>
    </row>
    <row r="221" spans="1:12" x14ac:dyDescent="0.25">
      <c r="A221" s="30">
        <v>5.6443163788262536E-5</v>
      </c>
    </row>
    <row r="222" spans="1:12" x14ac:dyDescent="0.25">
      <c r="A222" s="30">
        <v>5.0798847409436286E-5</v>
      </c>
    </row>
    <row r="223" spans="1:12" x14ac:dyDescent="0.25">
      <c r="A223" s="30">
        <v>4.5718962668492656E-5</v>
      </c>
    </row>
    <row r="224" spans="1:12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35" operator="equal">
      <formula>$U$1</formula>
    </cfRule>
    <cfRule type="cellIs" dxfId="30" priority="1136" operator="equal">
      <formula>$S$1</formula>
    </cfRule>
  </conditionalFormatting>
  <conditionalFormatting sqref="D136">
    <cfRule type="cellIs" dxfId="29" priority="1133" operator="equal">
      <formula>$S$1</formula>
    </cfRule>
    <cfRule type="cellIs" dxfId="28" priority="1134" operator="equal">
      <formula>$U$1</formula>
    </cfRule>
  </conditionalFormatting>
  <conditionalFormatting sqref="C102">
    <cfRule type="cellIs" dxfId="27" priority="1131" operator="equal">
      <formula>$U$1</formula>
    </cfRule>
    <cfRule type="cellIs" dxfId="26" priority="1132" operator="equal">
      <formula>$S$1</formula>
    </cfRule>
  </conditionalFormatting>
  <conditionalFormatting sqref="D102">
    <cfRule type="cellIs" dxfId="25" priority="1129" operator="equal">
      <formula>$S$1</formula>
    </cfRule>
    <cfRule type="cellIs" dxfId="24" priority="1130" operator="equal">
      <formula>$U$1</formula>
    </cfRule>
  </conditionalFormatting>
  <conditionalFormatting sqref="C77">
    <cfRule type="cellIs" dxfId="23" priority="1127" operator="equal">
      <formula>$U$1</formula>
    </cfRule>
    <cfRule type="cellIs" dxfId="22" priority="1128" operator="equal">
      <formula>$S$1</formula>
    </cfRule>
  </conditionalFormatting>
  <conditionalFormatting sqref="D77">
    <cfRule type="cellIs" dxfId="21" priority="1125" operator="equal">
      <formula>$S$1</formula>
    </cfRule>
    <cfRule type="cellIs" dxfId="20" priority="1126" operator="equal">
      <formula>$U$1</formula>
    </cfRule>
  </conditionalFormatting>
  <conditionalFormatting sqref="C52">
    <cfRule type="cellIs" dxfId="19" priority="1123" operator="equal">
      <formula>$U$1</formula>
    </cfRule>
    <cfRule type="cellIs" dxfId="18" priority="1124" operator="equal">
      <formula>$S$1</formula>
    </cfRule>
  </conditionalFormatting>
  <conditionalFormatting sqref="D52">
    <cfRule type="cellIs" dxfId="17" priority="1121" operator="equal">
      <formula>$S$1</formula>
    </cfRule>
    <cfRule type="cellIs" dxfId="16" priority="1122" operator="equal">
      <formula>$U$1</formula>
    </cfRule>
  </conditionalFormatting>
  <conditionalFormatting sqref="C26">
    <cfRule type="cellIs" dxfId="15" priority="1119" operator="equal">
      <formula>$U$1</formula>
    </cfRule>
    <cfRule type="cellIs" dxfId="14" priority="1120" operator="equal">
      <formula>$S$1</formula>
    </cfRule>
  </conditionalFormatting>
  <conditionalFormatting sqref="D26">
    <cfRule type="cellIs" dxfId="13" priority="1117" operator="equal">
      <formula>$S$1</formula>
    </cfRule>
    <cfRule type="cellIs" dxfId="12" priority="111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7" width="8.7109375" style="1" customWidth="1"/>
    <col min="8" max="8" width="11.28515625" style="1" customWidth="1"/>
    <col min="9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1.9398570121756541E-3</v>
      </c>
      <c r="F3" s="30">
        <v>2.0368498627844375E-3</v>
      </c>
      <c r="G3" s="30">
        <v>3.0093549179518826E-3</v>
      </c>
      <c r="H3" s="35">
        <f>IF(G3="","",(3*(G3-F3))+E3)</f>
        <v>4.8573721776779891E-3</v>
      </c>
      <c r="I3" s="7"/>
      <c r="J3" s="7">
        <f>(E3+G3)/2</f>
        <v>2.4746059650637684E-3</v>
      </c>
      <c r="K3" s="7">
        <f>H3/2</f>
        <v>2.4286860888389945E-3</v>
      </c>
      <c r="M3" s="26">
        <f>IF(OR(J3="",H3=""),"",H3/J3)</f>
        <v>1.9628871207189622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2022-01-19T00:04:22Z</dcterms:modified>
</cp:coreProperties>
</file>