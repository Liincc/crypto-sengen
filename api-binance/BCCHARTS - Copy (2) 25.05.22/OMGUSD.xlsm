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86BE6DD-F100-4B4F-AFC2-E0296F1B6F7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35" i="1"/>
  <c r="Q1035" i="1" s="1"/>
  <c r="R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35" i="1"/>
  <c r="T103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C136" i="5" s="1"/>
  <c r="C116" i="5"/>
  <c r="C116" i="4"/>
  <c r="C118" i="4"/>
  <c r="C122" i="3"/>
  <c r="C133" i="3" s="1"/>
  <c r="D136" i="3" s="1"/>
  <c r="C116" i="3"/>
  <c r="R1034" i="1"/>
  <c r="D136" i="4" l="1"/>
  <c r="C138" i="4" s="1"/>
  <c r="D136" i="5"/>
  <c r="C138" i="5" s="1"/>
  <c r="C136" i="3"/>
  <c r="C138" i="3" s="1"/>
  <c r="R1033" i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<sst xmlns="http://schemas.openxmlformats.org/spreadsheetml/2006/main" count="9201" uniqueCount="34">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</sst>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4.1269999999999998</c:v>
                </c:pt>
                <c:pt idx="1">
                  <c:v>4.2279999999999998</c:v>
                </c:pt>
                <c:pt idx="2">
                  <c:v>4.2119999999999997</c:v>
                </c:pt>
                <c:pt idx="3">
                  <c:v>4.117</c:v>
                </c:pt>
                <c:pt idx="4">
                  <c:v>4.4269999999999996</c:v>
                </c:pt>
                <c:pt idx="5">
                  <c:v>4.2469999999999999</c:v>
                </c:pt>
                <c:pt idx="6">
                  <c:v>4.7149999999999999</c:v>
                </c:pt>
                <c:pt idx="7">
                  <c:v>5.2149999999999999</c:v>
                </c:pt>
                <c:pt idx="8">
                  <c:v>5.4390000000000001</c:v>
                </c:pt>
                <c:pt idx="9">
                  <c:v>5.9269999999999996</c:v>
                </c:pt>
                <c:pt idx="10">
                  <c:v>6.2549999999999999</c:v>
                </c:pt>
                <c:pt idx="11">
                  <c:v>6.585</c:v>
                </c:pt>
                <c:pt idx="12">
                  <c:v>6.726</c:v>
                </c:pt>
                <c:pt idx="13">
                  <c:v>6.0330000000000004</c:v>
                </c:pt>
                <c:pt idx="14">
                  <c:v>5.9470000000000001</c:v>
                </c:pt>
                <c:pt idx="15">
                  <c:v>5.88</c:v>
                </c:pt>
                <c:pt idx="16">
                  <c:v>5.32</c:v>
                </c:pt>
                <c:pt idx="17">
                  <c:v>5.0940000000000003</c:v>
                </c:pt>
                <c:pt idx="18">
                  <c:v>5.3520000000000003</c:v>
                </c:pt>
                <c:pt idx="19">
                  <c:v>5.36</c:v>
                </c:pt>
                <c:pt idx="20">
                  <c:v>5.5110000000000001</c:v>
                </c:pt>
                <c:pt idx="21">
                  <c:v>5.6459999999999999</c:v>
                </c:pt>
                <c:pt idx="22">
                  <c:v>5.569</c:v>
                </c:pt>
                <c:pt idx="23">
                  <c:v>6.0259999999999998</c:v>
                </c:pt>
                <c:pt idx="24">
                  <c:v>6.1879999999999997</c:v>
                </c:pt>
                <c:pt idx="25">
                  <c:v>6.282</c:v>
                </c:pt>
                <c:pt idx="26">
                  <c:v>6.1150000000000002</c:v>
                </c:pt>
                <c:pt idx="27">
                  <c:v>5.867</c:v>
                </c:pt>
                <c:pt idx="28">
                  <c:v>6.0620000000000003</c:v>
                </c:pt>
                <c:pt idx="29">
                  <c:v>5.9249999999999998</c:v>
                </c:pt>
                <c:pt idx="30">
                  <c:v>6.2439999999999998</c:v>
                </c:pt>
                <c:pt idx="31">
                  <c:v>6.87</c:v>
                </c:pt>
                <c:pt idx="32">
                  <c:v>6.8140000000000001</c:v>
                </c:pt>
                <c:pt idx="33">
                  <c:v>6.8159999999999998</c:v>
                </c:pt>
                <c:pt idx="34">
                  <c:v>6.6849999999999996</c:v>
                </c:pt>
                <c:pt idx="35">
                  <c:v>6.9059999999999997</c:v>
                </c:pt>
                <c:pt idx="36">
                  <c:v>6.5460000000000003</c:v>
                </c:pt>
                <c:pt idx="37">
                  <c:v>6.1280000000000001</c:v>
                </c:pt>
                <c:pt idx="38">
                  <c:v>5.8639999999999999</c:v>
                </c:pt>
                <c:pt idx="39">
                  <c:v>5.9210000000000003</c:v>
                </c:pt>
                <c:pt idx="40">
                  <c:v>6.0419999999999998</c:v>
                </c:pt>
                <c:pt idx="41">
                  <c:v>5.9240000000000004</c:v>
                </c:pt>
                <c:pt idx="42">
                  <c:v>6.117</c:v>
                </c:pt>
                <c:pt idx="43">
                  <c:v>6.0410000000000004</c:v>
                </c:pt>
                <c:pt idx="44">
                  <c:v>5.9770000000000003</c:v>
                </c:pt>
                <c:pt idx="45">
                  <c:v>5.7279999999999998</c:v>
                </c:pt>
                <c:pt idx="46">
                  <c:v>6.44</c:v>
                </c:pt>
                <c:pt idx="47">
                  <c:v>6.0739999999999998</c:v>
                </c:pt>
                <c:pt idx="48">
                  <c:v>6.0250000000000004</c:v>
                </c:pt>
                <c:pt idx="49">
                  <c:v>6.3970000000000002</c:v>
                </c:pt>
                <c:pt idx="50">
                  <c:v>7.1340000000000003</c:v>
                </c:pt>
                <c:pt idx="51">
                  <c:v>7.0460000000000003</c:v>
                </c:pt>
                <c:pt idx="52">
                  <c:v>6.4379999999999997</c:v>
                </c:pt>
                <c:pt idx="53">
                  <c:v>6.2279999999999998</c:v>
                </c:pt>
                <c:pt idx="54">
                  <c:v>6.6029999999999998</c:v>
                </c:pt>
                <c:pt idx="55">
                  <c:v>7.6529999999999996</c:v>
                </c:pt>
                <c:pt idx="56">
                  <c:v>8.1</c:v>
                </c:pt>
                <c:pt idx="57">
                  <c:v>8.2859999999999996</c:v>
                </c:pt>
                <c:pt idx="58">
                  <c:v>8.6379999999999999</c:v>
                </c:pt>
                <c:pt idx="59">
                  <c:v>8.7789999999999999</c:v>
                </c:pt>
                <c:pt idx="60">
                  <c:v>8.1010000000000009</c:v>
                </c:pt>
                <c:pt idx="61">
                  <c:v>8.1259999999999994</c:v>
                </c:pt>
                <c:pt idx="62">
                  <c:v>7.9930000000000003</c:v>
                </c:pt>
                <c:pt idx="63">
                  <c:v>8.89</c:v>
                </c:pt>
                <c:pt idx="64">
                  <c:v>8.9169999999999998</c:v>
                </c:pt>
                <c:pt idx="65">
                  <c:v>9.3260000000000005</c:v>
                </c:pt>
                <c:pt idx="66">
                  <c:v>9.0890000000000004</c:v>
                </c:pt>
                <c:pt idx="67">
                  <c:v>9.4990000000000006</c:v>
                </c:pt>
                <c:pt idx="68">
                  <c:v>9.9</c:v>
                </c:pt>
                <c:pt idx="69">
                  <c:v>10.151</c:v>
                </c:pt>
                <c:pt idx="70">
                  <c:v>9.0579999999999998</c:v>
                </c:pt>
                <c:pt idx="71">
                  <c:v>10.387</c:v>
                </c:pt>
                <c:pt idx="72">
                  <c:v>10.301</c:v>
                </c:pt>
                <c:pt idx="73">
                  <c:v>11.173999999999999</c:v>
                </c:pt>
                <c:pt idx="74">
                  <c:v>11.835000000000001</c:v>
                </c:pt>
                <c:pt idx="75">
                  <c:v>12.19</c:v>
                </c:pt>
                <c:pt idx="76">
                  <c:v>13.042</c:v>
                </c:pt>
                <c:pt idx="77">
                  <c:v>17.402999999999999</c:v>
                </c:pt>
                <c:pt idx="78">
                  <c:v>15.208</c:v>
                </c:pt>
                <c:pt idx="79">
                  <c:v>16.399999999999999</c:v>
                </c:pt>
                <c:pt idx="80">
                  <c:v>17.503</c:v>
                </c:pt>
                <c:pt idx="81">
                  <c:v>16.462</c:v>
                </c:pt>
                <c:pt idx="82">
                  <c:v>16.675000000000001</c:v>
                </c:pt>
                <c:pt idx="83">
                  <c:v>17.158999999999999</c:v>
                </c:pt>
                <c:pt idx="84">
                  <c:v>19.216000000000001</c:v>
                </c:pt>
                <c:pt idx="85">
                  <c:v>15.347</c:v>
                </c:pt>
                <c:pt idx="86">
                  <c:v>14.808</c:v>
                </c:pt>
                <c:pt idx="87">
                  <c:v>14.679</c:v>
                </c:pt>
                <c:pt idx="88">
                  <c:v>13.411</c:v>
                </c:pt>
                <c:pt idx="89">
                  <c:v>13.54</c:v>
                </c:pt>
                <c:pt idx="90">
                  <c:v>13.567</c:v>
                </c:pt>
                <c:pt idx="91">
                  <c:v>13.212999999999999</c:v>
                </c:pt>
                <c:pt idx="92">
                  <c:v>12.718</c:v>
                </c:pt>
                <c:pt idx="93">
                  <c:v>14.097</c:v>
                </c:pt>
                <c:pt idx="94">
                  <c:v>14.464</c:v>
                </c:pt>
                <c:pt idx="95">
                  <c:v>14.337</c:v>
                </c:pt>
                <c:pt idx="96">
                  <c:v>14.23</c:v>
                </c:pt>
                <c:pt idx="97">
                  <c:v>14.164</c:v>
                </c:pt>
                <c:pt idx="98">
                  <c:v>14.78</c:v>
                </c:pt>
                <c:pt idx="99">
                  <c:v>14.667999999999999</c:v>
                </c:pt>
                <c:pt idx="100">
                  <c:v>14.19</c:v>
                </c:pt>
                <c:pt idx="101">
                  <c:v>13.977</c:v>
                </c:pt>
                <c:pt idx="102">
                  <c:v>13.791</c:v>
                </c:pt>
                <c:pt idx="103">
                  <c:v>14.119</c:v>
                </c:pt>
                <c:pt idx="104">
                  <c:v>13.909000000000001</c:v>
                </c:pt>
                <c:pt idx="105">
                  <c:v>14.461</c:v>
                </c:pt>
                <c:pt idx="106">
                  <c:v>15.000999999999999</c:v>
                </c:pt>
                <c:pt idx="107">
                  <c:v>14.66</c:v>
                </c:pt>
                <c:pt idx="108">
                  <c:v>13.566000000000001</c:v>
                </c:pt>
                <c:pt idx="109">
                  <c:v>12.882</c:v>
                </c:pt>
                <c:pt idx="110">
                  <c:v>14.105</c:v>
                </c:pt>
                <c:pt idx="111">
                  <c:v>14.015000000000001</c:v>
                </c:pt>
                <c:pt idx="112">
                  <c:v>14.939</c:v>
                </c:pt>
                <c:pt idx="113">
                  <c:v>14.394</c:v>
                </c:pt>
                <c:pt idx="114">
                  <c:v>15.554</c:v>
                </c:pt>
                <c:pt idx="115">
                  <c:v>16.582000000000001</c:v>
                </c:pt>
                <c:pt idx="116">
                  <c:v>16.497</c:v>
                </c:pt>
                <c:pt idx="117">
                  <c:v>15.54</c:v>
                </c:pt>
                <c:pt idx="118">
                  <c:v>12.773999999999999</c:v>
                </c:pt>
                <c:pt idx="119">
                  <c:v>12.471</c:v>
                </c:pt>
                <c:pt idx="120">
                  <c:v>10.34</c:v>
                </c:pt>
                <c:pt idx="121">
                  <c:v>8.923</c:v>
                </c:pt>
                <c:pt idx="122">
                  <c:v>9.3170000000000002</c:v>
                </c:pt>
                <c:pt idx="123">
                  <c:v>9.08</c:v>
                </c:pt>
                <c:pt idx="124">
                  <c:v>8.9179999999999993</c:v>
                </c:pt>
                <c:pt idx="125">
                  <c:v>9.1479999999999997</c:v>
                </c:pt>
                <c:pt idx="126">
                  <c:v>9.8670000000000009</c:v>
                </c:pt>
                <c:pt idx="127">
                  <c:v>9.5470000000000006</c:v>
                </c:pt>
                <c:pt idx="128">
                  <c:v>8.5299999999999994</c:v>
                </c:pt>
                <c:pt idx="129">
                  <c:v>8.5609999999999999</c:v>
                </c:pt>
                <c:pt idx="130">
                  <c:v>9.67</c:v>
                </c:pt>
                <c:pt idx="131">
                  <c:v>8.8000000000000007</c:v>
                </c:pt>
                <c:pt idx="132">
                  <c:v>8.5020000000000007</c:v>
                </c:pt>
                <c:pt idx="133">
                  <c:v>8.9429999999999996</c:v>
                </c:pt>
                <c:pt idx="134">
                  <c:v>9.0980000000000008</c:v>
                </c:pt>
                <c:pt idx="135">
                  <c:v>8.9830000000000005</c:v>
                </c:pt>
                <c:pt idx="136">
                  <c:v>8.58</c:v>
                </c:pt>
                <c:pt idx="137">
                  <c:v>9.4649999999999999</c:v>
                </c:pt>
                <c:pt idx="138">
                  <c:v>9.1720000000000006</c:v>
                </c:pt>
                <c:pt idx="139">
                  <c:v>8.1790000000000003</c:v>
                </c:pt>
                <c:pt idx="140">
                  <c:v>8.7889999999999997</c:v>
                </c:pt>
                <c:pt idx="141">
                  <c:v>8.0519999999999996</c:v>
                </c:pt>
                <c:pt idx="142">
                  <c:v>7.6420000000000003</c:v>
                </c:pt>
                <c:pt idx="143">
                  <c:v>9.0350000000000001</c:v>
                </c:pt>
                <c:pt idx="144">
                  <c:v>8.9700000000000006</c:v>
                </c:pt>
                <c:pt idx="145">
                  <c:v>7.1749999999999998</c:v>
                </c:pt>
                <c:pt idx="146">
                  <c:v>6.9539999999999997</c:v>
                </c:pt>
                <c:pt idx="147">
                  <c:v>6.7679999999999998</c:v>
                </c:pt>
                <c:pt idx="148">
                  <c:v>6.7640000000000002</c:v>
                </c:pt>
                <c:pt idx="149">
                  <c:v>6.3250000000000002</c:v>
                </c:pt>
                <c:pt idx="150">
                  <c:v>6.2270000000000003</c:v>
                </c:pt>
                <c:pt idx="151">
                  <c:v>6.6479999999999997</c:v>
                </c:pt>
                <c:pt idx="152">
                  <c:v>6.4470000000000001</c:v>
                </c:pt>
                <c:pt idx="153">
                  <c:v>6.5579999999999998</c:v>
                </c:pt>
                <c:pt idx="154">
                  <c:v>5.9829999999999997</c:v>
                </c:pt>
                <c:pt idx="155">
                  <c:v>6.6412000000000004</c:v>
                </c:pt>
                <c:pt idx="156">
                  <c:v>6.2922000000000002</c:v>
                </c:pt>
                <c:pt idx="157">
                  <c:v>6.7672999999999996</c:v>
                </c:pt>
                <c:pt idx="158">
                  <c:v>6.4410999999999996</c:v>
                </c:pt>
                <c:pt idx="159">
                  <c:v>6.1430999999999996</c:v>
                </c:pt>
                <c:pt idx="160">
                  <c:v>6.1539000000000001</c:v>
                </c:pt>
                <c:pt idx="161">
                  <c:v>6.1676000000000002</c:v>
                </c:pt>
                <c:pt idx="162">
                  <c:v>5.1566000000000001</c:v>
                </c:pt>
                <c:pt idx="163">
                  <c:v>5.2352999999999996</c:v>
                </c:pt>
                <c:pt idx="164">
                  <c:v>5.6406000000000001</c:v>
                </c:pt>
                <c:pt idx="165">
                  <c:v>5.6867999999999999</c:v>
                </c:pt>
                <c:pt idx="166">
                  <c:v>5.6398000000000001</c:v>
                </c:pt>
                <c:pt idx="167">
                  <c:v>5.6181999999999999</c:v>
                </c:pt>
                <c:pt idx="168">
                  <c:v>5.0407999999999999</c:v>
                </c:pt>
                <c:pt idx="169">
                  <c:v>5.2565</c:v>
                </c:pt>
                <c:pt idx="170">
                  <c:v>5.1233000000000004</c:v>
                </c:pt>
                <c:pt idx="171">
                  <c:v>4.9782000000000002</c:v>
                </c:pt>
                <c:pt idx="172">
                  <c:v>4.7676999999999996</c:v>
                </c:pt>
                <c:pt idx="173">
                  <c:v>5.0655999999999999</c:v>
                </c:pt>
                <c:pt idx="174">
                  <c:v>4.7279999999999998</c:v>
                </c:pt>
                <c:pt idx="175">
                  <c:v>4.4661</c:v>
                </c:pt>
                <c:pt idx="176">
                  <c:v>4.3333000000000004</c:v>
                </c:pt>
                <c:pt idx="177">
                  <c:v>4.2018000000000004</c:v>
                </c:pt>
                <c:pt idx="178">
                  <c:v>4.3663999999999996</c:v>
                </c:pt>
                <c:pt idx="179">
                  <c:v>4.2991000000000001</c:v>
                </c:pt>
                <c:pt idx="180">
                  <c:v>4.4565000000000001</c:v>
                </c:pt>
                <c:pt idx="181">
                  <c:v>4.2468000000000004</c:v>
                </c:pt>
                <c:pt idx="182">
                  <c:v>4.1039000000000003</c:v>
                </c:pt>
                <c:pt idx="183">
                  <c:v>3.9390999999999998</c:v>
                </c:pt>
                <c:pt idx="184">
                  <c:v>3.9306999999999999</c:v>
                </c:pt>
                <c:pt idx="185">
                  <c:v>3.7911000000000001</c:v>
                </c:pt>
                <c:pt idx="186">
                  <c:v>3.7793000000000001</c:v>
                </c:pt>
                <c:pt idx="187">
                  <c:v>3.7241</c:v>
                </c:pt>
                <c:pt idx="188">
                  <c:v>3.7027000000000001</c:v>
                </c:pt>
                <c:pt idx="189">
                  <c:v>3.5870000000000002</c:v>
                </c:pt>
                <c:pt idx="190">
                  <c:v>3.464</c:v>
                </c:pt>
                <c:pt idx="191">
                  <c:v>3.1716000000000002</c:v>
                </c:pt>
                <c:pt idx="192">
                  <c:v>3.3424</c:v>
                </c:pt>
                <c:pt idx="193">
                  <c:v>3.6543999999999999</c:v>
                </c:pt>
                <c:pt idx="194">
                  <c:v>3.6709000000000001</c:v>
                </c:pt>
                <c:pt idx="195">
                  <c:v>3.597</c:v>
                </c:pt>
                <c:pt idx="196">
                  <c:v>3.7646999999999999</c:v>
                </c:pt>
                <c:pt idx="197">
                  <c:v>3.8973</c:v>
                </c:pt>
                <c:pt idx="198">
                  <c:v>3.8956</c:v>
                </c:pt>
                <c:pt idx="199">
                  <c:v>4.0631000000000004</c:v>
                </c:pt>
                <c:pt idx="200">
                  <c:v>4.1631999999999998</c:v>
                </c:pt>
                <c:pt idx="201">
                  <c:v>4.0625</c:v>
                </c:pt>
                <c:pt idx="202">
                  <c:v>4.1638000000000002</c:v>
                </c:pt>
                <c:pt idx="203">
                  <c:v>4.0768000000000004</c:v>
                </c:pt>
                <c:pt idx="204">
                  <c:v>4.5056000000000003</c:v>
                </c:pt>
                <c:pt idx="205">
                  <c:v>4.5507999999999997</c:v>
                </c:pt>
                <c:pt idx="206">
                  <c:v>4.4188999999999998</c:v>
                </c:pt>
                <c:pt idx="207">
                  <c:v>4.5298999999999996</c:v>
                </c:pt>
                <c:pt idx="208">
                  <c:v>4.5946999999999996</c:v>
                </c:pt>
                <c:pt idx="209">
                  <c:v>4.1447000000000003</c:v>
                </c:pt>
                <c:pt idx="210">
                  <c:v>4.1368</c:v>
                </c:pt>
                <c:pt idx="211">
                  <c:v>4.3746999999999998</c:v>
                </c:pt>
                <c:pt idx="212">
                  <c:v>4.2251000000000003</c:v>
                </c:pt>
                <c:pt idx="213">
                  <c:v>3.8691</c:v>
                </c:pt>
                <c:pt idx="214">
                  <c:v>3.7151000000000001</c:v>
                </c:pt>
                <c:pt idx="215">
                  <c:v>3.5499000000000001</c:v>
                </c:pt>
                <c:pt idx="216">
                  <c:v>3.5158</c:v>
                </c:pt>
                <c:pt idx="217">
                  <c:v>3.9014000000000002</c:v>
                </c:pt>
                <c:pt idx="218">
                  <c:v>3.7162000000000002</c:v>
                </c:pt>
                <c:pt idx="219">
                  <c:v>3.3235000000000001</c:v>
                </c:pt>
                <c:pt idx="220">
                  <c:v>3.4552</c:v>
                </c:pt>
                <c:pt idx="221">
                  <c:v>4.5778999999999996</c:v>
                </c:pt>
                <c:pt idx="222">
                  <c:v>4.4688999999999997</c:v>
                </c:pt>
                <c:pt idx="223">
                  <c:v>4.6318999999999999</c:v>
                </c:pt>
                <c:pt idx="224">
                  <c:v>5.0373000000000001</c:v>
                </c:pt>
                <c:pt idx="225">
                  <c:v>5.056</c:v>
                </c:pt>
                <c:pt idx="226">
                  <c:v>5.1826999999999996</c:v>
                </c:pt>
                <c:pt idx="227">
                  <c:v>5.2055999999999996</c:v>
                </c:pt>
                <c:pt idx="228">
                  <c:v>5.05</c:v>
                </c:pt>
                <c:pt idx="229">
                  <c:v>4.6416000000000004</c:v>
                </c:pt>
                <c:pt idx="230">
                  <c:v>4.7733999999999996</c:v>
                </c:pt>
                <c:pt idx="231">
                  <c:v>5.0766999999999998</c:v>
                </c:pt>
                <c:pt idx="232">
                  <c:v>5.5175000000000001</c:v>
                </c:pt>
                <c:pt idx="233">
                  <c:v>5.3592000000000004</c:v>
                </c:pt>
                <c:pt idx="234">
                  <c:v>5.3639999999999999</c:v>
                </c:pt>
                <c:pt idx="235">
                  <c:v>6.0297000000000001</c:v>
                </c:pt>
                <c:pt idx="236">
                  <c:v>5.8730000000000002</c:v>
                </c:pt>
                <c:pt idx="237">
                  <c:v>6.1920000000000002</c:v>
                </c:pt>
                <c:pt idx="238">
                  <c:v>6.6996000000000002</c:v>
                </c:pt>
                <c:pt idx="239">
                  <c:v>6.4511000000000003</c:v>
                </c:pt>
                <c:pt idx="240">
                  <c:v>6.3232999999999997</c:v>
                </c:pt>
                <c:pt idx="241">
                  <c:v>6.5987999999999998</c:v>
                </c:pt>
                <c:pt idx="242">
                  <c:v>6.0659999999999998</c:v>
                </c:pt>
                <c:pt idx="243">
                  <c:v>5.8593999999999999</c:v>
                </c:pt>
                <c:pt idx="244">
                  <c:v>6.2628000000000004</c:v>
                </c:pt>
                <c:pt idx="245">
                  <c:v>7.2504</c:v>
                </c:pt>
                <c:pt idx="246">
                  <c:v>7.2416</c:v>
                </c:pt>
                <c:pt idx="247">
                  <c:v>6.1447000000000003</c:v>
                </c:pt>
                <c:pt idx="248">
                  <c:v>6.2693000000000003</c:v>
                </c:pt>
                <c:pt idx="249">
                  <c:v>4.2820999999999998</c:v>
                </c:pt>
                <c:pt idx="250">
                  <c:v>5.1675000000000004</c:v>
                </c:pt>
                <c:pt idx="251">
                  <c:v>5.6492000000000004</c:v>
                </c:pt>
                <c:pt idx="252">
                  <c:v>6.6562999999999999</c:v>
                </c:pt>
                <c:pt idx="253">
                  <c:v>5.4215</c:v>
                </c:pt>
                <c:pt idx="254">
                  <c:v>8.6829000000000001</c:v>
                </c:pt>
                <c:pt idx="255">
                  <c:v>8.4797999999999991</c:v>
                </c:pt>
                <c:pt idx="256">
                  <c:v>9.3232999999999997</c:v>
                </c:pt>
                <c:pt idx="257">
                  <c:v>9.3370999999999995</c:v>
                </c:pt>
                <c:pt idx="258">
                  <c:v>10.2417</c:v>
                </c:pt>
                <c:pt idx="259">
                  <c:v>9.6622000000000003</c:v>
                </c:pt>
                <c:pt idx="260">
                  <c:v>9.6869999999999994</c:v>
                </c:pt>
                <c:pt idx="261">
                  <c:v>12.3302</c:v>
                </c:pt>
                <c:pt idx="262">
                  <c:v>10.059900000000001</c:v>
                </c:pt>
                <c:pt idx="263">
                  <c:v>11.6274</c:v>
                </c:pt>
                <c:pt idx="264">
                  <c:v>11.830500000000001</c:v>
                </c:pt>
                <c:pt idx="265">
                  <c:v>11.869300000000001</c:v>
                </c:pt>
                <c:pt idx="266">
                  <c:v>13.1372</c:v>
                </c:pt>
                <c:pt idx="267">
                  <c:v>9.9095999999999993</c:v>
                </c:pt>
                <c:pt idx="268">
                  <c:v>8.6940000000000008</c:v>
                </c:pt>
                <c:pt idx="269">
                  <c:v>9.3458000000000006</c:v>
                </c:pt>
                <c:pt idx="270">
                  <c:v>7.8379000000000003</c:v>
                </c:pt>
                <c:pt idx="271">
                  <c:v>8.1418999999999997</c:v>
                </c:pt>
                <c:pt idx="272">
                  <c:v>7.7496999999999998</c:v>
                </c:pt>
                <c:pt idx="273">
                  <c:v>7.2617000000000003</c:v>
                </c:pt>
                <c:pt idx="274">
                  <c:v>7.4001000000000001</c:v>
                </c:pt>
                <c:pt idx="275">
                  <c:v>7.5514999999999999</c:v>
                </c:pt>
                <c:pt idx="276">
                  <c:v>7.1012000000000004</c:v>
                </c:pt>
                <c:pt idx="277">
                  <c:v>6.1973000000000003</c:v>
                </c:pt>
                <c:pt idx="278">
                  <c:v>6.0045000000000002</c:v>
                </c:pt>
                <c:pt idx="279">
                  <c:v>6.5686</c:v>
                </c:pt>
                <c:pt idx="280">
                  <c:v>6.9702000000000002</c:v>
                </c:pt>
                <c:pt idx="281">
                  <c:v>7.6356000000000002</c:v>
                </c:pt>
                <c:pt idx="282">
                  <c:v>7.9170999999999996</c:v>
                </c:pt>
                <c:pt idx="283">
                  <c:v>7.8238000000000003</c:v>
                </c:pt>
                <c:pt idx="284">
                  <c:v>8.4209999999999994</c:v>
                </c:pt>
                <c:pt idx="285">
                  <c:v>9.4085000000000001</c:v>
                </c:pt>
                <c:pt idx="286">
                  <c:v>10.15</c:v>
                </c:pt>
                <c:pt idx="287">
                  <c:v>9.6984999999999992</c:v>
                </c:pt>
                <c:pt idx="288">
                  <c:v>9.2759999999999998</c:v>
                </c:pt>
                <c:pt idx="289">
                  <c:v>9.5545000000000009</c:v>
                </c:pt>
                <c:pt idx="290">
                  <c:v>9.3643999999999998</c:v>
                </c:pt>
                <c:pt idx="291">
                  <c:v>9.6193000000000008</c:v>
                </c:pt>
                <c:pt idx="292">
                  <c:v>10.0534</c:v>
                </c:pt>
                <c:pt idx="293">
                  <c:v>10.442500000000001</c:v>
                </c:pt>
                <c:pt idx="294">
                  <c:v>10.209099999999999</c:v>
                </c:pt>
                <c:pt idx="295">
                  <c:v>9.9502000000000006</c:v>
                </c:pt>
                <c:pt idx="296">
                  <c:v>9.3096999999999994</c:v>
                </c:pt>
                <c:pt idx="297">
                  <c:v>8.7111999999999998</c:v>
                </c:pt>
                <c:pt idx="298">
                  <c:v>7.8451000000000004</c:v>
                </c:pt>
                <c:pt idx="299">
                  <c:v>6.7511999999999999</c:v>
                </c:pt>
                <c:pt idx="300">
                  <c:v>7.5354000000000001</c:v>
                </c:pt>
                <c:pt idx="301">
                  <c:v>7.3849999999999998</c:v>
                </c:pt>
                <c:pt idx="302">
                  <c:v>7.9015000000000004</c:v>
                </c:pt>
                <c:pt idx="303">
                  <c:v>6.6116000000000001</c:v>
                </c:pt>
                <c:pt idx="304">
                  <c:v>6.7789999999999999</c:v>
                </c:pt>
                <c:pt idx="305">
                  <c:v>5.8819999999999997</c:v>
                </c:pt>
                <c:pt idx="306">
                  <c:v>5.3239999999999998</c:v>
                </c:pt>
                <c:pt idx="307">
                  <c:v>5.3089000000000004</c:v>
                </c:pt>
                <c:pt idx="308">
                  <c:v>4.9501999999999997</c:v>
                </c:pt>
                <c:pt idx="309">
                  <c:v>5.093</c:v>
                </c:pt>
                <c:pt idx="310">
                  <c:v>5.7515000000000001</c:v>
                </c:pt>
                <c:pt idx="311">
                  <c:v>5.2686999999999999</c:v>
                </c:pt>
                <c:pt idx="312">
                  <c:v>5.5770999999999997</c:v>
                </c:pt>
                <c:pt idx="313">
                  <c:v>5.6783000000000001</c:v>
                </c:pt>
                <c:pt idx="314">
                  <c:v>5.9128999999999996</c:v>
                </c:pt>
                <c:pt idx="315">
                  <c:v>6.0846999999999998</c:v>
                </c:pt>
                <c:pt idx="316">
                  <c:v>5.5978000000000003</c:v>
                </c:pt>
                <c:pt idx="317">
                  <c:v>5.1864999999999997</c:v>
                </c:pt>
                <c:pt idx="318">
                  <c:v>5.0229999999999997</c:v>
                </c:pt>
                <c:pt idx="319">
                  <c:v>5.0664999999999996</c:v>
                </c:pt>
                <c:pt idx="320">
                  <c:v>5.3224999999999998</c:v>
                </c:pt>
                <c:pt idx="321">
                  <c:v>5.1230000000000002</c:v>
                </c:pt>
                <c:pt idx="322">
                  <c:v>5.22</c:v>
                </c:pt>
                <c:pt idx="323">
                  <c:v>5.0529999999999999</c:v>
                </c:pt>
                <c:pt idx="324">
                  <c:v>5.4214000000000002</c:v>
                </c:pt>
                <c:pt idx="325">
                  <c:v>5.1776</c:v>
                </c:pt>
                <c:pt idx="326">
                  <c:v>5.1280000000000001</c:v>
                </c:pt>
                <c:pt idx="327">
                  <c:v>5.0590999999999999</c:v>
                </c:pt>
                <c:pt idx="328">
                  <c:v>4.6144999999999996</c:v>
                </c:pt>
                <c:pt idx="329">
                  <c:v>4.6627000000000001</c:v>
                </c:pt>
                <c:pt idx="330">
                  <c:v>4.8373999999999997</c:v>
                </c:pt>
                <c:pt idx="331">
                  <c:v>4.6637000000000004</c:v>
                </c:pt>
                <c:pt idx="332">
                  <c:v>4.6102999999999996</c:v>
                </c:pt>
                <c:pt idx="333">
                  <c:v>4.2648000000000001</c:v>
                </c:pt>
                <c:pt idx="334">
                  <c:v>4.4836999999999998</c:v>
                </c:pt>
                <c:pt idx="335">
                  <c:v>4.4414999999999996</c:v>
                </c:pt>
                <c:pt idx="336">
                  <c:v>4.5370999999999997</c:v>
                </c:pt>
                <c:pt idx="337">
                  <c:v>4.7282000000000002</c:v>
                </c:pt>
                <c:pt idx="338">
                  <c:v>4.6802000000000001</c:v>
                </c:pt>
                <c:pt idx="339">
                  <c:v>5.5483000000000002</c:v>
                </c:pt>
                <c:pt idx="340">
                  <c:v>6.3324999999999996</c:v>
                </c:pt>
                <c:pt idx="341">
                  <c:v>6.2251000000000003</c:v>
                </c:pt>
                <c:pt idx="342">
                  <c:v>6.5368000000000004</c:v>
                </c:pt>
                <c:pt idx="343">
                  <c:v>6.5366999999999997</c:v>
                </c:pt>
                <c:pt idx="344">
                  <c:v>6.3886000000000003</c:v>
                </c:pt>
                <c:pt idx="345">
                  <c:v>6.1715999999999998</c:v>
                </c:pt>
                <c:pt idx="346">
                  <c:v>6.1936999999999998</c:v>
                </c:pt>
                <c:pt idx="347">
                  <c:v>6.6902999999999997</c:v>
                </c:pt>
                <c:pt idx="348">
                  <c:v>7.6958000000000002</c:v>
                </c:pt>
                <c:pt idx="349">
                  <c:v>6.1436000000000002</c:v>
                </c:pt>
                <c:pt idx="350">
                  <c:v>5.9634999999999998</c:v>
                </c:pt>
                <c:pt idx="351">
                  <c:v>5.5819999999999999</c:v>
                </c:pt>
                <c:pt idx="352">
                  <c:v>5.1196000000000002</c:v>
                </c:pt>
                <c:pt idx="353">
                  <c:v>4.8692000000000002</c:v>
                </c:pt>
                <c:pt idx="354">
                  <c:v>4.6204999999999998</c:v>
                </c:pt>
                <c:pt idx="355">
                  <c:v>4.9020000000000001</c:v>
                </c:pt>
                <c:pt idx="356">
                  <c:v>5.1566999999999998</c:v>
                </c:pt>
                <c:pt idx="357">
                  <c:v>4.4414999999999996</c:v>
                </c:pt>
                <c:pt idx="358">
                  <c:v>4.6318000000000001</c:v>
                </c:pt>
                <c:pt idx="359">
                  <c:v>3.9525999999999999</c:v>
                </c:pt>
                <c:pt idx="360">
                  <c:v>4.1680000000000001</c:v>
                </c:pt>
                <c:pt idx="361">
                  <c:v>3.5236999999999998</c:v>
                </c:pt>
                <c:pt idx="362">
                  <c:v>3.4828000000000001</c:v>
                </c:pt>
                <c:pt idx="363">
                  <c:v>3.5045000000000002</c:v>
                </c:pt>
                <c:pt idx="364">
                  <c:v>3.3054000000000001</c:v>
                </c:pt>
                <c:pt idx="365">
                  <c:v>3.1175000000000002</c:v>
                </c:pt>
                <c:pt idx="366">
                  <c:v>3.4403000000000001</c:v>
                </c:pt>
                <c:pt idx="367">
                  <c:v>3.5438999999999998</c:v>
                </c:pt>
                <c:pt idx="368">
                  <c:v>3.5888</c:v>
                </c:pt>
                <c:pt idx="369">
                  <c:v>3.629</c:v>
                </c:pt>
                <c:pt idx="370">
                  <c:v>3.3565999999999998</c:v>
                </c:pt>
                <c:pt idx="371">
                  <c:v>3.2004000000000001</c:v>
                </c:pt>
                <c:pt idx="372">
                  <c:v>3.8353000000000002</c:v>
                </c:pt>
                <c:pt idx="373">
                  <c:v>3.8538999999999999</c:v>
                </c:pt>
                <c:pt idx="374">
                  <c:v>4.21</c:v>
                </c:pt>
                <c:pt idx="375">
                  <c:v>3.7235999999999998</c:v>
                </c:pt>
                <c:pt idx="376">
                  <c:v>3.5499000000000001</c:v>
                </c:pt>
                <c:pt idx="377">
                  <c:v>3.6040000000000001</c:v>
                </c:pt>
                <c:pt idx="378">
                  <c:v>3.2450999999999999</c:v>
                </c:pt>
                <c:pt idx="379">
                  <c:v>3.2458999999999998</c:v>
                </c:pt>
                <c:pt idx="380">
                  <c:v>2.9982000000000002</c:v>
                </c:pt>
                <c:pt idx="381">
                  <c:v>3.0973999999999999</c:v>
                </c:pt>
                <c:pt idx="382">
                  <c:v>3.6526000000000001</c:v>
                </c:pt>
                <c:pt idx="383">
                  <c:v>3.7078000000000002</c:v>
                </c:pt>
                <c:pt idx="384">
                  <c:v>3.4039000000000001</c:v>
                </c:pt>
                <c:pt idx="385">
                  <c:v>3.508</c:v>
                </c:pt>
                <c:pt idx="386">
                  <c:v>3.7082000000000002</c:v>
                </c:pt>
                <c:pt idx="387">
                  <c:v>3.5141</c:v>
                </c:pt>
                <c:pt idx="388">
                  <c:v>3.2938000000000001</c:v>
                </c:pt>
                <c:pt idx="389">
                  <c:v>3.0497999999999998</c:v>
                </c:pt>
                <c:pt idx="390">
                  <c:v>2.5421999999999998</c:v>
                </c:pt>
                <c:pt idx="391">
                  <c:v>2.5432000000000001</c:v>
                </c:pt>
                <c:pt idx="392">
                  <c:v>2.4737</c:v>
                </c:pt>
                <c:pt idx="393">
                  <c:v>2.4605000000000001</c:v>
                </c:pt>
                <c:pt idx="394">
                  <c:v>2.5640999999999998</c:v>
                </c:pt>
                <c:pt idx="395">
                  <c:v>2.661</c:v>
                </c:pt>
                <c:pt idx="396">
                  <c:v>2.6440999999999999</c:v>
                </c:pt>
                <c:pt idx="397">
                  <c:v>2.5390999999999999</c:v>
                </c:pt>
                <c:pt idx="398">
                  <c:v>2.5971000000000002</c:v>
                </c:pt>
                <c:pt idx="399">
                  <c:v>2.5922999999999998</c:v>
                </c:pt>
                <c:pt idx="400">
                  <c:v>2.3302999999999998</c:v>
                </c:pt>
                <c:pt idx="401">
                  <c:v>3.0043000000000002</c:v>
                </c:pt>
                <c:pt idx="402">
                  <c:v>2.9573999999999998</c:v>
                </c:pt>
                <c:pt idx="403">
                  <c:v>3.17</c:v>
                </c:pt>
                <c:pt idx="404">
                  <c:v>3.2597</c:v>
                </c:pt>
                <c:pt idx="405">
                  <c:v>3.2463000000000002</c:v>
                </c:pt>
                <c:pt idx="406">
                  <c:v>3.2374000000000001</c:v>
                </c:pt>
                <c:pt idx="407">
                  <c:v>3.3508</c:v>
                </c:pt>
                <c:pt idx="408">
                  <c:v>3.1583999999999999</c:v>
                </c:pt>
                <c:pt idx="409">
                  <c:v>3.234</c:v>
                </c:pt>
                <c:pt idx="410">
                  <c:v>3.2778999999999998</c:v>
                </c:pt>
                <c:pt idx="411">
                  <c:v>3.1878000000000002</c:v>
                </c:pt>
                <c:pt idx="412">
                  <c:v>2.9914000000000001</c:v>
                </c:pt>
                <c:pt idx="413">
                  <c:v>3.1493000000000002</c:v>
                </c:pt>
                <c:pt idx="414">
                  <c:v>3.2835999999999999</c:v>
                </c:pt>
                <c:pt idx="415">
                  <c:v>3.2383999999999999</c:v>
                </c:pt>
                <c:pt idx="416">
                  <c:v>3.5819000000000001</c:v>
                </c:pt>
                <c:pt idx="417">
                  <c:v>3.7010000000000001</c:v>
                </c:pt>
                <c:pt idx="418">
                  <c:v>3.7818999999999998</c:v>
                </c:pt>
                <c:pt idx="419">
                  <c:v>3.5286</c:v>
                </c:pt>
                <c:pt idx="420">
                  <c:v>3.7902999999999998</c:v>
                </c:pt>
                <c:pt idx="421">
                  <c:v>3.7915999999999999</c:v>
                </c:pt>
                <c:pt idx="422">
                  <c:v>3.6619999999999999</c:v>
                </c:pt>
                <c:pt idx="423">
                  <c:v>3.9527999999999999</c:v>
                </c:pt>
                <c:pt idx="424">
                  <c:v>3.7797999999999998</c:v>
                </c:pt>
                <c:pt idx="425">
                  <c:v>3.7789999999999999</c:v>
                </c:pt>
                <c:pt idx="426">
                  <c:v>3.6088</c:v>
                </c:pt>
                <c:pt idx="427">
                  <c:v>3.7035999999999998</c:v>
                </c:pt>
                <c:pt idx="428">
                  <c:v>4.4268999999999998</c:v>
                </c:pt>
                <c:pt idx="429">
                  <c:v>4.3646000000000003</c:v>
                </c:pt>
                <c:pt idx="430">
                  <c:v>4.2309000000000001</c:v>
                </c:pt>
                <c:pt idx="431">
                  <c:v>3.9018999999999999</c:v>
                </c:pt>
                <c:pt idx="432">
                  <c:v>4.2530000000000001</c:v>
                </c:pt>
                <c:pt idx="433">
                  <c:v>3.5293999999999999</c:v>
                </c:pt>
                <c:pt idx="434">
                  <c:v>3.2726000000000002</c:v>
                </c:pt>
                <c:pt idx="435">
                  <c:v>3.3321000000000001</c:v>
                </c:pt>
                <c:pt idx="436">
                  <c:v>3.4599000000000002</c:v>
                </c:pt>
                <c:pt idx="437">
                  <c:v>3.4369000000000001</c:v>
                </c:pt>
                <c:pt idx="438">
                  <c:v>3.3216999999999999</c:v>
                </c:pt>
                <c:pt idx="439">
                  <c:v>3.4207000000000001</c:v>
                </c:pt>
                <c:pt idx="440">
                  <c:v>3.6280000000000001</c:v>
                </c:pt>
                <c:pt idx="441">
                  <c:v>3.4937</c:v>
                </c:pt>
                <c:pt idx="442">
                  <c:v>3.5057999999999998</c:v>
                </c:pt>
                <c:pt idx="443">
                  <c:v>3.2382</c:v>
                </c:pt>
                <c:pt idx="444">
                  <c:v>3.1791</c:v>
                </c:pt>
                <c:pt idx="445">
                  <c:v>3.1907000000000001</c:v>
                </c:pt>
                <c:pt idx="446">
                  <c:v>3.0592000000000001</c:v>
                </c:pt>
                <c:pt idx="447">
                  <c:v>3.3220000000000001</c:v>
                </c:pt>
                <c:pt idx="448">
                  <c:v>2.8914</c:v>
                </c:pt>
                <c:pt idx="449">
                  <c:v>2.7675999999999998</c:v>
                </c:pt>
                <c:pt idx="450">
                  <c:v>2.9011999999999998</c:v>
                </c:pt>
                <c:pt idx="451">
                  <c:v>2.9973999999999998</c:v>
                </c:pt>
                <c:pt idx="452">
                  <c:v>3.1391</c:v>
                </c:pt>
                <c:pt idx="453">
                  <c:v>2.9232999999999998</c:v>
                </c:pt>
                <c:pt idx="454">
                  <c:v>2.8675000000000002</c:v>
                </c:pt>
                <c:pt idx="455">
                  <c:v>2.8904999999999998</c:v>
                </c:pt>
                <c:pt idx="456">
                  <c:v>3.0657000000000001</c:v>
                </c:pt>
                <c:pt idx="457">
                  <c:v>3.2119</c:v>
                </c:pt>
                <c:pt idx="458">
                  <c:v>3.2363</c:v>
                </c:pt>
                <c:pt idx="459">
                  <c:v>3.3492999999999999</c:v>
                </c:pt>
                <c:pt idx="460">
                  <c:v>3.4863</c:v>
                </c:pt>
                <c:pt idx="461">
                  <c:v>3.5255000000000001</c:v>
                </c:pt>
                <c:pt idx="462">
                  <c:v>3.4942000000000002</c:v>
                </c:pt>
                <c:pt idx="463">
                  <c:v>3.2646000000000002</c:v>
                </c:pt>
                <c:pt idx="464">
                  <c:v>3.1297000000000001</c:v>
                </c:pt>
                <c:pt idx="465">
                  <c:v>3.3666</c:v>
                </c:pt>
                <c:pt idx="466">
                  <c:v>3.4018999999999999</c:v>
                </c:pt>
                <c:pt idx="467">
                  <c:v>3.2570000000000001</c:v>
                </c:pt>
                <c:pt idx="468">
                  <c:v>3.2204000000000002</c:v>
                </c:pt>
                <c:pt idx="469">
                  <c:v>3.4321000000000002</c:v>
                </c:pt>
                <c:pt idx="470">
                  <c:v>3.3307000000000002</c:v>
                </c:pt>
                <c:pt idx="471">
                  <c:v>3.5316999999999998</c:v>
                </c:pt>
                <c:pt idx="472">
                  <c:v>3.6413000000000002</c:v>
                </c:pt>
                <c:pt idx="473">
                  <c:v>3.6537999999999999</c:v>
                </c:pt>
                <c:pt idx="474">
                  <c:v>3.6272000000000002</c:v>
                </c:pt>
                <c:pt idx="475">
                  <c:v>3.4830999999999999</c:v>
                </c:pt>
                <c:pt idx="476">
                  <c:v>3.3795999999999999</c:v>
                </c:pt>
                <c:pt idx="477">
                  <c:v>3.2604000000000002</c:v>
                </c:pt>
                <c:pt idx="478">
                  <c:v>3.3658000000000001</c:v>
                </c:pt>
                <c:pt idx="479">
                  <c:v>3.8073999999999999</c:v>
                </c:pt>
                <c:pt idx="480">
                  <c:v>3.6295000000000002</c:v>
                </c:pt>
                <c:pt idx="481">
                  <c:v>3.7216</c:v>
                </c:pt>
                <c:pt idx="482">
                  <c:v>3.7867999999999999</c:v>
                </c:pt>
                <c:pt idx="483">
                  <c:v>4.0159000000000002</c:v>
                </c:pt>
                <c:pt idx="484">
                  <c:v>4.0202</c:v>
                </c:pt>
                <c:pt idx="485">
                  <c:v>4.1100000000000003</c:v>
                </c:pt>
                <c:pt idx="486">
                  <c:v>3.7724000000000002</c:v>
                </c:pt>
                <c:pt idx="487">
                  <c:v>3.0844</c:v>
                </c:pt>
                <c:pt idx="488">
                  <c:v>3.1049000000000002</c:v>
                </c:pt>
                <c:pt idx="489">
                  <c:v>3.1480000000000001</c:v>
                </c:pt>
                <c:pt idx="490">
                  <c:v>3.1137000000000001</c:v>
                </c:pt>
                <c:pt idx="491">
                  <c:v>2.7528000000000001</c:v>
                </c:pt>
                <c:pt idx="492">
                  <c:v>3.2355</c:v>
                </c:pt>
                <c:pt idx="493">
                  <c:v>2.5510000000000002</c:v>
                </c:pt>
                <c:pt idx="494">
                  <c:v>2.8976000000000002</c:v>
                </c:pt>
                <c:pt idx="495">
                  <c:v>3.0655999999999999</c:v>
                </c:pt>
                <c:pt idx="496">
                  <c:v>3.0236000000000001</c:v>
                </c:pt>
                <c:pt idx="497">
                  <c:v>3.2787000000000002</c:v>
                </c:pt>
                <c:pt idx="498">
                  <c:v>3.4148000000000001</c:v>
                </c:pt>
                <c:pt idx="499">
                  <c:v>3.4731000000000001</c:v>
                </c:pt>
                <c:pt idx="500">
                  <c:v>3.8422999999999998</c:v>
                </c:pt>
                <c:pt idx="501">
                  <c:v>3.8422999999999998</c:v>
                </c:pt>
                <c:pt idx="502">
                  <c:v>4.1159999999999997</c:v>
                </c:pt>
                <c:pt idx="503">
                  <c:v>3.839</c:v>
                </c:pt>
                <c:pt idx="504">
                  <c:v>3.8411</c:v>
                </c:pt>
                <c:pt idx="505">
                  <c:v>3.8452999999999999</c:v>
                </c:pt>
                <c:pt idx="506">
                  <c:v>3.5392000000000001</c:v>
                </c:pt>
                <c:pt idx="507">
                  <c:v>3.5991</c:v>
                </c:pt>
                <c:pt idx="508">
                  <c:v>3.9218999999999999</c:v>
                </c:pt>
                <c:pt idx="509">
                  <c:v>3.7559999999999998</c:v>
                </c:pt>
                <c:pt idx="510">
                  <c:v>4.2350000000000003</c:v>
                </c:pt>
                <c:pt idx="511">
                  <c:v>3.5247999999999999</c:v>
                </c:pt>
                <c:pt idx="512">
                  <c:v>4.3826000000000001</c:v>
                </c:pt>
                <c:pt idx="513">
                  <c:v>4.9958999999999998</c:v>
                </c:pt>
                <c:pt idx="514">
                  <c:v>5.1196999999999999</c:v>
                </c:pt>
                <c:pt idx="515">
                  <c:v>5.4856999999999996</c:v>
                </c:pt>
                <c:pt idx="516">
                  <c:v>5.1059000000000001</c:v>
                </c:pt>
                <c:pt idx="517">
                  <c:v>5.4158999999999997</c:v>
                </c:pt>
                <c:pt idx="518">
                  <c:v>5.0199999999999996</c:v>
                </c:pt>
                <c:pt idx="519">
                  <c:v>5.4999000000000002</c:v>
                </c:pt>
                <c:pt idx="520">
                  <c:v>5.15</c:v>
                </c:pt>
                <c:pt idx="521">
                  <c:v>5.8441000000000001</c:v>
                </c:pt>
                <c:pt idx="522">
                  <c:v>6.41</c:v>
                </c:pt>
                <c:pt idx="523">
                  <c:v>6.1359000000000004</c:v>
                </c:pt>
                <c:pt idx="524">
                  <c:v>6.2393999999999998</c:v>
                </c:pt>
                <c:pt idx="525">
                  <c:v>5.6755000000000004</c:v>
                </c:pt>
                <c:pt idx="526">
                  <c:v>3.3774999999999999</c:v>
                </c:pt>
                <c:pt idx="527">
                  <c:v>2.6932</c:v>
                </c:pt>
                <c:pt idx="528">
                  <c:v>2.7048999999999999</c:v>
                </c:pt>
                <c:pt idx="529">
                  <c:v>2.7942</c:v>
                </c:pt>
                <c:pt idx="530">
                  <c:v>1.9358</c:v>
                </c:pt>
                <c:pt idx="531">
                  <c:v>2.0291999999999999</c:v>
                </c:pt>
                <c:pt idx="532">
                  <c:v>1.8385</c:v>
                </c:pt>
                <c:pt idx="533">
                  <c:v>1.6977</c:v>
                </c:pt>
                <c:pt idx="534">
                  <c:v>1.6571</c:v>
                </c:pt>
                <c:pt idx="535">
                  <c:v>1.7979000000000001</c:v>
                </c:pt>
                <c:pt idx="536">
                  <c:v>1.712</c:v>
                </c:pt>
                <c:pt idx="537">
                  <c:v>1.6015999999999999</c:v>
                </c:pt>
                <c:pt idx="538">
                  <c:v>1.5631999999999999</c:v>
                </c:pt>
                <c:pt idx="539">
                  <c:v>1.6052999999999999</c:v>
                </c:pt>
                <c:pt idx="540">
                  <c:v>1.593</c:v>
                </c:pt>
                <c:pt idx="541">
                  <c:v>1.5875999999999999</c:v>
                </c:pt>
                <c:pt idx="542">
                  <c:v>1.569</c:v>
                </c:pt>
                <c:pt idx="543">
                  <c:v>1.5843</c:v>
                </c:pt>
                <c:pt idx="544">
                  <c:v>1.6556</c:v>
                </c:pt>
                <c:pt idx="545">
                  <c:v>1.5815999999999999</c:v>
                </c:pt>
                <c:pt idx="546">
                  <c:v>1.5886</c:v>
                </c:pt>
                <c:pt idx="547">
                  <c:v>1.5778000000000001</c:v>
                </c:pt>
                <c:pt idx="548">
                  <c:v>1.5835999999999999</c:v>
                </c:pt>
                <c:pt idx="549">
                  <c:v>1.5738000000000001</c:v>
                </c:pt>
                <c:pt idx="550">
                  <c:v>1.6229</c:v>
                </c:pt>
                <c:pt idx="551">
                  <c:v>1.6418999999999999</c:v>
                </c:pt>
                <c:pt idx="552">
                  <c:v>1.6226</c:v>
                </c:pt>
                <c:pt idx="553">
                  <c:v>1.6883999999999999</c:v>
                </c:pt>
                <c:pt idx="554">
                  <c:v>1.7290000000000001</c:v>
                </c:pt>
                <c:pt idx="555">
                  <c:v>1.6495</c:v>
                </c:pt>
                <c:pt idx="556">
                  <c:v>1.6222000000000001</c:v>
                </c:pt>
                <c:pt idx="557">
                  <c:v>1.5537000000000001</c:v>
                </c:pt>
                <c:pt idx="558">
                  <c:v>1.5841000000000001</c:v>
                </c:pt>
                <c:pt idx="559">
                  <c:v>1.4932000000000001</c:v>
                </c:pt>
                <c:pt idx="560">
                  <c:v>1.4742</c:v>
                </c:pt>
                <c:pt idx="561">
                  <c:v>1.5174000000000001</c:v>
                </c:pt>
                <c:pt idx="562">
                  <c:v>1.5277000000000001</c:v>
                </c:pt>
                <c:pt idx="563">
                  <c:v>1.5347999999999999</c:v>
                </c:pt>
                <c:pt idx="564">
                  <c:v>1.5394000000000001</c:v>
                </c:pt>
                <c:pt idx="565">
                  <c:v>1.5298</c:v>
                </c:pt>
                <c:pt idx="566">
                  <c:v>1.546</c:v>
                </c:pt>
                <c:pt idx="567">
                  <c:v>1.5531999999999999</c:v>
                </c:pt>
                <c:pt idx="568">
                  <c:v>1.6144000000000001</c:v>
                </c:pt>
                <c:pt idx="569">
                  <c:v>1.5289999999999999</c:v>
                </c:pt>
                <c:pt idx="570">
                  <c:v>1.5680000000000001</c:v>
                </c:pt>
                <c:pt idx="571">
                  <c:v>1.4951000000000001</c:v>
                </c:pt>
                <c:pt idx="572">
                  <c:v>1.5165999999999999</c:v>
                </c:pt>
                <c:pt idx="573">
                  <c:v>1.4433</c:v>
                </c:pt>
                <c:pt idx="574">
                  <c:v>1.4186000000000001</c:v>
                </c:pt>
                <c:pt idx="575">
                  <c:v>1.4641999999999999</c:v>
                </c:pt>
                <c:pt idx="576">
                  <c:v>1.4677</c:v>
                </c:pt>
                <c:pt idx="577">
                  <c:v>1.4689000000000001</c:v>
                </c:pt>
                <c:pt idx="578">
                  <c:v>1.4253</c:v>
                </c:pt>
                <c:pt idx="579">
                  <c:v>1.3905000000000001</c:v>
                </c:pt>
                <c:pt idx="580">
                  <c:v>1.4592000000000001</c:v>
                </c:pt>
                <c:pt idx="581">
                  <c:v>1.4719</c:v>
                </c:pt>
                <c:pt idx="582">
                  <c:v>1.5154000000000001</c:v>
                </c:pt>
                <c:pt idx="583">
                  <c:v>1.5664</c:v>
                </c:pt>
                <c:pt idx="584">
                  <c:v>1.6246</c:v>
                </c:pt>
                <c:pt idx="585">
                  <c:v>1.4512</c:v>
                </c:pt>
                <c:pt idx="586">
                  <c:v>1.4702</c:v>
                </c:pt>
                <c:pt idx="587">
                  <c:v>1.4602999999999999</c:v>
                </c:pt>
                <c:pt idx="588">
                  <c:v>1.4786999999999999</c:v>
                </c:pt>
                <c:pt idx="589">
                  <c:v>1.5136000000000001</c:v>
                </c:pt>
                <c:pt idx="590">
                  <c:v>1.5270999999999999</c:v>
                </c:pt>
                <c:pt idx="591">
                  <c:v>1.5037</c:v>
                </c:pt>
                <c:pt idx="592">
                  <c:v>1.5640000000000001</c:v>
                </c:pt>
                <c:pt idx="593">
                  <c:v>1.6187</c:v>
                </c:pt>
                <c:pt idx="594">
                  <c:v>1.5529999999999999</c:v>
                </c:pt>
                <c:pt idx="595">
                  <c:v>1.5076000000000001</c:v>
                </c:pt>
                <c:pt idx="596">
                  <c:v>1.6498999999999999</c:v>
                </c:pt>
                <c:pt idx="597">
                  <c:v>1.6479999999999999</c:v>
                </c:pt>
                <c:pt idx="598">
                  <c:v>1.6779999999999999</c:v>
                </c:pt>
                <c:pt idx="599">
                  <c:v>1.6960999999999999</c:v>
                </c:pt>
                <c:pt idx="600">
                  <c:v>1.7079</c:v>
                </c:pt>
                <c:pt idx="601">
                  <c:v>1.6428</c:v>
                </c:pt>
                <c:pt idx="602">
                  <c:v>1.6906000000000001</c:v>
                </c:pt>
                <c:pt idx="603">
                  <c:v>1.712</c:v>
                </c:pt>
                <c:pt idx="604">
                  <c:v>1.7361</c:v>
                </c:pt>
                <c:pt idx="605">
                  <c:v>1.7181</c:v>
                </c:pt>
                <c:pt idx="606">
                  <c:v>1.5081</c:v>
                </c:pt>
                <c:pt idx="607">
                  <c:v>1.5768</c:v>
                </c:pt>
                <c:pt idx="608">
                  <c:v>1.6029</c:v>
                </c:pt>
                <c:pt idx="609">
                  <c:v>1.6064000000000001</c:v>
                </c:pt>
                <c:pt idx="610">
                  <c:v>1.6448</c:v>
                </c:pt>
                <c:pt idx="611">
                  <c:v>1.6523000000000001</c:v>
                </c:pt>
                <c:pt idx="612">
                  <c:v>1.7232000000000001</c:v>
                </c:pt>
                <c:pt idx="613">
                  <c:v>1.5367</c:v>
                </c:pt>
                <c:pt idx="614">
                  <c:v>1.8736999999999999</c:v>
                </c:pt>
                <c:pt idx="615">
                  <c:v>1.8003</c:v>
                </c:pt>
                <c:pt idx="616">
                  <c:v>1.5427</c:v>
                </c:pt>
                <c:pt idx="617">
                  <c:v>1.1678999999999999</c:v>
                </c:pt>
                <c:pt idx="618">
                  <c:v>1.1794</c:v>
                </c:pt>
                <c:pt idx="619">
                  <c:v>1.0218</c:v>
                </c:pt>
                <c:pt idx="620">
                  <c:v>0.97209999999999996</c:v>
                </c:pt>
                <c:pt idx="621">
                  <c:v>0.93230000000000002</c:v>
                </c:pt>
                <c:pt idx="622">
                  <c:v>0.95509999999999995</c:v>
                </c:pt>
                <c:pt idx="623">
                  <c:v>0.94530000000000003</c:v>
                </c:pt>
                <c:pt idx="624">
                  <c:v>0.76349999999999996</c:v>
                </c:pt>
                <c:pt idx="625">
                  <c:v>0.71719999999999995</c:v>
                </c:pt>
                <c:pt idx="626">
                  <c:v>0.66649999999999998</c:v>
                </c:pt>
                <c:pt idx="627">
                  <c:v>0.67500000000000004</c:v>
                </c:pt>
                <c:pt idx="628">
                  <c:v>0.7409</c:v>
                </c:pt>
                <c:pt idx="629">
                  <c:v>0.76249999999999996</c:v>
                </c:pt>
                <c:pt idx="630">
                  <c:v>0.70760000000000001</c:v>
                </c:pt>
                <c:pt idx="631">
                  <c:v>0.68200000000000005</c:v>
                </c:pt>
                <c:pt idx="632">
                  <c:v>0.70989999999999998</c:v>
                </c:pt>
                <c:pt idx="633">
                  <c:v>0.7177</c:v>
                </c:pt>
                <c:pt idx="634">
                  <c:v>0.72660000000000002</c:v>
                </c:pt>
                <c:pt idx="635">
                  <c:v>0.75109999999999999</c:v>
                </c:pt>
                <c:pt idx="636">
                  <c:v>0.75360000000000005</c:v>
                </c:pt>
                <c:pt idx="637">
                  <c:v>0.73919999999999997</c:v>
                </c:pt>
                <c:pt idx="638">
                  <c:v>0.76870000000000005</c:v>
                </c:pt>
                <c:pt idx="639">
                  <c:v>0.66820000000000002</c:v>
                </c:pt>
                <c:pt idx="640">
                  <c:v>0.65849999999999997</c:v>
                </c:pt>
                <c:pt idx="641">
                  <c:v>0.66039999999999999</c:v>
                </c:pt>
                <c:pt idx="642">
                  <c:v>0.63160000000000005</c:v>
                </c:pt>
                <c:pt idx="643">
                  <c:v>0.6169</c:v>
                </c:pt>
                <c:pt idx="644">
                  <c:v>0.59560000000000002</c:v>
                </c:pt>
                <c:pt idx="645">
                  <c:v>0.57769999999999999</c:v>
                </c:pt>
                <c:pt idx="646">
                  <c:v>0.56210000000000004</c:v>
                </c:pt>
                <c:pt idx="647">
                  <c:v>0.5423</c:v>
                </c:pt>
                <c:pt idx="648">
                  <c:v>0.57989999999999997</c:v>
                </c:pt>
                <c:pt idx="649">
                  <c:v>0.59589999999999999</c:v>
                </c:pt>
                <c:pt idx="650">
                  <c:v>0.56850000000000001</c:v>
                </c:pt>
                <c:pt idx="651">
                  <c:v>0.56430000000000002</c:v>
                </c:pt>
                <c:pt idx="652">
                  <c:v>0.52559999999999996</c:v>
                </c:pt>
                <c:pt idx="653">
                  <c:v>0.55230000000000001</c:v>
                </c:pt>
                <c:pt idx="654">
                  <c:v>0.55479999999999996</c:v>
                </c:pt>
                <c:pt idx="655">
                  <c:v>0.56459999999999999</c:v>
                </c:pt>
                <c:pt idx="656">
                  <c:v>0.56310000000000004</c:v>
                </c:pt>
                <c:pt idx="657">
                  <c:v>0.55559999999999998</c:v>
                </c:pt>
                <c:pt idx="658">
                  <c:v>0.60799999999999998</c:v>
                </c:pt>
                <c:pt idx="659">
                  <c:v>0.62380000000000002</c:v>
                </c:pt>
                <c:pt idx="660">
                  <c:v>0.60050000000000003</c:v>
                </c:pt>
                <c:pt idx="661">
                  <c:v>0.59899999999999998</c:v>
                </c:pt>
                <c:pt idx="662">
                  <c:v>0.54159999999999997</c:v>
                </c:pt>
                <c:pt idx="663">
                  <c:v>0.55130000000000001</c:v>
                </c:pt>
                <c:pt idx="664">
                  <c:v>0.54390000000000005</c:v>
                </c:pt>
                <c:pt idx="665">
                  <c:v>0.55269999999999997</c:v>
                </c:pt>
                <c:pt idx="666">
                  <c:v>0.53369999999999995</c:v>
                </c:pt>
                <c:pt idx="667">
                  <c:v>0.51600000000000001</c:v>
                </c:pt>
                <c:pt idx="668">
                  <c:v>0.50819999999999999</c:v>
                </c:pt>
                <c:pt idx="669">
                  <c:v>0.46820000000000001</c:v>
                </c:pt>
                <c:pt idx="670">
                  <c:v>0.50509999999999999</c:v>
                </c:pt>
                <c:pt idx="671">
                  <c:v>0.50319999999999998</c:v>
                </c:pt>
                <c:pt idx="672">
                  <c:v>0.52080000000000004</c:v>
                </c:pt>
                <c:pt idx="673">
                  <c:v>0.50960000000000005</c:v>
                </c:pt>
                <c:pt idx="674">
                  <c:v>0.53100000000000003</c:v>
                </c:pt>
                <c:pt idx="675">
                  <c:v>0.50570000000000004</c:v>
                </c:pt>
                <c:pt idx="676">
                  <c:v>0.47699999999999998</c:v>
                </c:pt>
                <c:pt idx="677">
                  <c:v>0.52310000000000001</c:v>
                </c:pt>
                <c:pt idx="678">
                  <c:v>0.53</c:v>
                </c:pt>
                <c:pt idx="679">
                  <c:v>0.54290000000000005</c:v>
                </c:pt>
                <c:pt idx="680">
                  <c:v>0.46439999999999998</c:v>
                </c:pt>
                <c:pt idx="681">
                  <c:v>0.46970000000000001</c:v>
                </c:pt>
                <c:pt idx="682">
                  <c:v>0.43490000000000001</c:v>
                </c:pt>
                <c:pt idx="683">
                  <c:v>0.49390000000000001</c:v>
                </c:pt>
                <c:pt idx="684">
                  <c:v>0.46839999999999998</c:v>
                </c:pt>
                <c:pt idx="685">
                  <c:v>0.50339999999999996</c:v>
                </c:pt>
                <c:pt idx="686">
                  <c:v>0.40689999999999998</c:v>
                </c:pt>
                <c:pt idx="687">
                  <c:v>0.75219999999999998</c:v>
                </c:pt>
                <c:pt idx="688">
                  <c:v>0.79039999999999999</c:v>
                </c:pt>
                <c:pt idx="689">
                  <c:v>0.7883</c:v>
                </c:pt>
                <c:pt idx="690">
                  <c:v>0.76549999999999996</c:v>
                </c:pt>
                <c:pt idx="691">
                  <c:v>0.90580000000000005</c:v>
                </c:pt>
                <c:pt idx="692">
                  <c:v>0.93920000000000003</c:v>
                </c:pt>
                <c:pt idx="693">
                  <c:v>0.92530000000000001</c:v>
                </c:pt>
                <c:pt idx="694">
                  <c:v>0.89690000000000003</c:v>
                </c:pt>
                <c:pt idx="695">
                  <c:v>0.88639999999999997</c:v>
                </c:pt>
                <c:pt idx="696">
                  <c:v>0.89490000000000003</c:v>
                </c:pt>
                <c:pt idx="697">
                  <c:v>0.84099999999999997</c:v>
                </c:pt>
                <c:pt idx="698">
                  <c:v>0.82250000000000001</c:v>
                </c:pt>
                <c:pt idx="699">
                  <c:v>0.85499999999999998</c:v>
                </c:pt>
                <c:pt idx="700">
                  <c:v>0.89510000000000001</c:v>
                </c:pt>
                <c:pt idx="701">
                  <c:v>0.85599999999999998</c:v>
                </c:pt>
                <c:pt idx="702">
                  <c:v>0.98929999999999996</c:v>
                </c:pt>
                <c:pt idx="703">
                  <c:v>1.0670999999999999</c:v>
                </c:pt>
                <c:pt idx="704">
                  <c:v>1.1389</c:v>
                </c:pt>
                <c:pt idx="705">
                  <c:v>1.1046</c:v>
                </c:pt>
                <c:pt idx="706">
                  <c:v>1.0929</c:v>
                </c:pt>
                <c:pt idx="707">
                  <c:v>1.081</c:v>
                </c:pt>
                <c:pt idx="708">
                  <c:v>1.0986</c:v>
                </c:pt>
                <c:pt idx="709">
                  <c:v>1.1974</c:v>
                </c:pt>
                <c:pt idx="710">
                  <c:v>1.1726000000000001</c:v>
                </c:pt>
                <c:pt idx="711">
                  <c:v>1.1819999999999999</c:v>
                </c:pt>
                <c:pt idx="712">
                  <c:v>1.2867999999999999</c:v>
                </c:pt>
                <c:pt idx="713">
                  <c:v>1.371</c:v>
                </c:pt>
                <c:pt idx="714">
                  <c:v>1.2846</c:v>
                </c:pt>
                <c:pt idx="715">
                  <c:v>1.2495000000000001</c:v>
                </c:pt>
                <c:pt idx="716">
                  <c:v>1.1979</c:v>
                </c:pt>
                <c:pt idx="717">
                  <c:v>1.1235999999999999</c:v>
                </c:pt>
                <c:pt idx="718">
                  <c:v>1.1323000000000001</c:v>
                </c:pt>
                <c:pt idx="719">
                  <c:v>1.1608000000000001</c:v>
                </c:pt>
                <c:pt idx="720">
                  <c:v>1.1322000000000001</c:v>
                </c:pt>
                <c:pt idx="721">
                  <c:v>1.1183000000000001</c:v>
                </c:pt>
                <c:pt idx="722">
                  <c:v>1.0358000000000001</c:v>
                </c:pt>
                <c:pt idx="723">
                  <c:v>0.97760000000000002</c:v>
                </c:pt>
                <c:pt idx="724">
                  <c:v>0.97209999999999996</c:v>
                </c:pt>
                <c:pt idx="725">
                  <c:v>0.96799999999999997</c:v>
                </c:pt>
                <c:pt idx="726">
                  <c:v>0.91679999999999995</c:v>
                </c:pt>
                <c:pt idx="727">
                  <c:v>0.90100000000000002</c:v>
                </c:pt>
                <c:pt idx="728">
                  <c:v>0.88800000000000001</c:v>
                </c:pt>
                <c:pt idx="729">
                  <c:v>0.84019999999999995</c:v>
                </c:pt>
                <c:pt idx="730">
                  <c:v>0.82050000000000001</c:v>
                </c:pt>
                <c:pt idx="731">
                  <c:v>0.80740000000000001</c:v>
                </c:pt>
                <c:pt idx="732">
                  <c:v>0.79049999999999998</c:v>
                </c:pt>
                <c:pt idx="733">
                  <c:v>0.76070000000000004</c:v>
                </c:pt>
                <c:pt idx="734">
                  <c:v>0.77539999999999998</c:v>
                </c:pt>
                <c:pt idx="735">
                  <c:v>0.76380000000000003</c:v>
                </c:pt>
                <c:pt idx="736">
                  <c:v>0.8165</c:v>
                </c:pt>
                <c:pt idx="737">
                  <c:v>0.83799999999999997</c:v>
                </c:pt>
                <c:pt idx="738">
                  <c:v>0.78290000000000004</c:v>
                </c:pt>
                <c:pt idx="739">
                  <c:v>0.79979999999999996</c:v>
                </c:pt>
                <c:pt idx="740">
                  <c:v>0.83919999999999995</c:v>
                </c:pt>
                <c:pt idx="741">
                  <c:v>0.88500000000000001</c:v>
                </c:pt>
                <c:pt idx="742">
                  <c:v>0.77490000000000003</c:v>
                </c:pt>
                <c:pt idx="743">
                  <c:v>0.79590000000000005</c:v>
                </c:pt>
                <c:pt idx="744">
                  <c:v>0.73499999999999999</c:v>
                </c:pt>
                <c:pt idx="745">
                  <c:v>0.66690000000000005</c:v>
                </c:pt>
                <c:pt idx="746">
                  <c:v>0.69430000000000003</c:v>
                </c:pt>
                <c:pt idx="747">
                  <c:v>0.67010000000000003</c:v>
                </c:pt>
                <c:pt idx="748">
                  <c:v>0.65590000000000004</c:v>
                </c:pt>
                <c:pt idx="749">
                  <c:v>0.63729999999999998</c:v>
                </c:pt>
                <c:pt idx="750">
                  <c:v>0.6603</c:v>
                </c:pt>
                <c:pt idx="751">
                  <c:v>0.67059999999999997</c:v>
                </c:pt>
                <c:pt idx="752">
                  <c:v>0.68640000000000001</c:v>
                </c:pt>
                <c:pt idx="753">
                  <c:v>0.63670000000000004</c:v>
                </c:pt>
                <c:pt idx="754">
                  <c:v>0.62460000000000004</c:v>
                </c:pt>
                <c:pt idx="755">
                  <c:v>0.62480000000000002</c:v>
                </c:pt>
                <c:pt idx="756">
                  <c:v>0.59499999999999997</c:v>
                </c:pt>
                <c:pt idx="757">
                  <c:v>0.62139999999999995</c:v>
                </c:pt>
                <c:pt idx="758">
                  <c:v>0.60580000000000001</c:v>
                </c:pt>
                <c:pt idx="759">
                  <c:v>0.61509999999999998</c:v>
                </c:pt>
                <c:pt idx="760">
                  <c:v>0.63729999999999998</c:v>
                </c:pt>
                <c:pt idx="761">
                  <c:v>0.62350000000000005</c:v>
                </c:pt>
                <c:pt idx="762">
                  <c:v>0.62509999999999999</c:v>
                </c:pt>
                <c:pt idx="763">
                  <c:v>0.61280000000000001</c:v>
                </c:pt>
                <c:pt idx="764">
                  <c:v>0.6079</c:v>
                </c:pt>
                <c:pt idx="765">
                  <c:v>0.62029999999999996</c:v>
                </c:pt>
                <c:pt idx="766">
                  <c:v>0.63049999999999995</c:v>
                </c:pt>
                <c:pt idx="767">
                  <c:v>0.6512</c:v>
                </c:pt>
                <c:pt idx="768">
                  <c:v>0.64790000000000003</c:v>
                </c:pt>
                <c:pt idx="769">
                  <c:v>0.65290000000000004</c:v>
                </c:pt>
                <c:pt idx="770">
                  <c:v>0.63239999999999996</c:v>
                </c:pt>
                <c:pt idx="771">
                  <c:v>0.65869999999999995</c:v>
                </c:pt>
                <c:pt idx="772">
                  <c:v>0.59140000000000004</c:v>
                </c:pt>
                <c:pt idx="773">
                  <c:v>0.65459999999999996</c:v>
                </c:pt>
                <c:pt idx="774">
                  <c:v>0.70179999999999998</c:v>
                </c:pt>
                <c:pt idx="775">
                  <c:v>0.70630000000000004</c:v>
                </c:pt>
                <c:pt idx="776">
                  <c:v>0.70589999999999997</c:v>
                </c:pt>
                <c:pt idx="777">
                  <c:v>0.71020000000000005</c:v>
                </c:pt>
                <c:pt idx="778">
                  <c:v>0.71850000000000003</c:v>
                </c:pt>
                <c:pt idx="779">
                  <c:v>0.73129999999999995</c:v>
                </c:pt>
                <c:pt idx="780">
                  <c:v>0.73250000000000004</c:v>
                </c:pt>
                <c:pt idx="781">
                  <c:v>0.74790000000000001</c:v>
                </c:pt>
                <c:pt idx="782">
                  <c:v>0.747</c:v>
                </c:pt>
                <c:pt idx="783">
                  <c:v>0.75060000000000004</c:v>
                </c:pt>
                <c:pt idx="784">
                  <c:v>0.73409999999999997</c:v>
                </c:pt>
                <c:pt idx="785">
                  <c:v>0.72230000000000005</c:v>
                </c:pt>
                <c:pt idx="786">
                  <c:v>0.74270000000000003</c:v>
                </c:pt>
                <c:pt idx="787">
                  <c:v>0.73450000000000004</c:v>
                </c:pt>
                <c:pt idx="788">
                  <c:v>0.74709999999999999</c:v>
                </c:pt>
                <c:pt idx="789">
                  <c:v>0.76690000000000003</c:v>
                </c:pt>
                <c:pt idx="790">
                  <c:v>0.80189999999999995</c:v>
                </c:pt>
                <c:pt idx="791">
                  <c:v>0.7762</c:v>
                </c:pt>
                <c:pt idx="792">
                  <c:v>0.76229999999999998</c:v>
                </c:pt>
                <c:pt idx="793">
                  <c:v>0.74339999999999995</c:v>
                </c:pt>
                <c:pt idx="794">
                  <c:v>0.72019999999999995</c:v>
                </c:pt>
                <c:pt idx="795">
                  <c:v>0.73440000000000005</c:v>
                </c:pt>
                <c:pt idx="796">
                  <c:v>0.80800000000000005</c:v>
                </c:pt>
                <c:pt idx="797">
                  <c:v>0.77680000000000005</c:v>
                </c:pt>
                <c:pt idx="798">
                  <c:v>0.82169999999999999</c:v>
                </c:pt>
                <c:pt idx="799">
                  <c:v>0.88780000000000003</c:v>
                </c:pt>
                <c:pt idx="800">
                  <c:v>0.89570000000000005</c:v>
                </c:pt>
                <c:pt idx="801">
                  <c:v>0.93869999999999998</c:v>
                </c:pt>
                <c:pt idx="802">
                  <c:v>1.0247999999999999</c:v>
                </c:pt>
                <c:pt idx="803">
                  <c:v>1.0449999999999999</c:v>
                </c:pt>
                <c:pt idx="804">
                  <c:v>1.0066999999999999</c:v>
                </c:pt>
                <c:pt idx="805">
                  <c:v>1.0126999999999999</c:v>
                </c:pt>
                <c:pt idx="806">
                  <c:v>0.97989999999999999</c:v>
                </c:pt>
                <c:pt idx="807">
                  <c:v>0.96299999999999997</c:v>
                </c:pt>
                <c:pt idx="808">
                  <c:v>0.9516</c:v>
                </c:pt>
                <c:pt idx="809">
                  <c:v>1.0064</c:v>
                </c:pt>
                <c:pt idx="810">
                  <c:v>0.96220000000000006</c:v>
                </c:pt>
                <c:pt idx="811">
                  <c:v>0.95740000000000003</c:v>
                </c:pt>
                <c:pt idx="812">
                  <c:v>0.99550000000000005</c:v>
                </c:pt>
                <c:pt idx="813">
                  <c:v>1.0329999999999999</c:v>
                </c:pt>
                <c:pt idx="814">
                  <c:v>1.0242</c:v>
                </c:pt>
                <c:pt idx="815">
                  <c:v>0.98199999999999998</c:v>
                </c:pt>
                <c:pt idx="816">
                  <c:v>0.96050000000000002</c:v>
                </c:pt>
                <c:pt idx="817">
                  <c:v>0.98680000000000001</c:v>
                </c:pt>
                <c:pt idx="818">
                  <c:v>0.97650000000000003</c:v>
                </c:pt>
                <c:pt idx="819">
                  <c:v>0.9425</c:v>
                </c:pt>
                <c:pt idx="820">
                  <c:v>0.97829999999999995</c:v>
                </c:pt>
                <c:pt idx="821">
                  <c:v>1.0345</c:v>
                </c:pt>
                <c:pt idx="822">
                  <c:v>1.0264</c:v>
                </c:pt>
                <c:pt idx="823">
                  <c:v>0.96750000000000003</c:v>
                </c:pt>
                <c:pt idx="824">
                  <c:v>0.84770000000000001</c:v>
                </c:pt>
                <c:pt idx="825">
                  <c:v>0.83779999999999999</c:v>
                </c:pt>
                <c:pt idx="826">
                  <c:v>0.78</c:v>
                </c:pt>
                <c:pt idx="827">
                  <c:v>0.7248</c:v>
                </c:pt>
                <c:pt idx="828">
                  <c:v>0.77729999999999999</c:v>
                </c:pt>
                <c:pt idx="829">
                  <c:v>0.80700000000000005</c:v>
                </c:pt>
                <c:pt idx="830">
                  <c:v>0.81179999999999997</c:v>
                </c:pt>
                <c:pt idx="831">
                  <c:v>0.7651</c:v>
                </c:pt>
                <c:pt idx="832">
                  <c:v>0.76939999999999997</c:v>
                </c:pt>
                <c:pt idx="833">
                  <c:v>0.79559999999999997</c:v>
                </c:pt>
                <c:pt idx="834">
                  <c:v>0.77200000000000002</c:v>
                </c:pt>
                <c:pt idx="835">
                  <c:v>0.79800000000000004</c:v>
                </c:pt>
                <c:pt idx="836">
                  <c:v>0.82589999999999997</c:v>
                </c:pt>
                <c:pt idx="837">
                  <c:v>0.82569999999999999</c:v>
                </c:pt>
                <c:pt idx="838">
                  <c:v>0.8296</c:v>
                </c:pt>
                <c:pt idx="839">
                  <c:v>0.8337</c:v>
                </c:pt>
                <c:pt idx="840">
                  <c:v>0.89090000000000003</c:v>
                </c:pt>
                <c:pt idx="841">
                  <c:v>0.91649999999999998</c:v>
                </c:pt>
                <c:pt idx="842">
                  <c:v>0.90680000000000005</c:v>
                </c:pt>
                <c:pt idx="843">
                  <c:v>0.90269999999999995</c:v>
                </c:pt>
                <c:pt idx="844">
                  <c:v>0.87470000000000003</c:v>
                </c:pt>
                <c:pt idx="845">
                  <c:v>0.83650000000000002</c:v>
                </c:pt>
                <c:pt idx="846">
                  <c:v>0.83450000000000002</c:v>
                </c:pt>
                <c:pt idx="847">
                  <c:v>0.81559999999999999</c:v>
                </c:pt>
                <c:pt idx="848">
                  <c:v>0.82569999999999999</c:v>
                </c:pt>
                <c:pt idx="849">
                  <c:v>0.80630000000000002</c:v>
                </c:pt>
                <c:pt idx="850">
                  <c:v>0.81879999999999997</c:v>
                </c:pt>
                <c:pt idx="851">
                  <c:v>0.79449999999999998</c:v>
                </c:pt>
                <c:pt idx="852">
                  <c:v>0.81040000000000001</c:v>
                </c:pt>
                <c:pt idx="853">
                  <c:v>0.81799999999999995</c:v>
                </c:pt>
                <c:pt idx="854">
                  <c:v>0.79649999999999999</c:v>
                </c:pt>
                <c:pt idx="855">
                  <c:v>0.81640000000000001</c:v>
                </c:pt>
                <c:pt idx="856">
                  <c:v>0.79079999999999995</c:v>
                </c:pt>
                <c:pt idx="857">
                  <c:v>1.0119</c:v>
                </c:pt>
                <c:pt idx="858">
                  <c:v>1.0693999999999999</c:v>
                </c:pt>
                <c:pt idx="859">
                  <c:v>1.1189</c:v>
                </c:pt>
                <c:pt idx="860">
                  <c:v>1.1307</c:v>
                </c:pt>
                <c:pt idx="861">
                  <c:v>1.1399999999999999</c:v>
                </c:pt>
                <c:pt idx="862">
                  <c:v>1.1740999999999999</c:v>
                </c:pt>
                <c:pt idx="863">
                  <c:v>1.103</c:v>
                </c:pt>
                <c:pt idx="864">
                  <c:v>1.0544</c:v>
                </c:pt>
                <c:pt idx="865">
                  <c:v>1.0465</c:v>
                </c:pt>
                <c:pt idx="866">
                  <c:v>1.0507</c:v>
                </c:pt>
                <c:pt idx="867">
                  <c:v>1.0384</c:v>
                </c:pt>
                <c:pt idx="868">
                  <c:v>1.0504</c:v>
                </c:pt>
                <c:pt idx="869">
                  <c:v>1.0392999999999999</c:v>
                </c:pt>
                <c:pt idx="870">
                  <c:v>1.0662</c:v>
                </c:pt>
                <c:pt idx="871">
                  <c:v>1.0652999999999999</c:v>
                </c:pt>
                <c:pt idx="872">
                  <c:v>1.0726</c:v>
                </c:pt>
                <c:pt idx="873">
                  <c:v>1.0599000000000001</c:v>
                </c:pt>
                <c:pt idx="874">
                  <c:v>1.0159</c:v>
                </c:pt>
                <c:pt idx="875">
                  <c:v>1.0414000000000001</c:v>
                </c:pt>
                <c:pt idx="876">
                  <c:v>1.0688</c:v>
                </c:pt>
                <c:pt idx="877">
                  <c:v>1.0874999999999999</c:v>
                </c:pt>
                <c:pt idx="878">
                  <c:v>1.093</c:v>
                </c:pt>
                <c:pt idx="879">
                  <c:v>1.0810999999999999</c:v>
                </c:pt>
                <c:pt idx="880">
                  <c:v>1.0887</c:v>
                </c:pt>
                <c:pt idx="881">
                  <c:v>1.0737000000000001</c:v>
                </c:pt>
                <c:pt idx="882">
                  <c:v>1.0588</c:v>
                </c:pt>
                <c:pt idx="883">
                  <c:v>1.0952999999999999</c:v>
                </c:pt>
                <c:pt idx="884">
                  <c:v>1.1772</c:v>
                </c:pt>
                <c:pt idx="885">
                  <c:v>1.2273000000000001</c:v>
                </c:pt>
                <c:pt idx="886">
                  <c:v>1.2353000000000001</c:v>
                </c:pt>
                <c:pt idx="887">
                  <c:v>1.2617</c:v>
                </c:pt>
                <c:pt idx="888">
                  <c:v>1.2357</c:v>
                </c:pt>
                <c:pt idx="889">
                  <c:v>1.2336</c:v>
                </c:pt>
                <c:pt idx="890">
                  <c:v>1.1839</c:v>
                </c:pt>
                <c:pt idx="891">
                  <c:v>1.2195</c:v>
                </c:pt>
                <c:pt idx="892">
                  <c:v>1.2381</c:v>
                </c:pt>
                <c:pt idx="893">
                  <c:v>1.2514000000000001</c:v>
                </c:pt>
                <c:pt idx="894">
                  <c:v>1.2112000000000001</c:v>
                </c:pt>
                <c:pt idx="895">
                  <c:v>1.1597999999999999</c:v>
                </c:pt>
                <c:pt idx="896">
                  <c:v>1.167</c:v>
                </c:pt>
                <c:pt idx="897">
                  <c:v>1.1538999999999999</c:v>
                </c:pt>
                <c:pt idx="898">
                  <c:v>1.3523000000000001</c:v>
                </c:pt>
                <c:pt idx="899">
                  <c:v>1.377</c:v>
                </c:pt>
                <c:pt idx="900">
                  <c:v>1.4252</c:v>
                </c:pt>
                <c:pt idx="901">
                  <c:v>1.3169</c:v>
                </c:pt>
                <c:pt idx="902">
                  <c:v>1.3199000000000001</c:v>
                </c:pt>
                <c:pt idx="903">
                  <c:v>1.4225000000000001</c:v>
                </c:pt>
                <c:pt idx="904">
                  <c:v>1.4447000000000001</c:v>
                </c:pt>
                <c:pt idx="905">
                  <c:v>1.4737</c:v>
                </c:pt>
                <c:pt idx="906">
                  <c:v>1.5483</c:v>
                </c:pt>
                <c:pt idx="907">
                  <c:v>1.5236000000000001</c:v>
                </c:pt>
                <c:pt idx="908">
                  <c:v>1.5362</c:v>
                </c:pt>
                <c:pt idx="909">
                  <c:v>1.5354000000000001</c:v>
                </c:pt>
                <c:pt idx="910">
                  <c:v>1.5425</c:v>
                </c:pt>
                <c:pt idx="911">
                  <c:v>1.585</c:v>
                </c:pt>
                <c:pt idx="912">
                  <c:v>1.538</c:v>
                </c:pt>
                <c:pt idx="913">
                  <c:v>1.5298</c:v>
                </c:pt>
                <c:pt idx="914">
                  <c:v>1.5365</c:v>
                </c:pt>
                <c:pt idx="915">
                  <c:v>1.5766</c:v>
                </c:pt>
                <c:pt idx="916">
                  <c:v>1.6826000000000001</c:v>
                </c:pt>
                <c:pt idx="917">
                  <c:v>1.6959</c:v>
                </c:pt>
                <c:pt idx="918">
                  <c:v>1.7065999999999999</c:v>
                </c:pt>
                <c:pt idx="919">
                  <c:v>1.5528999999999999</c:v>
                </c:pt>
                <c:pt idx="920">
                  <c:v>1.6551</c:v>
                </c:pt>
                <c:pt idx="921">
                  <c:v>1.7232000000000001</c:v>
                </c:pt>
                <c:pt idx="922">
                  <c:v>1.7073</c:v>
                </c:pt>
                <c:pt idx="923">
                  <c:v>1.5316000000000001</c:v>
                </c:pt>
                <c:pt idx="924">
                  <c:v>1.5259</c:v>
                </c:pt>
                <c:pt idx="925">
                  <c:v>1.4013</c:v>
                </c:pt>
                <c:pt idx="926">
                  <c:v>1.3440000000000001</c:v>
                </c:pt>
                <c:pt idx="927">
                  <c:v>1.5818000000000001</c:v>
                </c:pt>
                <c:pt idx="928">
                  <c:v>1.5569</c:v>
                </c:pt>
                <c:pt idx="929">
                  <c:v>1.8582000000000001</c:v>
                </c:pt>
                <c:pt idx="930">
                  <c:v>1.9954000000000001</c:v>
                </c:pt>
                <c:pt idx="931">
                  <c:v>1.9256</c:v>
                </c:pt>
                <c:pt idx="932">
                  <c:v>2.2320000000000002</c:v>
                </c:pt>
                <c:pt idx="933">
                  <c:v>2.4297</c:v>
                </c:pt>
                <c:pt idx="934">
                  <c:v>2.5655000000000001</c:v>
                </c:pt>
                <c:pt idx="935">
                  <c:v>2.3910999999999998</c:v>
                </c:pt>
                <c:pt idx="936">
                  <c:v>2.3778000000000001</c:v>
                </c:pt>
                <c:pt idx="937">
                  <c:v>2.3050000000000002</c:v>
                </c:pt>
                <c:pt idx="938">
                  <c:v>2.3075999999999999</c:v>
                </c:pt>
                <c:pt idx="939">
                  <c:v>2.4872000000000001</c:v>
                </c:pt>
                <c:pt idx="940">
                  <c:v>2.3759000000000001</c:v>
                </c:pt>
                <c:pt idx="941">
                  <c:v>2.4373999999999998</c:v>
                </c:pt>
                <c:pt idx="942">
                  <c:v>2.4805000000000001</c:v>
                </c:pt>
                <c:pt idx="943">
                  <c:v>2.8258000000000001</c:v>
                </c:pt>
                <c:pt idx="944">
                  <c:v>2.6922999999999999</c:v>
                </c:pt>
                <c:pt idx="945">
                  <c:v>2.4243999999999999</c:v>
                </c:pt>
                <c:pt idx="946">
                  <c:v>2.8157000000000001</c:v>
                </c:pt>
                <c:pt idx="947">
                  <c:v>2.6898</c:v>
                </c:pt>
                <c:pt idx="948">
                  <c:v>2.3603999999999998</c:v>
                </c:pt>
                <c:pt idx="949">
                  <c:v>2.2645</c:v>
                </c:pt>
                <c:pt idx="950">
                  <c:v>2.2694999999999999</c:v>
                </c:pt>
                <c:pt idx="951">
                  <c:v>2.0714999999999999</c:v>
                </c:pt>
                <c:pt idx="952">
                  <c:v>2.0158999999999998</c:v>
                </c:pt>
                <c:pt idx="953">
                  <c:v>2.09</c:v>
                </c:pt>
                <c:pt idx="954">
                  <c:v>2.0459000000000001</c:v>
                </c:pt>
                <c:pt idx="955">
                  <c:v>2.105</c:v>
                </c:pt>
                <c:pt idx="956">
                  <c:v>2.1271</c:v>
                </c:pt>
                <c:pt idx="957">
                  <c:v>2.0956000000000001</c:v>
                </c:pt>
                <c:pt idx="958">
                  <c:v>2.1076999999999999</c:v>
                </c:pt>
                <c:pt idx="959">
                  <c:v>2.0975999999999999</c:v>
                </c:pt>
                <c:pt idx="960">
                  <c:v>2.0497000000000001</c:v>
                </c:pt>
                <c:pt idx="961">
                  <c:v>1.9695</c:v>
                </c:pt>
                <c:pt idx="962">
                  <c:v>2.0205000000000002</c:v>
                </c:pt>
                <c:pt idx="963">
                  <c:v>1.89</c:v>
                </c:pt>
                <c:pt idx="964">
                  <c:v>1.9971000000000001</c:v>
                </c:pt>
                <c:pt idx="965">
                  <c:v>2.0221</c:v>
                </c:pt>
                <c:pt idx="966">
                  <c:v>1.9944</c:v>
                </c:pt>
                <c:pt idx="967">
                  <c:v>1.9672000000000001</c:v>
                </c:pt>
                <c:pt idx="968">
                  <c:v>1.9639</c:v>
                </c:pt>
                <c:pt idx="969">
                  <c:v>2.0903</c:v>
                </c:pt>
                <c:pt idx="970">
                  <c:v>2.3536999999999999</c:v>
                </c:pt>
                <c:pt idx="971">
                  <c:v>2.2231999999999998</c:v>
                </c:pt>
                <c:pt idx="972">
                  <c:v>2.2593000000000001</c:v>
                </c:pt>
                <c:pt idx="973">
                  <c:v>2.1703999999999999</c:v>
                </c:pt>
                <c:pt idx="974">
                  <c:v>2.2888999999999999</c:v>
                </c:pt>
                <c:pt idx="975">
                  <c:v>2.2597</c:v>
                </c:pt>
                <c:pt idx="976">
                  <c:v>2.2014999999999998</c:v>
                </c:pt>
                <c:pt idx="977">
                  <c:v>2.0589</c:v>
                </c:pt>
                <c:pt idx="978">
                  <c:v>1.9636</c:v>
                </c:pt>
                <c:pt idx="979">
                  <c:v>1.9722</c:v>
                </c:pt>
                <c:pt idx="980">
                  <c:v>1.9058999999999999</c:v>
                </c:pt>
                <c:pt idx="981">
                  <c:v>1.9121999999999999</c:v>
                </c:pt>
                <c:pt idx="982">
                  <c:v>2.1053999999999999</c:v>
                </c:pt>
                <c:pt idx="983">
                  <c:v>2.0274000000000001</c:v>
                </c:pt>
                <c:pt idx="984">
                  <c:v>2.0994999999999999</c:v>
                </c:pt>
                <c:pt idx="985">
                  <c:v>1.8872</c:v>
                </c:pt>
                <c:pt idx="986">
                  <c:v>1.99</c:v>
                </c:pt>
                <c:pt idx="987">
                  <c:v>2.1659000000000002</c:v>
                </c:pt>
                <c:pt idx="988">
                  <c:v>2.1951000000000001</c:v>
                </c:pt>
                <c:pt idx="989">
                  <c:v>1.8735999999999999</c:v>
                </c:pt>
                <c:pt idx="990">
                  <c:v>1.72</c:v>
                </c:pt>
                <c:pt idx="991">
                  <c:v>1.6482000000000001</c:v>
                </c:pt>
                <c:pt idx="992">
                  <c:v>1.7251000000000001</c:v>
                </c:pt>
                <c:pt idx="993">
                  <c:v>1.5849</c:v>
                </c:pt>
                <c:pt idx="994">
                  <c:v>1.5928</c:v>
                </c:pt>
                <c:pt idx="995">
                  <c:v>1.6556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F3-4EFD-B328-8F1F239B6B0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-2.2192995534678586E-2</c:v>
                </c:pt>
                <c:pt idx="1">
                  <c:v>-1.4526281111601671E-2</c:v>
                </c:pt>
                <c:pt idx="2">
                  <c:v>3.3192192599695435E-2</c:v>
                </c:pt>
                <c:pt idx="3">
                  <c:v>-1.881688346203297E-2</c:v>
                </c:pt>
                <c:pt idx="4">
                  <c:v>-4.4735093040690684E-2</c:v>
                </c:pt>
                <c:pt idx="5">
                  <c:v>-9.7936031849679167E-2</c:v>
                </c:pt>
                <c:pt idx="6">
                  <c:v>-1.9532488019865471E-2</c:v>
                </c:pt>
                <c:pt idx="7">
                  <c:v>4.1911922232043035E-2</c:v>
                </c:pt>
                <c:pt idx="8">
                  <c:v>9.4767131666566889E-2</c:v>
                </c:pt>
                <c:pt idx="9">
                  <c:v>0.14192983148985999</c:v>
                </c:pt>
                <c:pt idx="10">
                  <c:v>0.16206702915414581</c:v>
                </c:pt>
                <c:pt idx="11">
                  <c:v>0.16694615861045653</c:v>
                </c:pt>
                <c:pt idx="12">
                  <c:v>0.17809278443456081</c:v>
                </c:pt>
                <c:pt idx="13">
                  <c:v>0.10879503291648847</c:v>
                </c:pt>
                <c:pt idx="14">
                  <c:v>0.11049421678056609</c:v>
                </c:pt>
                <c:pt idx="15">
                  <c:v>0.18131245602187501</c:v>
                </c:pt>
                <c:pt idx="16">
                  <c:v>0.13753211971998833</c:v>
                </c:pt>
                <c:pt idx="17">
                  <c:v>0.11438600400758724</c:v>
                </c:pt>
                <c:pt idx="18">
                  <c:v>0.12421832872187288</c:v>
                </c:pt>
                <c:pt idx="19">
                  <c:v>0.14119795043615843</c:v>
                </c:pt>
                <c:pt idx="20">
                  <c:v>0.17622860494653184</c:v>
                </c:pt>
                <c:pt idx="21">
                  <c:v>0.15598272822522033</c:v>
                </c:pt>
                <c:pt idx="22">
                  <c:v>0.11175547430116983</c:v>
                </c:pt>
                <c:pt idx="23">
                  <c:v>0.14447637316925491</c:v>
                </c:pt>
                <c:pt idx="24">
                  <c:v>0.19719956596925503</c:v>
                </c:pt>
                <c:pt idx="25">
                  <c:v>0.22533400990275895</c:v>
                </c:pt>
                <c:pt idx="26">
                  <c:v>0.22327850854044004</c:v>
                </c:pt>
                <c:pt idx="27">
                  <c:v>0.17861745391448577</c:v>
                </c:pt>
                <c:pt idx="28">
                  <c:v>0.19930040701662355</c:v>
                </c:pt>
                <c:pt idx="29">
                  <c:v>0.16331966984142127</c:v>
                </c:pt>
                <c:pt idx="30">
                  <c:v>0.23615666788427844</c:v>
                </c:pt>
                <c:pt idx="31">
                  <c:v>0.31850436026912704</c:v>
                </c:pt>
                <c:pt idx="32">
                  <c:v>0.3576720928010419</c:v>
                </c:pt>
                <c:pt idx="33">
                  <c:v>0.35445996137998942</c:v>
                </c:pt>
                <c:pt idx="34">
                  <c:v>0.34184953368378684</c:v>
                </c:pt>
                <c:pt idx="35">
                  <c:v>0.39499242196920786</c:v>
                </c:pt>
                <c:pt idx="36">
                  <c:v>0.27489214719787691</c:v>
                </c:pt>
                <c:pt idx="37">
                  <c:v>0.24437316875166168</c:v>
                </c:pt>
                <c:pt idx="38">
                  <c:v>0.19736335359638199</c:v>
                </c:pt>
                <c:pt idx="39">
                  <c:v>0.15959826793311679</c:v>
                </c:pt>
                <c:pt idx="40">
                  <c:v>0.20075360497528549</c:v>
                </c:pt>
                <c:pt idx="41">
                  <c:v>0.1869370927325415</c:v>
                </c:pt>
                <c:pt idx="42">
                  <c:v>0.29360832762198874</c:v>
                </c:pt>
                <c:pt idx="43">
                  <c:v>0.35574988025813326</c:v>
                </c:pt>
                <c:pt idx="44">
                  <c:v>0.29687814575968108</c:v>
                </c:pt>
                <c:pt idx="45">
                  <c:v>0.25319039268275784</c:v>
                </c:pt>
                <c:pt idx="46">
                  <c:v>0.35986081115409552</c:v>
                </c:pt>
                <c:pt idx="47">
                  <c:v>0.34126693125536117</c:v>
                </c:pt>
                <c:pt idx="48">
                  <c:v>0.33721451228761917</c:v>
                </c:pt>
                <c:pt idx="49">
                  <c:v>0.43327368713008485</c:v>
                </c:pt>
                <c:pt idx="50">
                  <c:v>0.54924851392912211</c:v>
                </c:pt>
                <c:pt idx="51">
                  <c:v>0.48888312768720738</c:v>
                </c:pt>
                <c:pt idx="52">
                  <c:v>0.44615825516225727</c:v>
                </c:pt>
                <c:pt idx="53">
                  <c:v>0.26327877483044437</c:v>
                </c:pt>
                <c:pt idx="54">
                  <c:v>0.31631696527193393</c:v>
                </c:pt>
                <c:pt idx="55">
                  <c:v>0.23969784941096589</c:v>
                </c:pt>
                <c:pt idx="56">
                  <c:v>0.26752011260906927</c:v>
                </c:pt>
                <c:pt idx="57">
                  <c:v>0.28985475067216082</c:v>
                </c:pt>
                <c:pt idx="58">
                  <c:v>0.33912333920018972</c:v>
                </c:pt>
                <c:pt idx="59">
                  <c:v>0.50758703938635963</c:v>
                </c:pt>
                <c:pt idx="60">
                  <c:v>0.44574715751084093</c:v>
                </c:pt>
                <c:pt idx="61">
                  <c:v>0.38025835016774451</c:v>
                </c:pt>
                <c:pt idx="62">
                  <c:v>0.37498322311758781</c:v>
                </c:pt>
                <c:pt idx="63">
                  <c:v>0.48644199763371676</c:v>
                </c:pt>
                <c:pt idx="64">
                  <c:v>0.46551221354216743</c:v>
                </c:pt>
                <c:pt idx="65">
                  <c:v>0.49499573300713567</c:v>
                </c:pt>
                <c:pt idx="66">
                  <c:v>0.44797039008353995</c:v>
                </c:pt>
                <c:pt idx="67">
                  <c:v>0.50612098438958941</c:v>
                </c:pt>
                <c:pt idx="68">
                  <c:v>0.59307237942076929</c:v>
                </c:pt>
                <c:pt idx="69">
                  <c:v>0.58055570849819915</c:v>
                </c:pt>
                <c:pt idx="70">
                  <c:v>0.4563087780834526</c:v>
                </c:pt>
                <c:pt idx="71">
                  <c:v>0.57324057453149235</c:v>
                </c:pt>
                <c:pt idx="72">
                  <c:v>0.64612449163266839</c:v>
                </c:pt>
                <c:pt idx="73">
                  <c:v>0.62497615862584444</c:v>
                </c:pt>
                <c:pt idx="74">
                  <c:v>0.71104402239497211</c:v>
                </c:pt>
                <c:pt idx="75">
                  <c:v>0.71888063912103961</c:v>
                </c:pt>
                <c:pt idx="76">
                  <c:v>0.78595304521891474</c:v>
                </c:pt>
                <c:pt idx="77">
                  <c:v>1.3072614655097963</c:v>
                </c:pt>
                <c:pt idx="78">
                  <c:v>1.3055071703784</c:v>
                </c:pt>
                <c:pt idx="79">
                  <c:v>1.4484428530826661</c:v>
                </c:pt>
                <c:pt idx="80">
                  <c:v>1.6071914856262068</c:v>
                </c:pt>
                <c:pt idx="81">
                  <c:v>1.4753286099974419</c:v>
                </c:pt>
                <c:pt idx="82">
                  <c:v>1.569252395390861</c:v>
                </c:pt>
                <c:pt idx="83">
                  <c:v>1.529420688081002</c:v>
                </c:pt>
                <c:pt idx="84">
                  <c:v>1.76354477179411</c:v>
                </c:pt>
                <c:pt idx="85">
                  <c:v>1.4136134537648029</c:v>
                </c:pt>
                <c:pt idx="86">
                  <c:v>1.268104022560109</c:v>
                </c:pt>
                <c:pt idx="87">
                  <c:v>1.3119641748107402</c:v>
                </c:pt>
                <c:pt idx="88">
                  <c:v>1.2304700638362418</c:v>
                </c:pt>
                <c:pt idx="89">
                  <c:v>1.2110202930261595</c:v>
                </c:pt>
                <c:pt idx="90">
                  <c:v>1.2273037863785954</c:v>
                </c:pt>
                <c:pt idx="91">
                  <c:v>1.1809442956003851</c:v>
                </c:pt>
                <c:pt idx="92">
                  <c:v>1.1248655044109117</c:v>
                </c:pt>
                <c:pt idx="93">
                  <c:v>1.1611275124232363</c:v>
                </c:pt>
                <c:pt idx="94">
                  <c:v>1.2037662188893719</c:v>
                </c:pt>
                <c:pt idx="95">
                  <c:v>1.2395502738214601</c:v>
                </c:pt>
                <c:pt idx="96">
                  <c:v>1.2361237486758292</c:v>
                </c:pt>
                <c:pt idx="97">
                  <c:v>1.239024672818686</c:v>
                </c:pt>
                <c:pt idx="98">
                  <c:v>1.3486176314486074</c:v>
                </c:pt>
                <c:pt idx="99">
                  <c:v>1.3945174854725486</c:v>
                </c:pt>
                <c:pt idx="100">
                  <c:v>1.3605039406372543</c:v>
                </c:pt>
                <c:pt idx="101">
                  <c:v>1.3364301582976672</c:v>
                </c:pt>
                <c:pt idx="102">
                  <c:v>1.3459094359060102</c:v>
                </c:pt>
                <c:pt idx="103">
                  <c:v>1.3459457877900838</c:v>
                </c:pt>
                <c:pt idx="104">
                  <c:v>1.3548951458535761</c:v>
                </c:pt>
                <c:pt idx="105">
                  <c:v>1.4110738127497564</c:v>
                </c:pt>
                <c:pt idx="106">
                  <c:v>1.4490695161168963</c:v>
                </c:pt>
                <c:pt idx="107">
                  <c:v>1.4943081678002883</c:v>
                </c:pt>
                <c:pt idx="108">
                  <c:v>1.4485563730472022</c:v>
                </c:pt>
                <c:pt idx="109">
                  <c:v>1.4861310936233341</c:v>
                </c:pt>
                <c:pt idx="110">
                  <c:v>1.5656544749694878</c:v>
                </c:pt>
                <c:pt idx="111">
                  <c:v>1.5650073508831004</c:v>
                </c:pt>
                <c:pt idx="112">
                  <c:v>1.5834695185076888</c:v>
                </c:pt>
                <c:pt idx="113">
                  <c:v>1.5842204856133655</c:v>
                </c:pt>
                <c:pt idx="114">
                  <c:v>1.6358247079446673</c:v>
                </c:pt>
                <c:pt idx="115">
                  <c:v>1.7373829723224448</c:v>
                </c:pt>
                <c:pt idx="116">
                  <c:v>1.7806808158569023</c:v>
                </c:pt>
                <c:pt idx="117">
                  <c:v>1.7769487547937619</c:v>
                </c:pt>
                <c:pt idx="118">
                  <c:v>1.6303197035241082</c:v>
                </c:pt>
                <c:pt idx="119">
                  <c:v>1.6320456926654268</c:v>
                </c:pt>
                <c:pt idx="120">
                  <c:v>1.3748664039363065</c:v>
                </c:pt>
                <c:pt idx="121">
                  <c:v>1.2478899823445129</c:v>
                </c:pt>
                <c:pt idx="122">
                  <c:v>1.3697174971379911</c:v>
                </c:pt>
                <c:pt idx="123">
                  <c:v>1.3484726304477255</c:v>
                </c:pt>
                <c:pt idx="124">
                  <c:v>1.2766846708679951</c:v>
                </c:pt>
                <c:pt idx="125">
                  <c:v>1.2700257823039587</c:v>
                </c:pt>
                <c:pt idx="126">
                  <c:v>1.2728505658981619</c:v>
                </c:pt>
                <c:pt idx="127">
                  <c:v>1.1903792628013874</c:v>
                </c:pt>
                <c:pt idx="128">
                  <c:v>1.0136327612401834</c:v>
                </c:pt>
                <c:pt idx="129">
                  <c:v>1.3666683802379094</c:v>
                </c:pt>
                <c:pt idx="130">
                  <c:v>1.4315277973873699</c:v>
                </c:pt>
                <c:pt idx="131">
                  <c:v>1.350117696004338</c:v>
                </c:pt>
                <c:pt idx="132">
                  <c:v>1.3238553768421757</c:v>
                </c:pt>
                <c:pt idx="133">
                  <c:v>1.3295875097300152</c:v>
                </c:pt>
                <c:pt idx="134">
                  <c:v>1.326865973036879</c:v>
                </c:pt>
                <c:pt idx="135">
                  <c:v>1.2604939720368793</c:v>
                </c:pt>
                <c:pt idx="136">
                  <c:v>1.1715614790345426</c:v>
                </c:pt>
                <c:pt idx="137">
                  <c:v>1.2125936934945658</c:v>
                </c:pt>
                <c:pt idx="138">
                  <c:v>1.1951805464147829</c:v>
                </c:pt>
                <c:pt idx="139">
                  <c:v>1.1335864061857954</c:v>
                </c:pt>
                <c:pt idx="140">
                  <c:v>1.1986871756586637</c:v>
                </c:pt>
                <c:pt idx="141">
                  <c:v>1.169825904400648</c:v>
                </c:pt>
                <c:pt idx="142">
                  <c:v>1.0886577795107995</c:v>
                </c:pt>
                <c:pt idx="143">
                  <c:v>1.1493750215486993</c:v>
                </c:pt>
                <c:pt idx="144">
                  <c:v>1.2457925812238144</c:v>
                </c:pt>
                <c:pt idx="145">
                  <c:v>1.085470998397537</c:v>
                </c:pt>
                <c:pt idx="146">
                  <c:v>1.0452392328568918</c:v>
                </c:pt>
                <c:pt idx="147">
                  <c:v>1.0126723716040789</c:v>
                </c:pt>
                <c:pt idx="148">
                  <c:v>1.0115216523441846</c:v>
                </c:pt>
                <c:pt idx="149">
                  <c:v>0.96275010807751793</c:v>
                </c:pt>
                <c:pt idx="150">
                  <c:v>0.97220144577593048</c:v>
                </c:pt>
                <c:pt idx="151">
                  <c:v>1.0164089747642573</c:v>
                </c:pt>
                <c:pt idx="152">
                  <c:v>0.9874227184183858</c:v>
                </c:pt>
                <c:pt idx="153">
                  <c:v>0.98848946075881128</c:v>
                </c:pt>
                <c:pt idx="154">
                  <c:v>0.93221725709950776</c:v>
                </c:pt>
                <c:pt idx="155">
                  <c:v>0.99511907340710581</c:v>
                </c:pt>
                <c:pt idx="156">
                  <c:v>0.95123846795679423</c:v>
                </c:pt>
                <c:pt idx="157">
                  <c:v>1.0294810330120958</c:v>
                </c:pt>
                <c:pt idx="158">
                  <c:v>1.02892651684409</c:v>
                </c:pt>
                <c:pt idx="159">
                  <c:v>1.0161347537313716</c:v>
                </c:pt>
                <c:pt idx="160">
                  <c:v>1.0599426003178491</c:v>
                </c:pt>
                <c:pt idx="161">
                  <c:v>1.0809989283532542</c:v>
                </c:pt>
                <c:pt idx="162">
                  <c:v>0.96027258493008005</c:v>
                </c:pt>
                <c:pt idx="163">
                  <c:v>0.95726031665865141</c:v>
                </c:pt>
                <c:pt idx="164">
                  <c:v>1.0211484812667793</c:v>
                </c:pt>
                <c:pt idx="165">
                  <c:v>1.040517812108344</c:v>
                </c:pt>
                <c:pt idx="166">
                  <c:v>1.0078918705373012</c:v>
                </c:pt>
                <c:pt idx="167">
                  <c:v>0.98815970760396799</c:v>
                </c:pt>
                <c:pt idx="168">
                  <c:v>0.93020216464820438</c:v>
                </c:pt>
                <c:pt idx="169">
                  <c:v>0.95191703003973116</c:v>
                </c:pt>
                <c:pt idx="170">
                  <c:v>0.95826642091419256</c:v>
                </c:pt>
                <c:pt idx="171">
                  <c:v>0.93743523915934113</c:v>
                </c:pt>
                <c:pt idx="172">
                  <c:v>0.92466913270391948</c:v>
                </c:pt>
                <c:pt idx="173">
                  <c:v>0.96873925692142748</c:v>
                </c:pt>
                <c:pt idx="174">
                  <c:v>0.95110468255634817</c:v>
                </c:pt>
                <c:pt idx="175">
                  <c:v>0.91326433836933751</c:v>
                </c:pt>
                <c:pt idx="176">
                  <c:v>0.87708871823455736</c:v>
                </c:pt>
                <c:pt idx="177">
                  <c:v>0.8508015367800118</c:v>
                </c:pt>
                <c:pt idx="178">
                  <c:v>0.86173264292362717</c:v>
                </c:pt>
                <c:pt idx="179">
                  <c:v>0.84535955425803366</c:v>
                </c:pt>
                <c:pt idx="180">
                  <c:v>0.90089906850971224</c:v>
                </c:pt>
                <c:pt idx="181">
                  <c:v>0.86580935335290277</c:v>
                </c:pt>
                <c:pt idx="182">
                  <c:v>0.81727729869062871</c:v>
                </c:pt>
                <c:pt idx="183">
                  <c:v>0.78204042728216128</c:v>
                </c:pt>
                <c:pt idx="184">
                  <c:v>0.76813737668096105</c:v>
                </c:pt>
                <c:pt idx="185">
                  <c:v>0.72717264349194932</c:v>
                </c:pt>
                <c:pt idx="186">
                  <c:v>0.79766543672538726</c:v>
                </c:pt>
                <c:pt idx="187">
                  <c:v>0.76976405069796294</c:v>
                </c:pt>
                <c:pt idx="188">
                  <c:v>0.77107593050642731</c:v>
                </c:pt>
                <c:pt idx="189">
                  <c:v>0.73833226990068701</c:v>
                </c:pt>
                <c:pt idx="190">
                  <c:v>0.70078734382328001</c:v>
                </c:pt>
                <c:pt idx="191">
                  <c:v>0.66267830282513884</c:v>
                </c:pt>
                <c:pt idx="192">
                  <c:v>0.6852465681409009</c:v>
                </c:pt>
                <c:pt idx="193">
                  <c:v>0.73083910430833199</c:v>
                </c:pt>
                <c:pt idx="194">
                  <c:v>0.76799970654967276</c:v>
                </c:pt>
                <c:pt idx="195">
                  <c:v>0.76843311678495774</c:v>
                </c:pt>
                <c:pt idx="196">
                  <c:v>0.80701034787282766</c:v>
                </c:pt>
                <c:pt idx="197">
                  <c:v>0.82542056837942257</c:v>
                </c:pt>
                <c:pt idx="198">
                  <c:v>0.79197156543318858</c:v>
                </c:pt>
                <c:pt idx="199">
                  <c:v>0.80885689484798851</c:v>
                </c:pt>
                <c:pt idx="200">
                  <c:v>0.82432118693559098</c:v>
                </c:pt>
                <c:pt idx="201">
                  <c:v>0.81928841828657528</c:v>
                </c:pt>
                <c:pt idx="202">
                  <c:v>0.82667927210024872</c:v>
                </c:pt>
                <c:pt idx="203">
                  <c:v>0.80066768575863256</c:v>
                </c:pt>
                <c:pt idx="204">
                  <c:v>0.83541538289797035</c:v>
                </c:pt>
                <c:pt idx="205">
                  <c:v>0.85976372698709636</c:v>
                </c:pt>
                <c:pt idx="206">
                  <c:v>0.86697011586187478</c:v>
                </c:pt>
                <c:pt idx="207">
                  <c:v>0.90957798114831356</c:v>
                </c:pt>
                <c:pt idx="208">
                  <c:v>0.89804078972604962</c:v>
                </c:pt>
                <c:pt idx="209">
                  <c:v>0.86265439335066063</c:v>
                </c:pt>
                <c:pt idx="210">
                  <c:v>0.84520893702056954</c:v>
                </c:pt>
                <c:pt idx="211">
                  <c:v>0.87392958039226432</c:v>
                </c:pt>
                <c:pt idx="212">
                  <c:v>0.838580188363239</c:v>
                </c:pt>
                <c:pt idx="213">
                  <c:v>0.81569838187668853</c:v>
                </c:pt>
                <c:pt idx="214">
                  <c:v>0.77878119049121342</c:v>
                </c:pt>
                <c:pt idx="215">
                  <c:v>0.73793521802071671</c:v>
                </c:pt>
                <c:pt idx="216">
                  <c:v>0.71889272249462199</c:v>
                </c:pt>
                <c:pt idx="217">
                  <c:v>0.77813737672219729</c:v>
                </c:pt>
                <c:pt idx="218">
                  <c:v>0.75667353070748644</c:v>
                </c:pt>
                <c:pt idx="219">
                  <c:v>0.71669894970173931</c:v>
                </c:pt>
                <c:pt idx="220">
                  <c:v>0.7107932443427758</c:v>
                </c:pt>
                <c:pt idx="221">
                  <c:v>0.78898835120759347</c:v>
                </c:pt>
                <c:pt idx="222">
                  <c:v>0.76459946144144098</c:v>
                </c:pt>
                <c:pt idx="223">
                  <c:v>0.79287065664306378</c:v>
                </c:pt>
                <c:pt idx="224">
                  <c:v>0.8220309116327954</c:v>
                </c:pt>
                <c:pt idx="225">
                  <c:v>0.84294163779560183</c:v>
                </c:pt>
                <c:pt idx="226">
                  <c:v>0.87542237433449077</c:v>
                </c:pt>
                <c:pt idx="227">
                  <c:v>0.90938675427685622</c:v>
                </c:pt>
                <c:pt idx="228">
                  <c:v>0.86228705907085645</c:v>
                </c:pt>
                <c:pt idx="229">
                  <c:v>0.82397129630600541</c:v>
                </c:pt>
                <c:pt idx="230">
                  <c:v>0.81610723607617808</c:v>
                </c:pt>
                <c:pt idx="231">
                  <c:v>0.84551645155185651</c:v>
                </c:pt>
                <c:pt idx="232">
                  <c:v>0.87828762647792269</c:v>
                </c:pt>
                <c:pt idx="233">
                  <c:v>0.81803049068495892</c:v>
                </c:pt>
                <c:pt idx="234">
                  <c:v>0.77019805716916945</c:v>
                </c:pt>
                <c:pt idx="235">
                  <c:v>0.80592401838944216</c:v>
                </c:pt>
                <c:pt idx="236">
                  <c:v>0.78834867932775043</c:v>
                </c:pt>
                <c:pt idx="237">
                  <c:v>0.81757811795165547</c:v>
                </c:pt>
                <c:pt idx="238">
                  <c:v>0.83910985461977172</c:v>
                </c:pt>
                <c:pt idx="239">
                  <c:v>0.84362423422824673</c:v>
                </c:pt>
                <c:pt idx="240">
                  <c:v>0.84597012155332119</c:v>
                </c:pt>
                <c:pt idx="241">
                  <c:v>0.87212246947411509</c:v>
                </c:pt>
                <c:pt idx="242">
                  <c:v>0.8067493282181234</c:v>
                </c:pt>
                <c:pt idx="243">
                  <c:v>0.79466395515446298</c:v>
                </c:pt>
                <c:pt idx="244">
                  <c:v>0.82995108957248032</c:v>
                </c:pt>
                <c:pt idx="245">
                  <c:v>0.90466822127007895</c:v>
                </c:pt>
                <c:pt idx="246">
                  <c:v>0.9812963489109745</c:v>
                </c:pt>
                <c:pt idx="247">
                  <c:v>0.9173549577732163</c:v>
                </c:pt>
                <c:pt idx="248">
                  <c:v>0.88536343103119286</c:v>
                </c:pt>
                <c:pt idx="249">
                  <c:v>0.73119857023999013</c:v>
                </c:pt>
                <c:pt idx="250">
                  <c:v>0.75420241409352617</c:v>
                </c:pt>
                <c:pt idx="251">
                  <c:v>0.77187312827923737</c:v>
                </c:pt>
                <c:pt idx="252">
                  <c:v>0.81746096385477707</c:v>
                </c:pt>
                <c:pt idx="253">
                  <c:v>0.71957794758390314</c:v>
                </c:pt>
                <c:pt idx="254">
                  <c:v>0.8129591854241156</c:v>
                </c:pt>
                <c:pt idx="255">
                  <c:v>0.83962407915471571</c:v>
                </c:pt>
                <c:pt idx="256">
                  <c:v>0.86372747947372974</c:v>
                </c:pt>
                <c:pt idx="257">
                  <c:v>0.89741611163626334</c:v>
                </c:pt>
                <c:pt idx="258">
                  <c:v>0.9600994056544655</c:v>
                </c:pt>
                <c:pt idx="259">
                  <c:v>0.96131005143339399</c:v>
                </c:pt>
                <c:pt idx="260">
                  <c:v>0.97388846743895352</c:v>
                </c:pt>
                <c:pt idx="261">
                  <c:v>1.0834357887551869</c:v>
                </c:pt>
                <c:pt idx="262">
                  <c:v>0.92182050566373908</c:v>
                </c:pt>
                <c:pt idx="263">
                  <c:v>0.9744699615394663</c:v>
                </c:pt>
                <c:pt idx="264">
                  <c:v>0.97917750191459052</c:v>
                </c:pt>
                <c:pt idx="265">
                  <c:v>0.98421303120599379</c:v>
                </c:pt>
                <c:pt idx="266">
                  <c:v>1.2637678749634986</c:v>
                </c:pt>
                <c:pt idx="267">
                  <c:v>1.074273975272054</c:v>
                </c:pt>
                <c:pt idx="268">
                  <c:v>1.0034009503932046</c:v>
                </c:pt>
                <c:pt idx="269">
                  <c:v>1.1313410728398916</c:v>
                </c:pt>
                <c:pt idx="270">
                  <c:v>1.041740929521249</c:v>
                </c:pt>
                <c:pt idx="271">
                  <c:v>1.0482108912326831</c:v>
                </c:pt>
                <c:pt idx="272">
                  <c:v>1.0143174892775293</c:v>
                </c:pt>
                <c:pt idx="273">
                  <c:v>0.98680181211593476</c:v>
                </c:pt>
                <c:pt idx="274">
                  <c:v>0.9796718922561598</c:v>
                </c:pt>
                <c:pt idx="275">
                  <c:v>0.97968058984644846</c:v>
                </c:pt>
                <c:pt idx="276">
                  <c:v>0.94314694651169284</c:v>
                </c:pt>
                <c:pt idx="277">
                  <c:v>0.88815572568699208</c:v>
                </c:pt>
                <c:pt idx="278">
                  <c:v>0.89326053622965218</c:v>
                </c:pt>
                <c:pt idx="279">
                  <c:v>0.93406428396267704</c:v>
                </c:pt>
                <c:pt idx="280">
                  <c:v>0.9011923059883522</c:v>
                </c:pt>
                <c:pt idx="281">
                  <c:v>0.97919779289183684</c:v>
                </c:pt>
                <c:pt idx="282">
                  <c:v>1.0135221701372001</c:v>
                </c:pt>
                <c:pt idx="283">
                  <c:v>0.95893268376994611</c:v>
                </c:pt>
                <c:pt idx="284">
                  <c:v>1.0641370808532795</c:v>
                </c:pt>
                <c:pt idx="285">
                  <c:v>1.0428465701599452</c:v>
                </c:pt>
                <c:pt idx="286">
                  <c:v>1.0901442342488781</c:v>
                </c:pt>
                <c:pt idx="287">
                  <c:v>1.0470611260191276</c:v>
                </c:pt>
                <c:pt idx="288">
                  <c:v>1.0140386340361218</c:v>
                </c:pt>
                <c:pt idx="289">
                  <c:v>1.028553779612549</c:v>
                </c:pt>
                <c:pt idx="290">
                  <c:v>1.0026389328904501</c:v>
                </c:pt>
                <c:pt idx="291">
                  <c:v>1.0105674573142069</c:v>
                </c:pt>
                <c:pt idx="292">
                  <c:v>1.0352336359894625</c:v>
                </c:pt>
                <c:pt idx="293">
                  <c:v>1.082078951984337</c:v>
                </c:pt>
                <c:pt idx="294">
                  <c:v>1.0673084953944072</c:v>
                </c:pt>
                <c:pt idx="295">
                  <c:v>0.95795169932324131</c:v>
                </c:pt>
                <c:pt idx="296">
                  <c:v>0.96240507068175229</c:v>
                </c:pt>
                <c:pt idx="297">
                  <c:v>0.89226057698156924</c:v>
                </c:pt>
                <c:pt idx="298">
                  <c:v>0.78856684276758127</c:v>
                </c:pt>
                <c:pt idx="299">
                  <c:v>0.72948454273403462</c:v>
                </c:pt>
                <c:pt idx="300">
                  <c:v>0.7789017176065518</c:v>
                </c:pt>
                <c:pt idx="301">
                  <c:v>0.74767510378238011</c:v>
                </c:pt>
                <c:pt idx="302">
                  <c:v>0.81249118485240879</c:v>
                </c:pt>
                <c:pt idx="303">
                  <c:v>0.73591731655869208</c:v>
                </c:pt>
                <c:pt idx="304">
                  <c:v>0.80811733934182273</c:v>
                </c:pt>
                <c:pt idx="305">
                  <c:v>0.75854234191396064</c:v>
                </c:pt>
                <c:pt idx="306">
                  <c:v>0.73206842130716532</c:v>
                </c:pt>
                <c:pt idx="307">
                  <c:v>0.73182219913110313</c:v>
                </c:pt>
                <c:pt idx="308">
                  <c:v>0.6970113485052456</c:v>
                </c:pt>
                <c:pt idx="309">
                  <c:v>0.68816230846485937</c:v>
                </c:pt>
                <c:pt idx="310">
                  <c:v>0.7252480051451986</c:v>
                </c:pt>
                <c:pt idx="311">
                  <c:v>0.67624714125967367</c:v>
                </c:pt>
                <c:pt idx="312">
                  <c:v>0.71705513603435389</c:v>
                </c:pt>
                <c:pt idx="313">
                  <c:v>0.712852169622883</c:v>
                </c:pt>
                <c:pt idx="314">
                  <c:v>0.74468455055666682</c:v>
                </c:pt>
                <c:pt idx="315">
                  <c:v>0.79292220777950773</c:v>
                </c:pt>
                <c:pt idx="316">
                  <c:v>0.73421956298400115</c:v>
                </c:pt>
                <c:pt idx="317">
                  <c:v>0.68997812861077934</c:v>
                </c:pt>
                <c:pt idx="318">
                  <c:v>0.65174330690106219</c:v>
                </c:pt>
                <c:pt idx="319">
                  <c:v>0.66284865084007716</c:v>
                </c:pt>
                <c:pt idx="320">
                  <c:v>0.69919810647955094</c:v>
                </c:pt>
                <c:pt idx="321">
                  <c:v>0.65889250966518709</c:v>
                </c:pt>
                <c:pt idx="322">
                  <c:v>0.67877394335873253</c:v>
                </c:pt>
                <c:pt idx="323">
                  <c:v>0.62760725860373701</c:v>
                </c:pt>
                <c:pt idx="324">
                  <c:v>0.65431956422614823</c:v>
                </c:pt>
                <c:pt idx="325">
                  <c:v>0.62210693007544471</c:v>
                </c:pt>
                <c:pt idx="326">
                  <c:v>0.59701154652436428</c:v>
                </c:pt>
                <c:pt idx="327">
                  <c:v>0.58031598608849599</c:v>
                </c:pt>
                <c:pt idx="328">
                  <c:v>0.54598694925877767</c:v>
                </c:pt>
                <c:pt idx="329">
                  <c:v>0.5222558745461755</c:v>
                </c:pt>
                <c:pt idx="330">
                  <c:v>0.5385999082523969</c:v>
                </c:pt>
                <c:pt idx="331">
                  <c:v>0.53035222104233326</c:v>
                </c:pt>
                <c:pt idx="332">
                  <c:v>0.53559251972275546</c:v>
                </c:pt>
                <c:pt idx="333">
                  <c:v>0.5053557798334205</c:v>
                </c:pt>
                <c:pt idx="334">
                  <c:v>0.50308815712312061</c:v>
                </c:pt>
                <c:pt idx="335">
                  <c:v>0.51723708822103365</c:v>
                </c:pt>
                <c:pt idx="336">
                  <c:v>0.51042227472120838</c:v>
                </c:pt>
                <c:pt idx="337">
                  <c:v>0.54780819700062156</c:v>
                </c:pt>
                <c:pt idx="338">
                  <c:v>0.55696407921730828</c:v>
                </c:pt>
                <c:pt idx="339">
                  <c:v>0.55757397442111456</c:v>
                </c:pt>
                <c:pt idx="340">
                  <c:v>0.54746672741230096</c:v>
                </c:pt>
                <c:pt idx="341">
                  <c:v>0.54135173382375146</c:v>
                </c:pt>
                <c:pt idx="342">
                  <c:v>0.58597021630586643</c:v>
                </c:pt>
                <c:pt idx="343">
                  <c:v>0.5731813924258663</c:v>
                </c:pt>
                <c:pt idx="344">
                  <c:v>0.55530351353122875</c:v>
                </c:pt>
                <c:pt idx="345">
                  <c:v>0.49813422909388794</c:v>
                </c:pt>
                <c:pt idx="346">
                  <c:v>0.51094886285348762</c:v>
                </c:pt>
                <c:pt idx="347">
                  <c:v>0.51584292521038932</c:v>
                </c:pt>
                <c:pt idx="348">
                  <c:v>0.58347686756067607</c:v>
                </c:pt>
                <c:pt idx="349">
                  <c:v>0.41182583681379348</c:v>
                </c:pt>
                <c:pt idx="350">
                  <c:v>0.36019851353735444</c:v>
                </c:pt>
                <c:pt idx="351">
                  <c:v>0.29747001416546681</c:v>
                </c:pt>
                <c:pt idx="352">
                  <c:v>0.24609655883696316</c:v>
                </c:pt>
                <c:pt idx="353">
                  <c:v>0.18217065473656491</c:v>
                </c:pt>
                <c:pt idx="354">
                  <c:v>0.12044333082820087</c:v>
                </c:pt>
                <c:pt idx="355">
                  <c:v>0.1278063570208719</c:v>
                </c:pt>
                <c:pt idx="356">
                  <c:v>0.16635325848730692</c:v>
                </c:pt>
                <c:pt idx="357">
                  <c:v>9.4855468532556997E-2</c:v>
                </c:pt>
                <c:pt idx="358">
                  <c:v>7.1596358320353715E-2</c:v>
                </c:pt>
                <c:pt idx="359">
                  <c:v>-4.1089852713308769E-2</c:v>
                </c:pt>
                <c:pt idx="360">
                  <c:v>-2.1898971265252639E-2</c:v>
                </c:pt>
                <c:pt idx="361">
                  <c:v>-0.13946098556978992</c:v>
                </c:pt>
                <c:pt idx="362">
                  <c:v>-0.10441824843426432</c:v>
                </c:pt>
                <c:pt idx="363">
                  <c:v>-0.10795904862192233</c:v>
                </c:pt>
                <c:pt idx="364">
                  <c:v>-7.4582255336589118E-2</c:v>
                </c:pt>
                <c:pt idx="365">
                  <c:v>-9.3541775239761454E-2</c:v>
                </c:pt>
                <c:pt idx="366">
                  <c:v>-6.1929459116945355E-2</c:v>
                </c:pt>
                <c:pt idx="367">
                  <c:v>-5.5415312321536507E-2</c:v>
                </c:pt>
                <c:pt idx="368">
                  <c:v>9.7752434714326319E-3</c:v>
                </c:pt>
                <c:pt idx="369">
                  <c:v>3.5819661579915466E-2</c:v>
                </c:pt>
                <c:pt idx="370">
                  <c:v>1.9155782021399123E-4</c:v>
                </c:pt>
                <c:pt idx="371">
                  <c:v>-2.6185012408185462E-2</c:v>
                </c:pt>
                <c:pt idx="372">
                  <c:v>5.3008321001811472E-2</c:v>
                </c:pt>
                <c:pt idx="373">
                  <c:v>3.3653705803888656E-2</c:v>
                </c:pt>
                <c:pt idx="374">
                  <c:v>0.10104862439196867</c:v>
                </c:pt>
                <c:pt idx="375">
                  <c:v>2.9515855491594085E-2</c:v>
                </c:pt>
                <c:pt idx="376">
                  <c:v>-2.2668045664697559E-2</c:v>
                </c:pt>
                <c:pt idx="377">
                  <c:v>3.4096987563670557E-2</c:v>
                </c:pt>
                <c:pt idx="378">
                  <c:v>1.4260511698051511E-2</c:v>
                </c:pt>
                <c:pt idx="379">
                  <c:v>9.4503287649382976E-3</c:v>
                </c:pt>
                <c:pt idx="380">
                  <c:v>-2.1658589057642341E-2</c:v>
                </c:pt>
                <c:pt idx="381">
                  <c:v>-5.0139655493426833E-4</c:v>
                </c:pt>
                <c:pt idx="382">
                  <c:v>7.7465587700564021E-3</c:v>
                </c:pt>
                <c:pt idx="383">
                  <c:v>1.7120437066116913E-2</c:v>
                </c:pt>
                <c:pt idx="384">
                  <c:v>-1.8880820109335807E-2</c:v>
                </c:pt>
                <c:pt idx="385">
                  <c:v>-3.9163716154709212E-2</c:v>
                </c:pt>
                <c:pt idx="386">
                  <c:v>-6.5519707843623258E-3</c:v>
                </c:pt>
                <c:pt idx="387">
                  <c:v>-2.7450456196020684E-2</c:v>
                </c:pt>
                <c:pt idx="388">
                  <c:v>-6.2359799605993214E-2</c:v>
                </c:pt>
                <c:pt idx="389">
                  <c:v>-0.15083135849287413</c:v>
                </c:pt>
                <c:pt idx="390">
                  <c:v>-0.23030642659761727</c:v>
                </c:pt>
                <c:pt idx="391">
                  <c:v>-0.21265279665155978</c:v>
                </c:pt>
                <c:pt idx="392">
                  <c:v>-0.19578776172279264</c:v>
                </c:pt>
                <c:pt idx="393">
                  <c:v>-0.19878538336017754</c:v>
                </c:pt>
                <c:pt idx="394">
                  <c:v>-0.18753353158127031</c:v>
                </c:pt>
                <c:pt idx="395">
                  <c:v>-0.18493920225567287</c:v>
                </c:pt>
                <c:pt idx="396">
                  <c:v>-0.17428562463137159</c:v>
                </c:pt>
                <c:pt idx="397">
                  <c:v>-0.17654028876650676</c:v>
                </c:pt>
                <c:pt idx="398">
                  <c:v>-0.16646267691605693</c:v>
                </c:pt>
                <c:pt idx="399">
                  <c:v>-0.1522626471164012</c:v>
                </c:pt>
                <c:pt idx="400">
                  <c:v>-0.1935917912450017</c:v>
                </c:pt>
                <c:pt idx="401">
                  <c:v>-0.17400906755461759</c:v>
                </c:pt>
                <c:pt idx="402">
                  <c:v>-0.19257110973863806</c:v>
                </c:pt>
                <c:pt idx="403">
                  <c:v>-0.16730699043004321</c:v>
                </c:pt>
                <c:pt idx="404">
                  <c:v>-0.1572275014517785</c:v>
                </c:pt>
                <c:pt idx="405">
                  <c:v>-0.13928419548373402</c:v>
                </c:pt>
                <c:pt idx="406">
                  <c:v>-0.13830363012217256</c:v>
                </c:pt>
                <c:pt idx="407">
                  <c:v>-0.11428776399265125</c:v>
                </c:pt>
                <c:pt idx="408">
                  <c:v>-0.14089290425550835</c:v>
                </c:pt>
                <c:pt idx="409">
                  <c:v>-0.12677454491547485</c:v>
                </c:pt>
                <c:pt idx="410">
                  <c:v>-0.13016530286580844</c:v>
                </c:pt>
                <c:pt idx="411">
                  <c:v>-0.13720303935200692</c:v>
                </c:pt>
                <c:pt idx="412">
                  <c:v>-0.14822377639191692</c:v>
                </c:pt>
                <c:pt idx="413">
                  <c:v>-0.12569150939222001</c:v>
                </c:pt>
                <c:pt idx="414">
                  <c:v>-0.12118804048196365</c:v>
                </c:pt>
                <c:pt idx="415">
                  <c:v>-0.14410203526218077</c:v>
                </c:pt>
                <c:pt idx="416">
                  <c:v>-0.12304138598401906</c:v>
                </c:pt>
                <c:pt idx="417">
                  <c:v>-0.11210510503114328</c:v>
                </c:pt>
                <c:pt idx="418">
                  <c:v>-0.1149571439296927</c:v>
                </c:pt>
                <c:pt idx="419">
                  <c:v>-0.13989758019498708</c:v>
                </c:pt>
                <c:pt idx="420">
                  <c:v>-1.1580288346939091E-2</c:v>
                </c:pt>
                <c:pt idx="421">
                  <c:v>-1.3690328459073448E-2</c:v>
                </c:pt>
                <c:pt idx="422">
                  <c:v>-2.4474051782432064E-2</c:v>
                </c:pt>
                <c:pt idx="423">
                  <c:v>-4.4556053839603345E-3</c:v>
                </c:pt>
                <c:pt idx="424">
                  <c:v>-2.7694522613439954E-2</c:v>
                </c:pt>
                <c:pt idx="425">
                  <c:v>-3.6209369023139704E-2</c:v>
                </c:pt>
                <c:pt idx="426">
                  <c:v>-4.5316595768910006E-2</c:v>
                </c:pt>
                <c:pt idx="427">
                  <c:v>-4.9004282067991865E-2</c:v>
                </c:pt>
                <c:pt idx="428">
                  <c:v>-6.9910303038038125E-3</c:v>
                </c:pt>
                <c:pt idx="429">
                  <c:v>4.7448644617897343E-2</c:v>
                </c:pt>
                <c:pt idx="430">
                  <c:v>3.7991794880158136E-2</c:v>
                </c:pt>
                <c:pt idx="431">
                  <c:v>-1.1163373266054349E-2</c:v>
                </c:pt>
                <c:pt idx="432">
                  <c:v>-4.2209479515915461E-3</c:v>
                </c:pt>
                <c:pt idx="433">
                  <c:v>-8.0436702875189225E-2</c:v>
                </c:pt>
                <c:pt idx="434">
                  <c:v>-9.60000668894785E-2</c:v>
                </c:pt>
                <c:pt idx="435">
                  <c:v>-9.4202571242803498E-2</c:v>
                </c:pt>
                <c:pt idx="436">
                  <c:v>-9.2109270032108309E-2</c:v>
                </c:pt>
                <c:pt idx="437">
                  <c:v>-8.402068854797945E-2</c:v>
                </c:pt>
                <c:pt idx="438">
                  <c:v>-9.2558249045170474E-2</c:v>
                </c:pt>
                <c:pt idx="439">
                  <c:v>-8.4319477649062988E-2</c:v>
                </c:pt>
                <c:pt idx="440">
                  <c:v>-7.1282430068461661E-2</c:v>
                </c:pt>
                <c:pt idx="441">
                  <c:v>-9.1682796421208967E-2</c:v>
                </c:pt>
                <c:pt idx="442">
                  <c:v>-6.7807363650037755E-2</c:v>
                </c:pt>
                <c:pt idx="443">
                  <c:v>-6.0840905463670387E-2</c:v>
                </c:pt>
                <c:pt idx="444">
                  <c:v>-7.3056146276554892E-2</c:v>
                </c:pt>
                <c:pt idx="445">
                  <c:v>-7.83753514269592E-2</c:v>
                </c:pt>
                <c:pt idx="446">
                  <c:v>-8.0499139866038613E-2</c:v>
                </c:pt>
                <c:pt idx="447">
                  <c:v>-6.2795849458900765E-2</c:v>
                </c:pt>
                <c:pt idx="448">
                  <c:v>-8.1121973331383476E-2</c:v>
                </c:pt>
                <c:pt idx="449">
                  <c:v>-9.1188623414033387E-2</c:v>
                </c:pt>
                <c:pt idx="450">
                  <c:v>-8.6835311545144497E-2</c:v>
                </c:pt>
                <c:pt idx="451">
                  <c:v>-8.6824259668782683E-2</c:v>
                </c:pt>
                <c:pt idx="452">
                  <c:v>-8.0970151116937256E-2</c:v>
                </c:pt>
                <c:pt idx="453">
                  <c:v>-8.8360904801604995E-2</c:v>
                </c:pt>
                <c:pt idx="454">
                  <c:v>-8.7724897743986535E-2</c:v>
                </c:pt>
                <c:pt idx="455">
                  <c:v>-9.0418495961570242E-2</c:v>
                </c:pt>
                <c:pt idx="456">
                  <c:v>-8.2996601494537262E-2</c:v>
                </c:pt>
                <c:pt idx="457">
                  <c:v>-7.8542604306967551E-2</c:v>
                </c:pt>
                <c:pt idx="458">
                  <c:v>-7.6564830002947434E-2</c:v>
                </c:pt>
                <c:pt idx="459">
                  <c:v>-7.5614195220717148E-2</c:v>
                </c:pt>
                <c:pt idx="460">
                  <c:v>-7.3259540024976602E-2</c:v>
                </c:pt>
                <c:pt idx="461">
                  <c:v>-7.1932254756940067E-2</c:v>
                </c:pt>
                <c:pt idx="462">
                  <c:v>-7.2590181068462559E-2</c:v>
                </c:pt>
                <c:pt idx="463">
                  <c:v>-7.8782755870495214E-2</c:v>
                </c:pt>
                <c:pt idx="464">
                  <c:v>-7.848839682766498E-2</c:v>
                </c:pt>
                <c:pt idx="465">
                  <c:v>-7.1630099016113113E-2</c:v>
                </c:pt>
                <c:pt idx="466">
                  <c:v>-7.0438765317289126E-2</c:v>
                </c:pt>
                <c:pt idx="467">
                  <c:v>-7.4152076257366945E-2</c:v>
                </c:pt>
                <c:pt idx="468">
                  <c:v>-7.7750562838861614E-2</c:v>
                </c:pt>
                <c:pt idx="469">
                  <c:v>-6.7599109697728907E-2</c:v>
                </c:pt>
                <c:pt idx="470">
                  <c:v>-7.3606032935709678E-2</c:v>
                </c:pt>
                <c:pt idx="471">
                  <c:v>-6.7483859824101058E-2</c:v>
                </c:pt>
                <c:pt idx="472">
                  <c:v>-6.5210619021124308E-2</c:v>
                </c:pt>
                <c:pt idx="473">
                  <c:v>-6.7754494835607637E-2</c:v>
                </c:pt>
                <c:pt idx="474">
                  <c:v>-6.6681653951955203E-2</c:v>
                </c:pt>
                <c:pt idx="475">
                  <c:v>-5.5547505513831807E-2</c:v>
                </c:pt>
                <c:pt idx="476">
                  <c:v>-6.2569580563802643E-2</c:v>
                </c:pt>
                <c:pt idx="477">
                  <c:v>-7.9770455557971728E-2</c:v>
                </c:pt>
                <c:pt idx="478">
                  <c:v>-8.5067927057342813E-2</c:v>
                </c:pt>
                <c:pt idx="479">
                  <c:v>-6.8425164421904425E-2</c:v>
                </c:pt>
                <c:pt idx="480">
                  <c:v>-7.355240571803702E-2</c:v>
                </c:pt>
                <c:pt idx="481">
                  <c:v>-7.4046789835459495E-2</c:v>
                </c:pt>
                <c:pt idx="482">
                  <c:v>-6.2958077531125783E-2</c:v>
                </c:pt>
                <c:pt idx="483">
                  <c:v>-4.5344540331351886E-2</c:v>
                </c:pt>
                <c:pt idx="484">
                  <c:v>-3.2661148277051924E-2</c:v>
                </c:pt>
                <c:pt idx="485">
                  <c:v>-3.9758303330720439E-2</c:v>
                </c:pt>
                <c:pt idx="486">
                  <c:v>-4.6009926047322819E-2</c:v>
                </c:pt>
                <c:pt idx="487">
                  <c:v>-5.8255744496773565E-2</c:v>
                </c:pt>
                <c:pt idx="488">
                  <c:v>-6.4447585208173175E-2</c:v>
                </c:pt>
                <c:pt idx="489">
                  <c:v>-6.2047932293692043E-2</c:v>
                </c:pt>
                <c:pt idx="490">
                  <c:v>-6.8487674037818122E-2</c:v>
                </c:pt>
                <c:pt idx="491">
                  <c:v>-8.7306986463447436E-2</c:v>
                </c:pt>
                <c:pt idx="492">
                  <c:v>-4.5302846748516853E-2</c:v>
                </c:pt>
                <c:pt idx="493">
                  <c:v>-7.6917068727276133E-2</c:v>
                </c:pt>
                <c:pt idx="494">
                  <c:v>-6.2049704425830375E-2</c:v>
                </c:pt>
                <c:pt idx="495">
                  <c:v>-5.7659725549631072E-2</c:v>
                </c:pt>
                <c:pt idx="496">
                  <c:v>-5.8296242927981565E-2</c:v>
                </c:pt>
                <c:pt idx="497">
                  <c:v>-3.6804763402519904E-2</c:v>
                </c:pt>
                <c:pt idx="498">
                  <c:v>-2.7649912367602926E-2</c:v>
                </c:pt>
                <c:pt idx="499">
                  <c:v>-2.6175536446180203E-2</c:v>
                </c:pt>
                <c:pt idx="500">
                  <c:v>-1.2563966000052332E-2</c:v>
                </c:pt>
                <c:pt idx="501">
                  <c:v>-1.1784434355117298E-2</c:v>
                </c:pt>
                <c:pt idx="502">
                  <c:v>-4.3645635616854205E-3</c:v>
                </c:pt>
                <c:pt idx="503">
                  <c:v>-1.8346543762208921E-2</c:v>
                </c:pt>
                <c:pt idx="504">
                  <c:v>-2.5203584800773057E-2</c:v>
                </c:pt>
                <c:pt idx="505">
                  <c:v>-1.5607575708551128E-2</c:v>
                </c:pt>
                <c:pt idx="506">
                  <c:v>-3.7501209140314323E-2</c:v>
                </c:pt>
                <c:pt idx="507">
                  <c:v>-2.9567413603055839E-2</c:v>
                </c:pt>
                <c:pt idx="508">
                  <c:v>-2.5660045377620833E-2</c:v>
                </c:pt>
                <c:pt idx="509">
                  <c:v>-4.2990983381949739E-2</c:v>
                </c:pt>
                <c:pt idx="510">
                  <c:v>-2.2256077340859732E-2</c:v>
                </c:pt>
                <c:pt idx="511">
                  <c:v>-6.4701138281210657E-2</c:v>
                </c:pt>
                <c:pt idx="512">
                  <c:v>-3.2623078204162964E-2</c:v>
                </c:pt>
                <c:pt idx="513">
                  <c:v>-1.0898922741499921E-2</c:v>
                </c:pt>
                <c:pt idx="514">
                  <c:v>4.8175615665140567E-3</c:v>
                </c:pt>
                <c:pt idx="515">
                  <c:v>5.1970189896833399E-2</c:v>
                </c:pt>
                <c:pt idx="516">
                  <c:v>4.4935992510000897E-2</c:v>
                </c:pt>
                <c:pt idx="517">
                  <c:v>7.7552352680953562E-2</c:v>
                </c:pt>
                <c:pt idx="518">
                  <c:v>4.4763031932846954E-2</c:v>
                </c:pt>
                <c:pt idx="519">
                  <c:v>7.8076436444779906E-2</c:v>
                </c:pt>
                <c:pt idx="520">
                  <c:v>5.5942457750951573E-2</c:v>
                </c:pt>
                <c:pt idx="521">
                  <c:v>8.8010032914596165E-2</c:v>
                </c:pt>
                <c:pt idx="522">
                  <c:v>0.14004348369253919</c:v>
                </c:pt>
                <c:pt idx="523">
                  <c:v>0.21500380491966167</c:v>
                </c:pt>
                <c:pt idx="524">
                  <c:v>0.11864826153833762</c:v>
                </c:pt>
                <c:pt idx="525">
                  <c:v>0.5334428834460978</c:v>
                </c:pt>
                <c:pt idx="526">
                  <c:v>0.23215540816279209</c:v>
                </c:pt>
                <c:pt idx="527">
                  <c:v>0.11235527642261869</c:v>
                </c:pt>
                <c:pt idx="528">
                  <c:v>0.10874249499311046</c:v>
                </c:pt>
                <c:pt idx="529">
                  <c:v>0.24050152406581735</c:v>
                </c:pt>
                <c:pt idx="530">
                  <c:v>0.17964824127955123</c:v>
                </c:pt>
                <c:pt idx="531">
                  <c:v>0.18842635105800784</c:v>
                </c:pt>
                <c:pt idx="532">
                  <c:v>0.16408594171296972</c:v>
                </c:pt>
                <c:pt idx="533">
                  <c:v>0.15010046039245689</c:v>
                </c:pt>
                <c:pt idx="534">
                  <c:v>0.13981023321991398</c:v>
                </c:pt>
                <c:pt idx="535">
                  <c:v>0.14835353301868334</c:v>
                </c:pt>
                <c:pt idx="536">
                  <c:v>0.13530506481915011</c:v>
                </c:pt>
                <c:pt idx="537">
                  <c:v>0.11918105262193784</c:v>
                </c:pt>
                <c:pt idx="538">
                  <c:v>0.11197802450938728</c:v>
                </c:pt>
                <c:pt idx="539">
                  <c:v>0.11657601653982209</c:v>
                </c:pt>
                <c:pt idx="540">
                  <c:v>0.11175506927900204</c:v>
                </c:pt>
                <c:pt idx="541">
                  <c:v>0.11033185666276001</c:v>
                </c:pt>
                <c:pt idx="542">
                  <c:v>0.10425031278535336</c:v>
                </c:pt>
                <c:pt idx="543">
                  <c:v>0.10976880702274767</c:v>
                </c:pt>
                <c:pt idx="544">
                  <c:v>0.10554279063748032</c:v>
                </c:pt>
                <c:pt idx="545">
                  <c:v>9.1657865783879397E-2</c:v>
                </c:pt>
                <c:pt idx="546">
                  <c:v>9.5950016753267239E-2</c:v>
                </c:pt>
                <c:pt idx="547">
                  <c:v>9.1386372159612941E-2</c:v>
                </c:pt>
                <c:pt idx="548">
                  <c:v>0.10170981647061485</c:v>
                </c:pt>
                <c:pt idx="549">
                  <c:v>9.5813969212922595E-2</c:v>
                </c:pt>
                <c:pt idx="550">
                  <c:v>8.799097669525735E-2</c:v>
                </c:pt>
                <c:pt idx="551">
                  <c:v>9.5350326455910517E-2</c:v>
                </c:pt>
                <c:pt idx="552">
                  <c:v>9.5420221814557185E-2</c:v>
                </c:pt>
                <c:pt idx="553">
                  <c:v>0.10826188644598571</c:v>
                </c:pt>
                <c:pt idx="554">
                  <c:v>0.11821953554998575</c:v>
                </c:pt>
                <c:pt idx="555">
                  <c:v>0.10199846099101131</c:v>
                </c:pt>
                <c:pt idx="556">
                  <c:v>0.11196925129310341</c:v>
                </c:pt>
                <c:pt idx="557">
                  <c:v>0.11962611797213302</c:v>
                </c:pt>
                <c:pt idx="558">
                  <c:v>0.13124822902179745</c:v>
                </c:pt>
                <c:pt idx="559">
                  <c:v>0.11265228328638076</c:v>
                </c:pt>
                <c:pt idx="560">
                  <c:v>0.11193810240572233</c:v>
                </c:pt>
                <c:pt idx="561">
                  <c:v>0.11978133871631666</c:v>
                </c:pt>
                <c:pt idx="562">
                  <c:v>0.11967564595444162</c:v>
                </c:pt>
                <c:pt idx="563">
                  <c:v>0.11666785257047538</c:v>
                </c:pt>
                <c:pt idx="564">
                  <c:v>0.1227788807109009</c:v>
                </c:pt>
                <c:pt idx="565">
                  <c:v>0.12505493819794025</c:v>
                </c:pt>
                <c:pt idx="566">
                  <c:v>0.13010051674146961</c:v>
                </c:pt>
                <c:pt idx="567">
                  <c:v>0.12367782026600949</c:v>
                </c:pt>
                <c:pt idx="568">
                  <c:v>0.12751436410767619</c:v>
                </c:pt>
                <c:pt idx="569">
                  <c:v>0.11475878983663748</c:v>
                </c:pt>
                <c:pt idx="570">
                  <c:v>0.12018862847317002</c:v>
                </c:pt>
                <c:pt idx="571">
                  <c:v>0.10812139531443318</c:v>
                </c:pt>
                <c:pt idx="572">
                  <c:v>0.10488643578236874</c:v>
                </c:pt>
                <c:pt idx="573">
                  <c:v>9.6183215789358442E-2</c:v>
                </c:pt>
                <c:pt idx="574">
                  <c:v>8.7026143767118411E-2</c:v>
                </c:pt>
                <c:pt idx="575">
                  <c:v>9.422597450131652E-2</c:v>
                </c:pt>
                <c:pt idx="576">
                  <c:v>9.7463554755595275E-2</c:v>
                </c:pt>
                <c:pt idx="577">
                  <c:v>9.8387379515989137E-2</c:v>
                </c:pt>
                <c:pt idx="578">
                  <c:v>9.2376526627753822E-2</c:v>
                </c:pt>
                <c:pt idx="579">
                  <c:v>8.8248510146679643E-2</c:v>
                </c:pt>
                <c:pt idx="580">
                  <c:v>8.6120605857174209E-2</c:v>
                </c:pt>
                <c:pt idx="581">
                  <c:v>8.7016955839932811E-2</c:v>
                </c:pt>
                <c:pt idx="582">
                  <c:v>8.901806555237915E-2</c:v>
                </c:pt>
                <c:pt idx="583">
                  <c:v>9.2145958392025135E-2</c:v>
                </c:pt>
                <c:pt idx="584">
                  <c:v>0.10262696116156828</c:v>
                </c:pt>
                <c:pt idx="585">
                  <c:v>7.9777152342518101E-2</c:v>
                </c:pt>
                <c:pt idx="586">
                  <c:v>8.3472600736439043E-2</c:v>
                </c:pt>
                <c:pt idx="587">
                  <c:v>8.2753481058178174E-2</c:v>
                </c:pt>
                <c:pt idx="588">
                  <c:v>8.3463929946951607E-2</c:v>
                </c:pt>
                <c:pt idx="589">
                  <c:v>8.4678944612383719E-2</c:v>
                </c:pt>
                <c:pt idx="590">
                  <c:v>8.3355141973244756E-2</c:v>
                </c:pt>
                <c:pt idx="591">
                  <c:v>8.1387811024038442E-2</c:v>
                </c:pt>
                <c:pt idx="592">
                  <c:v>7.8975889163432386E-2</c:v>
                </c:pt>
                <c:pt idx="593">
                  <c:v>8.0361197781091506E-2</c:v>
                </c:pt>
                <c:pt idx="594">
                  <c:v>7.9279491941182195E-2</c:v>
                </c:pt>
                <c:pt idx="595">
                  <c:v>7.7533285010872477E-2</c:v>
                </c:pt>
                <c:pt idx="596">
                  <c:v>8.6215117789973456E-2</c:v>
                </c:pt>
                <c:pt idx="597">
                  <c:v>8.8467929804401366E-2</c:v>
                </c:pt>
                <c:pt idx="598">
                  <c:v>9.2292585869266267E-2</c:v>
                </c:pt>
                <c:pt idx="599">
                  <c:v>9.5034713386898506E-2</c:v>
                </c:pt>
                <c:pt idx="600">
                  <c:v>9.5375995579856265E-2</c:v>
                </c:pt>
                <c:pt idx="601">
                  <c:v>9.2109294965628349E-2</c:v>
                </c:pt>
                <c:pt idx="602">
                  <c:v>9.8529073666715289E-2</c:v>
                </c:pt>
                <c:pt idx="603">
                  <c:v>9.8812590635895578E-2</c:v>
                </c:pt>
                <c:pt idx="604">
                  <c:v>0.10752984566351466</c:v>
                </c:pt>
                <c:pt idx="605">
                  <c:v>9.2641020455025438E-2</c:v>
                </c:pt>
                <c:pt idx="606">
                  <c:v>4.4776191644407187E-2</c:v>
                </c:pt>
                <c:pt idx="607">
                  <c:v>5.0315054320933424E-2</c:v>
                </c:pt>
                <c:pt idx="608">
                  <c:v>4.7210684937708434E-2</c:v>
                </c:pt>
                <c:pt idx="609">
                  <c:v>5.7474367195831155E-2</c:v>
                </c:pt>
                <c:pt idx="610">
                  <c:v>6.6376792833608894E-2</c:v>
                </c:pt>
                <c:pt idx="611">
                  <c:v>8.0424424520870008E-2</c:v>
                </c:pt>
                <c:pt idx="612">
                  <c:v>8.776273076125643E-2</c:v>
                </c:pt>
                <c:pt idx="613">
                  <c:v>7.4277957916701665E-2</c:v>
                </c:pt>
                <c:pt idx="614">
                  <c:v>0.16103333936241743</c:v>
                </c:pt>
                <c:pt idx="615">
                  <c:v>0.21453647308686197</c:v>
                </c:pt>
                <c:pt idx="616">
                  <c:v>0.26104664301241998</c:v>
                </c:pt>
                <c:pt idx="617">
                  <c:v>0.11984945714952033</c:v>
                </c:pt>
                <c:pt idx="618">
                  <c:v>0.11672810604618709</c:v>
                </c:pt>
                <c:pt idx="619">
                  <c:v>5.1445342782623166E-2</c:v>
                </c:pt>
                <c:pt idx="620">
                  <c:v>3.967968935824661E-2</c:v>
                </c:pt>
                <c:pt idx="621">
                  <c:v>3.6453965249970077E-2</c:v>
                </c:pt>
                <c:pt idx="622">
                  <c:v>4.007670841258687E-2</c:v>
                </c:pt>
                <c:pt idx="623">
                  <c:v>9.0832518142316673E-2</c:v>
                </c:pt>
                <c:pt idx="624">
                  <c:v>4.899161664231666E-2</c:v>
                </c:pt>
                <c:pt idx="625">
                  <c:v>4.7136356669437662E-2</c:v>
                </c:pt>
                <c:pt idx="626">
                  <c:v>4.5801516379368384E-2</c:v>
                </c:pt>
                <c:pt idx="627">
                  <c:v>4.3078874047219502E-2</c:v>
                </c:pt>
                <c:pt idx="628">
                  <c:v>4.4918069639348294E-2</c:v>
                </c:pt>
                <c:pt idx="629">
                  <c:v>4.8667089991542296E-2</c:v>
                </c:pt>
                <c:pt idx="630">
                  <c:v>4.8725353582451392E-2</c:v>
                </c:pt>
                <c:pt idx="631">
                  <c:v>4.6735059731946346E-2</c:v>
                </c:pt>
                <c:pt idx="632">
                  <c:v>4.9719657234094321E-2</c:v>
                </c:pt>
                <c:pt idx="633">
                  <c:v>4.995088231606154E-2</c:v>
                </c:pt>
                <c:pt idx="634">
                  <c:v>4.7277535513091239E-2</c:v>
                </c:pt>
                <c:pt idx="635">
                  <c:v>4.9755384968865189E-2</c:v>
                </c:pt>
                <c:pt idx="636">
                  <c:v>4.7458234627401771E-2</c:v>
                </c:pt>
                <c:pt idx="637">
                  <c:v>4.8083108323717552E-2</c:v>
                </c:pt>
                <c:pt idx="638">
                  <c:v>6.1999477335340808E-2</c:v>
                </c:pt>
                <c:pt idx="639">
                  <c:v>5.0404398047803695E-2</c:v>
                </c:pt>
                <c:pt idx="640">
                  <c:v>4.8099931494937458E-2</c:v>
                </c:pt>
                <c:pt idx="641">
                  <c:v>4.9269669853609838E-2</c:v>
                </c:pt>
                <c:pt idx="642">
                  <c:v>4.6109614757313545E-2</c:v>
                </c:pt>
                <c:pt idx="643">
                  <c:v>4.2762844891300458E-2</c:v>
                </c:pt>
                <c:pt idx="644">
                  <c:v>4.0610222724752426E-2</c:v>
                </c:pt>
                <c:pt idx="645">
                  <c:v>4.1327411108085757E-2</c:v>
                </c:pt>
                <c:pt idx="646">
                  <c:v>3.9479258397497517E-2</c:v>
                </c:pt>
                <c:pt idx="647">
                  <c:v>4.3021535504293634E-2</c:v>
                </c:pt>
                <c:pt idx="648">
                  <c:v>4.5224322102126444E-2</c:v>
                </c:pt>
                <c:pt idx="649">
                  <c:v>4.6025545037318087E-2</c:v>
                </c:pt>
                <c:pt idx="650">
                  <c:v>4.3555508919795427E-2</c:v>
                </c:pt>
                <c:pt idx="651">
                  <c:v>4.3555508919795427E-2</c:v>
                </c:pt>
                <c:pt idx="652">
                  <c:v>3.8826805200547952E-2</c:v>
                </c:pt>
                <c:pt idx="653">
                  <c:v>3.9453337761838285E-2</c:v>
                </c:pt>
                <c:pt idx="654">
                  <c:v>4.0549238359838286E-2</c:v>
                </c:pt>
                <c:pt idx="655">
                  <c:v>4.0076338444453678E-2</c:v>
                </c:pt>
                <c:pt idx="656">
                  <c:v>4.0829058466304573E-2</c:v>
                </c:pt>
                <c:pt idx="657">
                  <c:v>4.0672152836674941E-2</c:v>
                </c:pt>
                <c:pt idx="658">
                  <c:v>4.3169189286344695E-2</c:v>
                </c:pt>
                <c:pt idx="659">
                  <c:v>4.4692713052302158E-2</c:v>
                </c:pt>
                <c:pt idx="660">
                  <c:v>4.3179063786025818E-2</c:v>
                </c:pt>
                <c:pt idx="661">
                  <c:v>4.6796753994076644E-2</c:v>
                </c:pt>
                <c:pt idx="662">
                  <c:v>4.1888942008053348E-2</c:v>
                </c:pt>
                <c:pt idx="663">
                  <c:v>4.2750489269028968E-2</c:v>
                </c:pt>
                <c:pt idx="664">
                  <c:v>4.2093044882853842E-2</c:v>
                </c:pt>
                <c:pt idx="665">
                  <c:v>4.5686392608992925E-2</c:v>
                </c:pt>
                <c:pt idx="666">
                  <c:v>4.2230873533668264E-2</c:v>
                </c:pt>
                <c:pt idx="667">
                  <c:v>4.0393991947917637E-2</c:v>
                </c:pt>
                <c:pt idx="668">
                  <c:v>3.9366388241857016E-2</c:v>
                </c:pt>
                <c:pt idx="669">
                  <c:v>3.8014802869763997E-2</c:v>
                </c:pt>
                <c:pt idx="670">
                  <c:v>3.9560158648477971E-2</c:v>
                </c:pt>
                <c:pt idx="671">
                  <c:v>3.7392681219530599E-2</c:v>
                </c:pt>
                <c:pt idx="672">
                  <c:v>3.9466077074076067E-2</c:v>
                </c:pt>
                <c:pt idx="673">
                  <c:v>3.7957267415526845E-2</c:v>
                </c:pt>
                <c:pt idx="674">
                  <c:v>3.8487415966007611E-2</c:v>
                </c:pt>
                <c:pt idx="675">
                  <c:v>3.353032230753096E-2</c:v>
                </c:pt>
                <c:pt idx="676">
                  <c:v>3.2076509587530957E-2</c:v>
                </c:pt>
                <c:pt idx="677">
                  <c:v>3.5366242836683499E-2</c:v>
                </c:pt>
                <c:pt idx="678">
                  <c:v>3.4868917071058499E-2</c:v>
                </c:pt>
                <c:pt idx="679">
                  <c:v>3.5845952621459773E-2</c:v>
                </c:pt>
                <c:pt idx="680">
                  <c:v>3.1617077463609408E-2</c:v>
                </c:pt>
                <c:pt idx="681">
                  <c:v>3.0016294120848469E-2</c:v>
                </c:pt>
                <c:pt idx="682">
                  <c:v>2.8137321174283577E-2</c:v>
                </c:pt>
                <c:pt idx="683">
                  <c:v>2.9723988908580298E-2</c:v>
                </c:pt>
                <c:pt idx="684">
                  <c:v>2.9896781027940297E-2</c:v>
                </c:pt>
                <c:pt idx="685">
                  <c:v>3.4485618270364539E-2</c:v>
                </c:pt>
                <c:pt idx="686">
                  <c:v>2.4959130244600711E-2</c:v>
                </c:pt>
                <c:pt idx="687">
                  <c:v>3.8058101363857559E-2</c:v>
                </c:pt>
                <c:pt idx="688">
                  <c:v>3.9002663800297238E-2</c:v>
                </c:pt>
                <c:pt idx="689">
                  <c:v>3.8624080399735437E-2</c:v>
                </c:pt>
                <c:pt idx="690">
                  <c:v>3.5587173442768738E-2</c:v>
                </c:pt>
                <c:pt idx="691">
                  <c:v>4.3805896064652024E-2</c:v>
                </c:pt>
                <c:pt idx="692">
                  <c:v>4.6620777118260272E-2</c:v>
                </c:pt>
                <c:pt idx="693">
                  <c:v>4.6096601228260273E-2</c:v>
                </c:pt>
                <c:pt idx="694">
                  <c:v>4.5864412044623909E-2</c:v>
                </c:pt>
                <c:pt idx="695">
                  <c:v>4.5347507884962897E-2</c:v>
                </c:pt>
                <c:pt idx="696">
                  <c:v>4.4882861677720556E-2</c:v>
                </c:pt>
                <c:pt idx="697">
                  <c:v>4.3066452626431891E-2</c:v>
                </c:pt>
                <c:pt idx="698">
                  <c:v>4.1833558020952455E-2</c:v>
                </c:pt>
                <c:pt idx="699">
                  <c:v>4.428467602095245E-2</c:v>
                </c:pt>
                <c:pt idx="700">
                  <c:v>4.5993535335742734E-2</c:v>
                </c:pt>
                <c:pt idx="701">
                  <c:v>4.4715546451259983E-2</c:v>
                </c:pt>
                <c:pt idx="702">
                  <c:v>4.836646570872101E-2</c:v>
                </c:pt>
                <c:pt idx="703">
                  <c:v>5.0832292096274663E-2</c:v>
                </c:pt>
                <c:pt idx="704">
                  <c:v>5.2119622666171574E-2</c:v>
                </c:pt>
                <c:pt idx="705">
                  <c:v>5.1768041674905181E-2</c:v>
                </c:pt>
                <c:pt idx="706">
                  <c:v>5.0644152847432664E-2</c:v>
                </c:pt>
                <c:pt idx="707">
                  <c:v>5.0772434494937284E-2</c:v>
                </c:pt>
                <c:pt idx="708">
                  <c:v>5.0622336176091486E-2</c:v>
                </c:pt>
                <c:pt idx="709">
                  <c:v>5.2897739864628437E-2</c:v>
                </c:pt>
                <c:pt idx="710">
                  <c:v>5.0921594191594727E-2</c:v>
                </c:pt>
                <c:pt idx="711">
                  <c:v>4.4559921425813005E-2</c:v>
                </c:pt>
                <c:pt idx="712">
                  <c:v>4.6431903420474124E-2</c:v>
                </c:pt>
                <c:pt idx="713">
                  <c:v>5.0056081540305164E-2</c:v>
                </c:pt>
                <c:pt idx="714">
                  <c:v>4.6854808909194051E-2</c:v>
                </c:pt>
                <c:pt idx="715">
                  <c:v>4.2468783591827097E-2</c:v>
                </c:pt>
                <c:pt idx="716">
                  <c:v>4.8137172826455417E-2</c:v>
                </c:pt>
                <c:pt idx="717">
                  <c:v>4.2000797336623243E-2</c:v>
                </c:pt>
                <c:pt idx="718">
                  <c:v>4.0438667736157584E-2</c:v>
                </c:pt>
                <c:pt idx="719">
                  <c:v>4.0419755208839281E-2</c:v>
                </c:pt>
                <c:pt idx="720">
                  <c:v>3.6471882673975886E-2</c:v>
                </c:pt>
                <c:pt idx="721">
                  <c:v>3.8848679021594917E-2</c:v>
                </c:pt>
                <c:pt idx="722">
                  <c:v>3.5846122467957812E-2</c:v>
                </c:pt>
                <c:pt idx="723">
                  <c:v>3.3383614878986126E-2</c:v>
                </c:pt>
                <c:pt idx="724">
                  <c:v>3.2162850074179912E-2</c:v>
                </c:pt>
                <c:pt idx="725">
                  <c:v>3.1353366688563492E-2</c:v>
                </c:pt>
                <c:pt idx="726">
                  <c:v>3.3086260849499852E-2</c:v>
                </c:pt>
                <c:pt idx="727">
                  <c:v>3.1249949844737966E-2</c:v>
                </c:pt>
                <c:pt idx="728">
                  <c:v>3.0770857632723171E-2</c:v>
                </c:pt>
                <c:pt idx="729">
                  <c:v>2.7490779853379801E-2</c:v>
                </c:pt>
                <c:pt idx="730">
                  <c:v>2.6201422602415626E-2</c:v>
                </c:pt>
                <c:pt idx="731">
                  <c:v>2.53164001581732E-2</c:v>
                </c:pt>
                <c:pt idx="732">
                  <c:v>2.60821505208675E-2</c:v>
                </c:pt>
                <c:pt idx="733">
                  <c:v>2.5408267241145834E-2</c:v>
                </c:pt>
                <c:pt idx="734">
                  <c:v>2.5468088996375957E-2</c:v>
                </c:pt>
                <c:pt idx="735">
                  <c:v>2.3968324621928008E-2</c:v>
                </c:pt>
                <c:pt idx="736">
                  <c:v>2.5574599656848638E-2</c:v>
                </c:pt>
                <c:pt idx="737">
                  <c:v>2.7300371890021713E-2</c:v>
                </c:pt>
                <c:pt idx="738">
                  <c:v>2.4299792953013842E-2</c:v>
                </c:pt>
                <c:pt idx="739">
                  <c:v>2.3590756283720905E-2</c:v>
                </c:pt>
                <c:pt idx="740">
                  <c:v>2.468440119293935E-2</c:v>
                </c:pt>
                <c:pt idx="741">
                  <c:v>2.6633840813274558E-2</c:v>
                </c:pt>
                <c:pt idx="742">
                  <c:v>1.9724611097946088E-2</c:v>
                </c:pt>
                <c:pt idx="743">
                  <c:v>1.929249632981999E-2</c:v>
                </c:pt>
                <c:pt idx="744">
                  <c:v>1.5426278029819988E-2</c:v>
                </c:pt>
                <c:pt idx="745">
                  <c:v>1.0992835051358457E-2</c:v>
                </c:pt>
                <c:pt idx="746">
                  <c:v>1.1570550003642717E-2</c:v>
                </c:pt>
                <c:pt idx="747">
                  <c:v>1.0369282103642716E-2</c:v>
                </c:pt>
                <c:pt idx="748">
                  <c:v>1.0384030461732901E-2</c:v>
                </c:pt>
                <c:pt idx="749">
                  <c:v>9.5639400055166773E-3</c:v>
                </c:pt>
                <c:pt idx="750">
                  <c:v>1.0092277361241873E-2</c:v>
                </c:pt>
                <c:pt idx="751">
                  <c:v>1.0574963567687544E-2</c:v>
                </c:pt>
                <c:pt idx="752">
                  <c:v>1.2179732371917152E-2</c:v>
                </c:pt>
                <c:pt idx="753">
                  <c:v>9.7955317719171531E-3</c:v>
                </c:pt>
                <c:pt idx="754">
                  <c:v>9.9913027953405734E-3</c:v>
                </c:pt>
                <c:pt idx="755">
                  <c:v>1.0439012049721237E-2</c:v>
                </c:pt>
                <c:pt idx="756">
                  <c:v>9.1318359957677474E-3</c:v>
                </c:pt>
                <c:pt idx="757">
                  <c:v>1.0086612831179219E-2</c:v>
                </c:pt>
                <c:pt idx="758">
                  <c:v>9.6776883376308367E-3</c:v>
                </c:pt>
                <c:pt idx="759">
                  <c:v>1.0633342138523693E-2</c:v>
                </c:pt>
                <c:pt idx="760">
                  <c:v>1.181843663852369E-2</c:v>
                </c:pt>
                <c:pt idx="761">
                  <c:v>1.1056118953805191E-2</c:v>
                </c:pt>
                <c:pt idx="762">
                  <c:v>1.1403434969594657E-2</c:v>
                </c:pt>
                <c:pt idx="763">
                  <c:v>1.0309479236261318E-2</c:v>
                </c:pt>
                <c:pt idx="764">
                  <c:v>1.0645547940058784E-2</c:v>
                </c:pt>
                <c:pt idx="765">
                  <c:v>1.0899637382681735E-2</c:v>
                </c:pt>
                <c:pt idx="766">
                  <c:v>1.121321762762556E-2</c:v>
                </c:pt>
                <c:pt idx="767">
                  <c:v>1.2167414828601172E-2</c:v>
                </c:pt>
                <c:pt idx="768">
                  <c:v>1.2023407154916966E-2</c:v>
                </c:pt>
                <c:pt idx="769">
                  <c:v>1.2097006853931743E-2</c:v>
                </c:pt>
                <c:pt idx="770">
                  <c:v>1.1670259190773849E-2</c:v>
                </c:pt>
                <c:pt idx="771">
                  <c:v>1.2637748050277984E-2</c:v>
                </c:pt>
                <c:pt idx="772">
                  <c:v>9.6790434366027748E-3</c:v>
                </c:pt>
                <c:pt idx="773">
                  <c:v>1.2164808221827051E-2</c:v>
                </c:pt>
                <c:pt idx="774">
                  <c:v>1.3249232422434955E-2</c:v>
                </c:pt>
                <c:pt idx="775">
                  <c:v>1.2890709601006382E-2</c:v>
                </c:pt>
                <c:pt idx="776">
                  <c:v>1.3273510614844497E-2</c:v>
                </c:pt>
                <c:pt idx="777">
                  <c:v>1.4199169002344501E-2</c:v>
                </c:pt>
                <c:pt idx="778">
                  <c:v>1.453003642988073E-2</c:v>
                </c:pt>
                <c:pt idx="779">
                  <c:v>1.5190883775948143E-2</c:v>
                </c:pt>
                <c:pt idx="780">
                  <c:v>1.4675379499757668E-2</c:v>
                </c:pt>
                <c:pt idx="781">
                  <c:v>1.5493762807591767E-2</c:v>
                </c:pt>
                <c:pt idx="782">
                  <c:v>1.5189231598022386E-2</c:v>
                </c:pt>
                <c:pt idx="783">
                  <c:v>1.5664322852977343E-2</c:v>
                </c:pt>
                <c:pt idx="784">
                  <c:v>1.4820718574716472E-2</c:v>
                </c:pt>
                <c:pt idx="785">
                  <c:v>1.3893252676249038E-2</c:v>
                </c:pt>
                <c:pt idx="786">
                  <c:v>1.5180699760407451E-2</c:v>
                </c:pt>
                <c:pt idx="787">
                  <c:v>1.4953035902074115E-2</c:v>
                </c:pt>
                <c:pt idx="788">
                  <c:v>1.5082634614269234E-2</c:v>
                </c:pt>
                <c:pt idx="789">
                  <c:v>1.5038457470519233E-2</c:v>
                </c:pt>
                <c:pt idx="790">
                  <c:v>1.5693326794609355E-2</c:v>
                </c:pt>
                <c:pt idx="791">
                  <c:v>1.5452939841045205E-2</c:v>
                </c:pt>
                <c:pt idx="792">
                  <c:v>1.5719169236878536E-2</c:v>
                </c:pt>
                <c:pt idx="793">
                  <c:v>1.4723895265103312E-2</c:v>
                </c:pt>
                <c:pt idx="794">
                  <c:v>1.3832639500341415E-2</c:v>
                </c:pt>
                <c:pt idx="795">
                  <c:v>1.2835963486348882E-2</c:v>
                </c:pt>
                <c:pt idx="796">
                  <c:v>1.4405813360778105E-2</c:v>
                </c:pt>
                <c:pt idx="797">
                  <c:v>1.329012333742044E-2</c:v>
                </c:pt>
                <c:pt idx="798">
                  <c:v>1.3270650309126887E-2</c:v>
                </c:pt>
                <c:pt idx="799">
                  <c:v>1.3724914009126886E-2</c:v>
                </c:pt>
                <c:pt idx="800">
                  <c:v>1.4833928100638822E-2</c:v>
                </c:pt>
                <c:pt idx="801">
                  <c:v>1.5886186328244449E-2</c:v>
                </c:pt>
                <c:pt idx="802">
                  <c:v>1.7362981642413171E-2</c:v>
                </c:pt>
                <c:pt idx="803">
                  <c:v>1.6508706465409695E-2</c:v>
                </c:pt>
                <c:pt idx="804">
                  <c:v>1.5646863123743037E-2</c:v>
                </c:pt>
                <c:pt idx="805">
                  <c:v>1.7613080315794175E-2</c:v>
                </c:pt>
                <c:pt idx="806">
                  <c:v>1.6506537898402875E-2</c:v>
                </c:pt>
                <c:pt idx="807">
                  <c:v>1.5889082625056183E-2</c:v>
                </c:pt>
                <c:pt idx="808">
                  <c:v>1.7679143524318174E-2</c:v>
                </c:pt>
                <c:pt idx="809">
                  <c:v>1.8416874382651507E-2</c:v>
                </c:pt>
                <c:pt idx="810">
                  <c:v>1.7524691205039567E-2</c:v>
                </c:pt>
                <c:pt idx="811">
                  <c:v>1.7171703705039561E-2</c:v>
                </c:pt>
                <c:pt idx="812">
                  <c:v>1.7635075201809753E-2</c:v>
                </c:pt>
                <c:pt idx="813">
                  <c:v>1.8222426185843365E-2</c:v>
                </c:pt>
                <c:pt idx="814">
                  <c:v>2.0912720980237134E-2</c:v>
                </c:pt>
                <c:pt idx="815">
                  <c:v>2.0328094077153438E-2</c:v>
                </c:pt>
                <c:pt idx="816">
                  <c:v>1.9322000819280226E-2</c:v>
                </c:pt>
                <c:pt idx="817">
                  <c:v>1.9840869574037513E-2</c:v>
                </c:pt>
                <c:pt idx="818">
                  <c:v>1.9050583509593058E-2</c:v>
                </c:pt>
                <c:pt idx="819">
                  <c:v>1.777619036929174E-2</c:v>
                </c:pt>
                <c:pt idx="820">
                  <c:v>1.8883947787232458E-2</c:v>
                </c:pt>
                <c:pt idx="821">
                  <c:v>1.9819398080616932E-2</c:v>
                </c:pt>
                <c:pt idx="822">
                  <c:v>2.5063229768815691E-2</c:v>
                </c:pt>
                <c:pt idx="823">
                  <c:v>2.3257604362775807E-2</c:v>
                </c:pt>
                <c:pt idx="824">
                  <c:v>2.0565785391290656E-2</c:v>
                </c:pt>
                <c:pt idx="825">
                  <c:v>2.1835511234192209E-2</c:v>
                </c:pt>
                <c:pt idx="826">
                  <c:v>1.9578336059778805E-2</c:v>
                </c:pt>
                <c:pt idx="827">
                  <c:v>1.6974745055393908E-2</c:v>
                </c:pt>
                <c:pt idx="828">
                  <c:v>1.8241598340086505E-2</c:v>
                </c:pt>
                <c:pt idx="829">
                  <c:v>1.9226930219345767E-2</c:v>
                </c:pt>
                <c:pt idx="830">
                  <c:v>1.8886092958516267E-2</c:v>
                </c:pt>
                <c:pt idx="831">
                  <c:v>1.7787232847607179E-2</c:v>
                </c:pt>
                <c:pt idx="832">
                  <c:v>1.8083180961095551E-2</c:v>
                </c:pt>
                <c:pt idx="833">
                  <c:v>1.9069657583786846E-2</c:v>
                </c:pt>
                <c:pt idx="834">
                  <c:v>1.794523111319862E-2</c:v>
                </c:pt>
                <c:pt idx="835">
                  <c:v>1.8566592973663733E-2</c:v>
                </c:pt>
                <c:pt idx="836">
                  <c:v>2.0074732656578304E-2</c:v>
                </c:pt>
                <c:pt idx="837">
                  <c:v>1.9740728945734941E-2</c:v>
                </c:pt>
                <c:pt idx="838">
                  <c:v>2.0089272400987859E-2</c:v>
                </c:pt>
                <c:pt idx="839">
                  <c:v>2.0542978200987862E-2</c:v>
                </c:pt>
                <c:pt idx="840">
                  <c:v>2.2111513043430609E-2</c:v>
                </c:pt>
                <c:pt idx="841">
                  <c:v>2.2448354340019096E-2</c:v>
                </c:pt>
                <c:pt idx="842">
                  <c:v>2.2634485515897317E-2</c:v>
                </c:pt>
                <c:pt idx="843">
                  <c:v>2.2202728752563978E-2</c:v>
                </c:pt>
                <c:pt idx="844">
                  <c:v>1.9211937539512849E-2</c:v>
                </c:pt>
                <c:pt idx="845">
                  <c:v>1.7280556077319719E-2</c:v>
                </c:pt>
                <c:pt idx="846">
                  <c:v>1.6844540408706581E-2</c:v>
                </c:pt>
                <c:pt idx="847">
                  <c:v>1.6494065950063252E-2</c:v>
                </c:pt>
                <c:pt idx="848">
                  <c:v>1.6651723898781199E-2</c:v>
                </c:pt>
                <c:pt idx="849">
                  <c:v>1.5994899449628654E-2</c:v>
                </c:pt>
                <c:pt idx="850">
                  <c:v>1.6893042438058406E-2</c:v>
                </c:pt>
                <c:pt idx="851">
                  <c:v>1.5866993877868833E-2</c:v>
                </c:pt>
                <c:pt idx="852">
                  <c:v>1.5983589678884063E-2</c:v>
                </c:pt>
                <c:pt idx="853">
                  <c:v>1.5740036072527091E-2</c:v>
                </c:pt>
                <c:pt idx="854">
                  <c:v>1.4763206300341664E-2</c:v>
                </c:pt>
                <c:pt idx="855">
                  <c:v>1.4293341457899103E-2</c:v>
                </c:pt>
                <c:pt idx="856">
                  <c:v>1.2511083941949028E-2</c:v>
                </c:pt>
                <c:pt idx="857">
                  <c:v>1.5325822514058307E-2</c:v>
                </c:pt>
                <c:pt idx="858">
                  <c:v>1.6665864116093193E-2</c:v>
                </c:pt>
                <c:pt idx="859">
                  <c:v>1.7985919807002291E-2</c:v>
                </c:pt>
                <c:pt idx="860">
                  <c:v>1.8986226600358935E-2</c:v>
                </c:pt>
                <c:pt idx="861">
                  <c:v>1.8793494796304877E-2</c:v>
                </c:pt>
                <c:pt idx="862">
                  <c:v>1.8255156943394829E-2</c:v>
                </c:pt>
                <c:pt idx="863">
                  <c:v>1.6633199234460824E-2</c:v>
                </c:pt>
                <c:pt idx="864">
                  <c:v>1.5378892019447416E-2</c:v>
                </c:pt>
                <c:pt idx="865">
                  <c:v>1.5036156458043902E-2</c:v>
                </c:pt>
                <c:pt idx="866">
                  <c:v>1.5127722367643899E-2</c:v>
                </c:pt>
                <c:pt idx="867">
                  <c:v>1.4830159902230364E-2</c:v>
                </c:pt>
                <c:pt idx="868">
                  <c:v>1.4584256473658932E-2</c:v>
                </c:pt>
                <c:pt idx="869">
                  <c:v>1.4151935067878582E-2</c:v>
                </c:pt>
                <c:pt idx="870">
                  <c:v>1.4608697336470642E-2</c:v>
                </c:pt>
                <c:pt idx="871">
                  <c:v>1.5150163613182966E-2</c:v>
                </c:pt>
                <c:pt idx="872">
                  <c:v>1.4806095841516308E-2</c:v>
                </c:pt>
                <c:pt idx="873">
                  <c:v>1.4281831900227519E-2</c:v>
                </c:pt>
                <c:pt idx="874">
                  <c:v>1.373330169685673E-2</c:v>
                </c:pt>
                <c:pt idx="875">
                  <c:v>1.4443355291793442E-2</c:v>
                </c:pt>
                <c:pt idx="876">
                  <c:v>1.5732795966303247E-2</c:v>
                </c:pt>
                <c:pt idx="877">
                  <c:v>1.5600848141729035E-2</c:v>
                </c:pt>
                <c:pt idx="878">
                  <c:v>1.5792638776014754E-2</c:v>
                </c:pt>
                <c:pt idx="879">
                  <c:v>1.5270614726445787E-2</c:v>
                </c:pt>
                <c:pt idx="880">
                  <c:v>1.5548893265968335E-2</c:v>
                </c:pt>
                <c:pt idx="881">
                  <c:v>1.518052387786635E-2</c:v>
                </c:pt>
                <c:pt idx="882">
                  <c:v>1.5026091854751993E-2</c:v>
                </c:pt>
                <c:pt idx="883">
                  <c:v>1.5076858496797452E-2</c:v>
                </c:pt>
                <c:pt idx="884">
                  <c:v>1.7000535918285063E-2</c:v>
                </c:pt>
                <c:pt idx="885">
                  <c:v>1.7746990472776961E-2</c:v>
                </c:pt>
                <c:pt idx="886">
                  <c:v>1.8438403730149617E-2</c:v>
                </c:pt>
                <c:pt idx="887">
                  <c:v>2.0073332102533831E-2</c:v>
                </c:pt>
                <c:pt idx="888">
                  <c:v>1.8637905898063838E-2</c:v>
                </c:pt>
                <c:pt idx="889">
                  <c:v>1.8793391608408667E-2</c:v>
                </c:pt>
                <c:pt idx="890">
                  <c:v>1.7778980398375582E-2</c:v>
                </c:pt>
                <c:pt idx="891">
                  <c:v>1.7635271686817278E-2</c:v>
                </c:pt>
                <c:pt idx="892">
                  <c:v>1.7759424000216774E-2</c:v>
                </c:pt>
                <c:pt idx="893">
                  <c:v>1.7631440420838706E-2</c:v>
                </c:pt>
                <c:pt idx="894">
                  <c:v>1.6651237634977525E-2</c:v>
                </c:pt>
                <c:pt idx="895">
                  <c:v>1.5752050362755302E-2</c:v>
                </c:pt>
                <c:pt idx="896">
                  <c:v>1.5263391037312467E-2</c:v>
                </c:pt>
                <c:pt idx="897">
                  <c:v>1.4854370656483448E-2</c:v>
                </c:pt>
                <c:pt idx="898">
                  <c:v>1.8975233624483449E-2</c:v>
                </c:pt>
                <c:pt idx="899">
                  <c:v>1.8867220805989179E-2</c:v>
                </c:pt>
                <c:pt idx="900">
                  <c:v>1.9196041397405487E-2</c:v>
                </c:pt>
                <c:pt idx="901">
                  <c:v>1.7601265162353937E-2</c:v>
                </c:pt>
                <c:pt idx="902">
                  <c:v>1.7612833144473147E-2</c:v>
                </c:pt>
                <c:pt idx="903">
                  <c:v>1.8637793357949409E-2</c:v>
                </c:pt>
                <c:pt idx="904">
                  <c:v>1.9338568321053729E-2</c:v>
                </c:pt>
                <c:pt idx="905">
                  <c:v>1.9523490229827401E-2</c:v>
                </c:pt>
                <c:pt idx="906">
                  <c:v>2.0471210515489828E-2</c:v>
                </c:pt>
                <c:pt idx="907">
                  <c:v>2.0743072922231407E-2</c:v>
                </c:pt>
                <c:pt idx="908">
                  <c:v>2.0548173088898072E-2</c:v>
                </c:pt>
                <c:pt idx="909">
                  <c:v>2.0594061461568881E-2</c:v>
                </c:pt>
                <c:pt idx="910">
                  <c:v>2.0611809885335699E-2</c:v>
                </c:pt>
                <c:pt idx="911">
                  <c:v>2.0998438920868692E-2</c:v>
                </c:pt>
                <c:pt idx="912">
                  <c:v>2.010615027929941E-2</c:v>
                </c:pt>
                <c:pt idx="913">
                  <c:v>1.9841632694766485E-2</c:v>
                </c:pt>
                <c:pt idx="914">
                  <c:v>1.9905171157251107E-2</c:v>
                </c:pt>
                <c:pt idx="915">
                  <c:v>1.9264542006919981E-2</c:v>
                </c:pt>
                <c:pt idx="916">
                  <c:v>2.1941558665622685E-2</c:v>
                </c:pt>
                <c:pt idx="917">
                  <c:v>2.1501478915622679E-2</c:v>
                </c:pt>
                <c:pt idx="918">
                  <c:v>2.2405036423364628E-2</c:v>
                </c:pt>
                <c:pt idx="919">
                  <c:v>1.8974557142662881E-2</c:v>
                </c:pt>
                <c:pt idx="920">
                  <c:v>2.1759424408855612E-2</c:v>
                </c:pt>
                <c:pt idx="921">
                  <c:v>2.2232906652734783E-2</c:v>
                </c:pt>
                <c:pt idx="922">
                  <c:v>2.1442721745385942E-2</c:v>
                </c:pt>
                <c:pt idx="923">
                  <c:v>2.0805434762240574E-2</c:v>
                </c:pt>
                <c:pt idx="924">
                  <c:v>1.8746112605783002E-2</c:v>
                </c:pt>
                <c:pt idx="925">
                  <c:v>1.5875668889867738E-2</c:v>
                </c:pt>
                <c:pt idx="926">
                  <c:v>1.5355583329914302E-2</c:v>
                </c:pt>
                <c:pt idx="927">
                  <c:v>1.8638914047334098E-2</c:v>
                </c:pt>
                <c:pt idx="928">
                  <c:v>1.3700089434906236E-2</c:v>
                </c:pt>
                <c:pt idx="929">
                  <c:v>1.9688174534906237E-2</c:v>
                </c:pt>
                <c:pt idx="930">
                  <c:v>2.036772671985047E-2</c:v>
                </c:pt>
                <c:pt idx="931">
                  <c:v>1.8512231011635176E-2</c:v>
                </c:pt>
                <c:pt idx="932">
                  <c:v>2.1990749773672456E-2</c:v>
                </c:pt>
                <c:pt idx="933">
                  <c:v>2.3380587517293008E-2</c:v>
                </c:pt>
                <c:pt idx="934">
                  <c:v>2.6020647157159748E-2</c:v>
                </c:pt>
                <c:pt idx="935">
                  <c:v>2.4315415845576119E-2</c:v>
                </c:pt>
                <c:pt idx="936">
                  <c:v>2.3676650240640112E-2</c:v>
                </c:pt>
                <c:pt idx="937">
                  <c:v>2.3396978981903439E-2</c:v>
                </c:pt>
                <c:pt idx="938">
                  <c:v>2.3205388178810644E-2</c:v>
                </c:pt>
                <c:pt idx="939">
                  <c:v>2.5437402950061295E-2</c:v>
                </c:pt>
                <c:pt idx="940">
                  <c:v>2.2767479436405186E-2</c:v>
                </c:pt>
                <c:pt idx="941">
                  <c:v>2.1386937077826258E-2</c:v>
                </c:pt>
                <c:pt idx="942">
                  <c:v>2.1817472841798746E-2</c:v>
                </c:pt>
                <c:pt idx="943">
                  <c:v>2.6196978814883528E-2</c:v>
                </c:pt>
                <c:pt idx="944">
                  <c:v>1.7487629432574033E-2</c:v>
                </c:pt>
                <c:pt idx="945">
                  <c:v>1.2802970413378426E-2</c:v>
                </c:pt>
                <c:pt idx="946">
                  <c:v>1.8641595634482474E-2</c:v>
                </c:pt>
                <c:pt idx="947">
                  <c:v>2.3855433552812198E-2</c:v>
                </c:pt>
                <c:pt idx="948">
                  <c:v>1.6973135415953716E-2</c:v>
                </c:pt>
                <c:pt idx="949">
                  <c:v>1.5472292986913229E-2</c:v>
                </c:pt>
                <c:pt idx="950">
                  <c:v>1.5364121037564127E-2</c:v>
                </c:pt>
                <c:pt idx="951">
                  <c:v>1.1193834962642833E-2</c:v>
                </c:pt>
                <c:pt idx="952">
                  <c:v>1.0132940600573868E-2</c:v>
                </c:pt>
                <c:pt idx="953">
                  <c:v>1.1207732508536404E-2</c:v>
                </c:pt>
                <c:pt idx="954">
                  <c:v>1.1014084382405752E-2</c:v>
                </c:pt>
                <c:pt idx="955">
                  <c:v>1.2220040723904832E-2</c:v>
                </c:pt>
                <c:pt idx="956">
                  <c:v>1.2990857882349872E-2</c:v>
                </c:pt>
                <c:pt idx="957">
                  <c:v>1.3823858723031233E-2</c:v>
                </c:pt>
                <c:pt idx="958">
                  <c:v>1.5039976642069878E-2</c:v>
                </c:pt>
                <c:pt idx="959">
                  <c:v>1.4908226258597819E-2</c:v>
                </c:pt>
                <c:pt idx="960">
                  <c:v>1.3965131831903489E-2</c:v>
                </c:pt>
                <c:pt idx="961">
                  <c:v>1.2528846174800951E-2</c:v>
                </c:pt>
                <c:pt idx="962">
                  <c:v>1.2461060518504655E-2</c:v>
                </c:pt>
                <c:pt idx="963">
                  <c:v>9.578126029615764E-3</c:v>
                </c:pt>
                <c:pt idx="964">
                  <c:v>1.0255603928317064E-2</c:v>
                </c:pt>
                <c:pt idx="965">
                  <c:v>1.0213738181790048E-2</c:v>
                </c:pt>
                <c:pt idx="966">
                  <c:v>9.8692357875434754E-3</c:v>
                </c:pt>
                <c:pt idx="967">
                  <c:v>8.8704901597699524E-3</c:v>
                </c:pt>
                <c:pt idx="968">
                  <c:v>8.7669195413351674E-3</c:v>
                </c:pt>
                <c:pt idx="969">
                  <c:v>9.9373341037634674E-3</c:v>
                </c:pt>
                <c:pt idx="970">
                  <c:v>1.242096353946298E-2</c:v>
                </c:pt>
                <c:pt idx="971">
                  <c:v>1.1088697875223706E-2</c:v>
                </c:pt>
                <c:pt idx="972">
                  <c:v>1.2638990109820869E-2</c:v>
                </c:pt>
                <c:pt idx="973">
                  <c:v>1.0740040328889606E-2</c:v>
                </c:pt>
                <c:pt idx="974">
                  <c:v>1.3388643668889604E-2</c:v>
                </c:pt>
                <c:pt idx="975">
                  <c:v>1.1536882814630665E-2</c:v>
                </c:pt>
                <c:pt idx="976">
                  <c:v>1.0314993410003416E-2</c:v>
                </c:pt>
                <c:pt idx="977">
                  <c:v>8.8004024370996227E-3</c:v>
                </c:pt>
                <c:pt idx="978">
                  <c:v>7.7841836485359377E-3</c:v>
                </c:pt>
                <c:pt idx="979">
                  <c:v>8.0837917254590139E-3</c:v>
                </c:pt>
                <c:pt idx="980">
                  <c:v>8.0908102203506565E-3</c:v>
                </c:pt>
                <c:pt idx="981">
                  <c:v>7.6671288562813961E-3</c:v>
                </c:pt>
                <c:pt idx="982">
                  <c:v>1.0132296888473178E-2</c:v>
                </c:pt>
                <c:pt idx="983">
                  <c:v>8.9967463355572798E-3</c:v>
                </c:pt>
                <c:pt idx="984">
                  <c:v>8.0575997457941022E-3</c:v>
                </c:pt>
                <c:pt idx="985">
                  <c:v>4.1031441241483118E-3</c:v>
                </c:pt>
                <c:pt idx="986">
                  <c:v>5.4840682961595612E-3</c:v>
                </c:pt>
                <c:pt idx="987">
                  <c:v>5.9972221124860899E-3</c:v>
                </c:pt>
                <c:pt idx="988">
                  <c:v>8.5782513051505718E-3</c:v>
                </c:pt>
                <c:pt idx="989">
                  <c:v>4.9040818758179887E-3</c:v>
                </c:pt>
                <c:pt idx="990">
                  <c:v>1.1189822965727045E-3</c:v>
                </c:pt>
                <c:pt idx="991">
                  <c:v>1.0734988798958209E-3</c:v>
                </c:pt>
                <c:pt idx="992">
                  <c:v>2.9223192209316749E-3</c:v>
                </c:pt>
                <c:pt idx="993">
                  <c:v>2.2552636998490519E-3</c:v>
                </c:pt>
                <c:pt idx="994">
                  <c:v>2.2055901648125559E-3</c:v>
                </c:pt>
                <c:pt idx="995">
                  <c:v>2.8520683121348546E-3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F3-4EFD-B328-8F1F239B6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265216"/>
        <c:axId val="508266048"/>
      </c:lineChart>
      <c:dateAx>
        <c:axId val="508265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6048"/>
        <c:crosses val="autoZero"/>
        <c:auto val="1"/>
        <c:lblOffset val="100"/>
        <c:baseTimeUnit val="days"/>
      </c:dateAx>
      <c:valAx>
        <c:axId val="50826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6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C1AD19E-C90D-4428-A2DB-D78FD7B84BAB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658B1C-7265-4A6D-94C6-C317B2EB4B5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20.123999999999999</v>
      </c>
      <c r="D2" s="4">
        <f>MIN(D3:D1912)</f>
        <v>0.30309999999999998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4.2290000000000001</v>
      </c>
      <c r="C5">
        <v>4.28</v>
      </c>
      <c r="D5">
        <v>4.1239999999999997</v>
      </c>
      <c r="E5">
        <v>4.1269999999999998</v>
      </c>
      <c r="F5">
        <v>797338.3</v>
      </c>
      <c r="G5">
        <v>4.1269999999999998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-0.96153846153846023</v>
      </c>
      <c r="Q5">
        <f t="shared" ref="Q5" si="1">F5*P5</f>
        <v>-766671.44230769132</v>
      </c>
      <c r="R5">
        <f t="shared" ref="R5" si="2">R6+Q5</f>
        <v>-2219299.5534678586</v>
      </c>
      <c r="S5">
        <f t="shared" ref="S5" si="3">R5/100000</f>
        <v>-22.192995534678587</v>
      </c>
      <c r="T5">
        <f t="shared" ref="T5" si="4">S5/1000</f>
        <v>-2.2192995534678586E-2</v>
      </c>
    </row>
    <row r="6" spans="1:20" x14ac:dyDescent="0.25">
      <c r="A6" s="5">
        <v>44587</v>
      </c>
      <c r="B6">
        <v>4.2110000000000003</v>
      </c>
      <c r="C6">
        <v>4.5860000000000003</v>
      </c>
      <c r="D6">
        <v>4.1079999999999997</v>
      </c>
      <c r="E6">
        <v>4.2279999999999998</v>
      </c>
      <c r="F6">
        <v>9583794.3000000007</v>
      </c>
      <c r="G6">
        <v>4.2279999999999998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-0.49790794979079522</v>
      </c>
      <c r="Q6">
        <f t="shared" ref="Q6" si="6">F6*P6</f>
        <v>-4771847.3711297102</v>
      </c>
      <c r="R6">
        <f t="shared" ref="R6" si="7">R7+Q6</f>
        <v>-1452628.111160167</v>
      </c>
      <c r="S6">
        <f t="shared" ref="S6" si="8">R6/100000</f>
        <v>-14.526281111601671</v>
      </c>
      <c r="T6">
        <f t="shared" ref="T6" si="9">S6/1000</f>
        <v>-1.4526281111601671E-2</v>
      </c>
    </row>
    <row r="7" spans="1:20" x14ac:dyDescent="0.25">
      <c r="A7" s="5">
        <v>44586</v>
      </c>
      <c r="B7">
        <v>4.1159999999999997</v>
      </c>
      <c r="C7">
        <v>4.2969999999999997</v>
      </c>
      <c r="D7">
        <v>3.8919999999999999</v>
      </c>
      <c r="E7">
        <v>4.2119999999999997</v>
      </c>
      <c r="F7">
        <v>8963266.3000000007</v>
      </c>
      <c r="G7">
        <v>4.2119999999999997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0.58024691358024694</v>
      </c>
      <c r="Q7">
        <f t="shared" ref="Q7" si="11">F7*P7</f>
        <v>5200907.6061728401</v>
      </c>
      <c r="R7">
        <f t="shared" ref="R7" si="12">R8+Q7</f>
        <v>3319219.2599695432</v>
      </c>
      <c r="S7">
        <f t="shared" ref="S7" si="13">R7/100000</f>
        <v>33.192192599695431</v>
      </c>
      <c r="T7">
        <f t="shared" ref="T7" si="14">S7/1000</f>
        <v>3.3192192599695435E-2</v>
      </c>
    </row>
    <row r="8" spans="1:20" x14ac:dyDescent="0.25">
      <c r="A8" s="5">
        <v>44585</v>
      </c>
      <c r="B8">
        <v>4.4260000000000002</v>
      </c>
      <c r="C8">
        <v>4.431</v>
      </c>
      <c r="D8">
        <v>3.6859999999999999</v>
      </c>
      <c r="E8">
        <v>4.117</v>
      </c>
      <c r="F8">
        <v>16503475.33</v>
      </c>
      <c r="G8">
        <v>4.117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0.15704697986577179</v>
      </c>
      <c r="Q8">
        <f t="shared" ref="Q8" si="16">F8*P8</f>
        <v>2591820.9578657714</v>
      </c>
      <c r="R8">
        <f t="shared" ref="R8" si="17">R9+Q8</f>
        <v>-1881688.3462032969</v>
      </c>
      <c r="S8">
        <f t="shared" ref="S8" si="18">R8/100000</f>
        <v>-18.816883462032969</v>
      </c>
      <c r="T8">
        <f t="shared" ref="T8" si="19">S8/1000</f>
        <v>-1.881688346203297E-2</v>
      </c>
    </row>
    <row r="9" spans="1:20" x14ac:dyDescent="0.25">
      <c r="A9" s="5">
        <v>44584</v>
      </c>
      <c r="B9">
        <v>4.2460000000000004</v>
      </c>
      <c r="C9">
        <v>4.5030000000000001</v>
      </c>
      <c r="D9">
        <v>4.1470000000000002</v>
      </c>
      <c r="E9">
        <v>4.4269999999999996</v>
      </c>
      <c r="F9">
        <v>9284085.4000000004</v>
      </c>
      <c r="G9">
        <v>4.4269999999999996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0.5730337078651655</v>
      </c>
      <c r="Q9">
        <f t="shared" ref="Q9" si="21">F9*P9</f>
        <v>5320093.8808988482</v>
      </c>
      <c r="R9">
        <f t="shared" ref="R9" si="22">R10+Q9</f>
        <v>-4473509.3040690683</v>
      </c>
      <c r="S9">
        <f t="shared" ref="S9" si="23">R9/100000</f>
        <v>-44.735093040690685</v>
      </c>
      <c r="T9">
        <f t="shared" ref="T9" si="24">S9/1000</f>
        <v>-4.4735093040690684E-2</v>
      </c>
    </row>
    <row r="10" spans="1:20" x14ac:dyDescent="0.25">
      <c r="A10" s="5">
        <v>44583</v>
      </c>
      <c r="B10">
        <v>4.7149999999999999</v>
      </c>
      <c r="C10">
        <v>5.2</v>
      </c>
      <c r="D10">
        <v>3.9119999999999999</v>
      </c>
      <c r="E10">
        <v>4.2469999999999999</v>
      </c>
      <c r="F10">
        <v>16340414.960000001</v>
      </c>
      <c r="G10">
        <v>4.2469999999999999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-0.47981366459627345</v>
      </c>
      <c r="Q10">
        <f t="shared" ref="Q10" si="26">F10*P10</f>
        <v>-7840354.3829813693</v>
      </c>
      <c r="R10">
        <f t="shared" ref="R10" si="27">R11+Q10</f>
        <v>-9793603.1849679165</v>
      </c>
      <c r="S10">
        <f t="shared" ref="S10" si="28">R10/100000</f>
        <v>-97.936031849679168</v>
      </c>
      <c r="T10">
        <f t="shared" ref="T10" si="29">S10/1000</f>
        <v>-9.7936031849679167E-2</v>
      </c>
    </row>
    <row r="11" spans="1:20" x14ac:dyDescent="0.25">
      <c r="A11" s="5">
        <v>44582</v>
      </c>
      <c r="B11">
        <v>5.2160000000000002</v>
      </c>
      <c r="C11">
        <v>5.335</v>
      </c>
      <c r="D11">
        <v>4.5490000000000004</v>
      </c>
      <c r="E11">
        <v>4.7149999999999999</v>
      </c>
      <c r="F11">
        <v>10637732.699999999</v>
      </c>
      <c r="G11">
        <v>4.7149999999999999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-0.57760814249363979</v>
      </c>
      <c r="Q11">
        <f t="shared" ref="Q11" si="31">F11*P11</f>
        <v>-6144441.0251908507</v>
      </c>
      <c r="R11">
        <f t="shared" ref="R11" si="32">R12+Q11</f>
        <v>-1953248.8019865472</v>
      </c>
      <c r="S11">
        <f t="shared" ref="S11" si="33">R11/100000</f>
        <v>-19.532488019865472</v>
      </c>
      <c r="T11">
        <f t="shared" ref="T11" si="34">S11/1000</f>
        <v>-1.9532488019865471E-2</v>
      </c>
    </row>
    <row r="12" spans="1:20" x14ac:dyDescent="0.25">
      <c r="A12" s="5">
        <v>44581</v>
      </c>
      <c r="B12">
        <v>5.44</v>
      </c>
      <c r="C12">
        <v>5.8609999999999998</v>
      </c>
      <c r="D12">
        <v>5.1890000000000001</v>
      </c>
      <c r="E12">
        <v>5.2149999999999999</v>
      </c>
      <c r="F12">
        <v>5728822.7000000002</v>
      </c>
      <c r="G12">
        <v>5.2149999999999999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-0.92261904761904823</v>
      </c>
      <c r="Q12">
        <f t="shared" ref="Q12" si="36">F12*P12</f>
        <v>-5285520.9434523843</v>
      </c>
      <c r="R12">
        <f t="shared" ref="R12" si="37">R13+Q12</f>
        <v>4191192.2232043035</v>
      </c>
      <c r="S12">
        <f t="shared" ref="S12" si="38">R12/100000</f>
        <v>41.911922232043032</v>
      </c>
      <c r="T12">
        <f t="shared" ref="T12" si="39">S12/1000</f>
        <v>4.1911922232043035E-2</v>
      </c>
    </row>
    <row r="13" spans="1:20" x14ac:dyDescent="0.25">
      <c r="A13" s="5">
        <v>44580</v>
      </c>
      <c r="B13">
        <v>5.9260000000000002</v>
      </c>
      <c r="C13">
        <v>5.9359999999999999</v>
      </c>
      <c r="D13">
        <v>5.4379999999999997</v>
      </c>
      <c r="E13">
        <v>5.4390000000000001</v>
      </c>
      <c r="F13">
        <v>4735287.2</v>
      </c>
      <c r="G13">
        <v>5.4390000000000001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-0.99598393574297051</v>
      </c>
      <c r="Q13">
        <f t="shared" ref="Q13" si="41">F13*P13</f>
        <v>-4716269.9823293108</v>
      </c>
      <c r="R13">
        <f t="shared" ref="R13" si="42">R14+Q13</f>
        <v>9476713.1666566879</v>
      </c>
      <c r="S13">
        <f t="shared" ref="S13" si="43">R13/100000</f>
        <v>94.767131666566883</v>
      </c>
      <c r="T13">
        <f t="shared" ref="T13" si="44">S13/1000</f>
        <v>9.4767131666566889E-2</v>
      </c>
    </row>
    <row r="14" spans="1:20" x14ac:dyDescent="0.25">
      <c r="A14" s="5">
        <v>44579</v>
      </c>
      <c r="B14">
        <v>6.2560000000000002</v>
      </c>
      <c r="C14">
        <v>6.3</v>
      </c>
      <c r="D14">
        <v>5.74</v>
      </c>
      <c r="E14">
        <v>5.9269999999999996</v>
      </c>
      <c r="F14">
        <v>6062812.2000000002</v>
      </c>
      <c r="G14">
        <v>5.9269999999999996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-0.33214285714285885</v>
      </c>
      <c r="Q14">
        <f t="shared" ref="Q14" si="46">F14*P14</f>
        <v>-2013719.7664285819</v>
      </c>
      <c r="R14">
        <f t="shared" ref="R14" si="47">R15+Q14</f>
        <v>14192983.148985999</v>
      </c>
      <c r="S14">
        <f t="shared" ref="S14" si="48">R14/100000</f>
        <v>141.92983148985999</v>
      </c>
      <c r="T14">
        <f t="shared" ref="T14" si="49">S14/1000</f>
        <v>0.14192983148985999</v>
      </c>
    </row>
    <row r="15" spans="1:20" x14ac:dyDescent="0.25">
      <c r="A15" s="5">
        <v>44578</v>
      </c>
      <c r="B15">
        <v>6.5860000000000003</v>
      </c>
      <c r="C15">
        <v>6.59</v>
      </c>
      <c r="D15">
        <v>5.9720000000000004</v>
      </c>
      <c r="E15">
        <v>6.2549999999999999</v>
      </c>
      <c r="F15">
        <v>5798657.7000000002</v>
      </c>
      <c r="G15">
        <v>6.2549999999999999</v>
      </c>
      <c r="L15" t="s">
        <v>7</v>
      </c>
      <c r="M15" t="s">
        <v>8</v>
      </c>
      <c r="N15" t="s">
        <v>8</v>
      </c>
      <c r="P15">
        <f t="shared" ref="P15" si="50">IF(C15=D15,0,((E15-D15)-(C15-E15))/(C15-D15))</f>
        <v>-8.4142394822007346E-2</v>
      </c>
      <c r="Q15">
        <f t="shared" ref="Q15" si="51">F15*P15</f>
        <v>-487912.94563107303</v>
      </c>
      <c r="R15">
        <f t="shared" ref="R15" si="52">R16+Q15</f>
        <v>16206702.915414581</v>
      </c>
      <c r="S15">
        <f t="shared" ref="S15" si="53">R15/100000</f>
        <v>162.06702915414581</v>
      </c>
      <c r="T15">
        <f t="shared" ref="T15" si="54">S15/1000</f>
        <v>0.16206702915414581</v>
      </c>
    </row>
    <row r="16" spans="1:20" x14ac:dyDescent="0.25">
      <c r="A16" s="5">
        <v>44577</v>
      </c>
      <c r="B16">
        <v>6.7249999999999996</v>
      </c>
      <c r="C16">
        <v>6.944</v>
      </c>
      <c r="D16">
        <v>6.33</v>
      </c>
      <c r="E16">
        <v>6.585</v>
      </c>
      <c r="F16">
        <v>6580796.4000000004</v>
      </c>
      <c r="G16">
        <v>6.585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-0.16938110749185686</v>
      </c>
      <c r="Q16">
        <f t="shared" ref="Q16" si="56">F16*P16</f>
        <v>-1114662.5824104247</v>
      </c>
      <c r="R16">
        <f t="shared" ref="R16" si="57">R17+Q16</f>
        <v>16694615.861045655</v>
      </c>
      <c r="S16">
        <f t="shared" ref="S16" si="58">R16/100000</f>
        <v>166.94615861045654</v>
      </c>
      <c r="T16">
        <f t="shared" ref="T16" si="59">S16/1000</f>
        <v>0.16694615861045653</v>
      </c>
    </row>
    <row r="17" spans="1:20" x14ac:dyDescent="0.25">
      <c r="A17" s="5">
        <v>44576</v>
      </c>
      <c r="B17">
        <v>6.032</v>
      </c>
      <c r="C17">
        <v>6.8529999999999998</v>
      </c>
      <c r="D17">
        <v>6.0229999999999997</v>
      </c>
      <c r="E17">
        <v>6.726</v>
      </c>
      <c r="F17">
        <v>9985613.5</v>
      </c>
      <c r="G17">
        <v>6.726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0.69397590361445838</v>
      </c>
      <c r="Q17">
        <f t="shared" ref="Q17" si="61">F17*P17</f>
        <v>6929775.1518072346</v>
      </c>
      <c r="R17">
        <f t="shared" ref="R17" si="62">R18+Q17</f>
        <v>17809278.44345608</v>
      </c>
      <c r="S17">
        <f t="shared" ref="S17" si="63">R17/100000</f>
        <v>178.0927844345608</v>
      </c>
      <c r="T17">
        <f t="shared" ref="T17" si="64">S17/1000</f>
        <v>0.17809278443456081</v>
      </c>
    </row>
    <row r="18" spans="1:20" x14ac:dyDescent="0.25">
      <c r="A18" s="5">
        <v>44575</v>
      </c>
      <c r="B18">
        <v>5.9459999999999997</v>
      </c>
      <c r="C18">
        <v>6.298</v>
      </c>
      <c r="D18">
        <v>5.7830000000000004</v>
      </c>
      <c r="E18">
        <v>6.0330000000000004</v>
      </c>
      <c r="F18">
        <v>5833864.5999999996</v>
      </c>
      <c r="G18">
        <v>6.0330000000000004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-2.9126213592232407E-2</v>
      </c>
      <c r="Q18">
        <f t="shared" ref="Q18" si="66">F18*P18</f>
        <v>-169918.38640776346</v>
      </c>
      <c r="R18">
        <f t="shared" ref="R18" si="67">R19+Q18</f>
        <v>10879503.291648846</v>
      </c>
      <c r="S18">
        <f t="shared" ref="S18" si="68">R18/100000</f>
        <v>108.79503291648847</v>
      </c>
      <c r="T18">
        <f t="shared" ref="T18" si="69">S18/1000</f>
        <v>0.10879503291648847</v>
      </c>
    </row>
    <row r="19" spans="1:20" x14ac:dyDescent="0.25">
      <c r="A19" s="5">
        <v>44574</v>
      </c>
      <c r="B19">
        <v>5.8789999999999996</v>
      </c>
      <c r="C19">
        <v>6.36</v>
      </c>
      <c r="D19">
        <v>5.8710000000000004</v>
      </c>
      <c r="E19">
        <v>5.9470000000000001</v>
      </c>
      <c r="F19">
        <v>10275999.699999999</v>
      </c>
      <c r="G19">
        <v>5.9470000000000001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-0.68916155419223046</v>
      </c>
      <c r="Q19">
        <f t="shared" ref="Q19" si="71">F19*P19</f>
        <v>-7081823.9241308933</v>
      </c>
      <c r="R19">
        <f t="shared" ref="R19" si="72">R20+Q19</f>
        <v>11049421.678056609</v>
      </c>
      <c r="S19">
        <f t="shared" ref="S19" si="73">R19/100000</f>
        <v>110.49421678056609</v>
      </c>
      <c r="T19">
        <f t="shared" ref="T19" si="74">S19/1000</f>
        <v>0.11049421678056609</v>
      </c>
    </row>
    <row r="20" spans="1:20" x14ac:dyDescent="0.25">
      <c r="A20" s="5">
        <v>44573</v>
      </c>
      <c r="B20">
        <v>5.32</v>
      </c>
      <c r="C20">
        <v>6.0590000000000002</v>
      </c>
      <c r="D20">
        <v>5.3170000000000002</v>
      </c>
      <c r="E20">
        <v>5.88</v>
      </c>
      <c r="F20">
        <v>8459637.9000000004</v>
      </c>
      <c r="G20">
        <v>5.88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0.51752021563342243</v>
      </c>
      <c r="Q20">
        <f t="shared" ref="Q20" si="76">F20*P20</f>
        <v>4378033.6301886728</v>
      </c>
      <c r="R20">
        <f t="shared" ref="R20" si="77">R21+Q20</f>
        <v>18131245.602187503</v>
      </c>
      <c r="S20">
        <f t="shared" ref="S20" si="78">R20/100000</f>
        <v>181.31245602187502</v>
      </c>
      <c r="T20">
        <f t="shared" ref="T20" si="79">S20/1000</f>
        <v>0.18131245602187501</v>
      </c>
    </row>
    <row r="21" spans="1:20" x14ac:dyDescent="0.25">
      <c r="A21" s="5">
        <v>44572</v>
      </c>
      <c r="B21">
        <v>5.0940000000000003</v>
      </c>
      <c r="C21">
        <v>5.4130000000000003</v>
      </c>
      <c r="D21">
        <v>5.0339999999999998</v>
      </c>
      <c r="E21">
        <v>5.32</v>
      </c>
      <c r="F21">
        <v>4545273.5</v>
      </c>
      <c r="G21">
        <v>5.32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0.50923482849604296</v>
      </c>
      <c r="Q21">
        <f t="shared" ref="Q21" si="81">F21*P21</f>
        <v>2314611.5712401089</v>
      </c>
      <c r="R21">
        <f t="shared" ref="R21" si="82">R22+Q21</f>
        <v>13753211.971998831</v>
      </c>
      <c r="S21">
        <f t="shared" ref="S21" si="83">R21/100000</f>
        <v>137.53211971998832</v>
      </c>
      <c r="T21">
        <f t="shared" ref="T21" si="84">S21/1000</f>
        <v>0.13753211971998833</v>
      </c>
    </row>
    <row r="22" spans="1:20" x14ac:dyDescent="0.25">
      <c r="A22" s="5">
        <v>44571</v>
      </c>
      <c r="B22">
        <v>5.3529999999999998</v>
      </c>
      <c r="C22">
        <v>5.4059999999999997</v>
      </c>
      <c r="D22">
        <v>4.8600000000000003</v>
      </c>
      <c r="E22">
        <v>5.0940000000000003</v>
      </c>
      <c r="F22">
        <v>6882627.2999999998</v>
      </c>
      <c r="G22">
        <v>5.0940000000000003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-0.14285714285714193</v>
      </c>
      <c r="Q22">
        <f t="shared" ref="Q22" si="86">F22*P22</f>
        <v>-983232.4714285651</v>
      </c>
      <c r="R22">
        <f t="shared" ref="R22" si="87">R23+Q22</f>
        <v>11438600.400758723</v>
      </c>
      <c r="S22">
        <f t="shared" ref="S22" si="88">R22/100000</f>
        <v>114.38600400758723</v>
      </c>
      <c r="T22">
        <f t="shared" ref="T22" si="89">S22/1000</f>
        <v>0.11438600400758724</v>
      </c>
    </row>
    <row r="23" spans="1:20" x14ac:dyDescent="0.25">
      <c r="A23" s="5">
        <v>44570</v>
      </c>
      <c r="B23">
        <v>5.36</v>
      </c>
      <c r="C23">
        <v>5.4969999999999999</v>
      </c>
      <c r="D23">
        <v>5.2869999999999999</v>
      </c>
      <c r="E23">
        <v>5.3520000000000003</v>
      </c>
      <c r="F23">
        <v>4457150.7</v>
      </c>
      <c r="G23">
        <v>5.3520000000000003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-0.3809523809523771</v>
      </c>
      <c r="Q23">
        <f t="shared" ref="Q23" si="91">F23*P23</f>
        <v>-1697962.1714285542</v>
      </c>
      <c r="R23">
        <f t="shared" ref="R23" si="92">R24+Q23</f>
        <v>12421832.872187288</v>
      </c>
      <c r="S23">
        <f t="shared" ref="S23" si="93">R23/100000</f>
        <v>124.21832872187288</v>
      </c>
      <c r="T23">
        <f t="shared" ref="T23" si="94">S23/1000</f>
        <v>0.12421832872187288</v>
      </c>
    </row>
    <row r="24" spans="1:20" x14ac:dyDescent="0.25">
      <c r="A24" s="5">
        <v>44569</v>
      </c>
      <c r="B24">
        <v>5.5129999999999999</v>
      </c>
      <c r="C24">
        <v>5.8860000000000001</v>
      </c>
      <c r="D24">
        <v>5.1630000000000003</v>
      </c>
      <c r="E24">
        <v>5.36</v>
      </c>
      <c r="F24">
        <v>7698225.9000000004</v>
      </c>
      <c r="G24">
        <v>5.36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-0.45504840940525559</v>
      </c>
      <c r="Q24">
        <f t="shared" ref="Q24" si="96">F24*P24</f>
        <v>-3503065.4510373422</v>
      </c>
      <c r="R24">
        <f t="shared" ref="R24" si="97">R25+Q24</f>
        <v>14119795.043615842</v>
      </c>
      <c r="S24">
        <f t="shared" ref="S24" si="98">R24/100000</f>
        <v>141.19795043615844</v>
      </c>
      <c r="T24">
        <f t="shared" ref="T24" si="99">S24/1000</f>
        <v>0.14119795043615843</v>
      </c>
    </row>
    <row r="25" spans="1:20" x14ac:dyDescent="0.25">
      <c r="A25" s="5">
        <v>44568</v>
      </c>
      <c r="B25">
        <v>5.6449999999999996</v>
      </c>
      <c r="C25">
        <v>5.6909999999999998</v>
      </c>
      <c r="D25">
        <v>5.2030000000000003</v>
      </c>
      <c r="E25">
        <v>5.5110000000000001</v>
      </c>
      <c r="F25">
        <v>7718740.5</v>
      </c>
      <c r="G25">
        <v>5.5110000000000001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0.26229508196721357</v>
      </c>
      <c r="Q25">
        <f t="shared" ref="Q25" si="101">F25*P25</f>
        <v>2024587.672131151</v>
      </c>
      <c r="R25">
        <f t="shared" ref="R25" si="102">R26+Q25</f>
        <v>17622860.494653184</v>
      </c>
      <c r="S25">
        <f t="shared" ref="S25" si="103">R25/100000</f>
        <v>176.22860494653185</v>
      </c>
      <c r="T25">
        <f t="shared" ref="T25" si="104">S25/1000</f>
        <v>0.17622860494653184</v>
      </c>
    </row>
    <row r="26" spans="1:20" x14ac:dyDescent="0.25">
      <c r="A26" s="5">
        <v>44567</v>
      </c>
      <c r="B26">
        <v>5.5679999999999996</v>
      </c>
      <c r="C26">
        <v>5.7</v>
      </c>
      <c r="D26">
        <v>5.3840000000000003</v>
      </c>
      <c r="E26">
        <v>5.6459999999999999</v>
      </c>
      <c r="F26">
        <v>6719140.5</v>
      </c>
      <c r="G26">
        <v>5.6459999999999999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0.65822784810126389</v>
      </c>
      <c r="Q26">
        <f t="shared" ref="Q26" si="106">F26*P26</f>
        <v>4422725.3924050499</v>
      </c>
      <c r="R26">
        <f t="shared" ref="R26" si="107">R27+Q26</f>
        <v>15598272.822522033</v>
      </c>
      <c r="S26">
        <f t="shared" ref="S26" si="108">R26/100000</f>
        <v>155.98272822522034</v>
      </c>
      <c r="T26">
        <f t="shared" ref="T26" si="109">S26/1000</f>
        <v>0.15598272822522033</v>
      </c>
    </row>
    <row r="27" spans="1:20" x14ac:dyDescent="0.25">
      <c r="A27" s="5">
        <v>44566</v>
      </c>
      <c r="B27">
        <v>6.0270000000000001</v>
      </c>
      <c r="C27">
        <v>6.2450000000000001</v>
      </c>
      <c r="D27">
        <v>5.3049999999999997</v>
      </c>
      <c r="E27">
        <v>5.569</v>
      </c>
      <c r="F27">
        <v>7465447.7999999998</v>
      </c>
      <c r="G27">
        <v>5.569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-0.43829787234042528</v>
      </c>
      <c r="Q27">
        <f t="shared" ref="Q27" si="111">F27*P27</f>
        <v>-3272089.8868085085</v>
      </c>
      <c r="R27">
        <f t="shared" ref="R27" si="112">R28+Q27</f>
        <v>11175547.430116983</v>
      </c>
      <c r="S27">
        <f t="shared" ref="S27" si="113">R27/100000</f>
        <v>111.75547430116983</v>
      </c>
      <c r="T27">
        <f t="shared" ref="T27" si="114">S27/1000</f>
        <v>0.11175547430116983</v>
      </c>
    </row>
    <row r="28" spans="1:20" x14ac:dyDescent="0.25">
      <c r="A28" s="5">
        <v>44565</v>
      </c>
      <c r="B28">
        <v>6.1890000000000001</v>
      </c>
      <c r="C28">
        <v>6.26</v>
      </c>
      <c r="D28">
        <v>6</v>
      </c>
      <c r="E28">
        <v>6.0259999999999998</v>
      </c>
      <c r="F28">
        <v>6590399.0999999996</v>
      </c>
      <c r="G28">
        <v>6.0259999999999998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-0.80000000000000138</v>
      </c>
      <c r="Q28">
        <f t="shared" ref="Q28" si="116">F28*P28</f>
        <v>-5272319.2800000086</v>
      </c>
      <c r="R28">
        <f t="shared" ref="R28" si="117">R29+Q28</f>
        <v>14447637.316925492</v>
      </c>
      <c r="S28">
        <f t="shared" ref="S28" si="118">R28/100000</f>
        <v>144.47637316925491</v>
      </c>
      <c r="T28">
        <f t="shared" ref="T28" si="119">S28/1000</f>
        <v>0.14447637316925491</v>
      </c>
    </row>
    <row r="29" spans="1:20" x14ac:dyDescent="0.25">
      <c r="A29" s="5">
        <v>44564</v>
      </c>
      <c r="B29">
        <v>6.2830000000000004</v>
      </c>
      <c r="C29">
        <v>6.4550000000000001</v>
      </c>
      <c r="D29">
        <v>6.0640000000000001</v>
      </c>
      <c r="E29">
        <v>6.1879999999999997</v>
      </c>
      <c r="F29">
        <v>7692704.5999999996</v>
      </c>
      <c r="G29">
        <v>6.1879999999999997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-0.36572890025575622</v>
      </c>
      <c r="Q29">
        <f t="shared" ref="Q29" si="121">F29*P29</f>
        <v>-2813444.3933503968</v>
      </c>
      <c r="R29">
        <f t="shared" ref="R29" si="122">R30+Q29</f>
        <v>19719956.596925501</v>
      </c>
      <c r="S29">
        <f t="shared" ref="S29" si="123">R29/100000</f>
        <v>197.19956596925502</v>
      </c>
      <c r="T29">
        <f t="shared" ref="T29" si="124">S29/1000</f>
        <v>0.19719956596925503</v>
      </c>
    </row>
    <row r="30" spans="1:20" x14ac:dyDescent="0.25">
      <c r="A30" s="5">
        <v>44563</v>
      </c>
      <c r="B30">
        <v>6.1159999999999997</v>
      </c>
      <c r="C30">
        <v>6.4829999999999997</v>
      </c>
      <c r="D30">
        <v>6.069</v>
      </c>
      <c r="E30">
        <v>6.282</v>
      </c>
      <c r="F30">
        <v>7091479.7000000002</v>
      </c>
      <c r="G30">
        <v>6.282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2.8985507246377933E-2</v>
      </c>
      <c r="Q30">
        <f t="shared" ref="Q30" si="126">F30*P30</f>
        <v>205550.13623189201</v>
      </c>
      <c r="R30">
        <f t="shared" ref="R30" si="127">R31+Q30</f>
        <v>22533400.990275897</v>
      </c>
      <c r="S30">
        <f t="shared" ref="S30" si="128">R30/100000</f>
        <v>225.33400990275896</v>
      </c>
      <c r="T30">
        <f t="shared" ref="T30" si="129">S30/1000</f>
        <v>0.22533400990275895</v>
      </c>
    </row>
    <row r="31" spans="1:20" x14ac:dyDescent="0.25">
      <c r="A31" s="5">
        <v>44562</v>
      </c>
      <c r="B31">
        <v>5.8689999999999998</v>
      </c>
      <c r="C31">
        <v>6.13</v>
      </c>
      <c r="D31">
        <v>5.8680000000000003</v>
      </c>
      <c r="E31">
        <v>6.1150000000000002</v>
      </c>
      <c r="F31">
        <v>5043619.0999999996</v>
      </c>
      <c r="G31">
        <v>6.1150000000000002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0.88549618320610912</v>
      </c>
      <c r="Q31">
        <f t="shared" ref="Q31" si="131">F31*P31</f>
        <v>4466105.4625954311</v>
      </c>
      <c r="R31">
        <f t="shared" ref="R31" si="132">R32+Q31</f>
        <v>22327850.854044005</v>
      </c>
      <c r="S31">
        <f t="shared" ref="S31" si="133">R31/100000</f>
        <v>223.27850854044004</v>
      </c>
      <c r="T31">
        <f t="shared" ref="T31" si="134">S31/1000</f>
        <v>0.22327850854044004</v>
      </c>
    </row>
    <row r="32" spans="1:20" x14ac:dyDescent="0.25">
      <c r="A32" s="5">
        <v>44561</v>
      </c>
      <c r="B32">
        <v>6.0620000000000003</v>
      </c>
      <c r="C32">
        <v>6.1390000000000002</v>
      </c>
      <c r="D32">
        <v>5.718</v>
      </c>
      <c r="E32">
        <v>5.867</v>
      </c>
      <c r="F32">
        <v>7079287.2000000002</v>
      </c>
      <c r="G32">
        <v>5.867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-0.29216152019002412</v>
      </c>
      <c r="Q32">
        <f t="shared" ref="Q32" si="136">F32*P32</f>
        <v>-2068295.3102137793</v>
      </c>
      <c r="R32">
        <f t="shared" ref="R32" si="137">R33+Q32</f>
        <v>17861745.391448576</v>
      </c>
      <c r="S32">
        <f t="shared" ref="S32" si="138">R32/100000</f>
        <v>178.61745391448576</v>
      </c>
      <c r="T32">
        <f t="shared" ref="T32" si="139">S32/1000</f>
        <v>0.17861745391448577</v>
      </c>
    </row>
    <row r="33" spans="1:20" x14ac:dyDescent="0.25">
      <c r="A33" s="5">
        <v>44560</v>
      </c>
      <c r="B33">
        <v>5.9240000000000004</v>
      </c>
      <c r="C33">
        <v>6.1509999999999998</v>
      </c>
      <c r="D33">
        <v>5.78</v>
      </c>
      <c r="E33">
        <v>6.0620000000000003</v>
      </c>
      <c r="F33">
        <v>6916504.4000000004</v>
      </c>
      <c r="G33">
        <v>6.0620000000000003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0.52021563342318256</v>
      </c>
      <c r="Q33">
        <f t="shared" ref="Q33" si="141">F33*P33</f>
        <v>3598073.7175202295</v>
      </c>
      <c r="R33">
        <f t="shared" ref="R33" si="142">R34+Q33</f>
        <v>19930040.701662354</v>
      </c>
      <c r="S33">
        <f t="shared" ref="S33" si="143">R33/100000</f>
        <v>199.30040701662355</v>
      </c>
      <c r="T33">
        <f t="shared" ref="T33" si="144">S33/1000</f>
        <v>0.19930040701662355</v>
      </c>
    </row>
    <row r="34" spans="1:20" x14ac:dyDescent="0.25">
      <c r="A34" s="5">
        <v>44559</v>
      </c>
      <c r="B34">
        <v>6.2450000000000001</v>
      </c>
      <c r="C34">
        <v>6.4160000000000004</v>
      </c>
      <c r="D34">
        <v>5.8559999999999999</v>
      </c>
      <c r="E34">
        <v>5.9249999999999998</v>
      </c>
      <c r="F34">
        <v>9665573.1999999993</v>
      </c>
      <c r="G34">
        <v>5.9249999999999998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-0.753571428571429</v>
      </c>
      <c r="Q34">
        <f t="shared" ref="Q34" si="146">F34*P34</f>
        <v>-7283699.8042857181</v>
      </c>
      <c r="R34">
        <f t="shared" ref="R34" si="147">R35+Q34</f>
        <v>16331966.984142127</v>
      </c>
      <c r="S34">
        <f t="shared" ref="S34" si="148">R34/100000</f>
        <v>163.31966984142127</v>
      </c>
      <c r="T34">
        <f t="shared" ref="T34" si="149">S34/1000</f>
        <v>0.16331966984142127</v>
      </c>
    </row>
    <row r="35" spans="1:20" x14ac:dyDescent="0.25">
      <c r="A35" s="5">
        <v>44558</v>
      </c>
      <c r="B35">
        <v>6.8710000000000004</v>
      </c>
      <c r="C35">
        <v>6.8730000000000002</v>
      </c>
      <c r="D35">
        <v>6.2130000000000001</v>
      </c>
      <c r="E35">
        <v>6.2439999999999998</v>
      </c>
      <c r="F35">
        <v>9088541.3000000007</v>
      </c>
      <c r="G35">
        <v>6.2439999999999998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-0.90606060606060701</v>
      </c>
      <c r="Q35">
        <f t="shared" ref="Q35" si="151">F35*P35</f>
        <v>-8234769.2384848576</v>
      </c>
      <c r="R35">
        <f t="shared" ref="R35" si="152">R36+Q35</f>
        <v>23615666.788427845</v>
      </c>
      <c r="S35">
        <f t="shared" ref="S35" si="153">R35/100000</f>
        <v>236.15666788427845</v>
      </c>
      <c r="T35">
        <f t="shared" ref="T35" si="154">S35/1000</f>
        <v>0.23615666788427844</v>
      </c>
    </row>
    <row r="36" spans="1:20" x14ac:dyDescent="0.25">
      <c r="A36" s="5">
        <v>44557</v>
      </c>
      <c r="B36">
        <v>6.8150000000000004</v>
      </c>
      <c r="C36">
        <v>7.1970000000000001</v>
      </c>
      <c r="D36">
        <v>6.774</v>
      </c>
      <c r="E36">
        <v>6.87</v>
      </c>
      <c r="F36">
        <v>7172273.0999999996</v>
      </c>
      <c r="G36">
        <v>6.87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-0.54609929078014152</v>
      </c>
      <c r="Q36">
        <f t="shared" ref="Q36" si="156">F36*P36</f>
        <v>-3916773.2531914869</v>
      </c>
      <c r="R36">
        <f t="shared" ref="R36" si="157">R37+Q36</f>
        <v>31850436.026912704</v>
      </c>
      <c r="S36">
        <f t="shared" ref="S36" si="158">R36/100000</f>
        <v>318.50436026912706</v>
      </c>
      <c r="T36">
        <f t="shared" ref="T36" si="159">S36/1000</f>
        <v>0.31850436026912704</v>
      </c>
    </row>
    <row r="37" spans="1:20" x14ac:dyDescent="0.25">
      <c r="A37" s="5">
        <v>44556</v>
      </c>
      <c r="B37">
        <v>6.8170000000000002</v>
      </c>
      <c r="C37">
        <v>6.9930000000000003</v>
      </c>
      <c r="D37">
        <v>6.6130000000000004</v>
      </c>
      <c r="E37">
        <v>6.8140000000000001</v>
      </c>
      <c r="F37">
        <v>5548227</v>
      </c>
      <c r="G37">
        <v>6.8140000000000001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5.7894736842103577E-2</v>
      </c>
      <c r="Q37">
        <f t="shared" ref="Q37" si="161">F37*P37</f>
        <v>321213.14210525382</v>
      </c>
      <c r="R37">
        <f t="shared" ref="R37" si="162">R38+Q37</f>
        <v>35767209.28010419</v>
      </c>
      <c r="S37">
        <f t="shared" ref="S37" si="163">R37/100000</f>
        <v>357.67209280104191</v>
      </c>
      <c r="T37">
        <f t="shared" ref="T37" si="164">S37/1000</f>
        <v>0.3576720928010419</v>
      </c>
    </row>
    <row r="38" spans="1:20" x14ac:dyDescent="0.25">
      <c r="A38" s="5">
        <v>44555</v>
      </c>
      <c r="B38">
        <v>6.6849999999999996</v>
      </c>
      <c r="C38">
        <v>6.9379999999999997</v>
      </c>
      <c r="D38">
        <v>6.6219999999999999</v>
      </c>
      <c r="E38">
        <v>6.8159999999999998</v>
      </c>
      <c r="F38">
        <v>5534576.5999999996</v>
      </c>
      <c r="G38">
        <v>6.8159999999999998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0.22784810126582311</v>
      </c>
      <c r="Q38">
        <f t="shared" ref="Q38" si="166">F38*P38</f>
        <v>1261042.7696202549</v>
      </c>
      <c r="R38">
        <f t="shared" ref="R38" si="167">R39+Q38</f>
        <v>35445996.137998939</v>
      </c>
      <c r="S38">
        <f t="shared" ref="S38" si="168">R38/100000</f>
        <v>354.45996137998941</v>
      </c>
      <c r="T38">
        <f t="shared" ref="T38" si="169">S38/1000</f>
        <v>0.35445996137998942</v>
      </c>
    </row>
    <row r="39" spans="1:20" x14ac:dyDescent="0.25">
      <c r="A39" s="5">
        <v>44554</v>
      </c>
      <c r="B39">
        <v>6.907</v>
      </c>
      <c r="C39">
        <v>7.0819999999999999</v>
      </c>
      <c r="D39">
        <v>6.5949999999999998</v>
      </c>
      <c r="E39">
        <v>6.6849999999999996</v>
      </c>
      <c r="F39">
        <v>8430158.5</v>
      </c>
      <c r="G39">
        <v>6.6849999999999996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-0.63039014373716695</v>
      </c>
      <c r="Q39">
        <f t="shared" ref="Q39" si="171">F39*P39</f>
        <v>-5314288.8285420993</v>
      </c>
      <c r="R39">
        <f t="shared" ref="R39" si="172">R40+Q39</f>
        <v>34184953.368378684</v>
      </c>
      <c r="S39">
        <f t="shared" ref="S39" si="173">R39/100000</f>
        <v>341.84953368378683</v>
      </c>
      <c r="T39">
        <f t="shared" ref="T39" si="174">S39/1000</f>
        <v>0.34184953368378684</v>
      </c>
    </row>
    <row r="40" spans="1:20" x14ac:dyDescent="0.25">
      <c r="A40" s="5">
        <v>44553</v>
      </c>
      <c r="B40">
        <v>6.5449999999999999</v>
      </c>
      <c r="C40">
        <v>6.9969999999999999</v>
      </c>
      <c r="D40">
        <v>6.4109999999999996</v>
      </c>
      <c r="E40">
        <v>6.9059999999999997</v>
      </c>
      <c r="F40">
        <v>17420485.399999999</v>
      </c>
      <c r="G40">
        <v>6.9059999999999997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0.68941979522184249</v>
      </c>
      <c r="Q40">
        <f t="shared" ref="Q40" si="176">F40*P40</f>
        <v>12010027.477133095</v>
      </c>
      <c r="R40">
        <f t="shared" ref="R40" si="177">R41+Q40</f>
        <v>39499242.196920782</v>
      </c>
      <c r="S40">
        <f t="shared" ref="S40" si="178">R40/100000</f>
        <v>394.99242196920784</v>
      </c>
      <c r="T40">
        <f t="shared" ref="T40" si="179">S40/1000</f>
        <v>0.39499242196920786</v>
      </c>
    </row>
    <row r="41" spans="1:20" x14ac:dyDescent="0.25">
      <c r="A41" s="5">
        <v>44552</v>
      </c>
      <c r="B41">
        <v>6.1289999999999996</v>
      </c>
      <c r="C41">
        <v>6.8</v>
      </c>
      <c r="D41">
        <v>6.0469999999999997</v>
      </c>
      <c r="E41">
        <v>6.5460000000000003</v>
      </c>
      <c r="F41">
        <v>9379914.5999999996</v>
      </c>
      <c r="G41">
        <v>6.5460000000000003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0.32536520584329476</v>
      </c>
      <c r="Q41">
        <f t="shared" ref="Q41" si="181">F41*P41</f>
        <v>3051897.8446215256</v>
      </c>
      <c r="R41">
        <f t="shared" ref="R41" si="182">R42+Q41</f>
        <v>27489214.719787691</v>
      </c>
      <c r="S41">
        <f t="shared" ref="S41" si="183">R41/100000</f>
        <v>274.89214719787691</v>
      </c>
      <c r="T41">
        <f t="shared" ref="T41" si="184">S41/1000</f>
        <v>0.27489214719787691</v>
      </c>
    </row>
    <row r="42" spans="1:20" x14ac:dyDescent="0.25">
      <c r="A42" s="5">
        <v>44551</v>
      </c>
      <c r="B42">
        <v>5.8639999999999999</v>
      </c>
      <c r="C42">
        <v>6.1449999999999996</v>
      </c>
      <c r="D42">
        <v>5.8230000000000004</v>
      </c>
      <c r="E42">
        <v>6.1280000000000001</v>
      </c>
      <c r="F42">
        <v>5255958.5</v>
      </c>
      <c r="G42">
        <v>6.1280000000000001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0.89440993788820189</v>
      </c>
      <c r="Q42">
        <f t="shared" ref="Q42" si="186">F42*P42</f>
        <v>4700981.5155279664</v>
      </c>
      <c r="R42">
        <f t="shared" ref="R42" si="187">R43+Q42</f>
        <v>24437316.875166167</v>
      </c>
      <c r="S42">
        <f t="shared" ref="S42" si="188">R42/100000</f>
        <v>244.37316875166167</v>
      </c>
      <c r="T42">
        <f t="shared" ref="T42" si="189">S42/1000</f>
        <v>0.24437316875166168</v>
      </c>
    </row>
    <row r="43" spans="1:20" x14ac:dyDescent="0.25">
      <c r="A43" s="5">
        <v>44550</v>
      </c>
      <c r="B43">
        <v>5.92</v>
      </c>
      <c r="C43">
        <v>5.9740000000000002</v>
      </c>
      <c r="D43">
        <v>5.5819999999999999</v>
      </c>
      <c r="E43">
        <v>5.8639999999999999</v>
      </c>
      <c r="F43">
        <v>8606926.5</v>
      </c>
      <c r="G43">
        <v>5.8639999999999999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0.43877551020408051</v>
      </c>
      <c r="Q43">
        <f t="shared" ref="Q43" si="191">F43*P43</f>
        <v>3776508.5663265209</v>
      </c>
      <c r="R43">
        <f t="shared" ref="R43" si="192">R44+Q43</f>
        <v>19736335.359638199</v>
      </c>
      <c r="S43">
        <f t="shared" ref="S43" si="193">R43/100000</f>
        <v>197.36335359638198</v>
      </c>
      <c r="T43">
        <f t="shared" ref="T43" si="194">S43/1000</f>
        <v>0.19736335359638199</v>
      </c>
    </row>
    <row r="44" spans="1:20" x14ac:dyDescent="0.25">
      <c r="A44" s="5">
        <v>44549</v>
      </c>
      <c r="B44">
        <v>6.0419999999999998</v>
      </c>
      <c r="C44">
        <v>6.2160000000000002</v>
      </c>
      <c r="D44">
        <v>5.8840000000000003</v>
      </c>
      <c r="E44">
        <v>5.9210000000000003</v>
      </c>
      <c r="F44">
        <v>5295958.0999999996</v>
      </c>
      <c r="G44">
        <v>5.9210000000000003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-0.7771084337349401</v>
      </c>
      <c r="Q44">
        <f t="shared" ref="Q44" si="196">F44*P44</f>
        <v>-4115533.7042168691</v>
      </c>
      <c r="R44">
        <f t="shared" ref="R44" si="197">R45+Q44</f>
        <v>15959826.79331168</v>
      </c>
      <c r="S44">
        <f t="shared" ref="S44" si="198">R44/100000</f>
        <v>159.5982679331168</v>
      </c>
      <c r="T44">
        <f t="shared" ref="T44" si="199">S44/1000</f>
        <v>0.15959826793311679</v>
      </c>
    </row>
    <row r="45" spans="1:20" x14ac:dyDescent="0.25">
      <c r="A45" s="5">
        <v>44548</v>
      </c>
      <c r="B45">
        <v>5.9240000000000004</v>
      </c>
      <c r="C45">
        <v>6.1840000000000002</v>
      </c>
      <c r="D45">
        <v>5.8049999999999997</v>
      </c>
      <c r="E45">
        <v>6.0419999999999998</v>
      </c>
      <c r="F45">
        <v>5512061.2000000002</v>
      </c>
      <c r="G45">
        <v>6.0419999999999998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0.2506596306068592</v>
      </c>
      <c r="Q45">
        <f t="shared" ref="Q45" si="201">F45*P45</f>
        <v>1381651.2242744011</v>
      </c>
      <c r="R45">
        <f t="shared" ref="R45" si="202">R46+Q45</f>
        <v>20075360.497528549</v>
      </c>
      <c r="S45">
        <f t="shared" ref="S45" si="203">R45/100000</f>
        <v>200.7536049752855</v>
      </c>
      <c r="T45">
        <f t="shared" ref="T45" si="204">S45/1000</f>
        <v>0.20075360497528549</v>
      </c>
    </row>
    <row r="46" spans="1:20" x14ac:dyDescent="0.25">
      <c r="A46" s="5">
        <v>44547</v>
      </c>
      <c r="B46">
        <v>6.1180000000000003</v>
      </c>
      <c r="C46">
        <v>6.6189999999999998</v>
      </c>
      <c r="D46">
        <v>5.8230000000000004</v>
      </c>
      <c r="E46">
        <v>5.9240000000000004</v>
      </c>
      <c r="F46">
        <v>14294663.800000001</v>
      </c>
      <c r="G46">
        <v>5.9240000000000004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-0.74623115577889432</v>
      </c>
      <c r="Q46">
        <f t="shared" ref="Q46" si="206">F46*P46</f>
        <v>-10667123.488944722</v>
      </c>
      <c r="R46">
        <f t="shared" ref="R46" si="207">R47+Q46</f>
        <v>18693709.273254149</v>
      </c>
      <c r="S46">
        <f t="shared" ref="S46" si="208">R46/100000</f>
        <v>186.93709273254149</v>
      </c>
      <c r="T46">
        <f t="shared" ref="T46" si="209">S46/1000</f>
        <v>0.1869370927325415</v>
      </c>
    </row>
    <row r="47" spans="1:20" x14ac:dyDescent="0.25">
      <c r="A47" s="5">
        <v>44546</v>
      </c>
      <c r="B47">
        <v>6.0430000000000001</v>
      </c>
      <c r="C47">
        <v>6.444</v>
      </c>
      <c r="D47">
        <v>6.0289999999999999</v>
      </c>
      <c r="E47">
        <v>6.117</v>
      </c>
      <c r="F47">
        <v>10790269.6</v>
      </c>
      <c r="G47">
        <v>6.117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-0.575903614457831</v>
      </c>
      <c r="Q47">
        <f t="shared" ref="Q47" si="211">F47*P47</f>
        <v>-6214155.2636144543</v>
      </c>
      <c r="R47">
        <f t="shared" ref="R47" si="212">R48+Q47</f>
        <v>29360832.762198873</v>
      </c>
      <c r="S47">
        <f t="shared" ref="S47" si="213">R47/100000</f>
        <v>293.60832762198874</v>
      </c>
      <c r="T47">
        <f t="shared" ref="T47" si="214">S47/1000</f>
        <v>0.29360832762198874</v>
      </c>
    </row>
    <row r="48" spans="1:20" x14ac:dyDescent="0.25">
      <c r="A48" s="5">
        <v>44545</v>
      </c>
      <c r="B48">
        <v>5.9749999999999996</v>
      </c>
      <c r="C48">
        <v>6.1909999999999998</v>
      </c>
      <c r="D48">
        <v>5.5449999999999999</v>
      </c>
      <c r="E48">
        <v>6.0410000000000004</v>
      </c>
      <c r="F48">
        <v>10991659.1</v>
      </c>
      <c r="G48">
        <v>6.0410000000000004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0.53560371517028027</v>
      </c>
      <c r="Q48">
        <f t="shared" ref="Q48" si="216">F48*P48</f>
        <v>5887173.449845219</v>
      </c>
      <c r="R48">
        <f t="shared" ref="R48" si="217">R49+Q48</f>
        <v>35574988.025813326</v>
      </c>
      <c r="S48">
        <f t="shared" ref="S48" si="218">R48/100000</f>
        <v>355.74988025813326</v>
      </c>
      <c r="T48">
        <f t="shared" ref="T48" si="219">S48/1000</f>
        <v>0.35574988025813326</v>
      </c>
    </row>
    <row r="49" spans="1:20" x14ac:dyDescent="0.25">
      <c r="A49" s="5">
        <v>44544</v>
      </c>
      <c r="B49">
        <v>5.7279999999999998</v>
      </c>
      <c r="C49">
        <v>6.141</v>
      </c>
      <c r="D49">
        <v>5.6079999999999997</v>
      </c>
      <c r="E49">
        <v>5.9770000000000003</v>
      </c>
      <c r="F49">
        <v>11358815.800000001</v>
      </c>
      <c r="G49">
        <v>5.9770000000000003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0.38461538461538614</v>
      </c>
      <c r="Q49">
        <f t="shared" ref="Q49" si="221">F49*P49</f>
        <v>4368775.3076923257</v>
      </c>
      <c r="R49">
        <f t="shared" ref="R49" si="222">R50+Q49</f>
        <v>29687814.575968109</v>
      </c>
      <c r="S49">
        <f t="shared" ref="S49" si="223">R49/100000</f>
        <v>296.8781457596811</v>
      </c>
      <c r="T49">
        <f t="shared" ref="T49" si="224">S49/1000</f>
        <v>0.29687814575968108</v>
      </c>
    </row>
    <row r="50" spans="1:20" x14ac:dyDescent="0.25">
      <c r="A50" s="5">
        <v>44543</v>
      </c>
      <c r="B50">
        <v>6.4409999999999998</v>
      </c>
      <c r="C50">
        <v>6.6849999999999996</v>
      </c>
      <c r="D50">
        <v>5.5860000000000003</v>
      </c>
      <c r="E50">
        <v>5.7279999999999998</v>
      </c>
      <c r="F50">
        <v>14384146</v>
      </c>
      <c r="G50">
        <v>5.7279999999999998</v>
      </c>
      <c r="L50" t="s">
        <v>8</v>
      </c>
      <c r="M50" t="s">
        <v>7</v>
      </c>
      <c r="N50" t="s">
        <v>8</v>
      </c>
      <c r="P50">
        <f t="shared" ref="P50" si="225">IF(C50=D50,0,((E50-D50)-(C50-E50))/(C50-D50))</f>
        <v>-0.74158325750682519</v>
      </c>
      <c r="Q50">
        <f t="shared" ref="Q50" si="226">F50*P50</f>
        <v>-10667041.847133769</v>
      </c>
      <c r="R50">
        <f t="shared" ref="R50" si="227">R51+Q50</f>
        <v>25319039.268275782</v>
      </c>
      <c r="S50">
        <f t="shared" ref="S50" si="228">R50/100000</f>
        <v>253.19039268275782</v>
      </c>
      <c r="T50">
        <f t="shared" ref="T50" si="229">S50/1000</f>
        <v>0.25319039268275784</v>
      </c>
    </row>
    <row r="51" spans="1:20" x14ac:dyDescent="0.25">
      <c r="A51" s="5">
        <v>44542</v>
      </c>
      <c r="B51">
        <v>6.3579999999999997</v>
      </c>
      <c r="C51">
        <v>6.5419999999999998</v>
      </c>
      <c r="D51">
        <v>6.226</v>
      </c>
      <c r="E51">
        <v>6.44</v>
      </c>
      <c r="F51">
        <v>5246130.4000000004</v>
      </c>
      <c r="G51">
        <v>6.44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0.35443037974683878</v>
      </c>
      <c r="Q51">
        <f t="shared" ref="Q51" si="231">F51*P51</f>
        <v>1859387.9898734353</v>
      </c>
      <c r="R51">
        <f t="shared" ref="R51" si="232">R52+Q51</f>
        <v>35986081.115409553</v>
      </c>
      <c r="S51">
        <f t="shared" ref="S51" si="233">R51/100000</f>
        <v>359.86081115409553</v>
      </c>
      <c r="T51">
        <f t="shared" ref="T51" si="234">S51/1000</f>
        <v>0.35986081115409552</v>
      </c>
    </row>
    <row r="52" spans="1:20" x14ac:dyDescent="0.25">
      <c r="A52" s="5">
        <v>44541</v>
      </c>
      <c r="B52">
        <v>6.0259999999999998</v>
      </c>
      <c r="C52">
        <v>6.1289999999999996</v>
      </c>
      <c r="D52">
        <v>5.8810000000000002</v>
      </c>
      <c r="E52">
        <v>6.0739999999999998</v>
      </c>
      <c r="F52">
        <v>728260.8</v>
      </c>
      <c r="G52">
        <v>6.0739999999999998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0.55645161290322687</v>
      </c>
      <c r="Q52">
        <f t="shared" ref="Q52" si="236">F52*P52</f>
        <v>405241.89677419432</v>
      </c>
      <c r="R52">
        <f t="shared" ref="R52" si="237">R53+Q52</f>
        <v>34126693.125536114</v>
      </c>
      <c r="S52">
        <f t="shared" ref="S52" si="238">R52/100000</f>
        <v>341.26693125536116</v>
      </c>
      <c r="T52">
        <f t="shared" ref="T52" si="239">S52/1000</f>
        <v>0.34126693125536117</v>
      </c>
    </row>
    <row r="53" spans="1:20" x14ac:dyDescent="0.25">
      <c r="A53" s="5">
        <v>44540</v>
      </c>
      <c r="B53">
        <v>6.3959999999999999</v>
      </c>
      <c r="C53">
        <v>6.5789999999999997</v>
      </c>
      <c r="D53">
        <v>5.9950000000000001</v>
      </c>
      <c r="E53">
        <v>6.0250000000000004</v>
      </c>
      <c r="F53">
        <v>10705831.699999999</v>
      </c>
      <c r="G53">
        <v>6.0250000000000004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-0.89726027397260177</v>
      </c>
      <c r="Q53">
        <f t="shared" ref="Q53" si="241">F53*P53</f>
        <v>-9605917.484246565</v>
      </c>
      <c r="R53">
        <f t="shared" ref="R53" si="242">R54+Q53</f>
        <v>33721451.228761919</v>
      </c>
      <c r="S53">
        <f t="shared" ref="S53" si="243">R53/100000</f>
        <v>337.21451228761919</v>
      </c>
      <c r="T53">
        <f t="shared" ref="T53" si="244">S53/1000</f>
        <v>0.33721451228761917</v>
      </c>
    </row>
    <row r="54" spans="1:20" x14ac:dyDescent="0.25">
      <c r="A54" s="5">
        <v>44539</v>
      </c>
      <c r="B54">
        <v>7.1340000000000003</v>
      </c>
      <c r="C54">
        <v>7.2110000000000003</v>
      </c>
      <c r="D54">
        <v>6.38</v>
      </c>
      <c r="E54">
        <v>6.3970000000000002</v>
      </c>
      <c r="F54">
        <v>12092231</v>
      </c>
      <c r="G54">
        <v>6.3970000000000002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-0.9590854392298428</v>
      </c>
      <c r="Q54">
        <f t="shared" ref="Q54" si="246">F54*P54</f>
        <v>-11597482.679903721</v>
      </c>
      <c r="R54">
        <f t="shared" ref="R54" si="247">R55+Q54</f>
        <v>43327368.713008486</v>
      </c>
      <c r="S54">
        <f t="shared" ref="S54" si="248">R54/100000</f>
        <v>433.27368713008485</v>
      </c>
      <c r="T54">
        <f t="shared" ref="T54" si="249">S54/1000</f>
        <v>0.43327368713008485</v>
      </c>
    </row>
    <row r="55" spans="1:20" x14ac:dyDescent="0.25">
      <c r="A55" s="5">
        <v>44538</v>
      </c>
      <c r="B55">
        <v>7.0460000000000003</v>
      </c>
      <c r="C55">
        <v>7.343</v>
      </c>
      <c r="D55">
        <v>6.57</v>
      </c>
      <c r="E55">
        <v>7.1340000000000003</v>
      </c>
      <c r="F55">
        <v>13144350.300000001</v>
      </c>
      <c r="G55">
        <v>7.1340000000000003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0.45924967658473553</v>
      </c>
      <c r="Q55">
        <f t="shared" ref="Q55" si="251">F55*P55</f>
        <v>6036538.6241914714</v>
      </c>
      <c r="R55">
        <f t="shared" ref="R55" si="252">R56+Q55</f>
        <v>54924851.392912209</v>
      </c>
      <c r="S55">
        <f t="shared" ref="S55" si="253">R55/100000</f>
        <v>549.24851392912205</v>
      </c>
      <c r="T55">
        <f t="shared" ref="T55" si="254">S55/1000</f>
        <v>0.54924851392912211</v>
      </c>
    </row>
    <row r="56" spans="1:20" x14ac:dyDescent="0.25">
      <c r="A56" s="5">
        <v>44537</v>
      </c>
      <c r="B56">
        <v>6.4420000000000002</v>
      </c>
      <c r="C56">
        <v>7.4080000000000004</v>
      </c>
      <c r="D56">
        <v>6.4059999999999997</v>
      </c>
      <c r="E56">
        <v>7.0460000000000003</v>
      </c>
      <c r="F56">
        <v>15399396.5</v>
      </c>
      <c r="G56">
        <v>7.0460000000000003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0.2774451097804394</v>
      </c>
      <c r="Q56">
        <f t="shared" ref="Q56" si="256">F56*P56</f>
        <v>4272487.2524950141</v>
      </c>
      <c r="R56">
        <f t="shared" ref="R56" si="257">R57+Q56</f>
        <v>48888312.768720739</v>
      </c>
      <c r="S56">
        <f t="shared" ref="S56" si="258">R56/100000</f>
        <v>488.88312768720738</v>
      </c>
      <c r="T56">
        <f t="shared" ref="T56" si="259">S56/1000</f>
        <v>0.48888312768720738</v>
      </c>
    </row>
    <row r="57" spans="1:20" x14ac:dyDescent="0.25">
      <c r="A57" s="5">
        <v>44536</v>
      </c>
      <c r="B57">
        <v>6.2279999999999998</v>
      </c>
      <c r="C57">
        <v>6.5529999999999999</v>
      </c>
      <c r="D57">
        <v>5.6760000000000002</v>
      </c>
      <c r="E57">
        <v>6.4379999999999997</v>
      </c>
      <c r="F57">
        <v>24789073.300000001</v>
      </c>
      <c r="G57">
        <v>6.4379999999999997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0.73774230330672697</v>
      </c>
      <c r="Q57">
        <f t="shared" ref="Q57" si="261">F57*P57</f>
        <v>18287948.033181287</v>
      </c>
      <c r="R57">
        <f t="shared" ref="R57" si="262">R58+Q57</f>
        <v>44615825.516225725</v>
      </c>
      <c r="S57">
        <f t="shared" ref="S57" si="263">R57/100000</f>
        <v>446.15825516225726</v>
      </c>
      <c r="T57">
        <f t="shared" ref="T57" si="264">S57/1000</f>
        <v>0.44615825516225727</v>
      </c>
    </row>
    <row r="58" spans="1:20" x14ac:dyDescent="0.25">
      <c r="A58" s="5">
        <v>44535</v>
      </c>
      <c r="B58">
        <v>6.6020000000000003</v>
      </c>
      <c r="C58">
        <v>6.7210000000000001</v>
      </c>
      <c r="D58">
        <v>5.9690000000000003</v>
      </c>
      <c r="E58">
        <v>6.2279999999999998</v>
      </c>
      <c r="F58">
        <v>17044751.800000001</v>
      </c>
      <c r="G58">
        <v>6.2279999999999998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-0.31117021276595869</v>
      </c>
      <c r="Q58">
        <f t="shared" ref="Q58" si="266">F58*P58</f>
        <v>-5303819.0441489574</v>
      </c>
      <c r="R58">
        <f t="shared" ref="R58" si="267">R59+Q58</f>
        <v>26327877.483044438</v>
      </c>
      <c r="S58">
        <f t="shared" ref="S58" si="268">R58/100000</f>
        <v>263.27877483044438</v>
      </c>
      <c r="T58">
        <f t="shared" ref="T58" si="269">S58/1000</f>
        <v>0.26327877483044437</v>
      </c>
    </row>
    <row r="59" spans="1:20" x14ac:dyDescent="0.25">
      <c r="A59" s="5">
        <v>44534</v>
      </c>
      <c r="B59">
        <v>7.6529999999999996</v>
      </c>
      <c r="C59">
        <v>7.6890000000000001</v>
      </c>
      <c r="D59">
        <v>4.7759999999999998</v>
      </c>
      <c r="E59">
        <v>6.6029999999999998</v>
      </c>
      <c r="F59">
        <v>30120308.300000001</v>
      </c>
      <c r="G59">
        <v>6.6029999999999998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0.25437693099897002</v>
      </c>
      <c r="Q59">
        <f t="shared" ref="Q59" si="271">F59*P59</f>
        <v>7661911.5860968046</v>
      </c>
      <c r="R59">
        <f t="shared" ref="R59" si="272">R60+Q59</f>
        <v>31631696.527193394</v>
      </c>
      <c r="S59">
        <f t="shared" ref="S59" si="273">R59/100000</f>
        <v>316.31696527193395</v>
      </c>
      <c r="T59">
        <f t="shared" ref="T59" si="274">S59/1000</f>
        <v>0.31631696527193393</v>
      </c>
    </row>
    <row r="60" spans="1:20" x14ac:dyDescent="0.25">
      <c r="A60" s="5">
        <v>44533</v>
      </c>
      <c r="B60">
        <v>8.1</v>
      </c>
      <c r="C60">
        <v>8.2650000000000006</v>
      </c>
      <c r="D60">
        <v>7.3159999999999998</v>
      </c>
      <c r="E60">
        <v>7.6529999999999996</v>
      </c>
      <c r="F60">
        <v>9601210.0999999996</v>
      </c>
      <c r="G60">
        <v>7.6529999999999996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-0.28977871443624975</v>
      </c>
      <c r="Q60">
        <f t="shared" ref="Q60" si="276">F60*P60</f>
        <v>-2782226.3198103369</v>
      </c>
      <c r="R60">
        <f t="shared" ref="R60" si="277">R61+Q60</f>
        <v>23969784.941096589</v>
      </c>
      <c r="S60">
        <f t="shared" ref="S60" si="278">R60/100000</f>
        <v>239.69784941096589</v>
      </c>
      <c r="T60">
        <f t="shared" ref="T60" si="279">S60/1000</f>
        <v>0.23969784941096589</v>
      </c>
    </row>
    <row r="61" spans="1:20" x14ac:dyDescent="0.25">
      <c r="A61" s="5">
        <v>44532</v>
      </c>
      <c r="B61">
        <v>8.2859999999999996</v>
      </c>
      <c r="C61">
        <v>8.327</v>
      </c>
      <c r="D61">
        <v>8.01</v>
      </c>
      <c r="E61">
        <v>8.1</v>
      </c>
      <c r="F61">
        <v>5167941.8</v>
      </c>
      <c r="G61">
        <v>8.1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-0.43217665615142076</v>
      </c>
      <c r="Q61">
        <f t="shared" ref="Q61" si="281">F61*P61</f>
        <v>-2233463.8063091543</v>
      </c>
      <c r="R61">
        <f t="shared" ref="R61" si="282">R62+Q61</f>
        <v>26752011.260906927</v>
      </c>
      <c r="S61">
        <f t="shared" ref="S61" si="283">R61/100000</f>
        <v>267.52011260906926</v>
      </c>
      <c r="T61">
        <f t="shared" ref="T61" si="284">S61/1000</f>
        <v>0.26752011260906927</v>
      </c>
    </row>
    <row r="62" spans="1:20" x14ac:dyDescent="0.25">
      <c r="A62" s="5">
        <v>44531</v>
      </c>
      <c r="B62">
        <v>8.6389999999999993</v>
      </c>
      <c r="C62">
        <v>8.7530000000000001</v>
      </c>
      <c r="D62">
        <v>8.1999999999999993</v>
      </c>
      <c r="E62">
        <v>8.2859999999999996</v>
      </c>
      <c r="F62">
        <v>7151057.5999999996</v>
      </c>
      <c r="G62">
        <v>8.2859999999999996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-0.68896925858951119</v>
      </c>
      <c r="Q62">
        <f t="shared" ref="Q62" si="286">F62*P62</f>
        <v>-4926858.8528028894</v>
      </c>
      <c r="R62">
        <f t="shared" ref="R62" si="287">R63+Q62</f>
        <v>28985475.067216083</v>
      </c>
      <c r="S62">
        <f t="shared" ref="S62" si="288">R62/100000</f>
        <v>289.85475067216083</v>
      </c>
      <c r="T62">
        <f t="shared" ref="T62" si="289">S62/1000</f>
        <v>0.28985475067216082</v>
      </c>
    </row>
    <row r="63" spans="1:20" x14ac:dyDescent="0.25">
      <c r="A63" s="5">
        <v>44530</v>
      </c>
      <c r="B63">
        <v>8.7789999999999999</v>
      </c>
      <c r="C63">
        <v>9.3109999999999999</v>
      </c>
      <c r="D63">
        <v>8.5589999999999993</v>
      </c>
      <c r="E63">
        <v>8.6379999999999999</v>
      </c>
      <c r="F63">
        <v>21327391</v>
      </c>
      <c r="G63">
        <v>8.6379999999999999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-0.78989361702127514</v>
      </c>
      <c r="Q63">
        <f t="shared" ref="Q63" si="291">F63*P63</f>
        <v>-16846370.018616989</v>
      </c>
      <c r="R63">
        <f t="shared" ref="R63" si="292">R64+Q63</f>
        <v>33912333.920018971</v>
      </c>
      <c r="S63">
        <f t="shared" ref="S63" si="293">R63/100000</f>
        <v>339.12333920018972</v>
      </c>
      <c r="T63">
        <f t="shared" ref="T63" si="294">S63/1000</f>
        <v>0.33912333920018972</v>
      </c>
    </row>
    <row r="64" spans="1:20" x14ac:dyDescent="0.25">
      <c r="A64" s="5">
        <v>44529</v>
      </c>
      <c r="B64">
        <v>8.1</v>
      </c>
      <c r="C64">
        <v>8.9429999999999996</v>
      </c>
      <c r="D64">
        <v>7.9790000000000001</v>
      </c>
      <c r="E64">
        <v>8.7789999999999999</v>
      </c>
      <c r="F64">
        <v>9373214.8000000007</v>
      </c>
      <c r="G64">
        <v>8.7789999999999999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0.65975103734439877</v>
      </c>
      <c r="Q64">
        <f t="shared" ref="Q64" si="296">F64*P64</f>
        <v>6183988.1875518719</v>
      </c>
      <c r="R64">
        <f t="shared" ref="R64" si="297">R65+Q64</f>
        <v>50758703.93863596</v>
      </c>
      <c r="S64">
        <f t="shared" ref="S64" si="298">R64/100000</f>
        <v>507.58703938635961</v>
      </c>
      <c r="T64">
        <f t="shared" ref="T64" si="299">S64/1000</f>
        <v>0.50758703938635963</v>
      </c>
    </row>
    <row r="65" spans="1:20" x14ac:dyDescent="0.25">
      <c r="A65" s="5">
        <v>44528</v>
      </c>
      <c r="B65">
        <v>8.1259999999999994</v>
      </c>
      <c r="C65">
        <v>8.1669999999999998</v>
      </c>
      <c r="D65">
        <v>7.45</v>
      </c>
      <c r="E65">
        <v>8.1010000000000009</v>
      </c>
      <c r="F65">
        <v>8026576.9000000004</v>
      </c>
      <c r="G65">
        <v>8.1010000000000009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0.81589958158996101</v>
      </c>
      <c r="Q65">
        <f t="shared" ref="Q65" si="301">F65*P65</f>
        <v>6548880.7343096463</v>
      </c>
      <c r="R65">
        <f t="shared" ref="R65" si="302">R66+Q65</f>
        <v>44574715.751084089</v>
      </c>
      <c r="S65">
        <f t="shared" ref="S65" si="303">R65/100000</f>
        <v>445.74715751084091</v>
      </c>
      <c r="T65">
        <f t="shared" ref="T65" si="304">S65/1000</f>
        <v>0.44574715751084093</v>
      </c>
    </row>
    <row r="66" spans="1:20" x14ac:dyDescent="0.25">
      <c r="A66" s="5">
        <v>44527</v>
      </c>
      <c r="B66">
        <v>7.9930000000000003</v>
      </c>
      <c r="C66">
        <v>8.27</v>
      </c>
      <c r="D66">
        <v>7.9509999999999996</v>
      </c>
      <c r="E66">
        <v>8.1259999999999994</v>
      </c>
      <c r="F66">
        <v>5428275.9000000004</v>
      </c>
      <c r="G66">
        <v>8.1259999999999994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9.7178683385579001E-2</v>
      </c>
      <c r="Q66">
        <f t="shared" ref="Q66" si="306">F66*P66</f>
        <v>527512.70501566888</v>
      </c>
      <c r="R66">
        <f t="shared" ref="R66" si="307">R67+Q66</f>
        <v>38025835.016774446</v>
      </c>
      <c r="S66">
        <f t="shared" ref="S66" si="308">R66/100000</f>
        <v>380.25835016774448</v>
      </c>
      <c r="T66">
        <f t="shared" ref="T66" si="309">S66/1000</f>
        <v>0.38025835016774451</v>
      </c>
    </row>
    <row r="67" spans="1:20" x14ac:dyDescent="0.25">
      <c r="A67" s="5">
        <v>44526</v>
      </c>
      <c r="B67">
        <v>8.8940000000000001</v>
      </c>
      <c r="C67">
        <v>8.9309999999999992</v>
      </c>
      <c r="D67">
        <v>7.8150000000000004</v>
      </c>
      <c r="E67">
        <v>7.9930000000000003</v>
      </c>
      <c r="F67">
        <v>16366841.1</v>
      </c>
      <c r="G67">
        <v>7.9930000000000003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-0.68100358422939045</v>
      </c>
      <c r="Q67">
        <f t="shared" ref="Q67" si="311">F67*P67</f>
        <v>-11145877.451612899</v>
      </c>
      <c r="R67">
        <f t="shared" ref="R67" si="312">R68+Q67</f>
        <v>37498322.311758779</v>
      </c>
      <c r="S67">
        <f t="shared" ref="S67" si="313">R67/100000</f>
        <v>374.98322311758778</v>
      </c>
      <c r="T67">
        <f t="shared" ref="T67" si="314">S67/1000</f>
        <v>0.37498322311758781</v>
      </c>
    </row>
    <row r="68" spans="1:20" x14ac:dyDescent="0.25">
      <c r="A68" s="5">
        <v>44525</v>
      </c>
      <c r="B68">
        <v>8.6449999999999996</v>
      </c>
      <c r="C68">
        <v>9.1050000000000004</v>
      </c>
      <c r="D68">
        <v>8.5370000000000008</v>
      </c>
      <c r="E68">
        <v>8.89</v>
      </c>
      <c r="F68">
        <v>8614577.8000000007</v>
      </c>
      <c r="G68">
        <v>8.89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0.24295774647887322</v>
      </c>
      <c r="Q68">
        <f t="shared" ref="Q68" si="316">F68*P68</f>
        <v>2092978.4091549297</v>
      </c>
      <c r="R68">
        <f t="shared" ref="R68" si="317">R69+Q68</f>
        <v>48644199.763371676</v>
      </c>
      <c r="S68">
        <f t="shared" ref="S68" si="318">R68/100000</f>
        <v>486.44199763371677</v>
      </c>
      <c r="T68">
        <f t="shared" ref="T68" si="319">S68/1000</f>
        <v>0.48644199763371676</v>
      </c>
    </row>
    <row r="69" spans="1:20" x14ac:dyDescent="0.25">
      <c r="A69" s="5">
        <v>44524</v>
      </c>
      <c r="B69">
        <v>9.3230000000000004</v>
      </c>
      <c r="C69">
        <v>9.3620000000000001</v>
      </c>
      <c r="D69">
        <v>8.891</v>
      </c>
      <c r="E69">
        <v>8.9169999999999998</v>
      </c>
      <c r="F69">
        <v>3314257.2</v>
      </c>
      <c r="G69">
        <v>8.9169999999999998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-0.88959660297240006</v>
      </c>
      <c r="Q69">
        <f t="shared" ref="Q69" si="321">F69*P69</f>
        <v>-2948351.9464968187</v>
      </c>
      <c r="R69">
        <f t="shared" ref="R69" si="322">R70+Q69</f>
        <v>46551221.354216747</v>
      </c>
      <c r="S69">
        <f t="shared" ref="S69" si="323">R69/100000</f>
        <v>465.51221354216744</v>
      </c>
      <c r="T69">
        <f t="shared" ref="T69" si="324">S69/1000</f>
        <v>0.46551221354216743</v>
      </c>
    </row>
    <row r="70" spans="1:20" x14ac:dyDescent="0.25">
      <c r="A70" s="5">
        <v>44523</v>
      </c>
      <c r="B70">
        <v>9.09</v>
      </c>
      <c r="C70">
        <v>9.4390000000000001</v>
      </c>
      <c r="D70">
        <v>8.9939999999999998</v>
      </c>
      <c r="E70">
        <v>9.3260000000000005</v>
      </c>
      <c r="F70">
        <v>9555377.9000000004</v>
      </c>
      <c r="G70">
        <v>9.3260000000000005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0.49213483146067655</v>
      </c>
      <c r="Q70">
        <f t="shared" ref="Q70" si="326">F70*P70</f>
        <v>4702534.2923595738</v>
      </c>
      <c r="R70">
        <f t="shared" ref="R70" si="327">R71+Q70</f>
        <v>49499573.300713569</v>
      </c>
      <c r="S70">
        <f t="shared" ref="S70" si="328">R70/100000</f>
        <v>494.9957330071357</v>
      </c>
      <c r="T70">
        <f t="shared" ref="T70" si="329">S70/1000</f>
        <v>0.49499573300713567</v>
      </c>
    </row>
    <row r="71" spans="1:20" x14ac:dyDescent="0.25">
      <c r="A71" s="5">
        <v>44522</v>
      </c>
      <c r="B71">
        <v>9.5020000000000007</v>
      </c>
      <c r="C71">
        <v>9.5250000000000004</v>
      </c>
      <c r="D71">
        <v>8.9629999999999992</v>
      </c>
      <c r="E71">
        <v>9.0890000000000004</v>
      </c>
      <c r="F71">
        <v>10542140</v>
      </c>
      <c r="G71">
        <v>9.0890000000000004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-0.55160142348754104</v>
      </c>
      <c r="Q71">
        <f t="shared" ref="Q71" si="331">F71*P71</f>
        <v>-5815059.4306049459</v>
      </c>
      <c r="R71">
        <f t="shared" ref="R71" si="332">R72+Q71</f>
        <v>44797039.008353993</v>
      </c>
      <c r="S71">
        <f t="shared" ref="S71" si="333">R71/100000</f>
        <v>447.97039008353994</v>
      </c>
      <c r="T71">
        <f t="shared" ref="T71" si="334">S71/1000</f>
        <v>0.44797039008353995</v>
      </c>
    </row>
    <row r="72" spans="1:20" x14ac:dyDescent="0.25">
      <c r="A72" s="5">
        <v>44521</v>
      </c>
      <c r="B72">
        <v>9.9019999999999992</v>
      </c>
      <c r="C72">
        <v>9.9120000000000008</v>
      </c>
      <c r="D72">
        <v>9.4629999999999992</v>
      </c>
      <c r="E72">
        <v>9.4990000000000006</v>
      </c>
      <c r="F72">
        <v>10355749.699999999</v>
      </c>
      <c r="G72">
        <v>9.4990000000000006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-0.83964365256124174</v>
      </c>
      <c r="Q72">
        <f t="shared" ref="Q72" si="336">F72*P72</f>
        <v>-8695139.5031179823</v>
      </c>
      <c r="R72">
        <f t="shared" ref="R72" si="337">R73+Q72</f>
        <v>50612098.438958943</v>
      </c>
      <c r="S72">
        <f t="shared" ref="S72" si="338">R72/100000</f>
        <v>506.12098438958941</v>
      </c>
      <c r="T72">
        <f t="shared" ref="T72" si="339">S72/1000</f>
        <v>0.50612098438958941</v>
      </c>
    </row>
    <row r="73" spans="1:20" x14ac:dyDescent="0.25">
      <c r="A73" s="5">
        <v>44520</v>
      </c>
      <c r="B73">
        <v>10.151</v>
      </c>
      <c r="C73">
        <v>10.166</v>
      </c>
      <c r="D73">
        <v>9.5589999999999993</v>
      </c>
      <c r="E73">
        <v>9.9</v>
      </c>
      <c r="F73">
        <v>10130159</v>
      </c>
      <c r="G73">
        <v>9.9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0.12355848434926019</v>
      </c>
      <c r="Q73">
        <f t="shared" ref="Q73" si="341">F73*P73</f>
        <v>1251667.0922570173</v>
      </c>
      <c r="R73">
        <f t="shared" ref="R73" si="342">R74+Q73</f>
        <v>59307237.942076929</v>
      </c>
      <c r="S73">
        <f t="shared" ref="S73" si="343">R73/100000</f>
        <v>593.07237942076927</v>
      </c>
      <c r="T73">
        <f t="shared" ref="T73" si="344">S73/1000</f>
        <v>0.59307237942076929</v>
      </c>
    </row>
    <row r="74" spans="1:20" x14ac:dyDescent="0.25">
      <c r="A74" s="5">
        <v>44519</v>
      </c>
      <c r="B74">
        <v>9.0589999999999993</v>
      </c>
      <c r="C74">
        <v>10.619</v>
      </c>
      <c r="D74">
        <v>8.8829999999999991</v>
      </c>
      <c r="E74">
        <v>10.151</v>
      </c>
      <c r="F74">
        <v>26961583.899999999</v>
      </c>
      <c r="G74">
        <v>10.151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0.46082949308755783</v>
      </c>
      <c r="Q74">
        <f t="shared" ref="Q74" si="346">F74*P74</f>
        <v>12424693.041474659</v>
      </c>
      <c r="R74">
        <f t="shared" ref="R74" si="347">R75+Q74</f>
        <v>58055570.849819914</v>
      </c>
      <c r="S74">
        <f t="shared" ref="S74" si="348">R74/100000</f>
        <v>580.55570849819912</v>
      </c>
      <c r="T74">
        <f t="shared" ref="T74" si="349">S74/1000</f>
        <v>0.58055570849819915</v>
      </c>
    </row>
    <row r="75" spans="1:20" x14ac:dyDescent="0.25">
      <c r="A75" s="5">
        <v>44518</v>
      </c>
      <c r="B75">
        <v>10.387</v>
      </c>
      <c r="C75">
        <v>10.39</v>
      </c>
      <c r="D75">
        <v>8.7829999999999995</v>
      </c>
      <c r="E75">
        <v>9.0579999999999998</v>
      </c>
      <c r="F75">
        <v>17777615.600000001</v>
      </c>
      <c r="G75">
        <v>9.0579999999999998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-0.65774735532047268</v>
      </c>
      <c r="Q75">
        <f t="shared" ref="Q75" si="351">F75*P75</f>
        <v>-11693179.644803979</v>
      </c>
      <c r="R75">
        <f t="shared" ref="R75" si="352">R76+Q75</f>
        <v>45630877.808345258</v>
      </c>
      <c r="S75">
        <f t="shared" ref="S75" si="353">R75/100000</f>
        <v>456.30877808345258</v>
      </c>
      <c r="T75">
        <f t="shared" ref="T75" si="354">S75/1000</f>
        <v>0.4563087780834526</v>
      </c>
    </row>
    <row r="76" spans="1:20" x14ac:dyDescent="0.25">
      <c r="A76" s="5">
        <v>44517</v>
      </c>
      <c r="B76">
        <v>10.301</v>
      </c>
      <c r="C76">
        <v>10.94</v>
      </c>
      <c r="D76">
        <v>10.09</v>
      </c>
      <c r="E76">
        <v>10.387</v>
      </c>
      <c r="F76">
        <v>24199738.100000001</v>
      </c>
      <c r="G76">
        <v>10.387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-0.3011764705882336</v>
      </c>
      <c r="Q76">
        <f t="shared" ref="Q76" si="356">F76*P76</f>
        <v>-7288391.7101176064</v>
      </c>
      <c r="R76">
        <f t="shared" ref="R76" si="357">R77+Q76</f>
        <v>57324057.453149237</v>
      </c>
      <c r="S76">
        <f t="shared" ref="S76" si="358">R76/100000</f>
        <v>573.24057453149237</v>
      </c>
      <c r="T76">
        <f t="shared" ref="T76" si="359">S76/1000</f>
        <v>0.57324057453149235</v>
      </c>
    </row>
    <row r="77" spans="1:20" x14ac:dyDescent="0.25">
      <c r="A77" s="5">
        <v>44516</v>
      </c>
      <c r="B77">
        <v>11.173</v>
      </c>
      <c r="C77">
        <v>11.175000000000001</v>
      </c>
      <c r="D77">
        <v>9.27</v>
      </c>
      <c r="E77">
        <v>10.301</v>
      </c>
      <c r="F77">
        <v>25660875.399999999</v>
      </c>
      <c r="G77">
        <v>10.301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8.241469816272963E-2</v>
      </c>
      <c r="Q77">
        <f t="shared" ref="Q77" si="361">F77*P77</f>
        <v>2114833.3006824139</v>
      </c>
      <c r="R77">
        <f t="shared" ref="R77" si="362">R78+Q77</f>
        <v>64612449.163266845</v>
      </c>
      <c r="S77">
        <f t="shared" ref="S77" si="363">R77/100000</f>
        <v>646.12449163266842</v>
      </c>
      <c r="T77">
        <f t="shared" ref="T77" si="364">S77/1000</f>
        <v>0.64612449163266839</v>
      </c>
    </row>
    <row r="78" spans="1:20" x14ac:dyDescent="0.25">
      <c r="A78" s="5">
        <v>44515</v>
      </c>
      <c r="B78">
        <v>11.837999999999999</v>
      </c>
      <c r="C78">
        <v>11.856</v>
      </c>
      <c r="D78">
        <v>11.111000000000001</v>
      </c>
      <c r="E78">
        <v>11.173999999999999</v>
      </c>
      <c r="F78">
        <v>10358733.199999999</v>
      </c>
      <c r="G78">
        <v>11.173999999999999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-0.83087248322147944</v>
      </c>
      <c r="Q78">
        <f t="shared" ref="Q78" si="366">F78*P78</f>
        <v>-8606786.376912782</v>
      </c>
      <c r="R78">
        <f t="shared" ref="R78" si="367">R79+Q78</f>
        <v>62497615.862584434</v>
      </c>
      <c r="S78">
        <f t="shared" ref="S78" si="368">R78/100000</f>
        <v>624.97615862584439</v>
      </c>
      <c r="T78">
        <f t="shared" ref="T78" si="369">S78/1000</f>
        <v>0.62497615862584444</v>
      </c>
    </row>
    <row r="79" spans="1:20" x14ac:dyDescent="0.25">
      <c r="A79" s="5">
        <v>44514</v>
      </c>
      <c r="B79">
        <v>12.19</v>
      </c>
      <c r="C79">
        <v>12.205</v>
      </c>
      <c r="D79">
        <v>11.526</v>
      </c>
      <c r="E79">
        <v>11.835000000000001</v>
      </c>
      <c r="F79">
        <v>8723053.6999999993</v>
      </c>
      <c r="G79">
        <v>11.835000000000001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-8.9837997054489166E-2</v>
      </c>
      <c r="Q79">
        <f t="shared" ref="Q79" si="371">F79*P79</f>
        <v>-783661.67260675074</v>
      </c>
      <c r="R79">
        <f t="shared" ref="R79" si="372">R80+Q79</f>
        <v>71104402.239497215</v>
      </c>
      <c r="S79">
        <f t="shared" ref="S79" si="373">R79/100000</f>
        <v>711.0440223949721</v>
      </c>
      <c r="T79">
        <f t="shared" ref="T79" si="374">S79/1000</f>
        <v>0.71104402239497211</v>
      </c>
    </row>
    <row r="80" spans="1:20" x14ac:dyDescent="0.25">
      <c r="A80" s="5">
        <v>44513</v>
      </c>
      <c r="B80">
        <v>13.041</v>
      </c>
      <c r="C80">
        <v>13.273999999999999</v>
      </c>
      <c r="D80">
        <v>11.721</v>
      </c>
      <c r="E80">
        <v>12.19</v>
      </c>
      <c r="F80">
        <v>16937145.800000001</v>
      </c>
      <c r="G80">
        <v>12.19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-0.396007726980039</v>
      </c>
      <c r="Q80">
        <f t="shared" ref="Q80" si="376">F80*P80</f>
        <v>-6707240.6097875144</v>
      </c>
      <c r="R80">
        <f t="shared" ref="R80" si="377">R81+Q80</f>
        <v>71888063.912103966</v>
      </c>
      <c r="S80">
        <f t="shared" ref="S80" si="378">R80/100000</f>
        <v>718.88063912103962</v>
      </c>
      <c r="T80">
        <f t="shared" ref="T80" si="379">S80/1000</f>
        <v>0.71888063912103961</v>
      </c>
    </row>
    <row r="81" spans="1:20" x14ac:dyDescent="0.25">
      <c r="A81" s="5">
        <v>44512</v>
      </c>
      <c r="B81">
        <v>17.402999999999999</v>
      </c>
      <c r="C81">
        <v>17.507999999999999</v>
      </c>
      <c r="D81">
        <v>12.2</v>
      </c>
      <c r="E81">
        <v>13.042</v>
      </c>
      <c r="F81">
        <v>76354997.099999994</v>
      </c>
      <c r="G81">
        <v>13.042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-0.68274302938960041</v>
      </c>
      <c r="Q81">
        <f t="shared" ref="Q81" si="381">F81*P81</f>
        <v>-52130842.029088147</v>
      </c>
      <c r="R81">
        <f t="shared" ref="R81" si="382">R82+Q81</f>
        <v>78595304.521891475</v>
      </c>
      <c r="S81">
        <f t="shared" ref="S81" si="383">R81/100000</f>
        <v>785.95304521891478</v>
      </c>
      <c r="T81">
        <f t="shared" ref="T81" si="384">S81/1000</f>
        <v>0.78595304521891474</v>
      </c>
    </row>
    <row r="82" spans="1:20" x14ac:dyDescent="0.25">
      <c r="A82" s="5">
        <v>44511</v>
      </c>
      <c r="B82">
        <v>15.207000000000001</v>
      </c>
      <c r="C82">
        <v>19.7</v>
      </c>
      <c r="D82">
        <v>15.087999999999999</v>
      </c>
      <c r="E82">
        <v>17.402999999999999</v>
      </c>
      <c r="F82">
        <v>44948939.700000003</v>
      </c>
      <c r="G82">
        <v>17.402999999999999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3.9028620988722693E-3</v>
      </c>
      <c r="Q82">
        <f t="shared" ref="Q82" si="386">F82*P82</f>
        <v>175429.51313962508</v>
      </c>
      <c r="R82">
        <f t="shared" ref="R82" si="387">R83+Q82</f>
        <v>130726146.55097963</v>
      </c>
      <c r="S82">
        <f t="shared" ref="S82" si="388">R82/100000</f>
        <v>1307.2614655097964</v>
      </c>
      <c r="T82">
        <f t="shared" ref="T82" si="389">S82/1000</f>
        <v>1.3072614655097963</v>
      </c>
    </row>
    <row r="83" spans="1:20" x14ac:dyDescent="0.25">
      <c r="A83" s="5">
        <v>44510</v>
      </c>
      <c r="B83">
        <v>16.401</v>
      </c>
      <c r="C83">
        <v>17.489999999999998</v>
      </c>
      <c r="D83">
        <v>14.724</v>
      </c>
      <c r="E83">
        <v>15.208</v>
      </c>
      <c r="F83">
        <v>21988882</v>
      </c>
      <c r="G83">
        <v>15.208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-0.65003615328994913</v>
      </c>
      <c r="Q83">
        <f t="shared" ref="Q83" si="391">F83*P83</f>
        <v>-14293568.270426603</v>
      </c>
      <c r="R83">
        <f t="shared" ref="R83" si="392">R84+Q83</f>
        <v>130550717.03784001</v>
      </c>
      <c r="S83">
        <f t="shared" ref="S83" si="393">R83/100000</f>
        <v>1305.5071703784001</v>
      </c>
      <c r="T83">
        <f t="shared" ref="T83" si="394">S83/1000</f>
        <v>1.3055071703784</v>
      </c>
    </row>
    <row r="84" spans="1:20" x14ac:dyDescent="0.25">
      <c r="A84" s="5">
        <v>44509</v>
      </c>
      <c r="B84">
        <v>17.495999999999999</v>
      </c>
      <c r="C84">
        <v>18.023</v>
      </c>
      <c r="D84">
        <v>15.933</v>
      </c>
      <c r="E84">
        <v>16.399999999999999</v>
      </c>
      <c r="F84">
        <v>28701093.600000001</v>
      </c>
      <c r="G84">
        <v>16.399999999999999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-0.55311004784689111</v>
      </c>
      <c r="Q84">
        <f t="shared" ref="Q84" si="396">F84*P84</f>
        <v>-15874863.254354101</v>
      </c>
      <c r="R84">
        <f t="shared" ref="R84" si="397">R85+Q84</f>
        <v>144844285.30826661</v>
      </c>
      <c r="S84">
        <f t="shared" ref="S84" si="398">R84/100000</f>
        <v>1448.442853082666</v>
      </c>
      <c r="T84">
        <f t="shared" ref="T84" si="399">S84/1000</f>
        <v>1.4484428530826661</v>
      </c>
    </row>
    <row r="85" spans="1:20" x14ac:dyDescent="0.25">
      <c r="A85" s="5">
        <v>44508</v>
      </c>
      <c r="B85">
        <v>16.460999999999999</v>
      </c>
      <c r="C85">
        <v>17.917000000000002</v>
      </c>
      <c r="D85">
        <v>15.56</v>
      </c>
      <c r="E85">
        <v>17.503</v>
      </c>
      <c r="F85">
        <v>20327063.300000001</v>
      </c>
      <c r="G85">
        <v>17.503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0.64870598218073716</v>
      </c>
      <c r="Q85">
        <f t="shared" ref="Q85" si="401">F85*P85</f>
        <v>13186287.562876517</v>
      </c>
      <c r="R85">
        <f t="shared" ref="R85" si="402">R86+Q85</f>
        <v>160719148.5626207</v>
      </c>
      <c r="S85">
        <f t="shared" ref="S85" si="403">R85/100000</f>
        <v>1607.1914856262069</v>
      </c>
      <c r="T85">
        <f t="shared" ref="T85" si="404">S85/1000</f>
        <v>1.6071914856262068</v>
      </c>
    </row>
    <row r="86" spans="1:20" x14ac:dyDescent="0.25">
      <c r="A86" s="5">
        <v>44507</v>
      </c>
      <c r="B86">
        <v>16.683</v>
      </c>
      <c r="C86">
        <v>17.666</v>
      </c>
      <c r="D86">
        <v>16.268000000000001</v>
      </c>
      <c r="E86">
        <v>16.462</v>
      </c>
      <c r="F86">
        <v>13000539.800000001</v>
      </c>
      <c r="G86">
        <v>16.462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-0.72246065808297699</v>
      </c>
      <c r="Q86">
        <f t="shared" ref="Q86" si="406">F86*P86</f>
        <v>-9392378.539341934</v>
      </c>
      <c r="R86">
        <f t="shared" ref="R86" si="407">R87+Q86</f>
        <v>147532860.99974418</v>
      </c>
      <c r="S86">
        <f t="shared" ref="S86" si="408">R86/100000</f>
        <v>1475.3286099974418</v>
      </c>
      <c r="T86">
        <f t="shared" ref="T86" si="409">S86/1000</f>
        <v>1.4753286099974419</v>
      </c>
    </row>
    <row r="87" spans="1:20" x14ac:dyDescent="0.25">
      <c r="A87" s="5">
        <v>44506</v>
      </c>
      <c r="B87">
        <v>17.158999999999999</v>
      </c>
      <c r="C87">
        <v>17.170000000000002</v>
      </c>
      <c r="D87">
        <v>15.75</v>
      </c>
      <c r="E87">
        <v>16.675000000000001</v>
      </c>
      <c r="F87">
        <v>13153726.6</v>
      </c>
      <c r="G87">
        <v>16.675000000000001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0.30281690140845013</v>
      </c>
      <c r="Q87">
        <f t="shared" ref="Q87" si="411">F87*P87</f>
        <v>3983170.7309859078</v>
      </c>
      <c r="R87">
        <f t="shared" ref="R87" si="412">R88+Q87</f>
        <v>156925239.5390861</v>
      </c>
      <c r="S87">
        <f t="shared" ref="S87" si="413">R87/100000</f>
        <v>1569.252395390861</v>
      </c>
      <c r="T87">
        <f t="shared" ref="T87" si="414">S87/1000</f>
        <v>1.569252395390861</v>
      </c>
    </row>
    <row r="88" spans="1:20" x14ac:dyDescent="0.25">
      <c r="A88" s="5">
        <v>44505</v>
      </c>
      <c r="B88">
        <v>19.216000000000001</v>
      </c>
      <c r="C88">
        <v>20.123999999999999</v>
      </c>
      <c r="D88">
        <v>16.690999999999999</v>
      </c>
      <c r="E88">
        <v>17.158999999999999</v>
      </c>
      <c r="F88">
        <v>32188545.43</v>
      </c>
      <c r="G88">
        <v>17.158999999999999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-0.72735217011360331</v>
      </c>
      <c r="Q88">
        <f t="shared" ref="Q88" si="416">F88*P88</f>
        <v>-23412408.371310808</v>
      </c>
      <c r="R88">
        <f t="shared" ref="R88" si="417">R89+Q88</f>
        <v>152942068.80810019</v>
      </c>
      <c r="S88">
        <f t="shared" ref="S88" si="418">R88/100000</f>
        <v>1529.420688081002</v>
      </c>
      <c r="T88">
        <f t="shared" ref="T88" si="419">S88/1000</f>
        <v>1.529420688081002</v>
      </c>
    </row>
    <row r="89" spans="1:20" x14ac:dyDescent="0.25">
      <c r="A89" s="5">
        <v>44504</v>
      </c>
      <c r="B89">
        <v>15.345000000000001</v>
      </c>
      <c r="C89">
        <v>19.22</v>
      </c>
      <c r="D89">
        <v>15.18</v>
      </c>
      <c r="E89">
        <v>19.216000000000001</v>
      </c>
      <c r="F89">
        <v>35062562.619999997</v>
      </c>
      <c r="G89">
        <v>19.216000000000001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0.99801980198019913</v>
      </c>
      <c r="Q89">
        <f t="shared" ref="Q89" si="421">F89*P89</f>
        <v>34993131.802930728</v>
      </c>
      <c r="R89">
        <f t="shared" ref="R89" si="422">R90+Q89</f>
        <v>176354477.17941099</v>
      </c>
      <c r="S89">
        <f t="shared" ref="S89" si="423">R89/100000</f>
        <v>1763.5447717941099</v>
      </c>
      <c r="T89">
        <f t="shared" ref="T89" si="424">S89/1000</f>
        <v>1.76354477179411</v>
      </c>
    </row>
    <row r="90" spans="1:20" x14ac:dyDescent="0.25">
      <c r="A90" s="5">
        <v>44503</v>
      </c>
      <c r="B90">
        <v>14.808</v>
      </c>
      <c r="C90">
        <v>15.411</v>
      </c>
      <c r="D90">
        <v>13.877000000000001</v>
      </c>
      <c r="E90">
        <v>15.347</v>
      </c>
      <c r="F90">
        <v>15875637.800000001</v>
      </c>
      <c r="G90">
        <v>15.347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0.91655801825293337</v>
      </c>
      <c r="Q90">
        <f t="shared" ref="Q90" si="426">F90*P90</f>
        <v>14550943.12046936</v>
      </c>
      <c r="R90">
        <f t="shared" ref="R90" si="427">R91+Q90</f>
        <v>141361345.37648028</v>
      </c>
      <c r="S90">
        <f t="shared" ref="S90" si="428">R90/100000</f>
        <v>1413.6134537648029</v>
      </c>
      <c r="T90">
        <f t="shared" ref="T90" si="429">S90/1000</f>
        <v>1.4136134537648029</v>
      </c>
    </row>
    <row r="91" spans="1:20" x14ac:dyDescent="0.25">
      <c r="A91" s="5">
        <v>44502</v>
      </c>
      <c r="B91">
        <v>14.68</v>
      </c>
      <c r="C91">
        <v>15.608000000000001</v>
      </c>
      <c r="D91">
        <v>14.419</v>
      </c>
      <c r="E91">
        <v>14.808</v>
      </c>
      <c r="F91">
        <v>12688496.6</v>
      </c>
      <c r="G91">
        <v>14.808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-0.34566862910008522</v>
      </c>
      <c r="Q91">
        <f t="shared" ref="Q91" si="431">F91*P91</f>
        <v>-4386015.2250630921</v>
      </c>
      <c r="R91">
        <f t="shared" ref="R91" si="432">R92+Q91</f>
        <v>126810402.25601092</v>
      </c>
      <c r="S91">
        <f t="shared" ref="S91" si="433">R91/100000</f>
        <v>1268.1040225601091</v>
      </c>
      <c r="T91">
        <f t="shared" ref="T91" si="434">S91/1000</f>
        <v>1.268104022560109</v>
      </c>
    </row>
    <row r="92" spans="1:20" x14ac:dyDescent="0.25">
      <c r="A92" s="5">
        <v>44501</v>
      </c>
      <c r="B92">
        <v>13.41</v>
      </c>
      <c r="C92">
        <v>15.177</v>
      </c>
      <c r="D92">
        <v>13.334</v>
      </c>
      <c r="E92">
        <v>14.679</v>
      </c>
      <c r="F92">
        <v>17732425.800000001</v>
      </c>
      <c r="G92">
        <v>14.679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0.45957677699403221</v>
      </c>
      <c r="Q92">
        <f t="shared" ref="Q92" si="436">F92*P92</f>
        <v>8149411.0974498233</v>
      </c>
      <c r="R92">
        <f t="shared" ref="R92" si="437">R93+Q92</f>
        <v>131196417.48107401</v>
      </c>
      <c r="S92">
        <f t="shared" ref="S92" si="438">R92/100000</f>
        <v>1311.9641748107401</v>
      </c>
      <c r="T92">
        <f t="shared" ref="T92" si="439">S92/1000</f>
        <v>1.3119641748107402</v>
      </c>
    </row>
    <row r="93" spans="1:20" x14ac:dyDescent="0.25">
      <c r="A93" s="5">
        <v>44500</v>
      </c>
      <c r="B93">
        <v>13.542</v>
      </c>
      <c r="C93">
        <v>13.693</v>
      </c>
      <c r="D93">
        <v>12.84</v>
      </c>
      <c r="E93">
        <v>13.411</v>
      </c>
      <c r="F93">
        <v>5740710.9000000004</v>
      </c>
      <c r="G93">
        <v>13.411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0.33880422039859293</v>
      </c>
      <c r="Q93">
        <f t="shared" ref="Q93" si="441">F93*P93</f>
        <v>1944977.081008205</v>
      </c>
      <c r="R93">
        <f t="shared" ref="R93" si="442">R94+Q93</f>
        <v>123047006.38362418</v>
      </c>
      <c r="S93">
        <f t="shared" ref="S93" si="443">R93/100000</f>
        <v>1230.4700638362417</v>
      </c>
      <c r="T93">
        <f t="shared" ref="T93" si="444">S93/1000</f>
        <v>1.2304700638362418</v>
      </c>
    </row>
    <row r="94" spans="1:20" x14ac:dyDescent="0.25">
      <c r="A94" s="5">
        <v>44499</v>
      </c>
      <c r="B94">
        <v>13.574999999999999</v>
      </c>
      <c r="C94">
        <v>14.191000000000001</v>
      </c>
      <c r="D94">
        <v>13.144</v>
      </c>
      <c r="E94">
        <v>13.54</v>
      </c>
      <c r="F94">
        <v>6685810.7999999998</v>
      </c>
      <c r="G94">
        <v>13.54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-0.24355300859599086</v>
      </c>
      <c r="Q94">
        <f t="shared" ref="Q94" si="446">F94*P94</f>
        <v>-1628349.3352435685</v>
      </c>
      <c r="R94">
        <f t="shared" ref="R94" si="447">R95+Q94</f>
        <v>121102029.30261597</v>
      </c>
      <c r="S94">
        <f t="shared" ref="S94" si="448">R94/100000</f>
        <v>1211.0202930261596</v>
      </c>
      <c r="T94">
        <f t="shared" ref="T94" si="449">S94/1000</f>
        <v>1.2110202930261595</v>
      </c>
    </row>
    <row r="95" spans="1:20" x14ac:dyDescent="0.25">
      <c r="A95" s="5">
        <v>44498</v>
      </c>
      <c r="B95">
        <v>13.212</v>
      </c>
      <c r="C95">
        <v>13.696999999999999</v>
      </c>
      <c r="D95">
        <v>12.926</v>
      </c>
      <c r="E95">
        <v>13.567</v>
      </c>
      <c r="F95">
        <v>6994749</v>
      </c>
      <c r="G95">
        <v>13.567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0.66277561608301128</v>
      </c>
      <c r="Q95">
        <f t="shared" ref="Q95" si="451">F95*P95</f>
        <v>4635949.0778210275</v>
      </c>
      <c r="R95">
        <f t="shared" ref="R95" si="452">R96+Q95</f>
        <v>122730378.63785954</v>
      </c>
      <c r="S95">
        <f t="shared" ref="S95" si="453">R95/100000</f>
        <v>1227.3037863785953</v>
      </c>
      <c r="T95">
        <f t="shared" ref="T95" si="454">S95/1000</f>
        <v>1.2273037863785954</v>
      </c>
    </row>
    <row r="96" spans="1:20" x14ac:dyDescent="0.25">
      <c r="A96" s="5">
        <v>44497</v>
      </c>
      <c r="B96">
        <v>12.718</v>
      </c>
      <c r="C96">
        <v>13.371</v>
      </c>
      <c r="D96">
        <v>12.516</v>
      </c>
      <c r="E96">
        <v>13.212999999999999</v>
      </c>
      <c r="F96">
        <v>8895615.3000000007</v>
      </c>
      <c r="G96">
        <v>13.212999999999999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0.63040935672514342</v>
      </c>
      <c r="Q96">
        <f t="shared" ref="Q96" si="456">F96*P96</f>
        <v>5607879.1189473439</v>
      </c>
      <c r="R96">
        <f t="shared" ref="R96" si="457">R97+Q96</f>
        <v>118094429.56003851</v>
      </c>
      <c r="S96">
        <f t="shared" ref="S96" si="458">R96/100000</f>
        <v>1180.944295600385</v>
      </c>
      <c r="T96">
        <f t="shared" ref="T96" si="459">S96/1000</f>
        <v>1.1809442956003851</v>
      </c>
    </row>
    <row r="97" spans="1:20" x14ac:dyDescent="0.25">
      <c r="A97" s="5">
        <v>44496</v>
      </c>
      <c r="B97">
        <v>14.097</v>
      </c>
      <c r="C97">
        <v>14.255000000000001</v>
      </c>
      <c r="D97">
        <v>11.901999999999999</v>
      </c>
      <c r="E97">
        <v>12.718</v>
      </c>
      <c r="F97">
        <v>11834189.300000001</v>
      </c>
      <c r="G97">
        <v>12.718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-0.30641733956651068</v>
      </c>
      <c r="Q97">
        <f t="shared" ref="Q97" si="461">F97*P97</f>
        <v>-3626200.8012324674</v>
      </c>
      <c r="R97">
        <f t="shared" ref="R97" si="462">R98+Q97</f>
        <v>112486550.44109116</v>
      </c>
      <c r="S97">
        <f t="shared" ref="S97" si="463">R97/100000</f>
        <v>1124.8655044109116</v>
      </c>
      <c r="T97">
        <f t="shared" ref="T97" si="464">S97/1000</f>
        <v>1.1248655044109117</v>
      </c>
    </row>
    <row r="98" spans="1:20" x14ac:dyDescent="0.25">
      <c r="A98" s="5">
        <v>44495</v>
      </c>
      <c r="B98">
        <v>14.464</v>
      </c>
      <c r="C98">
        <v>14.757</v>
      </c>
      <c r="D98">
        <v>14.004</v>
      </c>
      <c r="E98">
        <v>14.097</v>
      </c>
      <c r="F98">
        <v>5662600.7000000002</v>
      </c>
      <c r="G98">
        <v>14.097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-0.75298804780876505</v>
      </c>
      <c r="Q98">
        <f t="shared" ref="Q98" si="466">F98*P98</f>
        <v>-4263870.6466135466</v>
      </c>
      <c r="R98">
        <f t="shared" ref="R98" si="467">R99+Q98</f>
        <v>116112751.24232364</v>
      </c>
      <c r="S98">
        <f t="shared" ref="S98" si="468">R98/100000</f>
        <v>1161.1275124232363</v>
      </c>
      <c r="T98">
        <f t="shared" ref="T98" si="469">S98/1000</f>
        <v>1.1611275124232363</v>
      </c>
    </row>
    <row r="99" spans="1:20" x14ac:dyDescent="0.25">
      <c r="A99" s="5">
        <v>44494</v>
      </c>
      <c r="B99">
        <v>14.336</v>
      </c>
      <c r="C99">
        <v>15.314</v>
      </c>
      <c r="D99">
        <v>14.135999999999999</v>
      </c>
      <c r="E99">
        <v>14.464</v>
      </c>
      <c r="F99">
        <v>8075405.5</v>
      </c>
      <c r="G99">
        <v>14.464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-0.44312393887945511</v>
      </c>
      <c r="Q99">
        <f t="shared" ref="Q99" si="471">F99*P99</f>
        <v>-3578405.4932088158</v>
      </c>
      <c r="R99">
        <f t="shared" ref="R99" si="472">R100+Q99</f>
        <v>120376621.88893719</v>
      </c>
      <c r="S99">
        <f t="shared" ref="S99" si="473">R99/100000</f>
        <v>1203.7662188893719</v>
      </c>
      <c r="T99">
        <f t="shared" ref="T99" si="474">S99/1000</f>
        <v>1.2037662188893719</v>
      </c>
    </row>
    <row r="100" spans="1:20" x14ac:dyDescent="0.25">
      <c r="A100" s="5">
        <v>44493</v>
      </c>
      <c r="B100">
        <v>14.23</v>
      </c>
      <c r="C100">
        <v>14.778</v>
      </c>
      <c r="D100">
        <v>13.851000000000001</v>
      </c>
      <c r="E100">
        <v>14.337</v>
      </c>
      <c r="F100">
        <v>7058641.7999999998</v>
      </c>
      <c r="G100">
        <v>14.337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4.8543689320386378E-2</v>
      </c>
      <c r="Q100">
        <f t="shared" ref="Q100" si="476">F100*P100</f>
        <v>342652.51456309285</v>
      </c>
      <c r="R100">
        <f t="shared" ref="R100" si="477">R101+Q100</f>
        <v>123955027.382146</v>
      </c>
      <c r="S100">
        <f t="shared" ref="S100" si="478">R100/100000</f>
        <v>1239.55027382146</v>
      </c>
      <c r="T100">
        <f t="shared" ref="T100" si="479">S100/1000</f>
        <v>1.2395502738214601</v>
      </c>
    </row>
    <row r="101" spans="1:20" x14ac:dyDescent="0.25">
      <c r="A101" s="5">
        <v>44492</v>
      </c>
      <c r="B101">
        <v>14.164</v>
      </c>
      <c r="C101">
        <v>14.542</v>
      </c>
      <c r="D101">
        <v>13.954000000000001</v>
      </c>
      <c r="E101">
        <v>14.23</v>
      </c>
      <c r="F101">
        <v>4738176.0999999996</v>
      </c>
      <c r="G101">
        <v>14.23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-6.1224489795917748E-2</v>
      </c>
      <c r="Q101">
        <f t="shared" ref="Q101" si="481">F101*P101</f>
        <v>-290092.4142857113</v>
      </c>
      <c r="R101">
        <f t="shared" ref="R101" si="482">R102+Q101</f>
        <v>123612374.8675829</v>
      </c>
      <c r="S101">
        <f t="shared" ref="S101" si="483">R101/100000</f>
        <v>1236.1237486758291</v>
      </c>
      <c r="T101">
        <f t="shared" ref="T101" si="484">S101/1000</f>
        <v>1.2361237486758292</v>
      </c>
    </row>
    <row r="102" spans="1:20" x14ac:dyDescent="0.25">
      <c r="A102" s="5">
        <v>44491</v>
      </c>
      <c r="B102">
        <v>14.78</v>
      </c>
      <c r="C102">
        <v>16.234000000000002</v>
      </c>
      <c r="D102">
        <v>13.948</v>
      </c>
      <c r="E102">
        <v>14.164</v>
      </c>
      <c r="F102">
        <v>13512918.199999999</v>
      </c>
      <c r="G102">
        <v>14.164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-0.81102362204724476</v>
      </c>
      <c r="Q102">
        <f t="shared" ref="Q102" si="486">F102*P102</f>
        <v>-10959295.862992134</v>
      </c>
      <c r="R102">
        <f t="shared" ref="R102" si="487">R103+Q102</f>
        <v>123902467.28186861</v>
      </c>
      <c r="S102">
        <f t="shared" ref="S102" si="488">R102/100000</f>
        <v>1239.024672818686</v>
      </c>
      <c r="T102">
        <f t="shared" ref="T102" si="489">S102/1000</f>
        <v>1.239024672818686</v>
      </c>
    </row>
    <row r="103" spans="1:20" x14ac:dyDescent="0.25">
      <c r="A103" s="5">
        <v>44490</v>
      </c>
      <c r="B103">
        <v>14.667999999999999</v>
      </c>
      <c r="C103">
        <v>15.992000000000001</v>
      </c>
      <c r="D103">
        <v>14.363</v>
      </c>
      <c r="E103">
        <v>14.78</v>
      </c>
      <c r="F103">
        <v>9405139.9000000004</v>
      </c>
      <c r="G103">
        <v>14.78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-0.48802946593001906</v>
      </c>
      <c r="Q103">
        <f t="shared" ref="Q103" si="491">F103*P103</f>
        <v>-4589985.4023941131</v>
      </c>
      <c r="R103">
        <f t="shared" ref="R103" si="492">R104+Q103</f>
        <v>134861763.14486074</v>
      </c>
      <c r="S103">
        <f t="shared" ref="S103" si="493">R103/100000</f>
        <v>1348.6176314486074</v>
      </c>
      <c r="T103">
        <f t="shared" ref="T103" si="494">S103/1000</f>
        <v>1.3486176314486074</v>
      </c>
    </row>
    <row r="104" spans="1:20" x14ac:dyDescent="0.25">
      <c r="A104" s="5">
        <v>44489</v>
      </c>
      <c r="B104">
        <v>14.191000000000001</v>
      </c>
      <c r="C104">
        <v>14.744999999999999</v>
      </c>
      <c r="D104">
        <v>13.81</v>
      </c>
      <c r="E104">
        <v>14.667999999999999</v>
      </c>
      <c r="F104">
        <v>4072044.1</v>
      </c>
      <c r="G104">
        <v>14.667999999999999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0.83529411764705874</v>
      </c>
      <c r="Q104">
        <f t="shared" ref="Q104" si="496">F104*P104</f>
        <v>3401354.4835294117</v>
      </c>
      <c r="R104">
        <f t="shared" ref="R104" si="497">R105+Q104</f>
        <v>139451748.54725486</v>
      </c>
      <c r="S104">
        <f t="shared" ref="S104" si="498">R104/100000</f>
        <v>1394.5174854725485</v>
      </c>
      <c r="T104">
        <f t="shared" ref="T104" si="499">S104/1000</f>
        <v>1.3945174854725486</v>
      </c>
    </row>
    <row r="105" spans="1:20" x14ac:dyDescent="0.25">
      <c r="A105" s="5">
        <v>44488</v>
      </c>
      <c r="B105">
        <v>13.973000000000001</v>
      </c>
      <c r="C105">
        <v>14.237</v>
      </c>
      <c r="D105">
        <v>13.704000000000001</v>
      </c>
      <c r="E105">
        <v>14.19</v>
      </c>
      <c r="F105">
        <v>2922853.3</v>
      </c>
      <c r="G105">
        <v>14.19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0.82363977485928463</v>
      </c>
      <c r="Q105">
        <f t="shared" ref="Q105" si="501">F105*P105</f>
        <v>2407378.233958717</v>
      </c>
      <c r="R105">
        <f t="shared" ref="R105" si="502">R106+Q105</f>
        <v>136050394.06372544</v>
      </c>
      <c r="S105">
        <f t="shared" ref="S105" si="503">R105/100000</f>
        <v>1360.5039406372543</v>
      </c>
      <c r="T105">
        <f t="shared" ref="T105" si="504">S105/1000</f>
        <v>1.3605039406372543</v>
      </c>
    </row>
    <row r="106" spans="1:20" x14ac:dyDescent="0.25">
      <c r="A106" s="5">
        <v>44487</v>
      </c>
      <c r="B106">
        <v>13.791</v>
      </c>
      <c r="C106">
        <v>14.492000000000001</v>
      </c>
      <c r="D106">
        <v>13.629</v>
      </c>
      <c r="E106">
        <v>13.977</v>
      </c>
      <c r="F106">
        <v>4898572.8</v>
      </c>
      <c r="G106">
        <v>13.977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-0.19351100811123936</v>
      </c>
      <c r="Q106">
        <f t="shared" ref="Q106" si="506">F106*P106</f>
        <v>-947927.76083429647</v>
      </c>
      <c r="R106">
        <f t="shared" ref="R106" si="507">R107+Q106</f>
        <v>133643015.82976674</v>
      </c>
      <c r="S106">
        <f t="shared" ref="S106" si="508">R106/100000</f>
        <v>1336.4301582976673</v>
      </c>
      <c r="T106">
        <f t="shared" ref="T106" si="509">S106/1000</f>
        <v>1.3364301582976672</v>
      </c>
    </row>
    <row r="107" spans="1:20" x14ac:dyDescent="0.25">
      <c r="A107" s="5">
        <v>44486</v>
      </c>
      <c r="B107">
        <v>14.12</v>
      </c>
      <c r="C107">
        <v>14.253</v>
      </c>
      <c r="D107">
        <v>13.33</v>
      </c>
      <c r="E107">
        <v>13.791</v>
      </c>
      <c r="F107">
        <v>3355278.9</v>
      </c>
      <c r="G107">
        <v>13.791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-1.0834236186342858E-3</v>
      </c>
      <c r="Q107">
        <f t="shared" ref="Q107" si="511">F107*P107</f>
        <v>-3635.1884073652659</v>
      </c>
      <c r="R107">
        <f t="shared" ref="R107" si="512">R108+Q107</f>
        <v>134590943.59060103</v>
      </c>
      <c r="S107">
        <f t="shared" ref="S107" si="513">R107/100000</f>
        <v>1345.9094359060102</v>
      </c>
      <c r="T107">
        <f t="shared" ref="T107" si="514">S107/1000</f>
        <v>1.3459094359060102</v>
      </c>
    </row>
    <row r="108" spans="1:20" x14ac:dyDescent="0.25">
      <c r="A108" s="5">
        <v>44485</v>
      </c>
      <c r="B108">
        <v>13.907</v>
      </c>
      <c r="C108">
        <v>14.574999999999999</v>
      </c>
      <c r="D108">
        <v>13.819000000000001</v>
      </c>
      <c r="E108">
        <v>14.119</v>
      </c>
      <c r="F108">
        <v>4336996.5999999996</v>
      </c>
      <c r="G108">
        <v>14.119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-0.20634920634920753</v>
      </c>
      <c r="Q108">
        <f t="shared" ref="Q108" si="516">F108*P108</f>
        <v>-894935.80634921137</v>
      </c>
      <c r="R108">
        <f t="shared" ref="R108" si="517">R109+Q108</f>
        <v>134594578.77900839</v>
      </c>
      <c r="S108">
        <f t="shared" ref="S108" si="518">R108/100000</f>
        <v>1345.9457877900838</v>
      </c>
      <c r="T108">
        <f t="shared" ref="T108" si="519">S108/1000</f>
        <v>1.3459457877900838</v>
      </c>
    </row>
    <row r="109" spans="1:20" x14ac:dyDescent="0.25">
      <c r="A109" s="5">
        <v>44484</v>
      </c>
      <c r="B109">
        <v>14.462999999999999</v>
      </c>
      <c r="C109">
        <v>14.72</v>
      </c>
      <c r="D109">
        <v>13.699</v>
      </c>
      <c r="E109">
        <v>13.909000000000001</v>
      </c>
      <c r="F109">
        <v>9543830.0999999996</v>
      </c>
      <c r="G109">
        <v>13.909000000000001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-0.58863858961802018</v>
      </c>
      <c r="Q109">
        <f t="shared" ref="Q109" si="521">F109*P109</f>
        <v>-5617866.6896180082</v>
      </c>
      <c r="R109">
        <f t="shared" ref="R109" si="522">R110+Q109</f>
        <v>135489514.58535761</v>
      </c>
      <c r="S109">
        <f t="shared" ref="S109" si="523">R109/100000</f>
        <v>1354.895145853576</v>
      </c>
      <c r="T109">
        <f t="shared" ref="T109" si="524">S109/1000</f>
        <v>1.3548951458535761</v>
      </c>
    </row>
    <row r="110" spans="1:20" x14ac:dyDescent="0.25">
      <c r="A110" s="5">
        <v>44483</v>
      </c>
      <c r="B110">
        <v>15.000999999999999</v>
      </c>
      <c r="C110">
        <v>15.246</v>
      </c>
      <c r="D110">
        <v>14.26</v>
      </c>
      <c r="E110">
        <v>14.461</v>
      </c>
      <c r="F110">
        <v>6415028</v>
      </c>
      <c r="G110">
        <v>14.461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-0.59229208924949217</v>
      </c>
      <c r="Q110">
        <f t="shared" ref="Q110" si="526">F110*P110</f>
        <v>-3799570.3367139911</v>
      </c>
      <c r="R110">
        <f t="shared" ref="R110" si="527">R111+Q110</f>
        <v>141107381.27497563</v>
      </c>
      <c r="S110">
        <f t="shared" ref="S110" si="528">R110/100000</f>
        <v>1411.0738127497564</v>
      </c>
      <c r="T110">
        <f t="shared" ref="T110" si="529">S110/1000</f>
        <v>1.4110738127497564</v>
      </c>
    </row>
    <row r="111" spans="1:20" x14ac:dyDescent="0.25">
      <c r="A111" s="5">
        <v>44482</v>
      </c>
      <c r="B111">
        <v>14.657</v>
      </c>
      <c r="C111">
        <v>15.946999999999999</v>
      </c>
      <c r="D111">
        <v>14.532</v>
      </c>
      <c r="E111">
        <v>15.000999999999999</v>
      </c>
      <c r="F111">
        <v>13419851.6</v>
      </c>
      <c r="G111">
        <v>15.000999999999999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-0.33710247349823363</v>
      </c>
      <c r="Q111">
        <f t="shared" ref="Q111" si="531">F111*P111</f>
        <v>-4523865.1683392283</v>
      </c>
      <c r="R111">
        <f t="shared" ref="R111" si="532">R112+Q111</f>
        <v>144906951.61168963</v>
      </c>
      <c r="S111">
        <f t="shared" ref="S111" si="533">R111/100000</f>
        <v>1449.0695161168962</v>
      </c>
      <c r="T111">
        <f t="shared" ref="T111" si="534">S111/1000</f>
        <v>1.4490695161168963</v>
      </c>
    </row>
    <row r="112" spans="1:20" x14ac:dyDescent="0.25">
      <c r="A112" s="5">
        <v>44481</v>
      </c>
      <c r="B112">
        <v>13.566000000000001</v>
      </c>
      <c r="C112">
        <v>15.5</v>
      </c>
      <c r="D112">
        <v>13.313000000000001</v>
      </c>
      <c r="E112">
        <v>14.66</v>
      </c>
      <c r="F112">
        <v>19735537.5</v>
      </c>
      <c r="G112">
        <v>14.66</v>
      </c>
      <c r="L112" t="s">
        <v>8</v>
      </c>
      <c r="M112" t="s">
        <v>8</v>
      </c>
      <c r="N112" t="s">
        <v>7</v>
      </c>
      <c r="P112">
        <f t="shared" ref="P112" si="535">IF(C112=D112,0,((E112-D112)-(C112-E112))/(C112-D112))</f>
        <v>0.2318244170096021</v>
      </c>
      <c r="Q112">
        <f t="shared" ref="Q112" si="536">F112*P112</f>
        <v>4575179.4753086399</v>
      </c>
      <c r="R112">
        <f t="shared" ref="R112" si="537">R113+Q112</f>
        <v>149430816.78002885</v>
      </c>
      <c r="S112">
        <f t="shared" ref="S112" si="538">R112/100000</f>
        <v>1494.3081678002884</v>
      </c>
      <c r="T112">
        <f t="shared" ref="T112" si="539">S112/1000</f>
        <v>1.4943081678002883</v>
      </c>
    </row>
    <row r="113" spans="1:20" x14ac:dyDescent="0.25">
      <c r="A113" s="5">
        <v>44480</v>
      </c>
      <c r="B113">
        <v>12.881</v>
      </c>
      <c r="C113">
        <v>14.897</v>
      </c>
      <c r="D113">
        <v>12.71</v>
      </c>
      <c r="E113">
        <v>13.566000000000001</v>
      </c>
      <c r="F113">
        <v>17300192.399999999</v>
      </c>
      <c r="G113">
        <v>13.566000000000001</v>
      </c>
      <c r="L113" t="s">
        <v>8</v>
      </c>
      <c r="M113" t="s">
        <v>8</v>
      </c>
      <c r="N113" t="s">
        <v>7</v>
      </c>
      <c r="P113">
        <f t="shared" ref="P113" si="540">IF(C113=D113,0,((E113-D113)-(C113-E113))/(C113-D113))</f>
        <v>-0.21719250114311833</v>
      </c>
      <c r="Q113">
        <f t="shared" ref="Q113" si="541">F113*P113</f>
        <v>-3757472.057613167</v>
      </c>
      <c r="R113">
        <f t="shared" ref="R113" si="542">R114+Q113</f>
        <v>144855637.30472022</v>
      </c>
      <c r="S113">
        <f t="shared" ref="S113" si="543">R113/100000</f>
        <v>1448.5563730472022</v>
      </c>
      <c r="T113">
        <f t="shared" ref="T113" si="544">S113/1000</f>
        <v>1.4485563730472022</v>
      </c>
    </row>
    <row r="114" spans="1:20" x14ac:dyDescent="0.25">
      <c r="A114" s="5">
        <v>44479</v>
      </c>
      <c r="B114">
        <v>14.108000000000001</v>
      </c>
      <c r="C114">
        <v>14.551</v>
      </c>
      <c r="D114">
        <v>12.471</v>
      </c>
      <c r="E114">
        <v>12.882</v>
      </c>
      <c r="F114">
        <v>13148540</v>
      </c>
      <c r="G114">
        <v>12.882</v>
      </c>
      <c r="L114" t="s">
        <v>8</v>
      </c>
      <c r="M114" t="s">
        <v>7</v>
      </c>
      <c r="N114" t="s">
        <v>7</v>
      </c>
      <c r="P114">
        <f t="shared" ref="P114" si="545">IF(C114=D114,0,((E114-D114)-(C114-E114))/(C114-D114))</f>
        <v>-0.60480769230769271</v>
      </c>
      <c r="Q114">
        <f t="shared" ref="Q114" si="546">F114*P114</f>
        <v>-7952338.1346153896</v>
      </c>
      <c r="R114">
        <f t="shared" ref="R114" si="547">R115+Q114</f>
        <v>148613109.36233339</v>
      </c>
      <c r="S114">
        <f t="shared" ref="S114" si="548">R114/100000</f>
        <v>1486.131093623334</v>
      </c>
      <c r="T114">
        <f t="shared" ref="T114" si="549">S114/1000</f>
        <v>1.4861310936233341</v>
      </c>
    </row>
    <row r="115" spans="1:20" x14ac:dyDescent="0.25">
      <c r="A115" s="5">
        <v>44478</v>
      </c>
      <c r="B115">
        <v>14.016999999999999</v>
      </c>
      <c r="C115">
        <v>14.484</v>
      </c>
      <c r="D115">
        <v>13.72</v>
      </c>
      <c r="E115">
        <v>14.105</v>
      </c>
      <c r="F115">
        <v>8240046.7000000002</v>
      </c>
      <c r="G115">
        <v>14.105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7.8534031413615615E-3</v>
      </c>
      <c r="Q115">
        <f t="shared" ref="Q115" si="551">F115*P115</f>
        <v>64712.408638745968</v>
      </c>
      <c r="R115">
        <f t="shared" ref="R115" si="552">R116+Q115</f>
        <v>156565447.49694878</v>
      </c>
      <c r="S115">
        <f t="shared" ref="S115" si="553">R115/100000</f>
        <v>1565.6544749694879</v>
      </c>
      <c r="T115">
        <f t="shared" ref="T115" si="554">S115/1000</f>
        <v>1.5656544749694878</v>
      </c>
    </row>
    <row r="116" spans="1:20" x14ac:dyDescent="0.25">
      <c r="A116" s="5">
        <v>44477</v>
      </c>
      <c r="B116">
        <v>14.943</v>
      </c>
      <c r="C116">
        <v>15.574999999999999</v>
      </c>
      <c r="D116">
        <v>12.842000000000001</v>
      </c>
      <c r="E116">
        <v>14.015000000000001</v>
      </c>
      <c r="F116">
        <v>13038011.4</v>
      </c>
      <c r="G116">
        <v>14.015000000000001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-0.14160263446761759</v>
      </c>
      <c r="Q116">
        <f t="shared" ref="Q116" si="556">F116*P116</f>
        <v>-1846216.7624588311</v>
      </c>
      <c r="R116">
        <f t="shared" ref="R116" si="557">R117+Q116</f>
        <v>156500735.08831003</v>
      </c>
      <c r="S116">
        <f t="shared" ref="S116" si="558">R116/100000</f>
        <v>1565.0073508831003</v>
      </c>
      <c r="T116">
        <f t="shared" ref="T116" si="559">S116/1000</f>
        <v>1.5650073508831004</v>
      </c>
    </row>
    <row r="117" spans="1:20" x14ac:dyDescent="0.25">
      <c r="A117" s="5">
        <v>44476</v>
      </c>
      <c r="B117">
        <v>14.396000000000001</v>
      </c>
      <c r="C117">
        <v>16.09</v>
      </c>
      <c r="D117">
        <v>13.8</v>
      </c>
      <c r="E117">
        <v>14.939</v>
      </c>
      <c r="F117">
        <v>14330955.6</v>
      </c>
      <c r="G117">
        <v>14.939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-5.2401746724892832E-3</v>
      </c>
      <c r="Q117">
        <f t="shared" ref="Q117" si="561">F117*P117</f>
        <v>-75096.710567688453</v>
      </c>
      <c r="R117">
        <f t="shared" ref="R117" si="562">R118+Q117</f>
        <v>158346951.85076886</v>
      </c>
      <c r="S117">
        <f t="shared" ref="S117" si="563">R117/100000</f>
        <v>1583.4695185076887</v>
      </c>
      <c r="T117">
        <f t="shared" ref="T117" si="564">S117/1000</f>
        <v>1.5834695185076888</v>
      </c>
    </row>
    <row r="118" spans="1:20" x14ac:dyDescent="0.25">
      <c r="A118" s="5">
        <v>44475</v>
      </c>
      <c r="B118">
        <v>15.551</v>
      </c>
      <c r="C118">
        <v>15.555999999999999</v>
      </c>
      <c r="D118">
        <v>13.750999999999999</v>
      </c>
      <c r="E118">
        <v>14.394</v>
      </c>
      <c r="F118">
        <v>17947133.199999999</v>
      </c>
      <c r="G118">
        <v>14.394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-0.28753462603878027</v>
      </c>
      <c r="Q118">
        <f t="shared" ref="Q118" si="566">F118*P118</f>
        <v>-5160422.2331301775</v>
      </c>
      <c r="R118">
        <f t="shared" ref="R118" si="567">R119+Q118</f>
        <v>158422048.56133655</v>
      </c>
      <c r="S118">
        <f t="shared" ref="S118" si="568">R118/100000</f>
        <v>1584.2204856133656</v>
      </c>
      <c r="T118">
        <f t="shared" ref="T118" si="569">S118/1000</f>
        <v>1.5842204856133655</v>
      </c>
    </row>
    <row r="119" spans="1:20" x14ac:dyDescent="0.25">
      <c r="A119" s="5">
        <v>44474</v>
      </c>
      <c r="B119">
        <v>16.584</v>
      </c>
      <c r="C119">
        <v>17.187999999999999</v>
      </c>
      <c r="D119">
        <v>15.253</v>
      </c>
      <c r="E119">
        <v>15.554</v>
      </c>
      <c r="F119">
        <v>14742328.699999999</v>
      </c>
      <c r="G119">
        <v>15.554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-0.68888888888888855</v>
      </c>
      <c r="Q119">
        <f t="shared" ref="Q119" si="571">F119*P119</f>
        <v>-10155826.437777773</v>
      </c>
      <c r="R119">
        <f t="shared" ref="R119" si="572">R120+Q119</f>
        <v>163582470.79446673</v>
      </c>
      <c r="S119">
        <f t="shared" ref="S119" si="573">R119/100000</f>
        <v>1635.8247079446674</v>
      </c>
      <c r="T119">
        <f t="shared" ref="T119" si="574">S119/1000</f>
        <v>1.6358247079446673</v>
      </c>
    </row>
    <row r="120" spans="1:20" x14ac:dyDescent="0.25">
      <c r="A120" s="5">
        <v>44473</v>
      </c>
      <c r="B120">
        <v>16.541</v>
      </c>
      <c r="C120">
        <v>18.212</v>
      </c>
      <c r="D120">
        <v>15.484</v>
      </c>
      <c r="E120">
        <v>16.582000000000001</v>
      </c>
      <c r="F120">
        <v>22202352.850000001</v>
      </c>
      <c r="G120">
        <v>16.582000000000001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-0.19501466275659762</v>
      </c>
      <c r="Q120">
        <f t="shared" ref="Q120" si="576">F120*P120</f>
        <v>-4329784.3534457348</v>
      </c>
      <c r="R120">
        <f t="shared" ref="R120" si="577">R121+Q120</f>
        <v>173738297.23224449</v>
      </c>
      <c r="S120">
        <f t="shared" ref="S120" si="578">R120/100000</f>
        <v>1737.3829723224449</v>
      </c>
      <c r="T120">
        <f t="shared" ref="T120" si="579">S120/1000</f>
        <v>1.7373829723224448</v>
      </c>
    </row>
    <row r="121" spans="1:20" x14ac:dyDescent="0.25">
      <c r="A121" s="5">
        <v>44472</v>
      </c>
      <c r="B121">
        <v>15.54</v>
      </c>
      <c r="C121">
        <v>17.977</v>
      </c>
      <c r="D121">
        <v>14.971</v>
      </c>
      <c r="E121">
        <v>16.497</v>
      </c>
      <c r="F121">
        <v>24388207.73</v>
      </c>
      <c r="G121">
        <v>16.497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1.5302727877577967E-2</v>
      </c>
      <c r="Q121">
        <f t="shared" ref="Q121" si="581">F121*P121</f>
        <v>373206.1063140335</v>
      </c>
      <c r="R121">
        <f t="shared" ref="R121" si="582">R122+Q121</f>
        <v>178068081.58569023</v>
      </c>
      <c r="S121">
        <f t="shared" ref="S121" si="583">R121/100000</f>
        <v>1780.6808158569022</v>
      </c>
      <c r="T121">
        <f t="shared" ref="T121" si="584">S121/1000</f>
        <v>1.7806808158569023</v>
      </c>
    </row>
    <row r="122" spans="1:20" x14ac:dyDescent="0.25">
      <c r="A122" s="5">
        <v>44471</v>
      </c>
      <c r="B122">
        <v>12.778</v>
      </c>
      <c r="C122">
        <v>16.486999999999998</v>
      </c>
      <c r="D122">
        <v>12.558999999999999</v>
      </c>
      <c r="E122">
        <v>15.54</v>
      </c>
      <c r="F122">
        <v>28316564.079999998</v>
      </c>
      <c r="G122">
        <v>15.54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0.51782077393075387</v>
      </c>
      <c r="Q122">
        <f t="shared" ref="Q122" si="586">F122*P122</f>
        <v>14662905.126965385</v>
      </c>
      <c r="R122">
        <f t="shared" ref="R122" si="587">R123+Q122</f>
        <v>177694875.4793762</v>
      </c>
      <c r="S122">
        <f t="shared" ref="S122" si="588">R122/100000</f>
        <v>1776.948754793762</v>
      </c>
      <c r="T122">
        <f t="shared" ref="T122" si="589">S122/1000</f>
        <v>1.7769487547937619</v>
      </c>
    </row>
    <row r="123" spans="1:20" x14ac:dyDescent="0.25">
      <c r="A123" s="5">
        <v>44470</v>
      </c>
      <c r="B123">
        <v>12.47</v>
      </c>
      <c r="C123">
        <v>13.484999999999999</v>
      </c>
      <c r="D123">
        <v>12.074</v>
      </c>
      <c r="E123">
        <v>12.773999999999999</v>
      </c>
      <c r="F123">
        <v>22139733.440000001</v>
      </c>
      <c r="G123">
        <v>12.773999999999999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-7.7958894401141121E-3</v>
      </c>
      <c r="Q123">
        <f t="shared" ref="Q123" si="591">F123*P123</f>
        <v>-172598.91413183729</v>
      </c>
      <c r="R123">
        <f t="shared" ref="R123" si="592">R124+Q123</f>
        <v>163031970.35241082</v>
      </c>
      <c r="S123">
        <f t="shared" ref="S123" si="593">R123/100000</f>
        <v>1630.3197035241083</v>
      </c>
      <c r="T123">
        <f t="shared" ref="T123" si="594">S123/1000</f>
        <v>1.6303197035241082</v>
      </c>
    </row>
    <row r="124" spans="1:20" x14ac:dyDescent="0.25">
      <c r="A124" s="5">
        <v>44469</v>
      </c>
      <c r="B124">
        <v>10.334</v>
      </c>
      <c r="C124">
        <v>12.493</v>
      </c>
      <c r="D124">
        <v>10.254</v>
      </c>
      <c r="E124">
        <v>12.471</v>
      </c>
      <c r="F124">
        <v>26233459.109999999</v>
      </c>
      <c r="G124">
        <v>12.471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0.98034836980794982</v>
      </c>
      <c r="Q124">
        <f t="shared" ref="Q124" si="596">F124*P124</f>
        <v>25717928.872912008</v>
      </c>
      <c r="R124">
        <f t="shared" ref="R124" si="597">R125+Q124</f>
        <v>163204569.26654267</v>
      </c>
      <c r="S124">
        <f t="shared" ref="S124" si="598">R124/100000</f>
        <v>1632.0456926654267</v>
      </c>
      <c r="T124">
        <f t="shared" ref="T124" si="599">S124/1000</f>
        <v>1.6320456926654268</v>
      </c>
    </row>
    <row r="125" spans="1:20" x14ac:dyDescent="0.25">
      <c r="A125" s="5">
        <v>44468</v>
      </c>
      <c r="B125">
        <v>8.9220000000000006</v>
      </c>
      <c r="C125">
        <v>10.61</v>
      </c>
      <c r="D125">
        <v>8.7089999999999996</v>
      </c>
      <c r="E125">
        <v>10.34</v>
      </c>
      <c r="F125">
        <v>17735648.600000001</v>
      </c>
      <c r="G125">
        <v>10.34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0.71593897948448226</v>
      </c>
      <c r="Q125">
        <f t="shared" ref="Q125" si="601">F125*P125</f>
        <v>12697642.159179388</v>
      </c>
      <c r="R125">
        <f t="shared" ref="R125" si="602">R126+Q125</f>
        <v>137486640.39363065</v>
      </c>
      <c r="S125">
        <f t="shared" ref="S125" si="603">R125/100000</f>
        <v>1374.8664039363066</v>
      </c>
      <c r="T125">
        <f t="shared" ref="T125" si="604">S125/1000</f>
        <v>1.3748664039363065</v>
      </c>
    </row>
    <row r="126" spans="1:20" x14ac:dyDescent="0.25">
      <c r="A126" s="5">
        <v>44467</v>
      </c>
      <c r="B126">
        <v>9.3149999999999995</v>
      </c>
      <c r="C126">
        <v>9.8529999999999998</v>
      </c>
      <c r="D126">
        <v>8.7490000000000006</v>
      </c>
      <c r="E126">
        <v>8.923</v>
      </c>
      <c r="F126">
        <v>17790684.699999999</v>
      </c>
      <c r="G126">
        <v>8.923</v>
      </c>
      <c r="L126" t="s">
        <v>8</v>
      </c>
      <c r="M126" t="s">
        <v>8</v>
      </c>
      <c r="N126" t="s">
        <v>7</v>
      </c>
      <c r="P126">
        <f t="shared" ref="P126" si="605">IF(C126=D126,0,((E126-D126)-(C126-E126))/(C126-D126))</f>
        <v>-0.68478260869565288</v>
      </c>
      <c r="Q126">
        <f t="shared" ref="Q126" si="606">F126*P126</f>
        <v>-12182751.479347838</v>
      </c>
      <c r="R126">
        <f t="shared" ref="R126" si="607">R127+Q126</f>
        <v>124788998.23445128</v>
      </c>
      <c r="S126">
        <f t="shared" ref="S126" si="608">R126/100000</f>
        <v>1247.8899823445129</v>
      </c>
      <c r="T126">
        <f t="shared" ref="T126" si="609">S126/1000</f>
        <v>1.2478899823445129</v>
      </c>
    </row>
    <row r="127" spans="1:20" x14ac:dyDescent="0.25">
      <c r="A127" s="5">
        <v>44466</v>
      </c>
      <c r="B127">
        <v>9.0760000000000005</v>
      </c>
      <c r="C127">
        <v>9.6850000000000005</v>
      </c>
      <c r="D127">
        <v>8.7810000000000006</v>
      </c>
      <c r="E127">
        <v>9.3170000000000002</v>
      </c>
      <c r="F127">
        <v>11431761.6</v>
      </c>
      <c r="G127">
        <v>9.3170000000000002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0.18584070796460098</v>
      </c>
      <c r="Q127">
        <f t="shared" ref="Q127" si="611">F127*P127</f>
        <v>2124486.6690265397</v>
      </c>
      <c r="R127">
        <f t="shared" ref="R127" si="612">R128+Q127</f>
        <v>136971749.71379912</v>
      </c>
      <c r="S127">
        <f t="shared" ref="S127" si="613">R127/100000</f>
        <v>1369.7174971379911</v>
      </c>
      <c r="T127">
        <f t="shared" ref="T127" si="614">S127/1000</f>
        <v>1.3697174971379911</v>
      </c>
    </row>
    <row r="128" spans="1:20" x14ac:dyDescent="0.25">
      <c r="A128" s="5">
        <v>44465</v>
      </c>
      <c r="B128">
        <v>8.9179999999999993</v>
      </c>
      <c r="C128">
        <v>9.3870000000000005</v>
      </c>
      <c r="D128">
        <v>7.976</v>
      </c>
      <c r="E128">
        <v>9.08</v>
      </c>
      <c r="F128">
        <v>12709261.1</v>
      </c>
      <c r="G128">
        <v>9.08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0.56484762579730652</v>
      </c>
      <c r="Q128">
        <f t="shared" ref="Q128" si="616">F128*P128</f>
        <v>7178795.9579730639</v>
      </c>
      <c r="R128">
        <f t="shared" ref="R128" si="617">R129+Q128</f>
        <v>134847263.04477257</v>
      </c>
      <c r="S128">
        <f t="shared" ref="S128" si="618">R128/100000</f>
        <v>1348.4726304477256</v>
      </c>
      <c r="T128">
        <f t="shared" ref="T128" si="619">S128/1000</f>
        <v>1.3484726304477255</v>
      </c>
    </row>
    <row r="129" spans="1:20" x14ac:dyDescent="0.25">
      <c r="A129" s="5">
        <v>44464</v>
      </c>
      <c r="B129">
        <v>9.1489999999999991</v>
      </c>
      <c r="C129">
        <v>9.2769999999999992</v>
      </c>
      <c r="D129">
        <v>8.5039999999999996</v>
      </c>
      <c r="E129">
        <v>8.9179999999999993</v>
      </c>
      <c r="F129">
        <v>9358765.1999999993</v>
      </c>
      <c r="G129">
        <v>8.9179999999999993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7.1151358344113499E-2</v>
      </c>
      <c r="Q129">
        <f t="shared" ref="Q129" si="621">F129*P129</f>
        <v>665888.85640361893</v>
      </c>
      <c r="R129">
        <f t="shared" ref="R129" si="622">R130+Q129</f>
        <v>127668467.0867995</v>
      </c>
      <c r="S129">
        <f t="shared" ref="S129" si="623">R129/100000</f>
        <v>1276.684670867995</v>
      </c>
      <c r="T129">
        <f t="shared" ref="T129" si="624">S129/1000</f>
        <v>1.2766846708679951</v>
      </c>
    </row>
    <row r="130" spans="1:20" x14ac:dyDescent="0.25">
      <c r="A130" s="5">
        <v>44463</v>
      </c>
      <c r="B130">
        <v>9.8670000000000009</v>
      </c>
      <c r="C130">
        <v>9.9179999999999993</v>
      </c>
      <c r="D130">
        <v>8.4</v>
      </c>
      <c r="E130">
        <v>9.1479999999999997</v>
      </c>
      <c r="F130">
        <v>19491006.800000001</v>
      </c>
      <c r="G130">
        <v>9.1479999999999997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-1.4492753623188576E-2</v>
      </c>
      <c r="Q130">
        <f t="shared" ref="Q130" si="626">F130*P130</f>
        <v>-282478.35942029319</v>
      </c>
      <c r="R130">
        <f t="shared" ref="R130" si="627">R131+Q130</f>
        <v>127002578.23039588</v>
      </c>
      <c r="S130">
        <f t="shared" ref="S130" si="628">R130/100000</f>
        <v>1270.0257823039587</v>
      </c>
      <c r="T130">
        <f t="shared" ref="T130" si="629">S130/1000</f>
        <v>1.2700257823039587</v>
      </c>
    </row>
    <row r="131" spans="1:20" x14ac:dyDescent="0.25">
      <c r="A131" s="5">
        <v>44462</v>
      </c>
      <c r="B131">
        <v>9.5500000000000007</v>
      </c>
      <c r="C131">
        <v>10.1</v>
      </c>
      <c r="D131">
        <v>9.2010000000000005</v>
      </c>
      <c r="E131">
        <v>9.8670000000000009</v>
      </c>
      <c r="F131">
        <v>17122794.800000001</v>
      </c>
      <c r="G131">
        <v>9.8670000000000009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0.48164627363737711</v>
      </c>
      <c r="Q131">
        <f t="shared" ref="Q131" si="631">F131*P131</f>
        <v>8247130.3096774584</v>
      </c>
      <c r="R131">
        <f t="shared" ref="R131" si="632">R132+Q131</f>
        <v>127285056.58981618</v>
      </c>
      <c r="S131">
        <f t="shared" ref="S131" si="633">R131/100000</f>
        <v>1272.8505658981619</v>
      </c>
      <c r="T131">
        <f t="shared" ref="T131" si="634">S131/1000</f>
        <v>1.2728505658981619</v>
      </c>
    </row>
    <row r="132" spans="1:20" x14ac:dyDescent="0.25">
      <c r="A132" s="5">
        <v>44461</v>
      </c>
      <c r="B132">
        <v>8.5340000000000007</v>
      </c>
      <c r="C132">
        <v>9.7710000000000008</v>
      </c>
      <c r="D132">
        <v>8.2759999999999998</v>
      </c>
      <c r="E132">
        <v>9.5470000000000006</v>
      </c>
      <c r="F132">
        <v>25237442.199999999</v>
      </c>
      <c r="G132">
        <v>9.5470000000000006</v>
      </c>
      <c r="L132" t="s">
        <v>7</v>
      </c>
      <c r="M132" t="s">
        <v>7</v>
      </c>
      <c r="N132" t="s">
        <v>8</v>
      </c>
      <c r="P132">
        <f t="shared" ref="P132" si="635">IF(C132=D132,0,((E132-D132)-(C132-E132))/(C132-D132))</f>
        <v>0.70033444816053503</v>
      </c>
      <c r="Q132">
        <f t="shared" ref="Q132" si="636">F132*P132</f>
        <v>17674650.156120397</v>
      </c>
      <c r="R132">
        <f t="shared" ref="R132" si="637">R133+Q132</f>
        <v>119037926.28013873</v>
      </c>
      <c r="S132">
        <f t="shared" ref="S132" si="638">R132/100000</f>
        <v>1190.3792628013873</v>
      </c>
      <c r="T132">
        <f t="shared" ref="T132" si="639">S132/1000</f>
        <v>1.1903792628013874</v>
      </c>
    </row>
    <row r="133" spans="1:20" x14ac:dyDescent="0.25">
      <c r="A133" s="5">
        <v>44460</v>
      </c>
      <c r="B133">
        <v>10.276999999999999</v>
      </c>
      <c r="C133">
        <v>11.444000000000001</v>
      </c>
      <c r="D133">
        <v>8.3659999999999997</v>
      </c>
      <c r="E133">
        <v>8.5299999999999994</v>
      </c>
      <c r="F133">
        <v>39514314.009999998</v>
      </c>
      <c r="G133">
        <v>8.5299999999999994</v>
      </c>
      <c r="L133" t="s">
        <v>8</v>
      </c>
      <c r="M133" t="s">
        <v>8</v>
      </c>
      <c r="N133" t="s">
        <v>8</v>
      </c>
      <c r="P133">
        <f t="shared" ref="P133" si="640">IF(C133=D133,0,((E133-D133)-(C133-E133))/(C133-D133))</f>
        <v>-0.8934372969460691</v>
      </c>
      <c r="Q133">
        <f t="shared" ref="Q133" si="641">F133*P133</f>
        <v>-35303561.899772584</v>
      </c>
      <c r="R133">
        <f t="shared" ref="R133" si="642">R134+Q133</f>
        <v>101363276.12401834</v>
      </c>
      <c r="S133">
        <f t="shared" ref="S133" si="643">R133/100000</f>
        <v>1013.6327612401834</v>
      </c>
      <c r="T133">
        <f t="shared" ref="T133" si="644">S133/1000</f>
        <v>1.0136327612401834</v>
      </c>
    </row>
    <row r="134" spans="1:20" x14ac:dyDescent="0.25">
      <c r="A134" s="5">
        <v>44459</v>
      </c>
      <c r="B134">
        <v>9.67</v>
      </c>
      <c r="C134">
        <v>9.7119999999999997</v>
      </c>
      <c r="D134">
        <v>8.4139999999999997</v>
      </c>
      <c r="E134">
        <v>8.5609999999999999</v>
      </c>
      <c r="F134">
        <v>8385211.5</v>
      </c>
      <c r="G134">
        <v>8.5609999999999999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-0.7734976887519257</v>
      </c>
      <c r="Q134">
        <f t="shared" ref="Q134" si="646">F134*P134</f>
        <v>-6485941.7149460679</v>
      </c>
      <c r="R134">
        <f t="shared" ref="R134" si="647">R135+Q134</f>
        <v>136666838.02379093</v>
      </c>
      <c r="S134">
        <f t="shared" ref="S134" si="648">R134/100000</f>
        <v>1366.6683802379093</v>
      </c>
      <c r="T134">
        <f t="shared" ref="T134" si="649">S134/1000</f>
        <v>1.3666683802379094</v>
      </c>
    </row>
    <row r="135" spans="1:20" x14ac:dyDescent="0.25">
      <c r="A135" s="5">
        <v>44458</v>
      </c>
      <c r="B135">
        <v>8.8000000000000007</v>
      </c>
      <c r="C135">
        <v>10.135999999999999</v>
      </c>
      <c r="D135">
        <v>8.5329999999999995</v>
      </c>
      <c r="E135">
        <v>9.67</v>
      </c>
      <c r="F135">
        <v>19448642.699999999</v>
      </c>
      <c r="G135">
        <v>9.67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0.41859014348097395</v>
      </c>
      <c r="Q135">
        <f t="shared" ref="Q135" si="651">F135*P135</f>
        <v>8141010.1383031961</v>
      </c>
      <c r="R135">
        <f t="shared" ref="R135" si="652">R136+Q135</f>
        <v>143152779.73873699</v>
      </c>
      <c r="S135">
        <f t="shared" ref="S135" si="653">R135/100000</f>
        <v>1431.5277973873699</v>
      </c>
      <c r="T135">
        <f t="shared" ref="T135" si="654">S135/1000</f>
        <v>1.4315277973873699</v>
      </c>
    </row>
    <row r="136" spans="1:20" x14ac:dyDescent="0.25">
      <c r="A136" s="5">
        <v>44457</v>
      </c>
      <c r="B136">
        <v>8.5039999999999996</v>
      </c>
      <c r="C136">
        <v>8.9619999999999997</v>
      </c>
      <c r="D136">
        <v>8.2959999999999994</v>
      </c>
      <c r="E136">
        <v>8.8000000000000007</v>
      </c>
      <c r="F136">
        <v>5114241.0999999996</v>
      </c>
      <c r="G136">
        <v>8.8000000000000007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0.51351351351351671</v>
      </c>
      <c r="Q136">
        <f t="shared" ref="Q136" si="656">F136*P136</f>
        <v>2626231.9162162323</v>
      </c>
      <c r="R136">
        <f t="shared" ref="R136" si="657">R137+Q136</f>
        <v>135011769.6004338</v>
      </c>
      <c r="S136">
        <f t="shared" ref="S136" si="658">R136/100000</f>
        <v>1350.1176960043379</v>
      </c>
      <c r="T136">
        <f t="shared" ref="T136" si="659">S136/1000</f>
        <v>1.350117696004338</v>
      </c>
    </row>
    <row r="137" spans="1:20" x14ac:dyDescent="0.25">
      <c r="A137" s="5">
        <v>44456</v>
      </c>
      <c r="B137">
        <v>8.9429999999999996</v>
      </c>
      <c r="C137">
        <v>8.9740000000000002</v>
      </c>
      <c r="D137">
        <v>8.1270000000000007</v>
      </c>
      <c r="E137">
        <v>8.5020000000000007</v>
      </c>
      <c r="F137">
        <v>5005274.8</v>
      </c>
      <c r="G137">
        <v>8.5020000000000007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-0.11452184179456858</v>
      </c>
      <c r="Q137">
        <f t="shared" ref="Q137" si="661">F137*P137</f>
        <v>-573213.28878394084</v>
      </c>
      <c r="R137">
        <f t="shared" ref="R137" si="662">R138+Q137</f>
        <v>132385537.68421757</v>
      </c>
      <c r="S137">
        <f t="shared" ref="S137" si="663">R137/100000</f>
        <v>1323.8553768421757</v>
      </c>
      <c r="T137">
        <f t="shared" ref="T137" si="664">S137/1000</f>
        <v>1.3238553768421757</v>
      </c>
    </row>
    <row r="138" spans="1:20" x14ac:dyDescent="0.25">
      <c r="A138" s="5">
        <v>44455</v>
      </c>
      <c r="B138">
        <v>9.0990000000000002</v>
      </c>
      <c r="C138">
        <v>9.298</v>
      </c>
      <c r="D138">
        <v>8.5549999999999997</v>
      </c>
      <c r="E138">
        <v>8.9429999999999996</v>
      </c>
      <c r="F138">
        <v>6127581.0999999996</v>
      </c>
      <c r="G138">
        <v>8.9429999999999996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4.4414535666217309E-2</v>
      </c>
      <c r="Q138">
        <f t="shared" ref="Q138" si="666">F138*P138</f>
        <v>272153.66931358905</v>
      </c>
      <c r="R138">
        <f t="shared" ref="R138" si="667">R139+Q138</f>
        <v>132958750.97300151</v>
      </c>
      <c r="S138">
        <f t="shared" ref="S138" si="668">R138/100000</f>
        <v>1329.5875097300152</v>
      </c>
      <c r="T138">
        <f t="shared" ref="T138" si="669">S138/1000</f>
        <v>1.3295875097300152</v>
      </c>
    </row>
    <row r="139" spans="1:20" x14ac:dyDescent="0.25">
      <c r="A139" s="5">
        <v>44454</v>
      </c>
      <c r="B139">
        <v>8.9809999999999999</v>
      </c>
      <c r="C139">
        <v>9.0980000000000008</v>
      </c>
      <c r="D139">
        <v>8.5519999999999996</v>
      </c>
      <c r="E139">
        <v>9.0980000000000008</v>
      </c>
      <c r="F139">
        <v>6637200.0999999996</v>
      </c>
      <c r="G139">
        <v>9.0980000000000008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1</v>
      </c>
      <c r="Q139">
        <f t="shared" ref="Q139" si="671">F139*P139</f>
        <v>6637200.0999999996</v>
      </c>
      <c r="R139">
        <f t="shared" ref="R139" si="672">R140+Q139</f>
        <v>132686597.30368792</v>
      </c>
      <c r="S139">
        <f t="shared" ref="S139" si="673">R139/100000</f>
        <v>1326.865973036879</v>
      </c>
      <c r="T139">
        <f t="shared" ref="T139" si="674">S139/1000</f>
        <v>1.326865973036879</v>
      </c>
    </row>
    <row r="140" spans="1:20" x14ac:dyDescent="0.25">
      <c r="A140" s="5">
        <v>44453</v>
      </c>
      <c r="B140">
        <v>8.5749999999999993</v>
      </c>
      <c r="C140">
        <v>9.0259999999999998</v>
      </c>
      <c r="D140">
        <v>8.17</v>
      </c>
      <c r="E140">
        <v>8.9830000000000005</v>
      </c>
      <c r="F140">
        <v>9886521.3000000007</v>
      </c>
      <c r="G140">
        <v>8.9830000000000005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0.89953271028037551</v>
      </c>
      <c r="Q140">
        <f t="shared" ref="Q140" si="676">F140*P140</f>
        <v>8893249.3002336621</v>
      </c>
      <c r="R140">
        <f t="shared" ref="R140" si="677">R141+Q140</f>
        <v>126049397.20368792</v>
      </c>
      <c r="S140">
        <f t="shared" ref="S140" si="678">R140/100000</f>
        <v>1260.4939720368793</v>
      </c>
      <c r="T140">
        <f t="shared" ref="T140" si="679">S140/1000</f>
        <v>1.2604939720368793</v>
      </c>
    </row>
    <row r="141" spans="1:20" x14ac:dyDescent="0.25">
      <c r="A141" s="5">
        <v>44452</v>
      </c>
      <c r="B141">
        <v>9.4629999999999992</v>
      </c>
      <c r="C141">
        <v>9.7200000000000006</v>
      </c>
      <c r="D141">
        <v>7.9939999999999998</v>
      </c>
      <c r="E141">
        <v>8.58</v>
      </c>
      <c r="F141">
        <v>12783682.699999999</v>
      </c>
      <c r="G141">
        <v>8.58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-0.32097334878331402</v>
      </c>
      <c r="Q141">
        <f t="shared" ref="Q141" si="681">F141*P141</f>
        <v>-4103221.4460023171</v>
      </c>
      <c r="R141">
        <f t="shared" ref="R141" si="682">R142+Q141</f>
        <v>117156147.90345426</v>
      </c>
      <c r="S141">
        <f t="shared" ref="S141" si="683">R141/100000</f>
        <v>1171.5614790345426</v>
      </c>
      <c r="T141">
        <f t="shared" ref="T141" si="684">S141/1000</f>
        <v>1.1715614790345426</v>
      </c>
    </row>
    <row r="142" spans="1:20" x14ac:dyDescent="0.25">
      <c r="A142" s="5">
        <v>44451</v>
      </c>
      <c r="B142">
        <v>9.17</v>
      </c>
      <c r="C142">
        <v>10.044</v>
      </c>
      <c r="D142">
        <v>8.7530000000000001</v>
      </c>
      <c r="E142">
        <v>9.4649999999999999</v>
      </c>
      <c r="F142">
        <v>16902536</v>
      </c>
      <c r="G142">
        <v>9.4649999999999999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0.10302091402013872</v>
      </c>
      <c r="Q142">
        <f t="shared" ref="Q142" si="686">F142*P142</f>
        <v>1741314.7079782994</v>
      </c>
      <c r="R142">
        <f t="shared" ref="R142" si="687">R143+Q142</f>
        <v>121259369.34945658</v>
      </c>
      <c r="S142">
        <f t="shared" ref="S142" si="688">R142/100000</f>
        <v>1212.5936934945657</v>
      </c>
      <c r="T142">
        <f t="shared" ref="T142" si="689">S142/1000</f>
        <v>1.2125936934945658</v>
      </c>
    </row>
    <row r="143" spans="1:20" x14ac:dyDescent="0.25">
      <c r="A143" s="5">
        <v>44450</v>
      </c>
      <c r="B143">
        <v>8.1769999999999996</v>
      </c>
      <c r="C143">
        <v>9.577</v>
      </c>
      <c r="D143">
        <v>8.0660000000000007</v>
      </c>
      <c r="E143">
        <v>9.1720000000000006</v>
      </c>
      <c r="F143">
        <v>13276568.6</v>
      </c>
      <c r="G143">
        <v>9.1720000000000006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0.46393117140966306</v>
      </c>
      <c r="Q143">
        <f t="shared" ref="Q143" si="691">F143*P143</f>
        <v>6159414.0228987504</v>
      </c>
      <c r="R143">
        <f t="shared" ref="R143" si="692">R144+Q143</f>
        <v>119518054.64147829</v>
      </c>
      <c r="S143">
        <f t="shared" ref="S143" si="693">R143/100000</f>
        <v>1195.1805464147828</v>
      </c>
      <c r="T143">
        <f t="shared" ref="T143" si="694">S143/1000</f>
        <v>1.1951805464147829</v>
      </c>
    </row>
    <row r="144" spans="1:20" x14ac:dyDescent="0.25">
      <c r="A144" s="5">
        <v>44449</v>
      </c>
      <c r="B144">
        <v>8.7880000000000003</v>
      </c>
      <c r="C144">
        <v>9.5389999999999997</v>
      </c>
      <c r="D144">
        <v>7.7329999999999997</v>
      </c>
      <c r="E144">
        <v>8.1790000000000003</v>
      </c>
      <c r="F144">
        <v>12863456.199999999</v>
      </c>
      <c r="G144">
        <v>8.1790000000000003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-0.50609080841638909</v>
      </c>
      <c r="Q144">
        <f t="shared" ref="Q144" si="696">F144*P144</f>
        <v>-6510076.9472868117</v>
      </c>
      <c r="R144">
        <f t="shared" ref="R144" si="697">R145+Q144</f>
        <v>113358640.61857954</v>
      </c>
      <c r="S144">
        <f t="shared" ref="S144" si="698">R144/100000</f>
        <v>1133.5864061857953</v>
      </c>
      <c r="T144">
        <f t="shared" ref="T144" si="699">S144/1000</f>
        <v>1.1335864061857954</v>
      </c>
    </row>
    <row r="145" spans="1:20" x14ac:dyDescent="0.25">
      <c r="A145" s="5">
        <v>44448</v>
      </c>
      <c r="B145">
        <v>8.0510000000000002</v>
      </c>
      <c r="C145">
        <v>9.3179999999999996</v>
      </c>
      <c r="D145">
        <v>8.0079999999999991</v>
      </c>
      <c r="E145">
        <v>8.7889999999999997</v>
      </c>
      <c r="F145">
        <v>15003279.9</v>
      </c>
      <c r="G145">
        <v>8.7889999999999997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0.1923664122137409</v>
      </c>
      <c r="Q145">
        <f t="shared" ref="Q145" si="701">F145*P145</f>
        <v>2886127.1258015335</v>
      </c>
      <c r="R145">
        <f t="shared" ref="R145" si="702">R146+Q145</f>
        <v>119868717.56586635</v>
      </c>
      <c r="S145">
        <f t="shared" ref="S145" si="703">R145/100000</f>
        <v>1198.6871756586636</v>
      </c>
      <c r="T145">
        <f t="shared" ref="T145" si="704">S145/1000</f>
        <v>1.1986871756586637</v>
      </c>
    </row>
    <row r="146" spans="1:20" x14ac:dyDescent="0.25">
      <c r="A146" s="5">
        <v>44447</v>
      </c>
      <c r="B146">
        <v>7.6449999999999996</v>
      </c>
      <c r="C146">
        <v>8.5</v>
      </c>
      <c r="D146">
        <v>6.6479999999999997</v>
      </c>
      <c r="E146">
        <v>8.0519999999999996</v>
      </c>
      <c r="F146">
        <v>15724201.6</v>
      </c>
      <c r="G146">
        <v>8.0519999999999996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0.51619870410367141</v>
      </c>
      <c r="Q146">
        <f t="shared" ref="Q146" si="706">F146*P146</f>
        <v>8116812.4889848763</v>
      </c>
      <c r="R146">
        <f t="shared" ref="R146" si="707">R147+Q146</f>
        <v>116982590.44006482</v>
      </c>
      <c r="S146">
        <f t="shared" ref="S146" si="708">R146/100000</f>
        <v>1169.8259044006481</v>
      </c>
      <c r="T146">
        <f t="shared" ref="T146" si="709">S146/1000</f>
        <v>1.169825904400648</v>
      </c>
    </row>
    <row r="147" spans="1:20" x14ac:dyDescent="0.25">
      <c r="A147" s="5">
        <v>44446</v>
      </c>
      <c r="B147">
        <v>9.0359999999999996</v>
      </c>
      <c r="C147">
        <v>9.7189999999999994</v>
      </c>
      <c r="D147">
        <v>6.5</v>
      </c>
      <c r="E147">
        <v>7.6420000000000003</v>
      </c>
      <c r="F147">
        <v>20903615.199999999</v>
      </c>
      <c r="G147">
        <v>7.6420000000000003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-0.29046287666977288</v>
      </c>
      <c r="Q147">
        <f t="shared" ref="Q147" si="711">F147*P147</f>
        <v>-6071724.2037899895</v>
      </c>
      <c r="R147">
        <f t="shared" ref="R147" si="712">R148+Q147</f>
        <v>108865777.95107993</v>
      </c>
      <c r="S147">
        <f t="shared" ref="S147" si="713">R147/100000</f>
        <v>1088.6577795107994</v>
      </c>
      <c r="T147">
        <f t="shared" ref="T147" si="714">S147/1000</f>
        <v>1.0886577795107995</v>
      </c>
    </row>
    <row r="148" spans="1:20" x14ac:dyDescent="0.25">
      <c r="A148" s="5">
        <v>44445</v>
      </c>
      <c r="B148">
        <v>8.9710000000000001</v>
      </c>
      <c r="C148">
        <v>10.2798</v>
      </c>
      <c r="D148">
        <v>8.3670000000000009</v>
      </c>
      <c r="E148">
        <v>9.0350000000000001</v>
      </c>
      <c r="F148">
        <v>31974255.920000002</v>
      </c>
      <c r="G148">
        <v>9.0350000000000001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-0.30154746967795942</v>
      </c>
      <c r="Q148">
        <f t="shared" ref="Q148" si="716">F148*P148</f>
        <v>-9641755.9675115142</v>
      </c>
      <c r="R148">
        <f t="shared" ref="R148" si="717">R149+Q148</f>
        <v>114937502.15486993</v>
      </c>
      <c r="S148">
        <f t="shared" ref="S148" si="718">R148/100000</f>
        <v>1149.3750215486994</v>
      </c>
      <c r="T148">
        <f t="shared" ref="T148" si="719">S148/1000</f>
        <v>1.1493750215486993</v>
      </c>
    </row>
    <row r="149" spans="1:20" x14ac:dyDescent="0.25">
      <c r="A149" s="5">
        <v>44444</v>
      </c>
      <c r="B149">
        <v>7.1749999999999998</v>
      </c>
      <c r="C149">
        <v>9.1199999999999992</v>
      </c>
      <c r="D149">
        <v>7.0650000000000004</v>
      </c>
      <c r="E149">
        <v>8.9700000000000006</v>
      </c>
      <c r="F149">
        <v>18772698.16</v>
      </c>
      <c r="G149">
        <v>8.9700000000000006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0.85401459854014727</v>
      </c>
      <c r="Q149">
        <f t="shared" ref="Q149" si="721">F149*P149</f>
        <v>16032158.282627761</v>
      </c>
      <c r="R149">
        <f t="shared" ref="R149" si="722">R150+Q149</f>
        <v>124579258.12238145</v>
      </c>
      <c r="S149">
        <f t="shared" ref="S149" si="723">R149/100000</f>
        <v>1245.7925812238145</v>
      </c>
      <c r="T149">
        <f t="shared" ref="T149" si="724">S149/1000</f>
        <v>1.2457925812238144</v>
      </c>
    </row>
    <row r="150" spans="1:20" x14ac:dyDescent="0.25">
      <c r="A150" s="5">
        <v>44443</v>
      </c>
      <c r="B150">
        <v>6.9539999999999997</v>
      </c>
      <c r="C150">
        <v>7.2809999999999997</v>
      </c>
      <c r="D150">
        <v>6.8159999999999998</v>
      </c>
      <c r="E150">
        <v>7.1749999999999998</v>
      </c>
      <c r="F150">
        <v>7394375.8799999999</v>
      </c>
      <c r="G150">
        <v>7.1749999999999998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0.54408602150537677</v>
      </c>
      <c r="Q150">
        <f t="shared" ref="Q150" si="726">F150*P150</f>
        <v>4023176.5540645192</v>
      </c>
      <c r="R150">
        <f t="shared" ref="R150" si="727">R151+Q150</f>
        <v>108547099.83975369</v>
      </c>
      <c r="S150">
        <f t="shared" ref="S150" si="728">R150/100000</f>
        <v>1085.470998397537</v>
      </c>
      <c r="T150">
        <f t="shared" ref="T150" si="729">S150/1000</f>
        <v>1.085470998397537</v>
      </c>
    </row>
    <row r="151" spans="1:20" x14ac:dyDescent="0.25">
      <c r="A151" s="5">
        <v>44442</v>
      </c>
      <c r="B151">
        <v>6.7679999999999998</v>
      </c>
      <c r="C151">
        <v>7.1050000000000004</v>
      </c>
      <c r="D151">
        <v>6.5540000000000003</v>
      </c>
      <c r="E151">
        <v>6.9539999999999997</v>
      </c>
      <c r="F151">
        <v>7206562.4699999997</v>
      </c>
      <c r="G151">
        <v>6.9539999999999997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0.45190562613429891</v>
      </c>
      <c r="Q151">
        <f t="shared" ref="Q151" si="731">F151*P151</f>
        <v>3256686.1252812897</v>
      </c>
      <c r="R151">
        <f t="shared" ref="R151" si="732">R152+Q151</f>
        <v>104523923.28568918</v>
      </c>
      <c r="S151">
        <f t="shared" ref="S151" si="733">R151/100000</f>
        <v>1045.2392328568917</v>
      </c>
      <c r="T151">
        <f t="shared" ref="T151" si="734">S151/1000</f>
        <v>1.0452392328568918</v>
      </c>
    </row>
    <row r="152" spans="1:20" x14ac:dyDescent="0.25">
      <c r="A152" s="5">
        <v>44441</v>
      </c>
      <c r="B152">
        <v>6.766</v>
      </c>
      <c r="C152">
        <v>6.9539999999999997</v>
      </c>
      <c r="D152">
        <v>6.5750000000000002</v>
      </c>
      <c r="E152">
        <v>6.7679999999999998</v>
      </c>
      <c r="F152">
        <v>6230322.8499999996</v>
      </c>
      <c r="G152">
        <v>6.7679999999999998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1.8469656992083593E-2</v>
      </c>
      <c r="Q152">
        <f t="shared" ref="Q152" si="736">F152*P152</f>
        <v>115071.92598944067</v>
      </c>
      <c r="R152">
        <f t="shared" ref="R152" si="737">R153+Q152</f>
        <v>101267237.16040789</v>
      </c>
      <c r="S152">
        <f t="shared" ref="S152" si="738">R152/100000</f>
        <v>1012.6723716040789</v>
      </c>
      <c r="T152">
        <f t="shared" ref="T152" si="739">S152/1000</f>
        <v>1.0126723716040789</v>
      </c>
    </row>
    <row r="153" spans="1:20" x14ac:dyDescent="0.25">
      <c r="A153" s="5">
        <v>44440</v>
      </c>
      <c r="B153">
        <v>6.3250000000000002</v>
      </c>
      <c r="C153">
        <v>6.8890000000000002</v>
      </c>
      <c r="D153">
        <v>6.1390000000000002</v>
      </c>
      <c r="E153">
        <v>6.7640000000000002</v>
      </c>
      <c r="F153">
        <v>7315731.6399999997</v>
      </c>
      <c r="G153">
        <v>6.7640000000000002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0.66666666666666663</v>
      </c>
      <c r="Q153">
        <f t="shared" ref="Q153" si="741">F153*P153</f>
        <v>4877154.4266666658</v>
      </c>
      <c r="R153">
        <f t="shared" ref="R153" si="742">R154+Q153</f>
        <v>101152165.23441845</v>
      </c>
      <c r="S153">
        <f t="shared" ref="S153" si="743">R153/100000</f>
        <v>1011.5216523441845</v>
      </c>
      <c r="T153">
        <f t="shared" ref="T153" si="744">S153/1000</f>
        <v>1.0115216523441846</v>
      </c>
    </row>
    <row r="154" spans="1:20" x14ac:dyDescent="0.25">
      <c r="A154" s="5">
        <v>44439</v>
      </c>
      <c r="B154">
        <v>6.2279999999999998</v>
      </c>
      <c r="C154">
        <v>6.6459999999999999</v>
      </c>
      <c r="D154">
        <v>6.0789999999999997</v>
      </c>
      <c r="E154">
        <v>6.3250000000000002</v>
      </c>
      <c r="F154">
        <v>7145211.2999999998</v>
      </c>
      <c r="G154">
        <v>6.3250000000000002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-0.13227513227513099</v>
      </c>
      <c r="Q154">
        <f t="shared" ref="Q154" si="746">F154*P154</f>
        <v>-945133.76984126063</v>
      </c>
      <c r="R154">
        <f t="shared" ref="R154" si="747">R155+Q154</f>
        <v>96275010.80775179</v>
      </c>
      <c r="S154">
        <f t="shared" ref="S154" si="748">R154/100000</f>
        <v>962.75010807751789</v>
      </c>
      <c r="T154">
        <f t="shared" ref="T154" si="749">S154/1000</f>
        <v>0.96275010807751793</v>
      </c>
    </row>
    <row r="155" spans="1:20" x14ac:dyDescent="0.25">
      <c r="A155" s="5">
        <v>44438</v>
      </c>
      <c r="B155">
        <v>6.65</v>
      </c>
      <c r="C155">
        <v>6.694</v>
      </c>
      <c r="D155">
        <v>6.18</v>
      </c>
      <c r="E155">
        <v>6.2270000000000003</v>
      </c>
      <c r="F155">
        <v>5410159.5</v>
      </c>
      <c r="G155">
        <v>6.2270000000000003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-0.81712062256809115</v>
      </c>
      <c r="Q155">
        <f t="shared" ref="Q155" si="751">F155*P155</f>
        <v>-4420752.8988326723</v>
      </c>
      <c r="R155">
        <f t="shared" ref="R155" si="752">R156+Q155</f>
        <v>97220144.577593043</v>
      </c>
      <c r="S155">
        <f t="shared" ref="S155" si="753">R155/100000</f>
        <v>972.20144577593044</v>
      </c>
      <c r="T155">
        <f t="shared" ref="T155" si="754">S155/1000</f>
        <v>0.97220144577593048</v>
      </c>
    </row>
    <row r="156" spans="1:20" x14ac:dyDescent="0.25">
      <c r="A156" s="5">
        <v>44437</v>
      </c>
      <c r="B156">
        <v>6.4459999999999997</v>
      </c>
      <c r="C156">
        <v>6.7880000000000003</v>
      </c>
      <c r="D156">
        <v>6.3520000000000003</v>
      </c>
      <c r="E156">
        <v>6.6479999999999997</v>
      </c>
      <c r="F156">
        <v>8101287.0300000003</v>
      </c>
      <c r="G156">
        <v>6.6479999999999997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0.35779816513761198</v>
      </c>
      <c r="Q156">
        <f t="shared" ref="Q156" si="756">F156*P156</f>
        <v>2898625.6345871342</v>
      </c>
      <c r="R156">
        <f t="shared" ref="R156" si="757">R157+Q156</f>
        <v>101640897.47642572</v>
      </c>
      <c r="S156">
        <f t="shared" ref="S156" si="758">R156/100000</f>
        <v>1016.4089747642572</v>
      </c>
      <c r="T156">
        <f t="shared" ref="T156" si="759">S156/1000</f>
        <v>1.0164089747642573</v>
      </c>
    </row>
    <row r="157" spans="1:20" x14ac:dyDescent="0.25">
      <c r="A157" s="5">
        <v>44436</v>
      </c>
      <c r="B157">
        <v>6.556</v>
      </c>
      <c r="C157">
        <v>6.6150000000000002</v>
      </c>
      <c r="D157">
        <v>6.2859999999999996</v>
      </c>
      <c r="E157">
        <v>6.4470000000000001</v>
      </c>
      <c r="F157">
        <v>5013689</v>
      </c>
      <c r="G157">
        <v>6.4470000000000001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-2.1276595744679817E-2</v>
      </c>
      <c r="Q157">
        <f t="shared" ref="Q157" si="761">F157*P157</f>
        <v>-106674.23404254801</v>
      </c>
      <c r="R157">
        <f t="shared" ref="R157" si="762">R158+Q157</f>
        <v>98742271.841838583</v>
      </c>
      <c r="S157">
        <f t="shared" ref="S157" si="763">R157/100000</f>
        <v>987.42271841838578</v>
      </c>
      <c r="T157">
        <f t="shared" ref="T157" si="764">S157/1000</f>
        <v>0.9874227184183858</v>
      </c>
    </row>
    <row r="158" spans="1:20" x14ac:dyDescent="0.25">
      <c r="A158" s="5">
        <v>44435</v>
      </c>
      <c r="B158">
        <v>5.984</v>
      </c>
      <c r="C158">
        <v>6.6509999999999998</v>
      </c>
      <c r="D158">
        <v>5.7320000000000002</v>
      </c>
      <c r="E158">
        <v>6.5579999999999998</v>
      </c>
      <c r="F158">
        <v>7055137.1299999999</v>
      </c>
      <c r="G158">
        <v>6.5579999999999998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0.79760609357997825</v>
      </c>
      <c r="Q158">
        <f t="shared" ref="Q158" si="766">F158*P158</f>
        <v>5627220.3659303589</v>
      </c>
      <c r="R158">
        <f t="shared" ref="R158" si="767">R159+Q158</f>
        <v>98848946.075881138</v>
      </c>
      <c r="S158">
        <f t="shared" ref="S158" si="768">R158/100000</f>
        <v>988.48946075881133</v>
      </c>
      <c r="T158">
        <f t="shared" ref="T158" si="769">S158/1000</f>
        <v>0.98848946075881128</v>
      </c>
    </row>
    <row r="159" spans="1:20" x14ac:dyDescent="0.25">
      <c r="A159" s="5">
        <v>44434</v>
      </c>
      <c r="B159">
        <v>6.6417999999999999</v>
      </c>
      <c r="C159">
        <v>6.7460000000000004</v>
      </c>
      <c r="D159">
        <v>5.93</v>
      </c>
      <c r="E159">
        <v>5.9829999999999997</v>
      </c>
      <c r="F159">
        <v>7229279.1699999999</v>
      </c>
      <c r="G159">
        <v>5.9829999999999997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-0.87009803921568651</v>
      </c>
      <c r="Q159">
        <f t="shared" ref="Q159" si="771">F159*P159</f>
        <v>-6290181.6307598054</v>
      </c>
      <c r="R159">
        <f t="shared" ref="R159" si="772">R160+Q159</f>
        <v>93221725.709950775</v>
      </c>
      <c r="S159">
        <f t="shared" ref="S159" si="773">R159/100000</f>
        <v>932.21725709950772</v>
      </c>
      <c r="T159">
        <f t="shared" ref="T159" si="774">S159/1000</f>
        <v>0.93221725709950776</v>
      </c>
    </row>
    <row r="160" spans="1:20" x14ac:dyDescent="0.25">
      <c r="A160" s="5">
        <v>44433</v>
      </c>
      <c r="B160">
        <v>6.2923</v>
      </c>
      <c r="C160">
        <v>6.8346999999999998</v>
      </c>
      <c r="D160">
        <v>6.08</v>
      </c>
      <c r="E160">
        <v>6.6412000000000004</v>
      </c>
      <c r="F160">
        <v>9006443.5500000007</v>
      </c>
      <c r="G160">
        <v>6.6412000000000004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0.48721346230290336</v>
      </c>
      <c r="Q160">
        <f t="shared" ref="Q160" si="776">F160*P160</f>
        <v>4388060.5450311527</v>
      </c>
      <c r="R160">
        <f t="shared" ref="R160" si="777">R161+Q160</f>
        <v>99511907.34071058</v>
      </c>
      <c r="S160">
        <f t="shared" ref="S160" si="778">R160/100000</f>
        <v>995.11907340710582</v>
      </c>
      <c r="T160">
        <f t="shared" ref="T160" si="779">S160/1000</f>
        <v>0.99511907340710581</v>
      </c>
    </row>
    <row r="161" spans="1:20" x14ac:dyDescent="0.25">
      <c r="A161" s="5">
        <v>44432</v>
      </c>
      <c r="B161">
        <v>6.7670000000000003</v>
      </c>
      <c r="C161">
        <v>7.1788999999999996</v>
      </c>
      <c r="D161">
        <v>6.1235999999999997</v>
      </c>
      <c r="E161">
        <v>6.2922000000000002</v>
      </c>
      <c r="F161">
        <v>11498312.060000001</v>
      </c>
      <c r="G161">
        <v>6.2922000000000002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-0.68047000852837958</v>
      </c>
      <c r="Q161">
        <f t="shared" ref="Q161" si="781">F161*P161</f>
        <v>-7824256.5055301702</v>
      </c>
      <c r="R161">
        <f t="shared" ref="R161" si="782">R162+Q161</f>
        <v>95123846.79567942</v>
      </c>
      <c r="S161">
        <f t="shared" ref="S161" si="783">R161/100000</f>
        <v>951.23846795679424</v>
      </c>
      <c r="T161">
        <f t="shared" ref="T161" si="784">S161/1000</f>
        <v>0.95123846795679423</v>
      </c>
    </row>
    <row r="162" spans="1:20" x14ac:dyDescent="0.25">
      <c r="A162" s="5">
        <v>44431</v>
      </c>
      <c r="B162">
        <v>6.2713999999999999</v>
      </c>
      <c r="C162">
        <v>7.35</v>
      </c>
      <c r="D162">
        <v>6.1801000000000004</v>
      </c>
      <c r="E162">
        <v>6.7672999999999996</v>
      </c>
      <c r="F162">
        <v>14416188.109999999</v>
      </c>
      <c r="G162">
        <v>6.7672999999999996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3.8464826053502738E-3</v>
      </c>
      <c r="Q162">
        <f t="shared" ref="Q162" si="786">F162*P162</f>
        <v>55451.616800572439</v>
      </c>
      <c r="R162">
        <f t="shared" ref="R162" si="787">R163+Q162</f>
        <v>102948103.30120958</v>
      </c>
      <c r="S162">
        <f t="shared" ref="S162" si="788">R162/100000</f>
        <v>1029.4810330120958</v>
      </c>
      <c r="T162">
        <f t="shared" ref="T162" si="789">S162/1000</f>
        <v>1.0294810330120958</v>
      </c>
    </row>
    <row r="163" spans="1:20" x14ac:dyDescent="0.25">
      <c r="A163" s="5">
        <v>44430</v>
      </c>
      <c r="B163">
        <v>6.1420000000000003</v>
      </c>
      <c r="C163">
        <v>6.54</v>
      </c>
      <c r="D163">
        <v>6.1280000000000001</v>
      </c>
      <c r="E163">
        <v>6.4410999999999996</v>
      </c>
      <c r="F163">
        <v>2460413.8199999998</v>
      </c>
      <c r="G163">
        <v>6.4410999999999996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0.51990291262135702</v>
      </c>
      <c r="Q163">
        <f t="shared" ref="Q163" si="791">F163*P163</f>
        <v>1279176.3112718391</v>
      </c>
      <c r="R163">
        <f t="shared" ref="R163" si="792">R164+Q163</f>
        <v>102892651.68440901</v>
      </c>
      <c r="S163">
        <f t="shared" ref="S163" si="793">R163/100000</f>
        <v>1028.92651684409</v>
      </c>
      <c r="T163">
        <f t="shared" ref="T163" si="794">S163/1000</f>
        <v>1.02892651684409</v>
      </c>
    </row>
    <row r="164" spans="1:20" x14ac:dyDescent="0.25">
      <c r="A164" s="5">
        <v>44429</v>
      </c>
      <c r="B164">
        <v>6.1536</v>
      </c>
      <c r="C164">
        <v>6.5815999999999999</v>
      </c>
      <c r="D164">
        <v>5.99</v>
      </c>
      <c r="E164">
        <v>6.1430999999999996</v>
      </c>
      <c r="F164">
        <v>9080841.6400000006</v>
      </c>
      <c r="G164">
        <v>6.1430999999999996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-0.48242055442866993</v>
      </c>
      <c r="Q164">
        <f t="shared" ref="Q164" si="796">F164*P164</f>
        <v>-4380784.6586477524</v>
      </c>
      <c r="R164">
        <f t="shared" ref="R164" si="797">R165+Q164</f>
        <v>101613475.37313716</v>
      </c>
      <c r="S164">
        <f t="shared" ref="S164" si="798">R164/100000</f>
        <v>1016.1347537313716</v>
      </c>
      <c r="T164">
        <f t="shared" ref="T164" si="799">S164/1000</f>
        <v>1.0161347537313716</v>
      </c>
    </row>
    <row r="165" spans="1:20" x14ac:dyDescent="0.25">
      <c r="A165" s="5">
        <v>44428</v>
      </c>
      <c r="B165">
        <v>6.1677</v>
      </c>
      <c r="C165">
        <v>6.5</v>
      </c>
      <c r="D165">
        <v>5.9272</v>
      </c>
      <c r="E165">
        <v>6.1539000000000001</v>
      </c>
      <c r="F165">
        <v>10101394.220000001</v>
      </c>
      <c r="G165">
        <v>6.1539000000000001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-0.20844972067039061</v>
      </c>
      <c r="Q165">
        <f t="shared" ref="Q165" si="801">F165*P165</f>
        <v>-2105632.8035404985</v>
      </c>
      <c r="R165">
        <f t="shared" ref="R165" si="802">R166+Q165</f>
        <v>105994260.03178491</v>
      </c>
      <c r="S165">
        <f t="shared" ref="S165" si="803">R165/100000</f>
        <v>1059.9426003178492</v>
      </c>
      <c r="T165">
        <f t="shared" ref="T165" si="804">S165/1000</f>
        <v>1.0599426003178491</v>
      </c>
    </row>
    <row r="166" spans="1:20" x14ac:dyDescent="0.25">
      <c r="A166" s="5">
        <v>44427</v>
      </c>
      <c r="B166">
        <v>5.1581999999999999</v>
      </c>
      <c r="C166">
        <v>6.2628000000000004</v>
      </c>
      <c r="D166">
        <v>4.9881000000000002</v>
      </c>
      <c r="E166">
        <v>6.1676000000000002</v>
      </c>
      <c r="F166">
        <v>14192554.640000001</v>
      </c>
      <c r="G166">
        <v>6.1676000000000002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0.85063152114222929</v>
      </c>
      <c r="Q166">
        <f t="shared" ref="Q166" si="806">F166*P166</f>
        <v>12072634.342317404</v>
      </c>
      <c r="R166">
        <f t="shared" ref="R166" si="807">R167+Q166</f>
        <v>108099892.83532541</v>
      </c>
      <c r="S166">
        <f t="shared" ref="S166" si="808">R166/100000</f>
        <v>1080.9989283532541</v>
      </c>
      <c r="T166">
        <f t="shared" ref="T166" si="809">S166/1000</f>
        <v>1.0809989283532542</v>
      </c>
    </row>
    <row r="167" spans="1:20" x14ac:dyDescent="0.25">
      <c r="A167" s="5">
        <v>44426</v>
      </c>
      <c r="B167">
        <v>5.2351999999999999</v>
      </c>
      <c r="C167">
        <v>5.3715999999999999</v>
      </c>
      <c r="D167">
        <v>4.9200999999999997</v>
      </c>
      <c r="E167">
        <v>5.1566000000000001</v>
      </c>
      <c r="F167">
        <v>6325763.3700000001</v>
      </c>
      <c r="G167">
        <v>5.1566000000000001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4.7619047619048741E-2</v>
      </c>
      <c r="Q167">
        <f t="shared" ref="Q167" si="811">F167*P167</f>
        <v>301226.82714286423</v>
      </c>
      <c r="R167">
        <f t="shared" ref="R167" si="812">R168+Q167</f>
        <v>96027258.493008003</v>
      </c>
      <c r="S167">
        <f t="shared" ref="S167" si="813">R167/100000</f>
        <v>960.27258493008003</v>
      </c>
      <c r="T167">
        <f t="shared" ref="T167" si="814">S167/1000</f>
        <v>0.96027258493008005</v>
      </c>
    </row>
    <row r="168" spans="1:20" x14ac:dyDescent="0.25">
      <c r="A168" s="5">
        <v>44425</v>
      </c>
      <c r="B168">
        <v>5.6417999999999999</v>
      </c>
      <c r="C168">
        <v>5.9020999999999999</v>
      </c>
      <c r="D168">
        <v>5.1921999999999997</v>
      </c>
      <c r="E168">
        <v>5.2352999999999996</v>
      </c>
      <c r="F168">
        <v>7271798.6299999999</v>
      </c>
      <c r="G168">
        <v>5.2352999999999996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-0.87857444710522636</v>
      </c>
      <c r="Q168">
        <f t="shared" ref="Q168" si="816">F168*P168</f>
        <v>-6388816.4608127922</v>
      </c>
      <c r="R168">
        <f t="shared" ref="R168" si="817">R169+Q168</f>
        <v>95726031.665865138</v>
      </c>
      <c r="S168">
        <f t="shared" ref="S168" si="818">R168/100000</f>
        <v>957.26031665865139</v>
      </c>
      <c r="T168">
        <f t="shared" ref="T168" si="819">S168/1000</f>
        <v>0.95726031665865141</v>
      </c>
    </row>
    <row r="169" spans="1:20" x14ac:dyDescent="0.25">
      <c r="A169" s="5">
        <v>44424</v>
      </c>
      <c r="B169">
        <v>5.6867000000000001</v>
      </c>
      <c r="C169">
        <v>5.9837999999999996</v>
      </c>
      <c r="D169">
        <v>5.4520999999999997</v>
      </c>
      <c r="E169">
        <v>5.6406000000000001</v>
      </c>
      <c r="F169">
        <v>6657190.1799999997</v>
      </c>
      <c r="G169">
        <v>5.6406000000000001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-0.29095354523227235</v>
      </c>
      <c r="Q169">
        <f t="shared" ref="Q169" si="821">F169*P169</f>
        <v>-1936933.0841564692</v>
      </c>
      <c r="R169">
        <f t="shared" ref="R169" si="822">R170+Q169</f>
        <v>102114848.12667793</v>
      </c>
      <c r="S169">
        <f t="shared" ref="S169" si="823">R169/100000</f>
        <v>1021.1484812667793</v>
      </c>
      <c r="T169">
        <f t="shared" ref="T169" si="824">S169/1000</f>
        <v>1.0211484812667793</v>
      </c>
    </row>
    <row r="170" spans="1:20" x14ac:dyDescent="0.25">
      <c r="A170" s="5">
        <v>44423</v>
      </c>
      <c r="B170">
        <v>5.6406000000000001</v>
      </c>
      <c r="C170">
        <v>5.7316000000000003</v>
      </c>
      <c r="D170">
        <v>5.3316999999999997</v>
      </c>
      <c r="E170">
        <v>5.6867999999999999</v>
      </c>
      <c r="F170">
        <v>4204677.42</v>
      </c>
      <c r="G170">
        <v>5.6867999999999999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0.7759439859964975</v>
      </c>
      <c r="Q170">
        <f t="shared" ref="Q170" si="826">F170*P170</f>
        <v>3262594.1571042691</v>
      </c>
      <c r="R170">
        <f t="shared" ref="R170" si="827">R171+Q170</f>
        <v>104051781.2108344</v>
      </c>
      <c r="S170">
        <f t="shared" ref="S170" si="828">R170/100000</f>
        <v>1040.5178121083441</v>
      </c>
      <c r="T170">
        <f t="shared" ref="T170" si="829">S170/1000</f>
        <v>1.040517812108344</v>
      </c>
    </row>
    <row r="171" spans="1:20" x14ac:dyDescent="0.25">
      <c r="A171" s="5">
        <v>44422</v>
      </c>
      <c r="B171">
        <v>5.6188000000000002</v>
      </c>
      <c r="C171">
        <v>5.78</v>
      </c>
      <c r="D171">
        <v>5.3593999999999999</v>
      </c>
      <c r="E171">
        <v>5.6398000000000001</v>
      </c>
      <c r="F171">
        <v>5919648.8799999999</v>
      </c>
      <c r="G171">
        <v>5.6398000000000001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0.33333333333333331</v>
      </c>
      <c r="Q171">
        <f t="shared" ref="Q171" si="831">F171*P171</f>
        <v>1973216.2933333332</v>
      </c>
      <c r="R171">
        <f t="shared" ref="R171" si="832">R172+Q171</f>
        <v>100789187.05373013</v>
      </c>
      <c r="S171">
        <f t="shared" ref="S171" si="833">R171/100000</f>
        <v>1007.8918705373013</v>
      </c>
      <c r="T171">
        <f t="shared" ref="T171" si="834">S171/1000</f>
        <v>1.0078918705373012</v>
      </c>
    </row>
    <row r="172" spans="1:20" x14ac:dyDescent="0.25">
      <c r="A172" s="5">
        <v>44421</v>
      </c>
      <c r="B172">
        <v>5.0407999999999999</v>
      </c>
      <c r="C172">
        <v>5.6589</v>
      </c>
      <c r="D172">
        <v>4.9588000000000001</v>
      </c>
      <c r="E172">
        <v>5.6181999999999999</v>
      </c>
      <c r="F172">
        <v>6558279.5899999999</v>
      </c>
      <c r="G172">
        <v>5.6181999999999999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0.88373089558634432</v>
      </c>
      <c r="Q172">
        <f t="shared" ref="Q172" si="836">F172*P172</f>
        <v>5795754.2955763433</v>
      </c>
      <c r="R172">
        <f t="shared" ref="R172" si="837">R173+Q172</f>
        <v>98815970.760396793</v>
      </c>
      <c r="S172">
        <f t="shared" ref="S172" si="838">R172/100000</f>
        <v>988.15970760396795</v>
      </c>
      <c r="T172">
        <f t="shared" ref="T172" si="839">S172/1000</f>
        <v>0.98815970760396799</v>
      </c>
    </row>
    <row r="173" spans="1:20" x14ac:dyDescent="0.25">
      <c r="A173" s="5">
        <v>44420</v>
      </c>
      <c r="B173">
        <v>5.2564000000000002</v>
      </c>
      <c r="C173">
        <v>5.4981</v>
      </c>
      <c r="D173">
        <v>4.8254000000000001</v>
      </c>
      <c r="E173">
        <v>5.0407999999999999</v>
      </c>
      <c r="F173">
        <v>6038689.5199999996</v>
      </c>
      <c r="G173">
        <v>5.0407999999999999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-0.35959565928348486</v>
      </c>
      <c r="Q173">
        <f t="shared" ref="Q173" si="841">F173*P173</f>
        <v>-2171486.5391526707</v>
      </c>
      <c r="R173">
        <f t="shared" ref="R173" si="842">R174+Q173</f>
        <v>93020216.464820445</v>
      </c>
      <c r="S173">
        <f t="shared" ref="S173" si="843">R173/100000</f>
        <v>930.20216464820442</v>
      </c>
      <c r="T173">
        <f t="shared" ref="T173" si="844">S173/1000</f>
        <v>0.93020216464820438</v>
      </c>
    </row>
    <row r="174" spans="1:20" x14ac:dyDescent="0.25">
      <c r="A174" s="5">
        <v>44419</v>
      </c>
      <c r="B174">
        <v>5.1247999999999996</v>
      </c>
      <c r="C174">
        <v>5.4730999999999996</v>
      </c>
      <c r="D174">
        <v>5.0925000000000002</v>
      </c>
      <c r="E174">
        <v>5.2565</v>
      </c>
      <c r="F174">
        <v>4594255.07</v>
      </c>
      <c r="G174">
        <v>5.2565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-0.13820283762480312</v>
      </c>
      <c r="Q174">
        <f t="shared" ref="Q174" si="846">F174*P174</f>
        <v>-634939.0874461385</v>
      </c>
      <c r="R174">
        <f t="shared" ref="R174" si="847">R175+Q174</f>
        <v>95191703.003973112</v>
      </c>
      <c r="S174">
        <f t="shared" ref="S174" si="848">R174/100000</f>
        <v>951.91703003973112</v>
      </c>
      <c r="T174">
        <f t="shared" ref="T174" si="849">S174/1000</f>
        <v>0.95191703003973116</v>
      </c>
    </row>
    <row r="175" spans="1:20" x14ac:dyDescent="0.25">
      <c r="A175" s="5">
        <v>44418</v>
      </c>
      <c r="B175">
        <v>4.9785000000000004</v>
      </c>
      <c r="C175">
        <v>5.2081</v>
      </c>
      <c r="D175">
        <v>4.8989000000000003</v>
      </c>
      <c r="E175">
        <v>5.1233000000000004</v>
      </c>
      <c r="F175">
        <v>4613897.8499999996</v>
      </c>
      <c r="G175">
        <v>5.1233000000000004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0.45148771021992479</v>
      </c>
      <c r="Q175">
        <f t="shared" ref="Q175" si="851">F175*P175</f>
        <v>2083118.1754851339</v>
      </c>
      <c r="R175">
        <f t="shared" ref="R175" si="852">R176+Q175</f>
        <v>95826642.09141925</v>
      </c>
      <c r="S175">
        <f t="shared" ref="S175" si="853">R175/100000</f>
        <v>958.26642091419251</v>
      </c>
      <c r="T175">
        <f t="shared" ref="T175" si="854">S175/1000</f>
        <v>0.95826642091419256</v>
      </c>
    </row>
    <row r="176" spans="1:20" x14ac:dyDescent="0.25">
      <c r="A176" s="5">
        <v>44417</v>
      </c>
      <c r="B176">
        <v>4.7679999999999998</v>
      </c>
      <c r="C176">
        <v>5.2149999999999999</v>
      </c>
      <c r="D176">
        <v>4.6007999999999996</v>
      </c>
      <c r="E176">
        <v>4.9782000000000002</v>
      </c>
      <c r="F176">
        <v>5576772.8200000003</v>
      </c>
      <c r="G176">
        <v>4.9782000000000002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0.22891566265060384</v>
      </c>
      <c r="Q176">
        <f t="shared" ref="Q176" si="856">F176*P176</f>
        <v>1276610.6455421767</v>
      </c>
      <c r="R176">
        <f t="shared" ref="R176" si="857">R177+Q176</f>
        <v>93743523.915934116</v>
      </c>
      <c r="S176">
        <f t="shared" ref="S176" si="858">R176/100000</f>
        <v>937.43523915934111</v>
      </c>
      <c r="T176">
        <f t="shared" ref="T176" si="859">S176/1000</f>
        <v>0.93743523915934113</v>
      </c>
    </row>
    <row r="177" spans="1:20" x14ac:dyDescent="0.25">
      <c r="A177" s="5">
        <v>44416</v>
      </c>
      <c r="B177">
        <v>5.0660999999999996</v>
      </c>
      <c r="C177">
        <v>5.1501000000000001</v>
      </c>
      <c r="D177">
        <v>4.7023000000000001</v>
      </c>
      <c r="E177">
        <v>4.7676999999999996</v>
      </c>
      <c r="F177">
        <v>6225426.3799999999</v>
      </c>
      <c r="G177">
        <v>4.7676999999999996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-0.70790531487271346</v>
      </c>
      <c r="Q177">
        <f t="shared" ref="Q177" si="861">F177*P177</f>
        <v>-4407012.421750797</v>
      </c>
      <c r="R177">
        <f t="shared" ref="R177" si="862">R178+Q177</f>
        <v>92466913.270391941</v>
      </c>
      <c r="S177">
        <f t="shared" ref="S177" si="863">R177/100000</f>
        <v>924.66913270391944</v>
      </c>
      <c r="T177">
        <f t="shared" ref="T177" si="864">S177/1000</f>
        <v>0.92466913270391948</v>
      </c>
    </row>
    <row r="178" spans="1:20" x14ac:dyDescent="0.25">
      <c r="A178" s="5">
        <v>44415</v>
      </c>
      <c r="B178">
        <v>4.7309999999999999</v>
      </c>
      <c r="C178">
        <v>5.3631000000000002</v>
      </c>
      <c r="D178">
        <v>4.6574999999999998</v>
      </c>
      <c r="E178">
        <v>5.0655999999999999</v>
      </c>
      <c r="F178">
        <v>11250412</v>
      </c>
      <c r="G178">
        <v>5.0655999999999999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0.15674603174603138</v>
      </c>
      <c r="Q178">
        <f t="shared" ref="Q178" si="866">F178*P178</f>
        <v>1763457.4365079324</v>
      </c>
      <c r="R178">
        <f t="shared" ref="R178" si="867">R179+Q178</f>
        <v>96873925.69214274</v>
      </c>
      <c r="S178">
        <f t="shared" ref="S178" si="868">R178/100000</f>
        <v>968.73925692142745</v>
      </c>
      <c r="T178">
        <f t="shared" ref="T178" si="869">S178/1000</f>
        <v>0.96873925692142748</v>
      </c>
    </row>
    <row r="179" spans="1:20" x14ac:dyDescent="0.25">
      <c r="A179" s="5">
        <v>44414</v>
      </c>
      <c r="B179">
        <v>4.4667000000000003</v>
      </c>
      <c r="C179">
        <v>4.7721</v>
      </c>
      <c r="D179">
        <v>4.3379000000000003</v>
      </c>
      <c r="E179">
        <v>4.7279999999999998</v>
      </c>
      <c r="F179">
        <v>4748635.0999999996</v>
      </c>
      <c r="G179">
        <v>4.7279999999999998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0.79686780285582548</v>
      </c>
      <c r="Q179">
        <f t="shared" ref="Q179" si="871">F179*P179</f>
        <v>3784034.4187010527</v>
      </c>
      <c r="R179">
        <f t="shared" ref="R179" si="872">R180+Q179</f>
        <v>95110468.255634815</v>
      </c>
      <c r="S179">
        <f t="shared" ref="S179" si="873">R179/100000</f>
        <v>951.10468255634817</v>
      </c>
      <c r="T179">
        <f t="shared" ref="T179" si="874">S179/1000</f>
        <v>0.95110468255634817</v>
      </c>
    </row>
    <row r="180" spans="1:20" x14ac:dyDescent="0.25">
      <c r="A180" s="5">
        <v>44413</v>
      </c>
      <c r="B180">
        <v>4.3327999999999998</v>
      </c>
      <c r="C180">
        <v>4.4978999999999996</v>
      </c>
      <c r="D180">
        <v>4.1500000000000004</v>
      </c>
      <c r="E180">
        <v>4.4661</v>
      </c>
      <c r="F180">
        <v>4426837.2300000004</v>
      </c>
      <c r="G180">
        <v>4.4661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0.81718884736993569</v>
      </c>
      <c r="Q180">
        <f t="shared" ref="Q180" si="876">F180*P180</f>
        <v>3617562.0134780193</v>
      </c>
      <c r="R180">
        <f t="shared" ref="R180" si="877">R181+Q180</f>
        <v>91326433.836933762</v>
      </c>
      <c r="S180">
        <f t="shared" ref="S180" si="878">R180/100000</f>
        <v>913.26433836933757</v>
      </c>
      <c r="T180">
        <f t="shared" ref="T180" si="879">S180/1000</f>
        <v>0.91326433836933751</v>
      </c>
    </row>
    <row r="181" spans="1:20" x14ac:dyDescent="0.25">
      <c r="A181" s="5">
        <v>44412</v>
      </c>
      <c r="B181">
        <v>4.2023999999999999</v>
      </c>
      <c r="C181">
        <v>4.3734999999999999</v>
      </c>
      <c r="D181">
        <v>4.0599999999999996</v>
      </c>
      <c r="E181">
        <v>4.3333000000000004</v>
      </c>
      <c r="F181">
        <v>3535406</v>
      </c>
      <c r="G181">
        <v>4.3333000000000004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0.74354066985646239</v>
      </c>
      <c r="Q181">
        <f t="shared" ref="Q181" si="881">F181*P181</f>
        <v>2628718.1454545562</v>
      </c>
      <c r="R181">
        <f t="shared" ref="R181" si="882">R182+Q181</f>
        <v>87708871.823455736</v>
      </c>
      <c r="S181">
        <f t="shared" ref="S181" si="883">R181/100000</f>
        <v>877.0887182345574</v>
      </c>
      <c r="T181">
        <f t="shared" ref="T181" si="884">S181/1000</f>
        <v>0.87708871823455736</v>
      </c>
    </row>
    <row r="182" spans="1:20" x14ac:dyDescent="0.25">
      <c r="A182" s="5">
        <v>44411</v>
      </c>
      <c r="B182">
        <v>4.3666</v>
      </c>
      <c r="C182">
        <v>4.4432</v>
      </c>
      <c r="D182">
        <v>4.0664999999999996</v>
      </c>
      <c r="E182">
        <v>4.2018000000000004</v>
      </c>
      <c r="F182">
        <v>3881006.3</v>
      </c>
      <c r="G182">
        <v>4.2018000000000004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-0.28165649057605152</v>
      </c>
      <c r="Q182">
        <f t="shared" ref="Q182" si="886">F182*P182</f>
        <v>-1093110.6143615465</v>
      </c>
      <c r="R182">
        <f t="shared" ref="R182" si="887">R183+Q182</f>
        <v>85080153.67800118</v>
      </c>
      <c r="S182">
        <f t="shared" ref="S182" si="888">R182/100000</f>
        <v>850.80153678001182</v>
      </c>
      <c r="T182">
        <f t="shared" ref="T182" si="889">S182/1000</f>
        <v>0.8508015367800118</v>
      </c>
    </row>
    <row r="183" spans="1:20" x14ac:dyDescent="0.25">
      <c r="A183" s="5">
        <v>44410</v>
      </c>
      <c r="B183">
        <v>4.2999000000000001</v>
      </c>
      <c r="C183">
        <v>4.45</v>
      </c>
      <c r="D183">
        <v>4.1797000000000004</v>
      </c>
      <c r="E183">
        <v>4.3663999999999996</v>
      </c>
      <c r="F183">
        <v>4292576.01</v>
      </c>
      <c r="G183">
        <v>4.3663999999999996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0.3814280429152746</v>
      </c>
      <c r="Q183">
        <f t="shared" ref="Q183" si="891">F183*P183</f>
        <v>1637308.8665593581</v>
      </c>
      <c r="R183">
        <f t="shared" ref="R183" si="892">R184+Q183</f>
        <v>86173264.29236272</v>
      </c>
      <c r="S183">
        <f t="shared" ref="S183" si="893">R183/100000</f>
        <v>861.73264292362717</v>
      </c>
      <c r="T183">
        <f t="shared" ref="T183" si="894">S183/1000</f>
        <v>0.86173264292362717</v>
      </c>
    </row>
    <row r="184" spans="1:20" x14ac:dyDescent="0.25">
      <c r="A184" s="5">
        <v>44409</v>
      </c>
      <c r="B184">
        <v>4.4573999999999998</v>
      </c>
      <c r="C184">
        <v>4.7784000000000004</v>
      </c>
      <c r="D184">
        <v>4.2571000000000003</v>
      </c>
      <c r="E184">
        <v>4.2991000000000001</v>
      </c>
      <c r="F184">
        <v>6620797.7999999998</v>
      </c>
      <c r="G184">
        <v>4.2991000000000001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-0.83886437751774479</v>
      </c>
      <c r="Q184">
        <f t="shared" ref="Q184" si="896">F184*P184</f>
        <v>-5553951.4251678539</v>
      </c>
      <c r="R184">
        <f t="shared" ref="R184" si="897">R185+Q184</f>
        <v>84535955.425803363</v>
      </c>
      <c r="S184">
        <f t="shared" ref="S184" si="898">R184/100000</f>
        <v>845.35955425803365</v>
      </c>
      <c r="T184">
        <f t="shared" ref="T184" si="899">S184/1000</f>
        <v>0.84535955425803366</v>
      </c>
    </row>
    <row r="185" spans="1:20" x14ac:dyDescent="0.25">
      <c r="A185" s="5">
        <v>44408</v>
      </c>
      <c r="B185">
        <v>4.2474999999999996</v>
      </c>
      <c r="C185">
        <v>4.5128000000000004</v>
      </c>
      <c r="D185">
        <v>4.1742999999999997</v>
      </c>
      <c r="E185">
        <v>4.4565000000000001</v>
      </c>
      <c r="F185">
        <v>5258020.62</v>
      </c>
      <c r="G185">
        <v>4.4565000000000001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0.6673559822747408</v>
      </c>
      <c r="Q185">
        <f t="shared" ref="Q185" si="901">F185*P185</f>
        <v>3508971.5156809418</v>
      </c>
      <c r="R185">
        <f t="shared" ref="R185" si="902">R186+Q185</f>
        <v>90089906.850971222</v>
      </c>
      <c r="S185">
        <f t="shared" ref="S185" si="903">R185/100000</f>
        <v>900.89906850971227</v>
      </c>
      <c r="T185">
        <f t="shared" ref="T185" si="904">S185/1000</f>
        <v>0.90089906850971224</v>
      </c>
    </row>
    <row r="186" spans="1:20" x14ac:dyDescent="0.25">
      <c r="A186" s="5">
        <v>44407</v>
      </c>
      <c r="B186">
        <v>4.1041999999999996</v>
      </c>
      <c r="C186">
        <v>4.2629999999999999</v>
      </c>
      <c r="D186">
        <v>3.92</v>
      </c>
      <c r="E186">
        <v>4.2468000000000004</v>
      </c>
      <c r="F186">
        <v>5359463.8600000003</v>
      </c>
      <c r="G186">
        <v>4.2468000000000004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0.90553935860058576</v>
      </c>
      <c r="Q186">
        <f t="shared" ref="Q186" si="906">F186*P186</f>
        <v>4853205.4662274197</v>
      </c>
      <c r="R186">
        <f t="shared" ref="R186" si="907">R187+Q186</f>
        <v>86580935.335290283</v>
      </c>
      <c r="S186">
        <f t="shared" ref="S186" si="908">R186/100000</f>
        <v>865.8093533529028</v>
      </c>
      <c r="T186">
        <f t="shared" ref="T186" si="909">S186/1000</f>
        <v>0.86580935335290277</v>
      </c>
    </row>
    <row r="187" spans="1:20" x14ac:dyDescent="0.25">
      <c r="A187" s="5">
        <v>44406</v>
      </c>
      <c r="B187">
        <v>3.9399000000000002</v>
      </c>
      <c r="C187">
        <v>4.1287000000000003</v>
      </c>
      <c r="D187">
        <v>3.8239999999999998</v>
      </c>
      <c r="E187">
        <v>4.1039000000000003</v>
      </c>
      <c r="F187">
        <v>4208810.16</v>
      </c>
      <c r="G187">
        <v>4.1039000000000003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0.83721693468985958</v>
      </c>
      <c r="Q187">
        <f t="shared" ref="Q187" si="911">F187*P187</f>
        <v>3523687.1408467377</v>
      </c>
      <c r="R187">
        <f t="shared" ref="R187" si="912">R188+Q187</f>
        <v>81727729.869062871</v>
      </c>
      <c r="S187">
        <f t="shared" ref="S187" si="913">R187/100000</f>
        <v>817.27729869062875</v>
      </c>
      <c r="T187">
        <f t="shared" ref="T187" si="914">S187/1000</f>
        <v>0.81727729869062871</v>
      </c>
    </row>
    <row r="188" spans="1:20" x14ac:dyDescent="0.25">
      <c r="A188" s="5">
        <v>44405</v>
      </c>
      <c r="B188">
        <v>3.9266999999999999</v>
      </c>
      <c r="C188">
        <v>4.0084</v>
      </c>
      <c r="D188">
        <v>3.8001</v>
      </c>
      <c r="E188">
        <v>3.9390999999999998</v>
      </c>
      <c r="F188">
        <v>4154957.59</v>
      </c>
      <c r="G188">
        <v>3.9390999999999998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0.33461353816610501</v>
      </c>
      <c r="Q188">
        <f t="shared" ref="Q188" si="916">F188*P188</f>
        <v>1390305.0601200126</v>
      </c>
      <c r="R188">
        <f t="shared" ref="R188" si="917">R189+Q188</f>
        <v>78204042.728216127</v>
      </c>
      <c r="S188">
        <f t="shared" ref="S188" si="918">R188/100000</f>
        <v>782.04042728216132</v>
      </c>
      <c r="T188">
        <f t="shared" ref="T188" si="919">S188/1000</f>
        <v>0.78204042728216128</v>
      </c>
    </row>
    <row r="189" spans="1:20" x14ac:dyDescent="0.25">
      <c r="A189" s="5">
        <v>44404</v>
      </c>
      <c r="B189">
        <v>3.7907999999999999</v>
      </c>
      <c r="C189">
        <v>3.9331</v>
      </c>
      <c r="D189">
        <v>3.6800999999999999</v>
      </c>
      <c r="E189">
        <v>3.9306999999999999</v>
      </c>
      <c r="F189">
        <v>4175696.01</v>
      </c>
      <c r="G189">
        <v>3.9306999999999999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0.98102766798418828</v>
      </c>
      <c r="Q189">
        <f t="shared" ref="Q189" si="921">F189*P189</f>
        <v>4096473.3189011794</v>
      </c>
      <c r="R189">
        <f t="shared" ref="R189" si="922">R190+Q189</f>
        <v>76813737.66809611</v>
      </c>
      <c r="S189">
        <f t="shared" ref="S189" si="923">R189/100000</f>
        <v>768.1373766809611</v>
      </c>
      <c r="T189">
        <f t="shared" ref="T189" si="924">S189/1000</f>
        <v>0.76813737668096105</v>
      </c>
    </row>
    <row r="190" spans="1:20" x14ac:dyDescent="0.25">
      <c r="A190" s="5">
        <v>44403</v>
      </c>
      <c r="B190">
        <v>3.7793000000000001</v>
      </c>
      <c r="C190">
        <v>4.1604999999999999</v>
      </c>
      <c r="D190">
        <v>3.7786</v>
      </c>
      <c r="E190">
        <v>3.7911000000000001</v>
      </c>
      <c r="F190">
        <v>7543064.6500000004</v>
      </c>
      <c r="G190">
        <v>3.7911000000000001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-0.93453783713013783</v>
      </c>
      <c r="Q190">
        <f t="shared" ref="Q190" si="926">F190*P190</f>
        <v>-7049279.3233438004</v>
      </c>
      <c r="R190">
        <f t="shared" ref="R190" si="927">R191+Q190</f>
        <v>72717264.349194929</v>
      </c>
      <c r="S190">
        <f t="shared" ref="S190" si="928">R190/100000</f>
        <v>727.17264349194932</v>
      </c>
      <c r="T190">
        <f t="shared" ref="T190" si="929">S190/1000</f>
        <v>0.72717264349194932</v>
      </c>
    </row>
    <row r="191" spans="1:20" x14ac:dyDescent="0.25">
      <c r="A191" s="5">
        <v>44402</v>
      </c>
      <c r="B191">
        <v>3.7250000000000001</v>
      </c>
      <c r="C191">
        <v>3.7871000000000001</v>
      </c>
      <c r="D191">
        <v>3.5952999999999999</v>
      </c>
      <c r="E191">
        <v>3.7793000000000001</v>
      </c>
      <c r="F191">
        <v>3037165.63</v>
      </c>
      <c r="G191">
        <v>3.7793000000000001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0.91866527632950967</v>
      </c>
      <c r="Q191">
        <f t="shared" ref="Q191" si="931">F191*P191</f>
        <v>2790138.6027424391</v>
      </c>
      <c r="R191">
        <f t="shared" ref="R191" si="932">R192+Q191</f>
        <v>79766543.672538728</v>
      </c>
      <c r="S191">
        <f t="shared" ref="S191" si="933">R191/100000</f>
        <v>797.66543672538728</v>
      </c>
      <c r="T191">
        <f t="shared" ref="T191:T197" si="934">S191/1000</f>
        <v>0.79766543672538726</v>
      </c>
    </row>
    <row r="192" spans="1:20" x14ac:dyDescent="0.25">
      <c r="A192" s="5">
        <v>44401</v>
      </c>
      <c r="B192">
        <v>3.7040999999999999</v>
      </c>
      <c r="C192">
        <v>3.8096000000000001</v>
      </c>
      <c r="D192">
        <v>3.6442000000000001</v>
      </c>
      <c r="E192">
        <v>3.7241</v>
      </c>
      <c r="F192">
        <v>3874730.72</v>
      </c>
      <c r="G192">
        <v>3.7241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-3.3857315598550618E-2</v>
      </c>
      <c r="Q192">
        <f t="shared" ref="Q192" si="936">F192*P192</f>
        <v>-131187.98084643928</v>
      </c>
      <c r="R192">
        <f t="shared" ref="R192" si="937">R193+Q192</f>
        <v>76976405.069796294</v>
      </c>
      <c r="S192">
        <f t="shared" ref="S192" si="938">R192/100000</f>
        <v>769.76405069796294</v>
      </c>
      <c r="T192">
        <f t="shared" si="934"/>
        <v>0.76976405069796294</v>
      </c>
    </row>
    <row r="193" spans="1:20" x14ac:dyDescent="0.25">
      <c r="A193" s="5">
        <v>44400</v>
      </c>
      <c r="B193">
        <v>3.5863</v>
      </c>
      <c r="C193">
        <v>3.7216</v>
      </c>
      <c r="D193">
        <v>3.4567999999999999</v>
      </c>
      <c r="E193">
        <v>3.7027000000000001</v>
      </c>
      <c r="F193">
        <v>3819612.92</v>
      </c>
      <c r="G193">
        <v>3.7027000000000001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0.85725075528700978</v>
      </c>
      <c r="Q193">
        <f t="shared" ref="Q193" si="940">F193*P193</f>
        <v>3274366.0605740207</v>
      </c>
      <c r="R193">
        <f t="shared" ref="R193" si="941">R194+Q193</f>
        <v>77107593.050642729</v>
      </c>
      <c r="S193">
        <f t="shared" ref="S193" si="942">R193/100000</f>
        <v>771.07593050642731</v>
      </c>
      <c r="T193">
        <f t="shared" si="934"/>
        <v>0.77107593050642731</v>
      </c>
    </row>
    <row r="194" spans="1:20" x14ac:dyDescent="0.25">
      <c r="A194" s="5">
        <v>44399</v>
      </c>
      <c r="B194">
        <v>3.4641999999999999</v>
      </c>
      <c r="C194">
        <v>3.6158000000000001</v>
      </c>
      <c r="D194">
        <v>3.3820999999999999</v>
      </c>
      <c r="E194">
        <v>3.5870000000000002</v>
      </c>
      <c r="F194">
        <v>4982537.8899999997</v>
      </c>
      <c r="G194">
        <v>3.5870000000000002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0.75353016688061702</v>
      </c>
      <c r="Q194">
        <f t="shared" ref="Q194" si="944">F194*P194</f>
        <v>3754492.607740697</v>
      </c>
      <c r="R194">
        <f t="shared" ref="R194" si="945">R195+Q194</f>
        <v>73833226.990068704</v>
      </c>
      <c r="S194">
        <f t="shared" ref="S194" si="946">R194/100000</f>
        <v>738.33226990068704</v>
      </c>
      <c r="T194">
        <f t="shared" si="934"/>
        <v>0.73833226990068701</v>
      </c>
    </row>
    <row r="195" spans="1:20" x14ac:dyDescent="0.25">
      <c r="A195" s="5">
        <v>44398</v>
      </c>
      <c r="B195">
        <v>3.1722999999999999</v>
      </c>
      <c r="C195">
        <v>3.5152000000000001</v>
      </c>
      <c r="D195">
        <v>3.0848</v>
      </c>
      <c r="E195">
        <v>3.464</v>
      </c>
      <c r="F195">
        <v>5000649.7699999996</v>
      </c>
      <c r="G195">
        <v>3.464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0.76208178438661656</v>
      </c>
      <c r="Q195">
        <f t="shared" ref="Q195" si="948">F195*P195</f>
        <v>3810904.0998141235</v>
      </c>
      <c r="R195">
        <f t="shared" ref="R195" si="949">R196+Q195</f>
        <v>70078734.382328004</v>
      </c>
      <c r="S195">
        <f t="shared" ref="S195" si="950">R195/100000</f>
        <v>700.78734382328003</v>
      </c>
      <c r="T195">
        <f t="shared" si="934"/>
        <v>0.70078734382328001</v>
      </c>
    </row>
    <row r="196" spans="1:20" x14ac:dyDescent="0.25">
      <c r="A196" s="5">
        <v>44397</v>
      </c>
      <c r="B196">
        <v>3.343</v>
      </c>
      <c r="C196">
        <v>3.4447999999999999</v>
      </c>
      <c r="D196">
        <v>3.0413000000000001</v>
      </c>
      <c r="E196">
        <v>3.1716000000000002</v>
      </c>
      <c r="F196">
        <v>6372494.79</v>
      </c>
      <c r="G196">
        <v>3.1716000000000002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-0.35415117719950351</v>
      </c>
      <c r="Q196">
        <f t="shared" ref="Q196" si="952">F196*P196</f>
        <v>-2256826.5315762027</v>
      </c>
      <c r="R196">
        <f t="shared" ref="R196" si="953">R197+Q196</f>
        <v>66267830.282513887</v>
      </c>
      <c r="S196">
        <f t="shared" ref="S196" si="954">R196/100000</f>
        <v>662.67830282513887</v>
      </c>
      <c r="T196">
        <f t="shared" si="934"/>
        <v>0.66267830282513884</v>
      </c>
    </row>
    <row r="197" spans="1:20" x14ac:dyDescent="0.25">
      <c r="A197" s="5">
        <v>44396</v>
      </c>
      <c r="B197">
        <v>3.6556999999999999</v>
      </c>
      <c r="C197">
        <v>3.6732</v>
      </c>
      <c r="D197">
        <v>3.3243999999999998</v>
      </c>
      <c r="E197">
        <v>3.3424</v>
      </c>
      <c r="F197">
        <v>5083975.9000000004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-0.89678899082568675</v>
      </c>
      <c r="Q197">
        <f t="shared" ref="Q197" si="956">F197*P197</f>
        <v>-4559253.6167431129</v>
      </c>
      <c r="R197">
        <f t="shared" ref="R197" si="957">R198+Q197</f>
        <v>68524656.814090088</v>
      </c>
      <c r="S197">
        <f t="shared" ref="S197" si="958">R197/100000</f>
        <v>685.24656814090088</v>
      </c>
      <c r="T197">
        <f t="shared" si="934"/>
        <v>0.6852465681409009</v>
      </c>
    </row>
    <row r="198" spans="1:20" x14ac:dyDescent="0.25">
      <c r="A198" s="5">
        <v>44395</v>
      </c>
      <c r="B198">
        <v>3.6711999999999998</v>
      </c>
      <c r="C198">
        <v>3.899</v>
      </c>
      <c r="D198">
        <v>3.6051000000000002</v>
      </c>
      <c r="E198">
        <v>3.6543999999999999</v>
      </c>
      <c r="F198">
        <v>5592166.4100000001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-0.66451173868663005</v>
      </c>
      <c r="Q198">
        <f t="shared" ref="Q198:Q261" si="960">F198*P198</f>
        <v>-3716060.2241340703</v>
      </c>
      <c r="R198">
        <f t="shared" ref="R198:R261" si="961">R199+Q198</f>
        <v>73083910.430833206</v>
      </c>
      <c r="S198">
        <f t="shared" ref="S198:S261" si="962">R198/100000</f>
        <v>730.83910430833203</v>
      </c>
      <c r="T198">
        <f t="shared" ref="T198:T261" si="963">S198/1000</f>
        <v>0.73083910430833199</v>
      </c>
    </row>
    <row r="199" spans="1:20" x14ac:dyDescent="0.25">
      <c r="A199" s="5">
        <v>44394</v>
      </c>
      <c r="B199">
        <v>3.5975999999999999</v>
      </c>
      <c r="C199">
        <v>3.7690999999999999</v>
      </c>
      <c r="D199">
        <v>3.5743999999999998</v>
      </c>
      <c r="E199">
        <v>3.6709000000000001</v>
      </c>
      <c r="F199">
        <v>4963821.93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-8.7313816127354386E-3</v>
      </c>
      <c r="Q199">
        <f t="shared" si="960"/>
        <v>-43341.023528494938</v>
      </c>
      <c r="R199">
        <f t="shared" si="961"/>
        <v>76799970.654967278</v>
      </c>
      <c r="S199">
        <f t="shared" si="962"/>
        <v>767.99970654967274</v>
      </c>
      <c r="T199">
        <f t="shared" si="963"/>
        <v>0.76799970654967276</v>
      </c>
    </row>
    <row r="200" spans="1:20" x14ac:dyDescent="0.25">
      <c r="A200" s="5">
        <v>44393</v>
      </c>
      <c r="B200">
        <v>3.7642000000000002</v>
      </c>
      <c r="C200">
        <v>3.8925000000000001</v>
      </c>
      <c r="D200">
        <v>3.5545</v>
      </c>
      <c r="E200">
        <v>3.597</v>
      </c>
      <c r="F200">
        <v>5153796.09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-0.74852071005917176</v>
      </c>
      <c r="Q200">
        <f t="shared" si="960"/>
        <v>-3857723.1087869829</v>
      </c>
      <c r="R200">
        <f t="shared" si="961"/>
        <v>76843311.67849578</v>
      </c>
      <c r="S200">
        <f t="shared" si="962"/>
        <v>768.43311678495775</v>
      </c>
      <c r="T200">
        <f t="shared" si="963"/>
        <v>0.76843311678495774</v>
      </c>
    </row>
    <row r="201" spans="1:20" x14ac:dyDescent="0.25">
      <c r="A201" s="5">
        <v>44392</v>
      </c>
      <c r="B201">
        <v>3.8969999999999998</v>
      </c>
      <c r="C201">
        <v>3.9639000000000002</v>
      </c>
      <c r="D201">
        <v>3.6667000000000001</v>
      </c>
      <c r="E201">
        <v>3.7646999999999999</v>
      </c>
      <c r="F201">
        <v>5406637.8799999999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-0.34051144010767281</v>
      </c>
      <c r="Q201">
        <f t="shared" si="960"/>
        <v>-1841022.0506594952</v>
      </c>
      <c r="R201">
        <f t="shared" si="961"/>
        <v>80701034.787282765</v>
      </c>
      <c r="S201">
        <f t="shared" si="962"/>
        <v>807.01034787282765</v>
      </c>
      <c r="T201">
        <f t="shared" si="963"/>
        <v>0.80701034787282766</v>
      </c>
    </row>
    <row r="202" spans="1:20" x14ac:dyDescent="0.25">
      <c r="A202" s="5">
        <v>44391</v>
      </c>
      <c r="B202">
        <v>3.8956</v>
      </c>
      <c r="C202">
        <v>3.9508000000000001</v>
      </c>
      <c r="D202">
        <v>3.6242000000000001</v>
      </c>
      <c r="E202">
        <v>3.8973</v>
      </c>
      <c r="F202">
        <v>4974701.4400000004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0.6723821187997544</v>
      </c>
      <c r="Q202">
        <f t="shared" si="960"/>
        <v>3344900.2946233894</v>
      </c>
      <c r="R202">
        <f t="shared" si="961"/>
        <v>82542056.837942258</v>
      </c>
      <c r="S202">
        <f t="shared" si="962"/>
        <v>825.42056837942255</v>
      </c>
      <c r="T202">
        <f t="shared" si="963"/>
        <v>0.82542056837942257</v>
      </c>
    </row>
    <row r="203" spans="1:20" x14ac:dyDescent="0.25">
      <c r="A203" s="5">
        <v>44390</v>
      </c>
      <c r="B203">
        <v>4.0632000000000001</v>
      </c>
      <c r="C203">
        <v>4.0994999999999999</v>
      </c>
      <c r="D203">
        <v>3.8271999999999999</v>
      </c>
      <c r="E203">
        <v>3.8956</v>
      </c>
      <c r="F203">
        <v>3393265.83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-0.49761292691883935</v>
      </c>
      <c r="Q203">
        <f t="shared" si="960"/>
        <v>-1688532.9414799847</v>
      </c>
      <c r="R203">
        <f t="shared" si="961"/>
        <v>79197156.543318868</v>
      </c>
      <c r="S203">
        <f t="shared" si="962"/>
        <v>791.97156543318863</v>
      </c>
      <c r="T203">
        <f t="shared" si="963"/>
        <v>0.79197156543318858</v>
      </c>
    </row>
    <row r="204" spans="1:20" x14ac:dyDescent="0.25">
      <c r="A204" s="5">
        <v>44389</v>
      </c>
      <c r="B204">
        <v>4.1639999999999997</v>
      </c>
      <c r="C204">
        <v>4.2815000000000003</v>
      </c>
      <c r="D204">
        <v>3.9765999999999999</v>
      </c>
      <c r="E204">
        <v>4.0631000000000004</v>
      </c>
      <c r="F204">
        <v>3574725.29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-0.43260085273860049</v>
      </c>
      <c r="Q204">
        <f t="shared" si="960"/>
        <v>-1546429.208760241</v>
      </c>
      <c r="R204">
        <f t="shared" si="961"/>
        <v>80885689.484798849</v>
      </c>
      <c r="S204">
        <f t="shared" si="962"/>
        <v>808.85689484798854</v>
      </c>
      <c r="T204">
        <f t="shared" si="963"/>
        <v>0.80885689484798851</v>
      </c>
    </row>
    <row r="205" spans="1:20" x14ac:dyDescent="0.25">
      <c r="A205" s="5">
        <v>44388</v>
      </c>
      <c r="B205">
        <v>4.0632000000000001</v>
      </c>
      <c r="C205">
        <v>4.2716000000000003</v>
      </c>
      <c r="D205">
        <v>4.0125000000000002</v>
      </c>
      <c r="E205">
        <v>4.1631999999999998</v>
      </c>
      <c r="F205">
        <v>3082719.52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0.16325742956387146</v>
      </c>
      <c r="Q205">
        <f t="shared" si="960"/>
        <v>503276.86490157165</v>
      </c>
      <c r="R205">
        <f t="shared" si="961"/>
        <v>82432118.693559095</v>
      </c>
      <c r="S205">
        <f t="shared" si="962"/>
        <v>824.32118693559096</v>
      </c>
      <c r="T205">
        <f t="shared" si="963"/>
        <v>0.82432118693559098</v>
      </c>
    </row>
    <row r="206" spans="1:20" x14ac:dyDescent="0.25">
      <c r="A206" s="5">
        <v>44387</v>
      </c>
      <c r="B206">
        <v>4.1637000000000004</v>
      </c>
      <c r="C206">
        <v>4.2857000000000003</v>
      </c>
      <c r="D206">
        <v>3.9171</v>
      </c>
      <c r="E206">
        <v>4.0625</v>
      </c>
      <c r="F206">
        <v>3501630.74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-0.21106890938686992</v>
      </c>
      <c r="Q206">
        <f t="shared" si="960"/>
        <v>-739085.38136733836</v>
      </c>
      <c r="R206">
        <f t="shared" si="961"/>
        <v>81928841.828657523</v>
      </c>
      <c r="S206">
        <f t="shared" si="962"/>
        <v>819.28841828657528</v>
      </c>
      <c r="T206">
        <f t="shared" si="963"/>
        <v>0.81928841828657528</v>
      </c>
    </row>
    <row r="207" spans="1:20" x14ac:dyDescent="0.25">
      <c r="A207" s="5">
        <v>44386</v>
      </c>
      <c r="B207">
        <v>4.0789</v>
      </c>
      <c r="C207">
        <v>4.2407000000000004</v>
      </c>
      <c r="D207">
        <v>3.8285999999999998</v>
      </c>
      <c r="E207">
        <v>4.1638000000000002</v>
      </c>
      <c r="F207">
        <v>4149970.86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0.62678961417131729</v>
      </c>
      <c r="Q207">
        <f t="shared" si="960"/>
        <v>2601158.6341616097</v>
      </c>
      <c r="R207">
        <f t="shared" si="961"/>
        <v>82667927.210024863</v>
      </c>
      <c r="S207">
        <f t="shared" si="962"/>
        <v>826.67927210024868</v>
      </c>
      <c r="T207">
        <f t="shared" si="963"/>
        <v>0.82667927210024872</v>
      </c>
    </row>
    <row r="208" spans="1:20" x14ac:dyDescent="0.25">
      <c r="A208" s="5">
        <v>44385</v>
      </c>
      <c r="B208">
        <v>4.5057</v>
      </c>
      <c r="C208">
        <v>4.5125999999999999</v>
      </c>
      <c r="D208">
        <v>3.9929999999999999</v>
      </c>
      <c r="E208">
        <v>4.0768000000000004</v>
      </c>
      <c r="F208">
        <v>5129233.93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-0.6774441878367955</v>
      </c>
      <c r="Q208">
        <f t="shared" si="960"/>
        <v>-3474769.7139337845</v>
      </c>
      <c r="R208">
        <f t="shared" si="961"/>
        <v>80066768.575863257</v>
      </c>
      <c r="S208">
        <f t="shared" si="962"/>
        <v>800.66768575863262</v>
      </c>
      <c r="T208">
        <f t="shared" si="963"/>
        <v>0.80066768575863256</v>
      </c>
    </row>
    <row r="209" spans="1:20" x14ac:dyDescent="0.25">
      <c r="A209" s="5">
        <v>44384</v>
      </c>
      <c r="B209">
        <v>4.5492999999999997</v>
      </c>
      <c r="C209">
        <v>4.7099000000000002</v>
      </c>
      <c r="D209">
        <v>4.4615999999999998</v>
      </c>
      <c r="E209">
        <v>4.5056000000000003</v>
      </c>
      <c r="F209">
        <v>3771487.11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-0.64559001208215538</v>
      </c>
      <c r="Q209">
        <f t="shared" si="960"/>
        <v>-2434834.408912593</v>
      </c>
      <c r="R209">
        <f t="shared" si="961"/>
        <v>83541538.289797038</v>
      </c>
      <c r="S209">
        <f t="shared" si="962"/>
        <v>835.4153828979704</v>
      </c>
      <c r="T209">
        <f t="shared" si="963"/>
        <v>0.83541538289797035</v>
      </c>
    </row>
    <row r="210" spans="1:20" x14ac:dyDescent="0.25">
      <c r="A210" s="5">
        <v>44383</v>
      </c>
      <c r="B210">
        <v>4.4192</v>
      </c>
      <c r="C210">
        <v>4.7695999999999996</v>
      </c>
      <c r="D210">
        <v>4.3746999999999998</v>
      </c>
      <c r="E210">
        <v>4.5507999999999997</v>
      </c>
      <c r="F210">
        <v>6664643.9500000002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-0.1081286401620663</v>
      </c>
      <c r="Q210">
        <f t="shared" si="960"/>
        <v>-720638.88747784228</v>
      </c>
      <c r="R210">
        <f t="shared" si="961"/>
        <v>85976372.698709637</v>
      </c>
      <c r="S210">
        <f t="shared" si="962"/>
        <v>859.76372698709633</v>
      </c>
      <c r="T210">
        <f t="shared" si="963"/>
        <v>0.85976372698709636</v>
      </c>
    </row>
    <row r="211" spans="1:20" x14ac:dyDescent="0.25">
      <c r="A211" s="5">
        <v>44382</v>
      </c>
      <c r="B211">
        <v>4.5305</v>
      </c>
      <c r="C211">
        <v>4.875</v>
      </c>
      <c r="D211">
        <v>4.2637</v>
      </c>
      <c r="E211">
        <v>4.4188999999999998</v>
      </c>
      <c r="F211">
        <v>8656094.4000000004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-0.49222967446425719</v>
      </c>
      <c r="Q211">
        <f t="shared" si="960"/>
        <v>-4260786.52864388</v>
      </c>
      <c r="R211">
        <f t="shared" si="961"/>
        <v>86697011.586187482</v>
      </c>
      <c r="S211">
        <f t="shared" si="962"/>
        <v>866.97011586187477</v>
      </c>
      <c r="T211">
        <f t="shared" si="963"/>
        <v>0.86697011586187478</v>
      </c>
    </row>
    <row r="212" spans="1:20" x14ac:dyDescent="0.25">
      <c r="A212" s="5">
        <v>44381</v>
      </c>
      <c r="B212">
        <v>4.5952999999999999</v>
      </c>
      <c r="C212">
        <v>4.6355000000000004</v>
      </c>
      <c r="D212">
        <v>4.3440000000000003</v>
      </c>
      <c r="E212">
        <v>4.5298999999999996</v>
      </c>
      <c r="F212">
        <v>4188158.53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0.27547169811320227</v>
      </c>
      <c r="Q212">
        <f t="shared" si="960"/>
        <v>1153719.1422263929</v>
      </c>
      <c r="R212">
        <f t="shared" si="961"/>
        <v>90957798.114831358</v>
      </c>
      <c r="S212">
        <f t="shared" si="962"/>
        <v>909.5779811483136</v>
      </c>
      <c r="T212">
        <f t="shared" si="963"/>
        <v>0.90957798114831356</v>
      </c>
    </row>
    <row r="213" spans="1:20" x14ac:dyDescent="0.25">
      <c r="A213" s="5">
        <v>44380</v>
      </c>
      <c r="B213">
        <v>4.1455000000000002</v>
      </c>
      <c r="C213">
        <v>4.6504000000000003</v>
      </c>
      <c r="D213">
        <v>4.0335999999999999</v>
      </c>
      <c r="E213">
        <v>4.5946999999999996</v>
      </c>
      <c r="F213">
        <v>4318624.71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0.81939040207522473</v>
      </c>
      <c r="Q213">
        <f t="shared" si="960"/>
        <v>3538639.6375389006</v>
      </c>
      <c r="R213">
        <f t="shared" si="961"/>
        <v>89804078.97260496</v>
      </c>
      <c r="S213">
        <f t="shared" si="962"/>
        <v>898.04078972604964</v>
      </c>
      <c r="T213">
        <f t="shared" si="963"/>
        <v>0.89804078972604962</v>
      </c>
    </row>
    <row r="214" spans="1:20" x14ac:dyDescent="0.25">
      <c r="A214" s="5">
        <v>44379</v>
      </c>
      <c r="B214">
        <v>4.1368</v>
      </c>
      <c r="C214">
        <v>4.2215999999999996</v>
      </c>
      <c r="D214">
        <v>3.87</v>
      </c>
      <c r="E214">
        <v>4.1447000000000003</v>
      </c>
      <c r="F214">
        <v>3101022.47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0.56257110352673823</v>
      </c>
      <c r="Q214">
        <f t="shared" si="960"/>
        <v>1744545.6330091115</v>
      </c>
      <c r="R214">
        <f t="shared" si="961"/>
        <v>86265439.335066065</v>
      </c>
      <c r="S214">
        <f t="shared" si="962"/>
        <v>862.6543933506606</v>
      </c>
      <c r="T214">
        <f t="shared" si="963"/>
        <v>0.86265439335066063</v>
      </c>
    </row>
    <row r="215" spans="1:20" x14ac:dyDescent="0.25">
      <c r="A215" s="5">
        <v>44378</v>
      </c>
      <c r="B215">
        <v>4.3746</v>
      </c>
      <c r="C215">
        <v>4.4512999999999998</v>
      </c>
      <c r="D215">
        <v>4.0435999999999996</v>
      </c>
      <c r="E215">
        <v>4.1368</v>
      </c>
      <c r="F215">
        <v>5291191.28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-0.5428010792249186</v>
      </c>
      <c r="Q215">
        <f t="shared" si="960"/>
        <v>-2872064.3371694786</v>
      </c>
      <c r="R215">
        <f t="shared" si="961"/>
        <v>84520893.702056959</v>
      </c>
      <c r="S215">
        <f t="shared" si="962"/>
        <v>845.20893702056958</v>
      </c>
      <c r="T215">
        <f t="shared" si="963"/>
        <v>0.84520893702056954</v>
      </c>
    </row>
    <row r="216" spans="1:20" x14ac:dyDescent="0.25">
      <c r="A216" s="5">
        <v>44377</v>
      </c>
      <c r="B216">
        <v>4.2253999999999996</v>
      </c>
      <c r="C216">
        <v>4.5168999999999997</v>
      </c>
      <c r="D216">
        <v>4.0069999999999997</v>
      </c>
      <c r="E216">
        <v>4.3746999999999998</v>
      </c>
      <c r="F216">
        <v>7993195.1200000001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0.44224357717199497</v>
      </c>
      <c r="Q216">
        <f t="shared" si="960"/>
        <v>3534939.2029025336</v>
      </c>
      <c r="R216">
        <f t="shared" si="961"/>
        <v>87392958.039226443</v>
      </c>
      <c r="S216">
        <f t="shared" si="962"/>
        <v>873.92958039226437</v>
      </c>
      <c r="T216">
        <f t="shared" si="963"/>
        <v>0.87392958039226432</v>
      </c>
    </row>
    <row r="217" spans="1:20" x14ac:dyDescent="0.25">
      <c r="A217" s="5">
        <v>44376</v>
      </c>
      <c r="B217">
        <v>3.8691</v>
      </c>
      <c r="C217">
        <v>4.3750999999999998</v>
      </c>
      <c r="D217">
        <v>3.8472</v>
      </c>
      <c r="E217">
        <v>4.2251000000000003</v>
      </c>
      <c r="F217">
        <v>5300265.75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0.43171055124076713</v>
      </c>
      <c r="Q217">
        <f t="shared" si="960"/>
        <v>2288180.6486550579</v>
      </c>
      <c r="R217">
        <f t="shared" si="961"/>
        <v>83858018.836323902</v>
      </c>
      <c r="S217">
        <f t="shared" si="962"/>
        <v>838.58018836323902</v>
      </c>
      <c r="T217">
        <f t="shared" si="963"/>
        <v>0.838580188363239</v>
      </c>
    </row>
    <row r="218" spans="1:20" x14ac:dyDescent="0.25">
      <c r="A218" s="5">
        <v>44375</v>
      </c>
      <c r="B218">
        <v>3.7155999999999998</v>
      </c>
      <c r="C218">
        <v>3.8837999999999999</v>
      </c>
      <c r="D218">
        <v>3.6153</v>
      </c>
      <c r="E218">
        <v>3.8691</v>
      </c>
      <c r="F218">
        <v>4145657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0.89050279329608983</v>
      </c>
      <c r="Q218">
        <f t="shared" si="960"/>
        <v>3691719.138547488</v>
      </c>
      <c r="R218">
        <f t="shared" si="961"/>
        <v>81569838.187668845</v>
      </c>
      <c r="S218">
        <f t="shared" si="962"/>
        <v>815.69838187668847</v>
      </c>
      <c r="T218">
        <f t="shared" si="963"/>
        <v>0.81569838187668853</v>
      </c>
    </row>
    <row r="219" spans="1:20" x14ac:dyDescent="0.25">
      <c r="A219" s="5">
        <v>44374</v>
      </c>
      <c r="B219">
        <v>3.5508999999999999</v>
      </c>
      <c r="C219">
        <v>3.7223999999999999</v>
      </c>
      <c r="D219">
        <v>3.4264999999999999</v>
      </c>
      <c r="E219">
        <v>3.7151000000000001</v>
      </c>
      <c r="F219">
        <v>4296595.54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0.95065900642108914</v>
      </c>
      <c r="Q219">
        <f t="shared" si="960"/>
        <v>4084597.2470496828</v>
      </c>
      <c r="R219">
        <f t="shared" si="961"/>
        <v>77878119.04912135</v>
      </c>
      <c r="S219">
        <f t="shared" si="962"/>
        <v>778.78119049121347</v>
      </c>
      <c r="T219">
        <f t="shared" si="963"/>
        <v>0.77878119049121342</v>
      </c>
    </row>
    <row r="220" spans="1:20" x14ac:dyDescent="0.25">
      <c r="A220" s="5">
        <v>44373</v>
      </c>
      <c r="B220">
        <v>3.5146000000000002</v>
      </c>
      <c r="C220">
        <v>3.6663999999999999</v>
      </c>
      <c r="D220">
        <v>3.3191999999999999</v>
      </c>
      <c r="E220">
        <v>3.5499000000000001</v>
      </c>
      <c r="F220">
        <v>5789452.2300000004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0.32891705069124516</v>
      </c>
      <c r="Q220">
        <f t="shared" si="960"/>
        <v>1904249.5526094525</v>
      </c>
      <c r="R220">
        <f t="shared" si="961"/>
        <v>73793521.802071661</v>
      </c>
      <c r="S220">
        <f t="shared" si="962"/>
        <v>737.93521802071666</v>
      </c>
      <c r="T220">
        <f t="shared" si="963"/>
        <v>0.73793521802071671</v>
      </c>
    </row>
    <row r="221" spans="1:20" x14ac:dyDescent="0.25">
      <c r="A221" s="5">
        <v>44372</v>
      </c>
      <c r="B221">
        <v>3.9014000000000002</v>
      </c>
      <c r="C221">
        <v>3.99</v>
      </c>
      <c r="D221">
        <v>3.4851999999999999</v>
      </c>
      <c r="E221">
        <v>3.5158</v>
      </c>
      <c r="F221">
        <v>6741817.2800000003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-0.87876386687797081</v>
      </c>
      <c r="Q221">
        <f t="shared" si="960"/>
        <v>-5924465.4227575231</v>
      </c>
      <c r="R221">
        <f t="shared" si="961"/>
        <v>71889272.249462202</v>
      </c>
      <c r="S221">
        <f t="shared" si="962"/>
        <v>718.89272249462203</v>
      </c>
      <c r="T221">
        <f t="shared" si="963"/>
        <v>0.71889272249462199</v>
      </c>
    </row>
    <row r="222" spans="1:20" x14ac:dyDescent="0.25">
      <c r="A222" s="5">
        <v>44371</v>
      </c>
      <c r="B222">
        <v>3.7158000000000002</v>
      </c>
      <c r="C222">
        <v>4.0544000000000002</v>
      </c>
      <c r="D222">
        <v>3.5133000000000001</v>
      </c>
      <c r="E222">
        <v>3.9014000000000002</v>
      </c>
      <c r="F222">
        <v>4940062.5599999996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0.43448530770652377</v>
      </c>
      <c r="Q222">
        <f t="shared" si="960"/>
        <v>2146384.6014710772</v>
      </c>
      <c r="R222">
        <f t="shared" si="961"/>
        <v>77813737.672219723</v>
      </c>
      <c r="S222">
        <f t="shared" si="962"/>
        <v>778.13737672219725</v>
      </c>
      <c r="T222">
        <f t="shared" si="963"/>
        <v>0.77813737672219729</v>
      </c>
    </row>
    <row r="223" spans="1:20" x14ac:dyDescent="0.25">
      <c r="A223" s="5">
        <v>44370</v>
      </c>
      <c r="B223">
        <v>3.3256000000000001</v>
      </c>
      <c r="C223">
        <v>3.8616000000000001</v>
      </c>
      <c r="D223">
        <v>3.1656</v>
      </c>
      <c r="E223">
        <v>3.7162000000000002</v>
      </c>
      <c r="F223">
        <v>6866315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0.58218390804597719</v>
      </c>
      <c r="Q223">
        <f t="shared" si="960"/>
        <v>3997458.1005747137</v>
      </c>
      <c r="R223">
        <f t="shared" si="961"/>
        <v>75667353.070748642</v>
      </c>
      <c r="S223">
        <f t="shared" si="962"/>
        <v>756.67353070748641</v>
      </c>
      <c r="T223">
        <f t="shared" si="963"/>
        <v>0.75667353070748644</v>
      </c>
    </row>
    <row r="224" spans="1:20" x14ac:dyDescent="0.25">
      <c r="A224" s="5">
        <v>44369</v>
      </c>
      <c r="B224">
        <v>3.4565999999999999</v>
      </c>
      <c r="C224">
        <v>3.7159</v>
      </c>
      <c r="D224">
        <v>2.8919999999999999</v>
      </c>
      <c r="E224">
        <v>3.3235000000000001</v>
      </c>
      <c r="F224">
        <v>12444272.75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4.7457215681515175E-2</v>
      </c>
      <c r="Q224">
        <f t="shared" si="960"/>
        <v>590570.53589635191</v>
      </c>
      <c r="R224">
        <f t="shared" si="961"/>
        <v>71669894.970173925</v>
      </c>
      <c r="S224">
        <f t="shared" si="962"/>
        <v>716.69894970173925</v>
      </c>
      <c r="T224">
        <f t="shared" si="963"/>
        <v>0.71669894970173931</v>
      </c>
    </row>
    <row r="225" spans="1:20" x14ac:dyDescent="0.25">
      <c r="A225" s="5">
        <v>44368</v>
      </c>
      <c r="B225">
        <v>4.5792999999999999</v>
      </c>
      <c r="C225">
        <v>4.6146000000000003</v>
      </c>
      <c r="D225">
        <v>3.4426999999999999</v>
      </c>
      <c r="E225">
        <v>3.4552</v>
      </c>
      <c r="F225">
        <v>7989959.5199999996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-0.97866712176806869</v>
      </c>
      <c r="Q225">
        <f t="shared" si="960"/>
        <v>-7819510.6864817794</v>
      </c>
      <c r="R225">
        <f t="shared" si="961"/>
        <v>71079324.434277579</v>
      </c>
      <c r="S225">
        <f t="shared" si="962"/>
        <v>710.79324434277578</v>
      </c>
      <c r="T225">
        <f t="shared" si="963"/>
        <v>0.7107932443427758</v>
      </c>
    </row>
    <row r="226" spans="1:20" x14ac:dyDescent="0.25">
      <c r="A226" s="5">
        <v>44367</v>
      </c>
      <c r="B226">
        <v>4.4696999999999996</v>
      </c>
      <c r="C226">
        <v>4.6551</v>
      </c>
      <c r="D226">
        <v>4.1493000000000002</v>
      </c>
      <c r="E226">
        <v>4.5778999999999996</v>
      </c>
      <c r="F226">
        <v>3510500.98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0.69474100434954367</v>
      </c>
      <c r="Q226">
        <f t="shared" si="960"/>
        <v>2438888.9766152571</v>
      </c>
      <c r="R226">
        <f t="shared" si="961"/>
        <v>78898835.120759353</v>
      </c>
      <c r="S226">
        <f t="shared" si="962"/>
        <v>788.9883512075935</v>
      </c>
      <c r="T226">
        <f t="shared" si="963"/>
        <v>0.78898835120759347</v>
      </c>
    </row>
    <row r="227" spans="1:20" x14ac:dyDescent="0.25">
      <c r="A227" s="5">
        <v>44366</v>
      </c>
      <c r="B227">
        <v>4.6319999999999997</v>
      </c>
      <c r="C227">
        <v>4.7535999999999996</v>
      </c>
      <c r="D227">
        <v>4.4577999999999998</v>
      </c>
      <c r="E227">
        <v>4.4688999999999997</v>
      </c>
      <c r="F227">
        <v>3056512.99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-0.92494929006085269</v>
      </c>
      <c r="Q227">
        <f t="shared" si="960"/>
        <v>-2827119.5201622741</v>
      </c>
      <c r="R227">
        <f t="shared" si="961"/>
        <v>76459946.144144103</v>
      </c>
      <c r="S227">
        <f t="shared" si="962"/>
        <v>764.59946144144101</v>
      </c>
      <c r="T227">
        <f t="shared" si="963"/>
        <v>0.76459946144144098</v>
      </c>
    </row>
    <row r="228" spans="1:20" x14ac:dyDescent="0.25">
      <c r="A228" s="5">
        <v>44365</v>
      </c>
      <c r="B228">
        <v>5.0369000000000002</v>
      </c>
      <c r="C228">
        <v>5.1189999999999998</v>
      </c>
      <c r="D228">
        <v>4.5152000000000001</v>
      </c>
      <c r="E228">
        <v>4.6318999999999999</v>
      </c>
      <c r="F228">
        <v>4753499.45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-0.61344816164292859</v>
      </c>
      <c r="Q228">
        <f t="shared" si="960"/>
        <v>-2916025.4989731722</v>
      </c>
      <c r="R228">
        <f t="shared" si="961"/>
        <v>79287065.664306372</v>
      </c>
      <c r="S228">
        <f t="shared" si="962"/>
        <v>792.87065664306374</v>
      </c>
      <c r="T228">
        <f t="shared" si="963"/>
        <v>0.79287065664306378</v>
      </c>
    </row>
    <row r="229" spans="1:20" x14ac:dyDescent="0.25">
      <c r="A229" s="5">
        <v>44364</v>
      </c>
      <c r="B229">
        <v>5.0555000000000003</v>
      </c>
      <c r="C229">
        <v>5.4047000000000001</v>
      </c>
      <c r="D229">
        <v>4.9314999999999998</v>
      </c>
      <c r="E229">
        <v>5.0373000000000001</v>
      </c>
      <c r="F229">
        <v>3782475.39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-0.55283178360101326</v>
      </c>
      <c r="Q229">
        <f t="shared" si="960"/>
        <v>-2091072.6162806384</v>
      </c>
      <c r="R229">
        <f t="shared" si="961"/>
        <v>82203091.163279548</v>
      </c>
      <c r="S229">
        <f t="shared" si="962"/>
        <v>822.03091163279544</v>
      </c>
      <c r="T229">
        <f t="shared" si="963"/>
        <v>0.8220309116327954</v>
      </c>
    </row>
    <row r="230" spans="1:20" x14ac:dyDescent="0.25">
      <c r="A230" s="5">
        <v>44363</v>
      </c>
      <c r="B230">
        <v>5.1824000000000003</v>
      </c>
      <c r="C230">
        <v>5.3688000000000002</v>
      </c>
      <c r="D230">
        <v>4.9943999999999997</v>
      </c>
      <c r="E230">
        <v>5.056</v>
      </c>
      <c r="F230">
        <v>4841077.93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-0.67094017094016967</v>
      </c>
      <c r="Q230">
        <f t="shared" si="960"/>
        <v>-3248073.6538888826</v>
      </c>
      <c r="R230">
        <f t="shared" si="961"/>
        <v>84294163.779560193</v>
      </c>
      <c r="S230">
        <f t="shared" si="962"/>
        <v>842.94163779560188</v>
      </c>
      <c r="T230">
        <f t="shared" si="963"/>
        <v>0.84294163779560183</v>
      </c>
    </row>
    <row r="231" spans="1:20" x14ac:dyDescent="0.25">
      <c r="A231" s="5">
        <v>44362</v>
      </c>
      <c r="B231">
        <v>5.2055999999999996</v>
      </c>
      <c r="C231">
        <v>5.5803000000000003</v>
      </c>
      <c r="D231">
        <v>5.0805999999999996</v>
      </c>
      <c r="E231">
        <v>5.1826999999999996</v>
      </c>
      <c r="F231">
        <v>5743485.8399999999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-0.59135481288773284</v>
      </c>
      <c r="Q231">
        <f t="shared" si="960"/>
        <v>-3396437.9942365428</v>
      </c>
      <c r="R231">
        <f t="shared" si="961"/>
        <v>87542237.433449075</v>
      </c>
      <c r="S231">
        <f t="shared" si="962"/>
        <v>875.42237433449077</v>
      </c>
      <c r="T231">
        <f t="shared" si="963"/>
        <v>0.87542237433449077</v>
      </c>
    </row>
    <row r="232" spans="1:20" x14ac:dyDescent="0.25">
      <c r="A232" s="5">
        <v>44361</v>
      </c>
      <c r="B232">
        <v>5.0483000000000002</v>
      </c>
      <c r="C232">
        <v>5.23</v>
      </c>
      <c r="D232">
        <v>4.91</v>
      </c>
      <c r="E232">
        <v>5.2055999999999996</v>
      </c>
      <c r="F232">
        <v>5557486.1600000001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0.8474999999999947</v>
      </c>
      <c r="Q232">
        <f t="shared" si="960"/>
        <v>4709969.5205999706</v>
      </c>
      <c r="R232">
        <f t="shared" si="961"/>
        <v>90938675.427685618</v>
      </c>
      <c r="S232">
        <f t="shared" si="962"/>
        <v>909.38675427685621</v>
      </c>
      <c r="T232">
        <f t="shared" si="963"/>
        <v>0.90938675427685622</v>
      </c>
    </row>
    <row r="233" spans="1:20" x14ac:dyDescent="0.25">
      <c r="A233" s="5">
        <v>44360</v>
      </c>
      <c r="B233">
        <v>4.6416000000000004</v>
      </c>
      <c r="C233">
        <v>5.1585999999999999</v>
      </c>
      <c r="D233">
        <v>4.4535999999999998</v>
      </c>
      <c r="E233">
        <v>5.05</v>
      </c>
      <c r="F233">
        <v>5537640.9900000002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0.69191489361702119</v>
      </c>
      <c r="Q233">
        <f t="shared" si="960"/>
        <v>3831576.276485106</v>
      </c>
      <c r="R233">
        <f t="shared" si="961"/>
        <v>86228705.907085642</v>
      </c>
      <c r="S233">
        <f t="shared" si="962"/>
        <v>862.28705907085646</v>
      </c>
      <c r="T233">
        <f t="shared" si="963"/>
        <v>0.86228705907085645</v>
      </c>
    </row>
    <row r="234" spans="1:20" x14ac:dyDescent="0.25">
      <c r="A234" s="5">
        <v>44359</v>
      </c>
      <c r="B234">
        <v>4.7731000000000003</v>
      </c>
      <c r="C234">
        <v>4.8596000000000004</v>
      </c>
      <c r="D234">
        <v>4.3499999999999996</v>
      </c>
      <c r="E234">
        <v>4.6416000000000004</v>
      </c>
      <c r="F234">
        <v>5445006.9199999999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0.14442700156986002</v>
      </c>
      <c r="Q234">
        <f t="shared" si="960"/>
        <v>786406.02298273868</v>
      </c>
      <c r="R234">
        <f t="shared" si="961"/>
        <v>82397129.630600542</v>
      </c>
      <c r="S234">
        <f t="shared" si="962"/>
        <v>823.97129630600546</v>
      </c>
      <c r="T234">
        <f t="shared" si="963"/>
        <v>0.82397129630600541</v>
      </c>
    </row>
    <row r="235" spans="1:20" x14ac:dyDescent="0.25">
      <c r="A235" s="5">
        <v>44358</v>
      </c>
      <c r="B235">
        <v>5.0766</v>
      </c>
      <c r="C235">
        <v>5.2803000000000004</v>
      </c>
      <c r="D235">
        <v>4.6611000000000002</v>
      </c>
      <c r="E235">
        <v>4.7733999999999996</v>
      </c>
      <c r="F235">
        <v>4614846.99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-0.63727390180878762</v>
      </c>
      <c r="Q235">
        <f t="shared" si="960"/>
        <v>-2940921.5475678393</v>
      </c>
      <c r="R235">
        <f t="shared" si="961"/>
        <v>81610723.60761781</v>
      </c>
      <c r="S235">
        <f t="shared" si="962"/>
        <v>816.10723607617808</v>
      </c>
      <c r="T235">
        <f t="shared" si="963"/>
        <v>0.81610723607617808</v>
      </c>
    </row>
    <row r="236" spans="1:20" x14ac:dyDescent="0.25">
      <c r="A236" s="5">
        <v>44357</v>
      </c>
      <c r="B236">
        <v>5.5187999999999997</v>
      </c>
      <c r="C236">
        <v>5.5815999999999999</v>
      </c>
      <c r="D236">
        <v>4.9554999999999998</v>
      </c>
      <c r="E236">
        <v>5.0766999999999998</v>
      </c>
      <c r="F236">
        <v>5347415.33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-0.61284139913751812</v>
      </c>
      <c r="Q236">
        <f t="shared" si="960"/>
        <v>-3277117.4926066133</v>
      </c>
      <c r="R236">
        <f t="shared" si="961"/>
        <v>84551645.155185655</v>
      </c>
      <c r="S236">
        <f t="shared" si="962"/>
        <v>845.51645155185656</v>
      </c>
      <c r="T236">
        <f t="shared" si="963"/>
        <v>0.84551645155185651</v>
      </c>
    </row>
    <row r="237" spans="1:20" x14ac:dyDescent="0.25">
      <c r="A237" s="5">
        <v>44356</v>
      </c>
      <c r="B237">
        <v>5.3566000000000003</v>
      </c>
      <c r="C237">
        <v>5.5365000000000002</v>
      </c>
      <c r="D237">
        <v>5.0674999999999999</v>
      </c>
      <c r="E237">
        <v>5.5175000000000001</v>
      </c>
      <c r="F237">
        <v>6556982.9900000002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0.918976545842217</v>
      </c>
      <c r="Q237">
        <f t="shared" si="960"/>
        <v>6025713.5792963719</v>
      </c>
      <c r="R237">
        <f t="shared" si="961"/>
        <v>87828762.647792265</v>
      </c>
      <c r="S237">
        <f t="shared" si="962"/>
        <v>878.28762647792269</v>
      </c>
      <c r="T237">
        <f t="shared" si="963"/>
        <v>0.87828762647792269</v>
      </c>
    </row>
    <row r="238" spans="1:20" x14ac:dyDescent="0.25">
      <c r="A238" s="5">
        <v>44355</v>
      </c>
      <c r="B238">
        <v>5.3662999999999998</v>
      </c>
      <c r="C238">
        <v>5.4999000000000002</v>
      </c>
      <c r="D238">
        <v>4.7361000000000004</v>
      </c>
      <c r="E238">
        <v>5.3592000000000004</v>
      </c>
      <c r="F238">
        <v>7573468.6399999997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0.63157894736842146</v>
      </c>
      <c r="Q238">
        <f t="shared" si="960"/>
        <v>4783243.35157895</v>
      </c>
      <c r="R238">
        <f t="shared" si="961"/>
        <v>81803049.068495899</v>
      </c>
      <c r="S238">
        <f t="shared" si="962"/>
        <v>818.03049068495898</v>
      </c>
      <c r="T238">
        <f t="shared" si="963"/>
        <v>0.81803049068495892</v>
      </c>
    </row>
    <row r="239" spans="1:20" x14ac:dyDescent="0.25">
      <c r="A239" s="5">
        <v>44354</v>
      </c>
      <c r="B239">
        <v>6.0324</v>
      </c>
      <c r="C239">
        <v>6.1970999999999998</v>
      </c>
      <c r="D239">
        <v>5.3022999999999998</v>
      </c>
      <c r="E239">
        <v>5.3639999999999999</v>
      </c>
      <c r="F239">
        <v>4144100.35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-0.86209208761734446</v>
      </c>
      <c r="Q239">
        <f t="shared" si="960"/>
        <v>-3572596.1220272677</v>
      </c>
      <c r="R239">
        <f t="shared" si="961"/>
        <v>77019805.716916949</v>
      </c>
      <c r="S239">
        <f t="shared" si="962"/>
        <v>770.19805716916949</v>
      </c>
      <c r="T239">
        <f t="shared" si="963"/>
        <v>0.77019805716916945</v>
      </c>
    </row>
    <row r="240" spans="1:20" x14ac:dyDescent="0.25">
      <c r="A240" s="5">
        <v>44353</v>
      </c>
      <c r="B240">
        <v>5.8708</v>
      </c>
      <c r="C240">
        <v>6.1189</v>
      </c>
      <c r="D240">
        <v>5.7972999999999999</v>
      </c>
      <c r="E240">
        <v>6.0297000000000001</v>
      </c>
      <c r="F240">
        <v>3947087.32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0.44527363184079655</v>
      </c>
      <c r="Q240">
        <f t="shared" si="960"/>
        <v>1757533.9061691563</v>
      </c>
      <c r="R240">
        <f t="shared" si="961"/>
        <v>80592401.838944212</v>
      </c>
      <c r="S240">
        <f t="shared" si="962"/>
        <v>805.92401838944215</v>
      </c>
      <c r="T240">
        <f t="shared" si="963"/>
        <v>0.80592401838944216</v>
      </c>
    </row>
    <row r="241" spans="1:20" x14ac:dyDescent="0.25">
      <c r="A241" s="5">
        <v>44352</v>
      </c>
      <c r="B241">
        <v>6.1924999999999999</v>
      </c>
      <c r="C241">
        <v>6.4610000000000003</v>
      </c>
      <c r="D241">
        <v>5.6528</v>
      </c>
      <c r="E241">
        <v>5.8730000000000002</v>
      </c>
      <c r="F241">
        <v>6422847.2800000003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-0.45508537490720091</v>
      </c>
      <c r="Q241">
        <f t="shared" si="960"/>
        <v>-2922943.8623904958</v>
      </c>
      <c r="R241">
        <f t="shared" si="961"/>
        <v>78834867.93277505</v>
      </c>
      <c r="S241">
        <f t="shared" si="962"/>
        <v>788.34867932775046</v>
      </c>
      <c r="T241">
        <f t="shared" si="963"/>
        <v>0.78834867932775043</v>
      </c>
    </row>
    <row r="242" spans="1:20" x14ac:dyDescent="0.25">
      <c r="A242" s="5">
        <v>44351</v>
      </c>
      <c r="B242">
        <v>6.7008999999999999</v>
      </c>
      <c r="C242">
        <v>6.8811</v>
      </c>
      <c r="D242">
        <v>5.7727000000000004</v>
      </c>
      <c r="E242">
        <v>6.1920000000000002</v>
      </c>
      <c r="F242">
        <v>8845729.0299999993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-0.24341392998917372</v>
      </c>
      <c r="Q242">
        <f t="shared" si="960"/>
        <v>-2153173.6668116213</v>
      </c>
      <c r="R242">
        <f t="shared" si="961"/>
        <v>81757811.795165554</v>
      </c>
      <c r="S242">
        <f t="shared" si="962"/>
        <v>817.57811795165549</v>
      </c>
      <c r="T242">
        <f t="shared" si="963"/>
        <v>0.81757811795165547</v>
      </c>
    </row>
    <row r="243" spans="1:20" x14ac:dyDescent="0.25">
      <c r="A243" s="5">
        <v>44350</v>
      </c>
      <c r="B243">
        <v>6.4516</v>
      </c>
      <c r="C243">
        <v>7.0914999999999999</v>
      </c>
      <c r="D243">
        <v>6.3563999999999998</v>
      </c>
      <c r="E243">
        <v>6.6996000000000002</v>
      </c>
      <c r="F243">
        <v>6814210.3700000001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-6.6249489865323488E-2</v>
      </c>
      <c r="Q243">
        <f t="shared" si="960"/>
        <v>-451437.96084749722</v>
      </c>
      <c r="R243">
        <f t="shared" si="961"/>
        <v>83910985.461977169</v>
      </c>
      <c r="S243">
        <f t="shared" si="962"/>
        <v>839.10985461977168</v>
      </c>
      <c r="T243">
        <f t="shared" si="963"/>
        <v>0.83910985461977172</v>
      </c>
    </row>
    <row r="244" spans="1:20" x14ac:dyDescent="0.25">
      <c r="A244" s="5">
        <v>44349</v>
      </c>
      <c r="B244">
        <v>6.3249000000000004</v>
      </c>
      <c r="C244">
        <v>6.7969999999999997</v>
      </c>
      <c r="D244">
        <v>6.1277999999999997</v>
      </c>
      <c r="E244">
        <v>6.4511000000000003</v>
      </c>
      <c r="F244">
        <v>6946317.6900000004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-3.3771667662879319E-2</v>
      </c>
      <c r="Q244">
        <f t="shared" si="960"/>
        <v>-234588.73250745959</v>
      </c>
      <c r="R244">
        <f t="shared" si="961"/>
        <v>84362423.422824666</v>
      </c>
      <c r="S244">
        <f t="shared" si="962"/>
        <v>843.62423422824668</v>
      </c>
      <c r="T244">
        <f t="shared" si="963"/>
        <v>0.84362423422824673</v>
      </c>
    </row>
    <row r="245" spans="1:20" x14ac:dyDescent="0.25">
      <c r="A245" s="5">
        <v>44348</v>
      </c>
      <c r="B245">
        <v>6.5989000000000004</v>
      </c>
      <c r="C245">
        <v>6.71</v>
      </c>
      <c r="D245">
        <v>6.1506999999999996</v>
      </c>
      <c r="E245">
        <v>6.3232999999999997</v>
      </c>
      <c r="F245">
        <v>6831858.0999999996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-0.3827999284820312</v>
      </c>
      <c r="Q245">
        <f t="shared" si="960"/>
        <v>-2615234.7920793854</v>
      </c>
      <c r="R245">
        <f t="shared" si="961"/>
        <v>84597012.155332118</v>
      </c>
      <c r="S245">
        <f t="shared" si="962"/>
        <v>845.97012155332118</v>
      </c>
      <c r="T245">
        <f t="shared" si="963"/>
        <v>0.84597012155332119</v>
      </c>
    </row>
    <row r="246" spans="1:20" x14ac:dyDescent="0.25">
      <c r="A246" s="5">
        <v>44347</v>
      </c>
      <c r="B246">
        <v>6.0648</v>
      </c>
      <c r="C246">
        <v>6.6302000000000003</v>
      </c>
      <c r="D246">
        <v>5.8558000000000003</v>
      </c>
      <c r="E246">
        <v>6.5987999999999998</v>
      </c>
      <c r="F246">
        <v>7114244.04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0.91890495867768451</v>
      </c>
      <c r="Q246">
        <f t="shared" si="960"/>
        <v>6537314.1255991636</v>
      </c>
      <c r="R246">
        <f t="shared" si="961"/>
        <v>87212246.947411507</v>
      </c>
      <c r="S246">
        <f t="shared" si="962"/>
        <v>872.12246947411506</v>
      </c>
      <c r="T246">
        <f t="shared" si="963"/>
        <v>0.87212246947411509</v>
      </c>
    </row>
    <row r="247" spans="1:20" x14ac:dyDescent="0.25">
      <c r="A247" s="5">
        <v>44346</v>
      </c>
      <c r="B247">
        <v>5.8612000000000002</v>
      </c>
      <c r="C247">
        <v>6.5254000000000003</v>
      </c>
      <c r="D247">
        <v>5.4298999999999999</v>
      </c>
      <c r="E247">
        <v>6.0659999999999998</v>
      </c>
      <c r="F247">
        <v>7492657.7199999997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0.16129621177544443</v>
      </c>
      <c r="Q247">
        <f t="shared" si="960"/>
        <v>1208537.3063660385</v>
      </c>
      <c r="R247">
        <f t="shared" si="961"/>
        <v>80674932.821812347</v>
      </c>
      <c r="S247">
        <f t="shared" si="962"/>
        <v>806.74932821812342</v>
      </c>
      <c r="T247">
        <f t="shared" si="963"/>
        <v>0.8067493282181234</v>
      </c>
    </row>
    <row r="248" spans="1:20" x14ac:dyDescent="0.25">
      <c r="A248" s="5">
        <v>44345</v>
      </c>
      <c r="B248">
        <v>6.2645999999999997</v>
      </c>
      <c r="C248">
        <v>6.7157999999999998</v>
      </c>
      <c r="D248">
        <v>5.4608999999999996</v>
      </c>
      <c r="E248">
        <v>5.8593999999999999</v>
      </c>
      <c r="F248">
        <v>9670632.2300000004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-0.36488963264005059</v>
      </c>
      <c r="Q248">
        <f t="shared" si="960"/>
        <v>-3528713.4418017333</v>
      </c>
      <c r="R248">
        <f t="shared" si="961"/>
        <v>79466395.515446305</v>
      </c>
      <c r="S248">
        <f t="shared" si="962"/>
        <v>794.663955154463</v>
      </c>
      <c r="T248">
        <f t="shared" si="963"/>
        <v>0.79466395515446298</v>
      </c>
    </row>
    <row r="249" spans="1:20" x14ac:dyDescent="0.25">
      <c r="A249" s="5">
        <v>44344</v>
      </c>
      <c r="B249">
        <v>7.2587000000000002</v>
      </c>
      <c r="C249">
        <v>7.3186</v>
      </c>
      <c r="D249">
        <v>5.9318999999999997</v>
      </c>
      <c r="E249">
        <v>6.2628000000000004</v>
      </c>
      <c r="F249">
        <v>14293039.939999999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-0.52275185692651538</v>
      </c>
      <c r="Q249">
        <f t="shared" si="960"/>
        <v>-7471713.16975985</v>
      </c>
      <c r="R249">
        <f t="shared" si="961"/>
        <v>82995108.957248032</v>
      </c>
      <c r="S249">
        <f t="shared" si="962"/>
        <v>829.95108957248033</v>
      </c>
      <c r="T249">
        <f t="shared" si="963"/>
        <v>0.82995108957248032</v>
      </c>
    </row>
    <row r="250" spans="1:20" x14ac:dyDescent="0.25">
      <c r="A250" s="5">
        <v>44343</v>
      </c>
      <c r="B250">
        <v>7.2423999999999999</v>
      </c>
      <c r="C250">
        <v>7.9943</v>
      </c>
      <c r="D250">
        <v>7.0743999999999998</v>
      </c>
      <c r="E250">
        <v>7.2504</v>
      </c>
      <c r="F250">
        <v>12412434.34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-0.61734971192520904</v>
      </c>
      <c r="Q250">
        <f t="shared" si="960"/>
        <v>-7662812.7640895722</v>
      </c>
      <c r="R250">
        <f t="shared" si="961"/>
        <v>90466822.127007887</v>
      </c>
      <c r="S250">
        <f t="shared" si="962"/>
        <v>904.6682212700789</v>
      </c>
      <c r="T250">
        <f t="shared" si="963"/>
        <v>0.90466822127007895</v>
      </c>
    </row>
    <row r="251" spans="1:20" x14ac:dyDescent="0.25">
      <c r="A251" s="5">
        <v>44342</v>
      </c>
      <c r="B251">
        <v>6.1454000000000004</v>
      </c>
      <c r="C251">
        <v>7.7</v>
      </c>
      <c r="D251">
        <v>6.1421999999999999</v>
      </c>
      <c r="E251">
        <v>7.2416</v>
      </c>
      <c r="F251">
        <v>15539453.84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0.41147772499679025</v>
      </c>
      <c r="Q251">
        <f t="shared" si="960"/>
        <v>6394139.1137758363</v>
      </c>
      <c r="R251">
        <f t="shared" si="961"/>
        <v>98129634.891097456</v>
      </c>
      <c r="S251">
        <f t="shared" si="962"/>
        <v>981.29634891097453</v>
      </c>
      <c r="T251">
        <f t="shared" si="963"/>
        <v>0.9812963489109745</v>
      </c>
    </row>
    <row r="252" spans="1:20" x14ac:dyDescent="0.25">
      <c r="A252" s="5">
        <v>44341</v>
      </c>
      <c r="B252">
        <v>6.2691999999999997</v>
      </c>
      <c r="C252">
        <v>6.5408999999999997</v>
      </c>
      <c r="D252">
        <v>5.4890999999999996</v>
      </c>
      <c r="E252">
        <v>6.1447000000000003</v>
      </c>
      <c r="F252">
        <v>12971737.789999999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0.24662483361855977</v>
      </c>
      <c r="Q252">
        <f t="shared" si="960"/>
        <v>3199152.6742023341</v>
      </c>
      <c r="R252">
        <f t="shared" si="961"/>
        <v>91735495.777321622</v>
      </c>
      <c r="S252">
        <f t="shared" si="962"/>
        <v>917.35495777321626</v>
      </c>
      <c r="T252">
        <f t="shared" si="963"/>
        <v>0.9173549577732163</v>
      </c>
    </row>
    <row r="253" spans="1:20" x14ac:dyDescent="0.25">
      <c r="A253" s="5">
        <v>44340</v>
      </c>
      <c r="B253">
        <v>4.2855999999999996</v>
      </c>
      <c r="C253">
        <v>6.9775</v>
      </c>
      <c r="D253">
        <v>4.2403000000000004</v>
      </c>
      <c r="E253">
        <v>6.2693000000000003</v>
      </c>
      <c r="F253">
        <v>31948823.210000001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0.48253689902089741</v>
      </c>
      <c r="Q253">
        <f t="shared" si="960"/>
        <v>15416486.079120275</v>
      </c>
      <c r="R253">
        <f t="shared" si="961"/>
        <v>88536343.103119284</v>
      </c>
      <c r="S253">
        <f t="shared" si="962"/>
        <v>885.36343103119282</v>
      </c>
      <c r="T253">
        <f t="shared" si="963"/>
        <v>0.88536343103119286</v>
      </c>
    </row>
    <row r="254" spans="1:20" x14ac:dyDescent="0.25">
      <c r="A254" s="5">
        <v>44339</v>
      </c>
      <c r="B254">
        <v>5.1694000000000004</v>
      </c>
      <c r="C254">
        <v>5.4846000000000004</v>
      </c>
      <c r="D254">
        <v>3.3763000000000001</v>
      </c>
      <c r="E254">
        <v>4.2820999999999998</v>
      </c>
      <c r="F254">
        <v>16346142.23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-0.14072949769956875</v>
      </c>
      <c r="Q254">
        <f t="shared" si="960"/>
        <v>-2300384.3853536085</v>
      </c>
      <c r="R254">
        <f t="shared" si="961"/>
        <v>73119857.023999006</v>
      </c>
      <c r="S254">
        <f t="shared" si="962"/>
        <v>731.19857023999009</v>
      </c>
      <c r="T254">
        <f t="shared" si="963"/>
        <v>0.73119857023999013</v>
      </c>
    </row>
    <row r="255" spans="1:20" x14ac:dyDescent="0.25">
      <c r="A255" s="5">
        <v>44338</v>
      </c>
      <c r="B255">
        <v>5.6496000000000004</v>
      </c>
      <c r="C255">
        <v>5.7115</v>
      </c>
      <c r="D255">
        <v>4.7933000000000003</v>
      </c>
      <c r="E255">
        <v>5.1675000000000004</v>
      </c>
      <c r="F255">
        <v>9555506.3399999999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-0.18492703114789757</v>
      </c>
      <c r="Q255">
        <f t="shared" si="960"/>
        <v>-1767071.4185711127</v>
      </c>
      <c r="R255">
        <f t="shared" si="961"/>
        <v>75420241.409352615</v>
      </c>
      <c r="S255">
        <f t="shared" si="962"/>
        <v>754.20241409352616</v>
      </c>
      <c r="T255">
        <f t="shared" si="963"/>
        <v>0.75420241409352617</v>
      </c>
    </row>
    <row r="256" spans="1:20" x14ac:dyDescent="0.25">
      <c r="A256" s="5">
        <v>44337</v>
      </c>
      <c r="B256">
        <v>6.6521999999999997</v>
      </c>
      <c r="C256">
        <v>7.2755999999999998</v>
      </c>
      <c r="D256">
        <v>4.8071000000000002</v>
      </c>
      <c r="E256">
        <v>5.6492000000000004</v>
      </c>
      <c r="F256">
        <v>14348281.539999999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-0.31772331375329116</v>
      </c>
      <c r="Q256">
        <f t="shared" si="960"/>
        <v>-4558783.5575539749</v>
      </c>
      <c r="R256">
        <f t="shared" si="961"/>
        <v>77187312.82792373</v>
      </c>
      <c r="S256">
        <f t="shared" si="962"/>
        <v>771.87312827923733</v>
      </c>
      <c r="T256">
        <f t="shared" si="963"/>
        <v>0.77187312827923737</v>
      </c>
    </row>
    <row r="257" spans="1:20" x14ac:dyDescent="0.25">
      <c r="A257" s="5">
        <v>44336</v>
      </c>
      <c r="B257">
        <v>5.4394</v>
      </c>
      <c r="C257">
        <v>6.9771000000000001</v>
      </c>
      <c r="D257">
        <v>4.8593999999999999</v>
      </c>
      <c r="E257">
        <v>6.6562999999999999</v>
      </c>
      <c r="F257">
        <v>14042874.029999999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0.69702979647731012</v>
      </c>
      <c r="Q257">
        <f t="shared" si="960"/>
        <v>9788301.6270874031</v>
      </c>
      <c r="R257">
        <f t="shared" si="961"/>
        <v>81746096.385477707</v>
      </c>
      <c r="S257">
        <f t="shared" si="962"/>
        <v>817.46096385477711</v>
      </c>
      <c r="T257">
        <f t="shared" si="963"/>
        <v>0.81746096385477707</v>
      </c>
    </row>
    <row r="258" spans="1:20" x14ac:dyDescent="0.25">
      <c r="A258" s="5">
        <v>44335</v>
      </c>
      <c r="B258">
        <v>8.6827000000000005</v>
      </c>
      <c r="C258">
        <v>8.8567</v>
      </c>
      <c r="D258">
        <v>4.1706000000000003</v>
      </c>
      <c r="E258">
        <v>5.4215</v>
      </c>
      <c r="F258">
        <v>20033595.140000001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-0.46612321546701957</v>
      </c>
      <c r="Q258">
        <f t="shared" si="960"/>
        <v>-9338123.7840212565</v>
      </c>
      <c r="R258">
        <f t="shared" si="961"/>
        <v>71957794.758390307</v>
      </c>
      <c r="S258">
        <f t="shared" si="962"/>
        <v>719.5779475839031</v>
      </c>
      <c r="T258">
        <f t="shared" si="963"/>
        <v>0.71957794758390314</v>
      </c>
    </row>
    <row r="259" spans="1:20" x14ac:dyDescent="0.25">
      <c r="A259" s="5">
        <v>44334</v>
      </c>
      <c r="B259">
        <v>8.4824999999999999</v>
      </c>
      <c r="C259">
        <v>9.2582000000000004</v>
      </c>
      <c r="D259">
        <v>8.3849999999999998</v>
      </c>
      <c r="E259">
        <v>8.6829000000000001</v>
      </c>
      <c r="F259">
        <v>8393577.9399999995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-0.31768208886852944</v>
      </c>
      <c r="Q259">
        <f t="shared" si="960"/>
        <v>-2666489.373060008</v>
      </c>
      <c r="R259">
        <f t="shared" si="961"/>
        <v>81295918.542411566</v>
      </c>
      <c r="S259">
        <f t="shared" si="962"/>
        <v>812.95918542411562</v>
      </c>
      <c r="T259">
        <f t="shared" si="963"/>
        <v>0.8129591854241156</v>
      </c>
    </row>
    <row r="260" spans="1:20" x14ac:dyDescent="0.25">
      <c r="A260" s="5">
        <v>44333</v>
      </c>
      <c r="B260">
        <v>9.3147000000000002</v>
      </c>
      <c r="C260">
        <v>9.3162000000000003</v>
      </c>
      <c r="D260">
        <v>7.9592999999999998</v>
      </c>
      <c r="E260">
        <v>8.4797999999999991</v>
      </c>
      <c r="F260">
        <v>10353245.93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-0.23281008180411361</v>
      </c>
      <c r="Q260">
        <f t="shared" si="960"/>
        <v>-2410340.0319014061</v>
      </c>
      <c r="R260">
        <f t="shared" si="961"/>
        <v>83962407.915471569</v>
      </c>
      <c r="S260">
        <f t="shared" si="962"/>
        <v>839.62407915471567</v>
      </c>
      <c r="T260">
        <f t="shared" si="963"/>
        <v>0.83962407915471571</v>
      </c>
    </row>
    <row r="261" spans="1:20" x14ac:dyDescent="0.25">
      <c r="A261" s="5">
        <v>44332</v>
      </c>
      <c r="B261">
        <v>9.3356999999999992</v>
      </c>
      <c r="C261">
        <v>10.571899999999999</v>
      </c>
      <c r="D261">
        <v>8.7152999999999992</v>
      </c>
      <c r="E261">
        <v>9.3232999999999997</v>
      </c>
      <c r="F261">
        <v>9763708.1600000001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-0.3450393191856076</v>
      </c>
      <c r="Q261">
        <f t="shared" si="960"/>
        <v>-3368863.2162533617</v>
      </c>
      <c r="R261">
        <f t="shared" si="961"/>
        <v>86372747.947372973</v>
      </c>
      <c r="S261">
        <f t="shared" si="962"/>
        <v>863.72747947372977</v>
      </c>
      <c r="T261">
        <f t="shared" si="963"/>
        <v>0.86372747947372974</v>
      </c>
    </row>
    <row r="262" spans="1:20" x14ac:dyDescent="0.25">
      <c r="A262" s="5">
        <v>44331</v>
      </c>
      <c r="B262">
        <v>10.240399999999999</v>
      </c>
      <c r="C262">
        <v>10.5299</v>
      </c>
      <c r="D262">
        <v>9.2838999999999992</v>
      </c>
      <c r="E262">
        <v>9.3370999999999995</v>
      </c>
      <c r="F262">
        <v>6853578.8300000001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-0.91460674157303312</v>
      </c>
      <c r="Q262">
        <f t="shared" ref="Q262:Q325" si="965">F262*P262</f>
        <v>-6268329.401820221</v>
      </c>
      <c r="R262">
        <f t="shared" ref="R262:R325" si="966">R263+Q262</f>
        <v>89741611.163626328</v>
      </c>
      <c r="S262">
        <f t="shared" ref="S262:S325" si="967">R262/100000</f>
        <v>897.41611163626328</v>
      </c>
      <c r="T262">
        <f t="shared" ref="T262:T325" si="968">S262/1000</f>
        <v>0.89741611163626334</v>
      </c>
    </row>
    <row r="263" spans="1:20" x14ac:dyDescent="0.25">
      <c r="A263" s="5">
        <v>44330</v>
      </c>
      <c r="B263">
        <v>9.6599000000000004</v>
      </c>
      <c r="C263">
        <v>10.899900000000001</v>
      </c>
      <c r="D263">
        <v>9.6010000000000009</v>
      </c>
      <c r="E263">
        <v>10.2417</v>
      </c>
      <c r="F263">
        <v>8985758.8699999992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-1.3472938640389447E-2</v>
      </c>
      <c r="Q263">
        <f t="shared" si="965"/>
        <v>-121064.57789284521</v>
      </c>
      <c r="R263">
        <f t="shared" si="966"/>
        <v>96009940.565446556</v>
      </c>
      <c r="S263">
        <f t="shared" si="967"/>
        <v>960.0994056544655</v>
      </c>
      <c r="T263">
        <f t="shared" si="968"/>
        <v>0.9600994056544655</v>
      </c>
    </row>
    <row r="264" spans="1:20" x14ac:dyDescent="0.25">
      <c r="A264" s="5">
        <v>44329</v>
      </c>
      <c r="B264">
        <v>9.6533999999999995</v>
      </c>
      <c r="C264">
        <v>10.4839</v>
      </c>
      <c r="D264">
        <v>9</v>
      </c>
      <c r="E264">
        <v>9.6622000000000003</v>
      </c>
      <c r="F264">
        <v>11702264.27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-0.10748702742772391</v>
      </c>
      <c r="Q264">
        <f t="shared" si="965"/>
        <v>-1257841.6005559636</v>
      </c>
      <c r="R264">
        <f t="shared" si="966"/>
        <v>96131005.143339396</v>
      </c>
      <c r="S264">
        <f t="shared" si="967"/>
        <v>961.31005143339394</v>
      </c>
      <c r="T264">
        <f t="shared" si="968"/>
        <v>0.96131005143339399</v>
      </c>
    </row>
    <row r="265" spans="1:20" x14ac:dyDescent="0.25">
      <c r="A265" s="5">
        <v>44328</v>
      </c>
      <c r="B265">
        <v>12.3238</v>
      </c>
      <c r="C265">
        <v>12.3605</v>
      </c>
      <c r="D265">
        <v>9.4559999999999995</v>
      </c>
      <c r="E265">
        <v>9.6869999999999994</v>
      </c>
      <c r="F265">
        <v>13026824.76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-0.84093647787915315</v>
      </c>
      <c r="Q265">
        <f t="shared" si="965"/>
        <v>-10954732.131623344</v>
      </c>
      <c r="R265">
        <f t="shared" si="966"/>
        <v>97388846.743895352</v>
      </c>
      <c r="S265">
        <f t="shared" si="967"/>
        <v>973.88846743895351</v>
      </c>
      <c r="T265">
        <f t="shared" si="968"/>
        <v>0.97388846743895352</v>
      </c>
    </row>
    <row r="266" spans="1:20" x14ac:dyDescent="0.25">
      <c r="A266" s="5">
        <v>44327</v>
      </c>
      <c r="B266">
        <v>10.0464</v>
      </c>
      <c r="C266">
        <v>12.565799999999999</v>
      </c>
      <c r="D266">
        <v>9.5630000000000006</v>
      </c>
      <c r="E266">
        <v>12.3302</v>
      </c>
      <c r="F266">
        <v>19169630.75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0.84307979219395235</v>
      </c>
      <c r="Q266">
        <f t="shared" si="965"/>
        <v>16161528.309144799</v>
      </c>
      <c r="R266">
        <f t="shared" si="966"/>
        <v>108343578.87551869</v>
      </c>
      <c r="S266">
        <f t="shared" si="967"/>
        <v>1083.4357887551869</v>
      </c>
      <c r="T266">
        <f t="shared" si="968"/>
        <v>1.0834357887551869</v>
      </c>
    </row>
    <row r="267" spans="1:20" x14ac:dyDescent="0.25">
      <c r="A267" s="5">
        <v>44326</v>
      </c>
      <c r="B267">
        <v>11.622400000000001</v>
      </c>
      <c r="C267">
        <v>12.194100000000001</v>
      </c>
      <c r="D267">
        <v>9.4</v>
      </c>
      <c r="E267">
        <v>10.059900000000001</v>
      </c>
      <c r="F267">
        <v>9978148.5899999999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-0.5276475430371137</v>
      </c>
      <c r="Q267">
        <f t="shared" si="965"/>
        <v>-5264945.5875727404</v>
      </c>
      <c r="R267">
        <f t="shared" si="966"/>
        <v>92182050.5663739</v>
      </c>
      <c r="S267">
        <f t="shared" si="967"/>
        <v>921.82050566373903</v>
      </c>
      <c r="T267">
        <f t="shared" si="968"/>
        <v>0.92182050566373908</v>
      </c>
    </row>
    <row r="268" spans="1:20" x14ac:dyDescent="0.25">
      <c r="A268" s="5">
        <v>44325</v>
      </c>
      <c r="B268">
        <v>11.828200000000001</v>
      </c>
      <c r="C268">
        <v>12.4917</v>
      </c>
      <c r="D268">
        <v>10.86</v>
      </c>
      <c r="E268">
        <v>11.6274</v>
      </c>
      <c r="F268">
        <v>7927031.6100000003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-5.9385916528773515E-2</v>
      </c>
      <c r="Q268">
        <f t="shared" si="965"/>
        <v>-470754.03751240915</v>
      </c>
      <c r="R268">
        <f t="shared" si="966"/>
        <v>97446996.153946638</v>
      </c>
      <c r="S268">
        <f t="shared" si="967"/>
        <v>974.46996153946634</v>
      </c>
      <c r="T268">
        <f t="shared" si="968"/>
        <v>0.9744699615394663</v>
      </c>
    </row>
    <row r="269" spans="1:20" x14ac:dyDescent="0.25">
      <c r="A269" s="5">
        <v>44324</v>
      </c>
      <c r="B269">
        <v>11.878500000000001</v>
      </c>
      <c r="C269">
        <v>12.4975</v>
      </c>
      <c r="D269">
        <v>11.2179</v>
      </c>
      <c r="E269">
        <v>11.830500000000001</v>
      </c>
      <c r="F269">
        <v>11844601.619999999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-4.2513285401687501E-2</v>
      </c>
      <c r="Q269">
        <f t="shared" si="965"/>
        <v>-503552.92914035008</v>
      </c>
      <c r="R269">
        <f t="shared" si="966"/>
        <v>97917750.191459045</v>
      </c>
      <c r="S269">
        <f t="shared" si="967"/>
        <v>979.17750191459049</v>
      </c>
      <c r="T269">
        <f t="shared" si="968"/>
        <v>0.97917750191459052</v>
      </c>
    </row>
    <row r="270" spans="1:20" x14ac:dyDescent="0.25">
      <c r="A270" s="5">
        <v>44323</v>
      </c>
      <c r="B270">
        <v>13.1257</v>
      </c>
      <c r="C270">
        <v>15.35</v>
      </c>
      <c r="D270">
        <v>11.15</v>
      </c>
      <c r="E270">
        <v>11.869300000000001</v>
      </c>
      <c r="F270">
        <v>42519386.68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-0.65747619047619021</v>
      </c>
      <c r="Q270">
        <f t="shared" si="965"/>
        <v>-27955484.375750463</v>
      </c>
      <c r="R270">
        <f t="shared" si="966"/>
        <v>98421303.120599389</v>
      </c>
      <c r="S270">
        <f t="shared" si="967"/>
        <v>984.21303120599384</v>
      </c>
      <c r="T270">
        <f t="shared" si="968"/>
        <v>0.98421303120599379</v>
      </c>
    </row>
    <row r="271" spans="1:20" x14ac:dyDescent="0.25">
      <c r="A271" s="5">
        <v>44322</v>
      </c>
      <c r="B271">
        <v>9.9059000000000008</v>
      </c>
      <c r="C271">
        <v>13.2</v>
      </c>
      <c r="D271">
        <v>9.5532000000000004</v>
      </c>
      <c r="E271">
        <v>13.1372</v>
      </c>
      <c r="F271">
        <v>19625308.23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0.96555884611165987</v>
      </c>
      <c r="Q271">
        <f t="shared" si="965"/>
        <v>18949389.969144464</v>
      </c>
      <c r="R271">
        <f t="shared" si="966"/>
        <v>126376787.49634986</v>
      </c>
      <c r="S271">
        <f t="shared" si="967"/>
        <v>1263.7678749634986</v>
      </c>
      <c r="T271">
        <f t="shared" si="968"/>
        <v>1.2637678749634986</v>
      </c>
    </row>
    <row r="272" spans="1:20" x14ac:dyDescent="0.25">
      <c r="A272" s="5">
        <v>44321</v>
      </c>
      <c r="B272">
        <v>8.6884999999999994</v>
      </c>
      <c r="C272">
        <v>10.2875</v>
      </c>
      <c r="D272">
        <v>8.5891999999999999</v>
      </c>
      <c r="E272">
        <v>9.9095999999999993</v>
      </c>
      <c r="F272">
        <v>12770679.91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0.55496673143731923</v>
      </c>
      <c r="Q272">
        <f t="shared" si="965"/>
        <v>7087302.4878849378</v>
      </c>
      <c r="R272">
        <f t="shared" si="966"/>
        <v>107427397.52720539</v>
      </c>
      <c r="S272">
        <f t="shared" si="967"/>
        <v>1074.273975272054</v>
      </c>
      <c r="T272">
        <f t="shared" si="968"/>
        <v>1.074273975272054</v>
      </c>
    </row>
    <row r="273" spans="1:20" x14ac:dyDescent="0.25">
      <c r="A273" s="5">
        <v>44320</v>
      </c>
      <c r="B273">
        <v>9.3457000000000008</v>
      </c>
      <c r="C273">
        <v>10.2296</v>
      </c>
      <c r="D273">
        <v>8.3774999999999995</v>
      </c>
      <c r="E273">
        <v>8.6940000000000008</v>
      </c>
      <c r="F273">
        <v>19437117.609999999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-0.65822579774310097</v>
      </c>
      <c r="Q273">
        <f t="shared" si="965"/>
        <v>-12794012.244668726</v>
      </c>
      <c r="R273">
        <f t="shared" si="966"/>
        <v>100340095.03932045</v>
      </c>
      <c r="S273">
        <f t="shared" si="967"/>
        <v>1003.4009503932045</v>
      </c>
      <c r="T273">
        <f t="shared" si="968"/>
        <v>1.0034009503932046</v>
      </c>
    </row>
    <row r="274" spans="1:20" x14ac:dyDescent="0.25">
      <c r="A274" s="5">
        <v>44319</v>
      </c>
      <c r="B274">
        <v>7.8372999999999999</v>
      </c>
      <c r="C274">
        <v>9.5315999999999992</v>
      </c>
      <c r="D274">
        <v>7.8167</v>
      </c>
      <c r="E274">
        <v>9.3458000000000006</v>
      </c>
      <c r="F274">
        <v>11438642.58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0.78331098023208501</v>
      </c>
      <c r="Q274">
        <f t="shared" si="965"/>
        <v>8960014.3318642657</v>
      </c>
      <c r="R274">
        <f t="shared" si="966"/>
        <v>113134107.28398918</v>
      </c>
      <c r="S274">
        <f t="shared" si="967"/>
        <v>1131.3410728398917</v>
      </c>
      <c r="T274">
        <f t="shared" si="968"/>
        <v>1.1313410728398916</v>
      </c>
    </row>
    <row r="275" spans="1:20" x14ac:dyDescent="0.25">
      <c r="A275" s="5">
        <v>44318</v>
      </c>
      <c r="B275">
        <v>8.1419999999999995</v>
      </c>
      <c r="C275">
        <v>8.1824999999999992</v>
      </c>
      <c r="D275">
        <v>7.5974000000000004</v>
      </c>
      <c r="E275">
        <v>7.8379000000000003</v>
      </c>
      <c r="F275">
        <v>3636478.96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-0.17791830456332111</v>
      </c>
      <c r="Q275">
        <f t="shared" si="965"/>
        <v>-646996.17114338919</v>
      </c>
      <c r="R275">
        <f t="shared" si="966"/>
        <v>104174092.95212491</v>
      </c>
      <c r="S275">
        <f t="shared" si="967"/>
        <v>1041.740929521249</v>
      </c>
      <c r="T275">
        <f t="shared" si="968"/>
        <v>1.041740929521249</v>
      </c>
    </row>
    <row r="276" spans="1:20" x14ac:dyDescent="0.25">
      <c r="A276" s="5">
        <v>44317</v>
      </c>
      <c r="B276">
        <v>7.7464000000000004</v>
      </c>
      <c r="C276">
        <v>8.2159999999999993</v>
      </c>
      <c r="D276">
        <v>7.5804999999999998</v>
      </c>
      <c r="E276">
        <v>8.1418999999999997</v>
      </c>
      <c r="F276">
        <v>4420122.5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0.76679779701022921</v>
      </c>
      <c r="Q276">
        <f t="shared" si="965"/>
        <v>3389340.1955153467</v>
      </c>
      <c r="R276">
        <f t="shared" si="966"/>
        <v>104821089.12326829</v>
      </c>
      <c r="S276">
        <f t="shared" si="967"/>
        <v>1048.210891232683</v>
      </c>
      <c r="T276">
        <f t="shared" si="968"/>
        <v>1.0482108912326831</v>
      </c>
    </row>
    <row r="277" spans="1:20" x14ac:dyDescent="0.25">
      <c r="A277" s="5">
        <v>44316</v>
      </c>
      <c r="B277">
        <v>7.2591999999999999</v>
      </c>
      <c r="C277">
        <v>7.8387000000000002</v>
      </c>
      <c r="D277">
        <v>7.1138000000000003</v>
      </c>
      <c r="E277">
        <v>7.7496999999999998</v>
      </c>
      <c r="F277">
        <v>3647122.76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0.75444888950199906</v>
      </c>
      <c r="Q277">
        <f t="shared" si="965"/>
        <v>2751567.7161594657</v>
      </c>
      <c r="R277">
        <f t="shared" si="966"/>
        <v>101431748.92775294</v>
      </c>
      <c r="S277">
        <f t="shared" si="967"/>
        <v>1014.3174892775294</v>
      </c>
      <c r="T277">
        <f t="shared" si="968"/>
        <v>1.0143174892775293</v>
      </c>
    </row>
    <row r="278" spans="1:20" x14ac:dyDescent="0.25">
      <c r="A278" s="5">
        <v>44315</v>
      </c>
      <c r="B278">
        <v>7.4044999999999996</v>
      </c>
      <c r="C278">
        <v>7.4649999999999999</v>
      </c>
      <c r="D278">
        <v>6.9493999999999998</v>
      </c>
      <c r="E278">
        <v>7.2617000000000003</v>
      </c>
      <c r="F278">
        <v>3372648.33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0.21140418929402804</v>
      </c>
      <c r="Q278">
        <f t="shared" si="965"/>
        <v>712991.98597750755</v>
      </c>
      <c r="R278">
        <f t="shared" si="966"/>
        <v>98680181.211593479</v>
      </c>
      <c r="S278">
        <f t="shared" si="967"/>
        <v>986.80181211593481</v>
      </c>
      <c r="T278">
        <f t="shared" si="968"/>
        <v>0.98680181211593476</v>
      </c>
    </row>
    <row r="279" spans="1:20" x14ac:dyDescent="0.25">
      <c r="A279" s="5">
        <v>44314</v>
      </c>
      <c r="B279">
        <v>7.5598999999999998</v>
      </c>
      <c r="C279">
        <v>7.8852000000000002</v>
      </c>
      <c r="D279">
        <v>6.9151999999999996</v>
      </c>
      <c r="E279">
        <v>7.4001000000000001</v>
      </c>
      <c r="F279">
        <v>4218331.29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-2.0618556700982861E-4</v>
      </c>
      <c r="Q279">
        <f t="shared" si="965"/>
        <v>-869.75902886395181</v>
      </c>
      <c r="R279">
        <f t="shared" si="966"/>
        <v>97967189.225615978</v>
      </c>
      <c r="S279">
        <f t="shared" si="967"/>
        <v>979.67189225615982</v>
      </c>
      <c r="T279">
        <f t="shared" si="968"/>
        <v>0.9796718922561598</v>
      </c>
    </row>
    <row r="280" spans="1:20" x14ac:dyDescent="0.25">
      <c r="A280" s="5">
        <v>44313</v>
      </c>
      <c r="B280">
        <v>7.0952000000000002</v>
      </c>
      <c r="C280">
        <v>7.5782999999999996</v>
      </c>
      <c r="D280">
        <v>6.9829999999999997</v>
      </c>
      <c r="E280">
        <v>7.5514999999999999</v>
      </c>
      <c r="F280">
        <v>4014856.54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0.90996136401814309</v>
      </c>
      <c r="Q280">
        <f t="shared" si="965"/>
        <v>3653364.3334755623</v>
      </c>
      <c r="R280">
        <f t="shared" si="966"/>
        <v>97968058.984644845</v>
      </c>
      <c r="S280">
        <f t="shared" si="967"/>
        <v>979.68058984644847</v>
      </c>
      <c r="T280">
        <f t="shared" si="968"/>
        <v>0.97968058984644846</v>
      </c>
    </row>
    <row r="281" spans="1:20" x14ac:dyDescent="0.25">
      <c r="A281" s="5">
        <v>44312</v>
      </c>
      <c r="B281">
        <v>6.1958000000000002</v>
      </c>
      <c r="C281">
        <v>7.1025</v>
      </c>
      <c r="D281">
        <v>6.1001000000000003</v>
      </c>
      <c r="E281">
        <v>7.1012000000000004</v>
      </c>
      <c r="F281">
        <v>5513422.6600000001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0.9974062250598571</v>
      </c>
      <c r="Q281">
        <f t="shared" si="965"/>
        <v>5499122.0824700762</v>
      </c>
      <c r="R281">
        <f t="shared" si="966"/>
        <v>94314694.651169285</v>
      </c>
      <c r="S281">
        <f t="shared" si="967"/>
        <v>943.14694651169282</v>
      </c>
      <c r="T281">
        <f t="shared" si="968"/>
        <v>0.94314694651169284</v>
      </c>
    </row>
    <row r="282" spans="1:20" x14ac:dyDescent="0.25">
      <c r="A282" s="5">
        <v>44311</v>
      </c>
      <c r="B282">
        <v>6.0049000000000001</v>
      </c>
      <c r="C282">
        <v>6.6917999999999997</v>
      </c>
      <c r="D282">
        <v>5.8000999999999996</v>
      </c>
      <c r="E282">
        <v>6.1973000000000003</v>
      </c>
      <c r="F282">
        <v>4678272.93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-0.10911741617135676</v>
      </c>
      <c r="Q282">
        <f t="shared" si="965"/>
        <v>-510481.05426600255</v>
      </c>
      <c r="R282">
        <f t="shared" si="966"/>
        <v>88815572.568699211</v>
      </c>
      <c r="S282">
        <f t="shared" si="967"/>
        <v>888.15572568699213</v>
      </c>
      <c r="T282">
        <f t="shared" si="968"/>
        <v>0.88815572568699208</v>
      </c>
    </row>
    <row r="283" spans="1:20" x14ac:dyDescent="0.25">
      <c r="A283" s="5">
        <v>44310</v>
      </c>
      <c r="B283">
        <v>6.5636000000000001</v>
      </c>
      <c r="C283">
        <v>6.6222000000000003</v>
      </c>
      <c r="D283">
        <v>5.9306000000000001</v>
      </c>
      <c r="E283">
        <v>6.0045000000000002</v>
      </c>
      <c r="F283">
        <v>5189384.32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-0.78629265471370724</v>
      </c>
      <c r="Q283">
        <f t="shared" si="965"/>
        <v>-4080374.7733024866</v>
      </c>
      <c r="R283">
        <f t="shared" si="966"/>
        <v>89326053.622965217</v>
      </c>
      <c r="S283">
        <f t="shared" si="967"/>
        <v>893.26053622965219</v>
      </c>
      <c r="T283">
        <f t="shared" si="968"/>
        <v>0.89326053622965218</v>
      </c>
    </row>
    <row r="284" spans="1:20" x14ac:dyDescent="0.25">
      <c r="A284" s="5">
        <v>44309</v>
      </c>
      <c r="B284">
        <v>6.9706999999999999</v>
      </c>
      <c r="C284">
        <v>7.1585999999999999</v>
      </c>
      <c r="D284">
        <v>5.5742000000000003</v>
      </c>
      <c r="E284">
        <v>6.5686</v>
      </c>
      <c r="F284">
        <v>12878922.33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0.25523857611714212</v>
      </c>
      <c r="Q284">
        <f t="shared" si="965"/>
        <v>3287197.7974324664</v>
      </c>
      <c r="R284">
        <f t="shared" si="966"/>
        <v>93406428.396267697</v>
      </c>
      <c r="S284">
        <f t="shared" si="967"/>
        <v>934.064283962677</v>
      </c>
      <c r="T284">
        <f t="shared" si="968"/>
        <v>0.93406428396267704</v>
      </c>
    </row>
    <row r="285" spans="1:20" x14ac:dyDescent="0.25">
      <c r="A285" s="5">
        <v>44308</v>
      </c>
      <c r="B285">
        <v>7.6395</v>
      </c>
      <c r="C285">
        <v>8.1942000000000004</v>
      </c>
      <c r="D285">
        <v>6.92</v>
      </c>
      <c r="E285">
        <v>6.9702000000000002</v>
      </c>
      <c r="F285">
        <v>8467762.0899999999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-0.92120546225082367</v>
      </c>
      <c r="Q285">
        <f t="shared" si="965"/>
        <v>-7800548.690348451</v>
      </c>
      <c r="R285">
        <f t="shared" si="966"/>
        <v>90119230.59883523</v>
      </c>
      <c r="S285">
        <f t="shared" si="967"/>
        <v>901.19230598835225</v>
      </c>
      <c r="T285">
        <f t="shared" si="968"/>
        <v>0.9011923059883522</v>
      </c>
    </row>
    <row r="286" spans="1:20" x14ac:dyDescent="0.25">
      <c r="A286" s="5">
        <v>44307</v>
      </c>
      <c r="B286">
        <v>7.9195000000000002</v>
      </c>
      <c r="C286">
        <v>8.4543999999999997</v>
      </c>
      <c r="D286">
        <v>7.3856999999999999</v>
      </c>
      <c r="E286">
        <v>7.6356000000000002</v>
      </c>
      <c r="F286">
        <v>6447963.0800000001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-0.53232899784785204</v>
      </c>
      <c r="Q286">
        <f t="shared" si="965"/>
        <v>-3432437.7245363495</v>
      </c>
      <c r="R286">
        <f t="shared" si="966"/>
        <v>97919779.289183676</v>
      </c>
      <c r="S286">
        <f t="shared" si="967"/>
        <v>979.1977928918368</v>
      </c>
      <c r="T286">
        <f t="shared" si="968"/>
        <v>0.97919779289183684</v>
      </c>
    </row>
    <row r="287" spans="1:20" x14ac:dyDescent="0.25">
      <c r="A287" s="5">
        <v>44306</v>
      </c>
      <c r="B287">
        <v>7.8254999999999999</v>
      </c>
      <c r="C287">
        <v>8.0518999999999998</v>
      </c>
      <c r="D287">
        <v>6.9</v>
      </c>
      <c r="E287">
        <v>7.9170999999999996</v>
      </c>
      <c r="F287">
        <v>7127012.2800000003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0.76595190554735604</v>
      </c>
      <c r="Q287">
        <f t="shared" si="965"/>
        <v>5458948.6367254071</v>
      </c>
      <c r="R287">
        <f t="shared" si="966"/>
        <v>101352217.01372002</v>
      </c>
      <c r="S287">
        <f t="shared" si="967"/>
        <v>1013.5221701372002</v>
      </c>
      <c r="T287">
        <f t="shared" si="968"/>
        <v>1.0135221701372001</v>
      </c>
    </row>
    <row r="288" spans="1:20" x14ac:dyDescent="0.25">
      <c r="A288" s="5">
        <v>44305</v>
      </c>
      <c r="B288">
        <v>8.4268000000000001</v>
      </c>
      <c r="C288">
        <v>9.1870999999999992</v>
      </c>
      <c r="D288">
        <v>7.7554999999999996</v>
      </c>
      <c r="E288">
        <v>7.8238000000000003</v>
      </c>
      <c r="F288">
        <v>11630163.310000001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-0.90458228555462317</v>
      </c>
      <c r="Q288">
        <f t="shared" si="965"/>
        <v>-10520439.708333321</v>
      </c>
      <c r="R288">
        <f t="shared" si="966"/>
        <v>95893268.37699461</v>
      </c>
      <c r="S288">
        <f t="shared" si="967"/>
        <v>958.93268376994615</v>
      </c>
      <c r="T288">
        <f t="shared" si="968"/>
        <v>0.95893268376994611</v>
      </c>
    </row>
    <row r="289" spans="1:20" x14ac:dyDescent="0.25">
      <c r="A289" s="5">
        <v>44304</v>
      </c>
      <c r="B289">
        <v>9.4018999999999995</v>
      </c>
      <c r="C289">
        <v>9.5044000000000004</v>
      </c>
      <c r="D289">
        <v>6.75</v>
      </c>
      <c r="E289">
        <v>8.4209999999999994</v>
      </c>
      <c r="F289">
        <v>9980017.4700000007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0.2133313970374667</v>
      </c>
      <c r="Q289">
        <f t="shared" si="965"/>
        <v>2129051.0693334239</v>
      </c>
      <c r="R289">
        <f t="shared" si="966"/>
        <v>106413708.08532794</v>
      </c>
      <c r="S289">
        <f t="shared" si="967"/>
        <v>1064.1370808532795</v>
      </c>
      <c r="T289">
        <f t="shared" si="968"/>
        <v>1.0641370808532795</v>
      </c>
    </row>
    <row r="290" spans="1:20" x14ac:dyDescent="0.25">
      <c r="A290" s="5">
        <v>44303</v>
      </c>
      <c r="B290">
        <v>10.148999999999999</v>
      </c>
      <c r="C290">
        <v>10.4</v>
      </c>
      <c r="D290">
        <v>9.2886000000000006</v>
      </c>
      <c r="E290">
        <v>9.4085000000000001</v>
      </c>
      <c r="F290">
        <v>6031049.0899999999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-0.78423609861436117</v>
      </c>
      <c r="Q290">
        <f t="shared" si="965"/>
        <v>-4729766.4088932928</v>
      </c>
      <c r="R290">
        <f t="shared" si="966"/>
        <v>104284657.01599452</v>
      </c>
      <c r="S290">
        <f t="shared" si="967"/>
        <v>1042.8465701599453</v>
      </c>
      <c r="T290">
        <f t="shared" si="968"/>
        <v>1.0428465701599452</v>
      </c>
    </row>
    <row r="291" spans="1:20" x14ac:dyDescent="0.25">
      <c r="A291" s="5">
        <v>44302</v>
      </c>
      <c r="B291">
        <v>9.7034000000000002</v>
      </c>
      <c r="C291">
        <v>10.6579</v>
      </c>
      <c r="D291">
        <v>8.9238</v>
      </c>
      <c r="E291">
        <v>10.15</v>
      </c>
      <c r="F291">
        <v>10401004.869999999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0.41422063318147806</v>
      </c>
      <c r="Q291">
        <f t="shared" si="965"/>
        <v>4308310.8229750367</v>
      </c>
      <c r="R291">
        <f t="shared" si="966"/>
        <v>109014423.42488781</v>
      </c>
      <c r="S291">
        <f t="shared" si="967"/>
        <v>1090.1442342488781</v>
      </c>
      <c r="T291">
        <f t="shared" si="968"/>
        <v>1.0901442342488781</v>
      </c>
    </row>
    <row r="292" spans="1:20" x14ac:dyDescent="0.25">
      <c r="A292" s="5">
        <v>44301</v>
      </c>
      <c r="B292">
        <v>9.2710000000000008</v>
      </c>
      <c r="C292">
        <v>9.8455999999999992</v>
      </c>
      <c r="D292">
        <v>9.0923999999999996</v>
      </c>
      <c r="E292">
        <v>9.6984999999999992</v>
      </c>
      <c r="F292">
        <v>5418854.2400000002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0.60939989378651072</v>
      </c>
      <c r="Q292">
        <f t="shared" si="965"/>
        <v>3302249.1983005833</v>
      </c>
      <c r="R292">
        <f t="shared" si="966"/>
        <v>104706112.60191277</v>
      </c>
      <c r="S292">
        <f t="shared" si="967"/>
        <v>1047.0611260191276</v>
      </c>
      <c r="T292">
        <f t="shared" si="968"/>
        <v>1.0470611260191276</v>
      </c>
    </row>
    <row r="293" spans="1:20" x14ac:dyDescent="0.25">
      <c r="A293" s="5">
        <v>44300</v>
      </c>
      <c r="B293">
        <v>9.5515000000000008</v>
      </c>
      <c r="C293">
        <v>9.9989000000000008</v>
      </c>
      <c r="D293">
        <v>8.8042999999999996</v>
      </c>
      <c r="E293">
        <v>9.2759999999999998</v>
      </c>
      <c r="F293">
        <v>6902783.7999999998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-0.21027959149506154</v>
      </c>
      <c r="Q293">
        <f t="shared" si="965"/>
        <v>-1451514.5576427286</v>
      </c>
      <c r="R293">
        <f t="shared" si="966"/>
        <v>101403863.40361218</v>
      </c>
      <c r="S293">
        <f t="shared" si="967"/>
        <v>1014.0386340361218</v>
      </c>
      <c r="T293">
        <f t="shared" si="968"/>
        <v>1.0140386340361218</v>
      </c>
    </row>
    <row r="294" spans="1:20" x14ac:dyDescent="0.25">
      <c r="A294" s="5">
        <v>44299</v>
      </c>
      <c r="B294">
        <v>9.3629999999999995</v>
      </c>
      <c r="C294">
        <v>9.7291000000000007</v>
      </c>
      <c r="D294">
        <v>9.0077999999999996</v>
      </c>
      <c r="E294">
        <v>9.5545000000000009</v>
      </c>
      <c r="F294">
        <v>5023482.6500000004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0.51587411617912216</v>
      </c>
      <c r="Q294">
        <f t="shared" si="965"/>
        <v>2591484.6722099045</v>
      </c>
      <c r="R294">
        <f t="shared" si="966"/>
        <v>102855377.96125491</v>
      </c>
      <c r="S294">
        <f t="shared" si="967"/>
        <v>1028.5537796125491</v>
      </c>
      <c r="T294">
        <f t="shared" si="968"/>
        <v>1.028553779612549</v>
      </c>
    </row>
    <row r="295" spans="1:20" x14ac:dyDescent="0.25">
      <c r="A295" s="5">
        <v>44298</v>
      </c>
      <c r="B295">
        <v>9.6160999999999994</v>
      </c>
      <c r="C295">
        <v>9.7423999999999999</v>
      </c>
      <c r="D295">
        <v>9.0907999999999998</v>
      </c>
      <c r="E295">
        <v>9.3643999999999998</v>
      </c>
      <c r="F295">
        <v>4948492.83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-0.16022099447513816</v>
      </c>
      <c r="Q295">
        <f t="shared" si="965"/>
        <v>-792852.44237569079</v>
      </c>
      <c r="R295">
        <f t="shared" si="966"/>
        <v>100263893.28904501</v>
      </c>
      <c r="S295">
        <f t="shared" si="967"/>
        <v>1002.6389328904501</v>
      </c>
      <c r="T295">
        <f t="shared" si="968"/>
        <v>1.0026389328904501</v>
      </c>
    </row>
    <row r="296" spans="1:20" x14ac:dyDescent="0.25">
      <c r="A296" s="5">
        <v>44297</v>
      </c>
      <c r="B296">
        <v>10.0543</v>
      </c>
      <c r="C296">
        <v>10.1526</v>
      </c>
      <c r="D296">
        <v>9.4291999999999998</v>
      </c>
      <c r="E296">
        <v>9.6193000000000008</v>
      </c>
      <c r="F296">
        <v>5199158.99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-0.47442632015482145</v>
      </c>
      <c r="Q296">
        <f t="shared" si="965"/>
        <v>-2466617.867525558</v>
      </c>
      <c r="R296">
        <f t="shared" si="966"/>
        <v>101056745.7314207</v>
      </c>
      <c r="S296">
        <f t="shared" si="967"/>
        <v>1010.567457314207</v>
      </c>
      <c r="T296">
        <f t="shared" si="968"/>
        <v>1.0105674573142069</v>
      </c>
    </row>
    <row r="297" spans="1:20" x14ac:dyDescent="0.25">
      <c r="A297" s="5">
        <v>44296</v>
      </c>
      <c r="B297">
        <v>10.450900000000001</v>
      </c>
      <c r="C297">
        <v>11.337</v>
      </c>
      <c r="D297">
        <v>9.6377000000000006</v>
      </c>
      <c r="E297">
        <v>10.0534</v>
      </c>
      <c r="F297">
        <v>9172052.7100000009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-0.51073971635379334</v>
      </c>
      <c r="Q297">
        <f t="shared" si="965"/>
        <v>-4684531.5994874416</v>
      </c>
      <c r="R297">
        <f t="shared" si="966"/>
        <v>103523363.59894626</v>
      </c>
      <c r="S297">
        <f t="shared" si="967"/>
        <v>1035.2336359894625</v>
      </c>
      <c r="T297">
        <f t="shared" si="968"/>
        <v>1.0352336359894625</v>
      </c>
    </row>
    <row r="298" spans="1:20" x14ac:dyDescent="0.25">
      <c r="A298" s="5">
        <v>44295</v>
      </c>
      <c r="B298">
        <v>10.2089</v>
      </c>
      <c r="C298">
        <v>11.14</v>
      </c>
      <c r="D298">
        <v>9.5153999999999996</v>
      </c>
      <c r="E298">
        <v>10.442500000000001</v>
      </c>
      <c r="F298">
        <v>10451256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0.14132709590053011</v>
      </c>
      <c r="Q298">
        <f t="shared" si="965"/>
        <v>1477045.6589929906</v>
      </c>
      <c r="R298">
        <f t="shared" si="966"/>
        <v>108207895.1984337</v>
      </c>
      <c r="S298">
        <f t="shared" si="967"/>
        <v>1082.078951984337</v>
      </c>
      <c r="T298">
        <f t="shared" si="968"/>
        <v>1.082078951984337</v>
      </c>
    </row>
    <row r="299" spans="1:20" x14ac:dyDescent="0.25">
      <c r="A299" s="5">
        <v>44294</v>
      </c>
      <c r="B299">
        <v>9.9526000000000003</v>
      </c>
      <c r="C299">
        <v>10.278700000000001</v>
      </c>
      <c r="D299">
        <v>9</v>
      </c>
      <c r="E299">
        <v>10.209099999999999</v>
      </c>
      <c r="F299">
        <v>12271569.560000001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0.89113943849221677</v>
      </c>
      <c r="Q299">
        <f t="shared" si="965"/>
        <v>10935679.60711658</v>
      </c>
      <c r="R299">
        <f t="shared" si="966"/>
        <v>106730849.53944071</v>
      </c>
      <c r="S299">
        <f t="shared" si="967"/>
        <v>1067.3084953944071</v>
      </c>
      <c r="T299">
        <f t="shared" si="968"/>
        <v>1.0673084953944072</v>
      </c>
    </row>
    <row r="300" spans="1:20" x14ac:dyDescent="0.25">
      <c r="A300" s="5">
        <v>44293</v>
      </c>
      <c r="B300">
        <v>9.3049999999999997</v>
      </c>
      <c r="C300">
        <v>11.28</v>
      </c>
      <c r="D300">
        <v>8.6523000000000003</v>
      </c>
      <c r="E300">
        <v>9.9502000000000006</v>
      </c>
      <c r="F300">
        <v>36683774.039999999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-1.2139894204056208E-2</v>
      </c>
      <c r="Q300">
        <f t="shared" si="965"/>
        <v>-445337.13585110358</v>
      </c>
      <c r="R300">
        <f t="shared" si="966"/>
        <v>95795169.932324126</v>
      </c>
      <c r="S300">
        <f t="shared" si="967"/>
        <v>957.95169932324131</v>
      </c>
      <c r="T300">
        <f t="shared" si="968"/>
        <v>0.95795169932324131</v>
      </c>
    </row>
    <row r="301" spans="1:20" x14ac:dyDescent="0.25">
      <c r="A301" s="5">
        <v>44292</v>
      </c>
      <c r="B301">
        <v>8.7063000000000006</v>
      </c>
      <c r="C301">
        <v>9.6239000000000008</v>
      </c>
      <c r="D301">
        <v>8.2057000000000002</v>
      </c>
      <c r="E301">
        <v>9.3096999999999994</v>
      </c>
      <c r="F301">
        <v>12595457.199999999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0.55690311662670822</v>
      </c>
      <c r="Q301">
        <f t="shared" si="965"/>
        <v>7014449.3700183108</v>
      </c>
      <c r="R301">
        <f t="shared" si="966"/>
        <v>96240507.068175226</v>
      </c>
      <c r="S301">
        <f t="shared" si="967"/>
        <v>962.40507068175225</v>
      </c>
      <c r="T301">
        <f t="shared" si="968"/>
        <v>0.96240507068175229</v>
      </c>
    </row>
    <row r="302" spans="1:20" x14ac:dyDescent="0.25">
      <c r="A302" s="5">
        <v>44291</v>
      </c>
      <c r="B302">
        <v>7.8494000000000002</v>
      </c>
      <c r="C302">
        <v>8.7799999999999994</v>
      </c>
      <c r="D302">
        <v>7.8449</v>
      </c>
      <c r="E302">
        <v>8.7111999999999998</v>
      </c>
      <c r="F302">
        <v>12158496.66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0.852849962570849</v>
      </c>
      <c r="Q302">
        <f t="shared" si="965"/>
        <v>10369373.421398792</v>
      </c>
      <c r="R302">
        <f t="shared" si="966"/>
        <v>89226057.698156923</v>
      </c>
      <c r="S302">
        <f t="shared" si="967"/>
        <v>892.26057698156922</v>
      </c>
      <c r="T302">
        <f t="shared" si="968"/>
        <v>0.89226057698156924</v>
      </c>
    </row>
    <row r="303" spans="1:20" x14ac:dyDescent="0.25">
      <c r="A303" s="5">
        <v>44290</v>
      </c>
      <c r="B303">
        <v>6.7508999999999997</v>
      </c>
      <c r="C303">
        <v>8.0269999999999992</v>
      </c>
      <c r="D303">
        <v>6.62</v>
      </c>
      <c r="E303">
        <v>7.8451000000000004</v>
      </c>
      <c r="F303">
        <v>7968634.5999999996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0.74143567874911309</v>
      </c>
      <c r="Q303">
        <f t="shared" si="965"/>
        <v>5908230.0033546668</v>
      </c>
      <c r="R303">
        <f t="shared" si="966"/>
        <v>78856684.276758134</v>
      </c>
      <c r="S303">
        <f t="shared" si="967"/>
        <v>788.56684276758131</v>
      </c>
      <c r="T303">
        <f t="shared" si="968"/>
        <v>0.78856684276758127</v>
      </c>
    </row>
    <row r="304" spans="1:20" x14ac:dyDescent="0.25">
      <c r="A304" s="5">
        <v>44289</v>
      </c>
      <c r="B304">
        <v>7.53</v>
      </c>
      <c r="C304">
        <v>7.5438000000000001</v>
      </c>
      <c r="D304">
        <v>6.7130999999999998</v>
      </c>
      <c r="E304">
        <v>6.7511999999999999</v>
      </c>
      <c r="F304">
        <v>5440801.4800000004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-0.90827013362224629</v>
      </c>
      <c r="Q304">
        <f t="shared" si="965"/>
        <v>-4941717.4872517157</v>
      </c>
      <c r="R304">
        <f t="shared" si="966"/>
        <v>72948454.273403466</v>
      </c>
      <c r="S304">
        <f t="shared" si="967"/>
        <v>729.48454273403468</v>
      </c>
      <c r="T304">
        <f t="shared" si="968"/>
        <v>0.72948454273403462</v>
      </c>
    </row>
    <row r="305" spans="1:20" x14ac:dyDescent="0.25">
      <c r="A305" s="5">
        <v>44288</v>
      </c>
      <c r="B305">
        <v>7.3878000000000004</v>
      </c>
      <c r="C305">
        <v>7.6982999999999997</v>
      </c>
      <c r="D305">
        <v>7.0856000000000003</v>
      </c>
      <c r="E305">
        <v>7.5354000000000001</v>
      </c>
      <c r="F305">
        <v>6668716.0300000003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0.46825526358740077</v>
      </c>
      <c r="Q305">
        <f t="shared" si="965"/>
        <v>3122661.382417175</v>
      </c>
      <c r="R305">
        <f t="shared" si="966"/>
        <v>77890171.76065518</v>
      </c>
      <c r="S305">
        <f t="shared" si="967"/>
        <v>778.90171760655176</v>
      </c>
      <c r="T305">
        <f t="shared" si="968"/>
        <v>0.7789017176065518</v>
      </c>
    </row>
    <row r="306" spans="1:20" x14ac:dyDescent="0.25">
      <c r="A306" s="5">
        <v>44287</v>
      </c>
      <c r="B306">
        <v>7.8941999999999997</v>
      </c>
      <c r="C306">
        <v>8.0860000000000003</v>
      </c>
      <c r="D306">
        <v>7.3205999999999998</v>
      </c>
      <c r="E306">
        <v>7.3849999999999998</v>
      </c>
      <c r="F306">
        <v>7792998.5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-0.83172197543767967</v>
      </c>
      <c r="Q306">
        <f t="shared" si="965"/>
        <v>-6481608.1070028748</v>
      </c>
      <c r="R306">
        <f t="shared" si="966"/>
        <v>74767510.378238007</v>
      </c>
      <c r="S306">
        <f t="shared" si="967"/>
        <v>747.67510378238012</v>
      </c>
      <c r="T306">
        <f t="shared" si="968"/>
        <v>0.74767510378238011</v>
      </c>
    </row>
    <row r="307" spans="1:20" x14ac:dyDescent="0.25">
      <c r="A307" s="5">
        <v>44286</v>
      </c>
      <c r="B307">
        <v>6.6105</v>
      </c>
      <c r="C307">
        <v>8.4</v>
      </c>
      <c r="D307">
        <v>6.4805999999999999</v>
      </c>
      <c r="E307">
        <v>7.9015000000000004</v>
      </c>
      <c r="F307">
        <v>15934072.289999999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0.48056684380535603</v>
      </c>
      <c r="Q307">
        <f t="shared" si="965"/>
        <v>7657386.8293716814</v>
      </c>
      <c r="R307">
        <f t="shared" si="966"/>
        <v>81249118.485240877</v>
      </c>
      <c r="S307">
        <f t="shared" si="967"/>
        <v>812.49118485240876</v>
      </c>
      <c r="T307">
        <f t="shared" si="968"/>
        <v>0.81249118485240879</v>
      </c>
    </row>
    <row r="308" spans="1:20" x14ac:dyDescent="0.25">
      <c r="A308" s="5">
        <v>44285</v>
      </c>
      <c r="B308">
        <v>6.7826000000000004</v>
      </c>
      <c r="C308">
        <v>7.34</v>
      </c>
      <c r="D308">
        <v>6.5753000000000004</v>
      </c>
      <c r="E308">
        <v>6.6116000000000001</v>
      </c>
      <c r="F308">
        <v>7977367.0599999996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-0.90506080816006329</v>
      </c>
      <c r="Q308">
        <f t="shared" si="965"/>
        <v>-7220002.2783130677</v>
      </c>
      <c r="R308">
        <f t="shared" si="966"/>
        <v>73591731.655869201</v>
      </c>
      <c r="S308">
        <f t="shared" si="967"/>
        <v>735.91731655869205</v>
      </c>
      <c r="T308">
        <f t="shared" si="968"/>
        <v>0.73591731655869208</v>
      </c>
    </row>
    <row r="309" spans="1:20" x14ac:dyDescent="0.25">
      <c r="A309" s="5">
        <v>44284</v>
      </c>
      <c r="B309">
        <v>5.8777999999999997</v>
      </c>
      <c r="C309">
        <v>7.1707000000000001</v>
      </c>
      <c r="D309">
        <v>5.8413000000000004</v>
      </c>
      <c r="E309">
        <v>6.7789999999999999</v>
      </c>
      <c r="F309">
        <v>12070513.109999999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0.41071159921769179</v>
      </c>
      <c r="Q309">
        <f t="shared" si="965"/>
        <v>4957499.7427862147</v>
      </c>
      <c r="R309">
        <f t="shared" si="966"/>
        <v>80811733.934182271</v>
      </c>
      <c r="S309">
        <f t="shared" si="967"/>
        <v>808.11733934182269</v>
      </c>
      <c r="T309">
        <f t="shared" si="968"/>
        <v>0.80811733934182273</v>
      </c>
    </row>
    <row r="310" spans="1:20" x14ac:dyDescent="0.25">
      <c r="A310" s="5">
        <v>44283</v>
      </c>
      <c r="B310">
        <v>5.3242000000000003</v>
      </c>
      <c r="C310">
        <v>6.2129000000000003</v>
      </c>
      <c r="D310">
        <v>5.2592999999999996</v>
      </c>
      <c r="E310">
        <v>5.8819999999999997</v>
      </c>
      <c r="F310">
        <v>8651655.4800000004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0.30599832214765016</v>
      </c>
      <c r="Q310">
        <f t="shared" si="965"/>
        <v>2647392.0606795228</v>
      </c>
      <c r="R310">
        <f t="shared" si="966"/>
        <v>75854234.191396058</v>
      </c>
      <c r="S310">
        <f t="shared" si="967"/>
        <v>758.54234191396063</v>
      </c>
      <c r="T310">
        <f t="shared" si="968"/>
        <v>0.75854234191396064</v>
      </c>
    </row>
    <row r="311" spans="1:20" x14ac:dyDescent="0.25">
      <c r="A311" s="5">
        <v>44282</v>
      </c>
      <c r="B311">
        <v>5.3071999999999999</v>
      </c>
      <c r="C311">
        <v>5.4676999999999998</v>
      </c>
      <c r="D311">
        <v>5.1782000000000004</v>
      </c>
      <c r="E311">
        <v>5.3239999999999998</v>
      </c>
      <c r="F311">
        <v>3394348.57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7.2538860103611427E-3</v>
      </c>
      <c r="Q311">
        <f t="shared" si="965"/>
        <v>24622.217606212347</v>
      </c>
      <c r="R311">
        <f t="shared" si="966"/>
        <v>73206842.130716532</v>
      </c>
      <c r="S311">
        <f t="shared" si="967"/>
        <v>732.06842130716529</v>
      </c>
      <c r="T311">
        <f t="shared" si="968"/>
        <v>0.73206842130716532</v>
      </c>
    </row>
    <row r="312" spans="1:20" x14ac:dyDescent="0.25">
      <c r="A312" s="5">
        <v>44281</v>
      </c>
      <c r="B312">
        <v>4.9478</v>
      </c>
      <c r="C312">
        <v>5.3224</v>
      </c>
      <c r="D312">
        <v>4.9433999999999996</v>
      </c>
      <c r="E312">
        <v>5.3089000000000004</v>
      </c>
      <c r="F312">
        <v>3748100.11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0.92875989445910501</v>
      </c>
      <c r="Q312">
        <f t="shared" si="965"/>
        <v>3481085.0625857599</v>
      </c>
      <c r="R312">
        <f t="shared" si="966"/>
        <v>73182219.913110316</v>
      </c>
      <c r="S312">
        <f t="shared" si="967"/>
        <v>731.82219913110316</v>
      </c>
      <c r="T312">
        <f t="shared" si="968"/>
        <v>0.73182219913110313</v>
      </c>
    </row>
    <row r="313" spans="1:20" x14ac:dyDescent="0.25">
      <c r="A313" s="5">
        <v>44280</v>
      </c>
      <c r="B313">
        <v>5.0917000000000003</v>
      </c>
      <c r="C313">
        <v>5.1379000000000001</v>
      </c>
      <c r="D313">
        <v>4.6927000000000003</v>
      </c>
      <c r="E313">
        <v>4.9501999999999997</v>
      </c>
      <c r="F313">
        <v>5644115.5099999998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0.15678346810422059</v>
      </c>
      <c r="Q313">
        <f t="shared" si="965"/>
        <v>884904.00403862167</v>
      </c>
      <c r="R313">
        <f t="shared" si="966"/>
        <v>69701134.85052456</v>
      </c>
      <c r="S313">
        <f t="shared" si="967"/>
        <v>697.01134850524556</v>
      </c>
      <c r="T313">
        <f t="shared" si="968"/>
        <v>0.6970113485052456</v>
      </c>
    </row>
    <row r="314" spans="1:20" x14ac:dyDescent="0.25">
      <c r="A314" s="5">
        <v>44279</v>
      </c>
      <c r="B314">
        <v>5.7468000000000004</v>
      </c>
      <c r="C314">
        <v>5.9203000000000001</v>
      </c>
      <c r="D314">
        <v>4.9000000000000004</v>
      </c>
      <c r="E314">
        <v>5.093</v>
      </c>
      <c r="F314">
        <v>5965400.6500000004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-0.62167989806919599</v>
      </c>
      <c r="Q314">
        <f t="shared" si="965"/>
        <v>-3708569.6680339156</v>
      </c>
      <c r="R314">
        <f t="shared" si="966"/>
        <v>68816230.846485943</v>
      </c>
      <c r="S314">
        <f t="shared" si="967"/>
        <v>688.16230846485939</v>
      </c>
      <c r="T314">
        <f t="shared" si="968"/>
        <v>0.68816230846485937</v>
      </c>
    </row>
    <row r="315" spans="1:20" x14ac:dyDescent="0.25">
      <c r="A315" s="5">
        <v>44278</v>
      </c>
      <c r="B315">
        <v>5.2690999999999999</v>
      </c>
      <c r="C315">
        <v>5.7995000000000001</v>
      </c>
      <c r="D315">
        <v>5.1508000000000003</v>
      </c>
      <c r="E315">
        <v>5.7515000000000001</v>
      </c>
      <c r="F315">
        <v>5751196.0199999996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0.85201171573917045</v>
      </c>
      <c r="Q315">
        <f t="shared" si="965"/>
        <v>4900086.3885524878</v>
      </c>
      <c r="R315">
        <f t="shared" si="966"/>
        <v>72524800.514519855</v>
      </c>
      <c r="S315">
        <f t="shared" si="967"/>
        <v>725.24800514519859</v>
      </c>
      <c r="T315">
        <f t="shared" si="968"/>
        <v>0.7252480051451986</v>
      </c>
    </row>
    <row r="316" spans="1:20" x14ac:dyDescent="0.25">
      <c r="A316" s="5">
        <v>44277</v>
      </c>
      <c r="B316">
        <v>5.5740999999999996</v>
      </c>
      <c r="C316">
        <v>5.8643000000000001</v>
      </c>
      <c r="D316">
        <v>5.2</v>
      </c>
      <c r="E316">
        <v>5.2686999999999999</v>
      </c>
      <c r="F316">
        <v>5144951.78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-0.79316573837121851</v>
      </c>
      <c r="Q316">
        <f t="shared" si="965"/>
        <v>-4080799.4774680152</v>
      </c>
      <c r="R316">
        <f t="shared" si="966"/>
        <v>67624714.125967368</v>
      </c>
      <c r="S316">
        <f t="shared" si="967"/>
        <v>676.24714125967364</v>
      </c>
      <c r="T316">
        <f t="shared" si="968"/>
        <v>0.67624714125967367</v>
      </c>
    </row>
    <row r="317" spans="1:20" x14ac:dyDescent="0.25">
      <c r="A317" s="5">
        <v>44276</v>
      </c>
      <c r="B317">
        <v>5.6787000000000001</v>
      </c>
      <c r="C317">
        <v>5.7363</v>
      </c>
      <c r="D317">
        <v>5.3780000000000001</v>
      </c>
      <c r="E317">
        <v>5.5770999999999997</v>
      </c>
      <c r="F317">
        <v>3774242.77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0.11135919620429639</v>
      </c>
      <c r="Q317">
        <f t="shared" si="965"/>
        <v>420296.64114707708</v>
      </c>
      <c r="R317">
        <f t="shared" si="966"/>
        <v>71705513.603435382</v>
      </c>
      <c r="S317">
        <f t="shared" si="967"/>
        <v>717.05513603435384</v>
      </c>
      <c r="T317">
        <f t="shared" si="968"/>
        <v>0.71705513603435389</v>
      </c>
    </row>
    <row r="318" spans="1:20" x14ac:dyDescent="0.25">
      <c r="A318" s="5">
        <v>44275</v>
      </c>
      <c r="B318">
        <v>5.9128999999999996</v>
      </c>
      <c r="C318">
        <v>6.0548999999999999</v>
      </c>
      <c r="D318">
        <v>5.6405000000000003</v>
      </c>
      <c r="E318">
        <v>5.6783000000000001</v>
      </c>
      <c r="F318">
        <v>3893547.42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-0.81756756756756821</v>
      </c>
      <c r="Q318">
        <f t="shared" si="965"/>
        <v>-3183238.0933783809</v>
      </c>
      <c r="R318">
        <f t="shared" si="966"/>
        <v>71285216.962288305</v>
      </c>
      <c r="S318">
        <f t="shared" si="967"/>
        <v>712.85216962288303</v>
      </c>
      <c r="T318">
        <f t="shared" si="968"/>
        <v>0.712852169622883</v>
      </c>
    </row>
    <row r="319" spans="1:20" x14ac:dyDescent="0.25">
      <c r="A319" s="5">
        <v>44274</v>
      </c>
      <c r="B319">
        <v>6.0830000000000002</v>
      </c>
      <c r="C319">
        <v>6.3585000000000003</v>
      </c>
      <c r="D319">
        <v>5.8375000000000004</v>
      </c>
      <c r="E319">
        <v>5.9128999999999996</v>
      </c>
      <c r="F319">
        <v>6788714.0499999998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-0.71055662188100088</v>
      </c>
      <c r="Q319">
        <f t="shared" si="965"/>
        <v>-4823765.7222840879</v>
      </c>
      <c r="R319">
        <f t="shared" si="966"/>
        <v>74468455.055666685</v>
      </c>
      <c r="S319">
        <f t="shared" si="967"/>
        <v>744.68455055666686</v>
      </c>
      <c r="T319">
        <f t="shared" si="968"/>
        <v>0.74468455055666682</v>
      </c>
    </row>
    <row r="320" spans="1:20" x14ac:dyDescent="0.25">
      <c r="A320" s="5">
        <v>44273</v>
      </c>
      <c r="B320">
        <v>5.5972</v>
      </c>
      <c r="C320">
        <v>6.2000999999999999</v>
      </c>
      <c r="D320">
        <v>5.5190999999999999</v>
      </c>
      <c r="E320">
        <v>6.0846999999999998</v>
      </c>
      <c r="F320">
        <v>8879720.3699999992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0.66108663729809058</v>
      </c>
      <c r="Q320">
        <f t="shared" si="965"/>
        <v>5870264.4795506559</v>
      </c>
      <c r="R320">
        <f t="shared" si="966"/>
        <v>79292220.777950779</v>
      </c>
      <c r="S320">
        <f t="shared" si="967"/>
        <v>792.92220777950774</v>
      </c>
      <c r="T320">
        <f t="shared" si="968"/>
        <v>0.79292220777950773</v>
      </c>
    </row>
    <row r="321" spans="1:20" x14ac:dyDescent="0.25">
      <c r="A321" s="5">
        <v>44272</v>
      </c>
      <c r="B321">
        <v>5.1870000000000003</v>
      </c>
      <c r="C321">
        <v>5.6874000000000002</v>
      </c>
      <c r="D321">
        <v>5.0476999999999999</v>
      </c>
      <c r="E321">
        <v>5.5978000000000003</v>
      </c>
      <c r="F321">
        <v>6145764.5099999998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0.71986868844771035</v>
      </c>
      <c r="Q321">
        <f t="shared" si="965"/>
        <v>4424143.4373221854</v>
      </c>
      <c r="R321">
        <f t="shared" si="966"/>
        <v>73421956.298400119</v>
      </c>
      <c r="S321">
        <f t="shared" si="967"/>
        <v>734.21956298400119</v>
      </c>
      <c r="T321">
        <f t="shared" si="968"/>
        <v>0.73421956298400115</v>
      </c>
    </row>
    <row r="322" spans="1:20" x14ac:dyDescent="0.25">
      <c r="A322" s="5">
        <v>44271</v>
      </c>
      <c r="B322">
        <v>5.0193000000000003</v>
      </c>
      <c r="C322">
        <v>5.1997999999999998</v>
      </c>
      <c r="D322">
        <v>4.7789000000000001</v>
      </c>
      <c r="E322">
        <v>5.1864999999999997</v>
      </c>
      <c r="F322">
        <v>4081419.34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0.93680209075789922</v>
      </c>
      <c r="Q322">
        <f t="shared" si="965"/>
        <v>3823482.1709717251</v>
      </c>
      <c r="R322">
        <f t="shared" si="966"/>
        <v>68997812.861077935</v>
      </c>
      <c r="S322">
        <f t="shared" si="967"/>
        <v>689.97812861077932</v>
      </c>
      <c r="T322">
        <f t="shared" si="968"/>
        <v>0.68997812861077934</v>
      </c>
    </row>
    <row r="323" spans="1:20" x14ac:dyDescent="0.25">
      <c r="A323" s="5">
        <v>44270</v>
      </c>
      <c r="B323">
        <v>5.0671999999999997</v>
      </c>
      <c r="C323">
        <v>5.3304</v>
      </c>
      <c r="D323">
        <v>4.8106</v>
      </c>
      <c r="E323">
        <v>5.0229999999999997</v>
      </c>
      <c r="F323">
        <v>6076376.6100000003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-0.18276260100038597</v>
      </c>
      <c r="Q323">
        <f t="shared" si="965"/>
        <v>-1110534.3939015078</v>
      </c>
      <c r="R323">
        <f t="shared" si="966"/>
        <v>65174330.690106213</v>
      </c>
      <c r="S323">
        <f t="shared" si="967"/>
        <v>651.74330690106217</v>
      </c>
      <c r="T323">
        <f t="shared" si="968"/>
        <v>0.65174330690106219</v>
      </c>
    </row>
    <row r="324" spans="1:20" x14ac:dyDescent="0.25">
      <c r="A324" s="5">
        <v>44269</v>
      </c>
      <c r="B324">
        <v>5.3243999999999998</v>
      </c>
      <c r="C324">
        <v>5.4305000000000003</v>
      </c>
      <c r="D324">
        <v>5.0656999999999996</v>
      </c>
      <c r="E324">
        <v>5.0664999999999996</v>
      </c>
      <c r="F324">
        <v>3650958.54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-0.99561403508771984</v>
      </c>
      <c r="Q324">
        <f t="shared" si="965"/>
        <v>-3634945.5639473703</v>
      </c>
      <c r="R324">
        <f t="shared" si="966"/>
        <v>66284865.084007718</v>
      </c>
      <c r="S324">
        <f t="shared" si="967"/>
        <v>662.8486508400772</v>
      </c>
      <c r="T324">
        <f t="shared" si="968"/>
        <v>0.66284865084007716</v>
      </c>
    </row>
    <row r="325" spans="1:20" x14ac:dyDescent="0.25">
      <c r="A325" s="5">
        <v>44268</v>
      </c>
      <c r="B325">
        <v>5.1158000000000001</v>
      </c>
      <c r="C325">
        <v>5.39</v>
      </c>
      <c r="D325">
        <v>4.8407</v>
      </c>
      <c r="E325">
        <v>5.3224999999999998</v>
      </c>
      <c r="F325">
        <v>5343920.91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0.75423265974877141</v>
      </c>
      <c r="Q325">
        <f t="shared" si="965"/>
        <v>4030559.6814363748</v>
      </c>
      <c r="R325">
        <f t="shared" si="966"/>
        <v>69919810.64795509</v>
      </c>
      <c r="S325">
        <f t="shared" si="967"/>
        <v>699.19810647955092</v>
      </c>
      <c r="T325">
        <f t="shared" si="968"/>
        <v>0.69919810647955094</v>
      </c>
    </row>
    <row r="326" spans="1:20" x14ac:dyDescent="0.25">
      <c r="A326" s="5">
        <v>44267</v>
      </c>
      <c r="B326">
        <v>5.2217000000000002</v>
      </c>
      <c r="C326">
        <v>5.4820000000000002</v>
      </c>
      <c r="D326">
        <v>4.9288999999999996</v>
      </c>
      <c r="E326">
        <v>5.1230000000000002</v>
      </c>
      <c r="F326">
        <v>6668539.0999999996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-0.29813776893870764</v>
      </c>
      <c r="Q326">
        <f t="shared" ref="Q326:Q389" si="970">F326*P326</f>
        <v>-1988143.3693545372</v>
      </c>
      <c r="R326">
        <f t="shared" ref="R326:R389" si="971">R327+Q326</f>
        <v>65889250.966518708</v>
      </c>
      <c r="S326">
        <f t="shared" ref="S326:S389" si="972">R326/100000</f>
        <v>658.89250966518705</v>
      </c>
      <c r="T326">
        <f t="shared" ref="T326:T389" si="973">S326/1000</f>
        <v>0.65889250966518709</v>
      </c>
    </row>
    <row r="327" spans="1:20" x14ac:dyDescent="0.25">
      <c r="A327" s="5">
        <v>44266</v>
      </c>
      <c r="B327">
        <v>5.0586000000000002</v>
      </c>
      <c r="C327">
        <v>5.2257999999999996</v>
      </c>
      <c r="D327">
        <v>4.7813999999999997</v>
      </c>
      <c r="E327">
        <v>5.22</v>
      </c>
      <c r="F327">
        <v>5253806.54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0.97389738973897477</v>
      </c>
      <c r="Q327">
        <f t="shared" si="970"/>
        <v>5116668.4754995545</v>
      </c>
      <c r="R327">
        <f t="shared" si="971"/>
        <v>67877394.335873246</v>
      </c>
      <c r="S327">
        <f t="shared" si="972"/>
        <v>678.77394335873248</v>
      </c>
      <c r="T327">
        <f t="shared" si="973"/>
        <v>0.67877394335873253</v>
      </c>
    </row>
    <row r="328" spans="1:20" x14ac:dyDescent="0.25">
      <c r="A328" s="5">
        <v>44265</v>
      </c>
      <c r="B328">
        <v>5.4168000000000003</v>
      </c>
      <c r="C328">
        <v>5.4496000000000002</v>
      </c>
      <c r="D328">
        <v>4.9320000000000004</v>
      </c>
      <c r="E328">
        <v>5.0529999999999999</v>
      </c>
      <c r="F328">
        <v>5016795.8600000003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-0.5324574961360139</v>
      </c>
      <c r="Q328">
        <f t="shared" si="970"/>
        <v>-2671230.5622411207</v>
      </c>
      <c r="R328">
        <f t="shared" si="971"/>
        <v>62760725.860373698</v>
      </c>
      <c r="S328">
        <f t="shared" si="972"/>
        <v>627.60725860373702</v>
      </c>
      <c r="T328">
        <f t="shared" si="973"/>
        <v>0.62760725860373701</v>
      </c>
    </row>
    <row r="329" spans="1:20" x14ac:dyDescent="0.25">
      <c r="A329" s="5">
        <v>44264</v>
      </c>
      <c r="B329">
        <v>5.1775000000000002</v>
      </c>
      <c r="C329">
        <v>5.5284000000000004</v>
      </c>
      <c r="D329">
        <v>5.0877999999999997</v>
      </c>
      <c r="E329">
        <v>5.4214000000000002</v>
      </c>
      <c r="F329">
        <v>6263409.7999999998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0.51429868361325459</v>
      </c>
      <c r="Q329">
        <f t="shared" si="970"/>
        <v>3221263.4150703582</v>
      </c>
      <c r="R329">
        <f t="shared" si="971"/>
        <v>65431956.42261482</v>
      </c>
      <c r="S329">
        <f t="shared" si="972"/>
        <v>654.31956422614826</v>
      </c>
      <c r="T329">
        <f t="shared" si="973"/>
        <v>0.65431956422614823</v>
      </c>
    </row>
    <row r="330" spans="1:20" x14ac:dyDescent="0.25">
      <c r="A330" s="5">
        <v>44263</v>
      </c>
      <c r="B330">
        <v>5.1285999999999996</v>
      </c>
      <c r="C330">
        <v>5.2411000000000003</v>
      </c>
      <c r="D330">
        <v>4.9078999999999997</v>
      </c>
      <c r="E330">
        <v>5.1776</v>
      </c>
      <c r="F330">
        <v>4055180.31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0.61884753901560496</v>
      </c>
      <c r="Q330">
        <f t="shared" si="970"/>
        <v>2509538.3551080381</v>
      </c>
      <c r="R330">
        <f t="shared" si="971"/>
        <v>62210693.007544465</v>
      </c>
      <c r="S330">
        <f t="shared" si="972"/>
        <v>622.10693007544467</v>
      </c>
      <c r="T330">
        <f t="shared" si="973"/>
        <v>0.62210693007544471</v>
      </c>
    </row>
    <row r="331" spans="1:20" x14ac:dyDescent="0.25">
      <c r="A331" s="5">
        <v>44262</v>
      </c>
      <c r="B331">
        <v>5.0606999999999998</v>
      </c>
      <c r="C331">
        <v>5.2431000000000001</v>
      </c>
      <c r="D331">
        <v>4.8906999999999998</v>
      </c>
      <c r="E331">
        <v>5.1280000000000001</v>
      </c>
      <c r="F331">
        <v>4814660.8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0.34676503972758288</v>
      </c>
      <c r="Q331">
        <f t="shared" si="970"/>
        <v>1669556.043586836</v>
      </c>
      <c r="R331">
        <f t="shared" si="971"/>
        <v>59701154.652436428</v>
      </c>
      <c r="S331">
        <f t="shared" si="972"/>
        <v>597.01154652436423</v>
      </c>
      <c r="T331">
        <f t="shared" si="973"/>
        <v>0.59701154652436428</v>
      </c>
    </row>
    <row r="332" spans="1:20" x14ac:dyDescent="0.25">
      <c r="A332" s="5">
        <v>44261</v>
      </c>
      <c r="B332">
        <v>4.6176000000000004</v>
      </c>
      <c r="C332">
        <v>5.2607999999999997</v>
      </c>
      <c r="D332">
        <v>4.5121000000000002</v>
      </c>
      <c r="E332">
        <v>5.0590999999999999</v>
      </c>
      <c r="F332">
        <v>7443425.9699999997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0.46119941231467904</v>
      </c>
      <c r="Q332">
        <f t="shared" si="970"/>
        <v>3432903.6829718198</v>
      </c>
      <c r="R332">
        <f t="shared" si="971"/>
        <v>58031598.608849593</v>
      </c>
      <c r="S332">
        <f t="shared" si="972"/>
        <v>580.31598608849595</v>
      </c>
      <c r="T332">
        <f t="shared" si="973"/>
        <v>0.58031598608849599</v>
      </c>
    </row>
    <row r="333" spans="1:20" x14ac:dyDescent="0.25">
      <c r="A333" s="5">
        <v>44260</v>
      </c>
      <c r="B333">
        <v>4.6592000000000002</v>
      </c>
      <c r="C333">
        <v>4.68</v>
      </c>
      <c r="D333">
        <v>4.3133999999999997</v>
      </c>
      <c r="E333">
        <v>4.6144999999999996</v>
      </c>
      <c r="F333">
        <v>3692619.69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0.64266230223676979</v>
      </c>
      <c r="Q333">
        <f t="shared" si="970"/>
        <v>2373107.4712602273</v>
      </c>
      <c r="R333">
        <f t="shared" si="971"/>
        <v>54598694.925877772</v>
      </c>
      <c r="S333">
        <f t="shared" si="972"/>
        <v>545.98694925877771</v>
      </c>
      <c r="T333">
        <f t="shared" si="973"/>
        <v>0.54598694925877767</v>
      </c>
    </row>
    <row r="334" spans="1:20" x14ac:dyDescent="0.25">
      <c r="A334" s="5">
        <v>44259</v>
      </c>
      <c r="B334">
        <v>4.8367000000000004</v>
      </c>
      <c r="C334">
        <v>4.9763000000000002</v>
      </c>
      <c r="D334">
        <v>4.5182000000000002</v>
      </c>
      <c r="E334">
        <v>4.6627000000000001</v>
      </c>
      <c r="F334">
        <v>4427677.0199999996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-0.36913337699192372</v>
      </c>
      <c r="Q334">
        <f t="shared" si="970"/>
        <v>-1634403.3706221373</v>
      </c>
      <c r="R334">
        <f t="shared" si="971"/>
        <v>52225587.454617545</v>
      </c>
      <c r="S334">
        <f t="shared" si="972"/>
        <v>522.25587454617551</v>
      </c>
      <c r="T334">
        <f t="shared" si="973"/>
        <v>0.5222558745461755</v>
      </c>
    </row>
    <row r="335" spans="1:20" x14ac:dyDescent="0.25">
      <c r="A335" s="5">
        <v>44258</v>
      </c>
      <c r="B335">
        <v>4.6619000000000002</v>
      </c>
      <c r="C335">
        <v>4.9997999999999996</v>
      </c>
      <c r="D335">
        <v>4.6073000000000004</v>
      </c>
      <c r="E335">
        <v>4.8373999999999997</v>
      </c>
      <c r="F335">
        <v>4781709.3499999996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0.17248407643311991</v>
      </c>
      <c r="Q335">
        <f t="shared" si="970"/>
        <v>824768.7210063641</v>
      </c>
      <c r="R335">
        <f t="shared" si="971"/>
        <v>53859990.825239681</v>
      </c>
      <c r="S335">
        <f t="shared" si="972"/>
        <v>538.59990825239686</v>
      </c>
      <c r="T335">
        <f t="shared" si="973"/>
        <v>0.5385999082523969</v>
      </c>
    </row>
    <row r="336" spans="1:20" x14ac:dyDescent="0.25">
      <c r="A336" s="5">
        <v>44257</v>
      </c>
      <c r="B336">
        <v>4.6154000000000002</v>
      </c>
      <c r="C336">
        <v>4.9314999999999998</v>
      </c>
      <c r="D336">
        <v>4.4390999999999998</v>
      </c>
      <c r="E336">
        <v>4.6637000000000004</v>
      </c>
      <c r="F336">
        <v>5972970.0700000003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-8.773354995938018E-2</v>
      </c>
      <c r="Q336">
        <f t="shared" si="970"/>
        <v>-524029.86804222758</v>
      </c>
      <c r="R336">
        <f t="shared" si="971"/>
        <v>53035222.104233317</v>
      </c>
      <c r="S336">
        <f t="shared" si="972"/>
        <v>530.35222104233321</v>
      </c>
      <c r="T336">
        <f t="shared" si="973"/>
        <v>0.53035222104233326</v>
      </c>
    </row>
    <row r="337" spans="1:20" x14ac:dyDescent="0.25">
      <c r="A337" s="5">
        <v>44256</v>
      </c>
      <c r="B337">
        <v>4.2683999999999997</v>
      </c>
      <c r="C337">
        <v>4.6768000000000001</v>
      </c>
      <c r="D337">
        <v>4.2061000000000002</v>
      </c>
      <c r="E337">
        <v>4.6102999999999996</v>
      </c>
      <c r="F337">
        <v>4214519.83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0.71744210749946691</v>
      </c>
      <c r="Q337">
        <f t="shared" si="970"/>
        <v>3023673.9889334952</v>
      </c>
      <c r="R337">
        <f t="shared" si="971"/>
        <v>53559251.972275548</v>
      </c>
      <c r="S337">
        <f t="shared" si="972"/>
        <v>535.59251972275547</v>
      </c>
      <c r="T337">
        <f t="shared" si="973"/>
        <v>0.53559251972275546</v>
      </c>
    </row>
    <row r="338" spans="1:20" x14ac:dyDescent="0.25">
      <c r="A338" s="5">
        <v>44255</v>
      </c>
      <c r="B338">
        <v>4.4791999999999996</v>
      </c>
      <c r="C338">
        <v>4.5529999999999999</v>
      </c>
      <c r="D338">
        <v>3.9394</v>
      </c>
      <c r="E338">
        <v>4.2648000000000001</v>
      </c>
      <c r="F338">
        <v>3740358.32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6.0625814863103568E-2</v>
      </c>
      <c r="Q338">
        <f t="shared" si="970"/>
        <v>226762.27102998909</v>
      </c>
      <c r="R338">
        <f t="shared" si="971"/>
        <v>50535577.983342052</v>
      </c>
      <c r="S338">
        <f t="shared" si="972"/>
        <v>505.35577983342051</v>
      </c>
      <c r="T338">
        <f t="shared" si="973"/>
        <v>0.5053557798334205</v>
      </c>
    </row>
    <row r="339" spans="1:20" x14ac:dyDescent="0.25">
      <c r="A339" s="5">
        <v>44254</v>
      </c>
      <c r="B339">
        <v>4.4414999999999996</v>
      </c>
      <c r="C339">
        <v>4.7251000000000003</v>
      </c>
      <c r="D339">
        <v>4.3897000000000004</v>
      </c>
      <c r="E339">
        <v>4.4836999999999998</v>
      </c>
      <c r="F339">
        <v>3219505.76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-0.43947525342874516</v>
      </c>
      <c r="Q339">
        <f t="shared" si="970"/>
        <v>-1414893.1097913047</v>
      </c>
      <c r="R339">
        <f t="shared" si="971"/>
        <v>50308815.712312065</v>
      </c>
      <c r="S339">
        <f t="shared" si="972"/>
        <v>503.08815712312065</v>
      </c>
      <c r="T339">
        <f t="shared" si="973"/>
        <v>0.50308815712312061</v>
      </c>
    </row>
    <row r="340" spans="1:20" x14ac:dyDescent="0.25">
      <c r="A340" s="5">
        <v>44253</v>
      </c>
      <c r="B340">
        <v>4.5369999999999999</v>
      </c>
      <c r="C340">
        <v>4.6845999999999997</v>
      </c>
      <c r="D340">
        <v>4.1121999999999996</v>
      </c>
      <c r="E340">
        <v>4.4414999999999996</v>
      </c>
      <c r="F340">
        <v>4525289.1500000004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0.15059399021663142</v>
      </c>
      <c r="Q340">
        <f t="shared" si="970"/>
        <v>681481.34998252837</v>
      </c>
      <c r="R340">
        <f t="shared" si="971"/>
        <v>51723708.822103366</v>
      </c>
      <c r="S340">
        <f t="shared" si="972"/>
        <v>517.23708822103367</v>
      </c>
      <c r="T340">
        <f t="shared" si="973"/>
        <v>0.51723708822103365</v>
      </c>
    </row>
    <row r="341" spans="1:20" x14ac:dyDescent="0.25">
      <c r="A341" s="5">
        <v>44252</v>
      </c>
      <c r="B341">
        <v>4.7267999999999999</v>
      </c>
      <c r="C341">
        <v>5.0972999999999997</v>
      </c>
      <c r="D341">
        <v>4.4905999999999997</v>
      </c>
      <c r="E341">
        <v>4.5370999999999997</v>
      </c>
      <c r="F341">
        <v>4415425.16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-0.84671171913631127</v>
      </c>
      <c r="Q341">
        <f t="shared" si="970"/>
        <v>-3738592.2279413226</v>
      </c>
      <c r="R341">
        <f t="shared" si="971"/>
        <v>51042227.472120836</v>
      </c>
      <c r="S341">
        <f t="shared" si="972"/>
        <v>510.42227472120834</v>
      </c>
      <c r="T341">
        <f t="shared" si="973"/>
        <v>0.51042227472120838</v>
      </c>
    </row>
    <row r="342" spans="1:20" x14ac:dyDescent="0.25">
      <c r="A342" s="5">
        <v>44251</v>
      </c>
      <c r="B342">
        <v>4.68</v>
      </c>
      <c r="C342">
        <v>5.1490999999999998</v>
      </c>
      <c r="D342">
        <v>4.4029999999999996</v>
      </c>
      <c r="E342">
        <v>4.7282000000000002</v>
      </c>
      <c r="F342">
        <v>7138143.9100000001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-0.12826698833936334</v>
      </c>
      <c r="Q342">
        <f t="shared" si="970"/>
        <v>-915588.22166866751</v>
      </c>
      <c r="R342">
        <f t="shared" si="971"/>
        <v>54780819.700062156</v>
      </c>
      <c r="S342">
        <f t="shared" si="972"/>
        <v>547.80819700062159</v>
      </c>
      <c r="T342">
        <f t="shared" si="973"/>
        <v>0.54780819700062156</v>
      </c>
    </row>
    <row r="343" spans="1:20" x14ac:dyDescent="0.25">
      <c r="A343" s="5">
        <v>44250</v>
      </c>
      <c r="B343">
        <v>5.5515999999999996</v>
      </c>
      <c r="C343">
        <v>5.593</v>
      </c>
      <c r="D343">
        <v>3.7749999999999999</v>
      </c>
      <c r="E343">
        <v>4.6802000000000001</v>
      </c>
      <c r="F343">
        <v>14589335.27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-4.1804180418039639E-3</v>
      </c>
      <c r="Q343">
        <f t="shared" si="970"/>
        <v>-60989.520380634902</v>
      </c>
      <c r="R343">
        <f t="shared" si="971"/>
        <v>55696407.921730824</v>
      </c>
      <c r="S343">
        <f t="shared" si="972"/>
        <v>556.96407921730827</v>
      </c>
      <c r="T343">
        <f t="shared" si="973"/>
        <v>0.55696407921730828</v>
      </c>
    </row>
    <row r="344" spans="1:20" x14ac:dyDescent="0.25">
      <c r="A344" s="5">
        <v>44249</v>
      </c>
      <c r="B344">
        <v>6.3372000000000002</v>
      </c>
      <c r="C344">
        <v>6.35</v>
      </c>
      <c r="D344">
        <v>4.58</v>
      </c>
      <c r="E344">
        <v>5.5483000000000002</v>
      </c>
      <c r="F344">
        <v>10738191.6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9.4124293785311175E-2</v>
      </c>
      <c r="Q344">
        <f t="shared" si="970"/>
        <v>1010724.7008813607</v>
      </c>
      <c r="R344">
        <f t="shared" si="971"/>
        <v>55757397.442111462</v>
      </c>
      <c r="S344">
        <f t="shared" si="972"/>
        <v>557.5739744211146</v>
      </c>
      <c r="T344">
        <f t="shared" si="973"/>
        <v>0.55757397442111456</v>
      </c>
    </row>
    <row r="345" spans="1:20" x14ac:dyDescent="0.25">
      <c r="A345" s="5">
        <v>44248</v>
      </c>
      <c r="B345">
        <v>6.2167000000000003</v>
      </c>
      <c r="C345">
        <v>6.5285000000000002</v>
      </c>
      <c r="D345">
        <v>6.0831</v>
      </c>
      <c r="E345">
        <v>6.3324999999999996</v>
      </c>
      <c r="F345">
        <v>5100408.51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0.11989223170183874</v>
      </c>
      <c r="Q345">
        <f t="shared" si="970"/>
        <v>611499.35885495006</v>
      </c>
      <c r="R345">
        <f t="shared" si="971"/>
        <v>54746672.7412301</v>
      </c>
      <c r="S345">
        <f t="shared" si="972"/>
        <v>547.466727412301</v>
      </c>
      <c r="T345">
        <f t="shared" si="973"/>
        <v>0.54746672741230096</v>
      </c>
    </row>
    <row r="346" spans="1:20" x14ac:dyDescent="0.25">
      <c r="A346" s="5">
        <v>44247</v>
      </c>
      <c r="B346">
        <v>6.5382999999999996</v>
      </c>
      <c r="C346">
        <v>6.94</v>
      </c>
      <c r="D346">
        <v>5.9413999999999998</v>
      </c>
      <c r="E346">
        <v>6.2251000000000003</v>
      </c>
      <c r="F346">
        <v>10333027.970000001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-0.43180452633687094</v>
      </c>
      <c r="Q346">
        <f t="shared" si="970"/>
        <v>-4461848.2482114891</v>
      </c>
      <c r="R346">
        <f t="shared" si="971"/>
        <v>54135173.382375151</v>
      </c>
      <c r="S346">
        <f t="shared" si="972"/>
        <v>541.35173382375149</v>
      </c>
      <c r="T346">
        <f t="shared" si="973"/>
        <v>0.54135173382375146</v>
      </c>
    </row>
    <row r="347" spans="1:20" x14ac:dyDescent="0.25">
      <c r="A347" s="5">
        <v>44246</v>
      </c>
      <c r="B347">
        <v>6.5384000000000002</v>
      </c>
      <c r="C347">
        <v>6.75</v>
      </c>
      <c r="D347">
        <v>6.21</v>
      </c>
      <c r="E347">
        <v>6.5368000000000004</v>
      </c>
      <c r="F347">
        <v>6079194.4500000002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0.21037037037037187</v>
      </c>
      <c r="Q347">
        <f t="shared" si="970"/>
        <v>1278882.3880000091</v>
      </c>
      <c r="R347">
        <f t="shared" si="971"/>
        <v>58597021.630586639</v>
      </c>
      <c r="S347">
        <f t="shared" si="972"/>
        <v>585.97021630586642</v>
      </c>
      <c r="T347">
        <f t="shared" si="973"/>
        <v>0.58597021630586643</v>
      </c>
    </row>
    <row r="348" spans="1:20" x14ac:dyDescent="0.25">
      <c r="A348" s="5">
        <v>44245</v>
      </c>
      <c r="B348">
        <v>6.3906000000000001</v>
      </c>
      <c r="C348">
        <v>6.69</v>
      </c>
      <c r="D348">
        <v>6.2759999999999998</v>
      </c>
      <c r="E348">
        <v>6.5366999999999997</v>
      </c>
      <c r="F348">
        <v>6891472.8700000001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0.25942028985507032</v>
      </c>
      <c r="Q348">
        <f t="shared" si="970"/>
        <v>1787787.8894637534</v>
      </c>
      <c r="R348">
        <f t="shared" si="971"/>
        <v>57318139.242586628</v>
      </c>
      <c r="S348">
        <f t="shared" si="972"/>
        <v>573.18139242586631</v>
      </c>
      <c r="T348">
        <f t="shared" si="973"/>
        <v>0.5731813924258663</v>
      </c>
    </row>
    <row r="349" spans="1:20" x14ac:dyDescent="0.25">
      <c r="A349" s="5">
        <v>44244</v>
      </c>
      <c r="B349">
        <v>6.1756000000000002</v>
      </c>
      <c r="C349">
        <v>6.4199000000000002</v>
      </c>
      <c r="D349">
        <v>5.7054</v>
      </c>
      <c r="E349">
        <v>6.3886000000000003</v>
      </c>
      <c r="F349">
        <v>6265907.9199999999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0.91238628411476597</v>
      </c>
      <c r="Q349">
        <f t="shared" si="970"/>
        <v>5716928.4437340824</v>
      </c>
      <c r="R349">
        <f t="shared" si="971"/>
        <v>55530351.353122875</v>
      </c>
      <c r="S349">
        <f t="shared" si="972"/>
        <v>555.30351353122876</v>
      </c>
      <c r="T349">
        <f t="shared" si="973"/>
        <v>0.55530351353122875</v>
      </c>
    </row>
    <row r="350" spans="1:20" x14ac:dyDescent="0.25">
      <c r="A350" s="5">
        <v>44243</v>
      </c>
      <c r="B350">
        <v>6.1921999999999997</v>
      </c>
      <c r="C350">
        <v>6.5594999999999999</v>
      </c>
      <c r="D350">
        <v>5.9001000000000001</v>
      </c>
      <c r="E350">
        <v>6.1715999999999998</v>
      </c>
      <c r="F350">
        <v>7259423.9699999997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-0.17652411282984615</v>
      </c>
      <c r="Q350">
        <f t="shared" si="970"/>
        <v>-1281463.3759599696</v>
      </c>
      <c r="R350">
        <f t="shared" si="971"/>
        <v>49813422.909388795</v>
      </c>
      <c r="S350">
        <f t="shared" si="972"/>
        <v>498.13422909388794</v>
      </c>
      <c r="T350">
        <f t="shared" si="973"/>
        <v>0.49813422909388794</v>
      </c>
    </row>
    <row r="351" spans="1:20" x14ac:dyDescent="0.25">
      <c r="A351" s="5">
        <v>44242</v>
      </c>
      <c r="B351">
        <v>6.69</v>
      </c>
      <c r="C351">
        <v>6.9390000000000001</v>
      </c>
      <c r="D351">
        <v>5.5060000000000002</v>
      </c>
      <c r="E351">
        <v>6.1936999999999998</v>
      </c>
      <c r="F351">
        <v>12175679.439999999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-4.0195394277739542E-2</v>
      </c>
      <c r="Q351">
        <f t="shared" si="970"/>
        <v>-489406.235690167</v>
      </c>
      <c r="R351">
        <f t="shared" si="971"/>
        <v>51094886.285348766</v>
      </c>
      <c r="S351">
        <f t="shared" si="972"/>
        <v>510.94886285348764</v>
      </c>
      <c r="T351">
        <f t="shared" si="973"/>
        <v>0.51094886285348762</v>
      </c>
    </row>
    <row r="352" spans="1:20" x14ac:dyDescent="0.25">
      <c r="A352" s="5">
        <v>44241</v>
      </c>
      <c r="B352">
        <v>7.7081999999999997</v>
      </c>
      <c r="C352">
        <v>7.8209999999999997</v>
      </c>
      <c r="D352">
        <v>6.3384999999999998</v>
      </c>
      <c r="E352">
        <v>6.6902999999999997</v>
      </c>
      <c r="F352">
        <v>12872938.699999999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-0.5253962900505903</v>
      </c>
      <c r="Q352">
        <f t="shared" si="970"/>
        <v>-6763394.2350286683</v>
      </c>
      <c r="R352">
        <f t="shared" si="971"/>
        <v>51584292.521038935</v>
      </c>
      <c r="S352">
        <f t="shared" si="972"/>
        <v>515.84292521038935</v>
      </c>
      <c r="T352">
        <f t="shared" si="973"/>
        <v>0.51584292521038932</v>
      </c>
    </row>
    <row r="353" spans="1:20" x14ac:dyDescent="0.25">
      <c r="A353" s="5">
        <v>44240</v>
      </c>
      <c r="B353">
        <v>6.1454000000000004</v>
      </c>
      <c r="C353">
        <v>7.9741</v>
      </c>
      <c r="D353">
        <v>6.1393000000000004</v>
      </c>
      <c r="E353">
        <v>7.6958000000000002</v>
      </c>
      <c r="F353">
        <v>24639752.09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0.69664268585131917</v>
      </c>
      <c r="Q353">
        <f t="shared" si="970"/>
        <v>17165103.074688256</v>
      </c>
      <c r="R353">
        <f t="shared" si="971"/>
        <v>58347686.756067604</v>
      </c>
      <c r="S353">
        <f t="shared" si="972"/>
        <v>583.47686756067606</v>
      </c>
      <c r="T353">
        <f t="shared" si="973"/>
        <v>0.58347686756067607</v>
      </c>
    </row>
    <row r="354" spans="1:20" x14ac:dyDescent="0.25">
      <c r="A354" s="5">
        <v>44239</v>
      </c>
      <c r="B354">
        <v>5.9501999999999997</v>
      </c>
      <c r="C354">
        <v>6.32</v>
      </c>
      <c r="D354">
        <v>5.6477000000000004</v>
      </c>
      <c r="E354">
        <v>6.1436000000000002</v>
      </c>
      <c r="F354">
        <v>10863552.25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0.47523427041499289</v>
      </c>
      <c r="Q354">
        <f t="shared" si="970"/>
        <v>5162732.3276439048</v>
      </c>
      <c r="R354">
        <f t="shared" si="971"/>
        <v>41182583.681379348</v>
      </c>
      <c r="S354">
        <f t="shared" si="972"/>
        <v>411.8258368137935</v>
      </c>
      <c r="T354">
        <f t="shared" si="973"/>
        <v>0.41182583681379348</v>
      </c>
    </row>
    <row r="355" spans="1:20" x14ac:dyDescent="0.25">
      <c r="A355" s="5">
        <v>44238</v>
      </c>
      <c r="B355">
        <v>5.5818000000000003</v>
      </c>
      <c r="C355">
        <v>6.21</v>
      </c>
      <c r="D355">
        <v>5.3449</v>
      </c>
      <c r="E355">
        <v>5.9634999999999998</v>
      </c>
      <c r="F355">
        <v>14583828.220000001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0.43012368512310678</v>
      </c>
      <c r="Q355">
        <f t="shared" si="970"/>
        <v>6272849.9371887594</v>
      </c>
      <c r="R355">
        <f t="shared" si="971"/>
        <v>36019851.353735439</v>
      </c>
      <c r="S355">
        <f t="shared" si="972"/>
        <v>360.19851353735442</v>
      </c>
      <c r="T355">
        <f t="shared" si="973"/>
        <v>0.36019851353735444</v>
      </c>
    </row>
    <row r="356" spans="1:20" x14ac:dyDescent="0.25">
      <c r="A356" s="5">
        <v>44237</v>
      </c>
      <c r="B356">
        <v>5.1196999999999999</v>
      </c>
      <c r="C356">
        <v>5.9493999999999998</v>
      </c>
      <c r="D356">
        <v>4.8955000000000002</v>
      </c>
      <c r="E356">
        <v>5.5819999999999999</v>
      </c>
      <c r="F356">
        <v>16967246.809999999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0.30278014991934704</v>
      </c>
      <c r="Q356">
        <f t="shared" si="970"/>
        <v>5137345.5328503624</v>
      </c>
      <c r="R356">
        <f t="shared" si="971"/>
        <v>29747001.41654668</v>
      </c>
      <c r="S356">
        <f t="shared" si="972"/>
        <v>297.47001416546681</v>
      </c>
      <c r="T356">
        <f t="shared" si="973"/>
        <v>0.29747001416546681</v>
      </c>
    </row>
    <row r="357" spans="1:20" x14ac:dyDescent="0.25">
      <c r="A357" s="5">
        <v>44236</v>
      </c>
      <c r="B357">
        <v>4.8661000000000003</v>
      </c>
      <c r="C357">
        <v>5.2527999999999997</v>
      </c>
      <c r="D357">
        <v>4.6500000000000004</v>
      </c>
      <c r="E357">
        <v>5.1196000000000002</v>
      </c>
      <c r="F357">
        <v>11454974.73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0.55806237558062477</v>
      </c>
      <c r="Q357">
        <f t="shared" si="970"/>
        <v>6392590.4100398263</v>
      </c>
      <c r="R357">
        <f t="shared" si="971"/>
        <v>24609655.883696318</v>
      </c>
      <c r="S357">
        <f t="shared" si="972"/>
        <v>246.09655883696317</v>
      </c>
      <c r="T357">
        <f t="shared" si="973"/>
        <v>0.24609655883696316</v>
      </c>
    </row>
    <row r="358" spans="1:20" x14ac:dyDescent="0.25">
      <c r="A358" s="5">
        <v>44235</v>
      </c>
      <c r="B358">
        <v>4.6234999999999999</v>
      </c>
      <c r="C358">
        <v>4.95</v>
      </c>
      <c r="D358">
        <v>4.4885000000000002</v>
      </c>
      <c r="E358">
        <v>4.8692000000000002</v>
      </c>
      <c r="F358">
        <v>9498886.2899999991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0.64983748645720485</v>
      </c>
      <c r="Q358">
        <f t="shared" si="970"/>
        <v>6172732.3908364028</v>
      </c>
      <c r="R358">
        <f t="shared" si="971"/>
        <v>18217065.47365649</v>
      </c>
      <c r="S358">
        <f t="shared" si="972"/>
        <v>182.1706547365649</v>
      </c>
      <c r="T358">
        <f t="shared" si="973"/>
        <v>0.18217065473656491</v>
      </c>
    </row>
    <row r="359" spans="1:20" x14ac:dyDescent="0.25">
      <c r="A359" s="5">
        <v>44234</v>
      </c>
      <c r="B359">
        <v>4.9048999999999996</v>
      </c>
      <c r="C359">
        <v>5.0248999999999997</v>
      </c>
      <c r="D359">
        <v>4.2690000000000001</v>
      </c>
      <c r="E359">
        <v>4.6204999999999998</v>
      </c>
      <c r="F359">
        <v>10521193.76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-6.9982801957931204E-2</v>
      </c>
      <c r="Q359">
        <f t="shared" si="970"/>
        <v>-736302.61926710152</v>
      </c>
      <c r="R359">
        <f t="shared" si="971"/>
        <v>12044333.082820088</v>
      </c>
      <c r="S359">
        <f t="shared" si="972"/>
        <v>120.44333082820087</v>
      </c>
      <c r="T359">
        <f t="shared" si="973"/>
        <v>0.12044333082820087</v>
      </c>
    </row>
    <row r="360" spans="1:20" x14ac:dyDescent="0.25">
      <c r="A360" s="5">
        <v>44233</v>
      </c>
      <c r="B360">
        <v>5.1578999999999997</v>
      </c>
      <c r="C360">
        <v>5.3983999999999996</v>
      </c>
      <c r="D360">
        <v>4.6500000000000004</v>
      </c>
      <c r="E360">
        <v>4.9020000000000001</v>
      </c>
      <c r="F360">
        <v>11803805.67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-0.32656333511491176</v>
      </c>
      <c r="Q360">
        <f t="shared" si="970"/>
        <v>-3854690.1466435054</v>
      </c>
      <c r="R360">
        <f t="shared" si="971"/>
        <v>12780635.70208719</v>
      </c>
      <c r="S360">
        <f t="shared" si="972"/>
        <v>127.8063570208719</v>
      </c>
      <c r="T360">
        <f t="shared" si="973"/>
        <v>0.1278063570208719</v>
      </c>
    </row>
    <row r="361" spans="1:20" x14ac:dyDescent="0.25">
      <c r="A361" s="5">
        <v>44232</v>
      </c>
      <c r="B361">
        <v>4.4439000000000002</v>
      </c>
      <c r="C361">
        <v>5.4973999999999998</v>
      </c>
      <c r="D361">
        <v>4.4036999999999997</v>
      </c>
      <c r="E361">
        <v>5.1566999999999998</v>
      </c>
      <c r="F361">
        <v>18966076.370000001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0.37697723324494842</v>
      </c>
      <c r="Q361">
        <f t="shared" si="970"/>
        <v>7149778.9954749951</v>
      </c>
      <c r="R361">
        <f t="shared" si="971"/>
        <v>16635325.848730695</v>
      </c>
      <c r="S361">
        <f t="shared" si="972"/>
        <v>166.35325848730693</v>
      </c>
      <c r="T361">
        <f t="shared" si="973"/>
        <v>0.16635325848730692</v>
      </c>
    </row>
    <row r="362" spans="1:20" x14ac:dyDescent="0.25">
      <c r="A362" s="5">
        <v>44231</v>
      </c>
      <c r="B362">
        <v>4.6289999999999996</v>
      </c>
      <c r="C362">
        <v>4.6775000000000002</v>
      </c>
      <c r="D362">
        <v>4.0956999999999999</v>
      </c>
      <c r="E362">
        <v>4.4414999999999996</v>
      </c>
      <c r="F362">
        <v>12324362.77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0.18872464764523711</v>
      </c>
      <c r="Q362">
        <f t="shared" si="970"/>
        <v>2325911.0212203283</v>
      </c>
      <c r="R362">
        <f t="shared" si="971"/>
        <v>9485546.8532557003</v>
      </c>
      <c r="S362">
        <f t="shared" si="972"/>
        <v>94.855468532556998</v>
      </c>
      <c r="T362">
        <f t="shared" si="973"/>
        <v>9.4855468532556997E-2</v>
      </c>
    </row>
    <row r="363" spans="1:20" x14ac:dyDescent="0.25">
      <c r="A363" s="5">
        <v>44230</v>
      </c>
      <c r="B363">
        <v>3.9527999999999999</v>
      </c>
      <c r="C363">
        <v>4.8281000000000001</v>
      </c>
      <c r="D363">
        <v>3.8759999999999999</v>
      </c>
      <c r="E363">
        <v>4.6318000000000001</v>
      </c>
      <c r="F363">
        <v>19175789.370000001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0.58764835626509848</v>
      </c>
      <c r="Q363">
        <f t="shared" si="970"/>
        <v>11268621.103366248</v>
      </c>
      <c r="R363">
        <f t="shared" si="971"/>
        <v>7159635.8320353711</v>
      </c>
      <c r="S363">
        <f t="shared" si="972"/>
        <v>71.596358320353715</v>
      </c>
      <c r="T363">
        <f t="shared" si="973"/>
        <v>7.1596358320353715E-2</v>
      </c>
    </row>
    <row r="364" spans="1:20" x14ac:dyDescent="0.25">
      <c r="A364" s="5">
        <v>44229</v>
      </c>
      <c r="B364">
        <v>4.1680000000000001</v>
      </c>
      <c r="C364">
        <v>4.1703999999999999</v>
      </c>
      <c r="D364">
        <v>3.8</v>
      </c>
      <c r="E364">
        <v>3.9525999999999999</v>
      </c>
      <c r="F364">
        <v>10902304.43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-0.17602591792656563</v>
      </c>
      <c r="Q364">
        <f t="shared" si="970"/>
        <v>-1919088.144805613</v>
      </c>
      <c r="R364">
        <f t="shared" si="971"/>
        <v>-4108985.2713308772</v>
      </c>
      <c r="S364">
        <f t="shared" si="972"/>
        <v>-41.089852713308773</v>
      </c>
      <c r="T364">
        <f t="shared" si="973"/>
        <v>-4.1089852713308769E-2</v>
      </c>
    </row>
    <row r="365" spans="1:20" x14ac:dyDescent="0.25">
      <c r="A365" s="5">
        <v>44228</v>
      </c>
      <c r="B365">
        <v>3.5236999999999998</v>
      </c>
      <c r="C365">
        <v>4.4166999999999996</v>
      </c>
      <c r="D365">
        <v>3.383</v>
      </c>
      <c r="E365">
        <v>4.1680000000000001</v>
      </c>
      <c r="F365">
        <v>22659678.199999999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0.51881590403405331</v>
      </c>
      <c r="Q365">
        <f t="shared" si="970"/>
        <v>11756201.430453729</v>
      </c>
      <c r="R365">
        <f t="shared" si="971"/>
        <v>-2189897.1265252642</v>
      </c>
      <c r="S365">
        <f t="shared" si="972"/>
        <v>-21.898971265252641</v>
      </c>
      <c r="T365">
        <f t="shared" si="973"/>
        <v>-2.1898971265252639E-2</v>
      </c>
    </row>
    <row r="366" spans="1:20" x14ac:dyDescent="0.25">
      <c r="A366" s="5">
        <v>44227</v>
      </c>
      <c r="B366">
        <v>3.4824999999999999</v>
      </c>
      <c r="C366">
        <v>3.7879999999999998</v>
      </c>
      <c r="D366">
        <v>3.4169999999999998</v>
      </c>
      <c r="E366">
        <v>3.5236999999999998</v>
      </c>
      <c r="F366">
        <v>8249273.7800000003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-0.42479784366576812</v>
      </c>
      <c r="Q366">
        <f t="shared" si="970"/>
        <v>-3504273.7135525602</v>
      </c>
      <c r="R366">
        <f t="shared" si="971"/>
        <v>-13946098.556978993</v>
      </c>
      <c r="S366">
        <f t="shared" si="972"/>
        <v>-139.46098556978993</v>
      </c>
      <c r="T366">
        <f t="shared" si="973"/>
        <v>-0.13946098556978992</v>
      </c>
    </row>
    <row r="367" spans="1:20" x14ac:dyDescent="0.25">
      <c r="A367" s="5">
        <v>44226</v>
      </c>
      <c r="B367">
        <v>3.5038</v>
      </c>
      <c r="C367">
        <v>3.6080000000000001</v>
      </c>
      <c r="D367">
        <v>3.339</v>
      </c>
      <c r="E367">
        <v>3.4828000000000001</v>
      </c>
      <c r="F367">
        <v>5120834.68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6.9144981412640014E-2</v>
      </c>
      <c r="Q367">
        <f t="shared" si="970"/>
        <v>354080.01876580238</v>
      </c>
      <c r="R367">
        <f t="shared" si="971"/>
        <v>-10441824.843426432</v>
      </c>
      <c r="S367">
        <f t="shared" si="972"/>
        <v>-104.41824843426433</v>
      </c>
      <c r="T367">
        <f t="shared" si="973"/>
        <v>-0.10441824843426432</v>
      </c>
    </row>
    <row r="368" spans="1:20" x14ac:dyDescent="0.25">
      <c r="A368" s="5">
        <v>44225</v>
      </c>
      <c r="B368">
        <v>3.3039999999999998</v>
      </c>
      <c r="C368">
        <v>3.8369</v>
      </c>
      <c r="D368">
        <v>3.2968999999999999</v>
      </c>
      <c r="E368">
        <v>3.5045000000000002</v>
      </c>
      <c r="F368">
        <v>14441881.710000001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-0.23111111111111032</v>
      </c>
      <c r="Q368">
        <f t="shared" si="970"/>
        <v>-3337679.3285333221</v>
      </c>
      <c r="R368">
        <f t="shared" si="971"/>
        <v>-10795904.862192234</v>
      </c>
      <c r="S368">
        <f t="shared" si="972"/>
        <v>-107.95904862192234</v>
      </c>
      <c r="T368">
        <f t="shared" si="973"/>
        <v>-0.10795904862192233</v>
      </c>
    </row>
    <row r="369" spans="1:20" x14ac:dyDescent="0.25">
      <c r="A369" s="5">
        <v>44224</v>
      </c>
      <c r="B369">
        <v>3.1206</v>
      </c>
      <c r="C369">
        <v>3.4035000000000002</v>
      </c>
      <c r="D369">
        <v>3.0535999999999999</v>
      </c>
      <c r="E369">
        <v>3.3054000000000001</v>
      </c>
      <c r="F369">
        <v>4316158.76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0.43926836238925415</v>
      </c>
      <c r="Q369">
        <f t="shared" si="970"/>
        <v>1895951.9903172338</v>
      </c>
      <c r="R369">
        <f t="shared" si="971"/>
        <v>-7458225.5336589115</v>
      </c>
      <c r="S369">
        <f t="shared" si="972"/>
        <v>-74.582255336589114</v>
      </c>
      <c r="T369">
        <f t="shared" si="973"/>
        <v>-7.4582255336589118E-2</v>
      </c>
    </row>
    <row r="370" spans="1:20" x14ac:dyDescent="0.25">
      <c r="A370" s="5">
        <v>44223</v>
      </c>
      <c r="B370">
        <v>3.4401999999999999</v>
      </c>
      <c r="C370">
        <v>3.4491000000000001</v>
      </c>
      <c r="D370">
        <v>3.0655999999999999</v>
      </c>
      <c r="E370">
        <v>3.1175000000000002</v>
      </c>
      <c r="F370">
        <v>4334402.3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-0.72933507170795175</v>
      </c>
      <c r="Q370">
        <f t="shared" si="970"/>
        <v>-3161231.6122816107</v>
      </c>
      <c r="R370">
        <f t="shared" si="971"/>
        <v>-9354177.5239761453</v>
      </c>
      <c r="S370">
        <f t="shared" si="972"/>
        <v>-93.541775239761449</v>
      </c>
      <c r="T370">
        <f t="shared" si="973"/>
        <v>-9.3541775239761454E-2</v>
      </c>
    </row>
    <row r="371" spans="1:20" x14ac:dyDescent="0.25">
      <c r="A371" s="5">
        <v>44222</v>
      </c>
      <c r="B371">
        <v>3.5432999999999999</v>
      </c>
      <c r="C371">
        <v>3.673</v>
      </c>
      <c r="D371">
        <v>3.2547999999999999</v>
      </c>
      <c r="E371">
        <v>3.4403000000000001</v>
      </c>
      <c r="F371">
        <v>5771644.4699999997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-0.1128646580583445</v>
      </c>
      <c r="Q371">
        <f t="shared" si="970"/>
        <v>-651414.67954088491</v>
      </c>
      <c r="R371">
        <f t="shared" si="971"/>
        <v>-6192945.9116945351</v>
      </c>
      <c r="S371">
        <f t="shared" si="972"/>
        <v>-61.929459116945353</v>
      </c>
      <c r="T371">
        <f t="shared" si="973"/>
        <v>-6.1929459116945355E-2</v>
      </c>
    </row>
    <row r="372" spans="1:20" x14ac:dyDescent="0.25">
      <c r="A372" s="5">
        <v>44221</v>
      </c>
      <c r="B372">
        <v>3.5888</v>
      </c>
      <c r="C372">
        <v>3.8371</v>
      </c>
      <c r="D372">
        <v>3.4986000000000002</v>
      </c>
      <c r="E372">
        <v>3.5438999999999998</v>
      </c>
      <c r="F372">
        <v>8901574.4800000004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-0.73234859675037101</v>
      </c>
      <c r="Q372">
        <f t="shared" si="970"/>
        <v>-6519055.5792969139</v>
      </c>
      <c r="R372">
        <f t="shared" si="971"/>
        <v>-5541531.2321536504</v>
      </c>
      <c r="S372">
        <f t="shared" si="972"/>
        <v>-55.415312321536504</v>
      </c>
      <c r="T372">
        <f t="shared" si="973"/>
        <v>-5.5415312321536507E-2</v>
      </c>
    </row>
    <row r="373" spans="1:20" x14ac:dyDescent="0.25">
      <c r="A373" s="5">
        <v>44220</v>
      </c>
      <c r="B373">
        <v>3.6274999999999999</v>
      </c>
      <c r="C373">
        <v>3.8755999999999999</v>
      </c>
      <c r="D373">
        <v>3.4464999999999999</v>
      </c>
      <c r="E373">
        <v>3.5888</v>
      </c>
      <c r="F373">
        <v>7734020.6299999999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-0.33675134001398238</v>
      </c>
      <c r="Q373">
        <f t="shared" si="970"/>
        <v>-2604441.810848284</v>
      </c>
      <c r="R373">
        <f t="shared" si="971"/>
        <v>977524.34714326309</v>
      </c>
      <c r="S373">
        <f t="shared" si="972"/>
        <v>9.7752434714326313</v>
      </c>
      <c r="T373">
        <f t="shared" si="973"/>
        <v>9.7752434714326319E-3</v>
      </c>
    </row>
    <row r="374" spans="1:20" x14ac:dyDescent="0.25">
      <c r="A374" s="5">
        <v>44219</v>
      </c>
      <c r="B374">
        <v>3.3538000000000001</v>
      </c>
      <c r="C374">
        <v>3.7690000000000001</v>
      </c>
      <c r="D374">
        <v>3.3</v>
      </c>
      <c r="E374">
        <v>3.629</v>
      </c>
      <c r="F374">
        <v>8841047.9700000007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0.4029850746268655</v>
      </c>
      <c r="Q374">
        <f t="shared" si="970"/>
        <v>3562810.375970148</v>
      </c>
      <c r="R374">
        <f t="shared" si="971"/>
        <v>3581966.1579915471</v>
      </c>
      <c r="S374">
        <f t="shared" si="972"/>
        <v>35.819661579915469</v>
      </c>
      <c r="T374">
        <f t="shared" si="973"/>
        <v>3.5819661579915466E-2</v>
      </c>
    </row>
    <row r="375" spans="1:20" x14ac:dyDescent="0.25">
      <c r="A375" s="5">
        <v>44218</v>
      </c>
      <c r="B375">
        <v>3.2</v>
      </c>
      <c r="C375">
        <v>3.5106999999999999</v>
      </c>
      <c r="D375">
        <v>2.9540000000000002</v>
      </c>
      <c r="E375">
        <v>3.3565999999999998</v>
      </c>
      <c r="F375">
        <v>5908988.5899999999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0.44638045626010348</v>
      </c>
      <c r="Q375">
        <f t="shared" si="970"/>
        <v>2637657.0228399453</v>
      </c>
      <c r="R375">
        <f t="shared" si="971"/>
        <v>19155.782021399122</v>
      </c>
      <c r="S375">
        <f t="shared" si="972"/>
        <v>0.19155782021399123</v>
      </c>
      <c r="T375">
        <f t="shared" si="973"/>
        <v>1.9155782021399123E-4</v>
      </c>
    </row>
    <row r="376" spans="1:20" x14ac:dyDescent="0.25">
      <c r="A376" s="5">
        <v>44217</v>
      </c>
      <c r="B376">
        <v>3.8338000000000001</v>
      </c>
      <c r="C376">
        <v>3.8519999999999999</v>
      </c>
      <c r="D376">
        <v>3.1898</v>
      </c>
      <c r="E376">
        <v>3.2004000000000001</v>
      </c>
      <c r="F376">
        <v>8181252.0099999998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-0.96798550286922325</v>
      </c>
      <c r="Q376">
        <f t="shared" si="970"/>
        <v>-7919333.3409996936</v>
      </c>
      <c r="R376">
        <f t="shared" si="971"/>
        <v>-2618501.2408185462</v>
      </c>
      <c r="S376">
        <f t="shared" si="972"/>
        <v>-26.185012408185461</v>
      </c>
      <c r="T376">
        <f t="shared" si="973"/>
        <v>-2.6185012408185462E-2</v>
      </c>
    </row>
    <row r="377" spans="1:20" x14ac:dyDescent="0.25">
      <c r="A377" s="5">
        <v>44216</v>
      </c>
      <c r="B377">
        <v>3.8538000000000001</v>
      </c>
      <c r="C377">
        <v>4.0297999999999998</v>
      </c>
      <c r="D377">
        <v>3.4809999999999999</v>
      </c>
      <c r="E377">
        <v>3.8353000000000002</v>
      </c>
      <c r="F377">
        <v>6646941.6900000004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0.29118075801749382</v>
      </c>
      <c r="Q377">
        <f t="shared" si="970"/>
        <v>1935461.5197922816</v>
      </c>
      <c r="R377">
        <f t="shared" si="971"/>
        <v>5300832.1001811475</v>
      </c>
      <c r="S377">
        <f t="shared" si="972"/>
        <v>53.008321001811474</v>
      </c>
      <c r="T377">
        <f t="shared" si="973"/>
        <v>5.3008321001811472E-2</v>
      </c>
    </row>
    <row r="378" spans="1:20" x14ac:dyDescent="0.25">
      <c r="A378" s="5">
        <v>44215</v>
      </c>
      <c r="B378">
        <v>4.2188999999999997</v>
      </c>
      <c r="C378">
        <v>4.3425000000000002</v>
      </c>
      <c r="D378">
        <v>3.8123</v>
      </c>
      <c r="E378">
        <v>3.8538999999999999</v>
      </c>
      <c r="F378">
        <v>7993911.8200000003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-0.84307808374198479</v>
      </c>
      <c r="Q378">
        <f t="shared" si="970"/>
        <v>-6739491.8588080024</v>
      </c>
      <c r="R378">
        <f t="shared" si="971"/>
        <v>3365370.5803888654</v>
      </c>
      <c r="S378">
        <f t="shared" si="972"/>
        <v>33.653705803888656</v>
      </c>
      <c r="T378">
        <f t="shared" si="973"/>
        <v>3.3653705803888656E-2</v>
      </c>
    </row>
    <row r="379" spans="1:20" x14ac:dyDescent="0.25">
      <c r="A379" s="5">
        <v>44214</v>
      </c>
      <c r="B379">
        <v>3.722</v>
      </c>
      <c r="C379">
        <v>4.4443999999999999</v>
      </c>
      <c r="D379">
        <v>3.6435</v>
      </c>
      <c r="E379">
        <v>4.21</v>
      </c>
      <c r="F379">
        <v>17251007.109999999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0.41465850917717578</v>
      </c>
      <c r="Q379">
        <f t="shared" si="970"/>
        <v>7153276.8900374593</v>
      </c>
      <c r="R379">
        <f t="shared" si="971"/>
        <v>10104862.439196868</v>
      </c>
      <c r="S379">
        <f t="shared" si="972"/>
        <v>101.04862439196867</v>
      </c>
      <c r="T379">
        <f t="shared" si="973"/>
        <v>0.10104862439196867</v>
      </c>
    </row>
    <row r="380" spans="1:20" x14ac:dyDescent="0.25">
      <c r="A380" s="5">
        <v>44213</v>
      </c>
      <c r="B380">
        <v>3.5491999999999999</v>
      </c>
      <c r="C380">
        <v>3.8</v>
      </c>
      <c r="D380">
        <v>3.3351000000000002</v>
      </c>
      <c r="E380">
        <v>3.7235999999999998</v>
      </c>
      <c r="F380">
        <v>7773244.3600000003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0.67132716713271634</v>
      </c>
      <c r="Q380">
        <f t="shared" si="970"/>
        <v>5218390.1156291645</v>
      </c>
      <c r="R380">
        <f t="shared" si="971"/>
        <v>2951585.5491594085</v>
      </c>
      <c r="S380">
        <f t="shared" si="972"/>
        <v>29.515855491594085</v>
      </c>
      <c r="T380">
        <f t="shared" si="973"/>
        <v>2.9515855491594085E-2</v>
      </c>
    </row>
    <row r="381" spans="1:20" x14ac:dyDescent="0.25">
      <c r="A381" s="5">
        <v>44212</v>
      </c>
      <c r="B381">
        <v>3.6032999999999999</v>
      </c>
      <c r="C381">
        <v>3.8753000000000002</v>
      </c>
      <c r="D381">
        <v>3.4537</v>
      </c>
      <c r="E381">
        <v>3.5499000000000001</v>
      </c>
      <c r="F381">
        <v>10441595.99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-0.54364326375711569</v>
      </c>
      <c r="Q381">
        <f t="shared" si="970"/>
        <v>-5676503.3228368117</v>
      </c>
      <c r="R381">
        <f t="shared" si="971"/>
        <v>-2266804.566469756</v>
      </c>
      <c r="S381">
        <f t="shared" si="972"/>
        <v>-22.668045664697559</v>
      </c>
      <c r="T381">
        <f t="shared" si="973"/>
        <v>-2.2668045664697559E-2</v>
      </c>
    </row>
    <row r="382" spans="1:20" x14ac:dyDescent="0.25">
      <c r="A382" s="5">
        <v>44211</v>
      </c>
      <c r="B382">
        <v>3.2452000000000001</v>
      </c>
      <c r="C382">
        <v>3.8952</v>
      </c>
      <c r="D382">
        <v>3.2143000000000002</v>
      </c>
      <c r="E382">
        <v>3.6040000000000001</v>
      </c>
      <c r="F382">
        <v>13712341.539999999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0.14466147745630792</v>
      </c>
      <c r="Q382">
        <f t="shared" si="970"/>
        <v>1983647.5865619045</v>
      </c>
      <c r="R382">
        <f t="shared" si="971"/>
        <v>3409698.7563670557</v>
      </c>
      <c r="S382">
        <f t="shared" si="972"/>
        <v>34.096987563670559</v>
      </c>
      <c r="T382">
        <f t="shared" si="973"/>
        <v>3.4096987563670557E-2</v>
      </c>
    </row>
    <row r="383" spans="1:20" x14ac:dyDescent="0.25">
      <c r="A383" s="5">
        <v>44210</v>
      </c>
      <c r="B383">
        <v>3.2473999999999998</v>
      </c>
      <c r="C383">
        <v>3.3826999999999998</v>
      </c>
      <c r="D383">
        <v>3.0798000000000001</v>
      </c>
      <c r="E383">
        <v>3.2450999999999999</v>
      </c>
      <c r="F383">
        <v>5259943.72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9.1449323208979402E-2</v>
      </c>
      <c r="Q383">
        <f t="shared" si="970"/>
        <v>481018.29331132141</v>
      </c>
      <c r="R383">
        <f t="shared" si="971"/>
        <v>1426051.1698051512</v>
      </c>
      <c r="S383">
        <f t="shared" si="972"/>
        <v>14.260511698051511</v>
      </c>
      <c r="T383">
        <f t="shared" si="973"/>
        <v>1.4260511698051511E-2</v>
      </c>
    </row>
    <row r="384" spans="1:20" x14ac:dyDescent="0.25">
      <c r="A384" s="5">
        <v>44209</v>
      </c>
      <c r="B384">
        <v>2.996</v>
      </c>
      <c r="C384">
        <v>3.2839999999999998</v>
      </c>
      <c r="D384">
        <v>2.8902999999999999</v>
      </c>
      <c r="E384">
        <v>3.2458999999999998</v>
      </c>
      <c r="F384">
        <v>3857505.81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0.80645161290322565</v>
      </c>
      <c r="Q384">
        <f t="shared" si="970"/>
        <v>3110891.782258064</v>
      </c>
      <c r="R384">
        <f t="shared" si="971"/>
        <v>945032.87649382977</v>
      </c>
      <c r="S384">
        <f t="shared" si="972"/>
        <v>9.4503287649382983</v>
      </c>
      <c r="T384">
        <f t="shared" si="973"/>
        <v>9.4503287649382976E-3</v>
      </c>
    </row>
    <row r="385" spans="1:20" x14ac:dyDescent="0.25">
      <c r="A385" s="5">
        <v>44208</v>
      </c>
      <c r="B385">
        <v>3.0935000000000001</v>
      </c>
      <c r="C385">
        <v>3.278</v>
      </c>
      <c r="D385">
        <v>2.8792</v>
      </c>
      <c r="E385">
        <v>2.9982000000000002</v>
      </c>
      <c r="F385">
        <v>5247194.26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-0.40320962888665896</v>
      </c>
      <c r="Q385">
        <f t="shared" si="970"/>
        <v>-2115719.2502708072</v>
      </c>
      <c r="R385">
        <f t="shared" si="971"/>
        <v>-2165858.9057642343</v>
      </c>
      <c r="S385">
        <f t="shared" si="972"/>
        <v>-21.658589057642342</v>
      </c>
      <c r="T385">
        <f t="shared" si="973"/>
        <v>-2.1658589057642341E-2</v>
      </c>
    </row>
    <row r="386" spans="1:20" x14ac:dyDescent="0.25">
      <c r="A386" s="5">
        <v>44207</v>
      </c>
      <c r="B386">
        <v>3.6526000000000001</v>
      </c>
      <c r="C386">
        <v>3.6707999999999998</v>
      </c>
      <c r="D386">
        <v>2.6</v>
      </c>
      <c r="E386">
        <v>3.0973999999999999</v>
      </c>
      <c r="F386">
        <v>11620934.949999999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-7.097497198356377E-2</v>
      </c>
      <c r="Q386">
        <f t="shared" si="970"/>
        <v>-824795.53249906702</v>
      </c>
      <c r="R386">
        <f t="shared" si="971"/>
        <v>-50139.655493426835</v>
      </c>
      <c r="S386">
        <f t="shared" si="972"/>
        <v>-0.50139655493426838</v>
      </c>
      <c r="T386">
        <f t="shared" si="973"/>
        <v>-5.0139655493426833E-4</v>
      </c>
    </row>
    <row r="387" spans="1:20" x14ac:dyDescent="0.25">
      <c r="A387" s="5">
        <v>44206</v>
      </c>
      <c r="B387">
        <v>3.7088999999999999</v>
      </c>
      <c r="C387">
        <v>4.1414999999999997</v>
      </c>
      <c r="D387">
        <v>3.2302</v>
      </c>
      <c r="E387">
        <v>3.6526000000000001</v>
      </c>
      <c r="F387">
        <v>12845737.279999999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-7.2972676396356392E-2</v>
      </c>
      <c r="Q387">
        <f t="shared" si="970"/>
        <v>-937387.82960605132</v>
      </c>
      <c r="R387">
        <f t="shared" si="971"/>
        <v>774655.87700564018</v>
      </c>
      <c r="S387">
        <f t="shared" si="972"/>
        <v>7.746558770056402</v>
      </c>
      <c r="T387">
        <f t="shared" si="973"/>
        <v>7.7465587700564021E-3</v>
      </c>
    </row>
    <row r="388" spans="1:20" x14ac:dyDescent="0.25">
      <c r="A388" s="5">
        <v>44205</v>
      </c>
      <c r="B388">
        <v>3.4043000000000001</v>
      </c>
      <c r="C388">
        <v>3.8367</v>
      </c>
      <c r="D388">
        <v>3.3010000000000002</v>
      </c>
      <c r="E388">
        <v>3.7078000000000002</v>
      </c>
      <c r="F388">
        <v>6939860.9100000001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0.51876050028000809</v>
      </c>
      <c r="Q388">
        <f t="shared" si="970"/>
        <v>3600125.7175452723</v>
      </c>
      <c r="R388">
        <f t="shared" si="971"/>
        <v>1712043.7066116915</v>
      </c>
      <c r="S388">
        <f t="shared" si="972"/>
        <v>17.120437066116914</v>
      </c>
      <c r="T388">
        <f t="shared" si="973"/>
        <v>1.7120437066116913E-2</v>
      </c>
    </row>
    <row r="389" spans="1:20" x14ac:dyDescent="0.25">
      <c r="A389" s="5">
        <v>44204</v>
      </c>
      <c r="B389">
        <v>3.5085000000000002</v>
      </c>
      <c r="C389">
        <v>3.5792000000000002</v>
      </c>
      <c r="D389">
        <v>3.0863999999999998</v>
      </c>
      <c r="E389">
        <v>3.4039000000000001</v>
      </c>
      <c r="F389">
        <v>7029121.7800000003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0.28855519480519526</v>
      </c>
      <c r="Q389">
        <f t="shared" si="970"/>
        <v>2028289.6045373408</v>
      </c>
      <c r="R389">
        <f t="shared" si="971"/>
        <v>-1888082.0109335808</v>
      </c>
      <c r="S389">
        <f t="shared" si="972"/>
        <v>-18.880820109335808</v>
      </c>
      <c r="T389">
        <f t="shared" si="973"/>
        <v>-1.8880820109335807E-2</v>
      </c>
    </row>
    <row r="390" spans="1:20" x14ac:dyDescent="0.25">
      <c r="A390" s="5">
        <v>44203</v>
      </c>
      <c r="B390">
        <v>3.71</v>
      </c>
      <c r="C390">
        <v>3.94</v>
      </c>
      <c r="D390">
        <v>3.3087</v>
      </c>
      <c r="E390">
        <v>3.508</v>
      </c>
      <c r="F390">
        <v>8847354.9000000004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-0.36860446697291288</v>
      </c>
      <c r="Q390">
        <f t="shared" ref="Q390:Q453" si="975">F390*P390</f>
        <v>-3261174.537034689</v>
      </c>
      <c r="R390">
        <f t="shared" ref="R390:R453" si="976">R391+Q390</f>
        <v>-3916371.6154709216</v>
      </c>
      <c r="S390">
        <f t="shared" ref="S390:S453" si="977">R390/100000</f>
        <v>-39.163716154709213</v>
      </c>
      <c r="T390">
        <f t="shared" ref="T390:T453" si="978">S390/1000</f>
        <v>-3.9163716154709212E-2</v>
      </c>
    </row>
    <row r="391" spans="1:20" x14ac:dyDescent="0.25">
      <c r="A391" s="5">
        <v>44202</v>
      </c>
      <c r="B391">
        <v>3.5129999999999999</v>
      </c>
      <c r="C391">
        <v>3.944</v>
      </c>
      <c r="D391">
        <v>3.347</v>
      </c>
      <c r="E391">
        <v>3.7082000000000002</v>
      </c>
      <c r="F391">
        <v>9949278.9399999995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0.21005025125628207</v>
      </c>
      <c r="Q391">
        <f t="shared" si="975"/>
        <v>2089848.5411658357</v>
      </c>
      <c r="R391">
        <f t="shared" si="976"/>
        <v>-655197.07843623264</v>
      </c>
      <c r="S391">
        <f t="shared" si="977"/>
        <v>-6.5519707843623261</v>
      </c>
      <c r="T391">
        <f t="shared" si="978"/>
        <v>-6.5519707843623258E-3</v>
      </c>
    </row>
    <row r="392" spans="1:20" x14ac:dyDescent="0.25">
      <c r="A392" s="5">
        <v>44201</v>
      </c>
      <c r="B392">
        <v>3.2927</v>
      </c>
      <c r="C392">
        <v>3.76</v>
      </c>
      <c r="D392">
        <v>3.1423000000000001</v>
      </c>
      <c r="E392">
        <v>3.5141</v>
      </c>
      <c r="F392">
        <v>17127483.260000002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0.2038206248988185</v>
      </c>
      <c r="Q392">
        <f t="shared" si="975"/>
        <v>3490934.3409972535</v>
      </c>
      <c r="R392">
        <f t="shared" si="976"/>
        <v>-2745045.6196020683</v>
      </c>
      <c r="S392">
        <f t="shared" si="977"/>
        <v>-27.450456196020685</v>
      </c>
      <c r="T392">
        <f t="shared" si="978"/>
        <v>-2.7450456196020684E-2</v>
      </c>
    </row>
    <row r="393" spans="1:20" x14ac:dyDescent="0.25">
      <c r="A393" s="5">
        <v>44200</v>
      </c>
      <c r="B393">
        <v>3.0529000000000002</v>
      </c>
      <c r="C393">
        <v>3.4777</v>
      </c>
      <c r="D393">
        <v>2.6842000000000001</v>
      </c>
      <c r="E393">
        <v>3.2938000000000001</v>
      </c>
      <c r="F393">
        <v>16490998.82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0.53648393194707</v>
      </c>
      <c r="Q393">
        <f t="shared" si="975"/>
        <v>8847155.8886880912</v>
      </c>
      <c r="R393">
        <f t="shared" si="976"/>
        <v>-6235979.9605993219</v>
      </c>
      <c r="S393">
        <f t="shared" si="977"/>
        <v>-62.359799605993217</v>
      </c>
      <c r="T393">
        <f t="shared" si="978"/>
        <v>-6.2359799605993214E-2</v>
      </c>
    </row>
    <row r="394" spans="1:20" x14ac:dyDescent="0.25">
      <c r="A394" s="5">
        <v>44199</v>
      </c>
      <c r="B394">
        <v>2.5407999999999999</v>
      </c>
      <c r="C394">
        <v>3.0714000000000001</v>
      </c>
      <c r="D394">
        <v>2.4853000000000001</v>
      </c>
      <c r="E394">
        <v>3.0497999999999998</v>
      </c>
      <c r="F394">
        <v>8579911.1099999994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0.92629244156287227</v>
      </c>
      <c r="Q394">
        <f t="shared" si="975"/>
        <v>7947506.8104743129</v>
      </c>
      <c r="R394">
        <f t="shared" si="976"/>
        <v>-15083135.849287413</v>
      </c>
      <c r="S394">
        <f t="shared" si="977"/>
        <v>-150.83135849287413</v>
      </c>
      <c r="T394">
        <f t="shared" si="978"/>
        <v>-0.15083135849287413</v>
      </c>
    </row>
    <row r="395" spans="1:20" x14ac:dyDescent="0.25">
      <c r="A395" s="5">
        <v>44198</v>
      </c>
      <c r="B395">
        <v>2.5432000000000001</v>
      </c>
      <c r="C395">
        <v>2.7296999999999998</v>
      </c>
      <c r="D395">
        <v>2.4582999999999999</v>
      </c>
      <c r="E395">
        <v>2.5421999999999998</v>
      </c>
      <c r="F395">
        <v>4624705.76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-0.38172439204126818</v>
      </c>
      <c r="Q395">
        <f t="shared" si="975"/>
        <v>-1765362.994605751</v>
      </c>
      <c r="R395">
        <f t="shared" si="976"/>
        <v>-23030642.659761727</v>
      </c>
      <c r="S395">
        <f t="shared" si="977"/>
        <v>-230.30642659761727</v>
      </c>
      <c r="T395">
        <f t="shared" si="978"/>
        <v>-0.23030642659761727</v>
      </c>
    </row>
    <row r="396" spans="1:20" x14ac:dyDescent="0.25">
      <c r="A396" s="5">
        <v>44197</v>
      </c>
      <c r="B396">
        <v>2.4742000000000002</v>
      </c>
      <c r="C396">
        <v>2.7682000000000002</v>
      </c>
      <c r="D396">
        <v>2.4397000000000002</v>
      </c>
      <c r="E396">
        <v>2.5432000000000001</v>
      </c>
      <c r="F396">
        <v>4559805.74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-0.36986301369863062</v>
      </c>
      <c r="Q396">
        <f t="shared" si="975"/>
        <v>-1686503.4928767146</v>
      </c>
      <c r="R396">
        <f t="shared" si="976"/>
        <v>-21265279.665155977</v>
      </c>
      <c r="S396">
        <f t="shared" si="977"/>
        <v>-212.65279665155978</v>
      </c>
      <c r="T396">
        <f t="shared" si="978"/>
        <v>-0.21265279665155978</v>
      </c>
    </row>
    <row r="397" spans="1:20" x14ac:dyDescent="0.25">
      <c r="A397" s="5">
        <v>44196</v>
      </c>
      <c r="B397">
        <v>2.4613999999999998</v>
      </c>
      <c r="C397">
        <v>2.5691999999999999</v>
      </c>
      <c r="D397">
        <v>2.3519999999999999</v>
      </c>
      <c r="E397">
        <v>2.4737</v>
      </c>
      <c r="F397">
        <v>2485051.2200000002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0.12062615101289234</v>
      </c>
      <c r="Q397">
        <f t="shared" si="975"/>
        <v>299762.16373849235</v>
      </c>
      <c r="R397">
        <f t="shared" si="976"/>
        <v>-19578776.172279261</v>
      </c>
      <c r="S397">
        <f t="shared" si="977"/>
        <v>-195.78776172279262</v>
      </c>
      <c r="T397">
        <f t="shared" si="978"/>
        <v>-0.19578776172279264</v>
      </c>
    </row>
    <row r="398" spans="1:20" x14ac:dyDescent="0.25">
      <c r="A398" s="5">
        <v>44195</v>
      </c>
      <c r="B398">
        <v>2.5663999999999998</v>
      </c>
      <c r="C398">
        <v>2.5891999999999999</v>
      </c>
      <c r="D398">
        <v>2.4318</v>
      </c>
      <c r="E398">
        <v>2.4605000000000001</v>
      </c>
      <c r="F398">
        <v>1771041.47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-0.63532401524777415</v>
      </c>
      <c r="Q398">
        <f t="shared" si="975"/>
        <v>-1125185.1778907203</v>
      </c>
      <c r="R398">
        <f t="shared" si="976"/>
        <v>-19878538.336017754</v>
      </c>
      <c r="S398">
        <f t="shared" si="977"/>
        <v>-198.78538336017755</v>
      </c>
      <c r="T398">
        <f t="shared" si="978"/>
        <v>-0.19878538336017754</v>
      </c>
    </row>
    <row r="399" spans="1:20" x14ac:dyDescent="0.25">
      <c r="A399" s="5">
        <v>44194</v>
      </c>
      <c r="B399">
        <v>2.66</v>
      </c>
      <c r="C399">
        <v>2.7275</v>
      </c>
      <c r="D399">
        <v>2.4220000000000002</v>
      </c>
      <c r="E399">
        <v>2.5640999999999998</v>
      </c>
      <c r="F399">
        <v>3720974.69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-6.9721767594109821E-2</v>
      </c>
      <c r="Q399">
        <f t="shared" si="975"/>
        <v>-259432.93255974483</v>
      </c>
      <c r="R399">
        <f t="shared" si="976"/>
        <v>-18753353.158127032</v>
      </c>
      <c r="S399">
        <f t="shared" si="977"/>
        <v>-187.53353158127032</v>
      </c>
      <c r="T399">
        <f t="shared" si="978"/>
        <v>-0.18753353158127031</v>
      </c>
    </row>
    <row r="400" spans="1:20" x14ac:dyDescent="0.25">
      <c r="A400" s="5">
        <v>44193</v>
      </c>
      <c r="B400">
        <v>2.6396999999999999</v>
      </c>
      <c r="C400">
        <v>2.7999000000000001</v>
      </c>
      <c r="D400">
        <v>2.5888</v>
      </c>
      <c r="E400">
        <v>2.661</v>
      </c>
      <c r="F400">
        <v>3371769.47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-0.31596399810516324</v>
      </c>
      <c r="Q400">
        <f t="shared" si="975"/>
        <v>-1065357.7624301272</v>
      </c>
      <c r="R400">
        <f t="shared" si="976"/>
        <v>-18493920.225567289</v>
      </c>
      <c r="S400">
        <f t="shared" si="977"/>
        <v>-184.93920225567288</v>
      </c>
      <c r="T400">
        <f t="shared" si="978"/>
        <v>-0.18493920225567287</v>
      </c>
    </row>
    <row r="401" spans="1:20" x14ac:dyDescent="0.25">
      <c r="A401" s="5">
        <v>44192</v>
      </c>
      <c r="B401">
        <v>2.5424000000000002</v>
      </c>
      <c r="C401">
        <v>2.8540999999999999</v>
      </c>
      <c r="D401">
        <v>2.4100999999999999</v>
      </c>
      <c r="E401">
        <v>2.6440999999999999</v>
      </c>
      <c r="F401">
        <v>4171128.65</v>
      </c>
      <c r="G401">
        <v>0</v>
      </c>
      <c r="L401" t="s">
        <v>7</v>
      </c>
      <c r="M401" t="s">
        <v>8</v>
      </c>
      <c r="N401" t="s">
        <v>8</v>
      </c>
      <c r="P401">
        <f t="shared" si="974"/>
        <v>5.4054054054054106E-2</v>
      </c>
      <c r="Q401">
        <f t="shared" si="975"/>
        <v>225466.41351351372</v>
      </c>
      <c r="R401">
        <f t="shared" si="976"/>
        <v>-17428562.463137161</v>
      </c>
      <c r="S401">
        <f t="shared" si="977"/>
        <v>-174.2856246313716</v>
      </c>
      <c r="T401">
        <f t="shared" si="978"/>
        <v>-0.17428562463137159</v>
      </c>
    </row>
    <row r="402" spans="1:20" x14ac:dyDescent="0.25">
      <c r="A402" s="5">
        <v>44191</v>
      </c>
      <c r="B402">
        <v>2.5964999999999998</v>
      </c>
      <c r="C402">
        <v>2.6453000000000002</v>
      </c>
      <c r="D402">
        <v>2.5007999999999999</v>
      </c>
      <c r="E402">
        <v>2.5390999999999999</v>
      </c>
      <c r="F402">
        <v>2144646.41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-0.46989619377162739</v>
      </c>
      <c r="Q402">
        <f t="shared" si="975"/>
        <v>-1007761.1850449851</v>
      </c>
      <c r="R402">
        <f t="shared" si="976"/>
        <v>-17654028.876650676</v>
      </c>
      <c r="S402">
        <f t="shared" si="977"/>
        <v>-176.54028876650676</v>
      </c>
      <c r="T402">
        <f t="shared" si="978"/>
        <v>-0.17654028876650676</v>
      </c>
    </row>
    <row r="403" spans="1:20" x14ac:dyDescent="0.25">
      <c r="A403" s="5">
        <v>44190</v>
      </c>
      <c r="B403">
        <v>2.5958000000000001</v>
      </c>
      <c r="C403">
        <v>2.7696000000000001</v>
      </c>
      <c r="D403">
        <v>2.5371999999999999</v>
      </c>
      <c r="E403">
        <v>2.5971000000000002</v>
      </c>
      <c r="F403">
        <v>2930805.44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-0.48450946643717518</v>
      </c>
      <c r="Q403">
        <f t="shared" si="975"/>
        <v>-1420002.9799655704</v>
      </c>
      <c r="R403">
        <f t="shared" si="976"/>
        <v>-16646267.691605691</v>
      </c>
      <c r="S403">
        <f t="shared" si="977"/>
        <v>-166.46267691605692</v>
      </c>
      <c r="T403">
        <f t="shared" si="978"/>
        <v>-0.16646267691605693</v>
      </c>
    </row>
    <row r="404" spans="1:20" x14ac:dyDescent="0.25">
      <c r="A404" s="5">
        <v>44189</v>
      </c>
      <c r="B404">
        <v>2.3327</v>
      </c>
      <c r="C404">
        <v>2.5998999999999999</v>
      </c>
      <c r="D404">
        <v>2.2562000000000002</v>
      </c>
      <c r="E404">
        <v>2.5922999999999998</v>
      </c>
      <c r="F404">
        <v>4324148.2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0.95577538551061936</v>
      </c>
      <c r="Q404">
        <f t="shared" si="975"/>
        <v>4132914.4128600508</v>
      </c>
      <c r="R404">
        <f t="shared" si="976"/>
        <v>-15226264.71164012</v>
      </c>
      <c r="S404">
        <f t="shared" si="977"/>
        <v>-152.26264711640118</v>
      </c>
      <c r="T404">
        <f t="shared" si="978"/>
        <v>-0.1522626471164012</v>
      </c>
    </row>
    <row r="405" spans="1:20" x14ac:dyDescent="0.25">
      <c r="A405" s="5">
        <v>44188</v>
      </c>
      <c r="B405">
        <v>3.0026000000000002</v>
      </c>
      <c r="C405">
        <v>3.0249000000000001</v>
      </c>
      <c r="D405">
        <v>1.9912000000000001</v>
      </c>
      <c r="E405">
        <v>2.3302999999999998</v>
      </c>
      <c r="F405">
        <v>5694138.25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-0.34391022540388949</v>
      </c>
      <c r="Q405">
        <f t="shared" si="975"/>
        <v>-1958272.3690384089</v>
      </c>
      <c r="R405">
        <f t="shared" si="976"/>
        <v>-19359179.12450017</v>
      </c>
      <c r="S405">
        <f t="shared" si="977"/>
        <v>-193.5917912450017</v>
      </c>
      <c r="T405">
        <f t="shared" si="978"/>
        <v>-0.1935917912450017</v>
      </c>
    </row>
    <row r="406" spans="1:20" x14ac:dyDescent="0.25">
      <c r="A406" s="5">
        <v>44187</v>
      </c>
      <c r="B406">
        <v>2.9592999999999998</v>
      </c>
      <c r="C406">
        <v>3.0358999999999998</v>
      </c>
      <c r="D406">
        <v>2.82</v>
      </c>
      <c r="E406">
        <v>3.0043000000000002</v>
      </c>
      <c r="F406">
        <v>2624456.39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0.707271885132009</v>
      </c>
      <c r="Q406">
        <f t="shared" si="975"/>
        <v>1856204.2184020472</v>
      </c>
      <c r="R406">
        <f t="shared" si="976"/>
        <v>-17400906.75546176</v>
      </c>
      <c r="S406">
        <f t="shared" si="977"/>
        <v>-174.00906755461759</v>
      </c>
      <c r="T406">
        <f t="shared" si="978"/>
        <v>-0.17400906755461759</v>
      </c>
    </row>
    <row r="407" spans="1:20" x14ac:dyDescent="0.25">
      <c r="A407" s="5">
        <v>44186</v>
      </c>
      <c r="B407">
        <v>3.1697000000000002</v>
      </c>
      <c r="C407">
        <v>3.2808999999999999</v>
      </c>
      <c r="D407">
        <v>2.9144000000000001</v>
      </c>
      <c r="E407">
        <v>2.9573999999999998</v>
      </c>
      <c r="F407">
        <v>3300998.12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-0.76534788540245713</v>
      </c>
      <c r="Q407">
        <f t="shared" si="975"/>
        <v>-2526411.9308594866</v>
      </c>
      <c r="R407">
        <f t="shared" si="976"/>
        <v>-19257110.973863807</v>
      </c>
      <c r="S407">
        <f t="shared" si="977"/>
        <v>-192.57110973863806</v>
      </c>
      <c r="T407">
        <f t="shared" si="978"/>
        <v>-0.19257110973863806</v>
      </c>
    </row>
    <row r="408" spans="1:20" x14ac:dyDescent="0.25">
      <c r="A408" s="5">
        <v>44185</v>
      </c>
      <c r="B408">
        <v>3.2568999999999999</v>
      </c>
      <c r="C408">
        <v>3.3248000000000002</v>
      </c>
      <c r="D408">
        <v>3.0966</v>
      </c>
      <c r="E408">
        <v>3.17</v>
      </c>
      <c r="F408">
        <v>2825724.06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-0.35670464504820465</v>
      </c>
      <c r="Q408">
        <f t="shared" si="975"/>
        <v>-1007948.8978264717</v>
      </c>
      <c r="R408">
        <f t="shared" si="976"/>
        <v>-16730699.043004321</v>
      </c>
      <c r="S408">
        <f t="shared" si="977"/>
        <v>-167.30699043004321</v>
      </c>
      <c r="T408">
        <f t="shared" si="978"/>
        <v>-0.16730699043004321</v>
      </c>
    </row>
    <row r="409" spans="1:20" x14ac:dyDescent="0.25">
      <c r="A409" s="5">
        <v>44184</v>
      </c>
      <c r="B409">
        <v>3.2452999999999999</v>
      </c>
      <c r="C409">
        <v>3.3988999999999998</v>
      </c>
      <c r="D409">
        <v>3.2368000000000001</v>
      </c>
      <c r="E409">
        <v>3.2597</v>
      </c>
      <c r="F409">
        <v>2500954.34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-0.71745835903763155</v>
      </c>
      <c r="Q409">
        <f t="shared" si="975"/>
        <v>-1794330.5968044428</v>
      </c>
      <c r="R409">
        <f t="shared" si="976"/>
        <v>-15722750.145177849</v>
      </c>
      <c r="S409">
        <f t="shared" si="977"/>
        <v>-157.22750145177849</v>
      </c>
      <c r="T409">
        <f t="shared" si="978"/>
        <v>-0.1572275014517785</v>
      </c>
    </row>
    <row r="410" spans="1:20" x14ac:dyDescent="0.25">
      <c r="A410" s="5">
        <v>44183</v>
      </c>
      <c r="B410">
        <v>3.2391000000000001</v>
      </c>
      <c r="C410">
        <v>3.3329</v>
      </c>
      <c r="D410">
        <v>3.1663999999999999</v>
      </c>
      <c r="E410">
        <v>3.2463000000000002</v>
      </c>
      <c r="F410">
        <v>2436778.1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-4.0240240240237118E-2</v>
      </c>
      <c r="Q410">
        <f t="shared" si="975"/>
        <v>-98056.536156148548</v>
      </c>
      <c r="R410">
        <f t="shared" si="976"/>
        <v>-13928419.548373405</v>
      </c>
      <c r="S410">
        <f t="shared" si="977"/>
        <v>-139.28419548373404</v>
      </c>
      <c r="T410">
        <f t="shared" si="978"/>
        <v>-0.13928419548373402</v>
      </c>
    </row>
    <row r="411" spans="1:20" x14ac:dyDescent="0.25">
      <c r="A411" s="5">
        <v>44182</v>
      </c>
      <c r="B411">
        <v>3.3498999999999999</v>
      </c>
      <c r="C411">
        <v>3.4967999999999999</v>
      </c>
      <c r="D411">
        <v>3.1478999999999999</v>
      </c>
      <c r="E411">
        <v>3.2374000000000001</v>
      </c>
      <c r="F411">
        <v>4931804.41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-0.48695901404413794</v>
      </c>
      <c r="Q411">
        <f t="shared" si="975"/>
        <v>-2401586.6129521313</v>
      </c>
      <c r="R411">
        <f t="shared" si="976"/>
        <v>-13830363.012217257</v>
      </c>
      <c r="S411">
        <f t="shared" si="977"/>
        <v>-138.30363012217256</v>
      </c>
      <c r="T411">
        <f t="shared" si="978"/>
        <v>-0.13830363012217256</v>
      </c>
    </row>
    <row r="412" spans="1:20" x14ac:dyDescent="0.25">
      <c r="A412" s="5">
        <v>44181</v>
      </c>
      <c r="B412">
        <v>3.1579000000000002</v>
      </c>
      <c r="C412">
        <v>3.3572000000000002</v>
      </c>
      <c r="D412">
        <v>3.0771999999999999</v>
      </c>
      <c r="E412">
        <v>3.3508</v>
      </c>
      <c r="F412">
        <v>2787963.8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0.95428571428571307</v>
      </c>
      <c r="Q412">
        <f t="shared" si="975"/>
        <v>2660514.0262857107</v>
      </c>
      <c r="R412">
        <f t="shared" si="976"/>
        <v>-11428776.399265125</v>
      </c>
      <c r="S412">
        <f t="shared" si="977"/>
        <v>-114.28776399265125</v>
      </c>
      <c r="T412">
        <f t="shared" si="978"/>
        <v>-0.11428776399265125</v>
      </c>
    </row>
    <row r="413" spans="1:20" x14ac:dyDescent="0.25">
      <c r="A413" s="5">
        <v>44180</v>
      </c>
      <c r="B413">
        <v>3.2372000000000001</v>
      </c>
      <c r="C413">
        <v>3.3155999999999999</v>
      </c>
      <c r="D413">
        <v>3.1364999999999998</v>
      </c>
      <c r="E413">
        <v>3.1583999999999999</v>
      </c>
      <c r="F413">
        <v>1868882.6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-0.75544388609715218</v>
      </c>
      <c r="Q413">
        <f t="shared" si="975"/>
        <v>-1411835.9340033496</v>
      </c>
      <c r="R413">
        <f t="shared" si="976"/>
        <v>-14089290.425550835</v>
      </c>
      <c r="S413">
        <f t="shared" si="977"/>
        <v>-140.89290425550834</v>
      </c>
      <c r="T413">
        <f t="shared" si="978"/>
        <v>-0.14089290425550835</v>
      </c>
    </row>
    <row r="414" spans="1:20" x14ac:dyDescent="0.25">
      <c r="A414" s="5">
        <v>44179</v>
      </c>
      <c r="B414">
        <v>3.2757000000000001</v>
      </c>
      <c r="C414">
        <v>3.2877000000000001</v>
      </c>
      <c r="D414">
        <v>3.1528</v>
      </c>
      <c r="E414">
        <v>3.234</v>
      </c>
      <c r="F414">
        <v>1663320.9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0.20385470719051041</v>
      </c>
      <c r="Q414">
        <f t="shared" si="975"/>
        <v>339075.79503335623</v>
      </c>
      <c r="R414">
        <f t="shared" si="976"/>
        <v>-12677454.491547486</v>
      </c>
      <c r="S414">
        <f t="shared" si="977"/>
        <v>-126.77454491547486</v>
      </c>
      <c r="T414">
        <f t="shared" si="978"/>
        <v>-0.12677454491547485</v>
      </c>
    </row>
    <row r="415" spans="1:20" x14ac:dyDescent="0.25">
      <c r="A415" s="5">
        <v>44178</v>
      </c>
      <c r="B415">
        <v>3.1878000000000002</v>
      </c>
      <c r="C415">
        <v>3.3593999999999999</v>
      </c>
      <c r="D415">
        <v>3.1116000000000001</v>
      </c>
      <c r="E415">
        <v>3.2778999999999998</v>
      </c>
      <c r="F415">
        <v>2056546.11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0.34221146085552706</v>
      </c>
      <c r="Q415">
        <f t="shared" si="975"/>
        <v>703773.64861985145</v>
      </c>
      <c r="R415">
        <f t="shared" si="976"/>
        <v>-13016530.286580842</v>
      </c>
      <c r="S415">
        <f t="shared" si="977"/>
        <v>-130.16530286580843</v>
      </c>
      <c r="T415">
        <f t="shared" si="978"/>
        <v>-0.13016530286580844</v>
      </c>
    </row>
    <row r="416" spans="1:20" x14ac:dyDescent="0.25">
      <c r="A416" s="5">
        <v>44177</v>
      </c>
      <c r="B416">
        <v>2.9923000000000002</v>
      </c>
      <c r="C416">
        <v>3.23</v>
      </c>
      <c r="D416">
        <v>2.9857</v>
      </c>
      <c r="E416">
        <v>3.1878000000000002</v>
      </c>
      <c r="F416">
        <v>1683781.15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0.65452312730249862</v>
      </c>
      <c r="Q416">
        <f t="shared" si="975"/>
        <v>1102073.7039909975</v>
      </c>
      <c r="R416">
        <f t="shared" si="976"/>
        <v>-13720303.935200693</v>
      </c>
      <c r="S416">
        <f t="shared" si="977"/>
        <v>-137.20303935200693</v>
      </c>
      <c r="T416">
        <f t="shared" si="978"/>
        <v>-0.13720303935200692</v>
      </c>
    </row>
    <row r="417" spans="1:20" x14ac:dyDescent="0.25">
      <c r="A417" s="5">
        <v>44176</v>
      </c>
      <c r="B417">
        <v>3.1503999999999999</v>
      </c>
      <c r="C417">
        <v>3.29</v>
      </c>
      <c r="D417">
        <v>2.9601000000000002</v>
      </c>
      <c r="E417">
        <v>2.9914000000000001</v>
      </c>
      <c r="F417">
        <v>2780918.4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-0.8102455289481667</v>
      </c>
      <c r="Q417">
        <f t="shared" si="975"/>
        <v>-2253226.6999696894</v>
      </c>
      <c r="R417">
        <f t="shared" si="976"/>
        <v>-14822377.639191691</v>
      </c>
      <c r="S417">
        <f t="shared" si="977"/>
        <v>-148.22377639191691</v>
      </c>
      <c r="T417">
        <f t="shared" si="978"/>
        <v>-0.14822377639191692</v>
      </c>
    </row>
    <row r="418" spans="1:20" x14ac:dyDescent="0.25">
      <c r="A418" s="5">
        <v>44175</v>
      </c>
      <c r="B418">
        <v>3.2831999999999999</v>
      </c>
      <c r="C418">
        <v>3.3121</v>
      </c>
      <c r="D418">
        <v>3.0625</v>
      </c>
      <c r="E418">
        <v>3.1493000000000002</v>
      </c>
      <c r="F418">
        <v>1479034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-0.30448717948717791</v>
      </c>
      <c r="Q418">
        <f t="shared" si="975"/>
        <v>-450346.89102563867</v>
      </c>
      <c r="R418">
        <f t="shared" si="976"/>
        <v>-12569150.939222002</v>
      </c>
      <c r="S418">
        <f t="shared" si="977"/>
        <v>-125.69150939222003</v>
      </c>
      <c r="T418">
        <f t="shared" si="978"/>
        <v>-0.12569150939222001</v>
      </c>
    </row>
    <row r="419" spans="1:20" x14ac:dyDescent="0.25">
      <c r="A419" s="5">
        <v>44174</v>
      </c>
      <c r="B419">
        <v>3.2385999999999999</v>
      </c>
      <c r="C419">
        <v>3.3237999999999999</v>
      </c>
      <c r="D419">
        <v>2.9922</v>
      </c>
      <c r="E419">
        <v>3.2835999999999999</v>
      </c>
      <c r="F419">
        <v>3024793.26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0.75753920386007223</v>
      </c>
      <c r="Q419">
        <f t="shared" si="975"/>
        <v>2291399.4780217125</v>
      </c>
      <c r="R419">
        <f t="shared" si="976"/>
        <v>-12118804.048196364</v>
      </c>
      <c r="S419">
        <f t="shared" si="977"/>
        <v>-121.18804048196364</v>
      </c>
      <c r="T419">
        <f t="shared" si="978"/>
        <v>-0.12118804048196365</v>
      </c>
    </row>
    <row r="420" spans="1:20" x14ac:dyDescent="0.25">
      <c r="A420" s="5">
        <v>44173</v>
      </c>
      <c r="B420">
        <v>3.5819000000000001</v>
      </c>
      <c r="C420">
        <v>3.5998999999999999</v>
      </c>
      <c r="D420">
        <v>3.1657999999999999</v>
      </c>
      <c r="E420">
        <v>3.2383999999999999</v>
      </c>
      <c r="F420">
        <v>3164564.85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-0.66551485832757429</v>
      </c>
      <c r="Q420">
        <f t="shared" si="975"/>
        <v>-2106064.9278161717</v>
      </c>
      <c r="R420">
        <f t="shared" si="976"/>
        <v>-14410203.526218077</v>
      </c>
      <c r="S420">
        <f t="shared" si="977"/>
        <v>-144.10203526218078</v>
      </c>
      <c r="T420">
        <f t="shared" si="978"/>
        <v>-0.14410203526218077</v>
      </c>
    </row>
    <row r="421" spans="1:20" x14ac:dyDescent="0.25">
      <c r="A421" s="5">
        <v>44172</v>
      </c>
      <c r="B421">
        <v>3.7012</v>
      </c>
      <c r="C421">
        <v>3.7431000000000001</v>
      </c>
      <c r="D421">
        <v>3.5362</v>
      </c>
      <c r="E421">
        <v>3.5819000000000001</v>
      </c>
      <c r="F421">
        <v>1959061.93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-0.55824069598839965</v>
      </c>
      <c r="Q421">
        <f t="shared" si="975"/>
        <v>-1093628.0952875775</v>
      </c>
      <c r="R421">
        <f t="shared" si="976"/>
        <v>-12304138.598401906</v>
      </c>
      <c r="S421">
        <f t="shared" si="977"/>
        <v>-123.04138598401906</v>
      </c>
      <c r="T421">
        <f t="shared" si="978"/>
        <v>-0.12304138598401906</v>
      </c>
    </row>
    <row r="422" spans="1:20" x14ac:dyDescent="0.25">
      <c r="A422" s="5">
        <v>44171</v>
      </c>
      <c r="B422">
        <v>3.7820999999999998</v>
      </c>
      <c r="C422">
        <v>3.794</v>
      </c>
      <c r="D422">
        <v>3.5733999999999999</v>
      </c>
      <c r="E422">
        <v>3.7010000000000001</v>
      </c>
      <c r="F422">
        <v>1818380.87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0.15684496826835978</v>
      </c>
      <c r="Q422">
        <f t="shared" si="975"/>
        <v>285203.88985494245</v>
      </c>
      <c r="R422">
        <f t="shared" si="976"/>
        <v>-11210510.503114328</v>
      </c>
      <c r="S422">
        <f t="shared" si="977"/>
        <v>-112.10510503114328</v>
      </c>
      <c r="T422">
        <f t="shared" si="978"/>
        <v>-0.11210510503114328</v>
      </c>
    </row>
    <row r="423" spans="1:20" x14ac:dyDescent="0.25">
      <c r="A423" s="5">
        <v>44170</v>
      </c>
      <c r="B423">
        <v>3.5265</v>
      </c>
      <c r="C423">
        <v>3.8220000000000001</v>
      </c>
      <c r="D423">
        <v>3.4722</v>
      </c>
      <c r="E423">
        <v>3.7818999999999998</v>
      </c>
      <c r="F423">
        <v>3235966.1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0.77072612921669392</v>
      </c>
      <c r="Q423">
        <f t="shared" si="975"/>
        <v>2494043.6265294412</v>
      </c>
      <c r="R423">
        <f t="shared" si="976"/>
        <v>-11495714.392969269</v>
      </c>
      <c r="S423">
        <f t="shared" si="977"/>
        <v>-114.95714392969269</v>
      </c>
      <c r="T423">
        <f t="shared" si="978"/>
        <v>-0.1149571439296927</v>
      </c>
    </row>
    <row r="424" spans="1:20" x14ac:dyDescent="0.25">
      <c r="A424" s="5">
        <v>44169</v>
      </c>
      <c r="B424">
        <v>3.7902999999999998</v>
      </c>
      <c r="C424">
        <v>4.4123999999999999</v>
      </c>
      <c r="D424">
        <v>3.4954000000000001</v>
      </c>
      <c r="E424">
        <v>3.5286</v>
      </c>
      <c r="F424">
        <v>13833406.609999999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-0.92758996728462395</v>
      </c>
      <c r="Q424">
        <f t="shared" si="975"/>
        <v>-12831729.184804801</v>
      </c>
      <c r="R424">
        <f t="shared" si="976"/>
        <v>-13989758.01949871</v>
      </c>
      <c r="S424">
        <f t="shared" si="977"/>
        <v>-139.89758019498709</v>
      </c>
      <c r="T424">
        <f t="shared" si="978"/>
        <v>-0.13989758019498708</v>
      </c>
    </row>
    <row r="425" spans="1:20" x14ac:dyDescent="0.25">
      <c r="A425" s="5">
        <v>44168</v>
      </c>
      <c r="B425">
        <v>3.7885</v>
      </c>
      <c r="C425">
        <v>3.8613</v>
      </c>
      <c r="D425">
        <v>3.7006000000000001</v>
      </c>
      <c r="E425">
        <v>3.7902999999999998</v>
      </c>
      <c r="F425">
        <v>1813280.46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0.11636589919103617</v>
      </c>
      <c r="Q425">
        <f t="shared" si="975"/>
        <v>211004.01121343568</v>
      </c>
      <c r="R425">
        <f t="shared" si="976"/>
        <v>-1158028.8346939092</v>
      </c>
      <c r="S425">
        <f t="shared" si="977"/>
        <v>-11.580288346939092</v>
      </c>
      <c r="T425">
        <f t="shared" si="978"/>
        <v>-1.1580288346939091E-2</v>
      </c>
    </row>
    <row r="426" spans="1:20" x14ac:dyDescent="0.25">
      <c r="A426" s="5">
        <v>44167</v>
      </c>
      <c r="B426">
        <v>3.6579000000000002</v>
      </c>
      <c r="C426">
        <v>3.8772000000000002</v>
      </c>
      <c r="D426">
        <v>3.5878000000000001</v>
      </c>
      <c r="E426">
        <v>3.7915999999999999</v>
      </c>
      <c r="F426">
        <v>2640278.79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0.40843123704215401</v>
      </c>
      <c r="Q426">
        <f t="shared" si="975"/>
        <v>1078372.3323358616</v>
      </c>
      <c r="R426">
        <f t="shared" si="976"/>
        <v>-1369032.8459073447</v>
      </c>
      <c r="S426">
        <f t="shared" si="977"/>
        <v>-13.690328459073447</v>
      </c>
      <c r="T426">
        <f t="shared" si="978"/>
        <v>-1.3690328459073448E-2</v>
      </c>
    </row>
    <row r="427" spans="1:20" x14ac:dyDescent="0.25">
      <c r="A427" s="5">
        <v>44166</v>
      </c>
      <c r="B427">
        <v>3.9512</v>
      </c>
      <c r="C427">
        <v>4.0888999999999998</v>
      </c>
      <c r="D427">
        <v>3.5</v>
      </c>
      <c r="E427">
        <v>3.6619999999999999</v>
      </c>
      <c r="F427">
        <v>4450306.9400000004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-0.44982170147733064</v>
      </c>
      <c r="Q427">
        <f t="shared" si="975"/>
        <v>-2001844.6398471729</v>
      </c>
      <c r="R427">
        <f t="shared" si="976"/>
        <v>-2447405.1782432063</v>
      </c>
      <c r="S427">
        <f t="shared" si="977"/>
        <v>-24.474051782432063</v>
      </c>
      <c r="T427">
        <f t="shared" si="978"/>
        <v>-2.4474051782432064E-2</v>
      </c>
    </row>
    <row r="428" spans="1:20" x14ac:dyDescent="0.25">
      <c r="A428" s="5">
        <v>44165</v>
      </c>
      <c r="B428">
        <v>3.7810000000000001</v>
      </c>
      <c r="C428">
        <v>4.0233999999999996</v>
      </c>
      <c r="D428">
        <v>3.7025000000000001</v>
      </c>
      <c r="E428">
        <v>3.9527999999999999</v>
      </c>
      <c r="F428">
        <v>4149899.02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0.55998753505765109</v>
      </c>
      <c r="Q428">
        <f t="shared" si="975"/>
        <v>2323891.7229479621</v>
      </c>
      <c r="R428">
        <f t="shared" si="976"/>
        <v>-445560.53839603346</v>
      </c>
      <c r="S428">
        <f t="shared" si="977"/>
        <v>-4.4556053839603349</v>
      </c>
      <c r="T428">
        <f t="shared" si="978"/>
        <v>-4.4556053839603345E-3</v>
      </c>
    </row>
    <row r="429" spans="1:20" x14ac:dyDescent="0.25">
      <c r="A429" s="5">
        <v>44164</v>
      </c>
      <c r="B429">
        <v>3.7793000000000001</v>
      </c>
      <c r="C429">
        <v>3.8658999999999999</v>
      </c>
      <c r="D429">
        <v>3.6061000000000001</v>
      </c>
      <c r="E429">
        <v>3.7797999999999998</v>
      </c>
      <c r="F429">
        <v>2525293.4900000002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0.33718244803695052</v>
      </c>
      <c r="Q429">
        <f t="shared" si="975"/>
        <v>851484.64096997445</v>
      </c>
      <c r="R429">
        <f t="shared" si="976"/>
        <v>-2769452.2613439956</v>
      </c>
      <c r="S429">
        <f t="shared" si="977"/>
        <v>-27.694522613439954</v>
      </c>
      <c r="T429">
        <f t="shared" si="978"/>
        <v>-2.7694522613439954E-2</v>
      </c>
    </row>
    <row r="430" spans="1:20" x14ac:dyDescent="0.25">
      <c r="A430" s="5">
        <v>44163</v>
      </c>
      <c r="B430">
        <v>3.6158999999999999</v>
      </c>
      <c r="C430">
        <v>3.97</v>
      </c>
      <c r="D430">
        <v>3.4805999999999999</v>
      </c>
      <c r="E430">
        <v>3.7789999999999999</v>
      </c>
      <c r="F430">
        <v>4149978.37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0.21945239068246764</v>
      </c>
      <c r="Q430">
        <f t="shared" si="975"/>
        <v>910722.67457703024</v>
      </c>
      <c r="R430">
        <f t="shared" si="976"/>
        <v>-3620936.90231397</v>
      </c>
      <c r="S430">
        <f t="shared" si="977"/>
        <v>-36.209369023139701</v>
      </c>
      <c r="T430">
        <f t="shared" si="978"/>
        <v>-3.6209369023139704E-2</v>
      </c>
    </row>
    <row r="431" spans="1:20" x14ac:dyDescent="0.25">
      <c r="A431" s="5">
        <v>44162</v>
      </c>
      <c r="B431">
        <v>3.7111000000000001</v>
      </c>
      <c r="C431">
        <v>3.8443000000000001</v>
      </c>
      <c r="D431">
        <v>3.3323999999999998</v>
      </c>
      <c r="E431">
        <v>3.6088</v>
      </c>
      <c r="F431">
        <v>4615468.5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7.9898417659699433E-2</v>
      </c>
      <c r="Q431">
        <f t="shared" si="975"/>
        <v>368768.62990818644</v>
      </c>
      <c r="R431">
        <f t="shared" si="976"/>
        <v>-4531659.5768910004</v>
      </c>
      <c r="S431">
        <f t="shared" si="977"/>
        <v>-45.316595768910005</v>
      </c>
      <c r="T431">
        <f t="shared" si="978"/>
        <v>-4.5316595768910006E-2</v>
      </c>
    </row>
    <row r="432" spans="1:20" x14ac:dyDescent="0.25">
      <c r="A432" s="5">
        <v>44161</v>
      </c>
      <c r="B432">
        <v>4.4248000000000003</v>
      </c>
      <c r="C432">
        <v>4.6989999999999998</v>
      </c>
      <c r="D432">
        <v>3.2290999999999999</v>
      </c>
      <c r="E432">
        <v>3.7035999999999998</v>
      </c>
      <c r="F432">
        <v>11855496.02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-0.35437784883325407</v>
      </c>
      <c r="Q432">
        <f t="shared" si="975"/>
        <v>-4201325.1764188055</v>
      </c>
      <c r="R432">
        <f t="shared" si="976"/>
        <v>-4900428.2067991868</v>
      </c>
      <c r="S432">
        <f t="shared" si="977"/>
        <v>-49.004282067991866</v>
      </c>
      <c r="T432">
        <f t="shared" si="978"/>
        <v>-4.9004282067991865E-2</v>
      </c>
    </row>
    <row r="433" spans="1:20" x14ac:dyDescent="0.25">
      <c r="A433" s="5">
        <v>44160</v>
      </c>
      <c r="B433">
        <v>4.3590999999999998</v>
      </c>
      <c r="C433">
        <v>5.1844999999999999</v>
      </c>
      <c r="D433">
        <v>4.1440000000000001</v>
      </c>
      <c r="E433">
        <v>4.4268999999999998</v>
      </c>
      <c r="F433">
        <v>11932690.49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-0.45622296972609366</v>
      </c>
      <c r="Q433">
        <f t="shared" si="975"/>
        <v>-5443967.4921701159</v>
      </c>
      <c r="R433">
        <f t="shared" si="976"/>
        <v>-699103.03038038127</v>
      </c>
      <c r="S433">
        <f t="shared" si="977"/>
        <v>-6.9910303038038126</v>
      </c>
      <c r="T433">
        <f t="shared" si="978"/>
        <v>-6.9910303038038125E-3</v>
      </c>
    </row>
    <row r="434" spans="1:20" x14ac:dyDescent="0.25">
      <c r="A434" s="5">
        <v>44159</v>
      </c>
      <c r="B434">
        <v>4.2309000000000001</v>
      </c>
      <c r="C434">
        <v>4.67</v>
      </c>
      <c r="D434">
        <v>3.98</v>
      </c>
      <c r="E434">
        <v>4.3646000000000003</v>
      </c>
      <c r="F434">
        <v>8238922.1200000001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0.11478260869565306</v>
      </c>
      <c r="Q434">
        <f t="shared" si="975"/>
        <v>945684.97377392033</v>
      </c>
      <c r="R434">
        <f t="shared" si="976"/>
        <v>4744864.4617897347</v>
      </c>
      <c r="S434">
        <f t="shared" si="977"/>
        <v>47.448644617897344</v>
      </c>
      <c r="T434">
        <f t="shared" si="978"/>
        <v>4.7448644617897343E-2</v>
      </c>
    </row>
    <row r="435" spans="1:20" x14ac:dyDescent="0.25">
      <c r="A435" s="5">
        <v>44158</v>
      </c>
      <c r="B435">
        <v>3.9018000000000002</v>
      </c>
      <c r="C435">
        <v>4.2462</v>
      </c>
      <c r="D435">
        <v>3.8</v>
      </c>
      <c r="E435">
        <v>4.2309000000000001</v>
      </c>
      <c r="F435">
        <v>5277438.8899999997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0.93142088749439778</v>
      </c>
      <c r="Q435">
        <f t="shared" si="975"/>
        <v>4915516.8146212492</v>
      </c>
      <c r="R435">
        <f t="shared" si="976"/>
        <v>3799179.4880158142</v>
      </c>
      <c r="S435">
        <f t="shared" si="977"/>
        <v>37.991794880158139</v>
      </c>
      <c r="T435">
        <f t="shared" si="978"/>
        <v>3.7991794880158136E-2</v>
      </c>
    </row>
    <row r="436" spans="1:20" x14ac:dyDescent="0.25">
      <c r="A436" s="5">
        <v>44157</v>
      </c>
      <c r="B436">
        <v>4.2558999999999996</v>
      </c>
      <c r="C436">
        <v>4.2775999999999996</v>
      </c>
      <c r="D436">
        <v>3.6</v>
      </c>
      <c r="E436">
        <v>3.9018999999999999</v>
      </c>
      <c r="F436">
        <v>6374237.6600000001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-0.10891381345926789</v>
      </c>
      <c r="Q436">
        <f t="shared" si="975"/>
        <v>-694242.53144628031</v>
      </c>
      <c r="R436">
        <f t="shared" si="976"/>
        <v>-1116337.326605435</v>
      </c>
      <c r="S436">
        <f t="shared" si="977"/>
        <v>-11.16337326605435</v>
      </c>
      <c r="T436">
        <f t="shared" si="978"/>
        <v>-1.1163373266054349E-2</v>
      </c>
    </row>
    <row r="437" spans="1:20" x14ac:dyDescent="0.25">
      <c r="A437" s="5">
        <v>44156</v>
      </c>
      <c r="B437">
        <v>3.5316000000000001</v>
      </c>
      <c r="C437">
        <v>4.3570000000000002</v>
      </c>
      <c r="D437">
        <v>3.5297999999999998</v>
      </c>
      <c r="E437">
        <v>4.2530000000000001</v>
      </c>
      <c r="F437">
        <v>10181794.65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0.74854932301740806</v>
      </c>
      <c r="Q437">
        <f t="shared" si="975"/>
        <v>7621575.4923597677</v>
      </c>
      <c r="R437">
        <f t="shared" si="976"/>
        <v>-422094.79515915457</v>
      </c>
      <c r="S437">
        <f t="shared" si="977"/>
        <v>-4.2209479515915458</v>
      </c>
      <c r="T437">
        <f t="shared" si="978"/>
        <v>-4.2209479515915461E-3</v>
      </c>
    </row>
    <row r="438" spans="1:20" x14ac:dyDescent="0.25">
      <c r="A438" s="5">
        <v>44155</v>
      </c>
      <c r="B438">
        <v>3.2736000000000001</v>
      </c>
      <c r="C438">
        <v>3.6520999999999999</v>
      </c>
      <c r="D438">
        <v>3.2517999999999998</v>
      </c>
      <c r="E438">
        <v>3.5293999999999999</v>
      </c>
      <c r="F438">
        <v>4021959.08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0.38695978016487637</v>
      </c>
      <c r="Q438">
        <f t="shared" si="975"/>
        <v>1556336.4014289284</v>
      </c>
      <c r="R438">
        <f t="shared" si="976"/>
        <v>-8043670.2875189222</v>
      </c>
      <c r="S438">
        <f t="shared" si="977"/>
        <v>-80.436702875189226</v>
      </c>
      <c r="T438">
        <f t="shared" si="978"/>
        <v>-8.0436702875189225E-2</v>
      </c>
    </row>
    <row r="439" spans="1:20" x14ac:dyDescent="0.25">
      <c r="A439" s="5">
        <v>44154</v>
      </c>
      <c r="B439">
        <v>3.3319999999999999</v>
      </c>
      <c r="C439">
        <v>3.3595000000000002</v>
      </c>
      <c r="D439">
        <v>3.2000999999999999</v>
      </c>
      <c r="E439">
        <v>3.2726000000000002</v>
      </c>
      <c r="F439">
        <v>1989727.82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-9.0338770388956879E-2</v>
      </c>
      <c r="Q439">
        <f t="shared" si="975"/>
        <v>-179749.56466749974</v>
      </c>
      <c r="R439">
        <f t="shared" si="976"/>
        <v>-9600006.6889478508</v>
      </c>
      <c r="S439">
        <f t="shared" si="977"/>
        <v>-96.000066889478504</v>
      </c>
      <c r="T439">
        <f t="shared" si="978"/>
        <v>-9.60000668894785E-2</v>
      </c>
    </row>
    <row r="440" spans="1:20" x14ac:dyDescent="0.25">
      <c r="A440" s="5">
        <v>44153</v>
      </c>
      <c r="B440">
        <v>3.4579</v>
      </c>
      <c r="C440">
        <v>3.5021</v>
      </c>
      <c r="D440">
        <v>3.1842000000000001</v>
      </c>
      <c r="E440">
        <v>3.3321000000000001</v>
      </c>
      <c r="F440">
        <v>3011133.28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-6.9518716577540163E-2</v>
      </c>
      <c r="Q440">
        <f t="shared" si="975"/>
        <v>-209330.12106951888</v>
      </c>
      <c r="R440">
        <f t="shared" si="976"/>
        <v>-9420257.1242803503</v>
      </c>
      <c r="S440">
        <f t="shared" si="977"/>
        <v>-94.202571242803501</v>
      </c>
      <c r="T440">
        <f t="shared" si="978"/>
        <v>-9.4202571242803498E-2</v>
      </c>
    </row>
    <row r="441" spans="1:20" x14ac:dyDescent="0.25">
      <c r="A441" s="5">
        <v>44152</v>
      </c>
      <c r="B441">
        <v>3.4359000000000002</v>
      </c>
      <c r="C441">
        <v>3.577</v>
      </c>
      <c r="D441">
        <v>3.4094000000000002</v>
      </c>
      <c r="E441">
        <v>3.4599000000000002</v>
      </c>
      <c r="F441">
        <v>2035504.89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-0.39737470167064359</v>
      </c>
      <c r="Q441">
        <f t="shared" si="975"/>
        <v>-808858.14841288619</v>
      </c>
      <c r="R441">
        <f t="shared" si="976"/>
        <v>-9210927.0032108314</v>
      </c>
      <c r="S441">
        <f t="shared" si="977"/>
        <v>-92.109270032108313</v>
      </c>
      <c r="T441">
        <f t="shared" si="978"/>
        <v>-9.2109270032108309E-2</v>
      </c>
    </row>
    <row r="442" spans="1:20" x14ac:dyDescent="0.25">
      <c r="A442" s="5">
        <v>44151</v>
      </c>
      <c r="B442">
        <v>3.3233999999999999</v>
      </c>
      <c r="C442">
        <v>3.4866999999999999</v>
      </c>
      <c r="D442">
        <v>3.2730999999999999</v>
      </c>
      <c r="E442">
        <v>3.4369000000000001</v>
      </c>
      <c r="F442">
        <v>1599669.23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0.53370786516854085</v>
      </c>
      <c r="Q442">
        <f t="shared" si="975"/>
        <v>853756.04971910361</v>
      </c>
      <c r="R442">
        <f t="shared" si="976"/>
        <v>-8402068.8547979444</v>
      </c>
      <c r="S442">
        <f t="shared" si="977"/>
        <v>-84.020688547979447</v>
      </c>
      <c r="T442">
        <f t="shared" si="978"/>
        <v>-8.402068854797945E-2</v>
      </c>
    </row>
    <row r="443" spans="1:20" x14ac:dyDescent="0.25">
      <c r="A443" s="5">
        <v>44150</v>
      </c>
      <c r="B443">
        <v>3.4249000000000001</v>
      </c>
      <c r="C443">
        <v>3.4950000000000001</v>
      </c>
      <c r="D443">
        <v>3.2381000000000002</v>
      </c>
      <c r="E443">
        <v>3.3216999999999999</v>
      </c>
      <c r="F443">
        <v>2359576.7799999998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-0.34916309848190186</v>
      </c>
      <c r="Q443">
        <f t="shared" si="975"/>
        <v>-823877.13961074885</v>
      </c>
      <c r="R443">
        <f t="shared" si="976"/>
        <v>-9255824.9045170471</v>
      </c>
      <c r="S443">
        <f t="shared" si="977"/>
        <v>-92.55824904517047</v>
      </c>
      <c r="T443">
        <f t="shared" si="978"/>
        <v>-9.2558249045170474E-2</v>
      </c>
    </row>
    <row r="444" spans="1:20" x14ac:dyDescent="0.25">
      <c r="A444" s="5">
        <v>44149</v>
      </c>
      <c r="B444">
        <v>3.6265999999999998</v>
      </c>
      <c r="C444">
        <v>3.6387999999999998</v>
      </c>
      <c r="D444">
        <v>3.3294999999999999</v>
      </c>
      <c r="E444">
        <v>3.4207000000000001</v>
      </c>
      <c r="F444">
        <v>3177587.72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-0.41028128031037703</v>
      </c>
      <c r="Q444">
        <f t="shared" si="975"/>
        <v>-1303704.7580601319</v>
      </c>
      <c r="R444">
        <f t="shared" si="976"/>
        <v>-8431947.7649062984</v>
      </c>
      <c r="S444">
        <f t="shared" si="977"/>
        <v>-84.319477649062989</v>
      </c>
      <c r="T444">
        <f t="shared" si="978"/>
        <v>-8.4319477649062988E-2</v>
      </c>
    </row>
    <row r="445" spans="1:20" x14ac:dyDescent="0.25">
      <c r="A445" s="5">
        <v>44148</v>
      </c>
      <c r="B445">
        <v>3.4910000000000001</v>
      </c>
      <c r="C445">
        <v>3.6480999999999999</v>
      </c>
      <c r="D445">
        <v>3.4297</v>
      </c>
      <c r="E445">
        <v>3.6280000000000001</v>
      </c>
      <c r="F445">
        <v>2500246.92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0.81593406593406781</v>
      </c>
      <c r="Q445">
        <f t="shared" si="975"/>
        <v>2040036.6352747299</v>
      </c>
      <c r="R445">
        <f t="shared" si="976"/>
        <v>-7128243.0068461662</v>
      </c>
      <c r="S445">
        <f t="shared" si="977"/>
        <v>-71.282430068461665</v>
      </c>
      <c r="T445">
        <f t="shared" si="978"/>
        <v>-7.1282430068461661E-2</v>
      </c>
    </row>
    <row r="446" spans="1:20" x14ac:dyDescent="0.25">
      <c r="A446" s="5">
        <v>44147</v>
      </c>
      <c r="B446">
        <v>3.5078</v>
      </c>
      <c r="C446">
        <v>3.8191999999999999</v>
      </c>
      <c r="D446">
        <v>3.3530000000000002</v>
      </c>
      <c r="E446">
        <v>3.4937</v>
      </c>
      <c r="F446">
        <v>6023120.54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-0.39639639639639679</v>
      </c>
      <c r="Q446">
        <f t="shared" si="975"/>
        <v>-2387543.2771171196</v>
      </c>
      <c r="R446">
        <f t="shared" si="976"/>
        <v>-9168279.6421208959</v>
      </c>
      <c r="S446">
        <f t="shared" si="977"/>
        <v>-91.682796421208963</v>
      </c>
      <c r="T446">
        <f t="shared" si="978"/>
        <v>-9.1682796421208967E-2</v>
      </c>
    </row>
    <row r="447" spans="1:20" x14ac:dyDescent="0.25">
      <c r="A447" s="5">
        <v>44146</v>
      </c>
      <c r="B447">
        <v>3.2378</v>
      </c>
      <c r="C447">
        <v>3.8479999999999999</v>
      </c>
      <c r="D447">
        <v>3.2376999999999998</v>
      </c>
      <c r="E447">
        <v>3.5057999999999998</v>
      </c>
      <c r="F447">
        <v>5737691.54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-0.12141569719809937</v>
      </c>
      <c r="Q447">
        <f t="shared" si="975"/>
        <v>-696645.81863673648</v>
      </c>
      <c r="R447">
        <f t="shared" si="976"/>
        <v>-6780736.3650037758</v>
      </c>
      <c r="S447">
        <f t="shared" si="977"/>
        <v>-67.807363650037757</v>
      </c>
      <c r="T447">
        <f t="shared" si="978"/>
        <v>-6.7807363650037755E-2</v>
      </c>
    </row>
    <row r="448" spans="1:20" x14ac:dyDescent="0.25">
      <c r="A448" s="5">
        <v>44145</v>
      </c>
      <c r="B448">
        <v>3.1793999999999998</v>
      </c>
      <c r="C448">
        <v>3.2605</v>
      </c>
      <c r="D448">
        <v>3.0882000000000001</v>
      </c>
      <c r="E448">
        <v>3.2382</v>
      </c>
      <c r="F448">
        <v>1648148.78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0.74114915844457341</v>
      </c>
      <c r="Q448">
        <f t="shared" si="975"/>
        <v>1221524.0812884504</v>
      </c>
      <c r="R448">
        <f t="shared" si="976"/>
        <v>-6084090.546367039</v>
      </c>
      <c r="S448">
        <f t="shared" si="977"/>
        <v>-60.840905463670389</v>
      </c>
      <c r="T448">
        <f t="shared" si="978"/>
        <v>-6.0840905463670387E-2</v>
      </c>
    </row>
    <row r="449" spans="1:20" x14ac:dyDescent="0.25">
      <c r="A449" s="5">
        <v>44144</v>
      </c>
      <c r="B449">
        <v>3.1856</v>
      </c>
      <c r="C449">
        <v>3.2475000000000001</v>
      </c>
      <c r="D449">
        <v>3.0249000000000001</v>
      </c>
      <c r="E449">
        <v>3.1791</v>
      </c>
      <c r="F449">
        <v>1380017.56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0.38544474393530959</v>
      </c>
      <c r="Q449">
        <f t="shared" si="975"/>
        <v>531920.51504043071</v>
      </c>
      <c r="R449">
        <f t="shared" si="976"/>
        <v>-7305614.6276554894</v>
      </c>
      <c r="S449">
        <f t="shared" si="977"/>
        <v>-73.056146276554898</v>
      </c>
      <c r="T449">
        <f t="shared" si="978"/>
        <v>-7.3056146276554892E-2</v>
      </c>
    </row>
    <row r="450" spans="1:20" x14ac:dyDescent="0.25">
      <c r="A450" s="5">
        <v>44143</v>
      </c>
      <c r="B450">
        <v>3.0583</v>
      </c>
      <c r="C450">
        <v>3.3285999999999998</v>
      </c>
      <c r="D450">
        <v>3.0049000000000001</v>
      </c>
      <c r="E450">
        <v>3.1907000000000001</v>
      </c>
      <c r="F450">
        <v>1435219.87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0.14797652147049839</v>
      </c>
      <c r="Q450">
        <f t="shared" si="975"/>
        <v>212378.84390794093</v>
      </c>
      <c r="R450">
        <f t="shared" si="976"/>
        <v>-7837535.1426959205</v>
      </c>
      <c r="S450">
        <f t="shared" si="977"/>
        <v>-78.375351426959199</v>
      </c>
      <c r="T450">
        <f t="shared" si="978"/>
        <v>-7.83753514269592E-2</v>
      </c>
    </row>
    <row r="451" spans="1:20" x14ac:dyDescent="0.25">
      <c r="A451" s="5">
        <v>44142</v>
      </c>
      <c r="B451">
        <v>3.3226</v>
      </c>
      <c r="C451">
        <v>3.4971999999999999</v>
      </c>
      <c r="D451">
        <v>2.9256000000000002</v>
      </c>
      <c r="E451">
        <v>3.0592000000000001</v>
      </c>
      <c r="F451">
        <v>3324310.38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-0.53254023792862137</v>
      </c>
      <c r="Q451">
        <f t="shared" si="975"/>
        <v>-1770329.0407137857</v>
      </c>
      <c r="R451">
        <f t="shared" si="976"/>
        <v>-8049913.9866038617</v>
      </c>
      <c r="S451">
        <f t="shared" si="977"/>
        <v>-80.499139866038618</v>
      </c>
      <c r="T451">
        <f t="shared" si="978"/>
        <v>-8.0499139866038613E-2</v>
      </c>
    </row>
    <row r="452" spans="1:20" x14ac:dyDescent="0.25">
      <c r="A452" s="5">
        <v>44141</v>
      </c>
      <c r="B452">
        <v>2.8892000000000002</v>
      </c>
      <c r="C452">
        <v>3.3708999999999998</v>
      </c>
      <c r="D452">
        <v>2.8803000000000001</v>
      </c>
      <c r="E452">
        <v>3.3220000000000001</v>
      </c>
      <c r="F452">
        <v>2288899.2799999998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0.80065226253567168</v>
      </c>
      <c r="Q452">
        <f t="shared" si="975"/>
        <v>1832612.3872482697</v>
      </c>
      <c r="R452">
        <f t="shared" si="976"/>
        <v>-6279584.9458900765</v>
      </c>
      <c r="S452">
        <f t="shared" si="977"/>
        <v>-62.795849458900761</v>
      </c>
      <c r="T452">
        <f t="shared" si="978"/>
        <v>-6.2795849458900765E-2</v>
      </c>
    </row>
    <row r="453" spans="1:20" x14ac:dyDescent="0.25">
      <c r="A453" s="5">
        <v>44140</v>
      </c>
      <c r="B453">
        <v>2.7664</v>
      </c>
      <c r="C453">
        <v>2.9761000000000002</v>
      </c>
      <c r="D453">
        <v>2.681</v>
      </c>
      <c r="E453">
        <v>2.8914</v>
      </c>
      <c r="F453">
        <v>2363300.27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0.42595730260928377</v>
      </c>
      <c r="Q453">
        <f t="shared" si="975"/>
        <v>1006665.008264992</v>
      </c>
      <c r="R453">
        <f t="shared" si="976"/>
        <v>-8112197.3331383467</v>
      </c>
      <c r="S453">
        <f t="shared" si="977"/>
        <v>-81.121973331383472</v>
      </c>
      <c r="T453">
        <f t="shared" si="978"/>
        <v>-8.1121973331383476E-2</v>
      </c>
    </row>
    <row r="454" spans="1:20" x14ac:dyDescent="0.25">
      <c r="A454" s="5">
        <v>44139</v>
      </c>
      <c r="B454">
        <v>2.903</v>
      </c>
      <c r="C454">
        <v>3.0028000000000001</v>
      </c>
      <c r="D454">
        <v>2.6248</v>
      </c>
      <c r="E454">
        <v>2.7675999999999998</v>
      </c>
      <c r="F454">
        <v>1780900.31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-0.24444444444444566</v>
      </c>
      <c r="Q454">
        <f t="shared" ref="Q454:Q517" si="980">F454*P454</f>
        <v>-435331.18688889104</v>
      </c>
      <c r="R454">
        <f t="shared" ref="R454:R517" si="981">R455+Q454</f>
        <v>-9118862.3414033391</v>
      </c>
      <c r="S454">
        <f t="shared" ref="S454:S517" si="982">R454/100000</f>
        <v>-91.188623414033387</v>
      </c>
      <c r="T454">
        <f t="shared" ref="T454:T517" si="983">S454/1000</f>
        <v>-9.1188623414033387E-2</v>
      </c>
    </row>
    <row r="455" spans="1:20" x14ac:dyDescent="0.25">
      <c r="A455" s="5">
        <v>44138</v>
      </c>
      <c r="B455">
        <v>2.9986000000000002</v>
      </c>
      <c r="C455">
        <v>2.9986000000000002</v>
      </c>
      <c r="D455">
        <v>2.8039999999999998</v>
      </c>
      <c r="E455">
        <v>2.9011999999999998</v>
      </c>
      <c r="F455">
        <v>1075347.57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-1.0277492291902452E-3</v>
      </c>
      <c r="Q455">
        <f t="shared" si="980"/>
        <v>-1105.1876361791033</v>
      </c>
      <c r="R455">
        <f t="shared" si="981"/>
        <v>-8683531.1545144487</v>
      </c>
      <c r="S455">
        <f t="shared" si="982"/>
        <v>-86.835311545144492</v>
      </c>
      <c r="T455">
        <f t="shared" si="983"/>
        <v>-8.6835311545144497E-2</v>
      </c>
    </row>
    <row r="456" spans="1:20" x14ac:dyDescent="0.25">
      <c r="A456" s="5">
        <v>44137</v>
      </c>
      <c r="B456">
        <v>3.1351</v>
      </c>
      <c r="C456">
        <v>3.1861000000000002</v>
      </c>
      <c r="D456">
        <v>2.9558</v>
      </c>
      <c r="E456">
        <v>2.9973999999999998</v>
      </c>
      <c r="F456">
        <v>916520.19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-0.63873208858011443</v>
      </c>
      <c r="Q456">
        <f t="shared" si="980"/>
        <v>-585410.8551845433</v>
      </c>
      <c r="R456">
        <f t="shared" si="981"/>
        <v>-8682425.9668782689</v>
      </c>
      <c r="S456">
        <f t="shared" si="982"/>
        <v>-86.824259668782688</v>
      </c>
      <c r="T456">
        <f t="shared" si="983"/>
        <v>-8.6824259668782683E-2</v>
      </c>
    </row>
    <row r="457" spans="1:20" x14ac:dyDescent="0.25">
      <c r="A457" s="5">
        <v>44136</v>
      </c>
      <c r="B457">
        <v>2.9195000000000002</v>
      </c>
      <c r="C457">
        <v>3.1960000000000002</v>
      </c>
      <c r="D457">
        <v>2.8875000000000002</v>
      </c>
      <c r="E457">
        <v>3.1391</v>
      </c>
      <c r="F457">
        <v>1171056.76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0.63111831442463417</v>
      </c>
      <c r="Q457">
        <f t="shared" si="980"/>
        <v>739075.36846677342</v>
      </c>
      <c r="R457">
        <f t="shared" si="981"/>
        <v>-8097015.1116937259</v>
      </c>
      <c r="S457">
        <f t="shared" si="982"/>
        <v>-80.970151116937259</v>
      </c>
      <c r="T457">
        <f t="shared" si="983"/>
        <v>-8.0970151116937256E-2</v>
      </c>
    </row>
    <row r="458" spans="1:20" x14ac:dyDescent="0.25">
      <c r="A458" s="5">
        <v>44135</v>
      </c>
      <c r="B458">
        <v>2.8681000000000001</v>
      </c>
      <c r="C458">
        <v>3.0093999999999999</v>
      </c>
      <c r="D458">
        <v>2.8532000000000002</v>
      </c>
      <c r="E458">
        <v>2.9232999999999998</v>
      </c>
      <c r="F458">
        <v>620901.89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-0.10243277848911966</v>
      </c>
      <c r="Q458">
        <f t="shared" si="980"/>
        <v>-63600.705761845747</v>
      </c>
      <c r="R458">
        <f t="shared" si="981"/>
        <v>-8836090.480160499</v>
      </c>
      <c r="S458">
        <f t="shared" si="982"/>
        <v>-88.360904801604988</v>
      </c>
      <c r="T458">
        <f t="shared" si="983"/>
        <v>-8.8360904801604995E-2</v>
      </c>
    </row>
    <row r="459" spans="1:20" x14ac:dyDescent="0.25">
      <c r="A459" s="5">
        <v>44134</v>
      </c>
      <c r="B459">
        <v>2.8856999999999999</v>
      </c>
      <c r="C459">
        <v>2.9331999999999998</v>
      </c>
      <c r="D459">
        <v>2.7568999999999999</v>
      </c>
      <c r="E459">
        <v>2.8675000000000002</v>
      </c>
      <c r="F459">
        <v>1057642.24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0.25467952353942502</v>
      </c>
      <c r="Q459">
        <f t="shared" si="980"/>
        <v>269359.82175837021</v>
      </c>
      <c r="R459">
        <f t="shared" si="981"/>
        <v>-8772489.7743986528</v>
      </c>
      <c r="S459">
        <f t="shared" si="982"/>
        <v>-87.724897743986531</v>
      </c>
      <c r="T459">
        <f t="shared" si="983"/>
        <v>-8.7724897743986535E-2</v>
      </c>
    </row>
    <row r="460" spans="1:20" x14ac:dyDescent="0.25">
      <c r="A460" s="5">
        <v>44133</v>
      </c>
      <c r="B460">
        <v>3.0674000000000001</v>
      </c>
      <c r="C460">
        <v>3.1398000000000001</v>
      </c>
      <c r="D460">
        <v>2.8485999999999998</v>
      </c>
      <c r="E460">
        <v>2.8904999999999998</v>
      </c>
      <c r="F460">
        <v>1042071.2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-0.71222527472527475</v>
      </c>
      <c r="Q460">
        <f t="shared" si="980"/>
        <v>-742189.44670329674</v>
      </c>
      <c r="R460">
        <f t="shared" si="981"/>
        <v>-9041849.5961570237</v>
      </c>
      <c r="S460">
        <f t="shared" si="982"/>
        <v>-90.418495961570244</v>
      </c>
      <c r="T460">
        <f t="shared" si="983"/>
        <v>-9.0418495961570242E-2</v>
      </c>
    </row>
    <row r="461" spans="1:20" x14ac:dyDescent="0.25">
      <c r="A461" s="5">
        <v>44132</v>
      </c>
      <c r="B461">
        <v>3.2155</v>
      </c>
      <c r="C461">
        <v>3.2544</v>
      </c>
      <c r="D461">
        <v>3.0034000000000001</v>
      </c>
      <c r="E461">
        <v>3.0657000000000001</v>
      </c>
      <c r="F461">
        <v>884456.72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-0.50358565737051753</v>
      </c>
      <c r="Q461">
        <f t="shared" si="980"/>
        <v>-445399.71875697176</v>
      </c>
      <c r="R461">
        <f t="shared" si="981"/>
        <v>-8299660.1494537266</v>
      </c>
      <c r="S461">
        <f t="shared" si="982"/>
        <v>-82.996601494537259</v>
      </c>
      <c r="T461">
        <f t="shared" si="983"/>
        <v>-8.2996601494537262E-2</v>
      </c>
    </row>
    <row r="462" spans="1:20" x14ac:dyDescent="0.25">
      <c r="A462" s="5">
        <v>44131</v>
      </c>
      <c r="B462">
        <v>3.2366999999999999</v>
      </c>
      <c r="C462">
        <v>3.3087</v>
      </c>
      <c r="D462">
        <v>3.1495000000000002</v>
      </c>
      <c r="E462">
        <v>3.2119</v>
      </c>
      <c r="F462">
        <v>915295.55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-0.21608040201005185</v>
      </c>
      <c r="Q462">
        <f t="shared" si="980"/>
        <v>-197777.43040201152</v>
      </c>
      <c r="R462">
        <f t="shared" si="981"/>
        <v>-7854260.4306967547</v>
      </c>
      <c r="S462">
        <f t="shared" si="982"/>
        <v>-78.542604306967547</v>
      </c>
      <c r="T462">
        <f t="shared" si="983"/>
        <v>-7.8542604306967551E-2</v>
      </c>
    </row>
    <row r="463" spans="1:20" x14ac:dyDescent="0.25">
      <c r="A463" s="5">
        <v>44130</v>
      </c>
      <c r="B463">
        <v>3.3509000000000002</v>
      </c>
      <c r="C463">
        <v>3.4152999999999998</v>
      </c>
      <c r="D463">
        <v>3.0844</v>
      </c>
      <c r="E463">
        <v>3.2363</v>
      </c>
      <c r="F463">
        <v>1160756.6399999999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-8.1897854336657361E-2</v>
      </c>
      <c r="Q463">
        <f t="shared" si="980"/>
        <v>-95063.478223027822</v>
      </c>
      <c r="R463">
        <f t="shared" si="981"/>
        <v>-7656483.0002947431</v>
      </c>
      <c r="S463">
        <f t="shared" si="982"/>
        <v>-76.564830002947431</v>
      </c>
      <c r="T463">
        <f t="shared" si="983"/>
        <v>-7.6564830002947434E-2</v>
      </c>
    </row>
    <row r="464" spans="1:20" x14ac:dyDescent="0.25">
      <c r="A464" s="5">
        <v>44129</v>
      </c>
      <c r="B464">
        <v>3.4828999999999999</v>
      </c>
      <c r="C464">
        <v>3.4876999999999998</v>
      </c>
      <c r="D464">
        <v>3.2810999999999999</v>
      </c>
      <c r="E464">
        <v>3.3492999999999999</v>
      </c>
      <c r="F464">
        <v>692979.72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-0.33978702807357142</v>
      </c>
      <c r="Q464">
        <f t="shared" si="980"/>
        <v>-235465.51957405565</v>
      </c>
      <c r="R464">
        <f t="shared" si="981"/>
        <v>-7561419.5220717154</v>
      </c>
      <c r="S464">
        <f t="shared" si="982"/>
        <v>-75.61419522071715</v>
      </c>
      <c r="T464">
        <f t="shared" si="983"/>
        <v>-7.5614195220717148E-2</v>
      </c>
    </row>
    <row r="465" spans="1:20" x14ac:dyDescent="0.25">
      <c r="A465" s="5">
        <v>44128</v>
      </c>
      <c r="B465">
        <v>3.5304000000000002</v>
      </c>
      <c r="C465">
        <v>3.5773000000000001</v>
      </c>
      <c r="D465">
        <v>3.4239999999999999</v>
      </c>
      <c r="E465">
        <v>3.4863</v>
      </c>
      <c r="F465">
        <v>708964.57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-0.18721461187214697</v>
      </c>
      <c r="Q465">
        <f t="shared" si="980"/>
        <v>-132728.52680365357</v>
      </c>
      <c r="R465">
        <f t="shared" si="981"/>
        <v>-7325954.00249766</v>
      </c>
      <c r="S465">
        <f t="shared" si="982"/>
        <v>-73.259540024976602</v>
      </c>
      <c r="T465">
        <f t="shared" si="983"/>
        <v>-7.3259540024976602E-2</v>
      </c>
    </row>
    <row r="466" spans="1:20" x14ac:dyDescent="0.25">
      <c r="A466" s="5">
        <v>44127</v>
      </c>
      <c r="B466">
        <v>3.496</v>
      </c>
      <c r="C466">
        <v>3.65</v>
      </c>
      <c r="D466">
        <v>3.3853</v>
      </c>
      <c r="E466">
        <v>3.5255000000000001</v>
      </c>
      <c r="F466">
        <v>1109255.3799999999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5.9312429165093591E-2</v>
      </c>
      <c r="Q466">
        <f t="shared" si="980"/>
        <v>65792.63115224897</v>
      </c>
      <c r="R466">
        <f t="shared" si="981"/>
        <v>-7193225.4756940063</v>
      </c>
      <c r="S466">
        <f t="shared" si="982"/>
        <v>-71.932254756940068</v>
      </c>
      <c r="T466">
        <f t="shared" si="983"/>
        <v>-7.1932254756940067E-2</v>
      </c>
    </row>
    <row r="467" spans="1:20" x14ac:dyDescent="0.25">
      <c r="A467" s="5">
        <v>44126</v>
      </c>
      <c r="B467">
        <v>3.2608999999999999</v>
      </c>
      <c r="C467">
        <v>3.585</v>
      </c>
      <c r="D467">
        <v>3.2603</v>
      </c>
      <c r="E467">
        <v>3.4942000000000002</v>
      </c>
      <c r="F467">
        <v>1405121.62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0.44071450569756837</v>
      </c>
      <c r="Q467">
        <f t="shared" si="980"/>
        <v>619257.4802032666</v>
      </c>
      <c r="R467">
        <f t="shared" si="981"/>
        <v>-7259018.1068462553</v>
      </c>
      <c r="S467">
        <f t="shared" si="982"/>
        <v>-72.590181068462556</v>
      </c>
      <c r="T467">
        <f t="shared" si="983"/>
        <v>-7.2590181068462559E-2</v>
      </c>
    </row>
    <row r="468" spans="1:20" x14ac:dyDescent="0.25">
      <c r="A468" s="5">
        <v>44125</v>
      </c>
      <c r="B468">
        <v>3.1273</v>
      </c>
      <c r="C468">
        <v>3.4272</v>
      </c>
      <c r="D468">
        <v>3.1084999999999998</v>
      </c>
      <c r="E468">
        <v>3.2646000000000002</v>
      </c>
      <c r="F468">
        <v>1443265.03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-2.0395356134294013E-2</v>
      </c>
      <c r="Q468">
        <f t="shared" si="980"/>
        <v>-29435.904283022533</v>
      </c>
      <c r="R468">
        <f t="shared" si="981"/>
        <v>-7878275.5870495215</v>
      </c>
      <c r="S468">
        <f t="shared" si="982"/>
        <v>-78.782755870495208</v>
      </c>
      <c r="T468">
        <f t="shared" si="983"/>
        <v>-7.8782755870495214E-2</v>
      </c>
    </row>
    <row r="469" spans="1:20" x14ac:dyDescent="0.25">
      <c r="A469" s="5">
        <v>44124</v>
      </c>
      <c r="B469">
        <v>3.3624999999999998</v>
      </c>
      <c r="C469">
        <v>3.3868999999999998</v>
      </c>
      <c r="D469">
        <v>3.0718000000000001</v>
      </c>
      <c r="E469">
        <v>3.1297000000000001</v>
      </c>
      <c r="F469">
        <v>1084319.94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-0.63249761980323638</v>
      </c>
      <c r="Q469">
        <f t="shared" si="980"/>
        <v>-685829.7811551881</v>
      </c>
      <c r="R469">
        <f t="shared" si="981"/>
        <v>-7848839.682766499</v>
      </c>
      <c r="S469">
        <f t="shared" si="982"/>
        <v>-78.488396827664985</v>
      </c>
      <c r="T469">
        <f t="shared" si="983"/>
        <v>-7.848839682766498E-2</v>
      </c>
    </row>
    <row r="470" spans="1:20" x14ac:dyDescent="0.25">
      <c r="A470" s="5">
        <v>44123</v>
      </c>
      <c r="B470">
        <v>3.4066000000000001</v>
      </c>
      <c r="C470">
        <v>3.5072999999999999</v>
      </c>
      <c r="D470">
        <v>3.2522000000000002</v>
      </c>
      <c r="E470">
        <v>3.3666</v>
      </c>
      <c r="F470">
        <v>1155548.3899999999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-0.10309682477459829</v>
      </c>
      <c r="Q470">
        <f t="shared" si="980"/>
        <v>-119133.36988239916</v>
      </c>
      <c r="R470">
        <f t="shared" si="981"/>
        <v>-7163009.9016113114</v>
      </c>
      <c r="S470">
        <f t="shared" si="982"/>
        <v>-71.630099016113107</v>
      </c>
      <c r="T470">
        <f t="shared" si="983"/>
        <v>-7.1630099016113113E-2</v>
      </c>
    </row>
    <row r="471" spans="1:20" x14ac:dyDescent="0.25">
      <c r="A471" s="5">
        <v>44122</v>
      </c>
      <c r="B471">
        <v>3.2526999999999999</v>
      </c>
      <c r="C471">
        <v>3.4514999999999998</v>
      </c>
      <c r="D471">
        <v>3.2458999999999998</v>
      </c>
      <c r="E471">
        <v>3.4018999999999999</v>
      </c>
      <c r="F471">
        <v>717534.52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0.51750972762646041</v>
      </c>
      <c r="Q471">
        <f t="shared" si="980"/>
        <v>371331.09400778305</v>
      </c>
      <c r="R471">
        <f t="shared" si="981"/>
        <v>-7043876.5317289121</v>
      </c>
      <c r="S471">
        <f t="shared" si="982"/>
        <v>-70.438765317289125</v>
      </c>
      <c r="T471">
        <f t="shared" si="983"/>
        <v>-7.0438765317289126E-2</v>
      </c>
    </row>
    <row r="472" spans="1:20" x14ac:dyDescent="0.25">
      <c r="A472" s="5">
        <v>44121</v>
      </c>
      <c r="B472">
        <v>3.2271000000000001</v>
      </c>
      <c r="C472">
        <v>3.2995000000000001</v>
      </c>
      <c r="D472">
        <v>3.1309</v>
      </c>
      <c r="E472">
        <v>3.2570000000000001</v>
      </c>
      <c r="F472">
        <v>725723.49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0.49584816132858883</v>
      </c>
      <c r="Q472">
        <f t="shared" si="980"/>
        <v>359848.6581494665</v>
      </c>
      <c r="R472">
        <f t="shared" si="981"/>
        <v>-7415207.6257366948</v>
      </c>
      <c r="S472">
        <f t="shared" si="982"/>
        <v>-74.152076257366943</v>
      </c>
      <c r="T472">
        <f t="shared" si="983"/>
        <v>-7.4152076257366945E-2</v>
      </c>
    </row>
    <row r="473" spans="1:20" x14ac:dyDescent="0.25">
      <c r="A473" s="5">
        <v>44120</v>
      </c>
      <c r="B473">
        <v>3.4363999999999999</v>
      </c>
      <c r="C473">
        <v>3.5</v>
      </c>
      <c r="D473">
        <v>3.2174999999999998</v>
      </c>
      <c r="E473">
        <v>3.2204000000000002</v>
      </c>
      <c r="F473">
        <v>1036424.11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-0.97946902654867007</v>
      </c>
      <c r="Q473">
        <f t="shared" si="980"/>
        <v>-1015145.3141132718</v>
      </c>
      <c r="R473">
        <f t="shared" si="981"/>
        <v>-7775056.2838861616</v>
      </c>
      <c r="S473">
        <f t="shared" si="982"/>
        <v>-77.750562838861612</v>
      </c>
      <c r="T473">
        <f t="shared" si="983"/>
        <v>-7.7750562838861614E-2</v>
      </c>
    </row>
    <row r="474" spans="1:20" x14ac:dyDescent="0.25">
      <c r="A474" s="5">
        <v>44119</v>
      </c>
      <c r="B474">
        <v>3.3307000000000002</v>
      </c>
      <c r="C474">
        <v>3.5142000000000002</v>
      </c>
      <c r="D474">
        <v>3.2229999999999999</v>
      </c>
      <c r="E474">
        <v>3.4321000000000002</v>
      </c>
      <c r="F474">
        <v>1377335.47</v>
      </c>
      <c r="G474">
        <v>0</v>
      </c>
      <c r="L474" t="s">
        <v>8</v>
      </c>
      <c r="M474" t="s">
        <v>7</v>
      </c>
      <c r="N474" t="s">
        <v>7</v>
      </c>
      <c r="P474">
        <f t="shared" si="979"/>
        <v>0.43612637362637385</v>
      </c>
      <c r="Q474">
        <f t="shared" si="980"/>
        <v>600692.32379807718</v>
      </c>
      <c r="R474">
        <f t="shared" si="981"/>
        <v>-6759910.9697728902</v>
      </c>
      <c r="S474">
        <f t="shared" si="982"/>
        <v>-67.599109697728906</v>
      </c>
      <c r="T474">
        <f t="shared" si="983"/>
        <v>-6.7599109697728907E-2</v>
      </c>
    </row>
    <row r="475" spans="1:20" x14ac:dyDescent="0.25">
      <c r="A475" s="5">
        <v>44118</v>
      </c>
      <c r="B475">
        <v>3.5276000000000001</v>
      </c>
      <c r="C475">
        <v>3.5562</v>
      </c>
      <c r="D475">
        <v>3.2547000000000001</v>
      </c>
      <c r="E475">
        <v>3.3307000000000002</v>
      </c>
      <c r="F475">
        <v>1234672.3700000001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-0.49585406301824148</v>
      </c>
      <c r="Q475">
        <f t="shared" si="980"/>
        <v>-612217.31116086163</v>
      </c>
      <c r="R475">
        <f t="shared" si="981"/>
        <v>-7360603.2935709674</v>
      </c>
      <c r="S475">
        <f t="shared" si="982"/>
        <v>-73.606032935709678</v>
      </c>
      <c r="T475">
        <f t="shared" si="983"/>
        <v>-7.3606032935709678E-2</v>
      </c>
    </row>
    <row r="476" spans="1:20" x14ac:dyDescent="0.25">
      <c r="A476" s="5">
        <v>44117</v>
      </c>
      <c r="B476">
        <v>3.6461000000000001</v>
      </c>
      <c r="C476">
        <v>3.6581000000000001</v>
      </c>
      <c r="D476">
        <v>3.4430999999999998</v>
      </c>
      <c r="E476">
        <v>3.5316999999999998</v>
      </c>
      <c r="F476">
        <v>1292980.8799999999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-0.17581395348837314</v>
      </c>
      <c r="Q476">
        <f t="shared" si="980"/>
        <v>-227324.08029767577</v>
      </c>
      <c r="R476">
        <f t="shared" si="981"/>
        <v>-6748385.9824101059</v>
      </c>
      <c r="S476">
        <f t="shared" si="982"/>
        <v>-67.48385982410106</v>
      </c>
      <c r="T476">
        <f t="shared" si="983"/>
        <v>-6.7483859824101058E-2</v>
      </c>
    </row>
    <row r="477" spans="1:20" x14ac:dyDescent="0.25">
      <c r="A477" s="5">
        <v>44116</v>
      </c>
      <c r="B477">
        <v>3.6539000000000001</v>
      </c>
      <c r="C477">
        <v>3.7482000000000002</v>
      </c>
      <c r="D477">
        <v>3.5024000000000002</v>
      </c>
      <c r="E477">
        <v>3.6413000000000002</v>
      </c>
      <c r="F477">
        <v>1954014.61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0.13018714401952819</v>
      </c>
      <c r="Q477">
        <f t="shared" si="980"/>
        <v>254387.58144833223</v>
      </c>
      <c r="R477">
        <f t="shared" si="981"/>
        <v>-6521061.90211243</v>
      </c>
      <c r="S477">
        <f t="shared" si="982"/>
        <v>-65.210619021124302</v>
      </c>
      <c r="T477">
        <f t="shared" si="983"/>
        <v>-6.5210619021124308E-2</v>
      </c>
    </row>
    <row r="478" spans="1:20" x14ac:dyDescent="0.25">
      <c r="A478" s="5">
        <v>44115</v>
      </c>
      <c r="B478">
        <v>3.6254</v>
      </c>
      <c r="C478">
        <v>3.7976000000000001</v>
      </c>
      <c r="D478">
        <v>3.5259999999999998</v>
      </c>
      <c r="E478">
        <v>3.6537999999999999</v>
      </c>
      <c r="F478">
        <v>1821147.4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-5.89101620029455E-2</v>
      </c>
      <c r="Q478">
        <f t="shared" si="980"/>
        <v>-107284.08836524299</v>
      </c>
      <c r="R478">
        <f t="shared" si="981"/>
        <v>-6775449.4835607624</v>
      </c>
      <c r="S478">
        <f t="shared" si="982"/>
        <v>-67.75449483560763</v>
      </c>
      <c r="T478">
        <f t="shared" si="983"/>
        <v>-6.7754494835607637E-2</v>
      </c>
    </row>
    <row r="479" spans="1:20" x14ac:dyDescent="0.25">
      <c r="A479" s="5">
        <v>44114</v>
      </c>
      <c r="B479">
        <v>3.4813000000000001</v>
      </c>
      <c r="C479">
        <v>3.95</v>
      </c>
      <c r="D479">
        <v>3.4767999999999999</v>
      </c>
      <c r="E479">
        <v>3.6272000000000002</v>
      </c>
      <c r="F479">
        <v>3056078.33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-0.36432797971259417</v>
      </c>
      <c r="Q479">
        <f t="shared" si="980"/>
        <v>-1113414.8438123388</v>
      </c>
      <c r="R479">
        <f t="shared" si="981"/>
        <v>-6668165.3951955196</v>
      </c>
      <c r="S479">
        <f t="shared" si="982"/>
        <v>-66.681653951955198</v>
      </c>
      <c r="T479">
        <f t="shared" si="983"/>
        <v>-6.6681653951955203E-2</v>
      </c>
    </row>
    <row r="480" spans="1:20" x14ac:dyDescent="0.25">
      <c r="A480" s="5">
        <v>44113</v>
      </c>
      <c r="B480">
        <v>3.3833000000000002</v>
      </c>
      <c r="C480">
        <v>3.6036000000000001</v>
      </c>
      <c r="D480">
        <v>3.2602000000000002</v>
      </c>
      <c r="E480">
        <v>3.4830999999999999</v>
      </c>
      <c r="F480">
        <v>2354863.84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0.29819452533488466</v>
      </c>
      <c r="Q480">
        <f t="shared" si="980"/>
        <v>702207.50499708368</v>
      </c>
      <c r="R480">
        <f t="shared" si="981"/>
        <v>-5554750.5513831805</v>
      </c>
      <c r="S480">
        <f t="shared" si="982"/>
        <v>-55.547505513831808</v>
      </c>
      <c r="T480">
        <f t="shared" si="983"/>
        <v>-5.5547505513831807E-2</v>
      </c>
    </row>
    <row r="481" spans="1:20" x14ac:dyDescent="0.25">
      <c r="A481" s="5">
        <v>44112</v>
      </c>
      <c r="B481">
        <v>3.2606000000000002</v>
      </c>
      <c r="C481">
        <v>3.4693000000000001</v>
      </c>
      <c r="D481">
        <v>3.0234000000000001</v>
      </c>
      <c r="E481">
        <v>3.3795999999999999</v>
      </c>
      <c r="F481">
        <v>2878000.06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0.59766763848396443</v>
      </c>
      <c r="Q481">
        <f t="shared" si="980"/>
        <v>1720087.499416908</v>
      </c>
      <c r="R481">
        <f t="shared" si="981"/>
        <v>-6256958.0563802645</v>
      </c>
      <c r="S481">
        <f t="shared" si="982"/>
        <v>-62.569580563802646</v>
      </c>
      <c r="T481">
        <f t="shared" si="983"/>
        <v>-6.2569580563802643E-2</v>
      </c>
    </row>
    <row r="482" spans="1:20" x14ac:dyDescent="0.25">
      <c r="A482" s="5">
        <v>44111</v>
      </c>
      <c r="B482">
        <v>3.3574999999999999</v>
      </c>
      <c r="C482">
        <v>3.3719000000000001</v>
      </c>
      <c r="D482">
        <v>3.0857000000000001</v>
      </c>
      <c r="E482">
        <v>3.2604000000000002</v>
      </c>
      <c r="F482">
        <v>2398949.91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0.22082459818308925</v>
      </c>
      <c r="Q482">
        <f t="shared" si="980"/>
        <v>529747.14993710816</v>
      </c>
      <c r="R482">
        <f t="shared" si="981"/>
        <v>-7977045.5557971727</v>
      </c>
      <c r="S482">
        <f t="shared" si="982"/>
        <v>-79.770455557971729</v>
      </c>
      <c r="T482">
        <f t="shared" si="983"/>
        <v>-7.9770455557971728E-2</v>
      </c>
    </row>
    <row r="483" spans="1:20" x14ac:dyDescent="0.25">
      <c r="A483" s="5">
        <v>44110</v>
      </c>
      <c r="B483">
        <v>3.8117000000000001</v>
      </c>
      <c r="C483">
        <v>3.8237999999999999</v>
      </c>
      <c r="D483">
        <v>3.2774999999999999</v>
      </c>
      <c r="E483">
        <v>3.3658000000000001</v>
      </c>
      <c r="F483">
        <v>2459275.42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-0.67673439502104971</v>
      </c>
      <c r="Q483">
        <f t="shared" si="980"/>
        <v>-1664276.2635438379</v>
      </c>
      <c r="R483">
        <f t="shared" si="981"/>
        <v>-8506792.7057342809</v>
      </c>
      <c r="S483">
        <f t="shared" si="982"/>
        <v>-85.067927057342814</v>
      </c>
      <c r="T483">
        <f t="shared" si="983"/>
        <v>-8.5067927057342813E-2</v>
      </c>
    </row>
    <row r="484" spans="1:20" x14ac:dyDescent="0.25">
      <c r="A484" s="5">
        <v>44109</v>
      </c>
      <c r="B484">
        <v>3.6335999999999999</v>
      </c>
      <c r="C484">
        <v>3.9</v>
      </c>
      <c r="D484">
        <v>3.6284999999999998</v>
      </c>
      <c r="E484">
        <v>3.8073999999999999</v>
      </c>
      <c r="F484">
        <v>1613031.3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0.31786372007366492</v>
      </c>
      <c r="Q484">
        <f t="shared" si="980"/>
        <v>512724.12961325987</v>
      </c>
      <c r="R484">
        <f t="shared" si="981"/>
        <v>-6842516.4421904422</v>
      </c>
      <c r="S484">
        <f t="shared" si="982"/>
        <v>-68.425164421904427</v>
      </c>
      <c r="T484">
        <f t="shared" si="983"/>
        <v>-6.8425164421904425E-2</v>
      </c>
    </row>
    <row r="485" spans="1:20" x14ac:dyDescent="0.25">
      <c r="A485" s="5">
        <v>44108</v>
      </c>
      <c r="B485">
        <v>3.7221000000000002</v>
      </c>
      <c r="C485">
        <v>3.7513999999999998</v>
      </c>
      <c r="D485">
        <v>3.5</v>
      </c>
      <c r="E485">
        <v>3.6295000000000002</v>
      </c>
      <c r="F485">
        <v>1635370.62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3.0230708035005965E-2</v>
      </c>
      <c r="Q485">
        <f t="shared" si="980"/>
        <v>49438.411742246688</v>
      </c>
      <c r="R485">
        <f t="shared" si="981"/>
        <v>-7355240.571803702</v>
      </c>
      <c r="S485">
        <f t="shared" si="982"/>
        <v>-73.552405718037022</v>
      </c>
      <c r="T485">
        <f t="shared" si="983"/>
        <v>-7.355240571803702E-2</v>
      </c>
    </row>
    <row r="486" spans="1:20" x14ac:dyDescent="0.25">
      <c r="A486" s="5">
        <v>44107</v>
      </c>
      <c r="B486">
        <v>3.7848000000000002</v>
      </c>
      <c r="C486">
        <v>3.89</v>
      </c>
      <c r="D486">
        <v>3.7054</v>
      </c>
      <c r="E486">
        <v>3.7216</v>
      </c>
      <c r="F486">
        <v>1344925.29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-0.82448537378114861</v>
      </c>
      <c r="Q486">
        <f t="shared" si="980"/>
        <v>-1108871.2304333698</v>
      </c>
      <c r="R486">
        <f t="shared" si="981"/>
        <v>-7404678.9835459488</v>
      </c>
      <c r="S486">
        <f t="shared" si="982"/>
        <v>-74.046789835459492</v>
      </c>
      <c r="T486">
        <f t="shared" si="983"/>
        <v>-7.4046789835459495E-2</v>
      </c>
    </row>
    <row r="487" spans="1:20" x14ac:dyDescent="0.25">
      <c r="A487" s="5">
        <v>44106</v>
      </c>
      <c r="B487">
        <v>4.0159000000000002</v>
      </c>
      <c r="C487">
        <v>4.28</v>
      </c>
      <c r="D487">
        <v>3.5724</v>
      </c>
      <c r="E487">
        <v>3.7867999999999999</v>
      </c>
      <c r="F487">
        <v>4470351.12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-0.39400791407574942</v>
      </c>
      <c r="Q487">
        <f t="shared" si="980"/>
        <v>-1761353.7199773903</v>
      </c>
      <c r="R487">
        <f t="shared" si="981"/>
        <v>-6295807.7531125788</v>
      </c>
      <c r="S487">
        <f t="shared" si="982"/>
        <v>-62.958077531125788</v>
      </c>
      <c r="T487">
        <f t="shared" si="983"/>
        <v>-6.2958077531125783E-2</v>
      </c>
    </row>
    <row r="488" spans="1:20" x14ac:dyDescent="0.25">
      <c r="A488" s="5">
        <v>44105</v>
      </c>
      <c r="B488">
        <v>4.0174000000000003</v>
      </c>
      <c r="C488">
        <v>4.4000000000000004</v>
      </c>
      <c r="D488">
        <v>3.8</v>
      </c>
      <c r="E488">
        <v>4.0159000000000002</v>
      </c>
      <c r="F488">
        <v>4524396.6900000004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-0.28033333333333255</v>
      </c>
      <c r="Q488">
        <f t="shared" si="980"/>
        <v>-1268339.2054299966</v>
      </c>
      <c r="R488">
        <f t="shared" si="981"/>
        <v>-4534454.0331351887</v>
      </c>
      <c r="S488">
        <f t="shared" si="982"/>
        <v>-45.344540331351887</v>
      </c>
      <c r="T488">
        <f t="shared" si="983"/>
        <v>-4.5344540331351886E-2</v>
      </c>
    </row>
    <row r="489" spans="1:20" x14ac:dyDescent="0.25">
      <c r="A489" s="5">
        <v>44104</v>
      </c>
      <c r="B489">
        <v>4.1090999999999998</v>
      </c>
      <c r="C489">
        <v>4.1243999999999996</v>
      </c>
      <c r="D489">
        <v>3.83</v>
      </c>
      <c r="E489">
        <v>4.0202</v>
      </c>
      <c r="F489">
        <v>2429537.73</v>
      </c>
      <c r="G489">
        <v>0</v>
      </c>
      <c r="L489" t="s">
        <v>7</v>
      </c>
      <c r="M489" t="s">
        <v>8</v>
      </c>
      <c r="N489" t="s">
        <v>8</v>
      </c>
      <c r="P489">
        <f t="shared" si="979"/>
        <v>0.29211956521739274</v>
      </c>
      <c r="Q489">
        <f t="shared" si="980"/>
        <v>709715.50536685134</v>
      </c>
      <c r="R489">
        <f t="shared" si="981"/>
        <v>-3266114.8277051924</v>
      </c>
      <c r="S489">
        <f t="shared" si="982"/>
        <v>-32.661148277051922</v>
      </c>
      <c r="T489">
        <f t="shared" si="983"/>
        <v>-3.2661148277051924E-2</v>
      </c>
    </row>
    <row r="490" spans="1:20" x14ac:dyDescent="0.25">
      <c r="A490" s="5">
        <v>44103</v>
      </c>
      <c r="B490">
        <v>3.7669000000000001</v>
      </c>
      <c r="C490">
        <v>4.4367000000000001</v>
      </c>
      <c r="D490">
        <v>3.7374000000000001</v>
      </c>
      <c r="E490">
        <v>4.1100000000000003</v>
      </c>
      <c r="F490">
        <v>9524531.0800000001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6.5637065637066339E-2</v>
      </c>
      <c r="Q490">
        <f t="shared" si="980"/>
        <v>625162.27166023839</v>
      </c>
      <c r="R490">
        <f t="shared" si="981"/>
        <v>-3975830.333072044</v>
      </c>
      <c r="S490">
        <f t="shared" si="982"/>
        <v>-39.758303330720437</v>
      </c>
      <c r="T490">
        <f t="shared" si="983"/>
        <v>-3.9758303330720439E-2</v>
      </c>
    </row>
    <row r="491" spans="1:20" x14ac:dyDescent="0.25">
      <c r="A491" s="5">
        <v>44102</v>
      </c>
      <c r="B491">
        <v>3.0857000000000001</v>
      </c>
      <c r="C491">
        <v>4.2945000000000002</v>
      </c>
      <c r="D491">
        <v>3.0838000000000001</v>
      </c>
      <c r="E491">
        <v>3.7724000000000002</v>
      </c>
      <c r="F491">
        <v>8904511.9499999993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0.13752374659288022</v>
      </c>
      <c r="Q491">
        <f t="shared" si="980"/>
        <v>1224581.8449450736</v>
      </c>
      <c r="R491">
        <f t="shared" si="981"/>
        <v>-4600992.6047322825</v>
      </c>
      <c r="S491">
        <f t="shared" si="982"/>
        <v>-46.009926047322821</v>
      </c>
      <c r="T491">
        <f t="shared" si="983"/>
        <v>-4.6009926047322819E-2</v>
      </c>
    </row>
    <row r="492" spans="1:20" x14ac:dyDescent="0.25">
      <c r="A492" s="5">
        <v>44101</v>
      </c>
      <c r="B492">
        <v>3.1012</v>
      </c>
      <c r="C492">
        <v>3.1179000000000001</v>
      </c>
      <c r="D492">
        <v>2.96</v>
      </c>
      <c r="E492">
        <v>3.0844</v>
      </c>
      <c r="F492">
        <v>1075568.3700000001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0.57568081063964471</v>
      </c>
      <c r="Q492">
        <f t="shared" si="980"/>
        <v>619184.07113996136</v>
      </c>
      <c r="R492">
        <f t="shared" si="981"/>
        <v>-5825574.4496773565</v>
      </c>
      <c r="S492">
        <f t="shared" si="982"/>
        <v>-58.255744496773566</v>
      </c>
      <c r="T492">
        <f t="shared" si="983"/>
        <v>-5.8255744496773565E-2</v>
      </c>
    </row>
    <row r="493" spans="1:20" x14ac:dyDescent="0.25">
      <c r="A493" s="5">
        <v>44100</v>
      </c>
      <c r="B493">
        <v>3.1480000000000001</v>
      </c>
      <c r="C493">
        <v>3.2071000000000001</v>
      </c>
      <c r="D493">
        <v>3.0316999999999998</v>
      </c>
      <c r="E493">
        <v>3.1049000000000002</v>
      </c>
      <c r="F493">
        <v>1451376.28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-0.16533637400227727</v>
      </c>
      <c r="Q493">
        <f t="shared" si="980"/>
        <v>-239965.29144811389</v>
      </c>
      <c r="R493">
        <f t="shared" si="981"/>
        <v>-6444758.520817318</v>
      </c>
      <c r="S493">
        <f t="shared" si="982"/>
        <v>-64.44758520817318</v>
      </c>
      <c r="T493">
        <f t="shared" si="983"/>
        <v>-6.4447585208173175E-2</v>
      </c>
    </row>
    <row r="494" spans="1:20" x14ac:dyDescent="0.25">
      <c r="A494" s="5">
        <v>44099</v>
      </c>
      <c r="B494">
        <v>3.1095000000000002</v>
      </c>
      <c r="C494">
        <v>3.25</v>
      </c>
      <c r="D494">
        <v>2.9359000000000002</v>
      </c>
      <c r="E494">
        <v>3.1480000000000001</v>
      </c>
      <c r="F494">
        <v>1837168.83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0.35052531041069768</v>
      </c>
      <c r="Q494">
        <f t="shared" si="980"/>
        <v>643974.17441260826</v>
      </c>
      <c r="R494">
        <f t="shared" si="981"/>
        <v>-6204793.2293692045</v>
      </c>
      <c r="S494">
        <f t="shared" si="982"/>
        <v>-62.047932293692043</v>
      </c>
      <c r="T494">
        <f t="shared" si="983"/>
        <v>-6.2047932293692043E-2</v>
      </c>
    </row>
    <row r="495" spans="1:20" x14ac:dyDescent="0.25">
      <c r="A495" s="5">
        <v>44098</v>
      </c>
      <c r="B495">
        <v>2.7541000000000002</v>
      </c>
      <c r="C495">
        <v>3.1581999999999999</v>
      </c>
      <c r="D495">
        <v>2.7212000000000001</v>
      </c>
      <c r="E495">
        <v>3.1137000000000001</v>
      </c>
      <c r="F495">
        <v>2363229.75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0.79633867276887971</v>
      </c>
      <c r="Q495">
        <f t="shared" si="980"/>
        <v>1881931.2425629315</v>
      </c>
      <c r="R495">
        <f t="shared" si="981"/>
        <v>-6848767.4037818126</v>
      </c>
      <c r="S495">
        <f t="shared" si="982"/>
        <v>-68.487674037818124</v>
      </c>
      <c r="T495">
        <f t="shared" si="983"/>
        <v>-6.8487674037818122E-2</v>
      </c>
    </row>
    <row r="496" spans="1:20" x14ac:dyDescent="0.25">
      <c r="A496" s="5">
        <v>44097</v>
      </c>
      <c r="B496">
        <v>3.2265999999999999</v>
      </c>
      <c r="C496">
        <v>3.2330000000000001</v>
      </c>
      <c r="D496">
        <v>2.6924999999999999</v>
      </c>
      <c r="E496">
        <v>2.7528000000000001</v>
      </c>
      <c r="F496">
        <v>5406820.0800000001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-0.77687326549491131</v>
      </c>
      <c r="Q496">
        <f t="shared" si="980"/>
        <v>-4200413.9714930579</v>
      </c>
      <c r="R496">
        <f t="shared" si="981"/>
        <v>-8730698.6463447437</v>
      </c>
      <c r="S496">
        <f t="shared" si="982"/>
        <v>-87.30698646344743</v>
      </c>
      <c r="T496">
        <f t="shared" si="983"/>
        <v>-8.7306986463447436E-2</v>
      </c>
    </row>
    <row r="497" spans="1:20" x14ac:dyDescent="0.25">
      <c r="A497" s="5">
        <v>44096</v>
      </c>
      <c r="B497">
        <v>2.5594000000000001</v>
      </c>
      <c r="C497">
        <v>3.274</v>
      </c>
      <c r="D497">
        <v>2.5325000000000002</v>
      </c>
      <c r="E497">
        <v>3.2355</v>
      </c>
      <c r="F497">
        <v>3527757.05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0.89615643964935943</v>
      </c>
      <c r="Q497">
        <f t="shared" si="980"/>
        <v>3161422.1978759272</v>
      </c>
      <c r="R497">
        <f t="shared" si="981"/>
        <v>-4530284.6748516858</v>
      </c>
      <c r="S497">
        <f t="shared" si="982"/>
        <v>-45.302846748516856</v>
      </c>
      <c r="T497">
        <f t="shared" si="983"/>
        <v>-4.5302846748516853E-2</v>
      </c>
    </row>
    <row r="498" spans="1:20" x14ac:dyDescent="0.25">
      <c r="A498" s="5">
        <v>44095</v>
      </c>
      <c r="B498">
        <v>2.8929999999999998</v>
      </c>
      <c r="C498">
        <v>2.9459</v>
      </c>
      <c r="D498">
        <v>2.4893999999999998</v>
      </c>
      <c r="E498">
        <v>2.5510000000000002</v>
      </c>
      <c r="F498">
        <v>2036289.17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-0.73012048192770951</v>
      </c>
      <c r="Q498">
        <f t="shared" si="980"/>
        <v>-1486736.4301445754</v>
      </c>
      <c r="R498">
        <f t="shared" si="981"/>
        <v>-7691706.872727613</v>
      </c>
      <c r="S498">
        <f t="shared" si="982"/>
        <v>-76.917068727276131</v>
      </c>
      <c r="T498">
        <f t="shared" si="983"/>
        <v>-7.6917068727276133E-2</v>
      </c>
    </row>
    <row r="499" spans="1:20" x14ac:dyDescent="0.25">
      <c r="A499" s="5">
        <v>44094</v>
      </c>
      <c r="B499">
        <v>3.0655000000000001</v>
      </c>
      <c r="C499">
        <v>3.1231</v>
      </c>
      <c r="D499">
        <v>2.8</v>
      </c>
      <c r="E499">
        <v>2.8976000000000002</v>
      </c>
      <c r="F499">
        <v>1108993.1000000001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-0.39585267718972267</v>
      </c>
      <c r="Q499">
        <f t="shared" si="980"/>
        <v>-438997.88761992985</v>
      </c>
      <c r="R499">
        <f t="shared" si="981"/>
        <v>-6204970.4425830375</v>
      </c>
      <c r="S499">
        <f t="shared" si="982"/>
        <v>-62.049704425830377</v>
      </c>
      <c r="T499">
        <f t="shared" si="983"/>
        <v>-6.2049704425830375E-2</v>
      </c>
    </row>
    <row r="500" spans="1:20" x14ac:dyDescent="0.25">
      <c r="A500" s="5">
        <v>44093</v>
      </c>
      <c r="B500">
        <v>3.0234999999999999</v>
      </c>
      <c r="C500">
        <v>3.1573000000000002</v>
      </c>
      <c r="D500">
        <v>2.9632999999999998</v>
      </c>
      <c r="E500">
        <v>3.0655999999999999</v>
      </c>
      <c r="F500">
        <v>1164946.8999999999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5.4639175257730412E-2</v>
      </c>
      <c r="Q500">
        <f t="shared" si="980"/>
        <v>63651.737835049738</v>
      </c>
      <c r="R500">
        <f t="shared" si="981"/>
        <v>-5765972.5549631072</v>
      </c>
      <c r="S500">
        <f t="shared" si="982"/>
        <v>-57.659725549631069</v>
      </c>
      <c r="T500">
        <f t="shared" si="983"/>
        <v>-5.7659725549631072E-2</v>
      </c>
    </row>
    <row r="501" spans="1:20" x14ac:dyDescent="0.25">
      <c r="A501" s="5">
        <v>44092</v>
      </c>
      <c r="B501">
        <v>3.2768999999999999</v>
      </c>
      <c r="C501">
        <v>3.4460000000000002</v>
      </c>
      <c r="D501">
        <v>2.9369999999999998</v>
      </c>
      <c r="E501">
        <v>3.0236000000000001</v>
      </c>
      <c r="F501">
        <v>3257642.37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-0.65972495088408578</v>
      </c>
      <c r="Q501">
        <f t="shared" si="980"/>
        <v>-2149147.9525461667</v>
      </c>
      <c r="R501">
        <f t="shared" si="981"/>
        <v>-5829624.2927981569</v>
      </c>
      <c r="S501">
        <f t="shared" si="982"/>
        <v>-58.296242927981567</v>
      </c>
      <c r="T501">
        <f t="shared" si="983"/>
        <v>-5.8296242927981565E-2</v>
      </c>
    </row>
    <row r="502" spans="1:20" x14ac:dyDescent="0.25">
      <c r="A502" s="5">
        <v>44091</v>
      </c>
      <c r="B502">
        <v>3.4159000000000002</v>
      </c>
      <c r="C502">
        <v>3.5604</v>
      </c>
      <c r="D502">
        <v>3.2109999999999999</v>
      </c>
      <c r="E502">
        <v>3.2787000000000002</v>
      </c>
      <c r="F502">
        <v>1494721.94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-0.61247853463079405</v>
      </c>
      <c r="Q502">
        <f t="shared" si="980"/>
        <v>-915485.10349169758</v>
      </c>
      <c r="R502">
        <f t="shared" si="981"/>
        <v>-3680476.3402519901</v>
      </c>
      <c r="S502">
        <f t="shared" si="982"/>
        <v>-36.804763402519903</v>
      </c>
      <c r="T502">
        <f t="shared" si="983"/>
        <v>-3.6804763402519904E-2</v>
      </c>
    </row>
    <row r="503" spans="1:20" x14ac:dyDescent="0.25">
      <c r="A503" s="5">
        <v>44090</v>
      </c>
      <c r="B503">
        <v>3.4676</v>
      </c>
      <c r="C503">
        <v>3.5543999999999998</v>
      </c>
      <c r="D503">
        <v>3.3098000000000001</v>
      </c>
      <c r="E503">
        <v>3.4148000000000001</v>
      </c>
      <c r="F503">
        <v>1042290.03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-0.14145543744889527</v>
      </c>
      <c r="Q503">
        <f t="shared" si="980"/>
        <v>-147437.59214227219</v>
      </c>
      <c r="R503">
        <f t="shared" si="981"/>
        <v>-2764991.2367602927</v>
      </c>
      <c r="S503">
        <f t="shared" si="982"/>
        <v>-27.649912367602926</v>
      </c>
      <c r="T503">
        <f t="shared" si="983"/>
        <v>-2.7649912367602926E-2</v>
      </c>
    </row>
    <row r="504" spans="1:20" x14ac:dyDescent="0.25">
      <c r="A504" s="5">
        <v>44089</v>
      </c>
      <c r="B504">
        <v>3.8332999999999999</v>
      </c>
      <c r="C504">
        <v>3.8645</v>
      </c>
      <c r="D504">
        <v>3.45</v>
      </c>
      <c r="E504">
        <v>3.4731000000000001</v>
      </c>
      <c r="F504">
        <v>1531902.24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-0.88854041013269047</v>
      </c>
      <c r="Q504">
        <f t="shared" si="980"/>
        <v>-1361157.0446127872</v>
      </c>
      <c r="R504">
        <f t="shared" si="981"/>
        <v>-2617553.6446180204</v>
      </c>
      <c r="S504">
        <f t="shared" si="982"/>
        <v>-26.175536446180203</v>
      </c>
      <c r="T504">
        <f t="shared" si="983"/>
        <v>-2.6175536446180203E-2</v>
      </c>
    </row>
    <row r="505" spans="1:20" x14ac:dyDescent="0.25">
      <c r="A505" s="5">
        <v>44088</v>
      </c>
      <c r="B505">
        <v>3.8365999999999998</v>
      </c>
      <c r="C505">
        <v>4.0162000000000004</v>
      </c>
      <c r="D505">
        <v>3.6855000000000002</v>
      </c>
      <c r="E505">
        <v>3.8422999999999998</v>
      </c>
      <c r="F505">
        <v>1507550.38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-5.1708497127308718E-2</v>
      </c>
      <c r="Q505">
        <f t="shared" si="980"/>
        <v>-77953.164493503165</v>
      </c>
      <c r="R505">
        <f t="shared" si="981"/>
        <v>-1256396.6000052332</v>
      </c>
      <c r="S505">
        <f t="shared" si="982"/>
        <v>-12.563966000052332</v>
      </c>
      <c r="T505">
        <f t="shared" si="983"/>
        <v>-1.2563966000052332E-2</v>
      </c>
    </row>
    <row r="506" spans="1:20" x14ac:dyDescent="0.25">
      <c r="A506" s="5">
        <v>44087</v>
      </c>
      <c r="B506">
        <v>4.1100000000000003</v>
      </c>
      <c r="C506">
        <v>4.1490999999999998</v>
      </c>
      <c r="D506">
        <v>3.6619000000000002</v>
      </c>
      <c r="E506">
        <v>3.8422999999999998</v>
      </c>
      <c r="F506">
        <v>2859937.54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-0.25944170771757058</v>
      </c>
      <c r="Q506">
        <f t="shared" si="980"/>
        <v>-741987.07934318786</v>
      </c>
      <c r="R506">
        <f t="shared" si="981"/>
        <v>-1178443.4355117299</v>
      </c>
      <c r="S506">
        <f t="shared" si="982"/>
        <v>-11.784434355117298</v>
      </c>
      <c r="T506">
        <f t="shared" si="983"/>
        <v>-1.1784434355117298E-2</v>
      </c>
    </row>
    <row r="507" spans="1:20" x14ac:dyDescent="0.25">
      <c r="A507" s="5">
        <v>44086</v>
      </c>
      <c r="B507">
        <v>3.843</v>
      </c>
      <c r="C507">
        <v>4.1988000000000003</v>
      </c>
      <c r="D507">
        <v>3.7595000000000001</v>
      </c>
      <c r="E507">
        <v>4.1159999999999997</v>
      </c>
      <c r="F507">
        <v>2244166.5699999998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0.62303664921465696</v>
      </c>
      <c r="Q507">
        <f t="shared" si="980"/>
        <v>1398198.0200523499</v>
      </c>
      <c r="R507">
        <f t="shared" si="981"/>
        <v>-436456.35616854206</v>
      </c>
      <c r="S507">
        <f t="shared" si="982"/>
        <v>-4.3645635616854204</v>
      </c>
      <c r="T507">
        <f t="shared" si="983"/>
        <v>-4.3645635616854205E-3</v>
      </c>
    </row>
    <row r="508" spans="1:20" x14ac:dyDescent="0.25">
      <c r="A508" s="5">
        <v>44085</v>
      </c>
      <c r="B508">
        <v>3.8471000000000002</v>
      </c>
      <c r="C508">
        <v>3.9049</v>
      </c>
      <c r="D508">
        <v>3.65</v>
      </c>
      <c r="E508">
        <v>3.839</v>
      </c>
      <c r="F508">
        <v>1419869.83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0.48293448411141593</v>
      </c>
      <c r="Q508">
        <f t="shared" si="980"/>
        <v>685704.10385641386</v>
      </c>
      <c r="R508">
        <f t="shared" si="981"/>
        <v>-1834654.376220892</v>
      </c>
      <c r="S508">
        <f t="shared" si="982"/>
        <v>-18.34654376220892</v>
      </c>
      <c r="T508">
        <f t="shared" si="983"/>
        <v>-1.8346543762208921E-2</v>
      </c>
    </row>
    <row r="509" spans="1:20" x14ac:dyDescent="0.25">
      <c r="A509" s="5">
        <v>44084</v>
      </c>
      <c r="B509">
        <v>3.8424999999999998</v>
      </c>
      <c r="C509">
        <v>4.0762</v>
      </c>
      <c r="D509">
        <v>3.7265000000000001</v>
      </c>
      <c r="E509">
        <v>3.8411</v>
      </c>
      <c r="F509">
        <v>2784833.51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-0.34458106948813355</v>
      </c>
      <c r="Q509">
        <f t="shared" si="980"/>
        <v>-959600.90922219283</v>
      </c>
      <c r="R509">
        <f t="shared" si="981"/>
        <v>-2520358.4800773058</v>
      </c>
      <c r="S509">
        <f t="shared" si="982"/>
        <v>-25.203584800773058</v>
      </c>
      <c r="T509">
        <f t="shared" si="983"/>
        <v>-2.5203584800773057E-2</v>
      </c>
    </row>
    <row r="510" spans="1:20" x14ac:dyDescent="0.25">
      <c r="A510" s="5">
        <v>44083</v>
      </c>
      <c r="B510">
        <v>3.5324</v>
      </c>
      <c r="C510">
        <v>3.9049999999999998</v>
      </c>
      <c r="D510">
        <v>3.4422000000000001</v>
      </c>
      <c r="E510">
        <v>3.8452999999999999</v>
      </c>
      <c r="F510">
        <v>2950603.83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0.74200518582541097</v>
      </c>
      <c r="Q510">
        <f t="shared" si="980"/>
        <v>2189363.3431763193</v>
      </c>
      <c r="R510">
        <f t="shared" si="981"/>
        <v>-1560757.5708551127</v>
      </c>
      <c r="S510">
        <f t="shared" si="982"/>
        <v>-15.607575708551128</v>
      </c>
      <c r="T510">
        <f t="shared" si="983"/>
        <v>-1.5607575708551128E-2</v>
      </c>
    </row>
    <row r="511" spans="1:20" x14ac:dyDescent="0.25">
      <c r="A511" s="5">
        <v>44082</v>
      </c>
      <c r="B511">
        <v>3.5992999999999999</v>
      </c>
      <c r="C511">
        <v>3.8212999999999999</v>
      </c>
      <c r="D511">
        <v>3.3864999999999998</v>
      </c>
      <c r="E511">
        <v>3.5392000000000001</v>
      </c>
      <c r="F511">
        <v>2665853.4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-0.2976080956761718</v>
      </c>
      <c r="Q511">
        <f t="shared" si="980"/>
        <v>-793379.55372584786</v>
      </c>
      <c r="R511">
        <f t="shared" si="981"/>
        <v>-3750120.914031432</v>
      </c>
      <c r="S511">
        <f t="shared" si="982"/>
        <v>-37.501209140314323</v>
      </c>
      <c r="T511">
        <f t="shared" si="983"/>
        <v>-3.7501209140314323E-2</v>
      </c>
    </row>
    <row r="512" spans="1:20" x14ac:dyDescent="0.25">
      <c r="A512" s="5">
        <v>44081</v>
      </c>
      <c r="B512">
        <v>3.9152</v>
      </c>
      <c r="C512">
        <v>3.9630999999999998</v>
      </c>
      <c r="D512">
        <v>3.3022</v>
      </c>
      <c r="E512">
        <v>3.5991</v>
      </c>
      <c r="F512">
        <v>3848553.89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-0.10152821909517318</v>
      </c>
      <c r="Q512">
        <f t="shared" si="980"/>
        <v>-390736.82254350104</v>
      </c>
      <c r="R512">
        <f t="shared" si="981"/>
        <v>-2956741.360305584</v>
      </c>
      <c r="S512">
        <f t="shared" si="982"/>
        <v>-29.56741360305584</v>
      </c>
      <c r="T512">
        <f t="shared" si="983"/>
        <v>-2.9567413603055839E-2</v>
      </c>
    </row>
    <row r="513" spans="1:20" x14ac:dyDescent="0.25">
      <c r="A513" s="5">
        <v>44080</v>
      </c>
      <c r="B513">
        <v>3.7559</v>
      </c>
      <c r="C513">
        <v>4.0646000000000004</v>
      </c>
      <c r="D513">
        <v>3.3738999999999999</v>
      </c>
      <c r="E513">
        <v>3.9218999999999999</v>
      </c>
      <c r="F513">
        <v>2953486.03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0.58679600405385735</v>
      </c>
      <c r="Q513">
        <f t="shared" si="980"/>
        <v>1733093.8004328909</v>
      </c>
      <c r="R513">
        <f t="shared" si="981"/>
        <v>-2566004.5377620831</v>
      </c>
      <c r="S513">
        <f t="shared" si="982"/>
        <v>-25.660045377620833</v>
      </c>
      <c r="T513">
        <f t="shared" si="983"/>
        <v>-2.5660045377620833E-2</v>
      </c>
    </row>
    <row r="514" spans="1:20" x14ac:dyDescent="0.25">
      <c r="A514" s="5">
        <v>44079</v>
      </c>
      <c r="B514">
        <v>4.2347999999999999</v>
      </c>
      <c r="C514">
        <v>4.5191999999999997</v>
      </c>
      <c r="D514">
        <v>3.4036</v>
      </c>
      <c r="E514">
        <v>3.7559999999999998</v>
      </c>
      <c r="F514">
        <v>5630930.1799999997</v>
      </c>
      <c r="G514">
        <v>0</v>
      </c>
      <c r="L514" t="s">
        <v>8</v>
      </c>
      <c r="M514" t="s">
        <v>7</v>
      </c>
      <c r="N514" t="s">
        <v>7</v>
      </c>
      <c r="P514">
        <f t="shared" si="979"/>
        <v>-0.36823234134098259</v>
      </c>
      <c r="Q514">
        <f t="shared" si="980"/>
        <v>-2073490.6041090004</v>
      </c>
      <c r="R514">
        <f t="shared" si="981"/>
        <v>-4299098.3381949738</v>
      </c>
      <c r="S514">
        <f t="shared" si="982"/>
        <v>-42.990983381949739</v>
      </c>
      <c r="T514">
        <f t="shared" si="983"/>
        <v>-4.2990983381949739E-2</v>
      </c>
    </row>
    <row r="515" spans="1:20" x14ac:dyDescent="0.25">
      <c r="A515" s="5">
        <v>44078</v>
      </c>
      <c r="B515">
        <v>3.5289999999999999</v>
      </c>
      <c r="C515">
        <v>4.5</v>
      </c>
      <c r="D515">
        <v>3.2915999999999999</v>
      </c>
      <c r="E515">
        <v>4.2350000000000003</v>
      </c>
      <c r="F515">
        <v>7560526.4800000004</v>
      </c>
      <c r="G515">
        <v>0</v>
      </c>
      <c r="L515" t="s">
        <v>7</v>
      </c>
      <c r="M515" t="s">
        <v>8</v>
      </c>
      <c r="N515" t="s">
        <v>7</v>
      </c>
      <c r="P515">
        <f t="shared" si="979"/>
        <v>0.56140350877193046</v>
      </c>
      <c r="Q515">
        <f t="shared" si="980"/>
        <v>4244506.0940350927</v>
      </c>
      <c r="R515">
        <f t="shared" si="981"/>
        <v>-2225607.7340859734</v>
      </c>
      <c r="S515">
        <f t="shared" si="982"/>
        <v>-22.256077340859733</v>
      </c>
      <c r="T515">
        <f t="shared" si="983"/>
        <v>-2.2256077340859732E-2</v>
      </c>
    </row>
    <row r="516" spans="1:20" x14ac:dyDescent="0.25">
      <c r="A516" s="5">
        <v>44077</v>
      </c>
      <c r="B516">
        <v>4.3826000000000001</v>
      </c>
      <c r="C516">
        <v>4.4427000000000003</v>
      </c>
      <c r="D516">
        <v>3.35</v>
      </c>
      <c r="E516">
        <v>3.5247999999999999</v>
      </c>
      <c r="F516">
        <v>4716955.49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-0.68005857051340746</v>
      </c>
      <c r="Q516">
        <f t="shared" si="980"/>
        <v>-3207806.0077047697</v>
      </c>
      <c r="R516">
        <f t="shared" si="981"/>
        <v>-6470113.8281210661</v>
      </c>
      <c r="S516">
        <f t="shared" si="982"/>
        <v>-64.70113828121066</v>
      </c>
      <c r="T516">
        <f t="shared" si="983"/>
        <v>-6.4701138281210657E-2</v>
      </c>
    </row>
    <row r="517" spans="1:20" x14ac:dyDescent="0.25">
      <c r="A517" s="5">
        <v>44076</v>
      </c>
      <c r="B517">
        <v>4.9866999999999999</v>
      </c>
      <c r="C517">
        <v>5.2404999999999999</v>
      </c>
      <c r="D517">
        <v>4.0523999999999996</v>
      </c>
      <c r="E517">
        <v>4.3826000000000001</v>
      </c>
      <c r="F517">
        <v>4891125.47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-0.44415453244676306</v>
      </c>
      <c r="Q517">
        <f t="shared" si="980"/>
        <v>-2172415.5462663043</v>
      </c>
      <c r="R517">
        <f t="shared" si="981"/>
        <v>-3262307.8204162964</v>
      </c>
      <c r="S517">
        <f t="shared" si="982"/>
        <v>-32.623078204162965</v>
      </c>
      <c r="T517">
        <f t="shared" si="983"/>
        <v>-3.2623078204162964E-2</v>
      </c>
    </row>
    <row r="518" spans="1:20" x14ac:dyDescent="0.25">
      <c r="A518" s="5">
        <v>44075</v>
      </c>
      <c r="B518">
        <v>5.1142000000000003</v>
      </c>
      <c r="C518">
        <v>5.1647999999999996</v>
      </c>
      <c r="D518">
        <v>4.9352</v>
      </c>
      <c r="E518">
        <v>4.9958999999999998</v>
      </c>
      <c r="F518">
        <v>3335032.16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-0.47125435540069804</v>
      </c>
      <c r="Q518">
        <f t="shared" ref="Q518:Q581" si="985">F518*P518</f>
        <v>-1571648.4308013977</v>
      </c>
      <c r="R518">
        <f t="shared" ref="R518:R581" si="986">R519+Q518</f>
        <v>-1089892.274149992</v>
      </c>
      <c r="S518">
        <f t="shared" ref="S518:S581" si="987">R518/100000</f>
        <v>-10.89892274149992</v>
      </c>
      <c r="T518">
        <f t="shared" ref="T518:T581" si="988">S518/1000</f>
        <v>-1.0898922741499921E-2</v>
      </c>
    </row>
    <row r="519" spans="1:20" x14ac:dyDescent="0.25">
      <c r="A519" s="5">
        <v>44074</v>
      </c>
      <c r="B519">
        <v>5.4858000000000002</v>
      </c>
      <c r="C519">
        <v>5.5894000000000004</v>
      </c>
      <c r="D519">
        <v>5.1071999999999997</v>
      </c>
      <c r="E519">
        <v>5.1196999999999999</v>
      </c>
      <c r="F519">
        <v>4973096.54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-0.94815429282455344</v>
      </c>
      <c r="Q519">
        <f t="shared" si="985"/>
        <v>-4715262.8330319338</v>
      </c>
      <c r="R519">
        <f t="shared" si="986"/>
        <v>481756.15665140562</v>
      </c>
      <c r="S519">
        <f t="shared" si="987"/>
        <v>4.8175615665140565</v>
      </c>
      <c r="T519">
        <f t="shared" si="988"/>
        <v>4.8175615665140567E-3</v>
      </c>
    </row>
    <row r="520" spans="1:20" x14ac:dyDescent="0.25">
      <c r="A520" s="5">
        <v>44073</v>
      </c>
      <c r="B520">
        <v>5.1070000000000002</v>
      </c>
      <c r="C520">
        <v>5.8141999999999996</v>
      </c>
      <c r="D520">
        <v>5.0744999999999996</v>
      </c>
      <c r="E520">
        <v>5.4856999999999996</v>
      </c>
      <c r="F520">
        <v>6291651.5199999996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0.11180208192510477</v>
      </c>
      <c r="Q520">
        <f t="shared" si="985"/>
        <v>703419.73868324992</v>
      </c>
      <c r="R520">
        <f t="shared" si="986"/>
        <v>5197018.9896833394</v>
      </c>
      <c r="S520">
        <f t="shared" si="987"/>
        <v>51.970189896833396</v>
      </c>
      <c r="T520">
        <f t="shared" si="988"/>
        <v>5.1970189896833399E-2</v>
      </c>
    </row>
    <row r="521" spans="1:20" x14ac:dyDescent="0.25">
      <c r="A521" s="5">
        <v>44072</v>
      </c>
      <c r="B521">
        <v>5.4158999999999997</v>
      </c>
      <c r="C521">
        <v>5.4633000000000003</v>
      </c>
      <c r="D521">
        <v>5.0549999999999997</v>
      </c>
      <c r="E521">
        <v>5.1059000000000001</v>
      </c>
      <c r="F521">
        <v>4344946.12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-0.75067352436933465</v>
      </c>
      <c r="Q521">
        <f t="shared" si="985"/>
        <v>-3261636.0170952659</v>
      </c>
      <c r="R521">
        <f t="shared" si="986"/>
        <v>4493599.2510000896</v>
      </c>
      <c r="S521">
        <f t="shared" si="987"/>
        <v>44.935992510000894</v>
      </c>
      <c r="T521">
        <f t="shared" si="988"/>
        <v>4.4935992510000897E-2</v>
      </c>
    </row>
    <row r="522" spans="1:20" x14ac:dyDescent="0.25">
      <c r="A522" s="5">
        <v>44071</v>
      </c>
      <c r="B522">
        <v>5.0250000000000004</v>
      </c>
      <c r="C522">
        <v>5.48</v>
      </c>
      <c r="D522">
        <v>4.8726000000000003</v>
      </c>
      <c r="E522">
        <v>5.4158999999999997</v>
      </c>
      <c r="F522">
        <v>4156142.2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0.78893645044451532</v>
      </c>
      <c r="Q522">
        <f t="shared" si="985"/>
        <v>3278932.074810659</v>
      </c>
      <c r="R522">
        <f t="shared" si="986"/>
        <v>7755235.2680953555</v>
      </c>
      <c r="S522">
        <f t="shared" si="987"/>
        <v>77.552352680953561</v>
      </c>
      <c r="T522">
        <f t="shared" si="988"/>
        <v>7.7552352680953562E-2</v>
      </c>
    </row>
    <row r="523" spans="1:20" x14ac:dyDescent="0.25">
      <c r="A523" s="5">
        <v>44070</v>
      </c>
      <c r="B523">
        <v>5.4992000000000001</v>
      </c>
      <c r="C523">
        <v>5.4992000000000001</v>
      </c>
      <c r="D523">
        <v>4.9150999999999998</v>
      </c>
      <c r="E523">
        <v>5.0199999999999996</v>
      </c>
      <c r="F523">
        <v>5198599.9400000004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-0.64081492895052317</v>
      </c>
      <c r="Q523">
        <f t="shared" si="985"/>
        <v>-3331340.4511932945</v>
      </c>
      <c r="R523">
        <f t="shared" si="986"/>
        <v>4476303.193284696</v>
      </c>
      <c r="S523">
        <f t="shared" si="987"/>
        <v>44.763031932846957</v>
      </c>
      <c r="T523">
        <f t="shared" si="988"/>
        <v>4.4763031932846954E-2</v>
      </c>
    </row>
    <row r="524" spans="1:20" x14ac:dyDescent="0.25">
      <c r="A524" s="5">
        <v>44069</v>
      </c>
      <c r="B524">
        <v>5.1459999999999999</v>
      </c>
      <c r="C524">
        <v>5.8343999999999996</v>
      </c>
      <c r="D524">
        <v>4.9400000000000004</v>
      </c>
      <c r="E524">
        <v>5.4999000000000002</v>
      </c>
      <c r="F524">
        <v>8782888.4399999995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0.25201252236136035</v>
      </c>
      <c r="Q524">
        <f t="shared" si="985"/>
        <v>2213397.8693828331</v>
      </c>
      <c r="R524">
        <f t="shared" si="986"/>
        <v>7807643.6444779905</v>
      </c>
      <c r="S524">
        <f t="shared" si="987"/>
        <v>78.076436444779901</v>
      </c>
      <c r="T524">
        <f t="shared" si="988"/>
        <v>7.8076436444779906E-2</v>
      </c>
    </row>
    <row r="525" spans="1:20" x14ac:dyDescent="0.25">
      <c r="A525" s="5">
        <v>44068</v>
      </c>
      <c r="B525">
        <v>5.8497000000000003</v>
      </c>
      <c r="C525">
        <v>5.8860000000000001</v>
      </c>
      <c r="D525">
        <v>4.7830000000000004</v>
      </c>
      <c r="E525">
        <v>5.15</v>
      </c>
      <c r="F525">
        <v>9585510.9499999993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-0.33454215775158647</v>
      </c>
      <c r="Q525">
        <f t="shared" si="985"/>
        <v>-3206757.5163644594</v>
      </c>
      <c r="R525">
        <f t="shared" si="986"/>
        <v>5594245.7750951573</v>
      </c>
      <c r="S525">
        <f t="shared" si="987"/>
        <v>55.942457750951576</v>
      </c>
      <c r="T525">
        <f t="shared" si="988"/>
        <v>5.5942457750951573E-2</v>
      </c>
    </row>
    <row r="526" spans="1:20" x14ac:dyDescent="0.25">
      <c r="A526" s="5">
        <v>44067</v>
      </c>
      <c r="B526">
        <v>6.4138000000000002</v>
      </c>
      <c r="C526">
        <v>6.4402999999999997</v>
      </c>
      <c r="D526">
        <v>5.7343999999999999</v>
      </c>
      <c r="E526">
        <v>5.8441000000000001</v>
      </c>
      <c r="F526">
        <v>7549930.71</v>
      </c>
      <c r="G526">
        <v>0</v>
      </c>
      <c r="L526" t="s">
        <v>7</v>
      </c>
      <c r="M526" t="s">
        <v>7</v>
      </c>
      <c r="N526" t="s">
        <v>7</v>
      </c>
      <c r="P526">
        <f t="shared" si="984"/>
        <v>-0.68919110355574398</v>
      </c>
      <c r="Q526">
        <f t="shared" si="985"/>
        <v>-5203345.0777943013</v>
      </c>
      <c r="R526">
        <f t="shared" si="986"/>
        <v>8801003.2914596163</v>
      </c>
      <c r="S526">
        <f t="shared" si="987"/>
        <v>88.010032914596167</v>
      </c>
      <c r="T526">
        <f t="shared" si="988"/>
        <v>8.8010032914596165E-2</v>
      </c>
    </row>
    <row r="527" spans="1:20" x14ac:dyDescent="0.25">
      <c r="A527" s="5">
        <v>44066</v>
      </c>
      <c r="B527">
        <v>6.1429</v>
      </c>
      <c r="C527">
        <v>7.3</v>
      </c>
      <c r="D527">
        <v>5.9984999999999999</v>
      </c>
      <c r="E527">
        <v>6.41</v>
      </c>
      <c r="F527">
        <v>20388894.059999999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-0.36765270841336883</v>
      </c>
      <c r="Q527">
        <f t="shared" si="985"/>
        <v>-7496032.1227122471</v>
      </c>
      <c r="R527">
        <f t="shared" si="986"/>
        <v>14004348.369253919</v>
      </c>
      <c r="S527">
        <f t="shared" si="987"/>
        <v>140.04348369253918</v>
      </c>
      <c r="T527">
        <f t="shared" si="988"/>
        <v>0.14004348369253919</v>
      </c>
    </row>
    <row r="528" spans="1:20" x14ac:dyDescent="0.25">
      <c r="A528" s="5">
        <v>44065</v>
      </c>
      <c r="B528">
        <v>6.2380000000000004</v>
      </c>
      <c r="C528">
        <v>6.4866999999999999</v>
      </c>
      <c r="D528">
        <v>5.26</v>
      </c>
      <c r="E528">
        <v>6.1359000000000004</v>
      </c>
      <c r="F528">
        <v>22509873.370000001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0.42805902013532321</v>
      </c>
      <c r="Q528">
        <f t="shared" si="985"/>
        <v>9635554.3381324057</v>
      </c>
      <c r="R528">
        <f t="shared" si="986"/>
        <v>21500380.491966166</v>
      </c>
      <c r="S528">
        <f t="shared" si="987"/>
        <v>215.00380491966166</v>
      </c>
      <c r="T528">
        <f t="shared" si="988"/>
        <v>0.21500380491966167</v>
      </c>
    </row>
    <row r="529" spans="1:20" x14ac:dyDescent="0.25">
      <c r="A529" s="5">
        <v>44064</v>
      </c>
      <c r="B529">
        <v>5.6943000000000001</v>
      </c>
      <c r="C529">
        <v>9.82</v>
      </c>
      <c r="D529">
        <v>5.6422999999999996</v>
      </c>
      <c r="E529">
        <v>6.2393999999999998</v>
      </c>
      <c r="F529">
        <v>58082369.43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-0.71414893362376419</v>
      </c>
      <c r="Q529">
        <f t="shared" si="985"/>
        <v>-41479462.19077602</v>
      </c>
      <c r="R529">
        <f t="shared" si="986"/>
        <v>11864826.153833762</v>
      </c>
      <c r="S529">
        <f t="shared" si="987"/>
        <v>118.64826153833762</v>
      </c>
      <c r="T529">
        <f t="shared" si="988"/>
        <v>0.11864826153833762</v>
      </c>
    </row>
    <row r="530" spans="1:20" x14ac:dyDescent="0.25">
      <c r="A530" s="5">
        <v>44063</v>
      </c>
      <c r="B530">
        <v>3.3774999999999999</v>
      </c>
      <c r="C530">
        <v>5.96</v>
      </c>
      <c r="D530">
        <v>3.2519</v>
      </c>
      <c r="E530">
        <v>5.6755000000000004</v>
      </c>
      <c r="F530">
        <v>38142985.920000002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0.78988959048779617</v>
      </c>
      <c r="Q530">
        <f t="shared" si="985"/>
        <v>30128747.528330576</v>
      </c>
      <c r="R530">
        <f t="shared" si="986"/>
        <v>53344288.344609782</v>
      </c>
      <c r="S530">
        <f t="shared" si="987"/>
        <v>533.44288344609777</v>
      </c>
      <c r="T530">
        <f t="shared" si="988"/>
        <v>0.5334428834460978</v>
      </c>
    </row>
    <row r="531" spans="1:20" x14ac:dyDescent="0.25">
      <c r="A531" s="5">
        <v>44062</v>
      </c>
      <c r="B531">
        <v>2.6932999999999998</v>
      </c>
      <c r="C531">
        <v>3.46</v>
      </c>
      <c r="D531">
        <v>2.6295999999999999</v>
      </c>
      <c r="E531">
        <v>3.3774999999999999</v>
      </c>
      <c r="F531">
        <v>14950710.76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0.80130057803468202</v>
      </c>
      <c r="Q531">
        <f t="shared" si="985"/>
        <v>11980013.17401734</v>
      </c>
      <c r="R531">
        <f t="shared" si="986"/>
        <v>23215540.81627921</v>
      </c>
      <c r="S531">
        <f t="shared" si="987"/>
        <v>232.1554081627921</v>
      </c>
      <c r="T531">
        <f t="shared" si="988"/>
        <v>0.23215540816279209</v>
      </c>
    </row>
    <row r="532" spans="1:20" x14ac:dyDescent="0.25">
      <c r="A532" s="5">
        <v>44061</v>
      </c>
      <c r="B532">
        <v>2.7048999999999999</v>
      </c>
      <c r="C532">
        <v>2.9</v>
      </c>
      <c r="D532">
        <v>2.4607999999999999</v>
      </c>
      <c r="E532">
        <v>2.6932</v>
      </c>
      <c r="F532">
        <v>6198178.1399999997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5.8287795992714678E-2</v>
      </c>
      <c r="Q532">
        <f t="shared" si="985"/>
        <v>361278.14295082371</v>
      </c>
      <c r="R532">
        <f t="shared" si="986"/>
        <v>11235527.64226187</v>
      </c>
      <c r="S532">
        <f t="shared" si="987"/>
        <v>112.3552764226187</v>
      </c>
      <c r="T532">
        <f t="shared" si="988"/>
        <v>0.11235527642261869</v>
      </c>
    </row>
    <row r="533" spans="1:20" x14ac:dyDescent="0.25">
      <c r="A533" s="5">
        <v>44060</v>
      </c>
      <c r="B533">
        <v>2.7995000000000001</v>
      </c>
      <c r="C533">
        <v>3.29</v>
      </c>
      <c r="D533">
        <v>2.6663999999999999</v>
      </c>
      <c r="E533">
        <v>2.7048999999999999</v>
      </c>
      <c r="F533">
        <v>15032003.390000001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-0.87652341244387433</v>
      </c>
      <c r="Q533">
        <f t="shared" si="985"/>
        <v>-13175902.907270687</v>
      </c>
      <c r="R533">
        <f t="shared" si="986"/>
        <v>10874249.499311047</v>
      </c>
      <c r="S533">
        <f t="shared" si="987"/>
        <v>108.74249499311047</v>
      </c>
      <c r="T533">
        <f t="shared" si="988"/>
        <v>0.10874249499311046</v>
      </c>
    </row>
    <row r="534" spans="1:20" x14ac:dyDescent="0.25">
      <c r="A534" s="5">
        <v>44059</v>
      </c>
      <c r="B534">
        <v>1.9319999999999999</v>
      </c>
      <c r="C534">
        <v>3.1509</v>
      </c>
      <c r="D534">
        <v>1.8927</v>
      </c>
      <c r="E534">
        <v>2.7942</v>
      </c>
      <c r="F534">
        <v>14053891.41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0.43299952312827844</v>
      </c>
      <c r="Q534">
        <f t="shared" si="985"/>
        <v>6085328.2786266087</v>
      </c>
      <c r="R534">
        <f t="shared" si="986"/>
        <v>24050152.406581733</v>
      </c>
      <c r="S534">
        <f t="shared" si="987"/>
        <v>240.50152406581734</v>
      </c>
      <c r="T534">
        <f t="shared" si="988"/>
        <v>0.24050152406581735</v>
      </c>
    </row>
    <row r="535" spans="1:20" x14ac:dyDescent="0.25">
      <c r="A535" s="5">
        <v>44058</v>
      </c>
      <c r="B535">
        <v>2.0291999999999999</v>
      </c>
      <c r="C535">
        <v>2.0468000000000002</v>
      </c>
      <c r="D535">
        <v>1.8913</v>
      </c>
      <c r="E535">
        <v>1.9358</v>
      </c>
      <c r="F535">
        <v>2052625.67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-0.42765273311897201</v>
      </c>
      <c r="Q535">
        <f t="shared" si="985"/>
        <v>-877810.97784566111</v>
      </c>
      <c r="R535">
        <f t="shared" si="986"/>
        <v>17964824.127955124</v>
      </c>
      <c r="S535">
        <f t="shared" si="987"/>
        <v>179.64824127955123</v>
      </c>
      <c r="T535">
        <f t="shared" si="988"/>
        <v>0.17964824127955123</v>
      </c>
    </row>
    <row r="536" spans="1:20" x14ac:dyDescent="0.25">
      <c r="A536" s="5">
        <v>44057</v>
      </c>
      <c r="B536">
        <v>1.8393999999999999</v>
      </c>
      <c r="C536">
        <v>2.0831</v>
      </c>
      <c r="D536">
        <v>1.7948999999999999</v>
      </c>
      <c r="E536">
        <v>2.0291999999999999</v>
      </c>
      <c r="F536">
        <v>3888528.81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0.62595419847328204</v>
      </c>
      <c r="Q536">
        <f t="shared" si="985"/>
        <v>2434040.9345038151</v>
      </c>
      <c r="R536">
        <f t="shared" si="986"/>
        <v>18842635.105800785</v>
      </c>
      <c r="S536">
        <f t="shared" si="987"/>
        <v>188.42635105800784</v>
      </c>
      <c r="T536">
        <f t="shared" si="988"/>
        <v>0.18842635105800784</v>
      </c>
    </row>
    <row r="537" spans="1:20" x14ac:dyDescent="0.25">
      <c r="A537" s="5">
        <v>44056</v>
      </c>
      <c r="B537">
        <v>1.6961999999999999</v>
      </c>
      <c r="C537">
        <v>1.93</v>
      </c>
      <c r="D537">
        <v>1.6375</v>
      </c>
      <c r="E537">
        <v>1.8385</v>
      </c>
      <c r="F537">
        <v>3735847.75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0.37435897435897492</v>
      </c>
      <c r="Q537">
        <f t="shared" si="985"/>
        <v>1398548.1320512842</v>
      </c>
      <c r="R537">
        <f t="shared" si="986"/>
        <v>16408594.171296971</v>
      </c>
      <c r="S537">
        <f t="shared" si="987"/>
        <v>164.08594171296971</v>
      </c>
      <c r="T537">
        <f t="shared" si="988"/>
        <v>0.16408594171296972</v>
      </c>
    </row>
    <row r="538" spans="1:20" x14ac:dyDescent="0.25">
      <c r="A538" s="5">
        <v>44055</v>
      </c>
      <c r="B538">
        <v>1.6571</v>
      </c>
      <c r="C538">
        <v>1.7081999999999999</v>
      </c>
      <c r="D538">
        <v>1.58</v>
      </c>
      <c r="E538">
        <v>1.6977</v>
      </c>
      <c r="F538">
        <v>1230603.6599999999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0.83619344773791004</v>
      </c>
      <c r="Q538">
        <f t="shared" si="985"/>
        <v>1029022.7172542907</v>
      </c>
      <c r="R538">
        <f t="shared" si="986"/>
        <v>15010046.039245687</v>
      </c>
      <c r="S538">
        <f t="shared" si="987"/>
        <v>150.10046039245688</v>
      </c>
      <c r="T538">
        <f t="shared" si="988"/>
        <v>0.15010046039245689</v>
      </c>
    </row>
    <row r="539" spans="1:20" x14ac:dyDescent="0.25">
      <c r="A539" s="5">
        <v>44054</v>
      </c>
      <c r="B539">
        <v>1.7978000000000001</v>
      </c>
      <c r="C539">
        <v>1.7979000000000001</v>
      </c>
      <c r="D539">
        <v>1.611</v>
      </c>
      <c r="E539">
        <v>1.6571</v>
      </c>
      <c r="F539">
        <v>1686106.37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-0.50668806848582115</v>
      </c>
      <c r="Q539">
        <f t="shared" si="985"/>
        <v>-854329.97987693932</v>
      </c>
      <c r="R539">
        <f t="shared" si="986"/>
        <v>13981023.321991397</v>
      </c>
      <c r="S539">
        <f t="shared" si="987"/>
        <v>139.81023321991398</v>
      </c>
      <c r="T539">
        <f t="shared" si="988"/>
        <v>0.13981023321991398</v>
      </c>
    </row>
    <row r="540" spans="1:20" x14ac:dyDescent="0.25">
      <c r="A540" s="5">
        <v>44053</v>
      </c>
      <c r="B540">
        <v>1.7104999999999999</v>
      </c>
      <c r="C540">
        <v>1.8501000000000001</v>
      </c>
      <c r="D540">
        <v>1.6787000000000001</v>
      </c>
      <c r="E540">
        <v>1.7979000000000001</v>
      </c>
      <c r="F540">
        <v>3338070.82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0.39089848308051311</v>
      </c>
      <c r="Q540">
        <f t="shared" si="985"/>
        <v>1304846.8199533245</v>
      </c>
      <c r="R540">
        <f t="shared" si="986"/>
        <v>14835353.301868336</v>
      </c>
      <c r="S540">
        <f t="shared" si="987"/>
        <v>148.35353301868335</v>
      </c>
      <c r="T540">
        <f t="shared" si="988"/>
        <v>0.14835353301868334</v>
      </c>
    </row>
    <row r="541" spans="1:20" x14ac:dyDescent="0.25">
      <c r="A541" s="5">
        <v>44052</v>
      </c>
      <c r="B541">
        <v>1.6005</v>
      </c>
      <c r="C541">
        <v>1.7199</v>
      </c>
      <c r="D541">
        <v>1.58</v>
      </c>
      <c r="E541">
        <v>1.712</v>
      </c>
      <c r="F541">
        <v>1817686.79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0.88706218727662578</v>
      </c>
      <c r="Q541">
        <f t="shared" si="985"/>
        <v>1612401.2197212288</v>
      </c>
      <c r="R541">
        <f t="shared" si="986"/>
        <v>13530506.481915012</v>
      </c>
      <c r="S541">
        <f t="shared" si="987"/>
        <v>135.30506481915012</v>
      </c>
      <c r="T541">
        <f t="shared" si="988"/>
        <v>0.13530506481915011</v>
      </c>
    </row>
    <row r="542" spans="1:20" x14ac:dyDescent="0.25">
      <c r="A542" s="5">
        <v>44051</v>
      </c>
      <c r="B542">
        <v>1.5631999999999999</v>
      </c>
      <c r="C542">
        <v>1.6045</v>
      </c>
      <c r="D542">
        <v>1.5550999999999999</v>
      </c>
      <c r="E542">
        <v>1.6015999999999999</v>
      </c>
      <c r="F542">
        <v>816122.91</v>
      </c>
      <c r="G542">
        <v>0</v>
      </c>
      <c r="L542" t="s">
        <v>7</v>
      </c>
      <c r="M542" t="s">
        <v>8</v>
      </c>
      <c r="N542" t="s">
        <v>7</v>
      </c>
      <c r="P542">
        <f t="shared" si="984"/>
        <v>0.88259109311740414</v>
      </c>
      <c r="Q542">
        <f t="shared" si="985"/>
        <v>720302.81125505688</v>
      </c>
      <c r="R542">
        <f t="shared" si="986"/>
        <v>11918105.262193784</v>
      </c>
      <c r="S542">
        <f t="shared" si="987"/>
        <v>119.18105262193784</v>
      </c>
      <c r="T542">
        <f t="shared" si="988"/>
        <v>0.11918105262193784</v>
      </c>
    </row>
    <row r="543" spans="1:20" x14ac:dyDescent="0.25">
      <c r="A543" s="5">
        <v>44050</v>
      </c>
      <c r="B543">
        <v>1.6068</v>
      </c>
      <c r="C543">
        <v>1.6322000000000001</v>
      </c>
      <c r="D543">
        <v>1.5264</v>
      </c>
      <c r="E543">
        <v>1.5631999999999999</v>
      </c>
      <c r="F543">
        <v>1510768.81</v>
      </c>
      <c r="G543">
        <v>0</v>
      </c>
      <c r="L543" t="s">
        <v>7</v>
      </c>
      <c r="M543" t="s">
        <v>8</v>
      </c>
      <c r="N543" t="s">
        <v>7</v>
      </c>
      <c r="P543">
        <f t="shared" si="984"/>
        <v>-0.30434782608695837</v>
      </c>
      <c r="Q543">
        <f t="shared" si="985"/>
        <v>-459799.2030434811</v>
      </c>
      <c r="R543">
        <f t="shared" si="986"/>
        <v>11197802.450938728</v>
      </c>
      <c r="S543">
        <f t="shared" si="987"/>
        <v>111.97802450938728</v>
      </c>
      <c r="T543">
        <f t="shared" si="988"/>
        <v>0.11197802450938728</v>
      </c>
    </row>
    <row r="544" spans="1:20" x14ac:dyDescent="0.25">
      <c r="A544" s="5">
        <v>44049</v>
      </c>
      <c r="B544">
        <v>1.5933999999999999</v>
      </c>
      <c r="C544">
        <v>1.6134999999999999</v>
      </c>
      <c r="D544">
        <v>1.5696000000000001</v>
      </c>
      <c r="E544">
        <v>1.6052999999999999</v>
      </c>
      <c r="F544">
        <v>769598.49</v>
      </c>
      <c r="G544">
        <v>0</v>
      </c>
      <c r="L544" t="s">
        <v>7</v>
      </c>
      <c r="M544" t="s">
        <v>7</v>
      </c>
      <c r="N544" t="s">
        <v>7</v>
      </c>
      <c r="P544">
        <f t="shared" si="984"/>
        <v>0.62642369020501065</v>
      </c>
      <c r="Q544">
        <f t="shared" si="985"/>
        <v>482094.72608200397</v>
      </c>
      <c r="R544">
        <f t="shared" si="986"/>
        <v>11657601.653982209</v>
      </c>
      <c r="S544">
        <f t="shared" si="987"/>
        <v>116.57601653982209</v>
      </c>
      <c r="T544">
        <f t="shared" si="988"/>
        <v>0.11657601653982209</v>
      </c>
    </row>
    <row r="545" spans="1:20" x14ac:dyDescent="0.25">
      <c r="A545" s="5">
        <v>44048</v>
      </c>
      <c r="B545">
        <v>1.5911</v>
      </c>
      <c r="C545">
        <v>1.6213</v>
      </c>
      <c r="D545">
        <v>1.5585</v>
      </c>
      <c r="E545">
        <v>1.593</v>
      </c>
      <c r="F545">
        <v>1441576.65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9.8726114649681312E-2</v>
      </c>
      <c r="Q545">
        <f t="shared" si="985"/>
        <v>142321.2616242035</v>
      </c>
      <c r="R545">
        <f t="shared" si="986"/>
        <v>11175506.927900204</v>
      </c>
      <c r="S545">
        <f t="shared" si="987"/>
        <v>111.75506927900204</v>
      </c>
      <c r="T545">
        <f t="shared" si="988"/>
        <v>0.11175506927900204</v>
      </c>
    </row>
    <row r="546" spans="1:20" x14ac:dyDescent="0.25">
      <c r="A546" s="5">
        <v>44047</v>
      </c>
      <c r="B546">
        <v>1.5685</v>
      </c>
      <c r="C546">
        <v>1.5947</v>
      </c>
      <c r="D546">
        <v>1.5438000000000001</v>
      </c>
      <c r="E546">
        <v>1.5875999999999999</v>
      </c>
      <c r="F546">
        <v>843462.08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0.72102161100196016</v>
      </c>
      <c r="Q546">
        <f t="shared" si="985"/>
        <v>608154.38774066418</v>
      </c>
      <c r="R546">
        <f t="shared" si="986"/>
        <v>11033185.666276</v>
      </c>
      <c r="S546">
        <f t="shared" si="987"/>
        <v>110.33185666276</v>
      </c>
      <c r="T546">
        <f t="shared" si="988"/>
        <v>0.11033185666276001</v>
      </c>
    </row>
    <row r="547" spans="1:20" x14ac:dyDescent="0.25">
      <c r="A547" s="5">
        <v>44046</v>
      </c>
      <c r="B547">
        <v>1.5851</v>
      </c>
      <c r="C547">
        <v>1.6087</v>
      </c>
      <c r="D547">
        <v>1.5496000000000001</v>
      </c>
      <c r="E547">
        <v>1.569</v>
      </c>
      <c r="F547">
        <v>1606615.81</v>
      </c>
      <c r="G547">
        <v>0</v>
      </c>
      <c r="L547" t="s">
        <v>7</v>
      </c>
      <c r="M547" t="s">
        <v>7</v>
      </c>
      <c r="N547" t="s">
        <v>7</v>
      </c>
      <c r="P547">
        <f t="shared" si="984"/>
        <v>-0.34348561759729662</v>
      </c>
      <c r="Q547">
        <f t="shared" si="985"/>
        <v>-551849.42373943096</v>
      </c>
      <c r="R547">
        <f t="shared" si="986"/>
        <v>10425031.278535336</v>
      </c>
      <c r="S547">
        <f t="shared" si="987"/>
        <v>104.25031278535336</v>
      </c>
      <c r="T547">
        <f t="shared" si="988"/>
        <v>0.10425031278535336</v>
      </c>
    </row>
    <row r="548" spans="1:20" x14ac:dyDescent="0.25">
      <c r="A548" s="5">
        <v>44045</v>
      </c>
      <c r="B548">
        <v>1.6555</v>
      </c>
      <c r="C548">
        <v>1.7270000000000001</v>
      </c>
      <c r="D548">
        <v>1.3754</v>
      </c>
      <c r="E548">
        <v>1.5843</v>
      </c>
      <c r="F548">
        <v>2244512.63</v>
      </c>
      <c r="G548">
        <v>0</v>
      </c>
      <c r="L548" t="s">
        <v>8</v>
      </c>
      <c r="M548" t="s">
        <v>7</v>
      </c>
      <c r="N548" t="s">
        <v>7</v>
      </c>
      <c r="P548">
        <f t="shared" si="984"/>
        <v>0.18828213879408423</v>
      </c>
      <c r="Q548">
        <f t="shared" si="985"/>
        <v>422601.63852673501</v>
      </c>
      <c r="R548">
        <f t="shared" si="986"/>
        <v>10976880.702274768</v>
      </c>
      <c r="S548">
        <f t="shared" si="987"/>
        <v>109.76880702274768</v>
      </c>
      <c r="T548">
        <f t="shared" si="988"/>
        <v>0.10976880702274767</v>
      </c>
    </row>
    <row r="549" spans="1:20" x14ac:dyDescent="0.25">
      <c r="A549" s="5">
        <v>44044</v>
      </c>
      <c r="B549">
        <v>1.5799000000000001</v>
      </c>
      <c r="C549">
        <v>1.6587000000000001</v>
      </c>
      <c r="D549">
        <v>1.5740000000000001</v>
      </c>
      <c r="E549">
        <v>1.6556</v>
      </c>
      <c r="F549">
        <v>1498156.86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0.92680047225501527</v>
      </c>
      <c r="Q549">
        <f t="shared" si="985"/>
        <v>1388492.4853600909</v>
      </c>
      <c r="R549">
        <f t="shared" si="986"/>
        <v>10554279.063748032</v>
      </c>
      <c r="S549">
        <f t="shared" si="987"/>
        <v>105.54279063748032</v>
      </c>
      <c r="T549">
        <f t="shared" si="988"/>
        <v>0.10554279063748032</v>
      </c>
    </row>
    <row r="550" spans="1:20" x14ac:dyDescent="0.25">
      <c r="A550" s="5">
        <v>44043</v>
      </c>
      <c r="B550">
        <v>1.5892999999999999</v>
      </c>
      <c r="C550">
        <v>1.61</v>
      </c>
      <c r="D550">
        <v>1.5757000000000001</v>
      </c>
      <c r="E550">
        <v>1.5815999999999999</v>
      </c>
      <c r="F550">
        <v>654314.56999999995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-0.65597667638485158</v>
      </c>
      <c r="Q550">
        <f t="shared" si="985"/>
        <v>-429215.0969387833</v>
      </c>
      <c r="R550">
        <f t="shared" si="986"/>
        <v>9165786.5783879403</v>
      </c>
      <c r="S550">
        <f t="shared" si="987"/>
        <v>91.657865783879402</v>
      </c>
      <c r="T550">
        <f t="shared" si="988"/>
        <v>9.1657865783879397E-2</v>
      </c>
    </row>
    <row r="551" spans="1:20" x14ac:dyDescent="0.25">
      <c r="A551" s="5">
        <v>44042</v>
      </c>
      <c r="B551">
        <v>1.5783</v>
      </c>
      <c r="C551">
        <v>1.599</v>
      </c>
      <c r="D551">
        <v>1.5532999999999999</v>
      </c>
      <c r="E551">
        <v>1.5886</v>
      </c>
      <c r="F551">
        <v>837584.57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0.54485776805251873</v>
      </c>
      <c r="Q551">
        <f t="shared" si="985"/>
        <v>456364.4593654286</v>
      </c>
      <c r="R551">
        <f t="shared" si="986"/>
        <v>9595001.6753267236</v>
      </c>
      <c r="S551">
        <f t="shared" si="987"/>
        <v>95.950016753267235</v>
      </c>
      <c r="T551">
        <f t="shared" si="988"/>
        <v>9.5950016753267239E-2</v>
      </c>
    </row>
    <row r="552" spans="1:20" x14ac:dyDescent="0.25">
      <c r="A552" s="5">
        <v>44041</v>
      </c>
      <c r="B552">
        <v>1.5817000000000001</v>
      </c>
      <c r="C552">
        <v>1.6278999999999999</v>
      </c>
      <c r="D552">
        <v>1.577</v>
      </c>
      <c r="E552">
        <v>1.5778000000000001</v>
      </c>
      <c r="F552">
        <v>1065848.51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-0.96856581532415975</v>
      </c>
      <c r="Q552">
        <f t="shared" si="985"/>
        <v>-1032344.4311001908</v>
      </c>
      <c r="R552">
        <f t="shared" si="986"/>
        <v>9138637.2159612942</v>
      </c>
      <c r="S552">
        <f t="shared" si="987"/>
        <v>91.386372159612947</v>
      </c>
      <c r="T552">
        <f t="shared" si="988"/>
        <v>9.1386372159612941E-2</v>
      </c>
    </row>
    <row r="553" spans="1:20" x14ac:dyDescent="0.25">
      <c r="A553" s="5">
        <v>44040</v>
      </c>
      <c r="B553">
        <v>1.5784</v>
      </c>
      <c r="C553">
        <v>1.5967</v>
      </c>
      <c r="D553">
        <v>1.5447</v>
      </c>
      <c r="E553">
        <v>1.5835999999999999</v>
      </c>
      <c r="F553">
        <v>1188310.3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0.49615384615384234</v>
      </c>
      <c r="Q553">
        <f t="shared" si="985"/>
        <v>589584.72576922621</v>
      </c>
      <c r="R553">
        <f t="shared" si="986"/>
        <v>10170981.647061486</v>
      </c>
      <c r="S553">
        <f t="shared" si="987"/>
        <v>101.70981647061485</v>
      </c>
      <c r="T553">
        <f t="shared" si="988"/>
        <v>0.10170981647061485</v>
      </c>
    </row>
    <row r="554" spans="1:20" x14ac:dyDescent="0.25">
      <c r="A554" s="5">
        <v>44039</v>
      </c>
      <c r="B554">
        <v>1.6251</v>
      </c>
      <c r="C554">
        <v>1.6284000000000001</v>
      </c>
      <c r="D554">
        <v>1.4664999999999999</v>
      </c>
      <c r="E554">
        <v>1.5738000000000001</v>
      </c>
      <c r="F554">
        <v>2403306.4300000002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0.32550957381099532</v>
      </c>
      <c r="Q554">
        <f t="shared" si="985"/>
        <v>782299.25176652474</v>
      </c>
      <c r="R554">
        <f t="shared" si="986"/>
        <v>9581396.9212922603</v>
      </c>
      <c r="S554">
        <f t="shared" si="987"/>
        <v>95.813969212922601</v>
      </c>
      <c r="T554">
        <f t="shared" si="988"/>
        <v>9.5813969212922595E-2</v>
      </c>
    </row>
    <row r="555" spans="1:20" x14ac:dyDescent="0.25">
      <c r="A555" s="5">
        <v>44038</v>
      </c>
      <c r="B555">
        <v>1.6424000000000001</v>
      </c>
      <c r="C555">
        <v>1.6798999999999999</v>
      </c>
      <c r="D555">
        <v>1.6155999999999999</v>
      </c>
      <c r="E555">
        <v>1.6229</v>
      </c>
      <c r="F555">
        <v>952125.13</v>
      </c>
      <c r="G555">
        <v>0</v>
      </c>
      <c r="L555" t="s">
        <v>7</v>
      </c>
      <c r="M555" t="s">
        <v>8</v>
      </c>
      <c r="N555" t="s">
        <v>7</v>
      </c>
      <c r="P555">
        <f t="shared" si="984"/>
        <v>-0.77293934681181709</v>
      </c>
      <c r="Q555">
        <f t="shared" si="985"/>
        <v>-735934.97606531647</v>
      </c>
      <c r="R555">
        <f t="shared" si="986"/>
        <v>8799097.6695257351</v>
      </c>
      <c r="S555">
        <f t="shared" si="987"/>
        <v>87.990976695257345</v>
      </c>
      <c r="T555">
        <f t="shared" si="988"/>
        <v>8.799097669525735E-2</v>
      </c>
    </row>
    <row r="556" spans="1:20" x14ac:dyDescent="0.25">
      <c r="A556" s="5">
        <v>44037</v>
      </c>
      <c r="B556">
        <v>1.6229</v>
      </c>
      <c r="C556">
        <v>1.6619999999999999</v>
      </c>
      <c r="D556">
        <v>1.6221000000000001</v>
      </c>
      <c r="E556">
        <v>1.6418999999999999</v>
      </c>
      <c r="F556">
        <v>929608.27</v>
      </c>
      <c r="G556">
        <v>0</v>
      </c>
      <c r="L556" t="s">
        <v>7</v>
      </c>
      <c r="M556" t="s">
        <v>8</v>
      </c>
      <c r="N556" t="s">
        <v>7</v>
      </c>
      <c r="P556">
        <f t="shared" si="984"/>
        <v>-7.5187969924859731E-3</v>
      </c>
      <c r="Q556">
        <f t="shared" si="985"/>
        <v>-6989.5358646660889</v>
      </c>
      <c r="R556">
        <f t="shared" si="986"/>
        <v>9535032.6455910522</v>
      </c>
      <c r="S556">
        <f t="shared" si="987"/>
        <v>95.350326455910519</v>
      </c>
      <c r="T556">
        <f t="shared" si="988"/>
        <v>9.5350326455910517E-2</v>
      </c>
    </row>
    <row r="557" spans="1:20" x14ac:dyDescent="0.25">
      <c r="A557" s="5">
        <v>44036</v>
      </c>
      <c r="B557">
        <v>1.6883999999999999</v>
      </c>
      <c r="C557">
        <v>1.6939</v>
      </c>
      <c r="D557">
        <v>1.6133999999999999</v>
      </c>
      <c r="E557">
        <v>1.6226</v>
      </c>
      <c r="F557">
        <v>1664660.23</v>
      </c>
      <c r="G557">
        <v>0</v>
      </c>
      <c r="L557" t="s">
        <v>7</v>
      </c>
      <c r="M557" t="s">
        <v>8</v>
      </c>
      <c r="N557" t="s">
        <v>7</v>
      </c>
      <c r="P557">
        <f t="shared" si="984"/>
        <v>-0.77142857142856902</v>
      </c>
      <c r="Q557">
        <f t="shared" si="985"/>
        <v>-1284166.4631428532</v>
      </c>
      <c r="R557">
        <f t="shared" si="986"/>
        <v>9542022.1814557184</v>
      </c>
      <c r="S557">
        <f t="shared" si="987"/>
        <v>95.420221814557181</v>
      </c>
      <c r="T557">
        <f t="shared" si="988"/>
        <v>9.5420221814557185E-2</v>
      </c>
    </row>
    <row r="558" spans="1:20" x14ac:dyDescent="0.25">
      <c r="A558" s="5">
        <v>44035</v>
      </c>
      <c r="B558">
        <v>1.7277</v>
      </c>
      <c r="C558">
        <v>1.7605999999999999</v>
      </c>
      <c r="D558">
        <v>1.6656</v>
      </c>
      <c r="E558">
        <v>1.6883999999999999</v>
      </c>
      <c r="F558">
        <v>1914932.52</v>
      </c>
      <c r="G558">
        <v>0</v>
      </c>
      <c r="L558" t="s">
        <v>8</v>
      </c>
      <c r="M558" t="s">
        <v>8</v>
      </c>
      <c r="N558" t="s">
        <v>7</v>
      </c>
      <c r="P558">
        <f t="shared" si="984"/>
        <v>-0.52000000000000135</v>
      </c>
      <c r="Q558">
        <f t="shared" si="985"/>
        <v>-995764.91040000261</v>
      </c>
      <c r="R558">
        <f t="shared" si="986"/>
        <v>10826188.644598572</v>
      </c>
      <c r="S558">
        <f t="shared" si="987"/>
        <v>108.26188644598571</v>
      </c>
      <c r="T558">
        <f t="shared" si="988"/>
        <v>0.10826188644598571</v>
      </c>
    </row>
    <row r="559" spans="1:20" x14ac:dyDescent="0.25">
      <c r="A559" s="5">
        <v>44034</v>
      </c>
      <c r="B559">
        <v>1.6492</v>
      </c>
      <c r="C559">
        <v>1.7504999999999999</v>
      </c>
      <c r="D559">
        <v>1.6335</v>
      </c>
      <c r="E559">
        <v>1.7290000000000001</v>
      </c>
      <c r="F559">
        <v>2564683.41</v>
      </c>
      <c r="G559">
        <v>0</v>
      </c>
      <c r="L559" t="s">
        <v>8</v>
      </c>
      <c r="M559" t="s">
        <v>8</v>
      </c>
      <c r="N559" t="s">
        <v>7</v>
      </c>
      <c r="P559">
        <f t="shared" si="984"/>
        <v>0.63247863247863501</v>
      </c>
      <c r="Q559">
        <f t="shared" si="985"/>
        <v>1622107.4558974425</v>
      </c>
      <c r="R559">
        <f t="shared" si="986"/>
        <v>11821953.554998575</v>
      </c>
      <c r="S559">
        <f t="shared" si="987"/>
        <v>118.21953554998575</v>
      </c>
      <c r="T559">
        <f t="shared" si="988"/>
        <v>0.11821953554998575</v>
      </c>
    </row>
    <row r="560" spans="1:20" x14ac:dyDescent="0.25">
      <c r="A560" s="5">
        <v>44033</v>
      </c>
      <c r="B560">
        <v>1.6242000000000001</v>
      </c>
      <c r="C560">
        <v>1.7295</v>
      </c>
      <c r="D560">
        <v>1.61</v>
      </c>
      <c r="E560">
        <v>1.6495</v>
      </c>
      <c r="F560">
        <v>2941998.62</v>
      </c>
      <c r="G560">
        <v>0</v>
      </c>
      <c r="L560" t="s">
        <v>8</v>
      </c>
      <c r="M560" t="s">
        <v>8</v>
      </c>
      <c r="N560" t="s">
        <v>7</v>
      </c>
      <c r="P560">
        <f t="shared" si="984"/>
        <v>-0.33891213389121527</v>
      </c>
      <c r="Q560">
        <f t="shared" si="985"/>
        <v>-997079.03020921058</v>
      </c>
      <c r="R560">
        <f t="shared" si="986"/>
        <v>10199846.099101132</v>
      </c>
      <c r="S560">
        <f t="shared" si="987"/>
        <v>101.99846099101131</v>
      </c>
      <c r="T560">
        <f t="shared" si="988"/>
        <v>0.10199846099101131</v>
      </c>
    </row>
    <row r="561" spans="1:104" x14ac:dyDescent="0.25">
      <c r="A561" s="5">
        <v>44032</v>
      </c>
      <c r="B561">
        <v>1.5535000000000001</v>
      </c>
      <c r="C561">
        <v>1.7385999999999999</v>
      </c>
      <c r="D561">
        <v>1.5530999999999999</v>
      </c>
      <c r="E561">
        <v>1.6222000000000001</v>
      </c>
      <c r="F561">
        <v>3002851.52</v>
      </c>
      <c r="G561">
        <v>0</v>
      </c>
      <c r="L561" t="s">
        <v>8</v>
      </c>
      <c r="M561" t="s">
        <v>8</v>
      </c>
      <c r="N561" t="s">
        <v>7</v>
      </c>
      <c r="P561">
        <f t="shared" si="984"/>
        <v>-0.25498652291104945</v>
      </c>
      <c r="Q561">
        <f t="shared" si="985"/>
        <v>-765686.66790295963</v>
      </c>
      <c r="R561">
        <f t="shared" si="986"/>
        <v>11196925.129310342</v>
      </c>
      <c r="S561">
        <f t="shared" si="987"/>
        <v>111.96925129310341</v>
      </c>
      <c r="T561">
        <f t="shared" si="988"/>
        <v>0.11196925129310341</v>
      </c>
      <c r="CZ561" t="s">
        <v>7</v>
      </c>
    </row>
    <row r="562" spans="1:104" x14ac:dyDescent="0.25">
      <c r="A562" s="5">
        <v>44031</v>
      </c>
      <c r="B562">
        <v>1.5835999999999999</v>
      </c>
      <c r="C562">
        <v>1.6376999999999999</v>
      </c>
      <c r="D562">
        <v>1.5334000000000001</v>
      </c>
      <c r="E562">
        <v>1.5537000000000001</v>
      </c>
      <c r="F562">
        <v>1902961.04</v>
      </c>
      <c r="G562">
        <v>0</v>
      </c>
      <c r="L562" t="s">
        <v>8</v>
      </c>
      <c r="M562" t="s">
        <v>8</v>
      </c>
      <c r="N562" t="s">
        <v>7</v>
      </c>
      <c r="P562">
        <f t="shared" si="984"/>
        <v>-0.61073825503355672</v>
      </c>
      <c r="Q562">
        <f t="shared" si="985"/>
        <v>-1162211.1049664423</v>
      </c>
      <c r="R562">
        <f t="shared" si="986"/>
        <v>11962611.797213301</v>
      </c>
      <c r="S562">
        <f t="shared" si="987"/>
        <v>119.62611797213302</v>
      </c>
      <c r="T562">
        <f t="shared" si="988"/>
        <v>0.11962611797213302</v>
      </c>
      <c r="CZ562" t="s">
        <v>7</v>
      </c>
    </row>
    <row r="563" spans="1:104" x14ac:dyDescent="0.25">
      <c r="A563" s="5">
        <v>44030</v>
      </c>
      <c r="B563">
        <v>1.4931000000000001</v>
      </c>
      <c r="C563">
        <v>1.6004</v>
      </c>
      <c r="D563">
        <v>1.4756</v>
      </c>
      <c r="E563">
        <v>1.5841000000000001</v>
      </c>
      <c r="F563">
        <v>2517108.4900000002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0.73878205128205165</v>
      </c>
      <c r="Q563">
        <f t="shared" si="985"/>
        <v>1859594.5735416678</v>
      </c>
      <c r="R563">
        <f t="shared" si="986"/>
        <v>13124822.902179744</v>
      </c>
      <c r="S563">
        <f t="shared" si="987"/>
        <v>131.24822902179744</v>
      </c>
      <c r="T563">
        <f t="shared" si="988"/>
        <v>0.13124822902179745</v>
      </c>
      <c r="CZ563" t="s">
        <v>7</v>
      </c>
    </row>
    <row r="564" spans="1:104" x14ac:dyDescent="0.25">
      <c r="A564" s="5">
        <v>44029</v>
      </c>
      <c r="B564">
        <v>1.4748000000000001</v>
      </c>
      <c r="C564">
        <v>1.5155000000000001</v>
      </c>
      <c r="D564">
        <v>1.4669000000000001</v>
      </c>
      <c r="E564">
        <v>1.4932000000000001</v>
      </c>
      <c r="F564">
        <v>867729.77</v>
      </c>
      <c r="G564">
        <v>0</v>
      </c>
      <c r="L564" t="s">
        <v>7</v>
      </c>
      <c r="M564" t="s">
        <v>8</v>
      </c>
      <c r="N564" t="s">
        <v>7</v>
      </c>
      <c r="P564">
        <f t="shared" si="984"/>
        <v>8.2304526748971304E-2</v>
      </c>
      <c r="Q564">
        <f t="shared" si="985"/>
        <v>71418.088065843724</v>
      </c>
      <c r="R564">
        <f t="shared" si="986"/>
        <v>11265228.328638077</v>
      </c>
      <c r="S564">
        <f t="shared" si="987"/>
        <v>112.65228328638077</v>
      </c>
      <c r="T564">
        <f t="shared" si="988"/>
        <v>0.11265228328638076</v>
      </c>
    </row>
    <row r="565" spans="1:104" x14ac:dyDescent="0.25">
      <c r="A565" s="5">
        <v>44028</v>
      </c>
      <c r="B565">
        <v>1.5172000000000001</v>
      </c>
      <c r="C565">
        <v>1.5356000000000001</v>
      </c>
      <c r="D565">
        <v>1.4581999999999999</v>
      </c>
      <c r="E565">
        <v>1.4742</v>
      </c>
      <c r="F565">
        <v>1337150.8600000001</v>
      </c>
      <c r="G565">
        <v>0</v>
      </c>
      <c r="L565" t="s">
        <v>7</v>
      </c>
      <c r="M565" t="s">
        <v>8</v>
      </c>
      <c r="N565" t="s">
        <v>7</v>
      </c>
      <c r="P565">
        <f t="shared" si="984"/>
        <v>-0.58656330749354035</v>
      </c>
      <c r="Q565">
        <f t="shared" si="985"/>
        <v>-784323.63105943194</v>
      </c>
      <c r="R565">
        <f t="shared" si="986"/>
        <v>11193810.240572233</v>
      </c>
      <c r="S565">
        <f t="shared" si="987"/>
        <v>111.93810240572233</v>
      </c>
      <c r="T565">
        <f t="shared" si="988"/>
        <v>0.11193810240572233</v>
      </c>
    </row>
    <row r="566" spans="1:104" x14ac:dyDescent="0.25">
      <c r="A566" s="5">
        <v>44027</v>
      </c>
      <c r="B566">
        <v>1.5266</v>
      </c>
      <c r="C566">
        <v>1.5330999999999999</v>
      </c>
      <c r="D566">
        <v>1.5011000000000001</v>
      </c>
      <c r="E566">
        <v>1.5174000000000001</v>
      </c>
      <c r="F566">
        <v>563694.73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1.8750000000004988E-2</v>
      </c>
      <c r="Q566">
        <f t="shared" si="985"/>
        <v>10569.276187502812</v>
      </c>
      <c r="R566">
        <f t="shared" si="986"/>
        <v>11978133.871631665</v>
      </c>
      <c r="S566">
        <f t="shared" si="987"/>
        <v>119.78133871631665</v>
      </c>
      <c r="T566">
        <f t="shared" si="988"/>
        <v>0.11978133871631666</v>
      </c>
    </row>
    <row r="567" spans="1:104" x14ac:dyDescent="0.25">
      <c r="A567" s="5">
        <v>44026</v>
      </c>
      <c r="B567">
        <v>1.5337000000000001</v>
      </c>
      <c r="C567">
        <v>1.5434000000000001</v>
      </c>
      <c r="D567">
        <v>1.496</v>
      </c>
      <c r="E567">
        <v>1.5277000000000001</v>
      </c>
      <c r="F567">
        <v>891058.79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0.3375527426160333</v>
      </c>
      <c r="Q567">
        <f t="shared" si="985"/>
        <v>300779.33839662408</v>
      </c>
      <c r="R567">
        <f t="shared" si="986"/>
        <v>11967564.595444161</v>
      </c>
      <c r="S567">
        <f t="shared" si="987"/>
        <v>119.67564595444162</v>
      </c>
      <c r="T567">
        <f t="shared" si="988"/>
        <v>0.11967564595444162</v>
      </c>
    </row>
    <row r="568" spans="1:104" x14ac:dyDescent="0.25">
      <c r="A568" s="5">
        <v>44025</v>
      </c>
      <c r="B568">
        <v>1.5417000000000001</v>
      </c>
      <c r="C568">
        <v>1.59</v>
      </c>
      <c r="D568">
        <v>1.5147999999999999</v>
      </c>
      <c r="E568">
        <v>1.5347999999999999</v>
      </c>
      <c r="F568">
        <v>1305537.83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-0.46808510638297934</v>
      </c>
      <c r="Q568">
        <f t="shared" si="985"/>
        <v>-611102.814042554</v>
      </c>
      <c r="R568">
        <f t="shared" si="986"/>
        <v>11666785.257047538</v>
      </c>
      <c r="S568">
        <f t="shared" si="987"/>
        <v>116.66785257047538</v>
      </c>
      <c r="T568">
        <f t="shared" si="988"/>
        <v>0.11666785257047538</v>
      </c>
    </row>
    <row r="569" spans="1:104" x14ac:dyDescent="0.25">
      <c r="A569" s="5">
        <v>44024</v>
      </c>
      <c r="B569">
        <v>1.5298</v>
      </c>
      <c r="C569">
        <v>1.5876999999999999</v>
      </c>
      <c r="D569">
        <v>1.5089999999999999</v>
      </c>
      <c r="E569">
        <v>1.5394000000000001</v>
      </c>
      <c r="F569">
        <v>1000702.37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-0.22744599745869867</v>
      </c>
      <c r="Q569">
        <f t="shared" si="985"/>
        <v>-227605.74870393373</v>
      </c>
      <c r="R569">
        <f t="shared" si="986"/>
        <v>12277888.071090091</v>
      </c>
      <c r="S569">
        <f t="shared" si="987"/>
        <v>122.77888071090091</v>
      </c>
      <c r="T569">
        <f t="shared" si="988"/>
        <v>0.1227788807109009</v>
      </c>
    </row>
    <row r="570" spans="1:104" x14ac:dyDescent="0.25">
      <c r="A570" s="5">
        <v>44023</v>
      </c>
      <c r="B570">
        <v>1.544</v>
      </c>
      <c r="C570">
        <v>1.5589999999999999</v>
      </c>
      <c r="D570">
        <v>1.5249999999999999</v>
      </c>
      <c r="E570">
        <v>1.5298</v>
      </c>
      <c r="F570">
        <v>703072.42</v>
      </c>
      <c r="G570">
        <v>0</v>
      </c>
      <c r="L570" t="s">
        <v>7</v>
      </c>
      <c r="M570" t="s">
        <v>8</v>
      </c>
      <c r="N570" t="s">
        <v>7</v>
      </c>
      <c r="P570">
        <f t="shared" si="984"/>
        <v>-0.71764705882352153</v>
      </c>
      <c r="Q570">
        <f t="shared" si="985"/>
        <v>-504557.85435293568</v>
      </c>
      <c r="R570">
        <f t="shared" si="986"/>
        <v>12505493.819794025</v>
      </c>
      <c r="S570">
        <f t="shared" si="987"/>
        <v>125.05493819794026</v>
      </c>
      <c r="T570">
        <f t="shared" si="988"/>
        <v>0.12505493819794025</v>
      </c>
    </row>
    <row r="571" spans="1:104" x14ac:dyDescent="0.25">
      <c r="A571" s="5">
        <v>44022</v>
      </c>
      <c r="B571">
        <v>1.5543</v>
      </c>
      <c r="C571">
        <v>1.5543</v>
      </c>
      <c r="D571">
        <v>1.4891000000000001</v>
      </c>
      <c r="E571">
        <v>1.546</v>
      </c>
      <c r="F571">
        <v>861645.7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0.74539877300613544</v>
      </c>
      <c r="Q571">
        <f t="shared" si="985"/>
        <v>642269.64754601265</v>
      </c>
      <c r="R571">
        <f t="shared" si="986"/>
        <v>13010051.674146961</v>
      </c>
      <c r="S571">
        <f t="shared" si="987"/>
        <v>130.10051674146962</v>
      </c>
      <c r="T571">
        <f t="shared" si="988"/>
        <v>0.13010051674146961</v>
      </c>
    </row>
    <row r="572" spans="1:104" x14ac:dyDescent="0.25">
      <c r="A572" s="5">
        <v>44021</v>
      </c>
      <c r="B572">
        <v>1.6140000000000001</v>
      </c>
      <c r="C572">
        <v>1.6176999999999999</v>
      </c>
      <c r="D572">
        <v>1.5097</v>
      </c>
      <c r="E572">
        <v>1.5531999999999999</v>
      </c>
      <c r="F572">
        <v>1973079.69</v>
      </c>
      <c r="G572">
        <v>0</v>
      </c>
      <c r="L572" t="s">
        <v>7</v>
      </c>
      <c r="M572" t="s">
        <v>8</v>
      </c>
      <c r="N572" t="s">
        <v>7</v>
      </c>
      <c r="P572">
        <f t="shared" si="984"/>
        <v>-0.19444444444444586</v>
      </c>
      <c r="Q572">
        <f t="shared" si="985"/>
        <v>-383654.38416666945</v>
      </c>
      <c r="R572">
        <f t="shared" si="986"/>
        <v>12367782.026600949</v>
      </c>
      <c r="S572">
        <f t="shared" si="987"/>
        <v>123.67782026600949</v>
      </c>
      <c r="T572">
        <f t="shared" si="988"/>
        <v>0.12367782026600949</v>
      </c>
    </row>
    <row r="573" spans="1:104" x14ac:dyDescent="0.25">
      <c r="A573" s="5">
        <v>44020</v>
      </c>
      <c r="B573">
        <v>1.5297000000000001</v>
      </c>
      <c r="C573">
        <v>1.6458999999999999</v>
      </c>
      <c r="D573">
        <v>1.514</v>
      </c>
      <c r="E573">
        <v>1.6144000000000001</v>
      </c>
      <c r="F573">
        <v>2441887.15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0.52236542835481603</v>
      </c>
      <c r="Q573">
        <f t="shared" si="985"/>
        <v>1275557.4271038708</v>
      </c>
      <c r="R573">
        <f t="shared" si="986"/>
        <v>12751436.410767619</v>
      </c>
      <c r="S573">
        <f t="shared" si="987"/>
        <v>127.51436410767619</v>
      </c>
      <c r="T573">
        <f t="shared" si="988"/>
        <v>0.12751436410767619</v>
      </c>
    </row>
    <row r="574" spans="1:104" x14ac:dyDescent="0.25">
      <c r="A574" s="5">
        <v>44019</v>
      </c>
      <c r="B574">
        <v>1.5650999999999999</v>
      </c>
      <c r="C574">
        <v>1.5726</v>
      </c>
      <c r="D574">
        <v>1.508</v>
      </c>
      <c r="E574">
        <v>1.5289999999999999</v>
      </c>
      <c r="F574">
        <v>1552068.92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-0.34984520123839286</v>
      </c>
      <c r="Q574">
        <f t="shared" si="985"/>
        <v>-542983.86365325504</v>
      </c>
      <c r="R574">
        <f t="shared" si="986"/>
        <v>11475878.983663747</v>
      </c>
      <c r="S574">
        <f t="shared" si="987"/>
        <v>114.75878983663748</v>
      </c>
      <c r="T574">
        <f t="shared" si="988"/>
        <v>0.11475878983663748</v>
      </c>
    </row>
    <row r="575" spans="1:104" x14ac:dyDescent="0.25">
      <c r="A575" s="5">
        <v>44018</v>
      </c>
      <c r="B575">
        <v>1.4951000000000001</v>
      </c>
      <c r="C575">
        <v>1.5883</v>
      </c>
      <c r="D575">
        <v>1.4933000000000001</v>
      </c>
      <c r="E575">
        <v>1.5680000000000001</v>
      </c>
      <c r="F575">
        <v>2107329.3199999998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0.5726315789473686</v>
      </c>
      <c r="Q575">
        <f t="shared" si="985"/>
        <v>1206723.3158736846</v>
      </c>
      <c r="R575">
        <f t="shared" si="986"/>
        <v>12018862.847317003</v>
      </c>
      <c r="S575">
        <f t="shared" si="987"/>
        <v>120.18862847317003</v>
      </c>
      <c r="T575">
        <f t="shared" si="988"/>
        <v>0.12018862847317002</v>
      </c>
    </row>
    <row r="576" spans="1:104" x14ac:dyDescent="0.25">
      <c r="A576" s="5">
        <v>44017</v>
      </c>
      <c r="B576">
        <v>1.5165999999999999</v>
      </c>
      <c r="C576">
        <v>1.5217000000000001</v>
      </c>
      <c r="D576">
        <v>1.4534</v>
      </c>
      <c r="E576">
        <v>1.4951000000000001</v>
      </c>
      <c r="F576">
        <v>1463230.04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0.22108345534407184</v>
      </c>
      <c r="Q576">
        <f t="shared" si="985"/>
        <v>323495.95320644445</v>
      </c>
      <c r="R576">
        <f t="shared" si="986"/>
        <v>10812139.531443318</v>
      </c>
      <c r="S576">
        <f t="shared" si="987"/>
        <v>108.12139531443319</v>
      </c>
      <c r="T576">
        <f t="shared" si="988"/>
        <v>0.10812139531443318</v>
      </c>
    </row>
    <row r="577" spans="1:20" x14ac:dyDescent="0.25">
      <c r="A577" s="5">
        <v>44016</v>
      </c>
      <c r="B577">
        <v>1.4436</v>
      </c>
      <c r="C577">
        <v>1.56</v>
      </c>
      <c r="D577">
        <v>1.4340999999999999</v>
      </c>
      <c r="E577">
        <v>1.5165999999999999</v>
      </c>
      <c r="F577">
        <v>2802392.32</v>
      </c>
      <c r="G577">
        <v>0</v>
      </c>
      <c r="L577" t="s">
        <v>8</v>
      </c>
      <c r="M577" t="s">
        <v>8</v>
      </c>
      <c r="N577" t="s">
        <v>7</v>
      </c>
      <c r="P577">
        <f t="shared" si="984"/>
        <v>0.31056393963462964</v>
      </c>
      <c r="Q577">
        <f t="shared" si="985"/>
        <v>870321.9993010296</v>
      </c>
      <c r="R577">
        <f t="shared" si="986"/>
        <v>10488643.578236874</v>
      </c>
      <c r="S577">
        <f t="shared" si="987"/>
        <v>104.88643578236874</v>
      </c>
      <c r="T577">
        <f t="shared" si="988"/>
        <v>0.10488643578236874</v>
      </c>
    </row>
    <row r="578" spans="1:20" x14ac:dyDescent="0.25">
      <c r="A578" s="5">
        <v>44015</v>
      </c>
      <c r="B578">
        <v>1.4160999999999999</v>
      </c>
      <c r="C578">
        <v>1.4520999999999999</v>
      </c>
      <c r="D578">
        <v>1.3895999999999999</v>
      </c>
      <c r="E578">
        <v>1.4433</v>
      </c>
      <c r="F578">
        <v>1274648.1100000001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0.71840000000000259</v>
      </c>
      <c r="Q578">
        <f t="shared" si="985"/>
        <v>915707.20222400338</v>
      </c>
      <c r="R578">
        <f t="shared" si="986"/>
        <v>9618321.5789358448</v>
      </c>
      <c r="S578">
        <f t="shared" si="987"/>
        <v>96.183215789358442</v>
      </c>
      <c r="T578">
        <f t="shared" si="988"/>
        <v>9.6183215789358442E-2</v>
      </c>
    </row>
    <row r="579" spans="1:20" x14ac:dyDescent="0.25">
      <c r="A579" s="5">
        <v>44014</v>
      </c>
      <c r="B579">
        <v>1.4637</v>
      </c>
      <c r="C579">
        <v>1.4797</v>
      </c>
      <c r="D579">
        <v>1.3949</v>
      </c>
      <c r="E579">
        <v>1.4186000000000001</v>
      </c>
      <c r="F579">
        <v>1632474.99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-0.44103773584905526</v>
      </c>
      <c r="Q579">
        <f t="shared" si="985"/>
        <v>-719983.07341980911</v>
      </c>
      <c r="R579">
        <f t="shared" si="986"/>
        <v>8702614.3767118417</v>
      </c>
      <c r="S579">
        <f t="shared" si="987"/>
        <v>87.026143767118413</v>
      </c>
      <c r="T579">
        <f t="shared" si="988"/>
        <v>8.7026143767118411E-2</v>
      </c>
    </row>
    <row r="580" spans="1:20" x14ac:dyDescent="0.25">
      <c r="A580" s="5">
        <v>44013</v>
      </c>
      <c r="B580">
        <v>1.4654</v>
      </c>
      <c r="C580">
        <v>1.4923</v>
      </c>
      <c r="D580">
        <v>1.4514</v>
      </c>
      <c r="E580">
        <v>1.4641999999999999</v>
      </c>
      <c r="F580">
        <v>865470.8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-0.37408312958435491</v>
      </c>
      <c r="Q580">
        <f t="shared" si="985"/>
        <v>-323758.02542787534</v>
      </c>
      <c r="R580">
        <f t="shared" si="986"/>
        <v>9422597.450131651</v>
      </c>
      <c r="S580">
        <f t="shared" si="987"/>
        <v>94.225974501316514</v>
      </c>
      <c r="T580">
        <f t="shared" si="988"/>
        <v>9.422597450131652E-2</v>
      </c>
    </row>
    <row r="581" spans="1:20" x14ac:dyDescent="0.25">
      <c r="A581" s="5">
        <v>44012</v>
      </c>
      <c r="B581">
        <v>1.4714</v>
      </c>
      <c r="C581">
        <v>1.4938</v>
      </c>
      <c r="D581">
        <v>1.4480999999999999</v>
      </c>
      <c r="E581">
        <v>1.4677</v>
      </c>
      <c r="F581">
        <v>649519.87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-0.14223194748358731</v>
      </c>
      <c r="Q581">
        <f t="shared" si="985"/>
        <v>-92382.476039386456</v>
      </c>
      <c r="R581">
        <f t="shared" si="986"/>
        <v>9746355.4755595271</v>
      </c>
      <c r="S581">
        <f t="shared" si="987"/>
        <v>97.463554755595268</v>
      </c>
      <c r="T581">
        <f t="shared" si="988"/>
        <v>9.7463554755595275E-2</v>
      </c>
    </row>
    <row r="582" spans="1:20" x14ac:dyDescent="0.25">
      <c r="A582" s="5">
        <v>44011</v>
      </c>
      <c r="B582">
        <v>1.4254</v>
      </c>
      <c r="C582">
        <v>1.5004</v>
      </c>
      <c r="D582">
        <v>1.3729</v>
      </c>
      <c r="E582">
        <v>1.4689000000000001</v>
      </c>
      <c r="F582">
        <v>1188191.8500000001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0.50588235294117845</v>
      </c>
      <c r="Q582">
        <f t="shared" ref="Q582:Q645" si="990">F582*P582</f>
        <v>601085.28882353182</v>
      </c>
      <c r="R582">
        <f t="shared" ref="R582:R645" si="991">R583+Q582</f>
        <v>9838737.9515989143</v>
      </c>
      <c r="S582">
        <f t="shared" ref="S582:S645" si="992">R582/100000</f>
        <v>98.387379515989139</v>
      </c>
      <c r="T582">
        <f t="shared" ref="T582:T645" si="993">S582/1000</f>
        <v>9.8387379515989137E-2</v>
      </c>
    </row>
    <row r="583" spans="1:20" x14ac:dyDescent="0.25">
      <c r="A583" s="5">
        <v>44010</v>
      </c>
      <c r="B583">
        <v>1.3904000000000001</v>
      </c>
      <c r="C583">
        <v>1.4634</v>
      </c>
      <c r="D583">
        <v>1.3461000000000001</v>
      </c>
      <c r="E583">
        <v>1.4253</v>
      </c>
      <c r="F583">
        <v>1178141.93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0.35038363171355436</v>
      </c>
      <c r="Q583">
        <f t="shared" si="990"/>
        <v>412801.64810741611</v>
      </c>
      <c r="R583">
        <f t="shared" si="991"/>
        <v>9237652.6627753824</v>
      </c>
      <c r="S583">
        <f t="shared" si="992"/>
        <v>92.376526627753819</v>
      </c>
      <c r="T583">
        <f t="shared" si="993"/>
        <v>9.2376526627753822E-2</v>
      </c>
    </row>
    <row r="584" spans="1:20" x14ac:dyDescent="0.25">
      <c r="A584" s="5">
        <v>44009</v>
      </c>
      <c r="B584">
        <v>1.4607000000000001</v>
      </c>
      <c r="C584">
        <v>1.4619</v>
      </c>
      <c r="D584">
        <v>1.2961</v>
      </c>
      <c r="E584">
        <v>1.3905000000000001</v>
      </c>
      <c r="F584">
        <v>1533941.44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0.13872135102533256</v>
      </c>
      <c r="Q584">
        <f t="shared" si="990"/>
        <v>212790.4289505441</v>
      </c>
      <c r="R584">
        <f t="shared" si="991"/>
        <v>8824851.0146679655</v>
      </c>
      <c r="S584">
        <f t="shared" si="992"/>
        <v>88.248510146679649</v>
      </c>
      <c r="T584">
        <f t="shared" si="993"/>
        <v>8.8248510146679643E-2</v>
      </c>
    </row>
    <row r="585" spans="1:20" x14ac:dyDescent="0.25">
      <c r="A585" s="5">
        <v>44008</v>
      </c>
      <c r="B585">
        <v>1.4714</v>
      </c>
      <c r="C585">
        <v>1.4779</v>
      </c>
      <c r="D585">
        <v>1.446</v>
      </c>
      <c r="E585">
        <v>1.4592000000000001</v>
      </c>
      <c r="F585">
        <v>519882.99</v>
      </c>
      <c r="G585">
        <v>0</v>
      </c>
      <c r="L585" t="s">
        <v>7</v>
      </c>
      <c r="M585" t="s">
        <v>8</v>
      </c>
      <c r="N585" t="s">
        <v>7</v>
      </c>
      <c r="P585">
        <f t="shared" si="989"/>
        <v>-0.17241379310344299</v>
      </c>
      <c r="Q585">
        <f t="shared" si="990"/>
        <v>-89634.998275859311</v>
      </c>
      <c r="R585">
        <f t="shared" si="991"/>
        <v>8612060.585717421</v>
      </c>
      <c r="S585">
        <f t="shared" si="992"/>
        <v>86.120605857174212</v>
      </c>
      <c r="T585">
        <f t="shared" si="993"/>
        <v>8.6120605857174209E-2</v>
      </c>
    </row>
    <row r="586" spans="1:20" x14ac:dyDescent="0.25">
      <c r="A586" s="5">
        <v>44007</v>
      </c>
      <c r="B586">
        <v>1.5147999999999999</v>
      </c>
      <c r="C586">
        <v>1.516</v>
      </c>
      <c r="D586">
        <v>1.4460999999999999</v>
      </c>
      <c r="E586">
        <v>1.4719</v>
      </c>
      <c r="F586">
        <v>764358.3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-0.2618025751072956</v>
      </c>
      <c r="Q586">
        <f t="shared" si="990"/>
        <v>-200110.9712446348</v>
      </c>
      <c r="R586">
        <f t="shared" si="991"/>
        <v>8701695.5839932803</v>
      </c>
      <c r="S586">
        <f t="shared" si="992"/>
        <v>87.016955839932805</v>
      </c>
      <c r="T586">
        <f t="shared" si="993"/>
        <v>8.7016955839932811E-2</v>
      </c>
    </row>
    <row r="587" spans="1:20" x14ac:dyDescent="0.25">
      <c r="A587" s="5">
        <v>44006</v>
      </c>
      <c r="B587">
        <v>1.5659000000000001</v>
      </c>
      <c r="C587">
        <v>1.5916999999999999</v>
      </c>
      <c r="D587">
        <v>1.4786999999999999</v>
      </c>
      <c r="E587">
        <v>1.5154000000000001</v>
      </c>
      <c r="F587">
        <v>892555.28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-0.350442477876103</v>
      </c>
      <c r="Q587">
        <f t="shared" si="990"/>
        <v>-312789.2839645989</v>
      </c>
      <c r="R587">
        <f t="shared" si="991"/>
        <v>8901806.5552379154</v>
      </c>
      <c r="S587">
        <f t="shared" si="992"/>
        <v>89.018065552379156</v>
      </c>
      <c r="T587">
        <f t="shared" si="993"/>
        <v>8.901806555237915E-2</v>
      </c>
    </row>
    <row r="588" spans="1:20" x14ac:dyDescent="0.25">
      <c r="A588" s="5">
        <v>44005</v>
      </c>
      <c r="B588">
        <v>1.6246</v>
      </c>
      <c r="C588">
        <v>1.6807000000000001</v>
      </c>
      <c r="D588">
        <v>1.5625</v>
      </c>
      <c r="E588">
        <v>1.5664</v>
      </c>
      <c r="F588">
        <v>1122150.8400000001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-0.93401015228426376</v>
      </c>
      <c r="Q588">
        <f t="shared" si="990"/>
        <v>-1048100.2769543146</v>
      </c>
      <c r="R588">
        <f t="shared" si="991"/>
        <v>9214595.8392025139</v>
      </c>
      <c r="S588">
        <f t="shared" si="992"/>
        <v>92.145958392025136</v>
      </c>
      <c r="T588">
        <f t="shared" si="993"/>
        <v>9.2145958392025135E-2</v>
      </c>
    </row>
    <row r="589" spans="1:20" x14ac:dyDescent="0.25">
      <c r="A589" s="5">
        <v>44004</v>
      </c>
      <c r="B589">
        <v>1.4524999999999999</v>
      </c>
      <c r="C589">
        <v>1.64</v>
      </c>
      <c r="D589">
        <v>1.4504999999999999</v>
      </c>
      <c r="E589">
        <v>1.6246</v>
      </c>
      <c r="F589">
        <v>2728442.83</v>
      </c>
      <c r="G589">
        <v>0</v>
      </c>
      <c r="L589" t="s">
        <v>8</v>
      </c>
      <c r="M589" t="s">
        <v>8</v>
      </c>
      <c r="N589" t="s">
        <v>7</v>
      </c>
      <c r="P589">
        <f t="shared" si="989"/>
        <v>0.83746701846965854</v>
      </c>
      <c r="Q589">
        <f t="shared" si="990"/>
        <v>2284980.8819050174</v>
      </c>
      <c r="R589">
        <f t="shared" si="991"/>
        <v>10262696.116156828</v>
      </c>
      <c r="S589">
        <f t="shared" si="992"/>
        <v>102.62696116156827</v>
      </c>
      <c r="T589">
        <f t="shared" si="993"/>
        <v>0.10262696116156828</v>
      </c>
    </row>
    <row r="590" spans="1:20" x14ac:dyDescent="0.25">
      <c r="A590" s="5">
        <v>44003</v>
      </c>
      <c r="B590">
        <v>1.4684999999999999</v>
      </c>
      <c r="C590">
        <v>1.4830000000000001</v>
      </c>
      <c r="D590">
        <v>1.4500999999999999</v>
      </c>
      <c r="E590">
        <v>1.4512</v>
      </c>
      <c r="F590">
        <v>396026.88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-0.93313069908814006</v>
      </c>
      <c r="Q590">
        <f t="shared" si="990"/>
        <v>-369544.83939209493</v>
      </c>
      <c r="R590">
        <f t="shared" si="991"/>
        <v>7977715.2342518102</v>
      </c>
      <c r="S590">
        <f t="shared" si="992"/>
        <v>79.777152342518107</v>
      </c>
      <c r="T590">
        <f t="shared" si="993"/>
        <v>7.9777152342518101E-2</v>
      </c>
    </row>
    <row r="591" spans="1:20" x14ac:dyDescent="0.25">
      <c r="A591" s="5">
        <v>44002</v>
      </c>
      <c r="B591">
        <v>1.4605999999999999</v>
      </c>
      <c r="C591">
        <v>1.4981</v>
      </c>
      <c r="D591">
        <v>1.4359999999999999</v>
      </c>
      <c r="E591">
        <v>1.4702</v>
      </c>
      <c r="F591">
        <v>708846.54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0.10144927536231832</v>
      </c>
      <c r="Q591">
        <f t="shared" si="990"/>
        <v>71911.967826086591</v>
      </c>
      <c r="R591">
        <f t="shared" si="991"/>
        <v>8347260.0736439051</v>
      </c>
      <c r="S591">
        <f t="shared" si="992"/>
        <v>83.472600736439048</v>
      </c>
      <c r="T591">
        <f t="shared" si="993"/>
        <v>8.3472600736439043E-2</v>
      </c>
    </row>
    <row r="592" spans="1:20" x14ac:dyDescent="0.25">
      <c r="A592" s="5">
        <v>44001</v>
      </c>
      <c r="B592">
        <v>1.4745999999999999</v>
      </c>
      <c r="C592">
        <v>1.4872000000000001</v>
      </c>
      <c r="D592">
        <v>1.4391</v>
      </c>
      <c r="E592">
        <v>1.4602999999999999</v>
      </c>
      <c r="F592">
        <v>599519.15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-0.11850311850312384</v>
      </c>
      <c r="Q592">
        <f t="shared" si="990"/>
        <v>-71044.888877342077</v>
      </c>
      <c r="R592">
        <f t="shared" si="991"/>
        <v>8275348.1058178181</v>
      </c>
      <c r="S592">
        <f t="shared" si="992"/>
        <v>82.753481058178181</v>
      </c>
      <c r="T592">
        <f t="shared" si="993"/>
        <v>8.2753481058178174E-2</v>
      </c>
    </row>
    <row r="593" spans="1:20" x14ac:dyDescent="0.25">
      <c r="A593" s="5">
        <v>44000</v>
      </c>
      <c r="B593">
        <v>1.5109999999999999</v>
      </c>
      <c r="C593">
        <v>1.5229999999999999</v>
      </c>
      <c r="D593">
        <v>1.4500999999999999</v>
      </c>
      <c r="E593">
        <v>1.4786999999999999</v>
      </c>
      <c r="F593">
        <v>564169.23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-0.21536351165980872</v>
      </c>
      <c r="Q593">
        <f t="shared" si="990"/>
        <v>-121501.46654321031</v>
      </c>
      <c r="R593">
        <f t="shared" si="991"/>
        <v>8346392.9946951605</v>
      </c>
      <c r="S593">
        <f t="shared" si="992"/>
        <v>83.463929946951609</v>
      </c>
      <c r="T593">
        <f t="shared" si="993"/>
        <v>8.3463929946951607E-2</v>
      </c>
    </row>
    <row r="594" spans="1:20" x14ac:dyDescent="0.25">
      <c r="A594" s="5">
        <v>43999</v>
      </c>
      <c r="B594">
        <v>1.5265</v>
      </c>
      <c r="C594">
        <v>1.5336000000000001</v>
      </c>
      <c r="D594">
        <v>1.4824999999999999</v>
      </c>
      <c r="E594">
        <v>1.5136000000000001</v>
      </c>
      <c r="F594">
        <v>609426.26</v>
      </c>
      <c r="G594">
        <v>0</v>
      </c>
      <c r="L594" t="s">
        <v>8</v>
      </c>
      <c r="M594" t="s">
        <v>7</v>
      </c>
      <c r="N594" t="s">
        <v>7</v>
      </c>
      <c r="P594">
        <f t="shared" si="989"/>
        <v>0.21722113502935575</v>
      </c>
      <c r="Q594">
        <f t="shared" si="990"/>
        <v>132380.26391389527</v>
      </c>
      <c r="R594">
        <f t="shared" si="991"/>
        <v>8467894.4612383712</v>
      </c>
      <c r="S594">
        <f t="shared" si="992"/>
        <v>84.678944612383717</v>
      </c>
      <c r="T594">
        <f t="shared" si="993"/>
        <v>8.4678944612383719E-2</v>
      </c>
    </row>
    <row r="595" spans="1:20" x14ac:dyDescent="0.25">
      <c r="A595" s="5">
        <v>43998</v>
      </c>
      <c r="B595">
        <v>1.5057</v>
      </c>
      <c r="C595">
        <v>1.55</v>
      </c>
      <c r="D595">
        <v>1.4870000000000001</v>
      </c>
      <c r="E595">
        <v>1.5270999999999999</v>
      </c>
      <c r="F595">
        <v>720592.15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0.27301587301586788</v>
      </c>
      <c r="Q595">
        <f t="shared" si="990"/>
        <v>196733.09492063124</v>
      </c>
      <c r="R595">
        <f t="shared" si="991"/>
        <v>8335514.1973244762</v>
      </c>
      <c r="S595">
        <f t="shared" si="992"/>
        <v>83.355141973244756</v>
      </c>
      <c r="T595">
        <f t="shared" si="993"/>
        <v>8.3355141973244756E-2</v>
      </c>
    </row>
    <row r="596" spans="1:20" x14ac:dyDescent="0.25">
      <c r="A596" s="5">
        <v>43997</v>
      </c>
      <c r="B596">
        <v>1.5631999999999999</v>
      </c>
      <c r="C596">
        <v>1.5723</v>
      </c>
      <c r="D596">
        <v>1.4039999999999999</v>
      </c>
      <c r="E596">
        <v>1.5037</v>
      </c>
      <c r="F596">
        <v>1305229.74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0.18478906714200896</v>
      </c>
      <c r="Q596">
        <f t="shared" si="990"/>
        <v>241192.18606060691</v>
      </c>
      <c r="R596">
        <f t="shared" si="991"/>
        <v>8138781.1024038447</v>
      </c>
      <c r="S596">
        <f t="shared" si="992"/>
        <v>81.387811024038442</v>
      </c>
      <c r="T596">
        <f t="shared" si="993"/>
        <v>8.1387811024038442E-2</v>
      </c>
    </row>
    <row r="597" spans="1:20" x14ac:dyDescent="0.25">
      <c r="A597" s="5">
        <v>43996</v>
      </c>
      <c r="B597">
        <v>1.6203000000000001</v>
      </c>
      <c r="C597">
        <v>1.6203000000000001</v>
      </c>
      <c r="D597">
        <v>1.5228999999999999</v>
      </c>
      <c r="E597">
        <v>1.5640000000000001</v>
      </c>
      <c r="F597">
        <v>887691.18</v>
      </c>
      <c r="G597">
        <v>0</v>
      </c>
      <c r="L597" t="s">
        <v>7</v>
      </c>
      <c r="M597" t="s">
        <v>8</v>
      </c>
      <c r="N597" t="s">
        <v>7</v>
      </c>
      <c r="P597">
        <f t="shared" si="989"/>
        <v>-0.15605749486652831</v>
      </c>
      <c r="Q597">
        <f t="shared" si="990"/>
        <v>-138530.86176591247</v>
      </c>
      <c r="R597">
        <f t="shared" si="991"/>
        <v>7897588.9163432382</v>
      </c>
      <c r="S597">
        <f t="shared" si="992"/>
        <v>78.975889163432385</v>
      </c>
      <c r="T597">
        <f t="shared" si="993"/>
        <v>7.8975889163432386E-2</v>
      </c>
    </row>
    <row r="598" spans="1:20" x14ac:dyDescent="0.25">
      <c r="A598" s="5">
        <v>43995</v>
      </c>
      <c r="B598">
        <v>1.5527</v>
      </c>
      <c r="C598">
        <v>1.6793</v>
      </c>
      <c r="D598">
        <v>1.5469999999999999</v>
      </c>
      <c r="E598">
        <v>1.6187</v>
      </c>
      <c r="F598">
        <v>1289276.42</v>
      </c>
      <c r="G598">
        <v>0</v>
      </c>
      <c r="L598" t="s">
        <v>8</v>
      </c>
      <c r="M598" t="s">
        <v>8</v>
      </c>
      <c r="N598" t="s">
        <v>7</v>
      </c>
      <c r="P598">
        <f t="shared" si="989"/>
        <v>8.3900226757370397E-2</v>
      </c>
      <c r="Q598">
        <f t="shared" si="990"/>
        <v>108170.58399093071</v>
      </c>
      <c r="R598">
        <f t="shared" si="991"/>
        <v>8036119.7781091509</v>
      </c>
      <c r="S598">
        <f t="shared" si="992"/>
        <v>80.361197781091505</v>
      </c>
      <c r="T598">
        <f t="shared" si="993"/>
        <v>8.0361197781091506E-2</v>
      </c>
    </row>
    <row r="599" spans="1:20" x14ac:dyDescent="0.25">
      <c r="A599" s="5">
        <v>43994</v>
      </c>
      <c r="B599">
        <v>1.5044</v>
      </c>
      <c r="C599">
        <v>1.5847</v>
      </c>
      <c r="D599">
        <v>1.4943</v>
      </c>
      <c r="E599">
        <v>1.5529999999999999</v>
      </c>
      <c r="F599">
        <v>584655.94999999995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0.29867256637168033</v>
      </c>
      <c r="Q599">
        <f t="shared" si="990"/>
        <v>174620.69303097279</v>
      </c>
      <c r="R599">
        <f t="shared" si="991"/>
        <v>7927949.1941182204</v>
      </c>
      <c r="S599">
        <f t="shared" si="992"/>
        <v>79.279491941182201</v>
      </c>
      <c r="T599">
        <f t="shared" si="993"/>
        <v>7.9279491941182195E-2</v>
      </c>
    </row>
    <row r="600" spans="1:20" x14ac:dyDescent="0.25">
      <c r="A600" s="5">
        <v>43993</v>
      </c>
      <c r="B600">
        <v>1.649</v>
      </c>
      <c r="C600">
        <v>1.6561999999999999</v>
      </c>
      <c r="D600">
        <v>1.4849000000000001</v>
      </c>
      <c r="E600">
        <v>1.5076000000000001</v>
      </c>
      <c r="F600">
        <v>1181253.3400000001</v>
      </c>
      <c r="G600">
        <v>0</v>
      </c>
      <c r="L600" t="s">
        <v>7</v>
      </c>
      <c r="M600" t="s">
        <v>8</v>
      </c>
      <c r="N600" t="s">
        <v>7</v>
      </c>
      <c r="P600">
        <f t="shared" si="989"/>
        <v>-0.73496789258610662</v>
      </c>
      <c r="Q600">
        <f t="shared" si="990"/>
        <v>-868183.27791009971</v>
      </c>
      <c r="R600">
        <f t="shared" si="991"/>
        <v>7753328.5010872474</v>
      </c>
      <c r="S600">
        <f t="shared" si="992"/>
        <v>77.533285010872476</v>
      </c>
      <c r="T600">
        <f t="shared" si="993"/>
        <v>7.7533285010872477E-2</v>
      </c>
    </row>
    <row r="601" spans="1:20" x14ac:dyDescent="0.25">
      <c r="A601" s="5">
        <v>43992</v>
      </c>
      <c r="B601">
        <v>1.6487000000000001</v>
      </c>
      <c r="C601">
        <v>1.7007000000000001</v>
      </c>
      <c r="D601">
        <v>1.6203000000000001</v>
      </c>
      <c r="E601">
        <v>1.6498999999999999</v>
      </c>
      <c r="F601">
        <v>854368.33</v>
      </c>
      <c r="G601">
        <v>0</v>
      </c>
      <c r="L601" t="s">
        <v>7</v>
      </c>
      <c r="M601" t="s">
        <v>8</v>
      </c>
      <c r="N601" t="s">
        <v>7</v>
      </c>
      <c r="P601">
        <f t="shared" si="989"/>
        <v>-0.26368159203980501</v>
      </c>
      <c r="Q601">
        <f t="shared" si="990"/>
        <v>-225281.20144278949</v>
      </c>
      <c r="R601">
        <f t="shared" si="991"/>
        <v>8621511.7789973468</v>
      </c>
      <c r="S601">
        <f t="shared" si="992"/>
        <v>86.215117789973462</v>
      </c>
      <c r="T601">
        <f t="shared" si="993"/>
        <v>8.6215117789973456E-2</v>
      </c>
    </row>
    <row r="602" spans="1:20" x14ac:dyDescent="0.25">
      <c r="A602" s="5">
        <v>43991</v>
      </c>
      <c r="B602">
        <v>1.6779999999999999</v>
      </c>
      <c r="C602">
        <v>1.6990000000000001</v>
      </c>
      <c r="D602">
        <v>1.625</v>
      </c>
      <c r="E602">
        <v>1.6479999999999999</v>
      </c>
      <c r="F602">
        <v>1010801.96</v>
      </c>
      <c r="G602">
        <v>0</v>
      </c>
      <c r="L602" t="s">
        <v>7</v>
      </c>
      <c r="M602" t="s">
        <v>8</v>
      </c>
      <c r="N602" t="s">
        <v>7</v>
      </c>
      <c r="P602">
        <f t="shared" si="989"/>
        <v>-0.3783783783783814</v>
      </c>
      <c r="Q602">
        <f t="shared" si="990"/>
        <v>-382465.60648648953</v>
      </c>
      <c r="R602">
        <f t="shared" si="991"/>
        <v>8846792.980440136</v>
      </c>
      <c r="S602">
        <f t="shared" si="992"/>
        <v>88.467929804401365</v>
      </c>
      <c r="T602">
        <f t="shared" si="993"/>
        <v>8.8467929804401366E-2</v>
      </c>
    </row>
    <row r="603" spans="1:20" x14ac:dyDescent="0.25">
      <c r="A603" s="5">
        <v>43990</v>
      </c>
      <c r="B603">
        <v>1.6938</v>
      </c>
      <c r="C603">
        <v>1.7078</v>
      </c>
      <c r="D603">
        <v>1.6680999999999999</v>
      </c>
      <c r="E603">
        <v>1.6779999999999999</v>
      </c>
      <c r="F603">
        <v>547047.55000000005</v>
      </c>
      <c r="G603">
        <v>0</v>
      </c>
      <c r="L603" t="s">
        <v>7</v>
      </c>
      <c r="M603" t="s">
        <v>8</v>
      </c>
      <c r="N603" t="s">
        <v>7</v>
      </c>
      <c r="P603">
        <f t="shared" si="989"/>
        <v>-0.50125944584382853</v>
      </c>
      <c r="Q603">
        <f t="shared" si="990"/>
        <v>-274212.75176322408</v>
      </c>
      <c r="R603">
        <f t="shared" si="991"/>
        <v>9229258.586926626</v>
      </c>
      <c r="S603">
        <f t="shared" si="992"/>
        <v>92.292585869266262</v>
      </c>
      <c r="T603">
        <f t="shared" si="993"/>
        <v>9.2292585869266267E-2</v>
      </c>
    </row>
    <row r="604" spans="1:20" x14ac:dyDescent="0.25">
      <c r="A604" s="5">
        <v>43989</v>
      </c>
      <c r="B604">
        <v>1.7098</v>
      </c>
      <c r="C604">
        <v>1.7404999999999999</v>
      </c>
      <c r="D604">
        <v>1.6553</v>
      </c>
      <c r="E604">
        <v>1.6960999999999999</v>
      </c>
      <c r="F604">
        <v>807701.19</v>
      </c>
      <c r="G604">
        <v>0</v>
      </c>
      <c r="L604" t="s">
        <v>7</v>
      </c>
      <c r="M604" t="s">
        <v>8</v>
      </c>
      <c r="N604" t="s">
        <v>7</v>
      </c>
      <c r="P604">
        <f t="shared" si="989"/>
        <v>-4.2253521126761152E-2</v>
      </c>
      <c r="Q604">
        <f t="shared" si="990"/>
        <v>-34128.219295775125</v>
      </c>
      <c r="R604">
        <f t="shared" si="991"/>
        <v>9503471.3386898506</v>
      </c>
      <c r="S604">
        <f t="shared" si="992"/>
        <v>95.034713386898503</v>
      </c>
      <c r="T604">
        <f t="shared" si="993"/>
        <v>9.5034713386898506E-2</v>
      </c>
    </row>
    <row r="605" spans="1:20" x14ac:dyDescent="0.25">
      <c r="A605" s="5">
        <v>43988</v>
      </c>
      <c r="B605">
        <v>1.6423000000000001</v>
      </c>
      <c r="C605">
        <v>1.7648999999999999</v>
      </c>
      <c r="D605">
        <v>1.6166</v>
      </c>
      <c r="E605">
        <v>1.7079</v>
      </c>
      <c r="F605">
        <v>1412395.63</v>
      </c>
      <c r="G605">
        <v>0</v>
      </c>
      <c r="L605" t="s">
        <v>7</v>
      </c>
      <c r="M605" t="s">
        <v>8</v>
      </c>
      <c r="N605" t="s">
        <v>7</v>
      </c>
      <c r="P605">
        <f t="shared" si="989"/>
        <v>0.23128792987188149</v>
      </c>
      <c r="Q605">
        <f t="shared" si="990"/>
        <v>326670.06142279186</v>
      </c>
      <c r="R605">
        <f t="shared" si="991"/>
        <v>9537599.5579856262</v>
      </c>
      <c r="S605">
        <f t="shared" si="992"/>
        <v>95.375995579856266</v>
      </c>
      <c r="T605">
        <f t="shared" si="993"/>
        <v>9.5375995579856265E-2</v>
      </c>
    </row>
    <row r="606" spans="1:20" x14ac:dyDescent="0.25">
      <c r="A606" s="5">
        <v>43987</v>
      </c>
      <c r="B606">
        <v>1.6940999999999999</v>
      </c>
      <c r="C606">
        <v>1.6964999999999999</v>
      </c>
      <c r="D606">
        <v>1.6413</v>
      </c>
      <c r="E606">
        <v>1.6428</v>
      </c>
      <c r="F606">
        <v>678873.15</v>
      </c>
      <c r="G606">
        <v>0</v>
      </c>
      <c r="L606" t="s">
        <v>7</v>
      </c>
      <c r="M606" t="s">
        <v>8</v>
      </c>
      <c r="N606" t="s">
        <v>7</v>
      </c>
      <c r="P606">
        <f t="shared" si="989"/>
        <v>-0.94565217391304135</v>
      </c>
      <c r="Q606">
        <f t="shared" si="990"/>
        <v>-641977.87010869419</v>
      </c>
      <c r="R606">
        <f t="shared" si="991"/>
        <v>9210929.4965628348</v>
      </c>
      <c r="S606">
        <f t="shared" si="992"/>
        <v>92.109294965628351</v>
      </c>
      <c r="T606">
        <f t="shared" si="993"/>
        <v>9.2109294965628349E-2</v>
      </c>
    </row>
    <row r="607" spans="1:20" x14ac:dyDescent="0.25">
      <c r="A607" s="5">
        <v>43986</v>
      </c>
      <c r="B607">
        <v>1.7101999999999999</v>
      </c>
      <c r="C607">
        <v>1.7222999999999999</v>
      </c>
      <c r="D607">
        <v>1.6613</v>
      </c>
      <c r="E607">
        <v>1.6906000000000001</v>
      </c>
      <c r="F607">
        <v>720605.63</v>
      </c>
      <c r="G607">
        <v>0</v>
      </c>
      <c r="L607" t="s">
        <v>7</v>
      </c>
      <c r="M607" t="s">
        <v>8</v>
      </c>
      <c r="N607" t="s">
        <v>7</v>
      </c>
      <c r="P607">
        <f t="shared" si="989"/>
        <v>-3.9344262295077669E-2</v>
      </c>
      <c r="Q607">
        <f t="shared" si="990"/>
        <v>-28351.696918029691</v>
      </c>
      <c r="R607">
        <f t="shared" si="991"/>
        <v>9852907.3666715287</v>
      </c>
      <c r="S607">
        <f t="shared" si="992"/>
        <v>98.529073666715291</v>
      </c>
      <c r="T607">
        <f t="shared" si="993"/>
        <v>9.8529073666715289E-2</v>
      </c>
    </row>
    <row r="608" spans="1:20" x14ac:dyDescent="0.25">
      <c r="A608" s="5">
        <v>43985</v>
      </c>
      <c r="B608">
        <v>1.7373000000000001</v>
      </c>
      <c r="C608">
        <v>1.7786999999999999</v>
      </c>
      <c r="D608">
        <v>1.6947000000000001</v>
      </c>
      <c r="E608">
        <v>1.712</v>
      </c>
      <c r="F608">
        <v>1482286.28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-0.58809523809524045</v>
      </c>
      <c r="Q608">
        <f t="shared" si="990"/>
        <v>-871725.50276190822</v>
      </c>
      <c r="R608">
        <f t="shared" si="991"/>
        <v>9881259.063589558</v>
      </c>
      <c r="S608">
        <f t="shared" si="992"/>
        <v>98.812590635895575</v>
      </c>
      <c r="T608">
        <f t="shared" si="993"/>
        <v>9.8812590635895578E-2</v>
      </c>
    </row>
    <row r="609" spans="1:20" x14ac:dyDescent="0.25">
      <c r="A609" s="5">
        <v>43984</v>
      </c>
      <c r="B609">
        <v>1.7175</v>
      </c>
      <c r="C609">
        <v>1.7888999999999999</v>
      </c>
      <c r="D609">
        <v>1.5804</v>
      </c>
      <c r="E609">
        <v>1.7361</v>
      </c>
      <c r="F609">
        <v>3016831.93</v>
      </c>
      <c r="G609">
        <v>0</v>
      </c>
      <c r="L609" t="s">
        <v>7</v>
      </c>
      <c r="M609" t="s">
        <v>8</v>
      </c>
      <c r="N609" t="s">
        <v>7</v>
      </c>
      <c r="P609">
        <f t="shared" si="989"/>
        <v>0.49352517985611527</v>
      </c>
      <c r="Q609">
        <f t="shared" si="990"/>
        <v>1488882.5208489215</v>
      </c>
      <c r="R609">
        <f t="shared" si="991"/>
        <v>10752984.566351466</v>
      </c>
      <c r="S609">
        <f t="shared" si="992"/>
        <v>107.52984566351466</v>
      </c>
      <c r="T609">
        <f t="shared" si="993"/>
        <v>0.10752984566351466</v>
      </c>
    </row>
    <row r="610" spans="1:20" x14ac:dyDescent="0.25">
      <c r="A610" s="5">
        <v>43983</v>
      </c>
      <c r="B610">
        <v>1.5075000000000001</v>
      </c>
      <c r="C610">
        <v>1.7899</v>
      </c>
      <c r="D610">
        <v>1.4810000000000001</v>
      </c>
      <c r="E610">
        <v>1.7181</v>
      </c>
      <c r="F610">
        <v>8944613.1999999993</v>
      </c>
      <c r="G610">
        <v>0</v>
      </c>
      <c r="L610" t="s">
        <v>8</v>
      </c>
      <c r="M610" t="s">
        <v>8</v>
      </c>
      <c r="N610" t="s">
        <v>7</v>
      </c>
      <c r="P610">
        <f t="shared" si="989"/>
        <v>0.53512463580446679</v>
      </c>
      <c r="Q610">
        <f t="shared" si="990"/>
        <v>4786482.8810618259</v>
      </c>
      <c r="R610">
        <f t="shared" si="991"/>
        <v>9264102.0455025434</v>
      </c>
      <c r="S610">
        <f t="shared" si="992"/>
        <v>92.641020455025441</v>
      </c>
      <c r="T610">
        <f t="shared" si="993"/>
        <v>9.2641020455025438E-2</v>
      </c>
    </row>
    <row r="611" spans="1:20" x14ac:dyDescent="0.25">
      <c r="A611" s="5">
        <v>43982</v>
      </c>
      <c r="B611">
        <v>1.5790999999999999</v>
      </c>
      <c r="C611">
        <v>1.5793999999999999</v>
      </c>
      <c r="D611">
        <v>1.4631000000000001</v>
      </c>
      <c r="E611">
        <v>1.5081</v>
      </c>
      <c r="F611">
        <v>2449314.56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-0.22613929492691337</v>
      </c>
      <c r="Q611">
        <f t="shared" si="990"/>
        <v>-553886.26765262312</v>
      </c>
      <c r="R611">
        <f t="shared" si="991"/>
        <v>4477619.1644407185</v>
      </c>
      <c r="S611">
        <f t="shared" si="992"/>
        <v>44.776191644407184</v>
      </c>
      <c r="T611">
        <f t="shared" si="993"/>
        <v>4.4776191644407187E-2</v>
      </c>
    </row>
    <row r="612" spans="1:20" x14ac:dyDescent="0.25">
      <c r="A612" s="5">
        <v>43981</v>
      </c>
      <c r="B612">
        <v>1.6041000000000001</v>
      </c>
      <c r="C612">
        <v>1.6093999999999999</v>
      </c>
      <c r="D612">
        <v>1.5325</v>
      </c>
      <c r="E612">
        <v>1.5768</v>
      </c>
      <c r="F612">
        <v>2040393.21</v>
      </c>
      <c r="G612">
        <v>0</v>
      </c>
      <c r="L612" t="s">
        <v>7</v>
      </c>
      <c r="M612" t="s">
        <v>7</v>
      </c>
      <c r="N612" t="s">
        <v>7</v>
      </c>
      <c r="P612">
        <f t="shared" si="989"/>
        <v>0.15214564369310857</v>
      </c>
      <c r="Q612">
        <f t="shared" si="990"/>
        <v>310436.93832249806</v>
      </c>
      <c r="R612">
        <f t="shared" si="991"/>
        <v>5031505.4320933418</v>
      </c>
      <c r="S612">
        <f t="shared" si="992"/>
        <v>50.31505432093342</v>
      </c>
      <c r="T612">
        <f t="shared" si="993"/>
        <v>5.0315054320933424E-2</v>
      </c>
    </row>
    <row r="613" spans="1:20" x14ac:dyDescent="0.25">
      <c r="A613" s="5">
        <v>43980</v>
      </c>
      <c r="B613">
        <v>1.6064000000000001</v>
      </c>
      <c r="C613">
        <v>1.6667000000000001</v>
      </c>
      <c r="D613">
        <v>1.5835999999999999</v>
      </c>
      <c r="E613">
        <v>1.6029</v>
      </c>
      <c r="F613">
        <v>1916656.17</v>
      </c>
      <c r="G613">
        <v>0</v>
      </c>
      <c r="L613" t="s">
        <v>7</v>
      </c>
      <c r="M613" t="s">
        <v>8</v>
      </c>
      <c r="N613" t="s">
        <v>7</v>
      </c>
      <c r="P613">
        <f t="shared" si="989"/>
        <v>-0.53549939831528148</v>
      </c>
      <c r="Q613">
        <f t="shared" si="990"/>
        <v>-1026368.2258122718</v>
      </c>
      <c r="R613">
        <f t="shared" si="991"/>
        <v>4721068.4937708434</v>
      </c>
      <c r="S613">
        <f t="shared" si="992"/>
        <v>47.210684937708436</v>
      </c>
      <c r="T613">
        <f t="shared" si="993"/>
        <v>4.7210684937708434E-2</v>
      </c>
    </row>
    <row r="614" spans="1:20" x14ac:dyDescent="0.25">
      <c r="A614" s="5">
        <v>43979</v>
      </c>
      <c r="B614">
        <v>1.6422000000000001</v>
      </c>
      <c r="C614">
        <v>1.6639999999999999</v>
      </c>
      <c r="D614">
        <v>1.583</v>
      </c>
      <c r="E614">
        <v>1.6064000000000001</v>
      </c>
      <c r="F614">
        <v>2108469.23</v>
      </c>
      <c r="G614">
        <v>0</v>
      </c>
      <c r="L614" t="s">
        <v>7</v>
      </c>
      <c r="M614" t="s">
        <v>8</v>
      </c>
      <c r="N614" t="s">
        <v>7</v>
      </c>
      <c r="P614">
        <f t="shared" si="989"/>
        <v>-0.42222222222221978</v>
      </c>
      <c r="Q614">
        <f t="shared" si="990"/>
        <v>-890242.56377777259</v>
      </c>
      <c r="R614">
        <f t="shared" si="991"/>
        <v>5747436.7195831155</v>
      </c>
      <c r="S614">
        <f t="shared" si="992"/>
        <v>57.474367195831157</v>
      </c>
      <c r="T614">
        <f t="shared" si="993"/>
        <v>5.7474367195831155E-2</v>
      </c>
    </row>
    <row r="615" spans="1:20" x14ac:dyDescent="0.25">
      <c r="A615" s="5">
        <v>43978</v>
      </c>
      <c r="B615">
        <v>1.6532</v>
      </c>
      <c r="C615">
        <v>1.7266999999999999</v>
      </c>
      <c r="D615">
        <v>1.6168</v>
      </c>
      <c r="E615">
        <v>1.6448</v>
      </c>
      <c r="F615">
        <v>2864257.37</v>
      </c>
      <c r="G615">
        <v>0</v>
      </c>
      <c r="L615" t="s">
        <v>8</v>
      </c>
      <c r="M615" t="s">
        <v>8</v>
      </c>
      <c r="N615" t="s">
        <v>7</v>
      </c>
      <c r="P615">
        <f t="shared" si="989"/>
        <v>-0.49044585987261047</v>
      </c>
      <c r="Q615">
        <f t="shared" si="990"/>
        <v>-1404763.1687261118</v>
      </c>
      <c r="R615">
        <f t="shared" si="991"/>
        <v>6637679.2833608883</v>
      </c>
      <c r="S615">
        <f t="shared" si="992"/>
        <v>66.376792833608889</v>
      </c>
      <c r="T615">
        <f t="shared" si="993"/>
        <v>6.6376792833608894E-2</v>
      </c>
    </row>
    <row r="616" spans="1:20" x14ac:dyDescent="0.25">
      <c r="A616" s="5">
        <v>43977</v>
      </c>
      <c r="B616">
        <v>1.7232000000000001</v>
      </c>
      <c r="C616">
        <v>1.7769999999999999</v>
      </c>
      <c r="D616">
        <v>1.57</v>
      </c>
      <c r="E616">
        <v>1.6523000000000001</v>
      </c>
      <c r="F616">
        <v>3582616.49</v>
      </c>
      <c r="G616">
        <v>0</v>
      </c>
      <c r="L616" t="s">
        <v>7</v>
      </c>
      <c r="M616" t="s">
        <v>8</v>
      </c>
      <c r="N616" t="s">
        <v>7</v>
      </c>
      <c r="P616">
        <f t="shared" si="989"/>
        <v>-0.20483091787439517</v>
      </c>
      <c r="Q616">
        <f t="shared" si="990"/>
        <v>-733830.6240386439</v>
      </c>
      <c r="R616">
        <f t="shared" si="991"/>
        <v>8042442.452087</v>
      </c>
      <c r="S616">
        <f t="shared" si="992"/>
        <v>80.424424520870005</v>
      </c>
      <c r="T616">
        <f t="shared" si="993"/>
        <v>8.0424424520870008E-2</v>
      </c>
    </row>
    <row r="617" spans="1:20" x14ac:dyDescent="0.25">
      <c r="A617" s="5">
        <v>43976</v>
      </c>
      <c r="B617">
        <v>1.5373000000000001</v>
      </c>
      <c r="C617">
        <v>1.8678999999999999</v>
      </c>
      <c r="D617">
        <v>1.5254000000000001</v>
      </c>
      <c r="E617">
        <v>1.7232000000000001</v>
      </c>
      <c r="F617">
        <v>8697805.4600000009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0.15503649635036548</v>
      </c>
      <c r="Q617">
        <f t="shared" si="990"/>
        <v>1348477.2844554791</v>
      </c>
      <c r="R617">
        <f t="shared" si="991"/>
        <v>8776273.0761256441</v>
      </c>
      <c r="S617">
        <f t="shared" si="992"/>
        <v>87.762730761256435</v>
      </c>
      <c r="T617">
        <f t="shared" si="993"/>
        <v>8.776273076125643E-2</v>
      </c>
    </row>
    <row r="618" spans="1:20" x14ac:dyDescent="0.25">
      <c r="A618" s="5">
        <v>43975</v>
      </c>
      <c r="B618">
        <v>1.8705000000000001</v>
      </c>
      <c r="C618">
        <v>1.9258999999999999</v>
      </c>
      <c r="D618">
        <v>1.5256000000000001</v>
      </c>
      <c r="E618">
        <v>1.5367</v>
      </c>
      <c r="F618">
        <v>9184919.1199999992</v>
      </c>
      <c r="G618">
        <v>0</v>
      </c>
      <c r="L618" t="s">
        <v>7</v>
      </c>
      <c r="M618" t="s">
        <v>7</v>
      </c>
      <c r="N618" t="s">
        <v>7</v>
      </c>
      <c r="P618">
        <f t="shared" si="989"/>
        <v>-0.94454159380464708</v>
      </c>
      <c r="Q618">
        <f t="shared" si="990"/>
        <v>-8675538.1445715763</v>
      </c>
      <c r="R618">
        <f t="shared" si="991"/>
        <v>7427795.791670166</v>
      </c>
      <c r="S618">
        <f t="shared" si="992"/>
        <v>74.277957916701666</v>
      </c>
      <c r="T618">
        <f t="shared" si="993"/>
        <v>7.4277957916701665E-2</v>
      </c>
    </row>
    <row r="619" spans="1:20" x14ac:dyDescent="0.25">
      <c r="A619" s="5">
        <v>43974</v>
      </c>
      <c r="B619">
        <v>1.8003</v>
      </c>
      <c r="C619">
        <v>2.0950000000000002</v>
      </c>
      <c r="D619">
        <v>1.798</v>
      </c>
      <c r="E619">
        <v>1.8736999999999999</v>
      </c>
      <c r="F619">
        <v>10913757.359999999</v>
      </c>
      <c r="G619">
        <v>0</v>
      </c>
      <c r="L619" t="s">
        <v>7</v>
      </c>
      <c r="M619" t="s">
        <v>7</v>
      </c>
      <c r="N619" t="s">
        <v>8</v>
      </c>
      <c r="P619">
        <f t="shared" si="989"/>
        <v>-0.4902356902356913</v>
      </c>
      <c r="Q619">
        <f t="shared" si="990"/>
        <v>-5350313.3724444555</v>
      </c>
      <c r="R619">
        <f t="shared" si="991"/>
        <v>16103333.936241742</v>
      </c>
      <c r="S619">
        <f t="shared" si="992"/>
        <v>161.03333936241742</v>
      </c>
      <c r="T619">
        <f t="shared" si="993"/>
        <v>0.16103333936241743</v>
      </c>
    </row>
    <row r="620" spans="1:20" x14ac:dyDescent="0.25">
      <c r="A620" s="5">
        <v>43973</v>
      </c>
      <c r="B620">
        <v>1.5427</v>
      </c>
      <c r="C620">
        <v>2.2267999999999999</v>
      </c>
      <c r="D620">
        <v>1.4786999999999999</v>
      </c>
      <c r="E620">
        <v>1.8003</v>
      </c>
      <c r="F620">
        <v>33168978.190000001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-0.14022189546851996</v>
      </c>
      <c r="Q620">
        <f t="shared" si="990"/>
        <v>-4651016.992555799</v>
      </c>
      <c r="R620">
        <f t="shared" si="991"/>
        <v>21453647.308686197</v>
      </c>
      <c r="S620">
        <f t="shared" si="992"/>
        <v>214.53647308686197</v>
      </c>
      <c r="T620">
        <f t="shared" si="993"/>
        <v>0.21453647308686197</v>
      </c>
    </row>
    <row r="621" spans="1:20" x14ac:dyDescent="0.25">
      <c r="A621" s="5">
        <v>43972</v>
      </c>
      <c r="B621">
        <v>1.1673</v>
      </c>
      <c r="C621">
        <v>1.5984</v>
      </c>
      <c r="D621">
        <v>1.1417999999999999</v>
      </c>
      <c r="E621">
        <v>1.5427</v>
      </c>
      <c r="F621">
        <v>18676313.75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0.7560227770477439</v>
      </c>
      <c r="Q621">
        <f t="shared" si="990"/>
        <v>14119718.586289965</v>
      </c>
      <c r="R621">
        <f t="shared" si="991"/>
        <v>26104664.301241998</v>
      </c>
      <c r="S621">
        <f t="shared" si="992"/>
        <v>261.04664301241996</v>
      </c>
      <c r="T621">
        <f t="shared" si="993"/>
        <v>0.26104664301241998</v>
      </c>
    </row>
    <row r="622" spans="1:20" x14ac:dyDescent="0.25">
      <c r="A622" s="5">
        <v>43971</v>
      </c>
      <c r="B622">
        <v>1.1795</v>
      </c>
      <c r="C622">
        <v>1.21</v>
      </c>
      <c r="D622">
        <v>1.1200000000000001</v>
      </c>
      <c r="E622">
        <v>1.1678999999999999</v>
      </c>
      <c r="F622">
        <v>4843475.8499999996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6.4444444444442389E-2</v>
      </c>
      <c r="Q622">
        <f t="shared" si="990"/>
        <v>312135.11033332336</v>
      </c>
      <c r="R622">
        <f t="shared" si="991"/>
        <v>11984945.714952033</v>
      </c>
      <c r="S622">
        <f t="shared" si="992"/>
        <v>119.84945714952033</v>
      </c>
      <c r="T622">
        <f t="shared" si="993"/>
        <v>0.11984945714952033</v>
      </c>
    </row>
    <row r="623" spans="1:20" x14ac:dyDescent="0.25">
      <c r="A623" s="5">
        <v>43970</v>
      </c>
      <c r="B623">
        <v>1.0190999999999999</v>
      </c>
      <c r="C623">
        <v>1.1955</v>
      </c>
      <c r="D623">
        <v>0.95699999999999996</v>
      </c>
      <c r="E623">
        <v>1.1794</v>
      </c>
      <c r="F623">
        <v>7547231.7199999997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0.86498951781970645</v>
      </c>
      <c r="Q623">
        <f t="shared" si="990"/>
        <v>6528276.3263563933</v>
      </c>
      <c r="R623">
        <f t="shared" si="991"/>
        <v>11672810.60461871</v>
      </c>
      <c r="S623">
        <f t="shared" si="992"/>
        <v>116.72810604618709</v>
      </c>
      <c r="T623">
        <f t="shared" si="993"/>
        <v>0.11672810604618709</v>
      </c>
    </row>
    <row r="624" spans="1:20" x14ac:dyDescent="0.25">
      <c r="A624" s="5">
        <v>43969</v>
      </c>
      <c r="B624">
        <v>0.97609999999999997</v>
      </c>
      <c r="C624">
        <v>1.0592999999999999</v>
      </c>
      <c r="D624">
        <v>0.93500000000000005</v>
      </c>
      <c r="E624">
        <v>1.0218</v>
      </c>
      <c r="F624">
        <v>2966472.05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0.39662107803700869</v>
      </c>
      <c r="Q624">
        <f t="shared" si="990"/>
        <v>1176565.342437655</v>
      </c>
      <c r="R624">
        <f t="shared" si="991"/>
        <v>5144534.2782623162</v>
      </c>
      <c r="S624">
        <f t="shared" si="992"/>
        <v>51.445342782623165</v>
      </c>
      <c r="T624">
        <f t="shared" si="993"/>
        <v>5.1445342782623166E-2</v>
      </c>
    </row>
    <row r="625" spans="1:20" x14ac:dyDescent="0.25">
      <c r="A625" s="5">
        <v>43968</v>
      </c>
      <c r="B625">
        <v>0.93230000000000002</v>
      </c>
      <c r="C625">
        <v>1.0169999999999999</v>
      </c>
      <c r="D625">
        <v>0.9143</v>
      </c>
      <c r="E625">
        <v>0.97209999999999996</v>
      </c>
      <c r="F625">
        <v>2568076.48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0.12560856864654366</v>
      </c>
      <c r="Q625">
        <f t="shared" si="990"/>
        <v>322572.41082765418</v>
      </c>
      <c r="R625">
        <f t="shared" si="991"/>
        <v>3967968.9358246615</v>
      </c>
      <c r="S625">
        <f t="shared" si="992"/>
        <v>39.679689358246613</v>
      </c>
      <c r="T625">
        <f t="shared" si="993"/>
        <v>3.967968935824661E-2</v>
      </c>
    </row>
    <row r="626" spans="1:20" x14ac:dyDescent="0.25">
      <c r="A626" s="5">
        <v>43967</v>
      </c>
      <c r="B626">
        <v>0.95640000000000003</v>
      </c>
      <c r="C626">
        <v>0.95850000000000002</v>
      </c>
      <c r="D626">
        <v>0.91569999999999996</v>
      </c>
      <c r="E626">
        <v>0.93230000000000002</v>
      </c>
      <c r="F626">
        <v>1615139.66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-0.22429906542055908</v>
      </c>
      <c r="Q626">
        <f t="shared" si="990"/>
        <v>-362274.31626167952</v>
      </c>
      <c r="R626">
        <f t="shared" si="991"/>
        <v>3645396.5249970076</v>
      </c>
      <c r="S626">
        <f t="shared" si="992"/>
        <v>36.453965249970075</v>
      </c>
      <c r="T626">
        <f t="shared" si="993"/>
        <v>3.6453965249970077E-2</v>
      </c>
    </row>
    <row r="627" spans="1:20" x14ac:dyDescent="0.25">
      <c r="A627" s="5">
        <v>43966</v>
      </c>
      <c r="B627">
        <v>0.94299999999999995</v>
      </c>
      <c r="C627">
        <v>1.0790999999999999</v>
      </c>
      <c r="D627">
        <v>0.93110000000000004</v>
      </c>
      <c r="E627">
        <v>0.95509999999999995</v>
      </c>
      <c r="F627">
        <v>7511859.8399999999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-0.67567567567567666</v>
      </c>
      <c r="Q627">
        <f t="shared" si="990"/>
        <v>-5075580.9729729807</v>
      </c>
      <c r="R627">
        <f t="shared" si="991"/>
        <v>4007670.841258687</v>
      </c>
      <c r="S627">
        <f t="shared" si="992"/>
        <v>40.076708412586868</v>
      </c>
      <c r="T627">
        <f t="shared" si="993"/>
        <v>4.007670841258687E-2</v>
      </c>
    </row>
    <row r="628" spans="1:20" x14ac:dyDescent="0.25">
      <c r="A628" s="5">
        <v>43965</v>
      </c>
      <c r="B628">
        <v>0.76349999999999996</v>
      </c>
      <c r="C628">
        <v>1.0041</v>
      </c>
      <c r="D628">
        <v>0.75070000000000003</v>
      </c>
      <c r="E628">
        <v>0.94530000000000003</v>
      </c>
      <c r="F628">
        <v>7807425.9500000002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0.53591160220994494</v>
      </c>
      <c r="Q628">
        <f t="shared" si="990"/>
        <v>4184090.1500000018</v>
      </c>
      <c r="R628">
        <f t="shared" si="991"/>
        <v>9083251.8142316677</v>
      </c>
      <c r="S628">
        <f t="shared" si="992"/>
        <v>90.832518142316673</v>
      </c>
      <c r="T628">
        <f t="shared" si="993"/>
        <v>9.0832518142316673E-2</v>
      </c>
    </row>
    <row r="629" spans="1:20" x14ac:dyDescent="0.25">
      <c r="A629" s="5">
        <v>43964</v>
      </c>
      <c r="B629">
        <v>0.71719999999999995</v>
      </c>
      <c r="C629">
        <v>0.78200000000000003</v>
      </c>
      <c r="D629">
        <v>0.71009999999999995</v>
      </c>
      <c r="E629">
        <v>0.76349999999999996</v>
      </c>
      <c r="F629">
        <v>382215.45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0.48539638386647976</v>
      </c>
      <c r="Q629">
        <f t="shared" si="990"/>
        <v>185525.99728789931</v>
      </c>
      <c r="R629">
        <f t="shared" si="991"/>
        <v>4899161.6642316654</v>
      </c>
      <c r="S629">
        <f t="shared" si="992"/>
        <v>48.991616642316657</v>
      </c>
      <c r="T629">
        <f t="shared" si="993"/>
        <v>4.899161664231666E-2</v>
      </c>
    </row>
    <row r="630" spans="1:20" x14ac:dyDescent="0.25">
      <c r="A630" s="5">
        <v>43963</v>
      </c>
      <c r="B630">
        <v>0.66279999999999994</v>
      </c>
      <c r="C630">
        <v>0.74890000000000001</v>
      </c>
      <c r="D630">
        <v>0.6623</v>
      </c>
      <c r="E630">
        <v>0.71719999999999995</v>
      </c>
      <c r="F630">
        <v>498263.66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0.26789838337182315</v>
      </c>
      <c r="Q630">
        <f t="shared" si="990"/>
        <v>133484.02900692774</v>
      </c>
      <c r="R630">
        <f t="shared" si="991"/>
        <v>4713635.6669437662</v>
      </c>
      <c r="S630">
        <f t="shared" si="992"/>
        <v>47.13635666943766</v>
      </c>
      <c r="T630">
        <f t="shared" si="993"/>
        <v>4.7136356669437662E-2</v>
      </c>
    </row>
    <row r="631" spans="1:20" x14ac:dyDescent="0.25">
      <c r="A631" s="5">
        <v>43962</v>
      </c>
      <c r="B631">
        <v>0.67500000000000004</v>
      </c>
      <c r="C631">
        <v>0.68500000000000005</v>
      </c>
      <c r="D631">
        <v>0.62590000000000001</v>
      </c>
      <c r="E631">
        <v>0.66649999999999998</v>
      </c>
      <c r="F631">
        <v>728091.23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0.37394247038916889</v>
      </c>
      <c r="Q631">
        <f t="shared" si="990"/>
        <v>272264.23321488855</v>
      </c>
      <c r="R631">
        <f t="shared" si="991"/>
        <v>4580151.6379368389</v>
      </c>
      <c r="S631">
        <f t="shared" si="992"/>
        <v>45.801516379368387</v>
      </c>
      <c r="T631">
        <f t="shared" si="993"/>
        <v>4.5801516379368384E-2</v>
      </c>
    </row>
    <row r="632" spans="1:20" x14ac:dyDescent="0.25">
      <c r="A632" s="5">
        <v>43961</v>
      </c>
      <c r="B632">
        <v>0.74019999999999997</v>
      </c>
      <c r="C632">
        <v>0.7419</v>
      </c>
      <c r="D632">
        <v>0.63009999999999999</v>
      </c>
      <c r="E632">
        <v>0.67500000000000004</v>
      </c>
      <c r="F632">
        <v>934645.76000000001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-0.19677996422182384</v>
      </c>
      <c r="Q632">
        <f t="shared" si="990"/>
        <v>-183919.55921287937</v>
      </c>
      <c r="R632">
        <f t="shared" si="991"/>
        <v>4307887.4047219502</v>
      </c>
      <c r="S632">
        <f t="shared" si="992"/>
        <v>43.0788740472195</v>
      </c>
      <c r="T632">
        <f t="shared" si="993"/>
        <v>4.3078874047219502E-2</v>
      </c>
    </row>
    <row r="633" spans="1:20" x14ac:dyDescent="0.25">
      <c r="A633" s="5">
        <v>43960</v>
      </c>
      <c r="B633">
        <v>0.76139999999999997</v>
      </c>
      <c r="C633">
        <v>0.77690000000000003</v>
      </c>
      <c r="D633">
        <v>0.73360000000000003</v>
      </c>
      <c r="E633">
        <v>0.7409</v>
      </c>
      <c r="F633">
        <v>565618.75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-0.66281755196304981</v>
      </c>
      <c r="Q633">
        <f t="shared" si="990"/>
        <v>-374902.03521940031</v>
      </c>
      <c r="R633">
        <f t="shared" si="991"/>
        <v>4491806.9639348295</v>
      </c>
      <c r="S633">
        <f t="shared" si="992"/>
        <v>44.918069639348296</v>
      </c>
      <c r="T633">
        <f t="shared" si="993"/>
        <v>4.4918069639348294E-2</v>
      </c>
    </row>
    <row r="634" spans="1:20" x14ac:dyDescent="0.25">
      <c r="A634" s="5">
        <v>43959</v>
      </c>
      <c r="B634">
        <v>0.70950000000000002</v>
      </c>
      <c r="C634">
        <v>0.82550000000000001</v>
      </c>
      <c r="D634">
        <v>0.70009999999999994</v>
      </c>
      <c r="E634">
        <v>0.76249999999999996</v>
      </c>
      <c r="F634">
        <v>1217709.05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-4.7846889952156664E-3</v>
      </c>
      <c r="Q634">
        <f t="shared" si="990"/>
        <v>-5826.3590909095237</v>
      </c>
      <c r="R634">
        <f t="shared" si="991"/>
        <v>4866708.9991542296</v>
      </c>
      <c r="S634">
        <f t="shared" si="992"/>
        <v>48.667089991542298</v>
      </c>
      <c r="T634">
        <f t="shared" si="993"/>
        <v>4.8667089991542296E-2</v>
      </c>
    </row>
    <row r="635" spans="1:20" x14ac:dyDescent="0.25">
      <c r="A635" s="5">
        <v>43958</v>
      </c>
      <c r="B635">
        <v>0.68049999999999999</v>
      </c>
      <c r="C635">
        <v>0.71460000000000001</v>
      </c>
      <c r="D635">
        <v>0.67500000000000004</v>
      </c>
      <c r="E635">
        <v>0.70760000000000001</v>
      </c>
      <c r="F635">
        <v>307873.58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0.64646464646464585</v>
      </c>
      <c r="Q635">
        <f t="shared" si="990"/>
        <v>199029.38505050488</v>
      </c>
      <c r="R635">
        <f t="shared" si="991"/>
        <v>4872535.358245139</v>
      </c>
      <c r="S635">
        <f t="shared" si="992"/>
        <v>48.72535358245139</v>
      </c>
      <c r="T635">
        <f t="shared" si="993"/>
        <v>4.8725353582451392E-2</v>
      </c>
    </row>
    <row r="636" spans="1:20" x14ac:dyDescent="0.25">
      <c r="A636" s="5">
        <v>43957</v>
      </c>
      <c r="B636">
        <v>0.70989999999999998</v>
      </c>
      <c r="C636">
        <v>0.72189999999999999</v>
      </c>
      <c r="D636">
        <v>0.68</v>
      </c>
      <c r="E636">
        <v>0.68200000000000005</v>
      </c>
      <c r="F636">
        <v>329959.46000000002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-0.90453460620525039</v>
      </c>
      <c r="Q636">
        <f t="shared" si="990"/>
        <v>-298459.7502147971</v>
      </c>
      <c r="R636">
        <f t="shared" si="991"/>
        <v>4673505.9731946345</v>
      </c>
      <c r="S636">
        <f t="shared" si="992"/>
        <v>46.735059731946343</v>
      </c>
      <c r="T636">
        <f t="shared" si="993"/>
        <v>4.6735059731946346E-2</v>
      </c>
    </row>
    <row r="637" spans="1:20" x14ac:dyDescent="0.25">
      <c r="A637" s="5">
        <v>43956</v>
      </c>
      <c r="B637">
        <v>0.71809999999999996</v>
      </c>
      <c r="C637">
        <v>0.72989999999999999</v>
      </c>
      <c r="D637">
        <v>0.69330000000000003</v>
      </c>
      <c r="E637">
        <v>0.70989999999999998</v>
      </c>
      <c r="F637">
        <v>248907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-9.2896174863389969E-2</v>
      </c>
      <c r="Q637">
        <f t="shared" si="990"/>
        <v>-23122.508196721807</v>
      </c>
      <c r="R637">
        <f t="shared" si="991"/>
        <v>4971965.723409432</v>
      </c>
      <c r="S637">
        <f t="shared" si="992"/>
        <v>49.719657234094321</v>
      </c>
      <c r="T637">
        <f t="shared" si="993"/>
        <v>4.9719657234094321E-2</v>
      </c>
    </row>
    <row r="638" spans="1:20" x14ac:dyDescent="0.25">
      <c r="A638" s="5">
        <v>43955</v>
      </c>
      <c r="B638">
        <v>0.72660000000000002</v>
      </c>
      <c r="C638">
        <v>0.72909999999999997</v>
      </c>
      <c r="D638">
        <v>0.66849999999999998</v>
      </c>
      <c r="E638">
        <v>0.7177</v>
      </c>
      <c r="F638">
        <v>428584.17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0.62376237623762476</v>
      </c>
      <c r="Q638">
        <f t="shared" si="990"/>
        <v>267334.68029703014</v>
      </c>
      <c r="R638">
        <f t="shared" si="991"/>
        <v>4995088.2316061538</v>
      </c>
      <c r="S638">
        <f t="shared" si="992"/>
        <v>49.950882316061538</v>
      </c>
      <c r="T638">
        <f t="shared" si="993"/>
        <v>4.995088231606154E-2</v>
      </c>
    </row>
    <row r="639" spans="1:20" x14ac:dyDescent="0.25">
      <c r="A639" s="5">
        <v>43954</v>
      </c>
      <c r="B639">
        <v>0.75109999999999999</v>
      </c>
      <c r="C639">
        <v>0.76170000000000004</v>
      </c>
      <c r="D639">
        <v>0.72099999999999997</v>
      </c>
      <c r="E639">
        <v>0.72660000000000002</v>
      </c>
      <c r="F639">
        <v>341859.23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-0.72481572481572287</v>
      </c>
      <c r="Q639">
        <f t="shared" si="990"/>
        <v>-247784.94557739489</v>
      </c>
      <c r="R639">
        <f t="shared" si="991"/>
        <v>4727753.5513091236</v>
      </c>
      <c r="S639">
        <f t="shared" si="992"/>
        <v>47.277535513091237</v>
      </c>
      <c r="T639">
        <f t="shared" si="993"/>
        <v>4.7277535513091239E-2</v>
      </c>
    </row>
    <row r="640" spans="1:20" x14ac:dyDescent="0.25">
      <c r="A640" s="5">
        <v>43953</v>
      </c>
      <c r="B640">
        <v>0.75370000000000004</v>
      </c>
      <c r="C640">
        <v>0.75619999999999998</v>
      </c>
      <c r="D640">
        <v>0.73160000000000003</v>
      </c>
      <c r="E640">
        <v>0.75109999999999999</v>
      </c>
      <c r="F640">
        <v>392429.85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0.58536585365853633</v>
      </c>
      <c r="Q640">
        <f t="shared" si="990"/>
        <v>229715.03414634135</v>
      </c>
      <c r="R640">
        <f t="shared" si="991"/>
        <v>4975538.4968865188</v>
      </c>
      <c r="S640">
        <f t="shared" si="992"/>
        <v>49.755384968865187</v>
      </c>
      <c r="T640">
        <f t="shared" si="993"/>
        <v>4.9755384968865189E-2</v>
      </c>
    </row>
    <row r="641" spans="1:20" x14ac:dyDescent="0.25">
      <c r="A641" s="5">
        <v>43952</v>
      </c>
      <c r="B641">
        <v>0.73919999999999997</v>
      </c>
      <c r="C641">
        <v>0.77490000000000003</v>
      </c>
      <c r="D641">
        <v>0.7369</v>
      </c>
      <c r="E641">
        <v>0.75360000000000005</v>
      </c>
      <c r="F641">
        <v>516200.01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-0.12105263157894562</v>
      </c>
      <c r="Q641">
        <f t="shared" si="990"/>
        <v>-62487.369631578047</v>
      </c>
      <c r="R641">
        <f t="shared" si="991"/>
        <v>4745823.4627401773</v>
      </c>
      <c r="S641">
        <f t="shared" si="992"/>
        <v>47.458234627401772</v>
      </c>
      <c r="T641">
        <f t="shared" si="993"/>
        <v>4.7458234627401771E-2</v>
      </c>
    </row>
    <row r="642" spans="1:20" x14ac:dyDescent="0.25">
      <c r="A642" s="5">
        <v>43951</v>
      </c>
      <c r="B642">
        <v>0.7681</v>
      </c>
      <c r="C642">
        <v>0.81669999999999998</v>
      </c>
      <c r="D642">
        <v>0.71689999999999998</v>
      </c>
      <c r="E642">
        <v>0.73919999999999997</v>
      </c>
      <c r="F642">
        <v>2516039.1800000002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-0.55310621242484992</v>
      </c>
      <c r="Q642">
        <f t="shared" si="990"/>
        <v>-1391636.9011623254</v>
      </c>
      <c r="R642">
        <f t="shared" si="991"/>
        <v>4808310.8323717555</v>
      </c>
      <c r="S642">
        <f t="shared" si="992"/>
        <v>48.083108323717553</v>
      </c>
      <c r="T642">
        <f t="shared" si="993"/>
        <v>4.8083108323717552E-2</v>
      </c>
    </row>
    <row r="643" spans="1:20" x14ac:dyDescent="0.25">
      <c r="A643" s="5">
        <v>43950</v>
      </c>
      <c r="B643">
        <v>0.66949999999999998</v>
      </c>
      <c r="C643">
        <v>0.79579999999999995</v>
      </c>
      <c r="D643">
        <v>0.66100000000000003</v>
      </c>
      <c r="E643">
        <v>0.76870000000000005</v>
      </c>
      <c r="F643">
        <v>1939226.66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0.59792284866468959</v>
      </c>
      <c r="Q643">
        <f t="shared" si="990"/>
        <v>1159507.9287537113</v>
      </c>
      <c r="R643">
        <f t="shared" si="991"/>
        <v>6199947.7335340809</v>
      </c>
      <c r="S643">
        <f t="shared" si="992"/>
        <v>61.999477335340806</v>
      </c>
      <c r="T643">
        <f t="shared" si="993"/>
        <v>6.1999477335340808E-2</v>
      </c>
    </row>
    <row r="644" spans="1:20" x14ac:dyDescent="0.25">
      <c r="A644" s="5">
        <v>43949</v>
      </c>
      <c r="B644">
        <v>0.65780000000000005</v>
      </c>
      <c r="C644">
        <v>0.67030000000000001</v>
      </c>
      <c r="D644">
        <v>0.63890000000000002</v>
      </c>
      <c r="E644">
        <v>0.66820000000000002</v>
      </c>
      <c r="F644">
        <v>266030.33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0.86624203821656098</v>
      </c>
      <c r="Q644">
        <f t="shared" si="990"/>
        <v>230446.65528662436</v>
      </c>
      <c r="R644">
        <f t="shared" si="991"/>
        <v>5040439.8047803696</v>
      </c>
      <c r="S644">
        <f t="shared" si="992"/>
        <v>50.404398047803696</v>
      </c>
      <c r="T644">
        <f t="shared" si="993"/>
        <v>5.0404398047803695E-2</v>
      </c>
    </row>
    <row r="645" spans="1:20" x14ac:dyDescent="0.25">
      <c r="A645" s="5">
        <v>43948</v>
      </c>
      <c r="B645">
        <v>0.66320000000000001</v>
      </c>
      <c r="C645">
        <v>0.68759999999999999</v>
      </c>
      <c r="D645">
        <v>0.64090000000000003</v>
      </c>
      <c r="E645">
        <v>0.65849999999999997</v>
      </c>
      <c r="F645">
        <v>475015.49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-0.24625267665953052</v>
      </c>
      <c r="Q645">
        <f t="shared" si="990"/>
        <v>-116973.83586723845</v>
      </c>
      <c r="R645">
        <f t="shared" si="991"/>
        <v>4809993.1494937455</v>
      </c>
      <c r="S645">
        <f t="shared" si="992"/>
        <v>48.099931494937458</v>
      </c>
      <c r="T645">
        <f t="shared" si="993"/>
        <v>4.8099931494937458E-2</v>
      </c>
    </row>
    <row r="646" spans="1:20" x14ac:dyDescent="0.25">
      <c r="A646" s="5">
        <v>43947</v>
      </c>
      <c r="B646">
        <v>0.63009999999999999</v>
      </c>
      <c r="C646">
        <v>0.66249999999999998</v>
      </c>
      <c r="D646">
        <v>0.63009999999999999</v>
      </c>
      <c r="E646">
        <v>0.66039999999999999</v>
      </c>
      <c r="F646">
        <v>363070.16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0.8703703703703709</v>
      </c>
      <c r="Q646">
        <f t="shared" ref="Q646:Q709" si="995">F646*P646</f>
        <v>316005.50962962979</v>
      </c>
      <c r="R646">
        <f t="shared" ref="R646:R709" si="996">R647+Q646</f>
        <v>4926966.9853609838</v>
      </c>
      <c r="S646">
        <f t="shared" ref="S646:S709" si="997">R646/100000</f>
        <v>49.269669853609841</v>
      </c>
      <c r="T646">
        <f t="shared" ref="T646:T709" si="998">S646/1000</f>
        <v>4.9269669853609838E-2</v>
      </c>
    </row>
    <row r="647" spans="1:20" x14ac:dyDescent="0.25">
      <c r="A647" s="5">
        <v>43946</v>
      </c>
      <c r="B647">
        <v>0.61699999999999999</v>
      </c>
      <c r="C647">
        <v>0.63400000000000001</v>
      </c>
      <c r="D647">
        <v>0.58809999999999996</v>
      </c>
      <c r="E647">
        <v>0.63160000000000005</v>
      </c>
      <c r="F647">
        <v>373763.35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0.89542483660130912</v>
      </c>
      <c r="Q647">
        <f t="shared" si="995"/>
        <v>334676.98660130787</v>
      </c>
      <c r="R647">
        <f t="shared" si="996"/>
        <v>4610961.4757313542</v>
      </c>
      <c r="S647">
        <f t="shared" si="997"/>
        <v>46.109614757313544</v>
      </c>
      <c r="T647">
        <f t="shared" si="998"/>
        <v>4.6109614757313545E-2</v>
      </c>
    </row>
    <row r="648" spans="1:20" x14ac:dyDescent="0.25">
      <c r="A648" s="5">
        <v>43945</v>
      </c>
      <c r="B648">
        <v>0.59670000000000001</v>
      </c>
      <c r="C648">
        <v>0.61950000000000005</v>
      </c>
      <c r="D648">
        <v>0.59140000000000004</v>
      </c>
      <c r="E648">
        <v>0.6169</v>
      </c>
      <c r="F648">
        <v>264142.71999999997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0.81494661921707867</v>
      </c>
      <c r="Q648">
        <f t="shared" si="995"/>
        <v>215262.2166548034</v>
      </c>
      <c r="R648">
        <f t="shared" si="996"/>
        <v>4276284.4891300462</v>
      </c>
      <c r="S648">
        <f t="shared" si="997"/>
        <v>42.76284489130046</v>
      </c>
      <c r="T648">
        <f t="shared" si="998"/>
        <v>4.2762844891300458E-2</v>
      </c>
    </row>
    <row r="649" spans="1:20" x14ac:dyDescent="0.25">
      <c r="A649" s="5">
        <v>43944</v>
      </c>
      <c r="B649">
        <v>0.57820000000000005</v>
      </c>
      <c r="C649">
        <v>0.625</v>
      </c>
      <c r="D649">
        <v>0.5746</v>
      </c>
      <c r="E649">
        <v>0.59560000000000002</v>
      </c>
      <c r="F649">
        <v>430313.03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-0.16666666666666594</v>
      </c>
      <c r="Q649">
        <f t="shared" si="995"/>
        <v>-71718.838333333028</v>
      </c>
      <c r="R649">
        <f t="shared" si="996"/>
        <v>4061022.2724752426</v>
      </c>
      <c r="S649">
        <f t="shared" si="997"/>
        <v>40.610222724752425</v>
      </c>
      <c r="T649">
        <f t="shared" si="998"/>
        <v>4.0610222724752426E-2</v>
      </c>
    </row>
    <row r="650" spans="1:20" x14ac:dyDescent="0.25">
      <c r="A650" s="5">
        <v>43943</v>
      </c>
      <c r="B650">
        <v>0.56210000000000004</v>
      </c>
      <c r="C650">
        <v>0.58899999999999997</v>
      </c>
      <c r="D650">
        <v>0.55500000000000005</v>
      </c>
      <c r="E650">
        <v>0.57769999999999999</v>
      </c>
      <c r="F650">
        <v>551203.43999999994</v>
      </c>
      <c r="G650">
        <v>0</v>
      </c>
      <c r="L650" t="s">
        <v>7</v>
      </c>
      <c r="M650" t="s">
        <v>8</v>
      </c>
      <c r="N650" t="s">
        <v>8</v>
      </c>
      <c r="P650">
        <f t="shared" si="994"/>
        <v>0.33529411764705863</v>
      </c>
      <c r="Q650">
        <f t="shared" si="995"/>
        <v>184815.27105882342</v>
      </c>
      <c r="R650">
        <f t="shared" si="996"/>
        <v>4132741.1108085755</v>
      </c>
      <c r="S650">
        <f t="shared" si="997"/>
        <v>41.327411108085755</v>
      </c>
      <c r="T650">
        <f t="shared" si="998"/>
        <v>4.1327411108085757E-2</v>
      </c>
    </row>
    <row r="651" spans="1:20" x14ac:dyDescent="0.25">
      <c r="A651" s="5">
        <v>43942</v>
      </c>
      <c r="B651">
        <v>0.54179999999999995</v>
      </c>
      <c r="C651">
        <v>0.61629999999999996</v>
      </c>
      <c r="D651">
        <v>0.53390000000000004</v>
      </c>
      <c r="E651">
        <v>0.56210000000000004</v>
      </c>
      <c r="F651">
        <v>1122629.3600000001</v>
      </c>
      <c r="G651">
        <v>0</v>
      </c>
      <c r="L651" t="s">
        <v>8</v>
      </c>
      <c r="M651" t="s">
        <v>8</v>
      </c>
      <c r="N651" t="s">
        <v>8</v>
      </c>
      <c r="P651">
        <f t="shared" si="994"/>
        <v>-0.31553398058252352</v>
      </c>
      <c r="Q651">
        <f t="shared" si="995"/>
        <v>-354227.71067961084</v>
      </c>
      <c r="R651">
        <f t="shared" si="996"/>
        <v>3947925.8397497521</v>
      </c>
      <c r="S651">
        <f t="shared" si="997"/>
        <v>39.479258397497517</v>
      </c>
      <c r="T651">
        <f t="shared" si="998"/>
        <v>3.9479258397497517E-2</v>
      </c>
    </row>
    <row r="652" spans="1:20" x14ac:dyDescent="0.25">
      <c r="A652" s="5">
        <v>43941</v>
      </c>
      <c r="B652">
        <v>0.5776</v>
      </c>
      <c r="C652">
        <v>0.5907</v>
      </c>
      <c r="D652">
        <v>0.52610000000000001</v>
      </c>
      <c r="E652">
        <v>0.5423</v>
      </c>
      <c r="F652">
        <v>441925.51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-0.49845201238390108</v>
      </c>
      <c r="Q652">
        <f t="shared" si="995"/>
        <v>-220278.65978328179</v>
      </c>
      <c r="R652">
        <f t="shared" si="996"/>
        <v>4302153.5504293628</v>
      </c>
      <c r="S652">
        <f t="shared" si="997"/>
        <v>43.021535504293631</v>
      </c>
      <c r="T652">
        <f t="shared" si="998"/>
        <v>4.3021535504293634E-2</v>
      </c>
    </row>
    <row r="653" spans="1:20" x14ac:dyDescent="0.25">
      <c r="A653" s="5">
        <v>43940</v>
      </c>
      <c r="B653">
        <v>0.59750000000000003</v>
      </c>
      <c r="C653">
        <v>0.59930000000000005</v>
      </c>
      <c r="D653">
        <v>0.5706</v>
      </c>
      <c r="E653">
        <v>0.57989999999999997</v>
      </c>
      <c r="F653">
        <v>227674.23999999999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-0.35191637630662326</v>
      </c>
      <c r="Q653">
        <f t="shared" si="995"/>
        <v>-80122.29351916445</v>
      </c>
      <c r="R653">
        <f t="shared" si="996"/>
        <v>4522432.2102126442</v>
      </c>
      <c r="S653">
        <f t="shared" si="997"/>
        <v>45.224322102126443</v>
      </c>
      <c r="T653">
        <f t="shared" si="998"/>
        <v>4.5224322102126444E-2</v>
      </c>
    </row>
    <row r="654" spans="1:20" x14ac:dyDescent="0.25">
      <c r="A654" s="5">
        <v>43939</v>
      </c>
      <c r="B654">
        <v>0.57150000000000001</v>
      </c>
      <c r="C654">
        <v>0.59909999999999997</v>
      </c>
      <c r="D654">
        <v>0.56599999999999995</v>
      </c>
      <c r="E654">
        <v>0.59589999999999999</v>
      </c>
      <c r="F654">
        <v>306210.46999999997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0.80664652567975959</v>
      </c>
      <c r="Q654">
        <f t="shared" si="995"/>
        <v>247003.61175226624</v>
      </c>
      <c r="R654">
        <f t="shared" si="996"/>
        <v>4602554.5037318086</v>
      </c>
      <c r="S654">
        <f t="shared" si="997"/>
        <v>46.025545037318089</v>
      </c>
      <c r="T654">
        <f t="shared" si="998"/>
        <v>4.6025545037318087E-2</v>
      </c>
    </row>
    <row r="655" spans="1:20" x14ac:dyDescent="0.25">
      <c r="A655" s="5">
        <v>43938</v>
      </c>
      <c r="B655">
        <v>0.56430000000000002</v>
      </c>
      <c r="C655">
        <v>0.57999999999999996</v>
      </c>
      <c r="D655">
        <v>0.55700000000000005</v>
      </c>
      <c r="E655">
        <v>0.56850000000000001</v>
      </c>
      <c r="F655">
        <v>270424.78999999998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0</v>
      </c>
      <c r="Q655">
        <f t="shared" si="995"/>
        <v>0</v>
      </c>
      <c r="R655">
        <f t="shared" si="996"/>
        <v>4355550.8919795426</v>
      </c>
      <c r="S655">
        <f t="shared" si="997"/>
        <v>43.555508919795429</v>
      </c>
      <c r="T655">
        <f t="shared" si="998"/>
        <v>4.3555508919795427E-2</v>
      </c>
    </row>
    <row r="656" spans="1:20" x14ac:dyDescent="0.25">
      <c r="A656" s="5">
        <v>43937</v>
      </c>
      <c r="B656">
        <v>0.52459999999999996</v>
      </c>
      <c r="C656">
        <v>0.5726</v>
      </c>
      <c r="D656">
        <v>0.50349999999999995</v>
      </c>
      <c r="E656">
        <v>0.56430000000000002</v>
      </c>
      <c r="F656">
        <v>622387.48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0.75976845151953787</v>
      </c>
      <c r="Q656">
        <f t="shared" si="995"/>
        <v>472870.37192474731</v>
      </c>
      <c r="R656">
        <f t="shared" si="996"/>
        <v>4355550.8919795426</v>
      </c>
      <c r="S656">
        <f t="shared" si="997"/>
        <v>43.555508919795429</v>
      </c>
      <c r="T656">
        <f t="shared" si="998"/>
        <v>4.3555508919795427E-2</v>
      </c>
    </row>
    <row r="657" spans="1:20" x14ac:dyDescent="0.25">
      <c r="A657" s="5">
        <v>43936</v>
      </c>
      <c r="B657">
        <v>0.55220000000000002</v>
      </c>
      <c r="C657">
        <v>0.56169999999999998</v>
      </c>
      <c r="D657">
        <v>0.50280000000000002</v>
      </c>
      <c r="E657">
        <v>0.52559999999999996</v>
      </c>
      <c r="F657">
        <v>277464.42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-0.22580645161290494</v>
      </c>
      <c r="Q657">
        <f t="shared" si="995"/>
        <v>-62653.256129032728</v>
      </c>
      <c r="R657">
        <f t="shared" si="996"/>
        <v>3882680.5200547953</v>
      </c>
      <c r="S657">
        <f t="shared" si="997"/>
        <v>38.826805200547952</v>
      </c>
      <c r="T657">
        <f t="shared" si="998"/>
        <v>3.8826805200547952E-2</v>
      </c>
    </row>
    <row r="658" spans="1:20" x14ac:dyDescent="0.25">
      <c r="A658" s="5">
        <v>43935</v>
      </c>
      <c r="B658">
        <v>0.55479999999999996</v>
      </c>
      <c r="C658">
        <v>0.56699999999999995</v>
      </c>
      <c r="D658">
        <v>0.54700000000000004</v>
      </c>
      <c r="E658">
        <v>0.55230000000000001</v>
      </c>
      <c r="F658">
        <v>233170.34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-0.47000000000000036</v>
      </c>
      <c r="Q658">
        <f t="shared" si="995"/>
        <v>-109590.05980000008</v>
      </c>
      <c r="R658">
        <f t="shared" si="996"/>
        <v>3945333.7761838282</v>
      </c>
      <c r="S658">
        <f t="shared" si="997"/>
        <v>39.453337761838284</v>
      </c>
      <c r="T658">
        <f t="shared" si="998"/>
        <v>3.9453337761838285E-2</v>
      </c>
    </row>
    <row r="659" spans="1:20" x14ac:dyDescent="0.25">
      <c r="A659" s="5">
        <v>43934</v>
      </c>
      <c r="B659">
        <v>0.56559999999999999</v>
      </c>
      <c r="C659">
        <v>0.56559999999999999</v>
      </c>
      <c r="D659">
        <v>0.5383</v>
      </c>
      <c r="E659">
        <v>0.55479999999999996</v>
      </c>
      <c r="F659">
        <v>226494.17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0.20879120879120619</v>
      </c>
      <c r="Q659">
        <f t="shared" si="995"/>
        <v>47289.991538460949</v>
      </c>
      <c r="R659">
        <f t="shared" si="996"/>
        <v>4054923.8359838282</v>
      </c>
      <c r="S659">
        <f t="shared" si="997"/>
        <v>40.549238359838284</v>
      </c>
      <c r="T659">
        <f t="shared" si="998"/>
        <v>4.0549238359838286E-2</v>
      </c>
    </row>
    <row r="660" spans="1:20" x14ac:dyDescent="0.25">
      <c r="A660" s="5">
        <v>43933</v>
      </c>
      <c r="B660">
        <v>0.56389999999999996</v>
      </c>
      <c r="C660">
        <v>0.59040000000000004</v>
      </c>
      <c r="D660">
        <v>0.55149999999999999</v>
      </c>
      <c r="E660">
        <v>0.56459999999999999</v>
      </c>
      <c r="F660">
        <v>230557.55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-0.32647814910025785</v>
      </c>
      <c r="Q660">
        <f t="shared" si="995"/>
        <v>-75272.002185090154</v>
      </c>
      <c r="R660">
        <f t="shared" si="996"/>
        <v>4007633.8444453673</v>
      </c>
      <c r="S660">
        <f t="shared" si="997"/>
        <v>40.076338444453675</v>
      </c>
      <c r="T660">
        <f t="shared" si="998"/>
        <v>4.0076338444453678E-2</v>
      </c>
    </row>
    <row r="661" spans="1:20" x14ac:dyDescent="0.25">
      <c r="A661" s="5">
        <v>43932</v>
      </c>
      <c r="B661">
        <v>0.5554</v>
      </c>
      <c r="C661">
        <v>0.57310000000000005</v>
      </c>
      <c r="D661">
        <v>0.55149999999999999</v>
      </c>
      <c r="E661">
        <v>0.56310000000000004</v>
      </c>
      <c r="F661">
        <v>211822.6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7.4074074074075971E-2</v>
      </c>
      <c r="Q661">
        <f t="shared" si="995"/>
        <v>15690.562962963366</v>
      </c>
      <c r="R661">
        <f t="shared" si="996"/>
        <v>4082905.8466304573</v>
      </c>
      <c r="S661">
        <f t="shared" si="997"/>
        <v>40.829058466304573</v>
      </c>
      <c r="T661">
        <f t="shared" si="998"/>
        <v>4.0829058466304573E-2</v>
      </c>
    </row>
    <row r="662" spans="1:20" x14ac:dyDescent="0.25">
      <c r="A662" s="5">
        <v>43931</v>
      </c>
      <c r="B662">
        <v>0.6069</v>
      </c>
      <c r="C662">
        <v>0.60980000000000001</v>
      </c>
      <c r="D662">
        <v>0.53410000000000002</v>
      </c>
      <c r="E662">
        <v>0.55559999999999998</v>
      </c>
      <c r="F662">
        <v>578060.12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-0.43196829590488861</v>
      </c>
      <c r="Q662">
        <f t="shared" si="995"/>
        <v>-249703.64496697541</v>
      </c>
      <c r="R662">
        <f t="shared" si="996"/>
        <v>4067215.2836674941</v>
      </c>
      <c r="S662">
        <f t="shared" si="997"/>
        <v>40.67215283667494</v>
      </c>
      <c r="T662">
        <f t="shared" si="998"/>
        <v>4.0672152836674941E-2</v>
      </c>
    </row>
    <row r="663" spans="1:20" x14ac:dyDescent="0.25">
      <c r="A663" s="5">
        <v>43930</v>
      </c>
      <c r="B663">
        <v>0.62549999999999994</v>
      </c>
      <c r="C663">
        <v>0.62660000000000005</v>
      </c>
      <c r="D663">
        <v>0.59840000000000004</v>
      </c>
      <c r="E663">
        <v>0.60799999999999998</v>
      </c>
      <c r="F663">
        <v>477370.78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-0.31914893617021695</v>
      </c>
      <c r="Q663">
        <f t="shared" si="995"/>
        <v>-152352.3765957467</v>
      </c>
      <c r="R663">
        <f t="shared" si="996"/>
        <v>4316918.9286344694</v>
      </c>
      <c r="S663">
        <f t="shared" si="997"/>
        <v>43.169189286344697</v>
      </c>
      <c r="T663">
        <f t="shared" si="998"/>
        <v>4.3169189286344695E-2</v>
      </c>
    </row>
    <row r="664" spans="1:20" x14ac:dyDescent="0.25">
      <c r="A664" s="5">
        <v>43929</v>
      </c>
      <c r="B664">
        <v>0.59960000000000002</v>
      </c>
      <c r="C664">
        <v>0.63400000000000001</v>
      </c>
      <c r="D664">
        <v>0.59130000000000005</v>
      </c>
      <c r="E664">
        <v>0.62380000000000002</v>
      </c>
      <c r="F664">
        <v>289833.28999999998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0.52224824355971911</v>
      </c>
      <c r="Q664">
        <f t="shared" si="995"/>
        <v>151364.92662763468</v>
      </c>
      <c r="R664">
        <f t="shared" si="996"/>
        <v>4469271.3052302161</v>
      </c>
      <c r="S664">
        <f t="shared" si="997"/>
        <v>44.69271305230216</v>
      </c>
      <c r="T664">
        <f t="shared" si="998"/>
        <v>4.4692713052302158E-2</v>
      </c>
    </row>
    <row r="665" spans="1:20" x14ac:dyDescent="0.25">
      <c r="A665" s="5">
        <v>43928</v>
      </c>
      <c r="B665">
        <v>0.59799999999999998</v>
      </c>
      <c r="C665">
        <v>0.63600000000000001</v>
      </c>
      <c r="D665">
        <v>0.58879999999999999</v>
      </c>
      <c r="E665">
        <v>0.60050000000000003</v>
      </c>
      <c r="F665">
        <v>717457.89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-0.50423728813559154</v>
      </c>
      <c r="Q665">
        <f t="shared" si="995"/>
        <v>-361769.02080508356</v>
      </c>
      <c r="R665">
        <f t="shared" si="996"/>
        <v>4317906.3786025811</v>
      </c>
      <c r="S665">
        <f t="shared" si="997"/>
        <v>43.179063786025814</v>
      </c>
      <c r="T665">
        <f t="shared" si="998"/>
        <v>4.3179063786025818E-2</v>
      </c>
    </row>
    <row r="666" spans="1:20" x14ac:dyDescent="0.25">
      <c r="A666" s="5">
        <v>43927</v>
      </c>
      <c r="B666">
        <v>0.54049999999999998</v>
      </c>
      <c r="C666">
        <v>0.6</v>
      </c>
      <c r="D666">
        <v>0.53990000000000005</v>
      </c>
      <c r="E666">
        <v>0.59899999999999998</v>
      </c>
      <c r="F666">
        <v>507675.56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0.96672212978369376</v>
      </c>
      <c r="Q666">
        <f t="shared" si="995"/>
        <v>490781.19860232942</v>
      </c>
      <c r="R666">
        <f t="shared" si="996"/>
        <v>4679675.3994076643</v>
      </c>
      <c r="S666">
        <f t="shared" si="997"/>
        <v>46.796753994076646</v>
      </c>
      <c r="T666">
        <f t="shared" si="998"/>
        <v>4.6796753994076644E-2</v>
      </c>
    </row>
    <row r="667" spans="1:20" x14ac:dyDescent="0.25">
      <c r="A667" s="5">
        <v>43926</v>
      </c>
      <c r="B667">
        <v>0.55130000000000001</v>
      </c>
      <c r="C667">
        <v>0.55959999999999999</v>
      </c>
      <c r="D667">
        <v>0.53500000000000003</v>
      </c>
      <c r="E667">
        <v>0.54159999999999997</v>
      </c>
      <c r="F667">
        <v>185912.83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-0.46341463414634543</v>
      </c>
      <c r="Q667">
        <f t="shared" si="995"/>
        <v>-86154.72609756171</v>
      </c>
      <c r="R667">
        <f t="shared" si="996"/>
        <v>4188894.2008053348</v>
      </c>
      <c r="S667">
        <f t="shared" si="997"/>
        <v>41.888942008053348</v>
      </c>
      <c r="T667">
        <f t="shared" si="998"/>
        <v>4.1888942008053348E-2</v>
      </c>
    </row>
    <row r="668" spans="1:20" x14ac:dyDescent="0.25">
      <c r="A668" s="5">
        <v>43925</v>
      </c>
      <c r="B668">
        <v>0.54420000000000002</v>
      </c>
      <c r="C668">
        <v>0.5595</v>
      </c>
      <c r="D668">
        <v>0.53779999999999994</v>
      </c>
      <c r="E668">
        <v>0.55130000000000001</v>
      </c>
      <c r="F668">
        <v>269180.06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0.24423963133640875</v>
      </c>
      <c r="Q668">
        <f t="shared" si="995"/>
        <v>65744.43861751238</v>
      </c>
      <c r="R668">
        <f t="shared" si="996"/>
        <v>4275048.9269028967</v>
      </c>
      <c r="S668">
        <f t="shared" si="997"/>
        <v>42.750489269028968</v>
      </c>
      <c r="T668">
        <f t="shared" si="998"/>
        <v>4.2750489269028968E-2</v>
      </c>
    </row>
    <row r="669" spans="1:20" x14ac:dyDescent="0.25">
      <c r="A669" s="5">
        <v>43924</v>
      </c>
      <c r="B669">
        <v>0.55269999999999997</v>
      </c>
      <c r="C669">
        <v>0.57969999999999999</v>
      </c>
      <c r="D669">
        <v>0.53800000000000003</v>
      </c>
      <c r="E669">
        <v>0.54390000000000005</v>
      </c>
      <c r="F669">
        <v>501145.82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-0.71702637889688148</v>
      </c>
      <c r="Q669">
        <f t="shared" si="995"/>
        <v>-359334.7726139084</v>
      </c>
      <c r="R669">
        <f t="shared" si="996"/>
        <v>4209304.4882853841</v>
      </c>
      <c r="S669">
        <f t="shared" si="997"/>
        <v>42.093044882853839</v>
      </c>
      <c r="T669">
        <f t="shared" si="998"/>
        <v>4.2093044882853842E-2</v>
      </c>
    </row>
    <row r="670" spans="1:20" x14ac:dyDescent="0.25">
      <c r="A670" s="5">
        <v>43923</v>
      </c>
      <c r="B670">
        <v>0.53539999999999999</v>
      </c>
      <c r="C670">
        <v>0.56330000000000002</v>
      </c>
      <c r="D670">
        <v>0.52480000000000004</v>
      </c>
      <c r="E670">
        <v>0.55269999999999997</v>
      </c>
      <c r="F670">
        <v>769002.8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0.44935064935064623</v>
      </c>
      <c r="Q670">
        <f t="shared" si="995"/>
        <v>345551.90753246518</v>
      </c>
      <c r="R670">
        <f t="shared" si="996"/>
        <v>4568639.2608992923</v>
      </c>
      <c r="S670">
        <f t="shared" si="997"/>
        <v>45.686392608992925</v>
      </c>
      <c r="T670">
        <f t="shared" si="998"/>
        <v>4.5686392608992925E-2</v>
      </c>
    </row>
    <row r="671" spans="1:20" x14ac:dyDescent="0.25">
      <c r="A671" s="5">
        <v>43922</v>
      </c>
      <c r="B671">
        <v>0.5161</v>
      </c>
      <c r="C671">
        <v>0.53749999999999998</v>
      </c>
      <c r="D671">
        <v>0.49819999999999998</v>
      </c>
      <c r="E671">
        <v>0.53369999999999995</v>
      </c>
      <c r="F671">
        <v>227726.96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0.80661577608142365</v>
      </c>
      <c r="Q671">
        <f t="shared" si="995"/>
        <v>183688.15857506331</v>
      </c>
      <c r="R671">
        <f t="shared" si="996"/>
        <v>4223087.3533668267</v>
      </c>
      <c r="S671">
        <f t="shared" si="997"/>
        <v>42.230873533668266</v>
      </c>
      <c r="T671">
        <f t="shared" si="998"/>
        <v>4.2230873533668264E-2</v>
      </c>
    </row>
    <row r="672" spans="1:20" x14ac:dyDescent="0.25">
      <c r="A672" s="5">
        <v>43921</v>
      </c>
      <c r="B672">
        <v>0.50790000000000002</v>
      </c>
      <c r="C672">
        <v>0.51829999999999998</v>
      </c>
      <c r="D672">
        <v>0.50509999999999999</v>
      </c>
      <c r="E672">
        <v>0.51600000000000001</v>
      </c>
      <c r="F672">
        <v>157725.22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0.65151515151515593</v>
      </c>
      <c r="Q672">
        <f t="shared" si="995"/>
        <v>102760.3706060613</v>
      </c>
      <c r="R672">
        <f t="shared" si="996"/>
        <v>4039399.1947917631</v>
      </c>
      <c r="S672">
        <f t="shared" si="997"/>
        <v>40.393991947917634</v>
      </c>
      <c r="T672">
        <f t="shared" si="998"/>
        <v>4.0393991947917637E-2</v>
      </c>
    </row>
    <row r="673" spans="1:20" x14ac:dyDescent="0.25">
      <c r="A673" s="5">
        <v>43920</v>
      </c>
      <c r="B673">
        <v>0.46779999999999999</v>
      </c>
      <c r="C673">
        <v>0.52680000000000005</v>
      </c>
      <c r="D673">
        <v>0.46660000000000001</v>
      </c>
      <c r="E673">
        <v>0.50819999999999999</v>
      </c>
      <c r="F673">
        <v>353762.78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0.38205980066445011</v>
      </c>
      <c r="Q673">
        <f t="shared" si="995"/>
        <v>135158.53720930172</v>
      </c>
      <c r="R673">
        <f t="shared" si="996"/>
        <v>3936638.8241857016</v>
      </c>
      <c r="S673">
        <f t="shared" si="997"/>
        <v>39.366388241857017</v>
      </c>
      <c r="T673">
        <f t="shared" si="998"/>
        <v>3.9366388241857016E-2</v>
      </c>
    </row>
    <row r="674" spans="1:20" x14ac:dyDescent="0.25">
      <c r="A674" s="5">
        <v>43919</v>
      </c>
      <c r="B674">
        <v>0.50509999999999999</v>
      </c>
      <c r="C674">
        <v>0.50770000000000004</v>
      </c>
      <c r="D674">
        <v>0.46260000000000001</v>
      </c>
      <c r="E674">
        <v>0.46820000000000001</v>
      </c>
      <c r="F674">
        <v>205591.58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-0.75166297117516678</v>
      </c>
      <c r="Q674">
        <f t="shared" si="995"/>
        <v>-154535.57787139699</v>
      </c>
      <c r="R674">
        <f t="shared" si="996"/>
        <v>3801480.2869763998</v>
      </c>
      <c r="S674">
        <f t="shared" si="997"/>
        <v>38.014802869763997</v>
      </c>
      <c r="T674">
        <f t="shared" si="998"/>
        <v>3.8014802869763997E-2</v>
      </c>
    </row>
    <row r="675" spans="1:20" x14ac:dyDescent="0.25">
      <c r="A675" s="5">
        <v>43918</v>
      </c>
      <c r="B675">
        <v>0.503</v>
      </c>
      <c r="C675">
        <v>0.51300000000000001</v>
      </c>
      <c r="D675">
        <v>0.47499999999999998</v>
      </c>
      <c r="E675">
        <v>0.50509999999999999</v>
      </c>
      <c r="F675">
        <v>371009.65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0.58421052631578885</v>
      </c>
      <c r="Q675">
        <f t="shared" si="995"/>
        <v>216747.74289473661</v>
      </c>
      <c r="R675">
        <f t="shared" si="996"/>
        <v>3956015.864847797</v>
      </c>
      <c r="S675">
        <f t="shared" si="997"/>
        <v>39.560158648477973</v>
      </c>
      <c r="T675">
        <f t="shared" si="998"/>
        <v>3.9560158648477971E-2</v>
      </c>
    </row>
    <row r="676" spans="1:20" x14ac:dyDescent="0.25">
      <c r="A676" s="5">
        <v>43917</v>
      </c>
      <c r="B676">
        <v>0.52110000000000001</v>
      </c>
      <c r="C676">
        <v>0.52790000000000004</v>
      </c>
      <c r="D676">
        <v>0.49930000000000002</v>
      </c>
      <c r="E676">
        <v>0.50319999999999998</v>
      </c>
      <c r="F676">
        <v>285091.93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-0.72727272727273029</v>
      </c>
      <c r="Q676">
        <f t="shared" si="995"/>
        <v>-207339.58545454632</v>
      </c>
      <c r="R676">
        <f t="shared" si="996"/>
        <v>3739268.1219530604</v>
      </c>
      <c r="S676">
        <f t="shared" si="997"/>
        <v>37.392681219530601</v>
      </c>
      <c r="T676">
        <f t="shared" si="998"/>
        <v>3.7392681219530599E-2</v>
      </c>
    </row>
    <row r="677" spans="1:20" x14ac:dyDescent="0.25">
      <c r="A677" s="5">
        <v>43916</v>
      </c>
      <c r="B677">
        <v>0.51229999999999998</v>
      </c>
      <c r="C677">
        <v>0.52280000000000004</v>
      </c>
      <c r="D677">
        <v>0.50349999999999995</v>
      </c>
      <c r="E677">
        <v>0.52080000000000004</v>
      </c>
      <c r="F677">
        <v>190326.97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0.79274611398963812</v>
      </c>
      <c r="Q677">
        <f t="shared" si="995"/>
        <v>150880.96585492243</v>
      </c>
      <c r="R677">
        <f t="shared" si="996"/>
        <v>3946607.7074076068</v>
      </c>
      <c r="S677">
        <f t="shared" si="997"/>
        <v>39.466077074076068</v>
      </c>
      <c r="T677">
        <f t="shared" si="998"/>
        <v>3.9466077074076067E-2</v>
      </c>
    </row>
    <row r="678" spans="1:20" x14ac:dyDescent="0.25">
      <c r="A678" s="5">
        <v>43915</v>
      </c>
      <c r="B678">
        <v>0.52829999999999999</v>
      </c>
      <c r="C678">
        <v>0.53390000000000004</v>
      </c>
      <c r="D678">
        <v>0.49230000000000002</v>
      </c>
      <c r="E678">
        <v>0.50960000000000005</v>
      </c>
      <c r="F678">
        <v>315059.71000000002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-0.16826923076922948</v>
      </c>
      <c r="Q678">
        <f t="shared" si="995"/>
        <v>-53014.855048076519</v>
      </c>
      <c r="R678">
        <f t="shared" si="996"/>
        <v>3795726.7415526845</v>
      </c>
      <c r="S678">
        <f t="shared" si="997"/>
        <v>37.957267415526843</v>
      </c>
      <c r="T678">
        <f t="shared" si="998"/>
        <v>3.7957267415526845E-2</v>
      </c>
    </row>
    <row r="679" spans="1:20" x14ac:dyDescent="0.25">
      <c r="A679" s="5">
        <v>43914</v>
      </c>
      <c r="B679">
        <v>0.50649999999999995</v>
      </c>
      <c r="C679">
        <v>0.53380000000000005</v>
      </c>
      <c r="D679">
        <v>0.49309999999999998</v>
      </c>
      <c r="E679">
        <v>0.53100000000000003</v>
      </c>
      <c r="F679">
        <v>574796.9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0.86240786240786138</v>
      </c>
      <c r="Q679">
        <f t="shared" si="995"/>
        <v>495709.36584766529</v>
      </c>
      <c r="R679">
        <f t="shared" si="996"/>
        <v>3848741.5966007612</v>
      </c>
      <c r="S679">
        <f t="shared" si="997"/>
        <v>38.48741596600761</v>
      </c>
      <c r="T679">
        <f t="shared" si="998"/>
        <v>3.8487415966007611E-2</v>
      </c>
    </row>
    <row r="680" spans="1:20" x14ac:dyDescent="0.25">
      <c r="A680" s="5">
        <v>43913</v>
      </c>
      <c r="B680">
        <v>0.47610000000000002</v>
      </c>
      <c r="C680">
        <v>0.53090000000000004</v>
      </c>
      <c r="D680">
        <v>0.46789999999999998</v>
      </c>
      <c r="E680">
        <v>0.50570000000000004</v>
      </c>
      <c r="F680">
        <v>726906.36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0.2000000000000007</v>
      </c>
      <c r="Q680">
        <f t="shared" si="995"/>
        <v>145381.27200000052</v>
      </c>
      <c r="R680">
        <f t="shared" si="996"/>
        <v>3353032.2307530958</v>
      </c>
      <c r="S680">
        <f t="shared" si="997"/>
        <v>33.530322307530959</v>
      </c>
      <c r="T680">
        <f t="shared" si="998"/>
        <v>3.353032230753096E-2</v>
      </c>
    </row>
    <row r="681" spans="1:20" x14ac:dyDescent="0.25">
      <c r="A681" s="5">
        <v>43912</v>
      </c>
      <c r="B681">
        <v>0.5252</v>
      </c>
      <c r="C681">
        <v>0.54510000000000003</v>
      </c>
      <c r="D681">
        <v>0.4743</v>
      </c>
      <c r="E681">
        <v>0.47699999999999998</v>
      </c>
      <c r="F681">
        <v>356136.26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-0.92372881355932257</v>
      </c>
      <c r="Q681">
        <f t="shared" si="995"/>
        <v>-328973.32491525443</v>
      </c>
      <c r="R681">
        <f t="shared" si="996"/>
        <v>3207650.9587530955</v>
      </c>
      <c r="S681">
        <f t="shared" si="997"/>
        <v>32.076509587530957</v>
      </c>
      <c r="T681">
        <f t="shared" si="998"/>
        <v>3.2076509587530957E-2</v>
      </c>
    </row>
    <row r="682" spans="1:20" x14ac:dyDescent="0.25">
      <c r="A682" s="5">
        <v>43911</v>
      </c>
      <c r="B682">
        <v>0.53239999999999998</v>
      </c>
      <c r="C682">
        <v>0.54469999999999996</v>
      </c>
      <c r="D682">
        <v>0.49349999999999999</v>
      </c>
      <c r="E682">
        <v>0.52310000000000001</v>
      </c>
      <c r="F682">
        <v>318288.49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0.15625000000000133</v>
      </c>
      <c r="Q682">
        <f t="shared" si="995"/>
        <v>49732.576562500421</v>
      </c>
      <c r="R682">
        <f t="shared" si="996"/>
        <v>3536624.28366835</v>
      </c>
      <c r="S682">
        <f t="shared" si="997"/>
        <v>35.366242836683497</v>
      </c>
      <c r="T682">
        <f t="shared" si="998"/>
        <v>3.5366242836683499E-2</v>
      </c>
    </row>
    <row r="683" spans="1:20" x14ac:dyDescent="0.25">
      <c r="A683" s="5">
        <v>43910</v>
      </c>
      <c r="B683">
        <v>0.54279999999999995</v>
      </c>
      <c r="C683">
        <v>0.59960000000000002</v>
      </c>
      <c r="D683">
        <v>0.47499999999999998</v>
      </c>
      <c r="E683">
        <v>0.53</v>
      </c>
      <c r="F683">
        <v>833826.23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-0.11717495987158862</v>
      </c>
      <c r="Q683">
        <f t="shared" si="995"/>
        <v>-97703.55504012802</v>
      </c>
      <c r="R683">
        <f t="shared" si="996"/>
        <v>3486891.7071058494</v>
      </c>
      <c r="S683">
        <f t="shared" si="997"/>
        <v>34.868917071058497</v>
      </c>
      <c r="T683">
        <f t="shared" si="998"/>
        <v>3.4868917071058499E-2</v>
      </c>
    </row>
    <row r="684" spans="1:20" x14ac:dyDescent="0.25">
      <c r="A684" s="5">
        <v>43909</v>
      </c>
      <c r="B684">
        <v>0.46729999999999999</v>
      </c>
      <c r="C684">
        <v>0.55920000000000003</v>
      </c>
      <c r="D684">
        <v>0.46429999999999999</v>
      </c>
      <c r="E684">
        <v>0.54290000000000005</v>
      </c>
      <c r="F684">
        <v>644173.76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0.65648050579557482</v>
      </c>
      <c r="Q684">
        <f t="shared" si="995"/>
        <v>422887.51578503725</v>
      </c>
      <c r="R684">
        <f t="shared" si="996"/>
        <v>3584595.2621459775</v>
      </c>
      <c r="S684">
        <f t="shared" si="997"/>
        <v>35.845952621459773</v>
      </c>
      <c r="T684">
        <f t="shared" si="998"/>
        <v>3.5845952621459773E-2</v>
      </c>
    </row>
    <row r="685" spans="1:20" x14ac:dyDescent="0.25">
      <c r="A685" s="5">
        <v>43908</v>
      </c>
      <c r="B685">
        <v>0.4652</v>
      </c>
      <c r="C685">
        <v>0.48430000000000001</v>
      </c>
      <c r="D685">
        <v>0.4249</v>
      </c>
      <c r="E685">
        <v>0.46439999999999998</v>
      </c>
      <c r="F685">
        <v>485135.35999999999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0.32996632996632907</v>
      </c>
      <c r="Q685">
        <f t="shared" si="995"/>
        <v>160078.33427609384</v>
      </c>
      <c r="R685">
        <f t="shared" si="996"/>
        <v>3161707.7463609404</v>
      </c>
      <c r="S685">
        <f t="shared" si="997"/>
        <v>31.617077463609405</v>
      </c>
      <c r="T685">
        <f t="shared" si="998"/>
        <v>3.1617077463609408E-2</v>
      </c>
    </row>
    <row r="686" spans="1:20" x14ac:dyDescent="0.25">
      <c r="A686" s="5">
        <v>43907</v>
      </c>
      <c r="B686">
        <v>0.43830000000000002</v>
      </c>
      <c r="C686">
        <v>0.48349999999999999</v>
      </c>
      <c r="D686">
        <v>0.43109999999999998</v>
      </c>
      <c r="E686">
        <v>0.46970000000000001</v>
      </c>
      <c r="F686">
        <v>397008.8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0.47328244274809245</v>
      </c>
      <c r="Q686">
        <f t="shared" si="995"/>
        <v>187897.29465648887</v>
      </c>
      <c r="R686">
        <f t="shared" si="996"/>
        <v>3001629.4120848468</v>
      </c>
      <c r="S686">
        <f t="shared" si="997"/>
        <v>30.016294120848467</v>
      </c>
      <c r="T686">
        <f t="shared" si="998"/>
        <v>3.0016294120848469E-2</v>
      </c>
    </row>
    <row r="687" spans="1:20" x14ac:dyDescent="0.25">
      <c r="A687" s="5">
        <v>43906</v>
      </c>
      <c r="B687">
        <v>0.4904</v>
      </c>
      <c r="C687">
        <v>0.49990000000000001</v>
      </c>
      <c r="D687">
        <v>0.39610000000000001</v>
      </c>
      <c r="E687">
        <v>0.43490000000000001</v>
      </c>
      <c r="F687">
        <v>628611.11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-0.25240847784200388</v>
      </c>
      <c r="Q687">
        <f t="shared" si="995"/>
        <v>-158666.77342967247</v>
      </c>
      <c r="R687">
        <f t="shared" si="996"/>
        <v>2813732.1174283577</v>
      </c>
      <c r="S687">
        <f t="shared" si="997"/>
        <v>28.137321174283578</v>
      </c>
      <c r="T687">
        <f t="shared" si="998"/>
        <v>2.8137321174283577E-2</v>
      </c>
    </row>
    <row r="688" spans="1:20" x14ac:dyDescent="0.25">
      <c r="A688" s="5">
        <v>43905</v>
      </c>
      <c r="B688">
        <v>0.46839999999999998</v>
      </c>
      <c r="C688">
        <v>0.5262</v>
      </c>
      <c r="D688">
        <v>0.4637</v>
      </c>
      <c r="E688">
        <v>0.49390000000000001</v>
      </c>
      <c r="F688">
        <v>514262.26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-3.3599999999999852E-2</v>
      </c>
      <c r="Q688">
        <f t="shared" si="995"/>
        <v>-17279.211935999923</v>
      </c>
      <c r="R688">
        <f t="shared" si="996"/>
        <v>2972398.8908580299</v>
      </c>
      <c r="S688">
        <f t="shared" si="997"/>
        <v>29.723988908580299</v>
      </c>
      <c r="T688">
        <f t="shared" si="998"/>
        <v>2.9723988908580298E-2</v>
      </c>
    </row>
    <row r="689" spans="1:20" x14ac:dyDescent="0.25">
      <c r="A689" s="5">
        <v>43904</v>
      </c>
      <c r="B689">
        <v>0.50139999999999996</v>
      </c>
      <c r="C689">
        <v>0.51659999999999995</v>
      </c>
      <c r="D689">
        <v>0.46379999999999999</v>
      </c>
      <c r="E689">
        <v>0.46839999999999998</v>
      </c>
      <c r="F689">
        <v>555712.4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-0.82575757575757591</v>
      </c>
      <c r="Q689">
        <f t="shared" si="995"/>
        <v>-458883.72424242436</v>
      </c>
      <c r="R689">
        <f t="shared" si="996"/>
        <v>2989678.1027940297</v>
      </c>
      <c r="S689">
        <f t="shared" si="997"/>
        <v>29.896781027940296</v>
      </c>
      <c r="T689">
        <f t="shared" si="998"/>
        <v>2.9896781027940297E-2</v>
      </c>
    </row>
    <row r="690" spans="1:20" x14ac:dyDescent="0.25">
      <c r="A690" s="5">
        <v>43903</v>
      </c>
      <c r="B690">
        <v>0.41210000000000002</v>
      </c>
      <c r="C690">
        <v>0.54530000000000001</v>
      </c>
      <c r="D690">
        <v>0.30309999999999998</v>
      </c>
      <c r="E690">
        <v>0.50339999999999996</v>
      </c>
      <c r="F690">
        <v>1456638.51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0.65400495458298891</v>
      </c>
      <c r="Q690">
        <f t="shared" si="995"/>
        <v>952648.80257638264</v>
      </c>
      <c r="R690">
        <f t="shared" si="996"/>
        <v>3448561.8270364539</v>
      </c>
      <c r="S690">
        <f t="shared" si="997"/>
        <v>34.48561827036454</v>
      </c>
      <c r="T690">
        <f t="shared" si="998"/>
        <v>3.4485618270364539E-2</v>
      </c>
    </row>
    <row r="691" spans="1:20" x14ac:dyDescent="0.25">
      <c r="A691" s="5">
        <v>43902</v>
      </c>
      <c r="B691">
        <v>0.754</v>
      </c>
      <c r="C691">
        <v>0.75690000000000002</v>
      </c>
      <c r="D691">
        <v>0.38819999999999999</v>
      </c>
      <c r="E691">
        <v>0.40689999999999998</v>
      </c>
      <c r="F691">
        <v>1457769.59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-0.89856251695145106</v>
      </c>
      <c r="Q691">
        <f t="shared" si="995"/>
        <v>-1309897.1119256848</v>
      </c>
      <c r="R691">
        <f t="shared" si="996"/>
        <v>2495913.0244600712</v>
      </c>
      <c r="S691">
        <f t="shared" si="997"/>
        <v>24.959130244600711</v>
      </c>
      <c r="T691">
        <f t="shared" si="998"/>
        <v>2.4959130244600711E-2</v>
      </c>
    </row>
    <row r="692" spans="1:20" x14ac:dyDescent="0.25">
      <c r="A692" s="5">
        <v>43901</v>
      </c>
      <c r="B692">
        <v>0.78979999999999995</v>
      </c>
      <c r="C692">
        <v>0.80210000000000004</v>
      </c>
      <c r="D692">
        <v>0.71840000000000004</v>
      </c>
      <c r="E692">
        <v>0.75219999999999998</v>
      </c>
      <c r="F692">
        <v>491055.13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-0.19235364396654855</v>
      </c>
      <c r="Q692">
        <f t="shared" si="995"/>
        <v>-94456.243643967216</v>
      </c>
      <c r="R692">
        <f t="shared" si="996"/>
        <v>3805810.1363857561</v>
      </c>
      <c r="S692">
        <f t="shared" si="997"/>
        <v>38.05810136385756</v>
      </c>
      <c r="T692">
        <f t="shared" si="998"/>
        <v>3.8058101363857559E-2</v>
      </c>
    </row>
    <row r="693" spans="1:20" x14ac:dyDescent="0.25">
      <c r="A693" s="5">
        <v>43900</v>
      </c>
      <c r="B693">
        <v>0.78800000000000003</v>
      </c>
      <c r="C693">
        <v>0.80649999999999999</v>
      </c>
      <c r="D693">
        <v>0.77090000000000003</v>
      </c>
      <c r="E693">
        <v>0.79039999999999999</v>
      </c>
      <c r="F693">
        <v>396399.09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9.5505617977527019E-2</v>
      </c>
      <c r="Q693">
        <f t="shared" si="995"/>
        <v>37858.340056179353</v>
      </c>
      <c r="R693">
        <f t="shared" si="996"/>
        <v>3900266.3800297235</v>
      </c>
      <c r="S693">
        <f t="shared" si="997"/>
        <v>39.002663800297235</v>
      </c>
      <c r="T693">
        <f t="shared" si="998"/>
        <v>3.9002663800297238E-2</v>
      </c>
    </row>
    <row r="694" spans="1:20" x14ac:dyDescent="0.25">
      <c r="A694" s="5">
        <v>43899</v>
      </c>
      <c r="B694">
        <v>0.76870000000000005</v>
      </c>
      <c r="C694">
        <v>0.81420000000000003</v>
      </c>
      <c r="D694">
        <v>0.73309999999999997</v>
      </c>
      <c r="E694">
        <v>0.7883</v>
      </c>
      <c r="F694">
        <v>840590.97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0.36128236744759518</v>
      </c>
      <c r="Q694">
        <f t="shared" si="995"/>
        <v>303690.69569667045</v>
      </c>
      <c r="R694">
        <f t="shared" si="996"/>
        <v>3862408.039973544</v>
      </c>
      <c r="S694">
        <f t="shared" si="997"/>
        <v>38.62408039973544</v>
      </c>
      <c r="T694">
        <f t="shared" si="998"/>
        <v>3.8624080399735437E-2</v>
      </c>
    </row>
    <row r="695" spans="1:20" x14ac:dyDescent="0.25">
      <c r="A695" s="5">
        <v>43898</v>
      </c>
      <c r="B695">
        <v>0.90580000000000005</v>
      </c>
      <c r="C695">
        <v>0.90580000000000005</v>
      </c>
      <c r="D695">
        <v>0.755</v>
      </c>
      <c r="E695">
        <v>0.76549999999999996</v>
      </c>
      <c r="F695">
        <v>954840.81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-0.86074270557029242</v>
      </c>
      <c r="Q695">
        <f t="shared" si="995"/>
        <v>-821872.26218832959</v>
      </c>
      <c r="R695">
        <f t="shared" si="996"/>
        <v>3558717.3442768734</v>
      </c>
      <c r="S695">
        <f t="shared" si="997"/>
        <v>35.587173442768737</v>
      </c>
      <c r="T695">
        <f t="shared" si="998"/>
        <v>3.5587173442768738E-2</v>
      </c>
    </row>
    <row r="696" spans="1:20" x14ac:dyDescent="0.25">
      <c r="A696" s="5">
        <v>43897</v>
      </c>
      <c r="B696">
        <v>0.9365</v>
      </c>
      <c r="C696">
        <v>0.97019999999999995</v>
      </c>
      <c r="D696">
        <v>0.90229999999999999</v>
      </c>
      <c r="E696">
        <v>0.90580000000000005</v>
      </c>
      <c r="F696">
        <v>313843.06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-0.89690721649484362</v>
      </c>
      <c r="Q696">
        <f t="shared" si="995"/>
        <v>-281488.10536082421</v>
      </c>
      <c r="R696">
        <f t="shared" si="996"/>
        <v>4380589.6064652028</v>
      </c>
      <c r="S696">
        <f t="shared" si="997"/>
        <v>43.805896064652025</v>
      </c>
      <c r="T696">
        <f t="shared" si="998"/>
        <v>4.3805896064652024E-2</v>
      </c>
    </row>
    <row r="697" spans="1:20" x14ac:dyDescent="0.25">
      <c r="A697" s="5">
        <v>43896</v>
      </c>
      <c r="B697">
        <v>0.92720000000000002</v>
      </c>
      <c r="C697">
        <v>0.94830000000000003</v>
      </c>
      <c r="D697">
        <v>0.92030000000000001</v>
      </c>
      <c r="E697">
        <v>0.93920000000000003</v>
      </c>
      <c r="F697">
        <v>149764.54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0.35000000000000081</v>
      </c>
      <c r="Q697">
        <f t="shared" si="995"/>
        <v>52417.589000000124</v>
      </c>
      <c r="R697">
        <f t="shared" si="996"/>
        <v>4662077.7118260274</v>
      </c>
      <c r="S697">
        <f t="shared" si="997"/>
        <v>46.620777118260271</v>
      </c>
      <c r="T697">
        <f t="shared" si="998"/>
        <v>4.6620777118260272E-2</v>
      </c>
    </row>
    <row r="698" spans="1:20" x14ac:dyDescent="0.25">
      <c r="A698" s="5">
        <v>43895</v>
      </c>
      <c r="B698">
        <v>0.89800000000000002</v>
      </c>
      <c r="C698">
        <v>0.94750000000000001</v>
      </c>
      <c r="D698">
        <v>0.89800000000000002</v>
      </c>
      <c r="E698">
        <v>0.92530000000000001</v>
      </c>
      <c r="F698">
        <v>225360.09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0.10303030303030292</v>
      </c>
      <c r="Q698">
        <f t="shared" si="995"/>
        <v>23218.918363636338</v>
      </c>
      <c r="R698">
        <f t="shared" si="996"/>
        <v>4609660.1228260277</v>
      </c>
      <c r="S698">
        <f t="shared" si="997"/>
        <v>46.096601228260276</v>
      </c>
      <c r="T698">
        <f t="shared" si="998"/>
        <v>4.6096601228260273E-2</v>
      </c>
    </row>
    <row r="699" spans="1:20" x14ac:dyDescent="0.25">
      <c r="A699" s="5">
        <v>43894</v>
      </c>
      <c r="B699">
        <v>0.88619999999999999</v>
      </c>
      <c r="C699">
        <v>0.9083</v>
      </c>
      <c r="D699">
        <v>0.87880000000000003</v>
      </c>
      <c r="E699">
        <v>0.89690000000000003</v>
      </c>
      <c r="F699">
        <v>227592.13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0.22711864406779816</v>
      </c>
      <c r="Q699">
        <f t="shared" si="995"/>
        <v>51690.415966102053</v>
      </c>
      <c r="R699">
        <f t="shared" si="996"/>
        <v>4586441.2044623913</v>
      </c>
      <c r="S699">
        <f t="shared" si="997"/>
        <v>45.864412044623911</v>
      </c>
      <c r="T699">
        <f t="shared" si="998"/>
        <v>4.5864412044623909E-2</v>
      </c>
    </row>
    <row r="700" spans="1:20" x14ac:dyDescent="0.25">
      <c r="A700" s="5">
        <v>43893</v>
      </c>
      <c r="B700">
        <v>0.89490000000000003</v>
      </c>
      <c r="C700">
        <v>0.9</v>
      </c>
      <c r="D700">
        <v>0.86409999999999998</v>
      </c>
      <c r="E700">
        <v>0.88639999999999997</v>
      </c>
      <c r="F700">
        <v>191733.32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0.24233983286907854</v>
      </c>
      <c r="Q700">
        <f t="shared" si="995"/>
        <v>46464.620724233551</v>
      </c>
      <c r="R700">
        <f t="shared" si="996"/>
        <v>4534750.7884962894</v>
      </c>
      <c r="S700">
        <f t="shared" si="997"/>
        <v>45.347507884962894</v>
      </c>
      <c r="T700">
        <f t="shared" si="998"/>
        <v>4.5347507884962897E-2</v>
      </c>
    </row>
    <row r="701" spans="1:20" x14ac:dyDescent="0.25">
      <c r="A701" s="5">
        <v>43892</v>
      </c>
      <c r="B701">
        <v>0.84099999999999997</v>
      </c>
      <c r="C701">
        <v>0.90700000000000003</v>
      </c>
      <c r="D701">
        <v>0.82940000000000003</v>
      </c>
      <c r="E701">
        <v>0.89490000000000003</v>
      </c>
      <c r="F701">
        <v>263957.57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0.68814432989690721</v>
      </c>
      <c r="Q701">
        <f t="shared" si="995"/>
        <v>181640.905128866</v>
      </c>
      <c r="R701">
        <f t="shared" si="996"/>
        <v>4488286.1677720556</v>
      </c>
      <c r="S701">
        <f t="shared" si="997"/>
        <v>44.882861677720555</v>
      </c>
      <c r="T701">
        <f t="shared" si="998"/>
        <v>4.4882861677720556E-2</v>
      </c>
    </row>
    <row r="702" spans="1:20" x14ac:dyDescent="0.25">
      <c r="A702" s="5">
        <v>43891</v>
      </c>
      <c r="B702">
        <v>0.82620000000000005</v>
      </c>
      <c r="C702">
        <v>0.86240000000000006</v>
      </c>
      <c r="D702">
        <v>0.80400000000000005</v>
      </c>
      <c r="E702">
        <v>0.84099999999999997</v>
      </c>
      <c r="F702">
        <v>461545.16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0.26712328767123006</v>
      </c>
      <c r="Q702">
        <f t="shared" si="995"/>
        <v>123289.46054794391</v>
      </c>
      <c r="R702">
        <f t="shared" si="996"/>
        <v>4306645.2626431892</v>
      </c>
      <c r="S702">
        <f t="shared" si="997"/>
        <v>43.066452626431889</v>
      </c>
      <c r="T702">
        <f t="shared" si="998"/>
        <v>4.3066452626431891E-2</v>
      </c>
    </row>
    <row r="703" spans="1:20" x14ac:dyDescent="0.25">
      <c r="A703" s="5">
        <v>43890</v>
      </c>
      <c r="B703">
        <v>0.85619999999999996</v>
      </c>
      <c r="C703">
        <v>0.87770000000000004</v>
      </c>
      <c r="D703">
        <v>0.82250000000000001</v>
      </c>
      <c r="E703">
        <v>0.82250000000000001</v>
      </c>
      <c r="F703">
        <v>245111.8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-1</v>
      </c>
      <c r="Q703">
        <f t="shared" si="995"/>
        <v>-245111.8</v>
      </c>
      <c r="R703">
        <f t="shared" si="996"/>
        <v>4183355.8020952456</v>
      </c>
      <c r="S703">
        <f t="shared" si="997"/>
        <v>41.833558020952452</v>
      </c>
      <c r="T703">
        <f t="shared" si="998"/>
        <v>4.1833558020952455E-2</v>
      </c>
    </row>
    <row r="704" spans="1:20" x14ac:dyDescent="0.25">
      <c r="A704" s="5">
        <v>43889</v>
      </c>
      <c r="B704">
        <v>0.89839999999999998</v>
      </c>
      <c r="C704">
        <v>0.91339999999999999</v>
      </c>
      <c r="D704">
        <v>0.82279999999999998</v>
      </c>
      <c r="E704">
        <v>0.85499999999999998</v>
      </c>
      <c r="F704">
        <v>590926.16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-0.28918322295805737</v>
      </c>
      <c r="Q704">
        <f t="shared" si="995"/>
        <v>-170885.93147902869</v>
      </c>
      <c r="R704">
        <f t="shared" si="996"/>
        <v>4428467.6020952454</v>
      </c>
      <c r="S704">
        <f t="shared" si="997"/>
        <v>44.284676020952453</v>
      </c>
      <c r="T704">
        <f t="shared" si="998"/>
        <v>4.428467602095245E-2</v>
      </c>
    </row>
    <row r="705" spans="1:20" x14ac:dyDescent="0.25">
      <c r="A705" s="5">
        <v>43888</v>
      </c>
      <c r="B705">
        <v>0.85599999999999998</v>
      </c>
      <c r="C705">
        <v>0.95240000000000002</v>
      </c>
      <c r="D705">
        <v>0.80159999999999998</v>
      </c>
      <c r="E705">
        <v>0.89510000000000001</v>
      </c>
      <c r="F705">
        <v>532377.68999999994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0.24005305039787797</v>
      </c>
      <c r="Q705">
        <f t="shared" si="995"/>
        <v>127798.88844827584</v>
      </c>
      <c r="R705">
        <f t="shared" si="996"/>
        <v>4599353.5335742738</v>
      </c>
      <c r="S705">
        <f t="shared" si="997"/>
        <v>45.993535335742735</v>
      </c>
      <c r="T705">
        <f t="shared" si="998"/>
        <v>4.5993535335742734E-2</v>
      </c>
    </row>
    <row r="706" spans="1:20" x14ac:dyDescent="0.25">
      <c r="A706" s="5">
        <v>43887</v>
      </c>
      <c r="B706">
        <v>0.98229999999999995</v>
      </c>
      <c r="C706">
        <v>1.0054000000000001</v>
      </c>
      <c r="D706">
        <v>0.82579999999999998</v>
      </c>
      <c r="E706">
        <v>0.85599999999999998</v>
      </c>
      <c r="F706">
        <v>550088.17000000004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-0.66369710467706022</v>
      </c>
      <c r="Q706">
        <f t="shared" si="995"/>
        <v>-365091.92574610253</v>
      </c>
      <c r="R706">
        <f t="shared" si="996"/>
        <v>4471554.6451259982</v>
      </c>
      <c r="S706">
        <f t="shared" si="997"/>
        <v>44.715546451259982</v>
      </c>
      <c r="T706">
        <f t="shared" si="998"/>
        <v>4.4715546451259983E-2</v>
      </c>
    </row>
    <row r="707" spans="1:20" x14ac:dyDescent="0.25">
      <c r="A707" s="5">
        <v>43886</v>
      </c>
      <c r="B707">
        <v>1.0670999999999999</v>
      </c>
      <c r="C707">
        <v>1.0677000000000001</v>
      </c>
      <c r="D707">
        <v>0.97450000000000003</v>
      </c>
      <c r="E707">
        <v>0.98929999999999996</v>
      </c>
      <c r="F707">
        <v>361344.37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-0.68240343347639665</v>
      </c>
      <c r="Q707">
        <f t="shared" si="995"/>
        <v>-246582.63875536545</v>
      </c>
      <c r="R707">
        <f t="shared" si="996"/>
        <v>4836646.570872101</v>
      </c>
      <c r="S707">
        <f t="shared" si="997"/>
        <v>48.366465708721009</v>
      </c>
      <c r="T707">
        <f t="shared" si="998"/>
        <v>4.836646570872101E-2</v>
      </c>
    </row>
    <row r="708" spans="1:20" x14ac:dyDescent="0.25">
      <c r="A708" s="5">
        <v>43885</v>
      </c>
      <c r="B708">
        <v>1.1341000000000001</v>
      </c>
      <c r="C708">
        <v>1.1404000000000001</v>
      </c>
      <c r="D708">
        <v>1.0434000000000001</v>
      </c>
      <c r="E708">
        <v>1.0670999999999999</v>
      </c>
      <c r="F708">
        <v>251756.18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-0.5113402061855703</v>
      </c>
      <c r="Q708">
        <f t="shared" si="995"/>
        <v>-128733.05698969154</v>
      </c>
      <c r="R708">
        <f t="shared" si="996"/>
        <v>5083229.2096274663</v>
      </c>
      <c r="S708">
        <f t="shared" si="997"/>
        <v>50.832292096274664</v>
      </c>
      <c r="T708">
        <f t="shared" si="998"/>
        <v>5.0832292096274663E-2</v>
      </c>
    </row>
    <row r="709" spans="1:20" x14ac:dyDescent="0.25">
      <c r="A709" s="5">
        <v>43884</v>
      </c>
      <c r="B709">
        <v>1.1068</v>
      </c>
      <c r="C709">
        <v>1.1682999999999999</v>
      </c>
      <c r="D709">
        <v>1.0995999999999999</v>
      </c>
      <c r="E709">
        <v>1.1389</v>
      </c>
      <c r="F709">
        <v>243975.9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0.14410480349345334</v>
      </c>
      <c r="Q709">
        <f t="shared" si="995"/>
        <v>35158.099126638423</v>
      </c>
      <c r="R709">
        <f t="shared" si="996"/>
        <v>5211962.2666171575</v>
      </c>
      <c r="S709">
        <f t="shared" si="997"/>
        <v>52.119622666171573</v>
      </c>
      <c r="T709">
        <f t="shared" si="998"/>
        <v>5.2119622666171574E-2</v>
      </c>
    </row>
    <row r="710" spans="1:20" x14ac:dyDescent="0.25">
      <c r="A710" s="5">
        <v>43883</v>
      </c>
      <c r="B710">
        <v>1.0940000000000001</v>
      </c>
      <c r="C710">
        <v>1.1100000000000001</v>
      </c>
      <c r="D710">
        <v>1.0553999999999999</v>
      </c>
      <c r="E710">
        <v>1.1046</v>
      </c>
      <c r="F710">
        <v>140101.21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0.80219780219780035</v>
      </c>
      <c r="Q710">
        <f t="shared" ref="Q710:Q766" si="1000">F710*P710</f>
        <v>112388.88274725249</v>
      </c>
      <c r="R710">
        <f t="shared" ref="R710:R766" si="1001">R711+Q710</f>
        <v>5176804.1674905187</v>
      </c>
      <c r="S710">
        <f t="shared" ref="S710:S766" si="1002">R710/100000</f>
        <v>51.768041674905184</v>
      </c>
      <c r="T710">
        <f t="shared" ref="T710:T766" si="1003">S710/1000</f>
        <v>5.1768041674905181E-2</v>
      </c>
    </row>
    <row r="711" spans="1:20" x14ac:dyDescent="0.25">
      <c r="A711" s="5">
        <v>43882</v>
      </c>
      <c r="B711">
        <v>1.079</v>
      </c>
      <c r="C711">
        <v>1.1218999999999999</v>
      </c>
      <c r="D711">
        <v>1.0678000000000001</v>
      </c>
      <c r="E711">
        <v>1.0929</v>
      </c>
      <c r="F711">
        <v>177949.67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-7.2088724584104022E-2</v>
      </c>
      <c r="Q711">
        <f t="shared" si="1000"/>
        <v>-12828.1647504622</v>
      </c>
      <c r="R711">
        <f t="shared" si="1001"/>
        <v>5064415.2847432662</v>
      </c>
      <c r="S711">
        <f t="shared" si="1002"/>
        <v>50.644152847432665</v>
      </c>
      <c r="T711">
        <f t="shared" si="1003"/>
        <v>5.0644152847432664E-2</v>
      </c>
    </row>
    <row r="712" spans="1:20" x14ac:dyDescent="0.25">
      <c r="A712" s="5">
        <v>43881</v>
      </c>
      <c r="B712">
        <v>1.0981000000000001</v>
      </c>
      <c r="C712">
        <v>1.1348</v>
      </c>
      <c r="D712">
        <v>1.0239</v>
      </c>
      <c r="E712">
        <v>1.081</v>
      </c>
      <c r="F712">
        <v>504421.32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2.9756537421098815E-2</v>
      </c>
      <c r="Q712">
        <f t="shared" si="1000"/>
        <v>15009.83188458006</v>
      </c>
      <c r="R712">
        <f t="shared" si="1001"/>
        <v>5077243.4494937286</v>
      </c>
      <c r="S712">
        <f t="shared" si="1002"/>
        <v>50.772434494937286</v>
      </c>
      <c r="T712">
        <f t="shared" si="1003"/>
        <v>5.0772434494937284E-2</v>
      </c>
    </row>
    <row r="713" spans="1:20" x14ac:dyDescent="0.25">
      <c r="A713" s="5">
        <v>43880</v>
      </c>
      <c r="B713">
        <v>1.2</v>
      </c>
      <c r="C713">
        <v>1.2194</v>
      </c>
      <c r="D713">
        <v>1.0868</v>
      </c>
      <c r="E713">
        <v>1.0986</v>
      </c>
      <c r="F713">
        <v>276805.99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-0.82202111613876272</v>
      </c>
      <c r="Q713">
        <f t="shared" si="1000"/>
        <v>-227540.3688536952</v>
      </c>
      <c r="R713">
        <f t="shared" si="1001"/>
        <v>5062233.6176091488</v>
      </c>
      <c r="S713">
        <f t="shared" si="1002"/>
        <v>50.622336176091487</v>
      </c>
      <c r="T713">
        <f t="shared" si="1003"/>
        <v>5.0622336176091486E-2</v>
      </c>
    </row>
    <row r="714" spans="1:20" x14ac:dyDescent="0.25">
      <c r="A714" s="5">
        <v>43879</v>
      </c>
      <c r="B714">
        <v>1.1712</v>
      </c>
      <c r="C714">
        <v>1.2208000000000001</v>
      </c>
      <c r="D714">
        <v>1.1051</v>
      </c>
      <c r="E714">
        <v>1.1974</v>
      </c>
      <c r="F714">
        <v>331843.33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0.5955056179775271</v>
      </c>
      <c r="Q714">
        <f t="shared" si="1000"/>
        <v>197614.56730337048</v>
      </c>
      <c r="R714">
        <f t="shared" si="1001"/>
        <v>5289773.9864628436</v>
      </c>
      <c r="S714">
        <f t="shared" si="1002"/>
        <v>52.897739864628434</v>
      </c>
      <c r="T714">
        <f t="shared" si="1003"/>
        <v>5.2897739864628437E-2</v>
      </c>
    </row>
    <row r="715" spans="1:20" x14ac:dyDescent="0.25">
      <c r="A715" s="5">
        <v>43878</v>
      </c>
      <c r="B715">
        <v>1.1773</v>
      </c>
      <c r="C715">
        <v>1.1900999999999999</v>
      </c>
      <c r="D715">
        <v>1.0545</v>
      </c>
      <c r="E715">
        <v>1.1726000000000001</v>
      </c>
      <c r="F715">
        <v>857497.84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0.74188790560472184</v>
      </c>
      <c r="Q715">
        <f t="shared" si="1000"/>
        <v>636167.27657817281</v>
      </c>
      <c r="R715">
        <f t="shared" si="1001"/>
        <v>5092159.4191594729</v>
      </c>
      <c r="S715">
        <f t="shared" si="1002"/>
        <v>50.921594191594728</v>
      </c>
      <c r="T715">
        <f t="shared" si="1003"/>
        <v>5.0921594191594727E-2</v>
      </c>
    </row>
    <row r="716" spans="1:20" x14ac:dyDescent="0.25">
      <c r="A716" s="5">
        <v>43877</v>
      </c>
      <c r="B716">
        <v>1.2867999999999999</v>
      </c>
      <c r="C716">
        <v>1.3421000000000001</v>
      </c>
      <c r="D716">
        <v>1.0780000000000001</v>
      </c>
      <c r="E716">
        <v>1.1819999999999999</v>
      </c>
      <c r="F716">
        <v>881266.39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-0.21241953805376851</v>
      </c>
      <c r="Q716">
        <f t="shared" si="1000"/>
        <v>-187198.19946611222</v>
      </c>
      <c r="R716">
        <f t="shared" si="1001"/>
        <v>4455992.1425812999</v>
      </c>
      <c r="S716">
        <f t="shared" si="1002"/>
        <v>44.559921425813002</v>
      </c>
      <c r="T716">
        <f t="shared" si="1003"/>
        <v>4.4559921425813005E-2</v>
      </c>
    </row>
    <row r="717" spans="1:20" x14ac:dyDescent="0.25">
      <c r="A717" s="5">
        <v>43876</v>
      </c>
      <c r="B717">
        <v>1.3714999999999999</v>
      </c>
      <c r="C717">
        <v>1.46</v>
      </c>
      <c r="D717">
        <v>1.2351000000000001</v>
      </c>
      <c r="E717">
        <v>1.2867999999999999</v>
      </c>
      <c r="F717">
        <v>670845.81000000006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-0.54024010671409617</v>
      </c>
      <c r="Q717">
        <f t="shared" si="1000"/>
        <v>-362417.81198310433</v>
      </c>
      <c r="R717">
        <f t="shared" si="1001"/>
        <v>4643190.3420474119</v>
      </c>
      <c r="S717">
        <f t="shared" si="1002"/>
        <v>46.431903420474121</v>
      </c>
      <c r="T717">
        <f t="shared" si="1003"/>
        <v>4.6431903420474124E-2</v>
      </c>
    </row>
    <row r="718" spans="1:20" x14ac:dyDescent="0.25">
      <c r="A718" s="5">
        <v>43875</v>
      </c>
      <c r="B718">
        <v>1.2793000000000001</v>
      </c>
      <c r="C718">
        <v>1.3876999999999999</v>
      </c>
      <c r="D718">
        <v>1.2526999999999999</v>
      </c>
      <c r="E718">
        <v>1.371</v>
      </c>
      <c r="F718">
        <v>425365.95</v>
      </c>
      <c r="G718">
        <v>0</v>
      </c>
      <c r="L718" t="s">
        <v>8</v>
      </c>
      <c r="M718" t="s">
        <v>7</v>
      </c>
      <c r="N718" t="s">
        <v>8</v>
      </c>
      <c r="P718">
        <f t="shared" si="999"/>
        <v>0.75259259259259359</v>
      </c>
      <c r="Q718">
        <f t="shared" si="1000"/>
        <v>320127.26311111153</v>
      </c>
      <c r="R718">
        <f t="shared" si="1001"/>
        <v>5005608.1540305167</v>
      </c>
      <c r="S718">
        <f t="shared" si="1002"/>
        <v>50.056081540305165</v>
      </c>
      <c r="T718">
        <f t="shared" si="1003"/>
        <v>5.0056081540305164E-2</v>
      </c>
    </row>
    <row r="719" spans="1:20" x14ac:dyDescent="0.25">
      <c r="A719" s="5">
        <v>43874</v>
      </c>
      <c r="B719">
        <v>1.2470000000000001</v>
      </c>
      <c r="C719">
        <v>1.3112999999999999</v>
      </c>
      <c r="D719">
        <v>1.2041999999999999</v>
      </c>
      <c r="E719">
        <v>1.2846</v>
      </c>
      <c r="F719">
        <v>874754.77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0.50140056022409052</v>
      </c>
      <c r="Q719">
        <f t="shared" si="1000"/>
        <v>438602.53173669544</v>
      </c>
      <c r="R719">
        <f t="shared" si="1001"/>
        <v>4685480.890919405</v>
      </c>
      <c r="S719">
        <f t="shared" si="1002"/>
        <v>46.854808909194048</v>
      </c>
      <c r="T719">
        <f t="shared" si="1003"/>
        <v>4.6854808909194051E-2</v>
      </c>
    </row>
    <row r="720" spans="1:20" x14ac:dyDescent="0.25">
      <c r="A720" s="5">
        <v>43873</v>
      </c>
      <c r="B720">
        <v>1.1979</v>
      </c>
      <c r="C720">
        <v>1.5</v>
      </c>
      <c r="D720">
        <v>1.1731</v>
      </c>
      <c r="E720">
        <v>1.2495000000000001</v>
      </c>
      <c r="F720">
        <v>1064328.8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-0.5325787702661362</v>
      </c>
      <c r="Q720">
        <f t="shared" si="1000"/>
        <v>-566838.92346283246</v>
      </c>
      <c r="R720">
        <f t="shared" si="1001"/>
        <v>4246878.3591827098</v>
      </c>
      <c r="S720">
        <f t="shared" si="1002"/>
        <v>42.468783591827098</v>
      </c>
      <c r="T720">
        <f t="shared" si="1003"/>
        <v>4.2468783591827097E-2</v>
      </c>
    </row>
    <row r="721" spans="1:20" x14ac:dyDescent="0.25">
      <c r="A721" s="5">
        <v>43872</v>
      </c>
      <c r="B721">
        <v>1.1227</v>
      </c>
      <c r="C721">
        <v>1.2</v>
      </c>
      <c r="D721">
        <v>0.99739999999999995</v>
      </c>
      <c r="E721">
        <v>1.1979</v>
      </c>
      <c r="F721">
        <v>626627.86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0.97926949654491613</v>
      </c>
      <c r="Q721">
        <f t="shared" si="1000"/>
        <v>613637.54898321815</v>
      </c>
      <c r="R721">
        <f t="shared" si="1001"/>
        <v>4813717.2826455422</v>
      </c>
      <c r="S721">
        <f t="shared" si="1002"/>
        <v>48.137172826455419</v>
      </c>
      <c r="T721">
        <f t="shared" si="1003"/>
        <v>4.8137172826455417E-2</v>
      </c>
    </row>
    <row r="722" spans="1:20" x14ac:dyDescent="0.25">
      <c r="A722" s="5">
        <v>43871</v>
      </c>
      <c r="B722">
        <v>1.1372</v>
      </c>
      <c r="C722">
        <v>1.1519999999999999</v>
      </c>
      <c r="D722">
        <v>1.0661</v>
      </c>
      <c r="E722">
        <v>1.1235999999999999</v>
      </c>
      <c r="F722">
        <v>461123.48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0.33876600698486553</v>
      </c>
      <c r="Q722">
        <f t="shared" si="1000"/>
        <v>156212.96004656548</v>
      </c>
      <c r="R722">
        <f t="shared" si="1001"/>
        <v>4200079.733662324</v>
      </c>
      <c r="S722">
        <f t="shared" si="1002"/>
        <v>42.000797336623243</v>
      </c>
      <c r="T722">
        <f t="shared" si="1003"/>
        <v>4.2000797336623243E-2</v>
      </c>
    </row>
    <row r="723" spans="1:20" x14ac:dyDescent="0.25">
      <c r="A723" s="5">
        <v>43870</v>
      </c>
      <c r="B723">
        <v>1.1556999999999999</v>
      </c>
      <c r="C723">
        <v>1.1719999999999999</v>
      </c>
      <c r="D723">
        <v>1.0922000000000001</v>
      </c>
      <c r="E723">
        <v>1.1323000000000001</v>
      </c>
      <c r="F723">
        <v>377304.92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5.0125313283230404E-3</v>
      </c>
      <c r="Q723">
        <f t="shared" si="1000"/>
        <v>1891.2527318304185</v>
      </c>
      <c r="R723">
        <f t="shared" si="1001"/>
        <v>4043866.7736157584</v>
      </c>
      <c r="S723">
        <f t="shared" si="1002"/>
        <v>40.438667736157583</v>
      </c>
      <c r="T723">
        <f t="shared" si="1003"/>
        <v>4.0438667736157584E-2</v>
      </c>
    </row>
    <row r="724" spans="1:20" x14ac:dyDescent="0.25">
      <c r="A724" s="5">
        <v>43869</v>
      </c>
      <c r="B724">
        <v>1.1322000000000001</v>
      </c>
      <c r="C724">
        <v>1.1719999999999999</v>
      </c>
      <c r="D724">
        <v>0.98899999999999999</v>
      </c>
      <c r="E724">
        <v>1.1608000000000001</v>
      </c>
      <c r="F724">
        <v>449850.98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0.87759562841530181</v>
      </c>
      <c r="Q724">
        <f t="shared" si="1000"/>
        <v>394787.25348633935</v>
      </c>
      <c r="R724">
        <f t="shared" si="1001"/>
        <v>4041975.5208839281</v>
      </c>
      <c r="S724">
        <f t="shared" si="1002"/>
        <v>40.419755208839284</v>
      </c>
      <c r="T724">
        <f t="shared" si="1003"/>
        <v>4.0419755208839281E-2</v>
      </c>
    </row>
    <row r="725" spans="1:20" x14ac:dyDescent="0.25">
      <c r="A725" s="5">
        <v>43868</v>
      </c>
      <c r="B725">
        <v>1.1214999999999999</v>
      </c>
      <c r="C725">
        <v>1.1818</v>
      </c>
      <c r="D725">
        <v>1.1167</v>
      </c>
      <c r="E725">
        <v>1.1322000000000001</v>
      </c>
      <c r="F725">
        <v>453752.03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-0.52380952380952117</v>
      </c>
      <c r="Q725">
        <f t="shared" si="1000"/>
        <v>-237679.63476190358</v>
      </c>
      <c r="R725">
        <f t="shared" si="1001"/>
        <v>3647188.2673975886</v>
      </c>
      <c r="S725">
        <f t="shared" si="1002"/>
        <v>36.471882673975884</v>
      </c>
      <c r="T725">
        <f t="shared" si="1003"/>
        <v>3.6471882673975886E-2</v>
      </c>
    </row>
    <row r="726" spans="1:20" x14ac:dyDescent="0.25">
      <c r="A726" s="5">
        <v>43867</v>
      </c>
      <c r="B726">
        <v>1.0358000000000001</v>
      </c>
      <c r="C726">
        <v>1.1558999999999999</v>
      </c>
      <c r="D726">
        <v>1.0307999999999999</v>
      </c>
      <c r="E726">
        <v>1.1183000000000001</v>
      </c>
      <c r="F726">
        <v>752745.14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0.39888089528377524</v>
      </c>
      <c r="Q726">
        <f t="shared" si="1000"/>
        <v>300255.65536371071</v>
      </c>
      <c r="R726">
        <f t="shared" si="1001"/>
        <v>3884867.902159492</v>
      </c>
      <c r="S726">
        <f t="shared" si="1002"/>
        <v>38.848679021594918</v>
      </c>
      <c r="T726">
        <f t="shared" si="1003"/>
        <v>3.8848679021594917E-2</v>
      </c>
    </row>
    <row r="727" spans="1:20" x14ac:dyDescent="0.25">
      <c r="A727" s="5">
        <v>43866</v>
      </c>
      <c r="B727">
        <v>0.97760000000000002</v>
      </c>
      <c r="C727">
        <v>1.0444</v>
      </c>
      <c r="D727">
        <v>0.97729999999999995</v>
      </c>
      <c r="E727">
        <v>1.0358000000000001</v>
      </c>
      <c r="F727">
        <v>331130.78000000003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0.74366616989568002</v>
      </c>
      <c r="Q727">
        <f t="shared" si="1000"/>
        <v>246250.75889716906</v>
      </c>
      <c r="R727">
        <f t="shared" si="1001"/>
        <v>3584612.2467957814</v>
      </c>
      <c r="S727">
        <f t="shared" si="1002"/>
        <v>35.846122467957812</v>
      </c>
      <c r="T727">
        <f t="shared" si="1003"/>
        <v>3.5846122467957812E-2</v>
      </c>
    </row>
    <row r="728" spans="1:20" x14ac:dyDescent="0.25">
      <c r="A728" s="5">
        <v>43865</v>
      </c>
      <c r="B728">
        <v>0.97199999999999998</v>
      </c>
      <c r="C728">
        <v>1</v>
      </c>
      <c r="D728">
        <v>0.9355</v>
      </c>
      <c r="E728">
        <v>0.97760000000000002</v>
      </c>
      <c r="F728">
        <v>399692.03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0.30542635658914807</v>
      </c>
      <c r="Q728">
        <f t="shared" si="1000"/>
        <v>122076.48048062048</v>
      </c>
      <c r="R728">
        <f t="shared" si="1001"/>
        <v>3338361.4878986124</v>
      </c>
      <c r="S728">
        <f t="shared" si="1002"/>
        <v>33.383614878986123</v>
      </c>
      <c r="T728">
        <f t="shared" si="1003"/>
        <v>3.3383614878986126E-2</v>
      </c>
    </row>
    <row r="729" spans="1:20" x14ac:dyDescent="0.25">
      <c r="A729" s="5">
        <v>43864</v>
      </c>
      <c r="B729">
        <v>0.96799999999999997</v>
      </c>
      <c r="C729">
        <v>0.99350000000000005</v>
      </c>
      <c r="D729">
        <v>0.93510000000000004</v>
      </c>
      <c r="E729">
        <v>0.97209999999999996</v>
      </c>
      <c r="F729">
        <v>303037.37</v>
      </c>
      <c r="G729">
        <v>0</v>
      </c>
      <c r="L729" t="s">
        <v>7</v>
      </c>
      <c r="M729" t="s">
        <v>8</v>
      </c>
      <c r="N729" t="s">
        <v>8</v>
      </c>
      <c r="P729">
        <f t="shared" si="999"/>
        <v>0.26712328767123006</v>
      </c>
      <c r="Q729">
        <f t="shared" si="1000"/>
        <v>80948.338561642973</v>
      </c>
      <c r="R729">
        <f t="shared" si="1001"/>
        <v>3216285.0074179918</v>
      </c>
      <c r="S729">
        <f t="shared" si="1002"/>
        <v>32.162850074179914</v>
      </c>
      <c r="T729">
        <f t="shared" si="1003"/>
        <v>3.2162850074179912E-2</v>
      </c>
    </row>
    <row r="730" spans="1:20" x14ac:dyDescent="0.25">
      <c r="A730" s="5">
        <v>43863</v>
      </c>
      <c r="B730">
        <v>0.9133</v>
      </c>
      <c r="C730">
        <v>1.05</v>
      </c>
      <c r="D730">
        <v>0.9133</v>
      </c>
      <c r="E730">
        <v>0.96799999999999997</v>
      </c>
      <c r="F730">
        <v>867716.6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-0.19970738844184413</v>
      </c>
      <c r="Q730">
        <f t="shared" si="1000"/>
        <v>-173289.41609363628</v>
      </c>
      <c r="R730">
        <f t="shared" si="1001"/>
        <v>3135336.6688563488</v>
      </c>
      <c r="S730">
        <f t="shared" si="1002"/>
        <v>31.35336668856349</v>
      </c>
      <c r="T730">
        <f t="shared" si="1003"/>
        <v>3.1353366688563492E-2</v>
      </c>
    </row>
    <row r="731" spans="1:20" x14ac:dyDescent="0.25">
      <c r="A731" s="5">
        <v>43862</v>
      </c>
      <c r="B731">
        <v>0.90600000000000003</v>
      </c>
      <c r="C731">
        <v>0.91790000000000005</v>
      </c>
      <c r="D731">
        <v>0.89480000000000004</v>
      </c>
      <c r="E731">
        <v>0.91679999999999995</v>
      </c>
      <c r="F731">
        <v>202960.69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0.90476190476189611</v>
      </c>
      <c r="Q731">
        <f t="shared" si="1000"/>
        <v>183631.10047618873</v>
      </c>
      <c r="R731">
        <f t="shared" si="1001"/>
        <v>3308626.0849499851</v>
      </c>
      <c r="S731">
        <f t="shared" si="1002"/>
        <v>33.086260849499851</v>
      </c>
      <c r="T731">
        <f t="shared" si="1003"/>
        <v>3.3086260849499852E-2</v>
      </c>
    </row>
    <row r="732" spans="1:20" x14ac:dyDescent="0.25">
      <c r="A732" s="5">
        <v>43861</v>
      </c>
      <c r="B732">
        <v>0.88800000000000001</v>
      </c>
      <c r="C732">
        <v>0.92449999999999999</v>
      </c>
      <c r="D732">
        <v>0.87039999999999995</v>
      </c>
      <c r="E732">
        <v>0.90100000000000002</v>
      </c>
      <c r="F732">
        <v>365054.77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0.13123844731978007</v>
      </c>
      <c r="Q732">
        <f t="shared" si="1000"/>
        <v>47909.221201479435</v>
      </c>
      <c r="R732">
        <f t="shared" si="1001"/>
        <v>3124994.9844737966</v>
      </c>
      <c r="S732">
        <f t="shared" si="1002"/>
        <v>31.249949844737966</v>
      </c>
      <c r="T732">
        <f t="shared" si="1003"/>
        <v>3.1249949844737966E-2</v>
      </c>
    </row>
    <row r="733" spans="1:20" x14ac:dyDescent="0.25">
      <c r="A733" s="5">
        <v>43860</v>
      </c>
      <c r="B733">
        <v>0.84050000000000002</v>
      </c>
      <c r="C733">
        <v>0.89839999999999998</v>
      </c>
      <c r="D733">
        <v>0.82530000000000003</v>
      </c>
      <c r="E733">
        <v>0.88800000000000001</v>
      </c>
      <c r="F733">
        <v>458458.29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0.71545827633379011</v>
      </c>
      <c r="Q733">
        <f t="shared" si="1000"/>
        <v>328007.77793433686</v>
      </c>
      <c r="R733">
        <f t="shared" si="1001"/>
        <v>3077085.7632723171</v>
      </c>
      <c r="S733">
        <f t="shared" si="1002"/>
        <v>30.770857632723171</v>
      </c>
      <c r="T733">
        <f t="shared" si="1003"/>
        <v>3.0770857632723171E-2</v>
      </c>
    </row>
    <row r="734" spans="1:20" x14ac:dyDescent="0.25">
      <c r="A734" s="5">
        <v>43859</v>
      </c>
      <c r="B734">
        <v>0.81969999999999998</v>
      </c>
      <c r="C734">
        <v>0.8518</v>
      </c>
      <c r="D734">
        <v>0.8155</v>
      </c>
      <c r="E734">
        <v>0.84019999999999995</v>
      </c>
      <c r="F734">
        <v>357279.91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0.3608815426997215</v>
      </c>
      <c r="Q734">
        <f t="shared" si="1000"/>
        <v>128935.72509641765</v>
      </c>
      <c r="R734">
        <f t="shared" si="1001"/>
        <v>2749077.9853379801</v>
      </c>
      <c r="S734">
        <f t="shared" si="1002"/>
        <v>27.490779853379802</v>
      </c>
      <c r="T734">
        <f t="shared" si="1003"/>
        <v>2.7490779853379801E-2</v>
      </c>
    </row>
    <row r="735" spans="1:20" x14ac:dyDescent="0.25">
      <c r="A735" s="5">
        <v>43858</v>
      </c>
      <c r="B735">
        <v>0.8085</v>
      </c>
      <c r="C735">
        <v>0.82989999999999997</v>
      </c>
      <c r="D735">
        <v>0.79690000000000005</v>
      </c>
      <c r="E735">
        <v>0.82050000000000001</v>
      </c>
      <c r="F735">
        <v>205674.23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0.43030303030303108</v>
      </c>
      <c r="Q735">
        <f t="shared" si="1000"/>
        <v>88502.244424242585</v>
      </c>
      <c r="R735">
        <f t="shared" si="1001"/>
        <v>2620142.2602415625</v>
      </c>
      <c r="S735">
        <f t="shared" si="1002"/>
        <v>26.201422602415626</v>
      </c>
      <c r="T735">
        <f t="shared" si="1003"/>
        <v>2.6201422602415626E-2</v>
      </c>
    </row>
    <row r="736" spans="1:20" x14ac:dyDescent="0.25">
      <c r="A736" s="5">
        <v>43857</v>
      </c>
      <c r="B736">
        <v>0.79310000000000003</v>
      </c>
      <c r="C736">
        <v>0.83169999999999999</v>
      </c>
      <c r="D736">
        <v>0.79310000000000003</v>
      </c>
      <c r="E736">
        <v>0.80740000000000001</v>
      </c>
      <c r="F736">
        <v>295579.64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-0.25906735751295379</v>
      </c>
      <c r="Q736">
        <f t="shared" si="1000"/>
        <v>-76575.036269430173</v>
      </c>
      <c r="R736">
        <f t="shared" si="1001"/>
        <v>2531640.01581732</v>
      </c>
      <c r="S736">
        <f t="shared" si="1002"/>
        <v>25.316400158173199</v>
      </c>
      <c r="T736">
        <f t="shared" si="1003"/>
        <v>2.53164001581732E-2</v>
      </c>
    </row>
    <row r="737" spans="1:20" x14ac:dyDescent="0.25">
      <c r="A737" s="5">
        <v>43856</v>
      </c>
      <c r="B737">
        <v>0.76219999999999999</v>
      </c>
      <c r="C737">
        <v>0.80549999999999999</v>
      </c>
      <c r="D737">
        <v>0.75519999999999998</v>
      </c>
      <c r="E737">
        <v>0.79049999999999998</v>
      </c>
      <c r="F737">
        <v>166976.99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0.40357852882703737</v>
      </c>
      <c r="Q737">
        <f t="shared" si="1000"/>
        <v>67388.327972166924</v>
      </c>
      <c r="R737">
        <f t="shared" si="1001"/>
        <v>2608215.05208675</v>
      </c>
      <c r="S737">
        <f t="shared" si="1002"/>
        <v>26.082150520867501</v>
      </c>
      <c r="T737">
        <f t="shared" si="1003"/>
        <v>2.60821505208675E-2</v>
      </c>
    </row>
    <row r="738" spans="1:20" x14ac:dyDescent="0.25">
      <c r="A738" s="5">
        <v>43855</v>
      </c>
      <c r="B738">
        <v>0.77349999999999997</v>
      </c>
      <c r="C738">
        <v>0.77349999999999997</v>
      </c>
      <c r="D738">
        <v>0.74960000000000004</v>
      </c>
      <c r="E738">
        <v>0.76070000000000004</v>
      </c>
      <c r="F738">
        <v>84102.35</v>
      </c>
      <c r="G738">
        <v>0</v>
      </c>
      <c r="L738" t="s">
        <v>8</v>
      </c>
      <c r="M738" t="s">
        <v>7</v>
      </c>
      <c r="N738" t="s">
        <v>8</v>
      </c>
      <c r="P738">
        <f t="shared" si="999"/>
        <v>-7.112970711296776E-2</v>
      </c>
      <c r="Q738">
        <f t="shared" si="1000"/>
        <v>-5982.1755230123044</v>
      </c>
      <c r="R738">
        <f t="shared" si="1001"/>
        <v>2540826.7241145833</v>
      </c>
      <c r="S738">
        <f t="shared" si="1002"/>
        <v>25.408267241145833</v>
      </c>
      <c r="T738">
        <f t="shared" si="1003"/>
        <v>2.5408267241145834E-2</v>
      </c>
    </row>
    <row r="739" spans="1:20" x14ac:dyDescent="0.25">
      <c r="A739" s="5">
        <v>43854</v>
      </c>
      <c r="B739">
        <v>0.76200000000000001</v>
      </c>
      <c r="C739">
        <v>0.78920000000000001</v>
      </c>
      <c r="D739">
        <v>0.7258</v>
      </c>
      <c r="E739">
        <v>0.77539999999999998</v>
      </c>
      <c r="F739">
        <v>265600.73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0.56466876971608737</v>
      </c>
      <c r="Q739">
        <f t="shared" si="1000"/>
        <v>149976.43744479469</v>
      </c>
      <c r="R739">
        <f t="shared" si="1001"/>
        <v>2546808.8996375958</v>
      </c>
      <c r="S739">
        <f t="shared" si="1002"/>
        <v>25.468088996375958</v>
      </c>
      <c r="T739">
        <f t="shared" si="1003"/>
        <v>2.5468088996375957E-2</v>
      </c>
    </row>
    <row r="740" spans="1:20" x14ac:dyDescent="0.25">
      <c r="A740" s="5">
        <v>43853</v>
      </c>
      <c r="B740">
        <v>0.8165</v>
      </c>
      <c r="C740">
        <v>0.81730000000000003</v>
      </c>
      <c r="D740">
        <v>0.75429999999999997</v>
      </c>
      <c r="E740">
        <v>0.76380000000000003</v>
      </c>
      <c r="F740">
        <v>229989.38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-0.6984126984126966</v>
      </c>
      <c r="Q740">
        <f t="shared" si="1000"/>
        <v>-160627.50349206309</v>
      </c>
      <c r="R740">
        <f t="shared" si="1001"/>
        <v>2396832.4621928008</v>
      </c>
      <c r="S740">
        <f t="shared" si="1002"/>
        <v>23.968324621928009</v>
      </c>
      <c r="T740">
        <f t="shared" si="1003"/>
        <v>2.3968324621928008E-2</v>
      </c>
    </row>
    <row r="741" spans="1:20" x14ac:dyDescent="0.25">
      <c r="A741" s="5">
        <v>43852</v>
      </c>
      <c r="B741">
        <v>0.8387</v>
      </c>
      <c r="C741">
        <v>0.84840000000000004</v>
      </c>
      <c r="D741">
        <v>0.80679999999999996</v>
      </c>
      <c r="E741">
        <v>0.8165</v>
      </c>
      <c r="F741">
        <v>323387.95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-0.53365384615384504</v>
      </c>
      <c r="Q741">
        <f t="shared" si="1000"/>
        <v>-172577.22331730733</v>
      </c>
      <c r="R741">
        <f t="shared" si="1001"/>
        <v>2557459.9656848637</v>
      </c>
      <c r="S741">
        <f t="shared" si="1002"/>
        <v>25.574599656848637</v>
      </c>
      <c r="T741">
        <f t="shared" si="1003"/>
        <v>2.5574599656848638E-2</v>
      </c>
    </row>
    <row r="742" spans="1:20" x14ac:dyDescent="0.25">
      <c r="A742" s="5">
        <v>43851</v>
      </c>
      <c r="B742">
        <v>0.77910000000000001</v>
      </c>
      <c r="C742">
        <v>0.83850000000000002</v>
      </c>
      <c r="D742">
        <v>0.77500000000000002</v>
      </c>
      <c r="E742">
        <v>0.83799999999999997</v>
      </c>
      <c r="F742">
        <v>304858.82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0.98425196850393526</v>
      </c>
      <c r="Q742">
        <f t="shared" si="1000"/>
        <v>300057.89370078687</v>
      </c>
      <c r="R742">
        <f t="shared" si="1001"/>
        <v>2730037.1890021712</v>
      </c>
      <c r="S742">
        <f t="shared" si="1002"/>
        <v>27.300371890021712</v>
      </c>
      <c r="T742">
        <f t="shared" si="1003"/>
        <v>2.7300371890021713E-2</v>
      </c>
    </row>
    <row r="743" spans="1:20" x14ac:dyDescent="0.25">
      <c r="A743" s="5">
        <v>43850</v>
      </c>
      <c r="B743">
        <v>0.79979999999999996</v>
      </c>
      <c r="C743">
        <v>0.80069999999999997</v>
      </c>
      <c r="D743">
        <v>0.75119999999999998</v>
      </c>
      <c r="E743">
        <v>0.78290000000000004</v>
      </c>
      <c r="F743">
        <v>252498.67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0.28080808080808362</v>
      </c>
      <c r="Q743">
        <f t="shared" si="1000"/>
        <v>70903.666929293642</v>
      </c>
      <c r="R743">
        <f t="shared" si="1001"/>
        <v>2429979.2953013843</v>
      </c>
      <c r="S743">
        <f t="shared" si="1002"/>
        <v>24.299792953013842</v>
      </c>
      <c r="T743">
        <f t="shared" si="1003"/>
        <v>2.4299792953013842E-2</v>
      </c>
    </row>
    <row r="744" spans="1:20" x14ac:dyDescent="0.25">
      <c r="A744" s="5">
        <v>43849</v>
      </c>
      <c r="B744">
        <v>0.83919999999999995</v>
      </c>
      <c r="C744">
        <v>0.85799999999999998</v>
      </c>
      <c r="D744">
        <v>0.75819999999999999</v>
      </c>
      <c r="E744">
        <v>0.79979999999999996</v>
      </c>
      <c r="F744">
        <v>657504.59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-0.16633266533066191</v>
      </c>
      <c r="Q744">
        <f t="shared" si="1000"/>
        <v>-109364.49092184406</v>
      </c>
      <c r="R744">
        <f t="shared" si="1001"/>
        <v>2359075.6283720909</v>
      </c>
      <c r="S744">
        <f t="shared" si="1002"/>
        <v>23.590756283720907</v>
      </c>
      <c r="T744">
        <f t="shared" si="1003"/>
        <v>2.3590756283720905E-2</v>
      </c>
    </row>
    <row r="745" spans="1:20" x14ac:dyDescent="0.25">
      <c r="A745" s="5">
        <v>43848</v>
      </c>
      <c r="B745">
        <v>0.88500000000000001</v>
      </c>
      <c r="C745">
        <v>0.89749999999999996</v>
      </c>
      <c r="D745">
        <v>0.80800000000000005</v>
      </c>
      <c r="E745">
        <v>0.83919999999999995</v>
      </c>
      <c r="F745">
        <v>643818.62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-0.30279329608938715</v>
      </c>
      <c r="Q745">
        <f t="shared" si="1000"/>
        <v>-194943.96203352063</v>
      </c>
      <c r="R745">
        <f t="shared" si="1001"/>
        <v>2468440.1192939351</v>
      </c>
      <c r="S745">
        <f t="shared" si="1002"/>
        <v>24.684401192939351</v>
      </c>
      <c r="T745">
        <f t="shared" si="1003"/>
        <v>2.468440119293935E-2</v>
      </c>
    </row>
    <row r="746" spans="1:20" x14ac:dyDescent="0.25">
      <c r="A746" s="5">
        <v>43847</v>
      </c>
      <c r="B746">
        <v>0.77490000000000003</v>
      </c>
      <c r="C746">
        <v>0.89600000000000002</v>
      </c>
      <c r="D746">
        <v>0.75900000000000001</v>
      </c>
      <c r="E746">
        <v>0.88500000000000001</v>
      </c>
      <c r="F746">
        <v>823099.54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0.83941605839416045</v>
      </c>
      <c r="Q746">
        <f t="shared" si="1000"/>
        <v>690922.97153284668</v>
      </c>
      <c r="R746">
        <f t="shared" si="1001"/>
        <v>2663384.0813274556</v>
      </c>
      <c r="S746">
        <f t="shared" si="1002"/>
        <v>26.633840813274556</v>
      </c>
      <c r="T746">
        <f t="shared" si="1003"/>
        <v>2.6633840813274558E-2</v>
      </c>
    </row>
    <row r="747" spans="1:20" x14ac:dyDescent="0.25">
      <c r="A747" s="5">
        <v>43846</v>
      </c>
      <c r="B747">
        <v>0.79730000000000001</v>
      </c>
      <c r="C747">
        <v>0.79979999999999996</v>
      </c>
      <c r="D747">
        <v>0.74270000000000003</v>
      </c>
      <c r="E747">
        <v>0.77490000000000003</v>
      </c>
      <c r="F747">
        <v>337996.62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0.12784588441331163</v>
      </c>
      <c r="Q747">
        <f t="shared" si="1000"/>
        <v>43211.47681261001</v>
      </c>
      <c r="R747">
        <f t="shared" si="1001"/>
        <v>1972461.1097946088</v>
      </c>
      <c r="S747">
        <f t="shared" si="1002"/>
        <v>19.724611097946088</v>
      </c>
      <c r="T747">
        <f t="shared" si="1003"/>
        <v>1.9724611097946088E-2</v>
      </c>
    </row>
    <row r="748" spans="1:20" x14ac:dyDescent="0.25">
      <c r="A748" s="5">
        <v>43845</v>
      </c>
      <c r="B748">
        <v>0.73209999999999997</v>
      </c>
      <c r="C748">
        <v>0.82410000000000005</v>
      </c>
      <c r="D748">
        <v>0.72650000000000003</v>
      </c>
      <c r="E748">
        <v>0.79590000000000005</v>
      </c>
      <c r="F748">
        <v>915880.84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0.42213114754098369</v>
      </c>
      <c r="Q748">
        <f t="shared" si="1000"/>
        <v>386621.83000000007</v>
      </c>
      <c r="R748">
        <f t="shared" si="1001"/>
        <v>1929249.6329819988</v>
      </c>
      <c r="S748">
        <f t="shared" si="1002"/>
        <v>19.29249632981999</v>
      </c>
      <c r="T748">
        <f t="shared" si="1003"/>
        <v>1.929249632981999E-2</v>
      </c>
    </row>
    <row r="749" spans="1:20" x14ac:dyDescent="0.25">
      <c r="A749" s="5">
        <v>43844</v>
      </c>
      <c r="B749">
        <v>0.67</v>
      </c>
      <c r="C749">
        <v>0.74760000000000004</v>
      </c>
      <c r="D749">
        <v>0.66959999999999997</v>
      </c>
      <c r="E749">
        <v>0.73499999999999999</v>
      </c>
      <c r="F749">
        <v>654940.43999999994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0.67692307692307574</v>
      </c>
      <c r="Q749">
        <f t="shared" si="1000"/>
        <v>443344.29784615303</v>
      </c>
      <c r="R749">
        <f t="shared" si="1001"/>
        <v>1542627.8029819988</v>
      </c>
      <c r="S749">
        <f t="shared" si="1002"/>
        <v>15.426278029819988</v>
      </c>
      <c r="T749">
        <f t="shared" si="1003"/>
        <v>1.5426278029819988E-2</v>
      </c>
    </row>
    <row r="750" spans="1:20" x14ac:dyDescent="0.25">
      <c r="A750" s="5">
        <v>43843</v>
      </c>
      <c r="B750">
        <v>0.69420000000000004</v>
      </c>
      <c r="C750">
        <v>0.69679999999999997</v>
      </c>
      <c r="D750">
        <v>0.65739999999999998</v>
      </c>
      <c r="E750">
        <v>0.66690000000000005</v>
      </c>
      <c r="F750">
        <v>111578.28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-0.5177664974619256</v>
      </c>
      <c r="Q750">
        <f t="shared" si="1000"/>
        <v>-57771.495228426022</v>
      </c>
      <c r="R750">
        <f t="shared" si="1001"/>
        <v>1099283.5051358456</v>
      </c>
      <c r="S750">
        <f t="shared" si="1002"/>
        <v>10.992835051358457</v>
      </c>
      <c r="T750">
        <f t="shared" si="1003"/>
        <v>1.0992835051358457E-2</v>
      </c>
    </row>
    <row r="751" spans="1:20" x14ac:dyDescent="0.25">
      <c r="A751" s="5">
        <v>43842</v>
      </c>
      <c r="B751">
        <v>0.67</v>
      </c>
      <c r="C751">
        <v>0.69430000000000003</v>
      </c>
      <c r="D751">
        <v>0.66500000000000004</v>
      </c>
      <c r="E751">
        <v>0.69430000000000003</v>
      </c>
      <c r="F751">
        <v>120126.79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1</v>
      </c>
      <c r="Q751">
        <f t="shared" si="1000"/>
        <v>120126.79</v>
      </c>
      <c r="R751">
        <f t="shared" si="1001"/>
        <v>1157055.0003642717</v>
      </c>
      <c r="S751">
        <f t="shared" si="1002"/>
        <v>11.570550003642717</v>
      </c>
      <c r="T751">
        <f t="shared" si="1003"/>
        <v>1.1570550003642717E-2</v>
      </c>
    </row>
    <row r="752" spans="1:20" x14ac:dyDescent="0.25">
      <c r="A752" s="5">
        <v>43841</v>
      </c>
      <c r="B752">
        <v>0.65590000000000004</v>
      </c>
      <c r="C752">
        <v>0.68910000000000005</v>
      </c>
      <c r="D752">
        <v>0.65139999999999998</v>
      </c>
      <c r="E752">
        <v>0.67010000000000003</v>
      </c>
      <c r="F752">
        <v>185337.7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-7.9575596816967228E-3</v>
      </c>
      <c r="Q752">
        <f t="shared" si="1000"/>
        <v>-1474.8358090184029</v>
      </c>
      <c r="R752">
        <f t="shared" si="1001"/>
        <v>1036928.2103642717</v>
      </c>
      <c r="S752">
        <f t="shared" si="1002"/>
        <v>10.369282103642716</v>
      </c>
      <c r="T752">
        <f t="shared" si="1003"/>
        <v>1.0369282103642716E-2</v>
      </c>
    </row>
    <row r="753" spans="1:20" x14ac:dyDescent="0.25">
      <c r="A753" s="5">
        <v>43840</v>
      </c>
      <c r="B753">
        <v>0.64049999999999996</v>
      </c>
      <c r="C753">
        <v>0.66669999999999996</v>
      </c>
      <c r="D753">
        <v>0.62970000000000004</v>
      </c>
      <c r="E753">
        <v>0.65590000000000004</v>
      </c>
      <c r="F753">
        <v>197034.72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0.41621621621621929</v>
      </c>
      <c r="Q753">
        <f t="shared" si="1000"/>
        <v>82009.045621622223</v>
      </c>
      <c r="R753">
        <f t="shared" si="1001"/>
        <v>1038403.04617329</v>
      </c>
      <c r="S753">
        <f t="shared" si="1002"/>
        <v>10.3840304617329</v>
      </c>
      <c r="T753">
        <f t="shared" si="1003"/>
        <v>1.0384030461732901E-2</v>
      </c>
    </row>
    <row r="754" spans="1:20" x14ac:dyDescent="0.25">
      <c r="A754" s="5">
        <v>43839</v>
      </c>
      <c r="B754">
        <v>0.65700000000000003</v>
      </c>
      <c r="C754">
        <v>0.65700000000000003</v>
      </c>
      <c r="D754">
        <v>0.63080000000000003</v>
      </c>
      <c r="E754">
        <v>0.63729999999999998</v>
      </c>
      <c r="F754">
        <v>104866.96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-0.50381679389313361</v>
      </c>
      <c r="Q754">
        <f t="shared" si="1000"/>
        <v>-52833.735572519487</v>
      </c>
      <c r="R754">
        <f t="shared" si="1001"/>
        <v>956394.00055166776</v>
      </c>
      <c r="S754">
        <f t="shared" si="1002"/>
        <v>9.5639400055166774</v>
      </c>
      <c r="T754">
        <f t="shared" si="1003"/>
        <v>9.5639400055166773E-3</v>
      </c>
    </row>
    <row r="755" spans="1:20" x14ac:dyDescent="0.25">
      <c r="A755" s="5">
        <v>43838</v>
      </c>
      <c r="B755">
        <v>0.67549999999999999</v>
      </c>
      <c r="C755">
        <v>0.69259999999999999</v>
      </c>
      <c r="D755">
        <v>0.63829999999999998</v>
      </c>
      <c r="E755">
        <v>0.6603</v>
      </c>
      <c r="F755">
        <v>254464.67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-0.18968692449355384</v>
      </c>
      <c r="Q755">
        <f t="shared" si="1000"/>
        <v>-48268.620644567098</v>
      </c>
      <c r="R755">
        <f t="shared" si="1001"/>
        <v>1009227.7361241872</v>
      </c>
      <c r="S755">
        <f t="shared" si="1002"/>
        <v>10.092277361241873</v>
      </c>
      <c r="T755">
        <f t="shared" si="1003"/>
        <v>1.0092277361241873E-2</v>
      </c>
    </row>
    <row r="756" spans="1:20" x14ac:dyDescent="0.25">
      <c r="A756" s="5">
        <v>43837</v>
      </c>
      <c r="B756">
        <v>0.68569999999999998</v>
      </c>
      <c r="C756">
        <v>0.6976</v>
      </c>
      <c r="D756">
        <v>0.66449999999999998</v>
      </c>
      <c r="E756">
        <v>0.67059999999999997</v>
      </c>
      <c r="F756">
        <v>254152.38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-0.63141993957703979</v>
      </c>
      <c r="Q756">
        <f t="shared" si="1000"/>
        <v>-160476.88042296085</v>
      </c>
      <c r="R756">
        <f t="shared" si="1001"/>
        <v>1057496.3567687543</v>
      </c>
      <c r="S756">
        <f t="shared" si="1002"/>
        <v>10.574963567687544</v>
      </c>
      <c r="T756">
        <f t="shared" si="1003"/>
        <v>1.0574963567687544E-2</v>
      </c>
    </row>
    <row r="757" spans="1:20" x14ac:dyDescent="0.25">
      <c r="A757" s="5">
        <v>43836</v>
      </c>
      <c r="B757">
        <v>0.63490000000000002</v>
      </c>
      <c r="C757">
        <v>0.68640000000000001</v>
      </c>
      <c r="D757">
        <v>0.63249999999999995</v>
      </c>
      <c r="E757">
        <v>0.68640000000000001</v>
      </c>
      <c r="F757">
        <v>238420.06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1</v>
      </c>
      <c r="Q757">
        <f t="shared" si="1000"/>
        <v>238420.06</v>
      </c>
      <c r="R757">
        <f t="shared" si="1001"/>
        <v>1217973.2371917153</v>
      </c>
      <c r="S757">
        <f t="shared" si="1002"/>
        <v>12.179732371917153</v>
      </c>
      <c r="T757">
        <f t="shared" si="1003"/>
        <v>1.2179732371917152E-2</v>
      </c>
    </row>
    <row r="758" spans="1:20" x14ac:dyDescent="0.25">
      <c r="A758" s="5">
        <v>43835</v>
      </c>
      <c r="B758">
        <v>0.62819999999999998</v>
      </c>
      <c r="C758">
        <v>0.65</v>
      </c>
      <c r="D758">
        <v>0.62780000000000002</v>
      </c>
      <c r="E758">
        <v>0.63670000000000004</v>
      </c>
      <c r="F758">
        <v>98775.38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-0.1981981981981964</v>
      </c>
      <c r="Q758">
        <f t="shared" si="1000"/>
        <v>-19577.102342342165</v>
      </c>
      <c r="R758">
        <f t="shared" si="1001"/>
        <v>979553.17719171522</v>
      </c>
      <c r="S758">
        <f t="shared" si="1002"/>
        <v>9.7955317719171529</v>
      </c>
      <c r="T758">
        <f t="shared" si="1003"/>
        <v>9.7955317719171531E-3</v>
      </c>
    </row>
    <row r="759" spans="1:20" x14ac:dyDescent="0.25">
      <c r="A759" s="5">
        <v>43834</v>
      </c>
      <c r="B759">
        <v>0.627</v>
      </c>
      <c r="C759">
        <v>0.65</v>
      </c>
      <c r="D759">
        <v>0.6169</v>
      </c>
      <c r="E759">
        <v>0.62460000000000004</v>
      </c>
      <c r="F759">
        <v>83724.160000000003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-0.53474320241691631</v>
      </c>
      <c r="Q759">
        <f t="shared" si="1000"/>
        <v>-44770.92543806629</v>
      </c>
      <c r="R759">
        <f t="shared" si="1001"/>
        <v>999130.27953405736</v>
      </c>
      <c r="S759">
        <f t="shared" si="1002"/>
        <v>9.9913027953405731</v>
      </c>
      <c r="T759">
        <f t="shared" si="1003"/>
        <v>9.9913027953405734E-3</v>
      </c>
    </row>
    <row r="760" spans="1:20" x14ac:dyDescent="0.25">
      <c r="A760" s="5">
        <v>43833</v>
      </c>
      <c r="B760">
        <v>0.59319999999999995</v>
      </c>
      <c r="C760">
        <v>0.62670000000000003</v>
      </c>
      <c r="D760">
        <v>0.5837</v>
      </c>
      <c r="E760">
        <v>0.62480000000000002</v>
      </c>
      <c r="F760">
        <v>143389.21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0.91162790697674367</v>
      </c>
      <c r="Q760">
        <f t="shared" si="1000"/>
        <v>130717.60539534876</v>
      </c>
      <c r="R760">
        <f t="shared" si="1001"/>
        <v>1043901.2049721236</v>
      </c>
      <c r="S760">
        <f t="shared" si="1002"/>
        <v>10.439012049721237</v>
      </c>
      <c r="T760">
        <f t="shared" si="1003"/>
        <v>1.0439012049721237E-2</v>
      </c>
    </row>
    <row r="761" spans="1:20" x14ac:dyDescent="0.25">
      <c r="A761" s="5">
        <v>43832</v>
      </c>
      <c r="B761">
        <v>0.62190000000000001</v>
      </c>
      <c r="C761">
        <v>0.62519999999999998</v>
      </c>
      <c r="D761">
        <v>0.58509999999999995</v>
      </c>
      <c r="E761">
        <v>0.59499999999999997</v>
      </c>
      <c r="F761">
        <v>188603.7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-0.50623441396508662</v>
      </c>
      <c r="Q761">
        <f t="shared" si="1000"/>
        <v>-95477.683541147009</v>
      </c>
      <c r="R761">
        <f t="shared" si="1001"/>
        <v>913183.59957677487</v>
      </c>
      <c r="S761">
        <f t="shared" si="1002"/>
        <v>9.131835995767748</v>
      </c>
      <c r="T761">
        <f t="shared" si="1003"/>
        <v>9.1318359957677474E-3</v>
      </c>
    </row>
    <row r="762" spans="1:20" x14ac:dyDescent="0.25">
      <c r="A762" s="5">
        <v>43831</v>
      </c>
      <c r="B762">
        <v>0.6048</v>
      </c>
      <c r="C762">
        <v>0.62260000000000004</v>
      </c>
      <c r="D762">
        <v>0.60399999999999998</v>
      </c>
      <c r="E762">
        <v>0.62139999999999995</v>
      </c>
      <c r="F762">
        <v>46950.59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0.87096774193547466</v>
      </c>
      <c r="Q762">
        <f t="shared" si="1000"/>
        <v>40892.449354838274</v>
      </c>
      <c r="R762">
        <f t="shared" si="1001"/>
        <v>1008661.2831179219</v>
      </c>
      <c r="S762">
        <f t="shared" si="1002"/>
        <v>10.086612831179218</v>
      </c>
      <c r="T762">
        <f t="shared" si="1003"/>
        <v>1.0086612831179219E-2</v>
      </c>
    </row>
    <row r="763" spans="1:20" x14ac:dyDescent="0.25">
      <c r="A763" s="5">
        <v>43830</v>
      </c>
      <c r="B763">
        <v>0.61329999999999996</v>
      </c>
      <c r="C763">
        <v>0.62629999999999997</v>
      </c>
      <c r="D763">
        <v>0.60389999999999999</v>
      </c>
      <c r="E763">
        <v>0.60580000000000001</v>
      </c>
      <c r="F763">
        <v>115089.49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-0.83035714285714157</v>
      </c>
      <c r="Q763">
        <f t="shared" si="1000"/>
        <v>-95565.380089285565</v>
      </c>
      <c r="R763">
        <f t="shared" si="1001"/>
        <v>967768.83376308368</v>
      </c>
      <c r="S763">
        <f t="shared" si="1002"/>
        <v>9.6776883376308369</v>
      </c>
      <c r="T763">
        <f t="shared" si="1003"/>
        <v>9.6776883376308367E-3</v>
      </c>
    </row>
    <row r="764" spans="1:20" x14ac:dyDescent="0.25">
      <c r="A764" s="5">
        <v>43829</v>
      </c>
      <c r="B764">
        <v>0.63500000000000001</v>
      </c>
      <c r="C764">
        <v>0.64</v>
      </c>
      <c r="D764">
        <v>0.61509999999999998</v>
      </c>
      <c r="E764">
        <v>0.61509999999999998</v>
      </c>
      <c r="F764">
        <v>118509.45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-1</v>
      </c>
      <c r="Q764">
        <f t="shared" si="1000"/>
        <v>-118509.45</v>
      </c>
      <c r="R764">
        <f t="shared" si="1001"/>
        <v>1063334.2138523692</v>
      </c>
      <c r="S764">
        <f t="shared" si="1002"/>
        <v>10.633342138523693</v>
      </c>
      <c r="T764">
        <f t="shared" si="1003"/>
        <v>1.0633342138523693E-2</v>
      </c>
    </row>
    <row r="765" spans="1:20" x14ac:dyDescent="0.25">
      <c r="A765" s="5">
        <v>43828</v>
      </c>
      <c r="B765">
        <v>0.62360000000000004</v>
      </c>
      <c r="C765">
        <v>0.65059999999999996</v>
      </c>
      <c r="D765">
        <v>0.61329999999999996</v>
      </c>
      <c r="E765">
        <v>0.63729999999999998</v>
      </c>
      <c r="F765">
        <v>265742.52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0.28686327077748103</v>
      </c>
      <c r="Q765">
        <f t="shared" si="1000"/>
        <v>76231.76847185017</v>
      </c>
      <c r="R765">
        <f t="shared" si="1001"/>
        <v>1181843.6638523692</v>
      </c>
      <c r="S765">
        <f t="shared" si="1002"/>
        <v>11.818436638523691</v>
      </c>
      <c r="T765">
        <f t="shared" si="1003"/>
        <v>1.181843663852369E-2</v>
      </c>
    </row>
    <row r="766" spans="1:20" x14ac:dyDescent="0.25">
      <c r="A766" s="5">
        <v>43827</v>
      </c>
      <c r="B766">
        <v>0.62570000000000003</v>
      </c>
      <c r="C766">
        <v>0.63129999999999997</v>
      </c>
      <c r="D766">
        <v>0.61990000000000001</v>
      </c>
      <c r="E766">
        <v>0.62350000000000005</v>
      </c>
      <c r="F766">
        <v>94271.49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-0.36842105263156871</v>
      </c>
      <c r="Q766">
        <f t="shared" si="1000"/>
        <v>-34731.601578946407</v>
      </c>
      <c r="R766">
        <f t="shared" si="1001"/>
        <v>1105611.8953805191</v>
      </c>
      <c r="S766">
        <f t="shared" si="1002"/>
        <v>11.056118953805191</v>
      </c>
      <c r="T766">
        <f t="shared" si="1003"/>
        <v>1.1056118953805191E-2</v>
      </c>
    </row>
    <row r="767" spans="1:20" x14ac:dyDescent="0.25">
      <c r="A767" s="5">
        <v>43826</v>
      </c>
      <c r="B767">
        <v>0.61209999999999998</v>
      </c>
      <c r="C767">
        <v>0.62649999999999995</v>
      </c>
      <c r="D767">
        <v>0.60129999999999995</v>
      </c>
      <c r="E767">
        <v>0.62509999999999999</v>
      </c>
      <c r="F767">
        <v>123070.02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0.88888888888889228</v>
      </c>
      <c r="Q767">
        <f t="shared" ref="Q767:Q830" si="1005">F767*P767</f>
        <v>109395.57333333376</v>
      </c>
      <c r="R767">
        <f t="shared" ref="R767:R830" si="1006">R768+Q767</f>
        <v>1140343.4969594656</v>
      </c>
      <c r="S767">
        <f t="shared" ref="S767:S830" si="1007">R767/100000</f>
        <v>11.403434969594656</v>
      </c>
      <c r="T767">
        <f t="shared" ref="T767:T830" si="1008">S767/1000</f>
        <v>1.1403434969594657E-2</v>
      </c>
    </row>
    <row r="768" spans="1:20" x14ac:dyDescent="0.25">
      <c r="A768" s="5">
        <v>43825</v>
      </c>
      <c r="B768">
        <v>0.60619999999999996</v>
      </c>
      <c r="C768">
        <v>0.63219999999999998</v>
      </c>
      <c r="D768">
        <v>0.60060000000000002</v>
      </c>
      <c r="E768">
        <v>0.61280000000000001</v>
      </c>
      <c r="F768">
        <v>147496.82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-0.22784810126582256</v>
      </c>
      <c r="Q768">
        <f t="shared" si="1005"/>
        <v>-33606.870379746804</v>
      </c>
      <c r="R768">
        <f t="shared" si="1006"/>
        <v>1030947.9236261317</v>
      </c>
      <c r="S768">
        <f t="shared" si="1007"/>
        <v>10.309479236261318</v>
      </c>
      <c r="T768">
        <f t="shared" si="1008"/>
        <v>1.0309479236261318E-2</v>
      </c>
    </row>
    <row r="769" spans="1:20" x14ac:dyDescent="0.25">
      <c r="A769" s="5">
        <v>43824</v>
      </c>
      <c r="B769">
        <v>0.62229999999999996</v>
      </c>
      <c r="C769">
        <v>0.62229999999999996</v>
      </c>
      <c r="D769">
        <v>0.60399999999999998</v>
      </c>
      <c r="E769">
        <v>0.6079</v>
      </c>
      <c r="F769">
        <v>44284.160000000003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-0.57377049180327666</v>
      </c>
      <c r="Q769">
        <f t="shared" si="1005"/>
        <v>-25408.944262294994</v>
      </c>
      <c r="R769">
        <f t="shared" si="1006"/>
        <v>1064554.7940058785</v>
      </c>
      <c r="S769">
        <f t="shared" si="1007"/>
        <v>10.645547940058785</v>
      </c>
      <c r="T769">
        <f t="shared" si="1008"/>
        <v>1.0645547940058784E-2</v>
      </c>
    </row>
    <row r="770" spans="1:20" x14ac:dyDescent="0.25">
      <c r="A770" s="5">
        <v>43823</v>
      </c>
      <c r="B770">
        <v>0.62839999999999996</v>
      </c>
      <c r="C770">
        <v>0.63180000000000003</v>
      </c>
      <c r="D770">
        <v>0.61399999999999999</v>
      </c>
      <c r="E770">
        <v>0.62029999999999996</v>
      </c>
      <c r="F770">
        <v>107340.93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-0.29213483146067876</v>
      </c>
      <c r="Q770">
        <f t="shared" si="1005"/>
        <v>-31358.024494382513</v>
      </c>
      <c r="R770">
        <f t="shared" si="1006"/>
        <v>1089963.7382681735</v>
      </c>
      <c r="S770">
        <f t="shared" si="1007"/>
        <v>10.899637382681735</v>
      </c>
      <c r="T770">
        <f t="shared" si="1008"/>
        <v>1.0899637382681735E-2</v>
      </c>
    </row>
    <row r="771" spans="1:20" x14ac:dyDescent="0.25">
      <c r="A771" s="5">
        <v>43822</v>
      </c>
      <c r="B771">
        <v>0.65129999999999999</v>
      </c>
      <c r="C771">
        <v>0.66439999999999999</v>
      </c>
      <c r="D771">
        <v>0.62339999999999995</v>
      </c>
      <c r="E771">
        <v>0.63049999999999995</v>
      </c>
      <c r="F771">
        <v>145977.93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-0.65365853658536643</v>
      </c>
      <c r="Q771">
        <f t="shared" si="1005"/>
        <v>-95419.720097561061</v>
      </c>
      <c r="R771">
        <f t="shared" si="1006"/>
        <v>1121321.7627625561</v>
      </c>
      <c r="S771">
        <f t="shared" si="1007"/>
        <v>11.213217627625561</v>
      </c>
      <c r="T771">
        <f t="shared" si="1008"/>
        <v>1.121321762762556E-2</v>
      </c>
    </row>
    <row r="772" spans="1:20" x14ac:dyDescent="0.25">
      <c r="A772" s="5">
        <v>43821</v>
      </c>
      <c r="B772">
        <v>0.64790000000000003</v>
      </c>
      <c r="C772">
        <v>0.65800000000000003</v>
      </c>
      <c r="D772">
        <v>0.64280000000000004</v>
      </c>
      <c r="E772">
        <v>0.6512</v>
      </c>
      <c r="F772">
        <v>136807.29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0.10526315789473262</v>
      </c>
      <c r="Q772">
        <f t="shared" si="1005"/>
        <v>14400.767368420475</v>
      </c>
      <c r="R772">
        <f t="shared" si="1006"/>
        <v>1216741.4828601172</v>
      </c>
      <c r="S772">
        <f t="shared" si="1007"/>
        <v>12.167414828601173</v>
      </c>
      <c r="T772">
        <f t="shared" si="1008"/>
        <v>1.2167414828601172E-2</v>
      </c>
    </row>
    <row r="773" spans="1:20" x14ac:dyDescent="0.25">
      <c r="A773" s="5">
        <v>43820</v>
      </c>
      <c r="B773">
        <v>0.65280000000000005</v>
      </c>
      <c r="C773">
        <v>0.65939999999999999</v>
      </c>
      <c r="D773">
        <v>0.6391</v>
      </c>
      <c r="E773">
        <v>0.64790000000000003</v>
      </c>
      <c r="F773">
        <v>55336.07</v>
      </c>
      <c r="G773">
        <v>0</v>
      </c>
      <c r="L773" t="s">
        <v>7</v>
      </c>
      <c r="M773" t="s">
        <v>7</v>
      </c>
      <c r="N773" t="s">
        <v>7</v>
      </c>
      <c r="P773">
        <f t="shared" si="1004"/>
        <v>-0.13300492610837078</v>
      </c>
      <c r="Q773">
        <f t="shared" si="1005"/>
        <v>-7359.9699014776334</v>
      </c>
      <c r="R773">
        <f t="shared" si="1006"/>
        <v>1202340.7154916967</v>
      </c>
      <c r="S773">
        <f t="shared" si="1007"/>
        <v>12.023407154916967</v>
      </c>
      <c r="T773">
        <f t="shared" si="1008"/>
        <v>1.2023407154916966E-2</v>
      </c>
    </row>
    <row r="774" spans="1:20" x14ac:dyDescent="0.25">
      <c r="A774" s="5">
        <v>43819</v>
      </c>
      <c r="B774">
        <v>0.63249999999999995</v>
      </c>
      <c r="C774">
        <v>0.66010000000000002</v>
      </c>
      <c r="D774">
        <v>0.62590000000000001</v>
      </c>
      <c r="E774">
        <v>0.65290000000000004</v>
      </c>
      <c r="F774">
        <v>73710.960000000006</v>
      </c>
      <c r="G774">
        <v>0</v>
      </c>
      <c r="L774" t="s">
        <v>7</v>
      </c>
      <c r="M774" t="s">
        <v>7</v>
      </c>
      <c r="N774" t="s">
        <v>7</v>
      </c>
      <c r="P774">
        <f t="shared" si="1004"/>
        <v>0.57894736842105365</v>
      </c>
      <c r="Q774">
        <f t="shared" si="1005"/>
        <v>42674.766315789551</v>
      </c>
      <c r="R774">
        <f t="shared" si="1006"/>
        <v>1209700.6853931744</v>
      </c>
      <c r="S774">
        <f t="shared" si="1007"/>
        <v>12.097006853931743</v>
      </c>
      <c r="T774">
        <f t="shared" si="1008"/>
        <v>1.2097006853931743E-2</v>
      </c>
    </row>
    <row r="775" spans="1:20" x14ac:dyDescent="0.25">
      <c r="A775" s="5">
        <v>43818</v>
      </c>
      <c r="B775">
        <v>0.65869999999999995</v>
      </c>
      <c r="C775">
        <v>0.67300000000000004</v>
      </c>
      <c r="D775">
        <v>0.62460000000000004</v>
      </c>
      <c r="E775">
        <v>0.63239999999999996</v>
      </c>
      <c r="F775">
        <v>142763.6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-0.67768595041322655</v>
      </c>
      <c r="Q775">
        <f t="shared" si="1005"/>
        <v>-96748.885950413707</v>
      </c>
      <c r="R775">
        <f t="shared" si="1006"/>
        <v>1167025.9190773848</v>
      </c>
      <c r="S775">
        <f t="shared" si="1007"/>
        <v>11.670259190773848</v>
      </c>
      <c r="T775">
        <f t="shared" si="1008"/>
        <v>1.1670259190773849E-2</v>
      </c>
    </row>
    <row r="776" spans="1:20" x14ac:dyDescent="0.25">
      <c r="A776" s="5">
        <v>43817</v>
      </c>
      <c r="B776">
        <v>0.59140000000000004</v>
      </c>
      <c r="C776">
        <v>0.6744</v>
      </c>
      <c r="D776">
        <v>0.56910000000000005</v>
      </c>
      <c r="E776">
        <v>0.65869999999999995</v>
      </c>
      <c r="F776">
        <v>421585.38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0.70180436847103411</v>
      </c>
      <c r="Q776">
        <f t="shared" si="1005"/>
        <v>295870.46136752091</v>
      </c>
      <c r="R776">
        <f t="shared" si="1006"/>
        <v>1263774.8050277985</v>
      </c>
      <c r="S776">
        <f t="shared" si="1007"/>
        <v>12.637748050277985</v>
      </c>
      <c r="T776">
        <f t="shared" si="1008"/>
        <v>1.2637748050277984E-2</v>
      </c>
    </row>
    <row r="777" spans="1:20" x14ac:dyDescent="0.25">
      <c r="A777" s="5">
        <v>43816</v>
      </c>
      <c r="B777">
        <v>0.65439999999999998</v>
      </c>
      <c r="C777">
        <v>0.65510000000000002</v>
      </c>
      <c r="D777">
        <v>0.57930000000000004</v>
      </c>
      <c r="E777">
        <v>0.59140000000000004</v>
      </c>
      <c r="F777">
        <v>365156.92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-0.68073878627968332</v>
      </c>
      <c r="Q777">
        <f t="shared" si="1005"/>
        <v>-248576.47852242741</v>
      </c>
      <c r="R777">
        <f t="shared" si="1006"/>
        <v>967904.34366027755</v>
      </c>
      <c r="S777">
        <f t="shared" si="1007"/>
        <v>9.6790434366027753</v>
      </c>
      <c r="T777">
        <f t="shared" si="1008"/>
        <v>9.6790434366027748E-3</v>
      </c>
    </row>
    <row r="778" spans="1:20" x14ac:dyDescent="0.25">
      <c r="A778" s="5">
        <v>43815</v>
      </c>
      <c r="B778">
        <v>0.70179999999999998</v>
      </c>
      <c r="C778">
        <v>0.70179999999999998</v>
      </c>
      <c r="D778">
        <v>0.63600000000000001</v>
      </c>
      <c r="E778">
        <v>0.65459999999999996</v>
      </c>
      <c r="F778">
        <v>249493.4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-0.43465045592705293</v>
      </c>
      <c r="Q778">
        <f t="shared" si="1005"/>
        <v>-108442.42006079058</v>
      </c>
      <c r="R778">
        <f t="shared" si="1006"/>
        <v>1216480.8221827049</v>
      </c>
      <c r="S778">
        <f t="shared" si="1007"/>
        <v>12.16480822182705</v>
      </c>
      <c r="T778">
        <f t="shared" si="1008"/>
        <v>1.2164808221827051E-2</v>
      </c>
    </row>
    <row r="779" spans="1:20" x14ac:dyDescent="0.25">
      <c r="A779" s="5">
        <v>43814</v>
      </c>
      <c r="B779">
        <v>0.69899999999999995</v>
      </c>
      <c r="C779">
        <v>0.70509999999999995</v>
      </c>
      <c r="D779">
        <v>0.6855</v>
      </c>
      <c r="E779">
        <v>0.70179999999999998</v>
      </c>
      <c r="F779">
        <v>54054.21</v>
      </c>
      <c r="G779">
        <v>0</v>
      </c>
      <c r="L779" t="s">
        <v>7</v>
      </c>
      <c r="M779" t="s">
        <v>8</v>
      </c>
      <c r="N779" t="s">
        <v>7</v>
      </c>
      <c r="P779">
        <f t="shared" si="1004"/>
        <v>0.66326530612245127</v>
      </c>
      <c r="Q779">
        <f t="shared" si="1005"/>
        <v>35852.282142857264</v>
      </c>
      <c r="R779">
        <f t="shared" si="1006"/>
        <v>1324923.2422434955</v>
      </c>
      <c r="S779">
        <f t="shared" si="1007"/>
        <v>13.249232422434956</v>
      </c>
      <c r="T779">
        <f t="shared" si="1008"/>
        <v>1.3249232422434955E-2</v>
      </c>
    </row>
    <row r="780" spans="1:20" x14ac:dyDescent="0.25">
      <c r="A780" s="5">
        <v>43813</v>
      </c>
      <c r="B780">
        <v>0.70909999999999995</v>
      </c>
      <c r="C780">
        <v>0.72989999999999999</v>
      </c>
      <c r="D780">
        <v>0.69159999999999999</v>
      </c>
      <c r="E780">
        <v>0.70630000000000004</v>
      </c>
      <c r="F780">
        <v>164733.47</v>
      </c>
      <c r="G780">
        <v>0</v>
      </c>
      <c r="L780" t="s">
        <v>7</v>
      </c>
      <c r="M780" t="s">
        <v>8</v>
      </c>
      <c r="N780" t="s">
        <v>7</v>
      </c>
      <c r="P780">
        <f t="shared" si="1004"/>
        <v>-0.23237597911226912</v>
      </c>
      <c r="Q780">
        <f t="shared" si="1005"/>
        <v>-38280.101383811612</v>
      </c>
      <c r="R780">
        <f t="shared" si="1006"/>
        <v>1289070.9601006382</v>
      </c>
      <c r="S780">
        <f t="shared" si="1007"/>
        <v>12.890709601006382</v>
      </c>
      <c r="T780">
        <f t="shared" si="1008"/>
        <v>1.2890709601006382E-2</v>
      </c>
    </row>
    <row r="781" spans="1:20" x14ac:dyDescent="0.25">
      <c r="A781" s="5">
        <v>43812</v>
      </c>
      <c r="B781">
        <v>0.7127</v>
      </c>
      <c r="C781">
        <v>0.72689999999999999</v>
      </c>
      <c r="D781">
        <v>0.70450000000000002</v>
      </c>
      <c r="E781">
        <v>0.70589999999999997</v>
      </c>
      <c r="F781">
        <v>105789.53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-0.87500000000000366</v>
      </c>
      <c r="Q781">
        <f t="shared" si="1005"/>
        <v>-92565.838750000388</v>
      </c>
      <c r="R781">
        <f t="shared" si="1006"/>
        <v>1327351.0614844498</v>
      </c>
      <c r="S781">
        <f t="shared" si="1007"/>
        <v>13.273510614844497</v>
      </c>
      <c r="T781">
        <f t="shared" si="1008"/>
        <v>1.3273510614844497E-2</v>
      </c>
    </row>
    <row r="782" spans="1:20" x14ac:dyDescent="0.25">
      <c r="A782" s="5">
        <v>43811</v>
      </c>
      <c r="B782">
        <v>0.71919999999999995</v>
      </c>
      <c r="C782">
        <v>0.72430000000000005</v>
      </c>
      <c r="D782">
        <v>0.7036</v>
      </c>
      <c r="E782">
        <v>0.71020000000000005</v>
      </c>
      <c r="F782">
        <v>91319.41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-0.36231884057970687</v>
      </c>
      <c r="Q782">
        <f t="shared" si="1005"/>
        <v>-33086.742753622893</v>
      </c>
      <c r="R782">
        <f t="shared" si="1006"/>
        <v>1419916.9002344501</v>
      </c>
      <c r="S782">
        <f t="shared" si="1007"/>
        <v>14.199169002344501</v>
      </c>
      <c r="T782">
        <f t="shared" si="1008"/>
        <v>1.4199169002344501E-2</v>
      </c>
    </row>
    <row r="783" spans="1:20" x14ac:dyDescent="0.25">
      <c r="A783" s="5">
        <v>43810</v>
      </c>
      <c r="B783">
        <v>0.73209999999999997</v>
      </c>
      <c r="C783">
        <v>0.74170000000000003</v>
      </c>
      <c r="D783">
        <v>0.71499999999999997</v>
      </c>
      <c r="E783">
        <v>0.71850000000000003</v>
      </c>
      <c r="F783">
        <v>89566.62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-0.73782771535580138</v>
      </c>
      <c r="Q783">
        <f t="shared" si="1005"/>
        <v>-66084.734606741229</v>
      </c>
      <c r="R783">
        <f t="shared" si="1006"/>
        <v>1453003.6429880729</v>
      </c>
      <c r="S783">
        <f t="shared" si="1007"/>
        <v>14.530036429880729</v>
      </c>
      <c r="T783">
        <f t="shared" si="1008"/>
        <v>1.453003642988073E-2</v>
      </c>
    </row>
    <row r="784" spans="1:20" x14ac:dyDescent="0.25">
      <c r="A784" s="5">
        <v>43809</v>
      </c>
      <c r="B784">
        <v>0.73240000000000005</v>
      </c>
      <c r="C784">
        <v>0.74</v>
      </c>
      <c r="D784">
        <v>0.70220000000000005</v>
      </c>
      <c r="E784">
        <v>0.73129999999999995</v>
      </c>
      <c r="F784">
        <v>95519.91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0.53968253968253688</v>
      </c>
      <c r="Q784">
        <f t="shared" si="1005"/>
        <v>51550.427619047354</v>
      </c>
      <c r="R784">
        <f t="shared" si="1006"/>
        <v>1519088.3775948142</v>
      </c>
      <c r="S784">
        <f t="shared" si="1007"/>
        <v>15.190883775948143</v>
      </c>
      <c r="T784">
        <f t="shared" si="1008"/>
        <v>1.5190883775948143E-2</v>
      </c>
    </row>
    <row r="785" spans="1:20" x14ac:dyDescent="0.25">
      <c r="A785" s="5">
        <v>43808</v>
      </c>
      <c r="B785">
        <v>0.74739999999999995</v>
      </c>
      <c r="C785">
        <v>0.76800000000000002</v>
      </c>
      <c r="D785">
        <v>0.72460000000000002</v>
      </c>
      <c r="E785">
        <v>0.73250000000000004</v>
      </c>
      <c r="F785">
        <v>128687.81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-0.63594470046082863</v>
      </c>
      <c r="Q785">
        <f t="shared" si="1005"/>
        <v>-81838.330783410027</v>
      </c>
      <c r="R785">
        <f t="shared" si="1006"/>
        <v>1467537.9499757667</v>
      </c>
      <c r="S785">
        <f t="shared" si="1007"/>
        <v>14.675379499757668</v>
      </c>
      <c r="T785">
        <f t="shared" si="1008"/>
        <v>1.4675379499757668E-2</v>
      </c>
    </row>
    <row r="786" spans="1:20" x14ac:dyDescent="0.25">
      <c r="A786" s="5">
        <v>43807</v>
      </c>
      <c r="B786">
        <v>0.74650000000000005</v>
      </c>
      <c r="C786">
        <v>0.75419999999999998</v>
      </c>
      <c r="D786">
        <v>0.73329999999999995</v>
      </c>
      <c r="E786">
        <v>0.74790000000000001</v>
      </c>
      <c r="F786">
        <v>76683.16</v>
      </c>
      <c r="G786">
        <v>0</v>
      </c>
      <c r="L786" t="s">
        <v>7</v>
      </c>
      <c r="M786" t="s">
        <v>8</v>
      </c>
      <c r="N786" t="s">
        <v>7</v>
      </c>
      <c r="P786">
        <f t="shared" si="1004"/>
        <v>0.39712918660287433</v>
      </c>
      <c r="Q786">
        <f t="shared" si="1005"/>
        <v>30453.12095693807</v>
      </c>
      <c r="R786">
        <f t="shared" si="1006"/>
        <v>1549376.2807591767</v>
      </c>
      <c r="S786">
        <f t="shared" si="1007"/>
        <v>15.493762807591768</v>
      </c>
      <c r="T786">
        <f t="shared" si="1008"/>
        <v>1.5493762807591767E-2</v>
      </c>
    </row>
    <row r="787" spans="1:20" x14ac:dyDescent="0.25">
      <c r="A787" s="5">
        <v>43806</v>
      </c>
      <c r="B787">
        <v>0.74839999999999995</v>
      </c>
      <c r="C787">
        <v>0.75609999999999999</v>
      </c>
      <c r="D787">
        <v>0.745</v>
      </c>
      <c r="E787">
        <v>0.747</v>
      </c>
      <c r="F787">
        <v>74274.83</v>
      </c>
      <c r="G787">
        <v>0</v>
      </c>
      <c r="L787" t="s">
        <v>7</v>
      </c>
      <c r="M787" t="s">
        <v>8</v>
      </c>
      <c r="N787" t="s">
        <v>7</v>
      </c>
      <c r="P787">
        <f t="shared" si="1004"/>
        <v>-0.63963963963963932</v>
      </c>
      <c r="Q787">
        <f t="shared" si="1005"/>
        <v>-47509.125495495471</v>
      </c>
      <c r="R787">
        <f t="shared" si="1006"/>
        <v>1518923.1598022387</v>
      </c>
      <c r="S787">
        <f t="shared" si="1007"/>
        <v>15.189231598022387</v>
      </c>
      <c r="T787">
        <f t="shared" si="1008"/>
        <v>1.5189231598022386E-2</v>
      </c>
    </row>
    <row r="788" spans="1:20" x14ac:dyDescent="0.25">
      <c r="A788" s="5">
        <v>43805</v>
      </c>
      <c r="B788">
        <v>0.73380000000000001</v>
      </c>
      <c r="C788">
        <v>0.75360000000000005</v>
      </c>
      <c r="D788">
        <v>0.72599999999999998</v>
      </c>
      <c r="E788">
        <v>0.75060000000000004</v>
      </c>
      <c r="F788">
        <v>107793.88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0.78260869565217428</v>
      </c>
      <c r="Q788">
        <f t="shared" si="1005"/>
        <v>84360.427826087005</v>
      </c>
      <c r="R788">
        <f t="shared" si="1006"/>
        <v>1566432.2852977342</v>
      </c>
      <c r="S788">
        <f t="shared" si="1007"/>
        <v>15.664322852977342</v>
      </c>
      <c r="T788">
        <f t="shared" si="1008"/>
        <v>1.5664322852977343E-2</v>
      </c>
    </row>
    <row r="789" spans="1:20" x14ac:dyDescent="0.25">
      <c r="A789" s="5">
        <v>43804</v>
      </c>
      <c r="B789">
        <v>0.7248</v>
      </c>
      <c r="C789">
        <v>0.73939999999999995</v>
      </c>
      <c r="D789">
        <v>0.71330000000000005</v>
      </c>
      <c r="E789">
        <v>0.73409999999999997</v>
      </c>
      <c r="F789">
        <v>156173.29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0.59386973180076696</v>
      </c>
      <c r="Q789">
        <f t="shared" si="1005"/>
        <v>92746.589846743402</v>
      </c>
      <c r="R789">
        <f t="shared" si="1006"/>
        <v>1482071.8574716472</v>
      </c>
      <c r="S789">
        <f t="shared" si="1007"/>
        <v>14.820718574716473</v>
      </c>
      <c r="T789">
        <f t="shared" si="1008"/>
        <v>1.4820718574716472E-2</v>
      </c>
    </row>
    <row r="790" spans="1:20" x14ac:dyDescent="0.25">
      <c r="A790" s="5">
        <v>43803</v>
      </c>
      <c r="B790">
        <v>0.73880000000000001</v>
      </c>
      <c r="C790">
        <v>0.77210000000000001</v>
      </c>
      <c r="D790">
        <v>0.71150000000000002</v>
      </c>
      <c r="E790">
        <v>0.72230000000000005</v>
      </c>
      <c r="F790">
        <v>200049.47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-0.64356435643564247</v>
      </c>
      <c r="Q790">
        <f t="shared" si="1005"/>
        <v>-128744.70841584136</v>
      </c>
      <c r="R790">
        <f t="shared" si="1006"/>
        <v>1389325.2676249037</v>
      </c>
      <c r="S790">
        <f t="shared" si="1007"/>
        <v>13.893252676249038</v>
      </c>
      <c r="T790">
        <f t="shared" si="1008"/>
        <v>1.3893252676249038E-2</v>
      </c>
    </row>
    <row r="791" spans="1:20" x14ac:dyDescent="0.25">
      <c r="A791" s="5">
        <v>43802</v>
      </c>
      <c r="B791">
        <v>0.73839999999999995</v>
      </c>
      <c r="C791">
        <v>0.75129999999999997</v>
      </c>
      <c r="D791">
        <v>0.72729999999999995</v>
      </c>
      <c r="E791">
        <v>0.74270000000000003</v>
      </c>
      <c r="F791">
        <v>80351.95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0.28333333333333888</v>
      </c>
      <c r="Q791">
        <f t="shared" si="1005"/>
        <v>22766.385833333778</v>
      </c>
      <c r="R791">
        <f t="shared" si="1006"/>
        <v>1518069.9760407452</v>
      </c>
      <c r="S791">
        <f t="shared" si="1007"/>
        <v>15.180699760407451</v>
      </c>
      <c r="T791">
        <f t="shared" si="1008"/>
        <v>1.5180699760407451E-2</v>
      </c>
    </row>
    <row r="792" spans="1:20" x14ac:dyDescent="0.25">
      <c r="A792" s="5">
        <v>43801</v>
      </c>
      <c r="B792">
        <v>0.74709999999999999</v>
      </c>
      <c r="C792">
        <v>0.74860000000000004</v>
      </c>
      <c r="D792">
        <v>0.72399999999999998</v>
      </c>
      <c r="E792">
        <v>0.73450000000000004</v>
      </c>
      <c r="F792">
        <v>88559.12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-0.14634146341463117</v>
      </c>
      <c r="Q792">
        <f t="shared" si="1005"/>
        <v>-12959.871219511931</v>
      </c>
      <c r="R792">
        <f t="shared" si="1006"/>
        <v>1495303.5902074114</v>
      </c>
      <c r="S792">
        <f t="shared" si="1007"/>
        <v>14.953035902074115</v>
      </c>
      <c r="T792">
        <f t="shared" si="1008"/>
        <v>1.4953035902074115E-2</v>
      </c>
    </row>
    <row r="793" spans="1:20" x14ac:dyDescent="0.25">
      <c r="A793" s="5">
        <v>43800</v>
      </c>
      <c r="B793">
        <v>0.76119999999999999</v>
      </c>
      <c r="C793">
        <v>0.77059999999999995</v>
      </c>
      <c r="D793">
        <v>0.72260000000000002</v>
      </c>
      <c r="E793">
        <v>0.74709999999999999</v>
      </c>
      <c r="F793">
        <v>212050.29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2.0833333333333381E-2</v>
      </c>
      <c r="Q793">
        <f t="shared" si="1005"/>
        <v>4417.7143750000105</v>
      </c>
      <c r="R793">
        <f t="shared" si="1006"/>
        <v>1508263.4614269233</v>
      </c>
      <c r="S793">
        <f t="shared" si="1007"/>
        <v>15.082634614269233</v>
      </c>
      <c r="T793">
        <f t="shared" si="1008"/>
        <v>1.5082634614269234E-2</v>
      </c>
    </row>
    <row r="794" spans="1:20" x14ac:dyDescent="0.25">
      <c r="A794" s="5">
        <v>43799</v>
      </c>
      <c r="B794">
        <v>0.8024</v>
      </c>
      <c r="C794">
        <v>0.80700000000000005</v>
      </c>
      <c r="D794">
        <v>0.74929999999999997</v>
      </c>
      <c r="E794">
        <v>0.76690000000000003</v>
      </c>
      <c r="F794">
        <v>167937.6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-0.38994800693240783</v>
      </c>
      <c r="Q794">
        <f t="shared" si="1005"/>
        <v>-65486.932409011933</v>
      </c>
      <c r="R794">
        <f t="shared" si="1006"/>
        <v>1503845.7470519233</v>
      </c>
      <c r="S794">
        <f t="shared" si="1007"/>
        <v>15.038457470519234</v>
      </c>
      <c r="T794">
        <f t="shared" si="1008"/>
        <v>1.5038457470519233E-2</v>
      </c>
    </row>
    <row r="795" spans="1:20" x14ac:dyDescent="0.25">
      <c r="A795" s="5">
        <v>43798</v>
      </c>
      <c r="B795">
        <v>0.77300000000000002</v>
      </c>
      <c r="C795">
        <v>0.82210000000000005</v>
      </c>
      <c r="D795">
        <v>0.77300000000000002</v>
      </c>
      <c r="E795">
        <v>0.80189999999999995</v>
      </c>
      <c r="F795">
        <v>135666.66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0.17718940936863165</v>
      </c>
      <c r="Q795">
        <f t="shared" si="1005"/>
        <v>24038.695356414966</v>
      </c>
      <c r="R795">
        <f t="shared" si="1006"/>
        <v>1569332.6794609353</v>
      </c>
      <c r="S795">
        <f t="shared" si="1007"/>
        <v>15.693326794609353</v>
      </c>
      <c r="T795">
        <f t="shared" si="1008"/>
        <v>1.5693326794609355E-2</v>
      </c>
    </row>
    <row r="796" spans="1:20" x14ac:dyDescent="0.25">
      <c r="A796" s="5">
        <v>43797</v>
      </c>
      <c r="B796">
        <v>0.76239999999999997</v>
      </c>
      <c r="C796">
        <v>0.79890000000000005</v>
      </c>
      <c r="D796">
        <v>0.76049999999999995</v>
      </c>
      <c r="E796">
        <v>0.7762</v>
      </c>
      <c r="F796">
        <v>146045.84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-0.18229166666666635</v>
      </c>
      <c r="Q796">
        <f t="shared" si="1005"/>
        <v>-26622.939583333286</v>
      </c>
      <c r="R796">
        <f t="shared" si="1006"/>
        <v>1545293.9841045204</v>
      </c>
      <c r="S796">
        <f t="shared" si="1007"/>
        <v>15.452939841045204</v>
      </c>
      <c r="T796">
        <f t="shared" si="1008"/>
        <v>1.5452939841045205E-2</v>
      </c>
    </row>
    <row r="797" spans="1:20" x14ac:dyDescent="0.25">
      <c r="A797" s="5">
        <v>43796</v>
      </c>
      <c r="B797">
        <v>0.74199999999999999</v>
      </c>
      <c r="C797">
        <v>0.78739999999999999</v>
      </c>
      <c r="D797">
        <v>0.70909999999999995</v>
      </c>
      <c r="E797">
        <v>0.76229999999999998</v>
      </c>
      <c r="F797">
        <v>277330.78999999998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0.35887611749680715</v>
      </c>
      <c r="Q797">
        <f t="shared" si="1005"/>
        <v>99527.397177522347</v>
      </c>
      <c r="R797">
        <f t="shared" si="1006"/>
        <v>1571916.9236878536</v>
      </c>
      <c r="S797">
        <f t="shared" si="1007"/>
        <v>15.719169236878535</v>
      </c>
      <c r="T797">
        <f t="shared" si="1008"/>
        <v>1.5719169236878536E-2</v>
      </c>
    </row>
    <row r="798" spans="1:20" x14ac:dyDescent="0.25">
      <c r="A798" s="5">
        <v>43795</v>
      </c>
      <c r="B798">
        <v>0.71699999999999997</v>
      </c>
      <c r="C798">
        <v>0.74850000000000005</v>
      </c>
      <c r="D798">
        <v>0.71699999999999997</v>
      </c>
      <c r="E798">
        <v>0.74339999999999995</v>
      </c>
      <c r="F798">
        <v>131805.43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0.67619047619047046</v>
      </c>
      <c r="Q798">
        <f t="shared" si="1005"/>
        <v>89125.576476189715</v>
      </c>
      <c r="R798">
        <f t="shared" si="1006"/>
        <v>1472389.5265103313</v>
      </c>
      <c r="S798">
        <f t="shared" si="1007"/>
        <v>14.723895265103312</v>
      </c>
      <c r="T798">
        <f t="shared" si="1008"/>
        <v>1.4723895265103312E-2</v>
      </c>
    </row>
    <row r="799" spans="1:20" x14ac:dyDescent="0.25">
      <c r="A799" s="5">
        <v>43794</v>
      </c>
      <c r="B799">
        <v>0.73360000000000003</v>
      </c>
      <c r="C799">
        <v>0.76229999999999998</v>
      </c>
      <c r="D799">
        <v>0.65510000000000002</v>
      </c>
      <c r="E799">
        <v>0.72019999999999995</v>
      </c>
      <c r="F799">
        <v>464537.69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0.21455223880596938</v>
      </c>
      <c r="Q799">
        <f t="shared" si="1005"/>
        <v>99667.60139925337</v>
      </c>
      <c r="R799">
        <f t="shared" si="1006"/>
        <v>1383263.9500341415</v>
      </c>
      <c r="S799">
        <f t="shared" si="1007"/>
        <v>13.832639500341415</v>
      </c>
      <c r="T799">
        <f t="shared" si="1008"/>
        <v>1.3832639500341415E-2</v>
      </c>
    </row>
    <row r="800" spans="1:20" x14ac:dyDescent="0.25">
      <c r="A800" s="5">
        <v>43793</v>
      </c>
      <c r="B800">
        <v>0.80800000000000005</v>
      </c>
      <c r="C800">
        <v>0.81200000000000006</v>
      </c>
      <c r="D800">
        <v>0.72440000000000004</v>
      </c>
      <c r="E800">
        <v>0.73440000000000005</v>
      </c>
      <c r="F800">
        <v>203430.25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-0.77168949771689477</v>
      </c>
      <c r="Q800">
        <f t="shared" si="1005"/>
        <v>-156984.98744292234</v>
      </c>
      <c r="R800">
        <f t="shared" si="1006"/>
        <v>1283596.3486348882</v>
      </c>
      <c r="S800">
        <f t="shared" si="1007"/>
        <v>12.835963486348883</v>
      </c>
      <c r="T800">
        <f t="shared" si="1008"/>
        <v>1.2835963486348882E-2</v>
      </c>
    </row>
    <row r="801" spans="1:20" x14ac:dyDescent="0.25">
      <c r="A801" s="5">
        <v>43792</v>
      </c>
      <c r="B801">
        <v>0.7702</v>
      </c>
      <c r="C801">
        <v>0.80810000000000004</v>
      </c>
      <c r="D801">
        <v>0.75329999999999997</v>
      </c>
      <c r="E801">
        <v>0.80800000000000005</v>
      </c>
      <c r="F801">
        <v>111977.68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0.99635036496350404</v>
      </c>
      <c r="Q801">
        <f t="shared" si="1005"/>
        <v>111569.00233576646</v>
      </c>
      <c r="R801">
        <f t="shared" si="1006"/>
        <v>1440581.3360778105</v>
      </c>
      <c r="S801">
        <f t="shared" si="1007"/>
        <v>14.405813360778104</v>
      </c>
      <c r="T801">
        <f t="shared" si="1008"/>
        <v>1.4405813360778105E-2</v>
      </c>
    </row>
    <row r="802" spans="1:20" x14ac:dyDescent="0.25">
      <c r="A802" s="5">
        <v>43791</v>
      </c>
      <c r="B802">
        <v>0.82169999999999999</v>
      </c>
      <c r="C802">
        <v>0.83309999999999995</v>
      </c>
      <c r="D802">
        <v>0.72</v>
      </c>
      <c r="E802">
        <v>0.77680000000000005</v>
      </c>
      <c r="F802">
        <v>440479.9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4.4208664898334844E-3</v>
      </c>
      <c r="Q802">
        <f t="shared" si="1005"/>
        <v>1947.3028293552043</v>
      </c>
      <c r="R802">
        <f t="shared" si="1006"/>
        <v>1329012.3337420439</v>
      </c>
      <c r="S802">
        <f t="shared" si="1007"/>
        <v>13.290123337420439</v>
      </c>
      <c r="T802">
        <f t="shared" si="1008"/>
        <v>1.329012333742044E-2</v>
      </c>
    </row>
    <row r="803" spans="1:20" x14ac:dyDescent="0.25">
      <c r="A803" s="5">
        <v>43790</v>
      </c>
      <c r="B803">
        <v>0.88639999999999997</v>
      </c>
      <c r="C803">
        <v>0.89100000000000001</v>
      </c>
      <c r="D803">
        <v>0.77659999999999996</v>
      </c>
      <c r="E803">
        <v>0.82169999999999999</v>
      </c>
      <c r="F803">
        <v>214742.84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-0.21153846153846143</v>
      </c>
      <c r="Q803">
        <f t="shared" si="1005"/>
        <v>-45426.369999999974</v>
      </c>
      <c r="R803">
        <f t="shared" si="1006"/>
        <v>1327065.0309126887</v>
      </c>
      <c r="S803">
        <f t="shared" si="1007"/>
        <v>13.270650309126887</v>
      </c>
      <c r="T803">
        <f t="shared" si="1008"/>
        <v>1.3270650309126887E-2</v>
      </c>
    </row>
    <row r="804" spans="1:20" x14ac:dyDescent="0.25">
      <c r="A804" s="5">
        <v>43789</v>
      </c>
      <c r="B804">
        <v>0.89300000000000002</v>
      </c>
      <c r="C804">
        <v>0.9204</v>
      </c>
      <c r="D804">
        <v>0.88270000000000004</v>
      </c>
      <c r="E804">
        <v>0.88780000000000003</v>
      </c>
      <c r="F804">
        <v>152035.75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-0.72944297082228116</v>
      </c>
      <c r="Q804">
        <f t="shared" si="1005"/>
        <v>-110901.40915119363</v>
      </c>
      <c r="R804">
        <f t="shared" si="1006"/>
        <v>1372491.4009126886</v>
      </c>
      <c r="S804">
        <f t="shared" si="1007"/>
        <v>13.724914009126886</v>
      </c>
      <c r="T804">
        <f t="shared" si="1008"/>
        <v>1.3724914009126886E-2</v>
      </c>
    </row>
    <row r="805" spans="1:20" x14ac:dyDescent="0.25">
      <c r="A805" s="5">
        <v>43788</v>
      </c>
      <c r="B805">
        <v>0.93859999999999999</v>
      </c>
      <c r="C805">
        <v>0.93959999999999999</v>
      </c>
      <c r="D805">
        <v>0.86860000000000004</v>
      </c>
      <c r="E805">
        <v>0.89570000000000005</v>
      </c>
      <c r="F805">
        <v>444704.37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-0.23661971830985828</v>
      </c>
      <c r="Q805">
        <f t="shared" si="1005"/>
        <v>-105225.82276056299</v>
      </c>
      <c r="R805">
        <f t="shared" si="1006"/>
        <v>1483392.8100638823</v>
      </c>
      <c r="S805">
        <f t="shared" si="1007"/>
        <v>14.833928100638822</v>
      </c>
      <c r="T805">
        <f t="shared" si="1008"/>
        <v>1.4833928100638822E-2</v>
      </c>
    </row>
    <row r="806" spans="1:20" x14ac:dyDescent="0.25">
      <c r="A806" s="5">
        <v>43787</v>
      </c>
      <c r="B806">
        <v>1.018</v>
      </c>
      <c r="C806">
        <v>1.0259</v>
      </c>
      <c r="D806">
        <v>0.90380000000000005</v>
      </c>
      <c r="E806">
        <v>0.93869999999999998</v>
      </c>
      <c r="F806">
        <v>344773.82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-0.42833742833742938</v>
      </c>
      <c r="Q806">
        <f t="shared" si="1005"/>
        <v>-147679.53141687179</v>
      </c>
      <c r="R806">
        <f t="shared" si="1006"/>
        <v>1588618.6328244451</v>
      </c>
      <c r="S806">
        <f t="shared" si="1007"/>
        <v>15.886186328244451</v>
      </c>
      <c r="T806">
        <f t="shared" si="1008"/>
        <v>1.5886186328244449E-2</v>
      </c>
    </row>
    <row r="807" spans="1:20" x14ac:dyDescent="0.25">
      <c r="A807" s="5">
        <v>43786</v>
      </c>
      <c r="B807">
        <v>1.0423</v>
      </c>
      <c r="C807">
        <v>1.0441</v>
      </c>
      <c r="D807">
        <v>0.98670000000000002</v>
      </c>
      <c r="E807">
        <v>1.0247999999999999</v>
      </c>
      <c r="F807">
        <v>260826.57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0.32752613240417794</v>
      </c>
      <c r="Q807">
        <f t="shared" si="1005"/>
        <v>85427.517700347584</v>
      </c>
      <c r="R807">
        <f t="shared" si="1006"/>
        <v>1736298.164241317</v>
      </c>
      <c r="S807">
        <f t="shared" si="1007"/>
        <v>17.362981642413171</v>
      </c>
      <c r="T807">
        <f t="shared" si="1008"/>
        <v>1.7362981642413171E-2</v>
      </c>
    </row>
    <row r="808" spans="1:20" x14ac:dyDescent="0.25">
      <c r="A808" s="5">
        <v>43785</v>
      </c>
      <c r="B808">
        <v>1.0073000000000001</v>
      </c>
      <c r="C808">
        <v>1.0779000000000001</v>
      </c>
      <c r="D808">
        <v>0.99390000000000001</v>
      </c>
      <c r="E808">
        <v>1.0449999999999999</v>
      </c>
      <c r="F808">
        <v>397773.85</v>
      </c>
      <c r="G808">
        <v>0</v>
      </c>
      <c r="L808" t="s">
        <v>7</v>
      </c>
      <c r="M808" t="s">
        <v>8</v>
      </c>
      <c r="N808" t="s">
        <v>8</v>
      </c>
      <c r="P808">
        <f t="shared" si="1004"/>
        <v>0.21666666666666376</v>
      </c>
      <c r="Q808">
        <f t="shared" si="1005"/>
        <v>86184.334166665503</v>
      </c>
      <c r="R808">
        <f t="shared" si="1006"/>
        <v>1650870.6465409694</v>
      </c>
      <c r="S808">
        <f t="shared" si="1007"/>
        <v>16.508706465409695</v>
      </c>
      <c r="T808">
        <f t="shared" si="1008"/>
        <v>1.6508706465409695E-2</v>
      </c>
    </row>
    <row r="809" spans="1:20" x14ac:dyDescent="0.25">
      <c r="A809" s="5">
        <v>43784</v>
      </c>
      <c r="B809">
        <v>1.0149999999999999</v>
      </c>
      <c r="C809">
        <v>1.1198999999999999</v>
      </c>
      <c r="D809">
        <v>0.94</v>
      </c>
      <c r="E809">
        <v>1.0066999999999999</v>
      </c>
      <c r="F809">
        <v>760693.49</v>
      </c>
      <c r="G809">
        <v>0</v>
      </c>
      <c r="L809" t="s">
        <v>8</v>
      </c>
      <c r="M809" t="s">
        <v>8</v>
      </c>
      <c r="N809" t="s">
        <v>8</v>
      </c>
      <c r="P809">
        <f t="shared" si="1004"/>
        <v>-0.25847693162868257</v>
      </c>
      <c r="Q809">
        <f t="shared" si="1005"/>
        <v>-196621.71920511391</v>
      </c>
      <c r="R809">
        <f t="shared" si="1006"/>
        <v>1564686.3123743038</v>
      </c>
      <c r="S809">
        <f t="shared" si="1007"/>
        <v>15.646863123743039</v>
      </c>
      <c r="T809">
        <f t="shared" si="1008"/>
        <v>1.5646863123743037E-2</v>
      </c>
    </row>
    <row r="810" spans="1:20" x14ac:dyDescent="0.25">
      <c r="A810" s="5">
        <v>43783</v>
      </c>
      <c r="B810">
        <v>0.98</v>
      </c>
      <c r="C810">
        <v>1.0386</v>
      </c>
      <c r="D810">
        <v>0.95120000000000005</v>
      </c>
      <c r="E810">
        <v>1.0126999999999999</v>
      </c>
      <c r="F810">
        <v>271662.38</v>
      </c>
      <c r="G810">
        <v>0</v>
      </c>
      <c r="L810" t="s">
        <v>8</v>
      </c>
      <c r="M810" t="s">
        <v>7</v>
      </c>
      <c r="N810" t="s">
        <v>8</v>
      </c>
      <c r="P810">
        <f t="shared" si="1004"/>
        <v>0.40732265446224125</v>
      </c>
      <c r="Q810">
        <f t="shared" si="1005"/>
        <v>110654.24173913008</v>
      </c>
      <c r="R810">
        <f t="shared" si="1006"/>
        <v>1761308.0315794176</v>
      </c>
      <c r="S810">
        <f t="shared" si="1007"/>
        <v>17.613080315794175</v>
      </c>
      <c r="T810">
        <f t="shared" si="1008"/>
        <v>1.7613080315794175E-2</v>
      </c>
    </row>
    <row r="811" spans="1:20" x14ac:dyDescent="0.25">
      <c r="A811" s="5">
        <v>43782</v>
      </c>
      <c r="B811">
        <v>0.96499999999999997</v>
      </c>
      <c r="C811">
        <v>0.99929999999999997</v>
      </c>
      <c r="D811">
        <v>0.94940000000000002</v>
      </c>
      <c r="E811">
        <v>0.97989999999999999</v>
      </c>
      <c r="F811">
        <v>277576.74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0.22244488977955934</v>
      </c>
      <c r="Q811">
        <f t="shared" si="1005"/>
        <v>61745.527334669401</v>
      </c>
      <c r="R811">
        <f t="shared" si="1006"/>
        <v>1650653.7898402875</v>
      </c>
      <c r="S811">
        <f t="shared" si="1007"/>
        <v>16.506537898402875</v>
      </c>
      <c r="T811">
        <f t="shared" si="1008"/>
        <v>1.6506537898402875E-2</v>
      </c>
    </row>
    <row r="812" spans="1:20" x14ac:dyDescent="0.25">
      <c r="A812" s="5">
        <v>43781</v>
      </c>
      <c r="B812">
        <v>0.94910000000000005</v>
      </c>
      <c r="C812">
        <v>1.0489999999999999</v>
      </c>
      <c r="D812">
        <v>0.94059999999999999</v>
      </c>
      <c r="E812">
        <v>0.96299999999999997</v>
      </c>
      <c r="F812">
        <v>305098.43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-0.58671586715867186</v>
      </c>
      <c r="Q812">
        <f t="shared" si="1005"/>
        <v>-179006.08992619935</v>
      </c>
      <c r="R812">
        <f t="shared" si="1006"/>
        <v>1588908.2625056182</v>
      </c>
      <c r="S812">
        <f t="shared" si="1007"/>
        <v>15.889082625056181</v>
      </c>
      <c r="T812">
        <f t="shared" si="1008"/>
        <v>1.5889082625056183E-2</v>
      </c>
    </row>
    <row r="813" spans="1:20" x14ac:dyDescent="0.25">
      <c r="A813" s="5">
        <v>43780</v>
      </c>
      <c r="B813">
        <v>1.0068999999999999</v>
      </c>
      <c r="C813">
        <v>1.008</v>
      </c>
      <c r="D813">
        <v>0.92159999999999997</v>
      </c>
      <c r="E813">
        <v>0.9516</v>
      </c>
      <c r="F813">
        <v>241439.19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-0.30555555555555519</v>
      </c>
      <c r="Q813">
        <f t="shared" si="1005"/>
        <v>-73773.085833333243</v>
      </c>
      <c r="R813">
        <f t="shared" si="1006"/>
        <v>1767914.3524318174</v>
      </c>
      <c r="S813">
        <f t="shared" si="1007"/>
        <v>17.679143524318174</v>
      </c>
      <c r="T813">
        <f t="shared" si="1008"/>
        <v>1.7679143524318174E-2</v>
      </c>
    </row>
    <row r="814" spans="1:20" x14ac:dyDescent="0.25">
      <c r="A814" s="5">
        <v>43779</v>
      </c>
      <c r="B814">
        <v>0.96350000000000002</v>
      </c>
      <c r="C814">
        <v>1.0283</v>
      </c>
      <c r="D814">
        <v>0.94789999999999996</v>
      </c>
      <c r="E814">
        <v>1.0064</v>
      </c>
      <c r="F814">
        <v>195987.78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0.45522388059701435</v>
      </c>
      <c r="Q814">
        <f t="shared" si="1005"/>
        <v>89218.317761193917</v>
      </c>
      <c r="R814">
        <f t="shared" si="1006"/>
        <v>1841687.4382651506</v>
      </c>
      <c r="S814">
        <f t="shared" si="1007"/>
        <v>18.416874382651507</v>
      </c>
      <c r="T814">
        <f t="shared" si="1008"/>
        <v>1.8416874382651507E-2</v>
      </c>
    </row>
    <row r="815" spans="1:20" x14ac:dyDescent="0.25">
      <c r="A815" s="5">
        <v>43778</v>
      </c>
      <c r="B815">
        <v>0.95750000000000002</v>
      </c>
      <c r="C815">
        <v>0.97019999999999995</v>
      </c>
      <c r="D815">
        <v>0.94220000000000004</v>
      </c>
      <c r="E815">
        <v>0.96220000000000006</v>
      </c>
      <c r="F815">
        <v>82363.75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0.42857142857143421</v>
      </c>
      <c r="Q815">
        <f t="shared" si="1005"/>
        <v>35298.750000000466</v>
      </c>
      <c r="R815">
        <f t="shared" si="1006"/>
        <v>1752469.1205039567</v>
      </c>
      <c r="S815">
        <f t="shared" si="1007"/>
        <v>17.524691205039566</v>
      </c>
      <c r="T815">
        <f t="shared" si="1008"/>
        <v>1.7524691205039567E-2</v>
      </c>
    </row>
    <row r="816" spans="1:20" x14ac:dyDescent="0.25">
      <c r="A816" s="5">
        <v>43777</v>
      </c>
      <c r="B816">
        <v>0.99529999999999996</v>
      </c>
      <c r="C816">
        <v>1.0055000000000001</v>
      </c>
      <c r="D816">
        <v>0.92500000000000004</v>
      </c>
      <c r="E816">
        <v>0.95740000000000003</v>
      </c>
      <c r="F816">
        <v>237588.57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-0.19503105590062167</v>
      </c>
      <c r="Q816">
        <f t="shared" si="1005"/>
        <v>-46337.149677018766</v>
      </c>
      <c r="R816">
        <f t="shared" si="1006"/>
        <v>1717170.3705039562</v>
      </c>
      <c r="S816">
        <f t="shared" si="1007"/>
        <v>17.171703705039562</v>
      </c>
      <c r="T816">
        <f t="shared" si="1008"/>
        <v>1.7171703705039561E-2</v>
      </c>
    </row>
    <row r="817" spans="1:20" x14ac:dyDescent="0.25">
      <c r="A817" s="5">
        <v>43776</v>
      </c>
      <c r="B817">
        <v>1.0329999999999999</v>
      </c>
      <c r="C817">
        <v>1.0436000000000001</v>
      </c>
      <c r="D817">
        <v>0.96030000000000004</v>
      </c>
      <c r="E817">
        <v>0.99550000000000005</v>
      </c>
      <c r="F817">
        <v>379273.93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-0.15486194477791135</v>
      </c>
      <c r="Q817">
        <f t="shared" si="1005"/>
        <v>-58735.098403361415</v>
      </c>
      <c r="R817">
        <f t="shared" si="1006"/>
        <v>1763507.5201809751</v>
      </c>
      <c r="S817">
        <f t="shared" si="1007"/>
        <v>17.635075201809752</v>
      </c>
      <c r="T817">
        <f t="shared" si="1008"/>
        <v>1.7635075201809753E-2</v>
      </c>
    </row>
    <row r="818" spans="1:20" x14ac:dyDescent="0.25">
      <c r="A818" s="5">
        <v>43775</v>
      </c>
      <c r="B818">
        <v>1.0246999999999999</v>
      </c>
      <c r="C818">
        <v>1.0899000000000001</v>
      </c>
      <c r="D818">
        <v>1.0132000000000001</v>
      </c>
      <c r="E818">
        <v>1.0329999999999999</v>
      </c>
      <c r="F818">
        <v>556187.63</v>
      </c>
      <c r="G818">
        <v>0</v>
      </c>
      <c r="L818" t="s">
        <v>8</v>
      </c>
      <c r="M818" t="s">
        <v>7</v>
      </c>
      <c r="N818" t="s">
        <v>8</v>
      </c>
      <c r="P818">
        <f t="shared" si="1004"/>
        <v>-0.48370273794003077</v>
      </c>
      <c r="Q818">
        <f t="shared" si="1005"/>
        <v>-269029.4794393768</v>
      </c>
      <c r="R818">
        <f t="shared" si="1006"/>
        <v>1822242.6185843365</v>
      </c>
      <c r="S818">
        <f t="shared" si="1007"/>
        <v>18.222426185843364</v>
      </c>
      <c r="T818">
        <f t="shared" si="1008"/>
        <v>1.8222426185843365E-2</v>
      </c>
    </row>
    <row r="819" spans="1:20" x14ac:dyDescent="0.25">
      <c r="A819" s="5">
        <v>43774</v>
      </c>
      <c r="B819">
        <v>0.98199999999999998</v>
      </c>
      <c r="C819">
        <v>1.0601</v>
      </c>
      <c r="D819">
        <v>0.96930000000000005</v>
      </c>
      <c r="E819">
        <v>1.0242</v>
      </c>
      <c r="F819">
        <v>279390.12</v>
      </c>
      <c r="G819">
        <v>0</v>
      </c>
      <c r="L819" t="s">
        <v>8</v>
      </c>
      <c r="M819" t="s">
        <v>7</v>
      </c>
      <c r="N819" t="s">
        <v>8</v>
      </c>
      <c r="P819">
        <f t="shared" si="1004"/>
        <v>0.20925110132158489</v>
      </c>
      <c r="Q819">
        <f t="shared" si="1005"/>
        <v>58462.690308369762</v>
      </c>
      <c r="R819">
        <f t="shared" si="1006"/>
        <v>2091272.0980237133</v>
      </c>
      <c r="S819">
        <f t="shared" si="1007"/>
        <v>20.912720980237133</v>
      </c>
      <c r="T819">
        <f t="shared" si="1008"/>
        <v>2.0912720980237134E-2</v>
      </c>
    </row>
    <row r="820" spans="1:20" x14ac:dyDescent="0.25">
      <c r="A820" s="5">
        <v>43773</v>
      </c>
      <c r="B820">
        <v>0.96020000000000005</v>
      </c>
      <c r="C820">
        <v>0.99390000000000001</v>
      </c>
      <c r="D820">
        <v>0.94499999999999995</v>
      </c>
      <c r="E820">
        <v>0.98199999999999998</v>
      </c>
      <c r="F820">
        <v>196007.81</v>
      </c>
      <c r="G820">
        <v>0</v>
      </c>
      <c r="L820" t="s">
        <v>8</v>
      </c>
      <c r="M820" t="s">
        <v>7</v>
      </c>
      <c r="N820" t="s">
        <v>8</v>
      </c>
      <c r="P820">
        <f t="shared" si="1004"/>
        <v>0.51329243353783194</v>
      </c>
      <c r="Q820">
        <f t="shared" si="1005"/>
        <v>100609.325787321</v>
      </c>
      <c r="R820">
        <f t="shared" si="1006"/>
        <v>2032809.4077153436</v>
      </c>
      <c r="S820">
        <f t="shared" si="1007"/>
        <v>20.328094077153438</v>
      </c>
      <c r="T820">
        <f t="shared" si="1008"/>
        <v>2.0328094077153438E-2</v>
      </c>
    </row>
    <row r="821" spans="1:20" x14ac:dyDescent="0.25">
      <c r="A821" s="5">
        <v>43772</v>
      </c>
      <c r="B821">
        <v>0.98799999999999999</v>
      </c>
      <c r="C821">
        <v>0.99560000000000004</v>
      </c>
      <c r="D821">
        <v>0.94410000000000005</v>
      </c>
      <c r="E821">
        <v>0.96050000000000002</v>
      </c>
      <c r="F821">
        <v>142897.01</v>
      </c>
      <c r="G821">
        <v>0</v>
      </c>
      <c r="L821" t="s">
        <v>8</v>
      </c>
      <c r="M821" t="s">
        <v>7</v>
      </c>
      <c r="N821" t="s">
        <v>8</v>
      </c>
      <c r="P821">
        <f t="shared" si="1004"/>
        <v>-0.36310679611650587</v>
      </c>
      <c r="Q821">
        <f t="shared" si="1005"/>
        <v>-51886.875475728302</v>
      </c>
      <c r="R821">
        <f t="shared" si="1006"/>
        <v>1932200.0819280227</v>
      </c>
      <c r="S821">
        <f t="shared" si="1007"/>
        <v>19.322000819280227</v>
      </c>
      <c r="T821">
        <f t="shared" si="1008"/>
        <v>1.9322000819280226E-2</v>
      </c>
    </row>
    <row r="822" spans="1:20" x14ac:dyDescent="0.25">
      <c r="A822" s="5">
        <v>43771</v>
      </c>
      <c r="B822">
        <v>0.97650000000000003</v>
      </c>
      <c r="C822">
        <v>1.0007999999999999</v>
      </c>
      <c r="D822">
        <v>0.95579999999999998</v>
      </c>
      <c r="E822">
        <v>0.98680000000000001</v>
      </c>
      <c r="F822">
        <v>209193.37</v>
      </c>
      <c r="G822">
        <v>0</v>
      </c>
      <c r="L822" t="s">
        <v>8</v>
      </c>
      <c r="M822" t="s">
        <v>7</v>
      </c>
      <c r="N822" t="s">
        <v>8</v>
      </c>
      <c r="P822">
        <f t="shared" si="1004"/>
        <v>0.37777777777778115</v>
      </c>
      <c r="Q822">
        <f t="shared" si="1005"/>
        <v>79028.606444445148</v>
      </c>
      <c r="R822">
        <f t="shared" si="1006"/>
        <v>1984086.9574037511</v>
      </c>
      <c r="S822">
        <f t="shared" si="1007"/>
        <v>19.840869574037512</v>
      </c>
      <c r="T822">
        <f t="shared" si="1008"/>
        <v>1.9840869574037513E-2</v>
      </c>
    </row>
    <row r="823" spans="1:20" x14ac:dyDescent="0.25">
      <c r="A823" s="5">
        <v>43770</v>
      </c>
      <c r="B823">
        <v>0.94540000000000002</v>
      </c>
      <c r="C823">
        <v>0.98380000000000001</v>
      </c>
      <c r="D823">
        <v>0.93069999999999997</v>
      </c>
      <c r="E823">
        <v>0.97650000000000003</v>
      </c>
      <c r="F823">
        <v>175766.95</v>
      </c>
      <c r="G823">
        <v>0</v>
      </c>
      <c r="L823" t="s">
        <v>8</v>
      </c>
      <c r="M823" t="s">
        <v>7</v>
      </c>
      <c r="N823" t="s">
        <v>8</v>
      </c>
      <c r="P823">
        <f t="shared" si="1004"/>
        <v>0.72504708097928561</v>
      </c>
      <c r="Q823">
        <f t="shared" si="1005"/>
        <v>127439.31403013205</v>
      </c>
      <c r="R823">
        <f t="shared" si="1006"/>
        <v>1905058.3509593059</v>
      </c>
      <c r="S823">
        <f t="shared" si="1007"/>
        <v>19.050583509593057</v>
      </c>
      <c r="T823">
        <f t="shared" si="1008"/>
        <v>1.9050583509593058E-2</v>
      </c>
    </row>
    <row r="824" spans="1:20" x14ac:dyDescent="0.25">
      <c r="A824" s="5">
        <v>43769</v>
      </c>
      <c r="B824">
        <v>0.97829999999999995</v>
      </c>
      <c r="C824">
        <v>0.98499999999999999</v>
      </c>
      <c r="D824">
        <v>0.92090000000000005</v>
      </c>
      <c r="E824">
        <v>0.9425</v>
      </c>
      <c r="F824">
        <v>339747.61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-0.32605304212168568</v>
      </c>
      <c r="Q824">
        <f t="shared" si="1005"/>
        <v>-110775.74179407203</v>
      </c>
      <c r="R824">
        <f t="shared" si="1006"/>
        <v>1777619.0369291739</v>
      </c>
      <c r="S824">
        <f t="shared" si="1007"/>
        <v>17.77619036929174</v>
      </c>
      <c r="T824">
        <f t="shared" si="1008"/>
        <v>1.777619036929174E-2</v>
      </c>
    </row>
    <row r="825" spans="1:20" x14ac:dyDescent="0.25">
      <c r="A825" s="5">
        <v>43768</v>
      </c>
      <c r="B825">
        <v>1.0381</v>
      </c>
      <c r="C825">
        <v>1.0382</v>
      </c>
      <c r="D825">
        <v>0.93389999999999995</v>
      </c>
      <c r="E825">
        <v>0.97829999999999995</v>
      </c>
      <c r="F825">
        <v>629467.52</v>
      </c>
      <c r="G825">
        <v>0</v>
      </c>
      <c r="L825" t="s">
        <v>7</v>
      </c>
      <c r="M825" t="s">
        <v>7</v>
      </c>
      <c r="N825" t="s">
        <v>8</v>
      </c>
      <c r="P825">
        <f t="shared" si="1004"/>
        <v>-0.14860977948226328</v>
      </c>
      <c r="Q825">
        <f t="shared" si="1005"/>
        <v>-93545.029338447159</v>
      </c>
      <c r="R825">
        <f t="shared" si="1006"/>
        <v>1888394.778723246</v>
      </c>
      <c r="S825">
        <f t="shared" si="1007"/>
        <v>18.883947787232458</v>
      </c>
      <c r="T825">
        <f t="shared" si="1008"/>
        <v>1.8883947787232458E-2</v>
      </c>
    </row>
    <row r="826" spans="1:20" x14ac:dyDescent="0.25">
      <c r="A826" s="5">
        <v>43767</v>
      </c>
      <c r="B826">
        <v>1.0307999999999999</v>
      </c>
      <c r="C826">
        <v>1.1248</v>
      </c>
      <c r="D826">
        <v>1.0121</v>
      </c>
      <c r="E826">
        <v>1.0345</v>
      </c>
      <c r="F826">
        <v>870367.94</v>
      </c>
      <c r="G826">
        <v>0</v>
      </c>
      <c r="L826" t="s">
        <v>8</v>
      </c>
      <c r="M826" t="s">
        <v>8</v>
      </c>
      <c r="N826" t="s">
        <v>8</v>
      </c>
      <c r="P826">
        <f t="shared" si="1004"/>
        <v>-0.60248447204968991</v>
      </c>
      <c r="Q826">
        <f t="shared" si="1005"/>
        <v>-524383.16881987615</v>
      </c>
      <c r="R826">
        <f t="shared" si="1006"/>
        <v>1981939.8080616931</v>
      </c>
      <c r="S826">
        <f t="shared" si="1007"/>
        <v>19.819398080616931</v>
      </c>
      <c r="T826">
        <f t="shared" si="1008"/>
        <v>1.9819398080616932E-2</v>
      </c>
    </row>
    <row r="827" spans="1:20" x14ac:dyDescent="0.25">
      <c r="A827" s="5">
        <v>43766</v>
      </c>
      <c r="B827">
        <v>0.97040000000000004</v>
      </c>
      <c r="C827">
        <v>1.101</v>
      </c>
      <c r="D827">
        <v>0.92549999999999999</v>
      </c>
      <c r="E827">
        <v>1.0264</v>
      </c>
      <c r="F827">
        <v>1204894.52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0.14985754985754982</v>
      </c>
      <c r="Q827">
        <f t="shared" si="1005"/>
        <v>180562.54060398854</v>
      </c>
      <c r="R827">
        <f t="shared" si="1006"/>
        <v>2506322.9768815693</v>
      </c>
      <c r="S827">
        <f t="shared" si="1007"/>
        <v>25.063229768815692</v>
      </c>
      <c r="T827">
        <f t="shared" si="1008"/>
        <v>2.5063229768815691E-2</v>
      </c>
    </row>
    <row r="828" spans="1:20" x14ac:dyDescent="0.25">
      <c r="A828" s="5">
        <v>43765</v>
      </c>
      <c r="B828">
        <v>0.84850000000000003</v>
      </c>
      <c r="C828">
        <v>1.0407999999999999</v>
      </c>
      <c r="D828">
        <v>0.83879999999999999</v>
      </c>
      <c r="E828">
        <v>0.96750000000000003</v>
      </c>
      <c r="F828">
        <v>981493.56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0.27425742574257489</v>
      </c>
      <c r="Q828">
        <f t="shared" si="1005"/>
        <v>269181.89714851551</v>
      </c>
      <c r="R828">
        <f t="shared" si="1006"/>
        <v>2325760.4362775809</v>
      </c>
      <c r="S828">
        <f t="shared" si="1007"/>
        <v>23.257604362775808</v>
      </c>
      <c r="T828">
        <f t="shared" si="1008"/>
        <v>2.3257604362775807E-2</v>
      </c>
    </row>
    <row r="829" spans="1:20" x14ac:dyDescent="0.25">
      <c r="A829" s="5">
        <v>43764</v>
      </c>
      <c r="B829">
        <v>0.84040000000000004</v>
      </c>
      <c r="C829">
        <v>0.91</v>
      </c>
      <c r="D829">
        <v>0.8135</v>
      </c>
      <c r="E829">
        <v>0.84770000000000001</v>
      </c>
      <c r="F829">
        <v>436044.64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-0.29119170984455967</v>
      </c>
      <c r="Q829">
        <f t="shared" si="1005"/>
        <v>-126972.58429015549</v>
      </c>
      <c r="R829">
        <f t="shared" si="1006"/>
        <v>2056578.5391290656</v>
      </c>
      <c r="S829">
        <f t="shared" si="1007"/>
        <v>20.565785391290657</v>
      </c>
      <c r="T829">
        <f t="shared" si="1008"/>
        <v>2.0565785391290656E-2</v>
      </c>
    </row>
    <row r="830" spans="1:20" x14ac:dyDescent="0.25">
      <c r="A830" s="5">
        <v>43763</v>
      </c>
      <c r="B830">
        <v>0.78</v>
      </c>
      <c r="C830">
        <v>0.85340000000000005</v>
      </c>
      <c r="D830">
        <v>0.76390000000000002</v>
      </c>
      <c r="E830">
        <v>0.83779999999999999</v>
      </c>
      <c r="F830">
        <v>346513.17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0.65139664804469155</v>
      </c>
      <c r="Q830">
        <f t="shared" si="1005"/>
        <v>225717.51744134037</v>
      </c>
      <c r="R830">
        <f t="shared" si="1006"/>
        <v>2183551.123419221</v>
      </c>
      <c r="S830">
        <f t="shared" si="1007"/>
        <v>21.835511234192211</v>
      </c>
      <c r="T830">
        <f t="shared" si="1008"/>
        <v>2.1835511234192209E-2</v>
      </c>
    </row>
    <row r="831" spans="1:20" x14ac:dyDescent="0.25">
      <c r="A831" s="5">
        <v>43762</v>
      </c>
      <c r="B831">
        <v>0.72689999999999999</v>
      </c>
      <c r="C831">
        <v>0.78949999999999998</v>
      </c>
      <c r="D831">
        <v>0.70740000000000003</v>
      </c>
      <c r="E831">
        <v>0.78</v>
      </c>
      <c r="F831">
        <v>338755.66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0.76857490864799127</v>
      </c>
      <c r="Q831">
        <f t="shared" ref="Q831:Q894" si="1010">F831*P831</f>
        <v>260359.10043848999</v>
      </c>
      <c r="R831">
        <f t="shared" ref="R831:R894" si="1011">R832+Q831</f>
        <v>1957833.6059778808</v>
      </c>
      <c r="S831">
        <f t="shared" ref="S831:S894" si="1012">R831/100000</f>
        <v>19.578336059778806</v>
      </c>
      <c r="T831">
        <f t="shared" ref="T831:T894" si="1013">S831/1000</f>
        <v>1.9578336059778805E-2</v>
      </c>
    </row>
    <row r="832" spans="1:20" x14ac:dyDescent="0.25">
      <c r="A832" s="5">
        <v>43761</v>
      </c>
      <c r="B832">
        <v>0.77959999999999996</v>
      </c>
      <c r="C832">
        <v>0.78720000000000001</v>
      </c>
      <c r="D832">
        <v>0.70750000000000002</v>
      </c>
      <c r="E832">
        <v>0.7248</v>
      </c>
      <c r="F832">
        <v>223876.29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-0.5658720200752827</v>
      </c>
      <c r="Q832">
        <f t="shared" si="1010"/>
        <v>-126685.32846925981</v>
      </c>
      <c r="R832">
        <f t="shared" si="1011"/>
        <v>1697474.5055393907</v>
      </c>
      <c r="S832">
        <f t="shared" si="1012"/>
        <v>16.974745055393907</v>
      </c>
      <c r="T832">
        <f t="shared" si="1013"/>
        <v>1.6974745055393908E-2</v>
      </c>
    </row>
    <row r="833" spans="1:20" x14ac:dyDescent="0.25">
      <c r="A833" s="5">
        <v>43760</v>
      </c>
      <c r="B833">
        <v>0.80569999999999997</v>
      </c>
      <c r="C833">
        <v>0.8175</v>
      </c>
      <c r="D833">
        <v>0.77700000000000002</v>
      </c>
      <c r="E833">
        <v>0.77729999999999999</v>
      </c>
      <c r="F833">
        <v>100014.89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-0.98518518518518683</v>
      </c>
      <c r="Q833">
        <f t="shared" si="1010"/>
        <v>-98533.18792592609</v>
      </c>
      <c r="R833">
        <f t="shared" si="1011"/>
        <v>1824159.8340086506</v>
      </c>
      <c r="S833">
        <f t="shared" si="1012"/>
        <v>18.241598340086504</v>
      </c>
      <c r="T833">
        <f t="shared" si="1013"/>
        <v>1.8241598340086505E-2</v>
      </c>
    </row>
    <row r="834" spans="1:20" x14ac:dyDescent="0.25">
      <c r="A834" s="5">
        <v>43759</v>
      </c>
      <c r="B834">
        <v>0.81340000000000001</v>
      </c>
      <c r="C834">
        <v>0.81569999999999998</v>
      </c>
      <c r="D834">
        <v>0.79400000000000004</v>
      </c>
      <c r="E834">
        <v>0.80700000000000005</v>
      </c>
      <c r="F834">
        <v>172003.92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0.19815668202765407</v>
      </c>
      <c r="Q834">
        <f t="shared" si="1010"/>
        <v>34083.726082950052</v>
      </c>
      <c r="R834">
        <f t="shared" si="1011"/>
        <v>1922693.0219345768</v>
      </c>
      <c r="S834">
        <f t="shared" si="1012"/>
        <v>19.226930219345768</v>
      </c>
      <c r="T834">
        <f t="shared" si="1013"/>
        <v>1.9226930219345767E-2</v>
      </c>
    </row>
    <row r="835" spans="1:20" x14ac:dyDescent="0.25">
      <c r="A835" s="5">
        <v>43758</v>
      </c>
      <c r="B835">
        <v>0.76490000000000002</v>
      </c>
      <c r="C835">
        <v>0.82850000000000001</v>
      </c>
      <c r="D835">
        <v>0.75700000000000001</v>
      </c>
      <c r="E835">
        <v>0.81179999999999997</v>
      </c>
      <c r="F835">
        <v>206216.53</v>
      </c>
      <c r="G835">
        <v>0</v>
      </c>
      <c r="L835" t="s">
        <v>8</v>
      </c>
      <c r="M835" t="s">
        <v>7</v>
      </c>
      <c r="N835" t="s">
        <v>7</v>
      </c>
      <c r="P835">
        <f t="shared" si="1009"/>
        <v>0.53286713286713161</v>
      </c>
      <c r="Q835">
        <f t="shared" si="1010"/>
        <v>109886.01109090883</v>
      </c>
      <c r="R835">
        <f t="shared" si="1011"/>
        <v>1888609.2958516267</v>
      </c>
      <c r="S835">
        <f t="shared" si="1012"/>
        <v>18.886092958516265</v>
      </c>
      <c r="T835">
        <f t="shared" si="1013"/>
        <v>1.8886092958516267E-2</v>
      </c>
    </row>
    <row r="836" spans="1:20" x14ac:dyDescent="0.25">
      <c r="A836" s="5">
        <v>43757</v>
      </c>
      <c r="B836">
        <v>0.7722</v>
      </c>
      <c r="C836">
        <v>0.77839999999999998</v>
      </c>
      <c r="D836">
        <v>0.75690000000000002</v>
      </c>
      <c r="E836">
        <v>0.7651</v>
      </c>
      <c r="F836">
        <v>124762.44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-0.23720930232558149</v>
      </c>
      <c r="Q836">
        <f t="shared" si="1010"/>
        <v>-29594.811348837222</v>
      </c>
      <c r="R836">
        <f t="shared" si="1011"/>
        <v>1778723.2847607178</v>
      </c>
      <c r="S836">
        <f t="shared" si="1012"/>
        <v>17.787232847607179</v>
      </c>
      <c r="T836">
        <f t="shared" si="1013"/>
        <v>1.7787232847607179E-2</v>
      </c>
    </row>
    <row r="837" spans="1:20" x14ac:dyDescent="0.25">
      <c r="A837" s="5">
        <v>43756</v>
      </c>
      <c r="B837">
        <v>0.79559999999999997</v>
      </c>
      <c r="C837">
        <v>0.79900000000000004</v>
      </c>
      <c r="D837">
        <v>0.7611</v>
      </c>
      <c r="E837">
        <v>0.76939999999999997</v>
      </c>
      <c r="F837">
        <v>175528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-0.56200527704485681</v>
      </c>
      <c r="Q837">
        <f t="shared" si="1010"/>
        <v>-98647.662269129622</v>
      </c>
      <c r="R837">
        <f t="shared" si="1011"/>
        <v>1808318.0961095551</v>
      </c>
      <c r="S837">
        <f t="shared" si="1012"/>
        <v>18.08318096109555</v>
      </c>
      <c r="T837">
        <f t="shared" si="1013"/>
        <v>1.8083180961095551E-2</v>
      </c>
    </row>
    <row r="838" spans="1:20" x14ac:dyDescent="0.25">
      <c r="A838" s="5">
        <v>43755</v>
      </c>
      <c r="B838">
        <v>0.77200000000000002</v>
      </c>
      <c r="C838">
        <v>0.80200000000000005</v>
      </c>
      <c r="D838">
        <v>0.76119999999999999</v>
      </c>
      <c r="E838">
        <v>0.79559999999999997</v>
      </c>
      <c r="F838">
        <v>163845</v>
      </c>
      <c r="G838">
        <v>0</v>
      </c>
      <c r="L838" t="s">
        <v>7</v>
      </c>
      <c r="M838" t="s">
        <v>7</v>
      </c>
      <c r="N838" t="s">
        <v>7</v>
      </c>
      <c r="P838">
        <f t="shared" si="1009"/>
        <v>0.68627450980391846</v>
      </c>
      <c r="Q838">
        <f t="shared" si="1010"/>
        <v>112442.64705882301</v>
      </c>
      <c r="R838">
        <f t="shared" si="1011"/>
        <v>1906965.7583786848</v>
      </c>
      <c r="S838">
        <f t="shared" si="1012"/>
        <v>19.069657583786846</v>
      </c>
      <c r="T838">
        <f t="shared" si="1013"/>
        <v>1.9069657583786846E-2</v>
      </c>
    </row>
    <row r="839" spans="1:20" x14ac:dyDescent="0.25">
      <c r="A839" s="5">
        <v>43754</v>
      </c>
      <c r="B839">
        <v>0.79559999999999997</v>
      </c>
      <c r="C839">
        <v>0.80300000000000005</v>
      </c>
      <c r="D839">
        <v>0.76</v>
      </c>
      <c r="E839">
        <v>0.77200000000000002</v>
      </c>
      <c r="F839">
        <v>140624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-0.44186046511627908</v>
      </c>
      <c r="Q839">
        <f t="shared" si="1010"/>
        <v>-62136.186046511626</v>
      </c>
      <c r="R839">
        <f t="shared" si="1011"/>
        <v>1794523.1113198618</v>
      </c>
      <c r="S839">
        <f t="shared" si="1012"/>
        <v>17.94523111319862</v>
      </c>
      <c r="T839">
        <f t="shared" si="1013"/>
        <v>1.794523111319862E-2</v>
      </c>
    </row>
    <row r="840" spans="1:20" x14ac:dyDescent="0.25">
      <c r="A840" s="5">
        <v>43753</v>
      </c>
      <c r="B840">
        <v>0.82599999999999996</v>
      </c>
      <c r="C840">
        <v>0.83</v>
      </c>
      <c r="D840">
        <v>0.79020000000000001</v>
      </c>
      <c r="E840">
        <v>0.79800000000000004</v>
      </c>
      <c r="F840">
        <v>248032.89</v>
      </c>
      <c r="G840">
        <v>0</v>
      </c>
      <c r="L840" t="s">
        <v>7</v>
      </c>
      <c r="M840" t="s">
        <v>8</v>
      </c>
      <c r="N840" t="s">
        <v>7</v>
      </c>
      <c r="P840">
        <f t="shared" si="1009"/>
        <v>-0.6080402010050231</v>
      </c>
      <c r="Q840">
        <f t="shared" si="1010"/>
        <v>-150813.96829145678</v>
      </c>
      <c r="R840">
        <f t="shared" si="1011"/>
        <v>1856659.2973663735</v>
      </c>
      <c r="S840">
        <f t="shared" si="1012"/>
        <v>18.566592973663735</v>
      </c>
      <c r="T840">
        <f t="shared" si="1013"/>
        <v>1.8566592973663733E-2</v>
      </c>
    </row>
    <row r="841" spans="1:20" x14ac:dyDescent="0.25">
      <c r="A841" s="5">
        <v>43752</v>
      </c>
      <c r="B841">
        <v>0.82479999999999998</v>
      </c>
      <c r="C841">
        <v>0.83220000000000005</v>
      </c>
      <c r="D841">
        <v>0.81559999999999999</v>
      </c>
      <c r="E841">
        <v>0.82589999999999997</v>
      </c>
      <c r="F841">
        <v>138611.54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0.24096385542167942</v>
      </c>
      <c r="Q841">
        <f t="shared" si="1010"/>
        <v>33400.371084336337</v>
      </c>
      <c r="R841">
        <f t="shared" si="1011"/>
        <v>2007473.2656578303</v>
      </c>
      <c r="S841">
        <f t="shared" si="1012"/>
        <v>20.074732656578302</v>
      </c>
      <c r="T841">
        <f t="shared" si="1013"/>
        <v>2.0074732656578304E-2</v>
      </c>
    </row>
    <row r="842" spans="1:20" x14ac:dyDescent="0.25">
      <c r="A842" s="5">
        <v>43751</v>
      </c>
      <c r="B842">
        <v>0.83069999999999999</v>
      </c>
      <c r="C842">
        <v>0.84379999999999999</v>
      </c>
      <c r="D842">
        <v>0.81810000000000005</v>
      </c>
      <c r="E842">
        <v>0.82569999999999999</v>
      </c>
      <c r="F842">
        <v>85310.16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-0.40856031128405007</v>
      </c>
      <c r="Q842">
        <f t="shared" si="1010"/>
        <v>-34854.345525292119</v>
      </c>
      <c r="R842">
        <f t="shared" si="1011"/>
        <v>1974072.8945734939</v>
      </c>
      <c r="S842">
        <f t="shared" si="1012"/>
        <v>19.74072894573494</v>
      </c>
      <c r="T842">
        <f t="shared" si="1013"/>
        <v>1.9740728945734941E-2</v>
      </c>
    </row>
    <row r="843" spans="1:20" x14ac:dyDescent="0.25">
      <c r="A843" s="5">
        <v>43750</v>
      </c>
      <c r="B843">
        <v>0.8337</v>
      </c>
      <c r="C843">
        <v>0.84409999999999996</v>
      </c>
      <c r="D843">
        <v>0.8296</v>
      </c>
      <c r="E843">
        <v>0.8296</v>
      </c>
      <c r="F843">
        <v>45370.58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-1</v>
      </c>
      <c r="Q843">
        <f t="shared" si="1010"/>
        <v>-45370.58</v>
      </c>
      <c r="R843">
        <f t="shared" si="1011"/>
        <v>2008927.2400987861</v>
      </c>
      <c r="S843">
        <f t="shared" si="1012"/>
        <v>20.089272400987859</v>
      </c>
      <c r="T843">
        <f t="shared" si="1013"/>
        <v>2.0089272400987859E-2</v>
      </c>
    </row>
    <row r="844" spans="1:20" x14ac:dyDescent="0.25">
      <c r="A844" s="5">
        <v>43749</v>
      </c>
      <c r="B844">
        <v>0.89090000000000003</v>
      </c>
      <c r="C844">
        <v>0.89880000000000004</v>
      </c>
      <c r="D844">
        <v>0.83330000000000004</v>
      </c>
      <c r="E844">
        <v>0.8337</v>
      </c>
      <c r="F844">
        <v>158792.94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-0.98778625954198607</v>
      </c>
      <c r="Q844">
        <f t="shared" si="1010"/>
        <v>-156853.48424427502</v>
      </c>
      <c r="R844">
        <f t="shared" si="1011"/>
        <v>2054297.8200987861</v>
      </c>
      <c r="S844">
        <f t="shared" si="1012"/>
        <v>20.542978200987861</v>
      </c>
      <c r="T844">
        <f t="shared" si="1013"/>
        <v>2.0542978200987862E-2</v>
      </c>
    </row>
    <row r="845" spans="1:20" x14ac:dyDescent="0.25">
      <c r="A845" s="5">
        <v>43748</v>
      </c>
      <c r="B845">
        <v>0.91649999999999998</v>
      </c>
      <c r="C845">
        <v>0.92230000000000001</v>
      </c>
      <c r="D845">
        <v>0.87539999999999996</v>
      </c>
      <c r="E845">
        <v>0.89090000000000003</v>
      </c>
      <c r="F845">
        <v>99357.59</v>
      </c>
      <c r="G845">
        <v>0</v>
      </c>
      <c r="L845" t="s">
        <v>8</v>
      </c>
      <c r="M845" t="s">
        <v>8</v>
      </c>
      <c r="N845" t="s">
        <v>7</v>
      </c>
      <c r="P845">
        <f t="shared" si="1009"/>
        <v>-0.3390191897654562</v>
      </c>
      <c r="Q845">
        <f t="shared" si="1010"/>
        <v>-33684.129658848389</v>
      </c>
      <c r="R845">
        <f t="shared" si="1011"/>
        <v>2211151.3043430611</v>
      </c>
      <c r="S845">
        <f t="shared" si="1012"/>
        <v>22.111513043430609</v>
      </c>
      <c r="T845">
        <f t="shared" si="1013"/>
        <v>2.2111513043430609E-2</v>
      </c>
    </row>
    <row r="846" spans="1:20" x14ac:dyDescent="0.25">
      <c r="A846" s="5">
        <v>43747</v>
      </c>
      <c r="B846">
        <v>0.90410000000000001</v>
      </c>
      <c r="C846">
        <v>0.93989999999999996</v>
      </c>
      <c r="D846">
        <v>0.8972</v>
      </c>
      <c r="E846">
        <v>0.91649999999999998</v>
      </c>
      <c r="F846">
        <v>193848.81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-9.601873536299757E-2</v>
      </c>
      <c r="Q846">
        <f t="shared" si="1010"/>
        <v>-18613.117587821998</v>
      </c>
      <c r="R846">
        <f t="shared" si="1011"/>
        <v>2244835.4340019096</v>
      </c>
      <c r="S846">
        <f t="shared" si="1012"/>
        <v>22.448354340019097</v>
      </c>
      <c r="T846">
        <f t="shared" si="1013"/>
        <v>2.2448354340019096E-2</v>
      </c>
    </row>
    <row r="847" spans="1:20" x14ac:dyDescent="0.25">
      <c r="A847" s="5">
        <v>43746</v>
      </c>
      <c r="B847">
        <v>0.90290000000000004</v>
      </c>
      <c r="C847">
        <v>0.91969999999999996</v>
      </c>
      <c r="D847">
        <v>0.88370000000000004</v>
      </c>
      <c r="E847">
        <v>0.90680000000000005</v>
      </c>
      <c r="F847">
        <v>152384.74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0.28333333333333666</v>
      </c>
      <c r="Q847">
        <f t="shared" si="1010"/>
        <v>43175.676333333839</v>
      </c>
      <c r="R847">
        <f t="shared" si="1011"/>
        <v>2263448.5515897316</v>
      </c>
      <c r="S847">
        <f t="shared" si="1012"/>
        <v>22.634485515897317</v>
      </c>
      <c r="T847">
        <f t="shared" si="1013"/>
        <v>2.2634485515897317E-2</v>
      </c>
    </row>
    <row r="848" spans="1:20" x14ac:dyDescent="0.25">
      <c r="A848" s="5">
        <v>43745</v>
      </c>
      <c r="B848">
        <v>0.87629999999999997</v>
      </c>
      <c r="C848">
        <v>0.91490000000000005</v>
      </c>
      <c r="D848">
        <v>0.85819999999999996</v>
      </c>
      <c r="E848">
        <v>0.90269999999999995</v>
      </c>
      <c r="F848">
        <v>525008.86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0.56966490299823347</v>
      </c>
      <c r="Q848">
        <f t="shared" si="1010"/>
        <v>299079.12130511313</v>
      </c>
      <c r="R848">
        <f t="shared" si="1011"/>
        <v>2220272.8752563978</v>
      </c>
      <c r="S848">
        <f t="shared" si="1012"/>
        <v>22.202728752563978</v>
      </c>
      <c r="T848">
        <f t="shared" si="1013"/>
        <v>2.2202728752563978E-2</v>
      </c>
    </row>
    <row r="849" spans="1:20" x14ac:dyDescent="0.25">
      <c r="A849" s="5">
        <v>43744</v>
      </c>
      <c r="B849">
        <v>0.83660000000000001</v>
      </c>
      <c r="C849">
        <v>0.89390000000000003</v>
      </c>
      <c r="D849">
        <v>0.83279999999999998</v>
      </c>
      <c r="E849">
        <v>0.87470000000000003</v>
      </c>
      <c r="F849">
        <v>519856.42</v>
      </c>
      <c r="G849">
        <v>0</v>
      </c>
      <c r="L849" t="s">
        <v>8</v>
      </c>
      <c r="M849" t="s">
        <v>8</v>
      </c>
      <c r="N849" t="s">
        <v>7</v>
      </c>
      <c r="P849">
        <f t="shared" si="1009"/>
        <v>0.37152209492635085</v>
      </c>
      <c r="Q849">
        <f t="shared" si="1010"/>
        <v>193138.14621931291</v>
      </c>
      <c r="R849">
        <f t="shared" si="1011"/>
        <v>1921193.7539512848</v>
      </c>
      <c r="S849">
        <f t="shared" si="1012"/>
        <v>19.211937539512849</v>
      </c>
      <c r="T849">
        <f t="shared" si="1013"/>
        <v>1.9211937539512849E-2</v>
      </c>
    </row>
    <row r="850" spans="1:20" x14ac:dyDescent="0.25">
      <c r="A850" s="5">
        <v>43743</v>
      </c>
      <c r="B850">
        <v>0.83450000000000002</v>
      </c>
      <c r="C850">
        <v>0.83930000000000005</v>
      </c>
      <c r="D850">
        <v>0.8256</v>
      </c>
      <c r="E850">
        <v>0.83650000000000002</v>
      </c>
      <c r="F850">
        <v>73745.86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0.59124087591240648</v>
      </c>
      <c r="Q850">
        <f t="shared" si="1010"/>
        <v>43601.566861313702</v>
      </c>
      <c r="R850">
        <f t="shared" si="1011"/>
        <v>1728055.6077319719</v>
      </c>
      <c r="S850">
        <f t="shared" si="1012"/>
        <v>17.280556077319719</v>
      </c>
      <c r="T850">
        <f t="shared" si="1013"/>
        <v>1.7280556077319719E-2</v>
      </c>
    </row>
    <row r="851" spans="1:20" x14ac:dyDescent="0.25">
      <c r="A851" s="5">
        <v>43742</v>
      </c>
      <c r="B851">
        <v>0.81679999999999997</v>
      </c>
      <c r="C851">
        <v>0.84899999999999998</v>
      </c>
      <c r="D851">
        <v>0.80330000000000001</v>
      </c>
      <c r="E851">
        <v>0.83450000000000002</v>
      </c>
      <c r="F851">
        <v>95908.28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0.36542669584245213</v>
      </c>
      <c r="Q851">
        <f t="shared" si="1010"/>
        <v>35047.445864332738</v>
      </c>
      <c r="R851">
        <f t="shared" si="1011"/>
        <v>1684454.0408706581</v>
      </c>
      <c r="S851">
        <f t="shared" si="1012"/>
        <v>16.844540408706582</v>
      </c>
      <c r="T851">
        <f t="shared" si="1013"/>
        <v>1.6844540408706581E-2</v>
      </c>
    </row>
    <row r="852" spans="1:20" x14ac:dyDescent="0.25">
      <c r="A852" s="5">
        <v>43741</v>
      </c>
      <c r="B852">
        <v>0.83</v>
      </c>
      <c r="C852">
        <v>0.83099999999999996</v>
      </c>
      <c r="D852">
        <v>0.80369999999999997</v>
      </c>
      <c r="E852">
        <v>0.81559999999999999</v>
      </c>
      <c r="F852">
        <v>122973.2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-0.12820512820512633</v>
      </c>
      <c r="Q852">
        <f t="shared" si="1010"/>
        <v>-15765.794871794642</v>
      </c>
      <c r="R852">
        <f t="shared" si="1011"/>
        <v>1649406.5950063253</v>
      </c>
      <c r="S852">
        <f t="shared" si="1012"/>
        <v>16.494065950063252</v>
      </c>
      <c r="T852">
        <f t="shared" si="1013"/>
        <v>1.6494065950063252E-2</v>
      </c>
    </row>
    <row r="853" spans="1:20" x14ac:dyDescent="0.25">
      <c r="A853" s="5">
        <v>43740</v>
      </c>
      <c r="B853">
        <v>0.80859999999999999</v>
      </c>
      <c r="C853">
        <v>0.83</v>
      </c>
      <c r="D853">
        <v>0.80640000000000001</v>
      </c>
      <c r="E853">
        <v>0.82569999999999999</v>
      </c>
      <c r="F853">
        <v>103340.38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0.6355932203389848</v>
      </c>
      <c r="Q853">
        <f t="shared" si="1010"/>
        <v>65682.444915254426</v>
      </c>
      <c r="R853">
        <f t="shared" si="1011"/>
        <v>1665172.3898781198</v>
      </c>
      <c r="S853">
        <f t="shared" si="1012"/>
        <v>16.651723898781199</v>
      </c>
      <c r="T853">
        <f t="shared" si="1013"/>
        <v>1.6651723898781199E-2</v>
      </c>
    </row>
    <row r="854" spans="1:20" x14ac:dyDescent="0.25">
      <c r="A854" s="5">
        <v>43739</v>
      </c>
      <c r="B854">
        <v>0.81740000000000002</v>
      </c>
      <c r="C854">
        <v>0.84409999999999996</v>
      </c>
      <c r="D854">
        <v>0.79569999999999996</v>
      </c>
      <c r="E854">
        <v>0.80630000000000002</v>
      </c>
      <c r="F854">
        <v>159816.62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-0.56198347107437796</v>
      </c>
      <c r="Q854">
        <f t="shared" si="1010"/>
        <v>-89814.298842974851</v>
      </c>
      <c r="R854">
        <f t="shared" si="1011"/>
        <v>1599489.9449628654</v>
      </c>
      <c r="S854">
        <f t="shared" si="1012"/>
        <v>15.994899449628655</v>
      </c>
      <c r="T854">
        <f t="shared" si="1013"/>
        <v>1.5994899449628654E-2</v>
      </c>
    </row>
    <row r="855" spans="1:20" x14ac:dyDescent="0.25">
      <c r="A855" s="5">
        <v>43738</v>
      </c>
      <c r="B855">
        <v>0.79249999999999998</v>
      </c>
      <c r="C855">
        <v>0.83160000000000001</v>
      </c>
      <c r="D855">
        <v>0.76829999999999998</v>
      </c>
      <c r="E855">
        <v>0.81879999999999997</v>
      </c>
      <c r="F855">
        <v>172278.18</v>
      </c>
      <c r="G855">
        <v>0</v>
      </c>
      <c r="L855" t="s">
        <v>7</v>
      </c>
      <c r="M855" t="s">
        <v>8</v>
      </c>
      <c r="N855" t="s">
        <v>7</v>
      </c>
      <c r="P855">
        <f t="shared" si="1009"/>
        <v>0.59557661927330086</v>
      </c>
      <c r="Q855">
        <f t="shared" si="1010"/>
        <v>102604.85601895719</v>
      </c>
      <c r="R855">
        <f t="shared" si="1011"/>
        <v>1689304.2438058404</v>
      </c>
      <c r="S855">
        <f t="shared" si="1012"/>
        <v>16.893042438058405</v>
      </c>
      <c r="T855">
        <f t="shared" si="1013"/>
        <v>1.6893042438058406E-2</v>
      </c>
    </row>
    <row r="856" spans="1:20" x14ac:dyDescent="0.25">
      <c r="A856" s="5">
        <v>43737</v>
      </c>
      <c r="B856">
        <v>0.81640000000000001</v>
      </c>
      <c r="C856">
        <v>0.81640000000000001</v>
      </c>
      <c r="D856">
        <v>0.77700000000000002</v>
      </c>
      <c r="E856">
        <v>0.79449999999999998</v>
      </c>
      <c r="F856">
        <v>104406.24</v>
      </c>
      <c r="G856">
        <v>0</v>
      </c>
      <c r="L856" t="s">
        <v>8</v>
      </c>
      <c r="M856" t="s">
        <v>8</v>
      </c>
      <c r="N856" t="s">
        <v>7</v>
      </c>
      <c r="P856">
        <f t="shared" si="1009"/>
        <v>-0.11167512690355512</v>
      </c>
      <c r="Q856">
        <f t="shared" si="1010"/>
        <v>-11659.580101523034</v>
      </c>
      <c r="R856">
        <f t="shared" si="1011"/>
        <v>1586699.3877868832</v>
      </c>
      <c r="S856">
        <f t="shared" si="1012"/>
        <v>15.866993877868831</v>
      </c>
      <c r="T856">
        <f t="shared" si="1013"/>
        <v>1.5866993877868833E-2</v>
      </c>
    </row>
    <row r="857" spans="1:20" x14ac:dyDescent="0.25">
      <c r="A857" s="5">
        <v>43736</v>
      </c>
      <c r="B857">
        <v>0.82030000000000003</v>
      </c>
      <c r="C857">
        <v>0.82709999999999995</v>
      </c>
      <c r="D857">
        <v>0.78620000000000001</v>
      </c>
      <c r="E857">
        <v>0.81040000000000001</v>
      </c>
      <c r="F857">
        <v>132817.9</v>
      </c>
      <c r="G857">
        <v>0</v>
      </c>
      <c r="L857" t="s">
        <v>8</v>
      </c>
      <c r="M857" t="s">
        <v>8</v>
      </c>
      <c r="N857" t="s">
        <v>7</v>
      </c>
      <c r="P857">
        <f t="shared" si="1009"/>
        <v>0.18337408312958617</v>
      </c>
      <c r="Q857">
        <f t="shared" si="1010"/>
        <v>24355.360635697063</v>
      </c>
      <c r="R857">
        <f t="shared" si="1011"/>
        <v>1598358.9678884062</v>
      </c>
      <c r="S857">
        <f t="shared" si="1012"/>
        <v>15.983589678884062</v>
      </c>
      <c r="T857">
        <f t="shared" si="1013"/>
        <v>1.5983589678884063E-2</v>
      </c>
    </row>
    <row r="858" spans="1:20" x14ac:dyDescent="0.25">
      <c r="A858" s="5">
        <v>43735</v>
      </c>
      <c r="B858">
        <v>0.79900000000000004</v>
      </c>
      <c r="C858">
        <v>0.82369999999999999</v>
      </c>
      <c r="D858">
        <v>0.77839999999999998</v>
      </c>
      <c r="E858">
        <v>0.81799999999999995</v>
      </c>
      <c r="F858">
        <v>130532.12</v>
      </c>
      <c r="G858">
        <v>0</v>
      </c>
      <c r="L858" t="s">
        <v>8</v>
      </c>
      <c r="M858" t="s">
        <v>8</v>
      </c>
      <c r="N858" t="s">
        <v>7</v>
      </c>
      <c r="P858">
        <f t="shared" si="1009"/>
        <v>0.74834437086092553</v>
      </c>
      <c r="Q858">
        <f t="shared" si="1010"/>
        <v>97682.97721854283</v>
      </c>
      <c r="R858">
        <f t="shared" si="1011"/>
        <v>1574003.6072527091</v>
      </c>
      <c r="S858">
        <f t="shared" si="1012"/>
        <v>15.740036072527092</v>
      </c>
      <c r="T858">
        <f t="shared" si="1013"/>
        <v>1.5740036072527091E-2</v>
      </c>
    </row>
    <row r="859" spans="1:20" x14ac:dyDescent="0.25">
      <c r="A859" s="5">
        <v>43734</v>
      </c>
      <c r="B859">
        <v>0.8125</v>
      </c>
      <c r="C859">
        <v>0.83140000000000003</v>
      </c>
      <c r="D859">
        <v>0.74870000000000003</v>
      </c>
      <c r="E859">
        <v>0.79649999999999999</v>
      </c>
      <c r="F859">
        <v>301223.43</v>
      </c>
      <c r="G859">
        <v>0</v>
      </c>
      <c r="L859" t="s">
        <v>7</v>
      </c>
      <c r="M859" t="s">
        <v>8</v>
      </c>
      <c r="N859" t="s">
        <v>7</v>
      </c>
      <c r="P859">
        <f t="shared" si="1009"/>
        <v>0.15598548972188528</v>
      </c>
      <c r="Q859">
        <f t="shared" si="1010"/>
        <v>46986.484244256026</v>
      </c>
      <c r="R859">
        <f t="shared" si="1011"/>
        <v>1476320.6300341664</v>
      </c>
      <c r="S859">
        <f t="shared" si="1012"/>
        <v>14.763206300341665</v>
      </c>
      <c r="T859">
        <f t="shared" si="1013"/>
        <v>1.4763206300341664E-2</v>
      </c>
    </row>
    <row r="860" spans="1:20" x14ac:dyDescent="0.25">
      <c r="A860" s="5">
        <v>43733</v>
      </c>
      <c r="B860">
        <v>0.78849999999999998</v>
      </c>
      <c r="C860">
        <v>0.83209999999999995</v>
      </c>
      <c r="D860">
        <v>0.76</v>
      </c>
      <c r="E860">
        <v>0.81640000000000001</v>
      </c>
      <c r="F860">
        <v>315726.7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0.56449375866851736</v>
      </c>
      <c r="Q860">
        <f t="shared" si="1010"/>
        <v>178225.7515950074</v>
      </c>
      <c r="R860">
        <f t="shared" si="1011"/>
        <v>1429334.1457899103</v>
      </c>
      <c r="S860">
        <f t="shared" si="1012"/>
        <v>14.293341457899103</v>
      </c>
      <c r="T860">
        <f t="shared" si="1013"/>
        <v>1.4293341457899103E-2</v>
      </c>
    </row>
    <row r="861" spans="1:20" x14ac:dyDescent="0.25">
      <c r="A861" s="5">
        <v>43732</v>
      </c>
      <c r="B861">
        <v>1.0108999999999999</v>
      </c>
      <c r="C861">
        <v>1.0237000000000001</v>
      </c>
      <c r="D861">
        <v>0.70889999999999997</v>
      </c>
      <c r="E861">
        <v>0.79079999999999995</v>
      </c>
      <c r="F861">
        <v>586807.75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-0.47966963151207148</v>
      </c>
      <c r="Q861">
        <f t="shared" si="1010"/>
        <v>-281473.85721092776</v>
      </c>
      <c r="R861">
        <f t="shared" si="1011"/>
        <v>1251108.3941949029</v>
      </c>
      <c r="S861">
        <f t="shared" si="1012"/>
        <v>12.511083941949028</v>
      </c>
      <c r="T861">
        <f t="shared" si="1013"/>
        <v>1.2511083941949028E-2</v>
      </c>
    </row>
    <row r="862" spans="1:20" x14ac:dyDescent="0.25">
      <c r="A862" s="5">
        <v>43731</v>
      </c>
      <c r="B862">
        <v>1.07</v>
      </c>
      <c r="C862">
        <v>1.0724</v>
      </c>
      <c r="D862">
        <v>1.0036</v>
      </c>
      <c r="E862">
        <v>1.0119</v>
      </c>
      <c r="F862">
        <v>176618.51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-0.75872093023255882</v>
      </c>
      <c r="Q862">
        <f t="shared" si="1010"/>
        <v>-134004.16020348849</v>
      </c>
      <c r="R862">
        <f t="shared" si="1011"/>
        <v>1532582.2514058307</v>
      </c>
      <c r="S862">
        <f t="shared" si="1012"/>
        <v>15.325822514058308</v>
      </c>
      <c r="T862">
        <f t="shared" si="1013"/>
        <v>1.5325822514058307E-2</v>
      </c>
    </row>
    <row r="863" spans="1:20" x14ac:dyDescent="0.25">
      <c r="A863" s="5">
        <v>43730</v>
      </c>
      <c r="B863">
        <v>1.113</v>
      </c>
      <c r="C863">
        <v>1.1153999999999999</v>
      </c>
      <c r="D863">
        <v>1.0648</v>
      </c>
      <c r="E863">
        <v>1.0693999999999999</v>
      </c>
      <c r="F863">
        <v>161340.14000000001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-0.81818181818182056</v>
      </c>
      <c r="Q863">
        <f t="shared" si="1010"/>
        <v>-132005.5690909095</v>
      </c>
      <c r="R863">
        <f t="shared" si="1011"/>
        <v>1666586.4116093193</v>
      </c>
      <c r="S863">
        <f t="shared" si="1012"/>
        <v>16.665864116093193</v>
      </c>
      <c r="T863">
        <f t="shared" si="1013"/>
        <v>1.6665864116093193E-2</v>
      </c>
    </row>
    <row r="864" spans="1:20" x14ac:dyDescent="0.25">
      <c r="A864" s="5">
        <v>43729</v>
      </c>
      <c r="B864">
        <v>1.1327</v>
      </c>
      <c r="C864">
        <v>1.1612</v>
      </c>
      <c r="D864">
        <v>1.1040000000000001</v>
      </c>
      <c r="E864">
        <v>1.1189</v>
      </c>
      <c r="F864">
        <v>208823.17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-0.47902097902098129</v>
      </c>
      <c r="Q864">
        <f t="shared" si="1010"/>
        <v>-100030.67933566481</v>
      </c>
      <c r="R864">
        <f t="shared" si="1011"/>
        <v>1798591.9807002288</v>
      </c>
      <c r="S864">
        <f t="shared" si="1012"/>
        <v>17.98591980700229</v>
      </c>
      <c r="T864">
        <f t="shared" si="1013"/>
        <v>1.7985919807002291E-2</v>
      </c>
    </row>
    <row r="865" spans="1:20" x14ac:dyDescent="0.25">
      <c r="A865" s="5">
        <v>43728</v>
      </c>
      <c r="B865">
        <v>1.1415</v>
      </c>
      <c r="C865">
        <v>1.1494</v>
      </c>
      <c r="D865">
        <v>1.105</v>
      </c>
      <c r="E865">
        <v>1.1307</v>
      </c>
      <c r="F865">
        <v>122247.03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0.15765765765766032</v>
      </c>
      <c r="Q865">
        <f t="shared" si="1010"/>
        <v>19273.180405405732</v>
      </c>
      <c r="R865">
        <f t="shared" si="1011"/>
        <v>1898622.6600358936</v>
      </c>
      <c r="S865">
        <f t="shared" si="1012"/>
        <v>18.986226600358936</v>
      </c>
      <c r="T865">
        <f t="shared" si="1013"/>
        <v>1.8986226600358935E-2</v>
      </c>
    </row>
    <row r="866" spans="1:20" x14ac:dyDescent="0.25">
      <c r="A866" s="5">
        <v>43727</v>
      </c>
      <c r="B866">
        <v>1.1760999999999999</v>
      </c>
      <c r="C866">
        <v>1.177</v>
      </c>
      <c r="D866">
        <v>1.0825</v>
      </c>
      <c r="E866">
        <v>1.1399999999999999</v>
      </c>
      <c r="F866">
        <v>248160.62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0.21693121693121412</v>
      </c>
      <c r="Q866">
        <f t="shared" si="1010"/>
        <v>53833.785291004591</v>
      </c>
      <c r="R866">
        <f t="shared" si="1011"/>
        <v>1879349.4796304877</v>
      </c>
      <c r="S866">
        <f t="shared" si="1012"/>
        <v>18.793494796304877</v>
      </c>
      <c r="T866">
        <f t="shared" si="1013"/>
        <v>1.8793494796304877E-2</v>
      </c>
    </row>
    <row r="867" spans="1:20" x14ac:dyDescent="0.25">
      <c r="A867" s="5">
        <v>43726</v>
      </c>
      <c r="B867">
        <v>1.1057999999999999</v>
      </c>
      <c r="C867">
        <v>1.2018</v>
      </c>
      <c r="D867">
        <v>1.1032999999999999</v>
      </c>
      <c r="E867">
        <v>1.1740999999999999</v>
      </c>
      <c r="F867">
        <v>370679.43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0.43756345177664874</v>
      </c>
      <c r="Q867">
        <f t="shared" si="1010"/>
        <v>162195.77089340065</v>
      </c>
      <c r="R867">
        <f t="shared" si="1011"/>
        <v>1825515.694339483</v>
      </c>
      <c r="S867">
        <f t="shared" si="1012"/>
        <v>18.25515694339483</v>
      </c>
      <c r="T867">
        <f t="shared" si="1013"/>
        <v>1.8255156943394829E-2</v>
      </c>
    </row>
    <row r="868" spans="1:20" x14ac:dyDescent="0.25">
      <c r="A868" s="5">
        <v>43725</v>
      </c>
      <c r="B868">
        <v>1.0522</v>
      </c>
      <c r="C868">
        <v>1.1236999999999999</v>
      </c>
      <c r="D868">
        <v>1.0490999999999999</v>
      </c>
      <c r="E868">
        <v>1.103</v>
      </c>
      <c r="F868">
        <v>281841.32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0.44504021447721337</v>
      </c>
      <c r="Q868">
        <f t="shared" si="1010"/>
        <v>125430.72150134093</v>
      </c>
      <c r="R868">
        <f t="shared" si="1011"/>
        <v>1663319.9234460825</v>
      </c>
      <c r="S868">
        <f t="shared" si="1012"/>
        <v>16.633199234460825</v>
      </c>
      <c r="T868">
        <f t="shared" si="1013"/>
        <v>1.6633199234460824E-2</v>
      </c>
    </row>
    <row r="869" spans="1:20" x14ac:dyDescent="0.25">
      <c r="A869" s="5">
        <v>43724</v>
      </c>
      <c r="B869">
        <v>1.0467</v>
      </c>
      <c r="C869">
        <v>1.0652999999999999</v>
      </c>
      <c r="D869">
        <v>1.0367999999999999</v>
      </c>
      <c r="E869">
        <v>1.0544</v>
      </c>
      <c r="F869">
        <v>145790.5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0.23508771929825115</v>
      </c>
      <c r="Q869">
        <f t="shared" si="1010"/>
        <v>34273.556140351684</v>
      </c>
      <c r="R869">
        <f t="shared" si="1011"/>
        <v>1537889.2019447417</v>
      </c>
      <c r="S869">
        <f t="shared" si="1012"/>
        <v>15.378892019447417</v>
      </c>
      <c r="T869">
        <f t="shared" si="1013"/>
        <v>1.5378892019447416E-2</v>
      </c>
    </row>
    <row r="870" spans="1:20" x14ac:dyDescent="0.25">
      <c r="A870" s="5">
        <v>43723</v>
      </c>
      <c r="B870">
        <v>1.0491999999999999</v>
      </c>
      <c r="C870">
        <v>1.0537000000000001</v>
      </c>
      <c r="D870">
        <v>1.0411999999999999</v>
      </c>
      <c r="E870">
        <v>1.0465</v>
      </c>
      <c r="F870">
        <v>60240.73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-0.15199999999999886</v>
      </c>
      <c r="Q870">
        <f t="shared" si="1010"/>
        <v>-9156.5909599999322</v>
      </c>
      <c r="R870">
        <f t="shared" si="1011"/>
        <v>1503615.6458043901</v>
      </c>
      <c r="S870">
        <f t="shared" si="1012"/>
        <v>15.036156458043902</v>
      </c>
      <c r="T870">
        <f t="shared" si="1013"/>
        <v>1.5036156458043902E-2</v>
      </c>
    </row>
    <row r="871" spans="1:20" x14ac:dyDescent="0.25">
      <c r="A871" s="5">
        <v>43722</v>
      </c>
      <c r="B871">
        <v>1.0387</v>
      </c>
      <c r="C871">
        <v>1.0572999999999999</v>
      </c>
      <c r="D871">
        <v>1.0306999999999999</v>
      </c>
      <c r="E871">
        <v>1.0507</v>
      </c>
      <c r="F871">
        <v>59068.37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0.5037593984962444</v>
      </c>
      <c r="Q871">
        <f t="shared" si="1010"/>
        <v>29756.246541353608</v>
      </c>
      <c r="R871">
        <f t="shared" si="1011"/>
        <v>1512772.23676439</v>
      </c>
      <c r="S871">
        <f t="shared" si="1012"/>
        <v>15.1277223676439</v>
      </c>
      <c r="T871">
        <f t="shared" si="1013"/>
        <v>1.5127722367643899E-2</v>
      </c>
    </row>
    <row r="872" spans="1:20" x14ac:dyDescent="0.25">
      <c r="A872" s="5">
        <v>43721</v>
      </c>
      <c r="B872">
        <v>1.0517000000000001</v>
      </c>
      <c r="C872">
        <v>1.0552999999999999</v>
      </c>
      <c r="D872">
        <v>1.0105</v>
      </c>
      <c r="E872">
        <v>1.0384</v>
      </c>
      <c r="F872">
        <v>100149.75999999999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0.24553571428571724</v>
      </c>
      <c r="Q872">
        <f t="shared" si="1010"/>
        <v>24590.34285714315</v>
      </c>
      <c r="R872">
        <f t="shared" si="1011"/>
        <v>1483015.9902230364</v>
      </c>
      <c r="S872">
        <f t="shared" si="1012"/>
        <v>14.830159902230363</v>
      </c>
      <c r="T872">
        <f t="shared" si="1013"/>
        <v>1.4830159902230364E-2</v>
      </c>
    </row>
    <row r="873" spans="1:20" x14ac:dyDescent="0.25">
      <c r="A873" s="5">
        <v>43720</v>
      </c>
      <c r="B873">
        <v>1.0427999999999999</v>
      </c>
      <c r="C873">
        <v>1.0589999999999999</v>
      </c>
      <c r="D873">
        <v>1.0244</v>
      </c>
      <c r="E873">
        <v>1.0504</v>
      </c>
      <c r="F873">
        <v>85967.360000000001</v>
      </c>
      <c r="G873">
        <v>0</v>
      </c>
      <c r="L873" t="s">
        <v>8</v>
      </c>
      <c r="M873" t="s">
        <v>7</v>
      </c>
      <c r="N873" t="s">
        <v>7</v>
      </c>
      <c r="P873">
        <f t="shared" si="1009"/>
        <v>0.50289017341040754</v>
      </c>
      <c r="Q873">
        <f t="shared" si="1010"/>
        <v>43232.140578034931</v>
      </c>
      <c r="R873">
        <f t="shared" si="1011"/>
        <v>1458425.6473658932</v>
      </c>
      <c r="S873">
        <f t="shared" si="1012"/>
        <v>14.584256473658932</v>
      </c>
      <c r="T873">
        <f t="shared" si="1013"/>
        <v>1.4584256473658932E-2</v>
      </c>
    </row>
    <row r="874" spans="1:20" x14ac:dyDescent="0.25">
      <c r="A874" s="5">
        <v>43719</v>
      </c>
      <c r="B874">
        <v>1.0676000000000001</v>
      </c>
      <c r="C874">
        <v>1.0804</v>
      </c>
      <c r="D874">
        <v>1.0249999999999999</v>
      </c>
      <c r="E874">
        <v>1.0392999999999999</v>
      </c>
      <c r="F874">
        <v>94420.26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-0.48375451263538088</v>
      </c>
      <c r="Q874">
        <f t="shared" si="1010"/>
        <v>-45676.226859205948</v>
      </c>
      <c r="R874">
        <f t="shared" si="1011"/>
        <v>1415193.5067878582</v>
      </c>
      <c r="S874">
        <f t="shared" si="1012"/>
        <v>14.151935067878583</v>
      </c>
      <c r="T874">
        <f t="shared" si="1013"/>
        <v>1.4151935067878582E-2</v>
      </c>
    </row>
    <row r="875" spans="1:20" x14ac:dyDescent="0.25">
      <c r="A875" s="5">
        <v>43718</v>
      </c>
      <c r="B875">
        <v>1.0683</v>
      </c>
      <c r="C875">
        <v>1.0932999999999999</v>
      </c>
      <c r="D875">
        <v>1.0568</v>
      </c>
      <c r="E875">
        <v>1.0662</v>
      </c>
      <c r="F875">
        <v>111658.3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-0.48493150684931063</v>
      </c>
      <c r="Q875">
        <f t="shared" si="1010"/>
        <v>-54146.627671232382</v>
      </c>
      <c r="R875">
        <f t="shared" si="1011"/>
        <v>1460869.7336470641</v>
      </c>
      <c r="S875">
        <f t="shared" si="1012"/>
        <v>14.608697336470641</v>
      </c>
      <c r="T875">
        <f t="shared" si="1013"/>
        <v>1.4608697336470642E-2</v>
      </c>
    </row>
    <row r="876" spans="1:20" x14ac:dyDescent="0.25">
      <c r="A876" s="5">
        <v>43717</v>
      </c>
      <c r="B876">
        <v>1.0788</v>
      </c>
      <c r="C876">
        <v>1.0841000000000001</v>
      </c>
      <c r="D876">
        <v>1.0361</v>
      </c>
      <c r="E876">
        <v>1.0652999999999999</v>
      </c>
      <c r="F876">
        <v>158800.51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0.21666666666666112</v>
      </c>
      <c r="Q876">
        <f t="shared" si="1010"/>
        <v>34406.777166665786</v>
      </c>
      <c r="R876">
        <f t="shared" si="1011"/>
        <v>1515016.3613182965</v>
      </c>
      <c r="S876">
        <f t="shared" si="1012"/>
        <v>15.150163613182965</v>
      </c>
      <c r="T876">
        <f t="shared" si="1013"/>
        <v>1.5150163613182966E-2</v>
      </c>
    </row>
    <row r="877" spans="1:20" x14ac:dyDescent="0.25">
      <c r="A877" s="5">
        <v>43716</v>
      </c>
      <c r="B877">
        <v>1.0549999999999999</v>
      </c>
      <c r="C877">
        <v>1.0871999999999999</v>
      </c>
      <c r="D877">
        <v>1.0452999999999999</v>
      </c>
      <c r="E877">
        <v>1.0726</v>
      </c>
      <c r="F877">
        <v>172965.82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0.30310262529833271</v>
      </c>
      <c r="Q877">
        <f t="shared" si="1010"/>
        <v>52426.394128878863</v>
      </c>
      <c r="R877">
        <f t="shared" si="1011"/>
        <v>1480609.5841516308</v>
      </c>
      <c r="S877">
        <f t="shared" si="1012"/>
        <v>14.806095841516308</v>
      </c>
      <c r="T877">
        <f t="shared" si="1013"/>
        <v>1.4806095841516308E-2</v>
      </c>
    </row>
    <row r="878" spans="1:20" x14ac:dyDescent="0.25">
      <c r="A878" s="5">
        <v>43715</v>
      </c>
      <c r="B878">
        <v>1.0165999999999999</v>
      </c>
      <c r="C878">
        <v>1.0749</v>
      </c>
      <c r="D878">
        <v>1.0037</v>
      </c>
      <c r="E878">
        <v>1.0599000000000001</v>
      </c>
      <c r="F878">
        <v>94794.54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0.57865168539326073</v>
      </c>
      <c r="Q878">
        <f t="shared" si="1010"/>
        <v>54853.020337078866</v>
      </c>
      <c r="R878">
        <f t="shared" si="1011"/>
        <v>1428183.1900227519</v>
      </c>
      <c r="S878">
        <f t="shared" si="1012"/>
        <v>14.28183190022752</v>
      </c>
      <c r="T878">
        <f t="shared" si="1013"/>
        <v>1.4281831900227519E-2</v>
      </c>
    </row>
    <row r="879" spans="1:20" x14ac:dyDescent="0.25">
      <c r="A879" s="5">
        <v>43714</v>
      </c>
      <c r="B879">
        <v>1.0414000000000001</v>
      </c>
      <c r="C879">
        <v>1.0606</v>
      </c>
      <c r="D879">
        <v>1.0132000000000001</v>
      </c>
      <c r="E879">
        <v>1.0159</v>
      </c>
      <c r="F879">
        <v>80134.62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-0.88607594936709155</v>
      </c>
      <c r="Q879">
        <f t="shared" si="1010"/>
        <v>-71005.359493671116</v>
      </c>
      <c r="R879">
        <f t="shared" si="1011"/>
        <v>1373330.169685673</v>
      </c>
      <c r="S879">
        <f t="shared" si="1012"/>
        <v>13.73330169685673</v>
      </c>
      <c r="T879">
        <f t="shared" si="1013"/>
        <v>1.373330169685673E-2</v>
      </c>
    </row>
    <row r="880" spans="1:20" x14ac:dyDescent="0.25">
      <c r="A880" s="5">
        <v>43713</v>
      </c>
      <c r="B880">
        <v>1.0648</v>
      </c>
      <c r="C880">
        <v>1.0782</v>
      </c>
      <c r="D880">
        <v>1.0374000000000001</v>
      </c>
      <c r="E880">
        <v>1.0414000000000001</v>
      </c>
      <c r="F880">
        <v>160393.84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-0.80392156862745057</v>
      </c>
      <c r="Q880">
        <f t="shared" si="1010"/>
        <v>-128944.06745098032</v>
      </c>
      <c r="R880">
        <f t="shared" si="1011"/>
        <v>1444335.5291793442</v>
      </c>
      <c r="S880">
        <f t="shared" si="1012"/>
        <v>14.443355291793441</v>
      </c>
      <c r="T880">
        <f t="shared" si="1013"/>
        <v>1.4443355291793442E-2</v>
      </c>
    </row>
    <row r="881" spans="1:20" x14ac:dyDescent="0.25">
      <c r="A881" s="5">
        <v>43712</v>
      </c>
      <c r="B881">
        <v>1.0829</v>
      </c>
      <c r="C881">
        <v>1.0874999999999999</v>
      </c>
      <c r="D881">
        <v>1.0464</v>
      </c>
      <c r="E881">
        <v>1.0688</v>
      </c>
      <c r="F881">
        <v>146569.07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9.0024330900244393E-2</v>
      </c>
      <c r="Q881">
        <f t="shared" si="1010"/>
        <v>13194.782457421084</v>
      </c>
      <c r="R881">
        <f t="shared" si="1011"/>
        <v>1573279.5966303246</v>
      </c>
      <c r="S881">
        <f t="shared" si="1012"/>
        <v>15.732795966303247</v>
      </c>
      <c r="T881">
        <f t="shared" si="1013"/>
        <v>1.5732795966303247E-2</v>
      </c>
    </row>
    <row r="882" spans="1:20" x14ac:dyDescent="0.25">
      <c r="A882" s="5">
        <v>43711</v>
      </c>
      <c r="B882">
        <v>1.0909</v>
      </c>
      <c r="C882">
        <v>1.1111</v>
      </c>
      <c r="D882">
        <v>1.0690999999999999</v>
      </c>
      <c r="E882">
        <v>1.0874999999999999</v>
      </c>
      <c r="F882">
        <v>154907.82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-0.12380952380952592</v>
      </c>
      <c r="Q882">
        <f t="shared" si="1010"/>
        <v>-19179.063428571757</v>
      </c>
      <c r="R882">
        <f t="shared" si="1011"/>
        <v>1560084.8141729035</v>
      </c>
      <c r="S882">
        <f t="shared" si="1012"/>
        <v>15.600848141729035</v>
      </c>
      <c r="T882">
        <f t="shared" si="1013"/>
        <v>1.5600848141729035E-2</v>
      </c>
    </row>
    <row r="883" spans="1:20" x14ac:dyDescent="0.25">
      <c r="A883" s="5">
        <v>43710</v>
      </c>
      <c r="B883">
        <v>1.0860000000000001</v>
      </c>
      <c r="C883">
        <v>1.1071</v>
      </c>
      <c r="D883">
        <v>1.0607</v>
      </c>
      <c r="E883">
        <v>1.093</v>
      </c>
      <c r="F883">
        <v>133087.45000000001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0.39224137931034475</v>
      </c>
      <c r="Q883">
        <f t="shared" si="1010"/>
        <v>52202.404956896549</v>
      </c>
      <c r="R883">
        <f t="shared" si="1011"/>
        <v>1579263.8776014752</v>
      </c>
      <c r="S883">
        <f t="shared" si="1012"/>
        <v>15.792638776014753</v>
      </c>
      <c r="T883">
        <f t="shared" si="1013"/>
        <v>1.5792638776014754E-2</v>
      </c>
    </row>
    <row r="884" spans="1:20" x14ac:dyDescent="0.25">
      <c r="A884" s="5">
        <v>43709</v>
      </c>
      <c r="B884">
        <v>1.0878000000000001</v>
      </c>
      <c r="C884">
        <v>1.1065</v>
      </c>
      <c r="D884">
        <v>1.0688</v>
      </c>
      <c r="E884">
        <v>1.0810999999999999</v>
      </c>
      <c r="F884">
        <v>80084.740000000005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-0.3474801061007981</v>
      </c>
      <c r="Q884">
        <f t="shared" si="1010"/>
        <v>-27827.853952254831</v>
      </c>
      <c r="R884">
        <f t="shared" si="1011"/>
        <v>1527061.4726445787</v>
      </c>
      <c r="S884">
        <f t="shared" si="1012"/>
        <v>15.270614726445787</v>
      </c>
      <c r="T884">
        <f t="shared" si="1013"/>
        <v>1.5270614726445787E-2</v>
      </c>
    </row>
    <row r="885" spans="1:20" x14ac:dyDescent="0.25">
      <c r="A885" s="5">
        <v>43708</v>
      </c>
      <c r="B885">
        <v>1.0737000000000001</v>
      </c>
      <c r="C885">
        <v>1.0906</v>
      </c>
      <c r="D885">
        <v>1.0552999999999999</v>
      </c>
      <c r="E885">
        <v>1.0887</v>
      </c>
      <c r="F885">
        <v>41280.76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0.89235127478753506</v>
      </c>
      <c r="Q885">
        <f t="shared" si="1010"/>
        <v>36836.938810198291</v>
      </c>
      <c r="R885">
        <f t="shared" si="1011"/>
        <v>1554889.3265968335</v>
      </c>
      <c r="S885">
        <f t="shared" si="1012"/>
        <v>15.548893265968335</v>
      </c>
      <c r="T885">
        <f t="shared" si="1013"/>
        <v>1.5548893265968335E-2</v>
      </c>
    </row>
    <row r="886" spans="1:20" x14ac:dyDescent="0.25">
      <c r="A886" s="5">
        <v>43707</v>
      </c>
      <c r="B886">
        <v>1.0588</v>
      </c>
      <c r="C886">
        <v>1.0894999999999999</v>
      </c>
      <c r="D886">
        <v>1.0484</v>
      </c>
      <c r="E886">
        <v>1.0737000000000001</v>
      </c>
      <c r="F886">
        <v>66812.17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0.23114355231144296</v>
      </c>
      <c r="Q886">
        <f t="shared" si="1010"/>
        <v>15443.20231143602</v>
      </c>
      <c r="R886">
        <f t="shared" si="1011"/>
        <v>1518052.3877866352</v>
      </c>
      <c r="S886">
        <f t="shared" si="1012"/>
        <v>15.180523877866351</v>
      </c>
      <c r="T886">
        <f t="shared" si="1013"/>
        <v>1.518052387786635E-2</v>
      </c>
    </row>
    <row r="887" spans="1:20" x14ac:dyDescent="0.25">
      <c r="A887" s="5">
        <v>43706</v>
      </c>
      <c r="B887">
        <v>1.0945</v>
      </c>
      <c r="C887">
        <v>1.0945</v>
      </c>
      <c r="D887">
        <v>1.0241</v>
      </c>
      <c r="E887">
        <v>1.0588</v>
      </c>
      <c r="F887">
        <v>357397.16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-1.4204545454547041E-2</v>
      </c>
      <c r="Q887">
        <f t="shared" si="1010"/>
        <v>-5076.6642045460212</v>
      </c>
      <c r="R887">
        <f t="shared" si="1011"/>
        <v>1502609.1854751993</v>
      </c>
      <c r="S887">
        <f t="shared" si="1012"/>
        <v>15.026091854751993</v>
      </c>
      <c r="T887">
        <f t="shared" si="1013"/>
        <v>1.5026091854751993E-2</v>
      </c>
    </row>
    <row r="888" spans="1:20" x14ac:dyDescent="0.25">
      <c r="A888" s="5">
        <v>43705</v>
      </c>
      <c r="B888">
        <v>1.1734</v>
      </c>
      <c r="C888">
        <v>1.1893</v>
      </c>
      <c r="D888">
        <v>1.0683</v>
      </c>
      <c r="E888">
        <v>1.0952999999999999</v>
      </c>
      <c r="F888">
        <v>347410.4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-0.55371900826446419</v>
      </c>
      <c r="Q888">
        <f t="shared" si="1010"/>
        <v>-192367.74214876082</v>
      </c>
      <c r="R888">
        <f t="shared" si="1011"/>
        <v>1507685.8496797453</v>
      </c>
      <c r="S888">
        <f t="shared" si="1012"/>
        <v>15.076858496797453</v>
      </c>
      <c r="T888">
        <f t="shared" si="1013"/>
        <v>1.5076858496797452E-2</v>
      </c>
    </row>
    <row r="889" spans="1:20" x14ac:dyDescent="0.25">
      <c r="A889" s="5">
        <v>43704</v>
      </c>
      <c r="B889">
        <v>1.2269000000000001</v>
      </c>
      <c r="C889">
        <v>1.2329000000000001</v>
      </c>
      <c r="D889">
        <v>1.165</v>
      </c>
      <c r="E889">
        <v>1.1772</v>
      </c>
      <c r="F889">
        <v>116515.55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-0.64064801178203312</v>
      </c>
      <c r="Q889">
        <f t="shared" si="1010"/>
        <v>-74645.455449190078</v>
      </c>
      <c r="R889">
        <f t="shared" si="1011"/>
        <v>1700053.5918285062</v>
      </c>
      <c r="S889">
        <f t="shared" si="1012"/>
        <v>17.000535918285063</v>
      </c>
      <c r="T889">
        <f t="shared" si="1013"/>
        <v>1.7000535918285063E-2</v>
      </c>
    </row>
    <row r="890" spans="1:20" x14ac:dyDescent="0.25">
      <c r="A890" s="5">
        <v>43703</v>
      </c>
      <c r="B890">
        <v>1.238</v>
      </c>
      <c r="C890">
        <v>1.2796000000000001</v>
      </c>
      <c r="D890">
        <v>1.2050000000000001</v>
      </c>
      <c r="E890">
        <v>1.2273000000000001</v>
      </c>
      <c r="F890">
        <v>171931.43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-0.40214477211796285</v>
      </c>
      <c r="Q890">
        <f t="shared" si="1010"/>
        <v>-69141.325737265477</v>
      </c>
      <c r="R890">
        <f t="shared" si="1011"/>
        <v>1774699.0472776962</v>
      </c>
      <c r="S890">
        <f t="shared" si="1012"/>
        <v>17.746990472776961</v>
      </c>
      <c r="T890">
        <f t="shared" si="1013"/>
        <v>1.7746990472776961E-2</v>
      </c>
    </row>
    <row r="891" spans="1:20" x14ac:dyDescent="0.25">
      <c r="A891" s="5">
        <v>43702</v>
      </c>
      <c r="B891">
        <v>1.2617</v>
      </c>
      <c r="C891">
        <v>1.29</v>
      </c>
      <c r="D891">
        <v>1.2317</v>
      </c>
      <c r="E891">
        <v>1.2353000000000001</v>
      </c>
      <c r="F891">
        <v>186529.01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-0.87650085763293151</v>
      </c>
      <c r="Q891">
        <f t="shared" si="1010"/>
        <v>-163492.83723842166</v>
      </c>
      <c r="R891">
        <f t="shared" si="1011"/>
        <v>1843840.3730149616</v>
      </c>
      <c r="S891">
        <f t="shared" si="1012"/>
        <v>18.438403730149616</v>
      </c>
      <c r="T891">
        <f t="shared" si="1013"/>
        <v>1.8438403730149617E-2</v>
      </c>
    </row>
    <row r="892" spans="1:20" x14ac:dyDescent="0.25">
      <c r="A892" s="5">
        <v>43701</v>
      </c>
      <c r="B892">
        <v>1.2363999999999999</v>
      </c>
      <c r="C892">
        <v>1.2729999999999999</v>
      </c>
      <c r="D892">
        <v>1.1947000000000001</v>
      </c>
      <c r="E892">
        <v>1.2617</v>
      </c>
      <c r="F892">
        <v>201784.33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0.71136653895274859</v>
      </c>
      <c r="Q892">
        <f t="shared" si="1010"/>
        <v>143542.62044699927</v>
      </c>
      <c r="R892">
        <f t="shared" si="1011"/>
        <v>2007333.2102533833</v>
      </c>
      <c r="S892">
        <f t="shared" si="1012"/>
        <v>20.073332102533833</v>
      </c>
      <c r="T892">
        <f t="shared" si="1013"/>
        <v>2.0073332102533831E-2</v>
      </c>
    </row>
    <row r="893" spans="1:20" x14ac:dyDescent="0.25">
      <c r="A893" s="5">
        <v>43700</v>
      </c>
      <c r="B893">
        <v>1.2322</v>
      </c>
      <c r="C893">
        <v>1.2555000000000001</v>
      </c>
      <c r="D893">
        <v>1.2206999999999999</v>
      </c>
      <c r="E893">
        <v>1.2357</v>
      </c>
      <c r="F893">
        <v>112727.14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-0.13793103448275554</v>
      </c>
      <c r="Q893">
        <f t="shared" si="1010"/>
        <v>-15548.571034482411</v>
      </c>
      <c r="R893">
        <f t="shared" si="1011"/>
        <v>1863790.5898063839</v>
      </c>
      <c r="S893">
        <f t="shared" si="1012"/>
        <v>18.637905898063838</v>
      </c>
      <c r="T893">
        <f t="shared" si="1013"/>
        <v>1.8637905898063838E-2</v>
      </c>
    </row>
    <row r="894" spans="1:20" x14ac:dyDescent="0.25">
      <c r="A894" s="5">
        <v>43699</v>
      </c>
      <c r="B894">
        <v>1.1867000000000001</v>
      </c>
      <c r="C894">
        <v>1.2487999999999999</v>
      </c>
      <c r="D894">
        <v>1.1580999999999999</v>
      </c>
      <c r="E894">
        <v>1.2336</v>
      </c>
      <c r="F894">
        <v>152582.25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0.66482910694597841</v>
      </c>
      <c r="Q894">
        <f t="shared" si="1010"/>
        <v>101441.12100330801</v>
      </c>
      <c r="R894">
        <f t="shared" si="1011"/>
        <v>1879339.1608408664</v>
      </c>
      <c r="S894">
        <f t="shared" si="1012"/>
        <v>18.793391608408665</v>
      </c>
      <c r="T894">
        <f t="shared" si="1013"/>
        <v>1.8793391608408667E-2</v>
      </c>
    </row>
    <row r="895" spans="1:20" x14ac:dyDescent="0.25">
      <c r="A895" s="5">
        <v>43698</v>
      </c>
      <c r="B895">
        <v>1.2265999999999999</v>
      </c>
      <c r="C895">
        <v>1.2265999999999999</v>
      </c>
      <c r="D895">
        <v>1.1296999999999999</v>
      </c>
      <c r="E895">
        <v>1.1839</v>
      </c>
      <c r="F895">
        <v>121090.21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0.11867905056759616</v>
      </c>
      <c r="Q895">
        <f t="shared" ref="Q895:Q958" si="1015">F895*P895</f>
        <v>14370.871155830839</v>
      </c>
      <c r="R895">
        <f t="shared" ref="R895:R958" si="1016">R896+Q895</f>
        <v>1777898.0398375583</v>
      </c>
      <c r="S895">
        <f t="shared" ref="S895:S958" si="1017">R895/100000</f>
        <v>17.778980398375584</v>
      </c>
      <c r="T895">
        <f t="shared" ref="T895:T958" si="1018">S895/1000</f>
        <v>1.7778980398375582E-2</v>
      </c>
    </row>
    <row r="896" spans="1:20" x14ac:dyDescent="0.25">
      <c r="A896" s="5">
        <v>43697</v>
      </c>
      <c r="B896">
        <v>1.2386999999999999</v>
      </c>
      <c r="C896">
        <v>1.2445999999999999</v>
      </c>
      <c r="D896">
        <v>1.2042999999999999</v>
      </c>
      <c r="E896">
        <v>1.2195</v>
      </c>
      <c r="F896">
        <v>50538.77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-0.24565756823820836</v>
      </c>
      <c r="Q896">
        <f t="shared" si="1015"/>
        <v>-12415.231339950116</v>
      </c>
      <c r="R896">
        <f t="shared" si="1016"/>
        <v>1763527.1686817275</v>
      </c>
      <c r="S896">
        <f t="shared" si="1017"/>
        <v>17.635271686817276</v>
      </c>
      <c r="T896">
        <f t="shared" si="1018"/>
        <v>1.7635271686817278E-2</v>
      </c>
    </row>
    <row r="897" spans="1:20" x14ac:dyDescent="0.25">
      <c r="A897" s="5">
        <v>43696</v>
      </c>
      <c r="B897">
        <v>1.2539</v>
      </c>
      <c r="C897">
        <v>1.2645999999999999</v>
      </c>
      <c r="D897">
        <v>1.2035</v>
      </c>
      <c r="E897">
        <v>1.2381</v>
      </c>
      <c r="F897">
        <v>96540.7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0.13256955810147308</v>
      </c>
      <c r="Q897">
        <f t="shared" si="1015"/>
        <v>12798.357937806883</v>
      </c>
      <c r="R897">
        <f t="shared" si="1016"/>
        <v>1775942.4000216776</v>
      </c>
      <c r="S897">
        <f t="shared" si="1017"/>
        <v>17.759424000216775</v>
      </c>
      <c r="T897">
        <f t="shared" si="1018"/>
        <v>1.7759424000216774E-2</v>
      </c>
    </row>
    <row r="898" spans="1:20" x14ac:dyDescent="0.25">
      <c r="A898" s="5">
        <v>43695</v>
      </c>
      <c r="B898">
        <v>1.2110000000000001</v>
      </c>
      <c r="C898">
        <v>1.2614000000000001</v>
      </c>
      <c r="D898">
        <v>1.1836</v>
      </c>
      <c r="E898">
        <v>1.2514000000000001</v>
      </c>
      <c r="F898">
        <v>131937.32999999999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0.74293059125964023</v>
      </c>
      <c r="Q898">
        <f t="shared" si="1015"/>
        <v>98020.278586118264</v>
      </c>
      <c r="R898">
        <f t="shared" si="1016"/>
        <v>1763144.0420838706</v>
      </c>
      <c r="S898">
        <f t="shared" si="1017"/>
        <v>17.631440420838707</v>
      </c>
      <c r="T898">
        <f t="shared" si="1018"/>
        <v>1.7631440420838706E-2</v>
      </c>
    </row>
    <row r="899" spans="1:20" x14ac:dyDescent="0.25">
      <c r="A899" s="5">
        <v>43694</v>
      </c>
      <c r="B899">
        <v>1.1548</v>
      </c>
      <c r="C899">
        <v>1.2116</v>
      </c>
      <c r="D899">
        <v>1.1395999999999999</v>
      </c>
      <c r="E899">
        <v>1.2112000000000001</v>
      </c>
      <c r="F899">
        <v>90929.05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0.98888888888889015</v>
      </c>
      <c r="Q899">
        <f t="shared" si="1015"/>
        <v>89918.72722222234</v>
      </c>
      <c r="R899">
        <f t="shared" si="1016"/>
        <v>1665123.7634977524</v>
      </c>
      <c r="S899">
        <f t="shared" si="1017"/>
        <v>16.651237634977523</v>
      </c>
      <c r="T899">
        <f t="shared" si="1018"/>
        <v>1.6651237634977525E-2</v>
      </c>
    </row>
    <row r="900" spans="1:20" x14ac:dyDescent="0.25">
      <c r="A900" s="5">
        <v>43693</v>
      </c>
      <c r="B900">
        <v>1.1671</v>
      </c>
      <c r="C900">
        <v>1.1797</v>
      </c>
      <c r="D900">
        <v>1.1175999999999999</v>
      </c>
      <c r="E900">
        <v>1.1597999999999999</v>
      </c>
      <c r="F900">
        <v>136079.57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0.3590982286634456</v>
      </c>
      <c r="Q900">
        <f t="shared" si="1015"/>
        <v>48865.932544283351</v>
      </c>
      <c r="R900">
        <f t="shared" si="1016"/>
        <v>1575205.03627553</v>
      </c>
      <c r="S900">
        <f t="shared" si="1017"/>
        <v>15.7520503627553</v>
      </c>
      <c r="T900">
        <f t="shared" si="1018"/>
        <v>1.5752050362755302E-2</v>
      </c>
    </row>
    <row r="901" spans="1:20" x14ac:dyDescent="0.25">
      <c r="A901" s="5">
        <v>43692</v>
      </c>
      <c r="B901">
        <v>1.1559999999999999</v>
      </c>
      <c r="C901">
        <v>1.1877</v>
      </c>
      <c r="D901">
        <v>1.1297999999999999</v>
      </c>
      <c r="E901">
        <v>1.167</v>
      </c>
      <c r="F901">
        <v>143528.97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0.28497409326425155</v>
      </c>
      <c r="Q901">
        <f t="shared" si="1015"/>
        <v>40902.038082901963</v>
      </c>
      <c r="R901">
        <f t="shared" si="1016"/>
        <v>1526339.1037312467</v>
      </c>
      <c r="S901">
        <f t="shared" si="1017"/>
        <v>15.263391037312466</v>
      </c>
      <c r="T901">
        <f t="shared" si="1018"/>
        <v>1.5263391037312467E-2</v>
      </c>
    </row>
    <row r="902" spans="1:20" x14ac:dyDescent="0.25">
      <c r="A902" s="5">
        <v>43691</v>
      </c>
      <c r="B902">
        <v>1.3525</v>
      </c>
      <c r="C902">
        <v>1.3533999999999999</v>
      </c>
      <c r="D902">
        <v>1.1158999999999999</v>
      </c>
      <c r="E902">
        <v>1.1538999999999999</v>
      </c>
      <c r="F902">
        <v>606009.26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-0.67999999999999983</v>
      </c>
      <c r="Q902">
        <f t="shared" si="1015"/>
        <v>-412086.29679999989</v>
      </c>
      <c r="R902">
        <f t="shared" si="1016"/>
        <v>1485437.0656483448</v>
      </c>
      <c r="S902">
        <f t="shared" si="1017"/>
        <v>14.854370656483448</v>
      </c>
      <c r="T902">
        <f t="shared" si="1018"/>
        <v>1.4854370656483448E-2</v>
      </c>
    </row>
    <row r="903" spans="1:20" x14ac:dyDescent="0.25">
      <c r="A903" s="5">
        <v>43690</v>
      </c>
      <c r="B903">
        <v>1.3737999999999999</v>
      </c>
      <c r="C903">
        <v>1.3768</v>
      </c>
      <c r="D903">
        <v>1.3157000000000001</v>
      </c>
      <c r="E903">
        <v>1.3523000000000001</v>
      </c>
      <c r="F903">
        <v>54542.01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0.19803600654664505</v>
      </c>
      <c r="Q903">
        <f t="shared" si="1015"/>
        <v>10801.28184942718</v>
      </c>
      <c r="R903">
        <f t="shared" si="1016"/>
        <v>1897523.3624483447</v>
      </c>
      <c r="S903">
        <f t="shared" si="1017"/>
        <v>18.975233624483447</v>
      </c>
      <c r="T903">
        <f t="shared" si="1018"/>
        <v>1.8975233624483449E-2</v>
      </c>
    </row>
    <row r="904" spans="1:20" x14ac:dyDescent="0.25">
      <c r="A904" s="5">
        <v>43689</v>
      </c>
      <c r="B904">
        <v>1.4226000000000001</v>
      </c>
      <c r="C904">
        <v>1.4265000000000001</v>
      </c>
      <c r="D904">
        <v>1.3566</v>
      </c>
      <c r="E904">
        <v>1.377</v>
      </c>
      <c r="F904">
        <v>78984.740000000005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-0.41630901287553784</v>
      </c>
      <c r="Q904">
        <f t="shared" si="1015"/>
        <v>-32882.059141631013</v>
      </c>
      <c r="R904">
        <f t="shared" si="1016"/>
        <v>1886722.0805989176</v>
      </c>
      <c r="S904">
        <f t="shared" si="1017"/>
        <v>18.867220805989177</v>
      </c>
      <c r="T904">
        <f t="shared" si="1018"/>
        <v>1.8867220805989179E-2</v>
      </c>
    </row>
    <row r="905" spans="1:20" x14ac:dyDescent="0.25">
      <c r="A905" s="5">
        <v>43688</v>
      </c>
      <c r="B905">
        <v>1.3160000000000001</v>
      </c>
      <c r="C905">
        <v>1.4420999999999999</v>
      </c>
      <c r="D905">
        <v>1.3160000000000001</v>
      </c>
      <c r="E905">
        <v>1.4252</v>
      </c>
      <c r="F905">
        <v>217877.88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0.731958762886599</v>
      </c>
      <c r="Q905">
        <f t="shared" si="1015"/>
        <v>159477.62350515489</v>
      </c>
      <c r="R905">
        <f t="shared" si="1016"/>
        <v>1919604.1397405486</v>
      </c>
      <c r="S905">
        <f t="shared" si="1017"/>
        <v>19.196041397405487</v>
      </c>
      <c r="T905">
        <f t="shared" si="1018"/>
        <v>1.9196041397405487E-2</v>
      </c>
    </row>
    <row r="906" spans="1:20" x14ac:dyDescent="0.25">
      <c r="A906" s="5">
        <v>43687</v>
      </c>
      <c r="B906">
        <v>1.3202</v>
      </c>
      <c r="C906">
        <v>1.3549</v>
      </c>
      <c r="D906">
        <v>1.2794000000000001</v>
      </c>
      <c r="E906">
        <v>1.3169</v>
      </c>
      <c r="F906">
        <v>174676.53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-6.6225165562936112E-3</v>
      </c>
      <c r="Q906">
        <f t="shared" si="1015"/>
        <v>-1156.7982119209178</v>
      </c>
      <c r="R906">
        <f t="shared" si="1016"/>
        <v>1760126.5162353937</v>
      </c>
      <c r="S906">
        <f t="shared" si="1017"/>
        <v>17.601265162353936</v>
      </c>
      <c r="T906">
        <f t="shared" si="1018"/>
        <v>1.7601265162353937E-2</v>
      </c>
    </row>
    <row r="907" spans="1:20" x14ac:dyDescent="0.25">
      <c r="A907" s="5">
        <v>43686</v>
      </c>
      <c r="B907">
        <v>1.4234</v>
      </c>
      <c r="C907">
        <v>1.4351</v>
      </c>
      <c r="D907">
        <v>1.3045</v>
      </c>
      <c r="E907">
        <v>1.3199000000000001</v>
      </c>
      <c r="F907">
        <v>134128.06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-0.7641653905053587</v>
      </c>
      <c r="Q907">
        <f t="shared" si="1015"/>
        <v>-102496.02134762619</v>
      </c>
      <c r="R907">
        <f t="shared" si="1016"/>
        <v>1761283.3144473147</v>
      </c>
      <c r="S907">
        <f t="shared" si="1017"/>
        <v>17.612833144473147</v>
      </c>
      <c r="T907">
        <f t="shared" si="1018"/>
        <v>1.7612833144473147E-2</v>
      </c>
    </row>
    <row r="908" spans="1:20" x14ac:dyDescent="0.25">
      <c r="A908" s="5">
        <v>43685</v>
      </c>
      <c r="B908">
        <v>1.4404999999999999</v>
      </c>
      <c r="C908">
        <v>1.4802999999999999</v>
      </c>
      <c r="D908">
        <v>1.4016999999999999</v>
      </c>
      <c r="E908">
        <v>1.4225000000000001</v>
      </c>
      <c r="F908">
        <v>148867.32999999999</v>
      </c>
      <c r="G908">
        <v>0</v>
      </c>
      <c r="L908" t="s">
        <v>7</v>
      </c>
      <c r="M908" t="s">
        <v>7</v>
      </c>
      <c r="N908" t="s">
        <v>8</v>
      </c>
      <c r="P908">
        <f t="shared" si="1014"/>
        <v>-0.47073791348600125</v>
      </c>
      <c r="Q908">
        <f t="shared" si="1015"/>
        <v>-70077.49631043199</v>
      </c>
      <c r="R908">
        <f t="shared" si="1016"/>
        <v>1863779.3357949408</v>
      </c>
      <c r="S908">
        <f t="shared" si="1017"/>
        <v>18.637793357949409</v>
      </c>
      <c r="T908">
        <f t="shared" si="1018"/>
        <v>1.8637793357949409E-2</v>
      </c>
    </row>
    <row r="909" spans="1:20" x14ac:dyDescent="0.25">
      <c r="A909" s="5">
        <v>43684</v>
      </c>
      <c r="B909">
        <v>1.4715</v>
      </c>
      <c r="C909">
        <v>1.5004999999999999</v>
      </c>
      <c r="D909">
        <v>1.4001999999999999</v>
      </c>
      <c r="E909">
        <v>1.4447000000000001</v>
      </c>
      <c r="F909">
        <v>164138.65</v>
      </c>
      <c r="G909">
        <v>0</v>
      </c>
      <c r="L909" t="s">
        <v>7</v>
      </c>
      <c r="M909" t="s">
        <v>7</v>
      </c>
      <c r="N909" t="s">
        <v>8</v>
      </c>
      <c r="P909">
        <f t="shared" si="1014"/>
        <v>-0.112662013958122</v>
      </c>
      <c r="Q909">
        <f t="shared" si="1015"/>
        <v>-18492.190877367302</v>
      </c>
      <c r="R909">
        <f t="shared" si="1016"/>
        <v>1933856.8321053728</v>
      </c>
      <c r="S909">
        <f t="shared" si="1017"/>
        <v>19.338568321053728</v>
      </c>
      <c r="T909">
        <f t="shared" si="1018"/>
        <v>1.9338568321053729E-2</v>
      </c>
    </row>
    <row r="910" spans="1:20" x14ac:dyDescent="0.25">
      <c r="A910" s="5">
        <v>43683</v>
      </c>
      <c r="B910">
        <v>1.5496000000000001</v>
      </c>
      <c r="C910">
        <v>1.5626</v>
      </c>
      <c r="D910">
        <v>1.4523999999999999</v>
      </c>
      <c r="E910">
        <v>1.4737</v>
      </c>
      <c r="F910">
        <v>154495.23000000001</v>
      </c>
      <c r="G910">
        <v>0</v>
      </c>
      <c r="L910" t="s">
        <v>7</v>
      </c>
      <c r="M910" t="s">
        <v>7</v>
      </c>
      <c r="N910" t="s">
        <v>8</v>
      </c>
      <c r="P910">
        <f t="shared" si="1014"/>
        <v>-0.61343012704174082</v>
      </c>
      <c r="Q910">
        <f t="shared" si="1015"/>
        <v>-94772.028566242981</v>
      </c>
      <c r="R910">
        <f t="shared" si="1016"/>
        <v>1952349.0229827401</v>
      </c>
      <c r="S910">
        <f t="shared" si="1017"/>
        <v>19.523490229827402</v>
      </c>
      <c r="T910">
        <f t="shared" si="1018"/>
        <v>1.9523490229827401E-2</v>
      </c>
    </row>
    <row r="911" spans="1:20" x14ac:dyDescent="0.25">
      <c r="A911" s="5">
        <v>43682</v>
      </c>
      <c r="B911">
        <v>1.5273000000000001</v>
      </c>
      <c r="C911">
        <v>1.5841000000000001</v>
      </c>
      <c r="D911">
        <v>1.5218</v>
      </c>
      <c r="E911">
        <v>1.5483</v>
      </c>
      <c r="F911">
        <v>182118.58</v>
      </c>
      <c r="G911">
        <v>0</v>
      </c>
      <c r="L911" t="s">
        <v>8</v>
      </c>
      <c r="M911" t="s">
        <v>7</v>
      </c>
      <c r="N911" t="s">
        <v>8</v>
      </c>
      <c r="P911">
        <f t="shared" si="1014"/>
        <v>-0.14927768860353263</v>
      </c>
      <c r="Q911">
        <f t="shared" si="1015"/>
        <v>-27186.240674157543</v>
      </c>
      <c r="R911">
        <f t="shared" si="1016"/>
        <v>2047121.051548983</v>
      </c>
      <c r="S911">
        <f t="shared" si="1017"/>
        <v>20.47121051548983</v>
      </c>
      <c r="T911">
        <f t="shared" si="1018"/>
        <v>2.0471210515489828E-2</v>
      </c>
    </row>
    <row r="912" spans="1:20" x14ac:dyDescent="0.25">
      <c r="A912" s="5">
        <v>43681</v>
      </c>
      <c r="B912">
        <v>1.5362</v>
      </c>
      <c r="C912">
        <v>1.5484</v>
      </c>
      <c r="D912">
        <v>1.4833000000000001</v>
      </c>
      <c r="E912">
        <v>1.5236000000000001</v>
      </c>
      <c r="F912">
        <v>81857.929999999993</v>
      </c>
      <c r="G912">
        <v>0</v>
      </c>
      <c r="L912" t="s">
        <v>7</v>
      </c>
      <c r="M912" t="s">
        <v>7</v>
      </c>
      <c r="N912" t="s">
        <v>8</v>
      </c>
      <c r="P912">
        <f t="shared" si="1014"/>
        <v>0.23809523809523939</v>
      </c>
      <c r="Q912">
        <f t="shared" si="1015"/>
        <v>19489.983333333439</v>
      </c>
      <c r="R912">
        <f t="shared" si="1016"/>
        <v>2074307.2922231406</v>
      </c>
      <c r="S912">
        <f t="shared" si="1017"/>
        <v>20.743072922231406</v>
      </c>
      <c r="T912">
        <f t="shared" si="1018"/>
        <v>2.0743072922231407E-2</v>
      </c>
    </row>
    <row r="913" spans="1:20" x14ac:dyDescent="0.25">
      <c r="A913" s="5">
        <v>43680</v>
      </c>
      <c r="B913">
        <v>1.5349999999999999</v>
      </c>
      <c r="C913">
        <v>1.5535000000000001</v>
      </c>
      <c r="D913">
        <v>1.5213000000000001</v>
      </c>
      <c r="E913">
        <v>1.5362</v>
      </c>
      <c r="F913">
        <v>61566.9</v>
      </c>
      <c r="G913">
        <v>0</v>
      </c>
      <c r="L913" t="s">
        <v>8</v>
      </c>
      <c r="M913" t="s">
        <v>7</v>
      </c>
      <c r="N913" t="s">
        <v>8</v>
      </c>
      <c r="P913">
        <f t="shared" si="1014"/>
        <v>-7.4534161490688797E-2</v>
      </c>
      <c r="Q913">
        <f t="shared" si="1015"/>
        <v>-4588.8372670810886</v>
      </c>
      <c r="R913">
        <f t="shared" si="1016"/>
        <v>2054817.3088898072</v>
      </c>
      <c r="S913">
        <f t="shared" si="1017"/>
        <v>20.548173088898071</v>
      </c>
      <c r="T913">
        <f t="shared" si="1018"/>
        <v>2.0548173088898072E-2</v>
      </c>
    </row>
    <row r="914" spans="1:20" x14ac:dyDescent="0.25">
      <c r="A914" s="5">
        <v>43679</v>
      </c>
      <c r="B914">
        <v>1.5364</v>
      </c>
      <c r="C914">
        <v>1.5582</v>
      </c>
      <c r="D914">
        <v>1.5136000000000001</v>
      </c>
      <c r="E914">
        <v>1.5354000000000001</v>
      </c>
      <c r="F914">
        <v>79157.97</v>
      </c>
      <c r="G914">
        <v>0</v>
      </c>
      <c r="L914" t="s">
        <v>8</v>
      </c>
      <c r="M914" t="s">
        <v>7</v>
      </c>
      <c r="N914" t="s">
        <v>8</v>
      </c>
      <c r="P914">
        <f t="shared" si="1014"/>
        <v>-2.2421524663674676E-2</v>
      </c>
      <c r="Q914">
        <f t="shared" si="1015"/>
        <v>-1774.8423766814201</v>
      </c>
      <c r="R914">
        <f t="shared" si="1016"/>
        <v>2059406.1461568882</v>
      </c>
      <c r="S914">
        <f t="shared" si="1017"/>
        <v>20.594061461568881</v>
      </c>
      <c r="T914">
        <f t="shared" si="1018"/>
        <v>2.0594061461568881E-2</v>
      </c>
    </row>
    <row r="915" spans="1:20" x14ac:dyDescent="0.25">
      <c r="A915" s="5">
        <v>43678</v>
      </c>
      <c r="B915">
        <v>1.585</v>
      </c>
      <c r="C915">
        <v>1.5953999999999999</v>
      </c>
      <c r="D915">
        <v>1.5165999999999999</v>
      </c>
      <c r="E915">
        <v>1.5425</v>
      </c>
      <c r="F915">
        <v>112838.39999999999</v>
      </c>
      <c r="G915">
        <v>0</v>
      </c>
      <c r="L915" t="s">
        <v>8</v>
      </c>
      <c r="M915" t="s">
        <v>7</v>
      </c>
      <c r="N915" t="s">
        <v>8</v>
      </c>
      <c r="P915">
        <f t="shared" si="1014"/>
        <v>-0.34263959390862841</v>
      </c>
      <c r="Q915">
        <f t="shared" si="1015"/>
        <v>-38662.903553299373</v>
      </c>
      <c r="R915">
        <f t="shared" si="1016"/>
        <v>2061180.9885335697</v>
      </c>
      <c r="S915">
        <f t="shared" si="1017"/>
        <v>20.611809885335699</v>
      </c>
      <c r="T915">
        <f t="shared" si="1018"/>
        <v>2.0611809885335699E-2</v>
      </c>
    </row>
    <row r="916" spans="1:20" x14ac:dyDescent="0.25">
      <c r="A916" s="5">
        <v>43677</v>
      </c>
      <c r="B916">
        <v>1.538</v>
      </c>
      <c r="C916">
        <v>1.5894999999999999</v>
      </c>
      <c r="D916">
        <v>1.5296000000000001</v>
      </c>
      <c r="E916">
        <v>1.585</v>
      </c>
      <c r="F916">
        <v>105006.07</v>
      </c>
      <c r="G916">
        <v>0</v>
      </c>
      <c r="L916" t="s">
        <v>8</v>
      </c>
      <c r="M916" t="s">
        <v>7</v>
      </c>
      <c r="N916" t="s">
        <v>8</v>
      </c>
      <c r="P916">
        <f t="shared" si="1014"/>
        <v>0.84974958263773093</v>
      </c>
      <c r="Q916">
        <f t="shared" si="1015"/>
        <v>89228.864156928365</v>
      </c>
      <c r="R916">
        <f t="shared" si="1016"/>
        <v>2099843.8920868691</v>
      </c>
      <c r="S916">
        <f t="shared" si="1017"/>
        <v>20.99843892086869</v>
      </c>
      <c r="T916">
        <f t="shared" si="1018"/>
        <v>2.0998438920868692E-2</v>
      </c>
    </row>
    <row r="917" spans="1:20" x14ac:dyDescent="0.25">
      <c r="A917" s="5">
        <v>43676</v>
      </c>
      <c r="B917">
        <v>1.5246</v>
      </c>
      <c r="C917">
        <v>1.5576000000000001</v>
      </c>
      <c r="D917">
        <v>1.4923</v>
      </c>
      <c r="E917">
        <v>1.538</v>
      </c>
      <c r="F917">
        <v>66180.070000000007</v>
      </c>
      <c r="G917">
        <v>0</v>
      </c>
      <c r="L917" t="s">
        <v>8</v>
      </c>
      <c r="M917" t="s">
        <v>7</v>
      </c>
      <c r="N917" t="s">
        <v>8</v>
      </c>
      <c r="P917">
        <f t="shared" si="1014"/>
        <v>0.39969372128636993</v>
      </c>
      <c r="Q917">
        <f t="shared" si="1015"/>
        <v>26451.758453292456</v>
      </c>
      <c r="R917">
        <f t="shared" si="1016"/>
        <v>2010615.027929941</v>
      </c>
      <c r="S917">
        <f t="shared" si="1017"/>
        <v>20.10615027929941</v>
      </c>
      <c r="T917">
        <f t="shared" si="1018"/>
        <v>2.010615027929941E-2</v>
      </c>
    </row>
    <row r="918" spans="1:20" x14ac:dyDescent="0.25">
      <c r="A918" s="5">
        <v>43675</v>
      </c>
      <c r="B918">
        <v>1.5351999999999999</v>
      </c>
      <c r="C918">
        <v>1.5731999999999999</v>
      </c>
      <c r="D918">
        <v>1.4919</v>
      </c>
      <c r="E918">
        <v>1.5298</v>
      </c>
      <c r="F918">
        <v>93921.4</v>
      </c>
      <c r="G918">
        <v>0</v>
      </c>
      <c r="L918" t="s">
        <v>8</v>
      </c>
      <c r="M918" t="s">
        <v>7</v>
      </c>
      <c r="N918" t="s">
        <v>8</v>
      </c>
      <c r="P918">
        <f t="shared" si="1014"/>
        <v>-6.7650676506763138E-2</v>
      </c>
      <c r="Q918">
        <f t="shared" si="1015"/>
        <v>-6353.8462484623033</v>
      </c>
      <c r="R918">
        <f t="shared" si="1016"/>
        <v>1984163.2694766484</v>
      </c>
      <c r="S918">
        <f t="shared" si="1017"/>
        <v>19.841632694766485</v>
      </c>
      <c r="T918">
        <f t="shared" si="1018"/>
        <v>1.9841632694766485E-2</v>
      </c>
    </row>
    <row r="919" spans="1:20" x14ac:dyDescent="0.25">
      <c r="A919" s="5">
        <v>43674</v>
      </c>
      <c r="B919">
        <v>1.5844</v>
      </c>
      <c r="C919">
        <v>1.5963000000000001</v>
      </c>
      <c r="D919">
        <v>1.4</v>
      </c>
      <c r="E919">
        <v>1.5365</v>
      </c>
      <c r="F919">
        <v>163957.63</v>
      </c>
      <c r="G919">
        <v>0</v>
      </c>
      <c r="L919" t="s">
        <v>7</v>
      </c>
      <c r="M919" t="s">
        <v>7</v>
      </c>
      <c r="N919" t="s">
        <v>8</v>
      </c>
      <c r="P919">
        <f t="shared" si="1014"/>
        <v>0.39072847682119172</v>
      </c>
      <c r="Q919">
        <f t="shared" si="1015"/>
        <v>64062.915033112527</v>
      </c>
      <c r="R919">
        <f t="shared" si="1016"/>
        <v>1990517.1157251108</v>
      </c>
      <c r="S919">
        <f t="shared" si="1017"/>
        <v>19.905171157251107</v>
      </c>
      <c r="T919">
        <f t="shared" si="1018"/>
        <v>1.9905171157251107E-2</v>
      </c>
    </row>
    <row r="920" spans="1:20" x14ac:dyDescent="0.25">
      <c r="A920" s="5">
        <v>43673</v>
      </c>
      <c r="B920">
        <v>1.6847000000000001</v>
      </c>
      <c r="C920">
        <v>1.7350000000000001</v>
      </c>
      <c r="D920">
        <v>1.55</v>
      </c>
      <c r="E920">
        <v>1.5766</v>
      </c>
      <c r="F920">
        <v>375757.27</v>
      </c>
      <c r="G920">
        <v>0</v>
      </c>
      <c r="L920" t="s">
        <v>7</v>
      </c>
      <c r="M920" t="s">
        <v>7</v>
      </c>
      <c r="N920" t="s">
        <v>8</v>
      </c>
      <c r="P920">
        <f t="shared" si="1014"/>
        <v>-0.71243243243243293</v>
      </c>
      <c r="Q920">
        <f t="shared" si="1015"/>
        <v>-267701.66587027046</v>
      </c>
      <c r="R920">
        <f t="shared" si="1016"/>
        <v>1926454.2006919982</v>
      </c>
      <c r="S920">
        <f t="shared" si="1017"/>
        <v>19.264542006919982</v>
      </c>
      <c r="T920">
        <f t="shared" si="1018"/>
        <v>1.9264542006919981E-2</v>
      </c>
    </row>
    <row r="921" spans="1:20" x14ac:dyDescent="0.25">
      <c r="A921" s="5">
        <v>43672</v>
      </c>
      <c r="B921">
        <v>1.6898</v>
      </c>
      <c r="C921">
        <v>1.6961999999999999</v>
      </c>
      <c r="D921">
        <v>1.645</v>
      </c>
      <c r="E921">
        <v>1.6826000000000001</v>
      </c>
      <c r="F921">
        <v>93883.68</v>
      </c>
      <c r="G921">
        <v>0</v>
      </c>
      <c r="L921" t="s">
        <v>8</v>
      </c>
      <c r="M921" t="s">
        <v>7</v>
      </c>
      <c r="N921" t="s">
        <v>8</v>
      </c>
      <c r="P921">
        <f t="shared" si="1014"/>
        <v>0.46875000000000555</v>
      </c>
      <c r="Q921">
        <f t="shared" si="1015"/>
        <v>44007.975000000515</v>
      </c>
      <c r="R921">
        <f t="shared" si="1016"/>
        <v>2194155.8665622687</v>
      </c>
      <c r="S921">
        <f t="shared" si="1017"/>
        <v>21.941558665622686</v>
      </c>
      <c r="T921">
        <f t="shared" si="1018"/>
        <v>2.1941558665622685E-2</v>
      </c>
    </row>
    <row r="922" spans="1:20" x14ac:dyDescent="0.25">
      <c r="A922" s="5">
        <v>43671</v>
      </c>
      <c r="B922">
        <v>1.7115</v>
      </c>
      <c r="C922">
        <v>1.7390000000000001</v>
      </c>
      <c r="D922">
        <v>1.677</v>
      </c>
      <c r="E922">
        <v>1.6959</v>
      </c>
      <c r="F922">
        <v>231489.94</v>
      </c>
      <c r="G922">
        <v>0</v>
      </c>
      <c r="L922" t="s">
        <v>8</v>
      </c>
      <c r="M922" t="s">
        <v>7</v>
      </c>
      <c r="N922" t="s">
        <v>8</v>
      </c>
      <c r="P922">
        <f t="shared" si="1014"/>
        <v>-0.39032258064516451</v>
      </c>
      <c r="Q922">
        <f t="shared" si="1015"/>
        <v>-90355.750774194297</v>
      </c>
      <c r="R922">
        <f t="shared" si="1016"/>
        <v>2150147.8915622681</v>
      </c>
      <c r="S922">
        <f t="shared" si="1017"/>
        <v>21.50147891562268</v>
      </c>
      <c r="T922">
        <f t="shared" si="1018"/>
        <v>2.1501478915622679E-2</v>
      </c>
    </row>
    <row r="923" spans="1:20" x14ac:dyDescent="0.25">
      <c r="A923" s="5">
        <v>43670</v>
      </c>
      <c r="B923">
        <v>1.5601</v>
      </c>
      <c r="C923">
        <v>1.7209000000000001</v>
      </c>
      <c r="D923">
        <v>1.4985999999999999</v>
      </c>
      <c r="E923">
        <v>1.7065999999999999</v>
      </c>
      <c r="F923">
        <v>393699.3</v>
      </c>
      <c r="G923">
        <v>0</v>
      </c>
      <c r="L923" t="s">
        <v>7</v>
      </c>
      <c r="M923" t="s">
        <v>7</v>
      </c>
      <c r="N923" t="s">
        <v>8</v>
      </c>
      <c r="P923">
        <f t="shared" si="1014"/>
        <v>0.87134502923976431</v>
      </c>
      <c r="Q923">
        <f t="shared" si="1015"/>
        <v>343047.9280701747</v>
      </c>
      <c r="R923">
        <f t="shared" si="1016"/>
        <v>2240503.6423364626</v>
      </c>
      <c r="S923">
        <f t="shared" si="1017"/>
        <v>22.405036423364628</v>
      </c>
      <c r="T923">
        <f t="shared" si="1018"/>
        <v>2.2405036423364628E-2</v>
      </c>
    </row>
    <row r="924" spans="1:20" x14ac:dyDescent="0.25">
      <c r="A924" s="5">
        <v>43669</v>
      </c>
      <c r="B924">
        <v>1.6449</v>
      </c>
      <c r="C924">
        <v>1.6658999999999999</v>
      </c>
      <c r="D924">
        <v>1.5392999999999999</v>
      </c>
      <c r="E924">
        <v>1.5528999999999999</v>
      </c>
      <c r="F924">
        <v>354692.35</v>
      </c>
      <c r="G924">
        <v>0</v>
      </c>
      <c r="L924" t="s">
        <v>7</v>
      </c>
      <c r="M924" t="s">
        <v>7</v>
      </c>
      <c r="N924" t="s">
        <v>8</v>
      </c>
      <c r="P924">
        <f t="shared" si="1014"/>
        <v>-0.78515007898894074</v>
      </c>
      <c r="Q924">
        <f t="shared" si="1015"/>
        <v>-278486.72661927302</v>
      </c>
      <c r="R924">
        <f t="shared" si="1016"/>
        <v>1897455.7142662881</v>
      </c>
      <c r="S924">
        <f t="shared" si="1017"/>
        <v>18.974557142662881</v>
      </c>
      <c r="T924">
        <f t="shared" si="1018"/>
        <v>1.8974557142662881E-2</v>
      </c>
    </row>
    <row r="925" spans="1:20" x14ac:dyDescent="0.25">
      <c r="A925" s="5">
        <v>43668</v>
      </c>
      <c r="B925">
        <v>1.7303999999999999</v>
      </c>
      <c r="C925">
        <v>1.7354000000000001</v>
      </c>
      <c r="D925">
        <v>1.6095999999999999</v>
      </c>
      <c r="E925">
        <v>1.6551</v>
      </c>
      <c r="F925">
        <v>171161.11</v>
      </c>
      <c r="G925">
        <v>0</v>
      </c>
      <c r="L925" t="s">
        <v>7</v>
      </c>
      <c r="M925" t="s">
        <v>8</v>
      </c>
      <c r="N925" t="s">
        <v>8</v>
      </c>
      <c r="P925">
        <f t="shared" si="1014"/>
        <v>-0.27662957074721706</v>
      </c>
      <c r="Q925">
        <f t="shared" si="1015"/>
        <v>-47348.224387917195</v>
      </c>
      <c r="R925">
        <f t="shared" si="1016"/>
        <v>2175942.4408855611</v>
      </c>
      <c r="S925">
        <f t="shared" si="1017"/>
        <v>21.759424408855612</v>
      </c>
      <c r="T925">
        <f t="shared" si="1018"/>
        <v>2.1759424408855612E-2</v>
      </c>
    </row>
    <row r="926" spans="1:20" x14ac:dyDescent="0.25">
      <c r="A926" s="5">
        <v>43667</v>
      </c>
      <c r="B926">
        <v>1.7073</v>
      </c>
      <c r="C926">
        <v>1.76</v>
      </c>
      <c r="D926">
        <v>1.6525000000000001</v>
      </c>
      <c r="E926">
        <v>1.7232000000000001</v>
      </c>
      <c r="F926">
        <v>250574.86</v>
      </c>
      <c r="G926">
        <v>0</v>
      </c>
      <c r="L926" t="s">
        <v>7</v>
      </c>
      <c r="M926" t="s">
        <v>8</v>
      </c>
      <c r="N926" t="s">
        <v>8</v>
      </c>
      <c r="P926">
        <f t="shared" si="1014"/>
        <v>0.3153488372093029</v>
      </c>
      <c r="Q926">
        <f t="shared" si="1015"/>
        <v>79018.490734883861</v>
      </c>
      <c r="R926">
        <f t="shared" si="1016"/>
        <v>2223290.6652734783</v>
      </c>
      <c r="S926">
        <f t="shared" si="1017"/>
        <v>22.232906652734783</v>
      </c>
      <c r="T926">
        <f t="shared" si="1018"/>
        <v>2.2232906652734783E-2</v>
      </c>
    </row>
    <row r="927" spans="1:20" x14ac:dyDescent="0.25">
      <c r="A927" s="5">
        <v>43666</v>
      </c>
      <c r="B927">
        <v>1.5316000000000001</v>
      </c>
      <c r="C927">
        <v>1.8495999999999999</v>
      </c>
      <c r="D927">
        <v>1.5304</v>
      </c>
      <c r="E927">
        <v>1.7073</v>
      </c>
      <c r="F927">
        <v>587924.87</v>
      </c>
      <c r="G927">
        <v>0</v>
      </c>
      <c r="L927" t="s">
        <v>8</v>
      </c>
      <c r="M927" t="s">
        <v>8</v>
      </c>
      <c r="N927" t="s">
        <v>8</v>
      </c>
      <c r="P927">
        <f t="shared" si="1014"/>
        <v>0.10839598997493795</v>
      </c>
      <c r="Q927">
        <f t="shared" si="1015"/>
        <v>63728.698314536698</v>
      </c>
      <c r="R927">
        <f t="shared" si="1016"/>
        <v>2144272.1745385942</v>
      </c>
      <c r="S927">
        <f t="shared" si="1017"/>
        <v>21.442721745385942</v>
      </c>
      <c r="T927">
        <f t="shared" si="1018"/>
        <v>2.1442721745385942E-2</v>
      </c>
    </row>
    <row r="928" spans="1:20" x14ac:dyDescent="0.25">
      <c r="A928" s="5">
        <v>43665</v>
      </c>
      <c r="B928">
        <v>1.5251999999999999</v>
      </c>
      <c r="C928">
        <v>1.5367999999999999</v>
      </c>
      <c r="D928">
        <v>1.4555</v>
      </c>
      <c r="E928">
        <v>1.5316000000000001</v>
      </c>
      <c r="F928">
        <v>236139.48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0.87207872078721094</v>
      </c>
      <c r="Q928">
        <f t="shared" si="1015"/>
        <v>205932.21564575718</v>
      </c>
      <c r="R928">
        <f t="shared" si="1016"/>
        <v>2080543.4762240574</v>
      </c>
      <c r="S928">
        <f t="shared" si="1017"/>
        <v>20.805434762240573</v>
      </c>
      <c r="T928">
        <f t="shared" si="1018"/>
        <v>2.0805434762240574E-2</v>
      </c>
    </row>
    <row r="929" spans="1:20" x14ac:dyDescent="0.25">
      <c r="A929" s="5">
        <v>43664</v>
      </c>
      <c r="B929">
        <v>1.4018999999999999</v>
      </c>
      <c r="C929">
        <v>1.5587</v>
      </c>
      <c r="D929">
        <v>1.3746</v>
      </c>
      <c r="E929">
        <v>1.5259</v>
      </c>
      <c r="F929">
        <v>445948.26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0.64367191743617647</v>
      </c>
      <c r="Q929">
        <f t="shared" si="1015"/>
        <v>287044.37159152655</v>
      </c>
      <c r="R929">
        <f t="shared" si="1016"/>
        <v>1874611.2605783001</v>
      </c>
      <c r="S929">
        <f t="shared" si="1017"/>
        <v>18.746112605783001</v>
      </c>
      <c r="T929">
        <f t="shared" si="1018"/>
        <v>1.8746112605783002E-2</v>
      </c>
    </row>
    <row r="930" spans="1:20" x14ac:dyDescent="0.25">
      <c r="A930" s="5">
        <v>43663</v>
      </c>
      <c r="B930">
        <v>1.3492999999999999</v>
      </c>
      <c r="C930">
        <v>1.476</v>
      </c>
      <c r="D930">
        <v>1.3042</v>
      </c>
      <c r="E930">
        <v>1.4013</v>
      </c>
      <c r="F930">
        <v>398887.05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0.13038416763678687</v>
      </c>
      <c r="Q930">
        <f t="shared" si="1015"/>
        <v>52008.555995343384</v>
      </c>
      <c r="R930">
        <f t="shared" si="1016"/>
        <v>1587566.8889867736</v>
      </c>
      <c r="S930">
        <f t="shared" si="1017"/>
        <v>15.875668889867736</v>
      </c>
      <c r="T930">
        <f t="shared" si="1018"/>
        <v>1.5875668889867738E-2</v>
      </c>
    </row>
    <row r="931" spans="1:20" x14ac:dyDescent="0.25">
      <c r="A931" s="5">
        <v>43662</v>
      </c>
      <c r="B931">
        <v>1.5728</v>
      </c>
      <c r="C931">
        <v>1.607</v>
      </c>
      <c r="D931">
        <v>1.3170999999999999</v>
      </c>
      <c r="E931">
        <v>1.3440000000000001</v>
      </c>
      <c r="F931">
        <v>403150.18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-0.81441876509140987</v>
      </c>
      <c r="Q931">
        <f t="shared" si="1015"/>
        <v>-328333.07174197963</v>
      </c>
      <c r="R931">
        <f t="shared" si="1016"/>
        <v>1535558.3329914301</v>
      </c>
      <c r="S931">
        <f t="shared" si="1017"/>
        <v>15.355583329914301</v>
      </c>
      <c r="T931">
        <f t="shared" si="1018"/>
        <v>1.5355583329914302E-2</v>
      </c>
    </row>
    <row r="932" spans="1:20" x14ac:dyDescent="0.25">
      <c r="A932" s="5">
        <v>43661</v>
      </c>
      <c r="B932">
        <v>1.5592999999999999</v>
      </c>
      <c r="C932">
        <v>1.6188</v>
      </c>
      <c r="D932">
        <v>1.3589</v>
      </c>
      <c r="E932">
        <v>1.5818000000000001</v>
      </c>
      <c r="F932">
        <v>690479.03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0.71527510580992748</v>
      </c>
      <c r="Q932">
        <f t="shared" si="1015"/>
        <v>493882.46124278608</v>
      </c>
      <c r="R932">
        <f t="shared" si="1016"/>
        <v>1863891.4047334096</v>
      </c>
      <c r="S932">
        <f t="shared" si="1017"/>
        <v>18.638914047334097</v>
      </c>
      <c r="T932">
        <f t="shared" si="1018"/>
        <v>1.8638914047334098E-2</v>
      </c>
    </row>
    <row r="933" spans="1:20" x14ac:dyDescent="0.25">
      <c r="A933" s="5">
        <v>43660</v>
      </c>
      <c r="B933">
        <v>1.8603000000000001</v>
      </c>
      <c r="C933">
        <v>1.8673</v>
      </c>
      <c r="D933">
        <v>1.5569</v>
      </c>
      <c r="E933">
        <v>1.5569</v>
      </c>
      <c r="F933">
        <v>598808.51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-1</v>
      </c>
      <c r="Q933">
        <f t="shared" si="1015"/>
        <v>-598808.51</v>
      </c>
      <c r="R933">
        <f t="shared" si="1016"/>
        <v>1370008.9434906235</v>
      </c>
      <c r="S933">
        <f t="shared" si="1017"/>
        <v>13.700089434906236</v>
      </c>
      <c r="T933">
        <f t="shared" si="1018"/>
        <v>1.3700089434906236E-2</v>
      </c>
    </row>
    <row r="934" spans="1:20" x14ac:dyDescent="0.25">
      <c r="A934" s="5">
        <v>43659</v>
      </c>
      <c r="B934">
        <v>1.9953000000000001</v>
      </c>
      <c r="C934">
        <v>1.9953000000000001</v>
      </c>
      <c r="D934">
        <v>1.7801</v>
      </c>
      <c r="E934">
        <v>1.8582000000000001</v>
      </c>
      <c r="F934">
        <v>247863.78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-0.27416356877323383</v>
      </c>
      <c r="Q934">
        <f t="shared" si="1015"/>
        <v>-67955.218494423694</v>
      </c>
      <c r="R934">
        <f t="shared" si="1016"/>
        <v>1968817.4534906235</v>
      </c>
      <c r="S934">
        <f t="shared" si="1017"/>
        <v>19.688174534906235</v>
      </c>
      <c r="T934">
        <f t="shared" si="1018"/>
        <v>1.9688174534906237E-2</v>
      </c>
    </row>
    <row r="935" spans="1:20" x14ac:dyDescent="0.25">
      <c r="A935" s="5">
        <v>43658</v>
      </c>
      <c r="B935">
        <v>1.919</v>
      </c>
      <c r="C935">
        <v>2.0192000000000001</v>
      </c>
      <c r="D935">
        <v>1.8779999999999999</v>
      </c>
      <c r="E935">
        <v>1.9954000000000001</v>
      </c>
      <c r="F935">
        <v>279910.25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0.66288951841359767</v>
      </c>
      <c r="Q935">
        <f t="shared" si="1015"/>
        <v>185549.57082152972</v>
      </c>
      <c r="R935">
        <f t="shared" si="1016"/>
        <v>2036772.6719850472</v>
      </c>
      <c r="S935">
        <f t="shared" si="1017"/>
        <v>20.36772671985047</v>
      </c>
      <c r="T935">
        <f t="shared" si="1018"/>
        <v>2.036772671985047E-2</v>
      </c>
    </row>
    <row r="936" spans="1:20" x14ac:dyDescent="0.25">
      <c r="A936" s="5">
        <v>43657</v>
      </c>
      <c r="B936">
        <v>2.2244999999999999</v>
      </c>
      <c r="C936">
        <v>2.2261000000000002</v>
      </c>
      <c r="D936">
        <v>1.8452</v>
      </c>
      <c r="E936">
        <v>1.9256</v>
      </c>
      <c r="F936">
        <v>601984.46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-0.57784195326857457</v>
      </c>
      <c r="Q936">
        <f t="shared" si="1015"/>
        <v>-347851.87620372808</v>
      </c>
      <c r="R936">
        <f t="shared" si="1016"/>
        <v>1851223.1011635175</v>
      </c>
      <c r="S936">
        <f t="shared" si="1017"/>
        <v>18.512231011635176</v>
      </c>
      <c r="T936">
        <f t="shared" si="1018"/>
        <v>1.8512231011635176E-2</v>
      </c>
    </row>
    <row r="937" spans="1:20" x14ac:dyDescent="0.25">
      <c r="A937" s="5">
        <v>43656</v>
      </c>
      <c r="B937">
        <v>2.4215</v>
      </c>
      <c r="C937">
        <v>2.4864000000000002</v>
      </c>
      <c r="D937">
        <v>2.0952999999999999</v>
      </c>
      <c r="E937">
        <v>2.2320000000000002</v>
      </c>
      <c r="F937">
        <v>461822.89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-0.30094604960368099</v>
      </c>
      <c r="Q937">
        <f t="shared" si="1015"/>
        <v>-138983.77436205532</v>
      </c>
      <c r="R937">
        <f t="shared" si="1016"/>
        <v>2199074.9773672456</v>
      </c>
      <c r="S937">
        <f t="shared" si="1017"/>
        <v>21.990749773672455</v>
      </c>
      <c r="T937">
        <f t="shared" si="1018"/>
        <v>2.1990749773672456E-2</v>
      </c>
    </row>
    <row r="938" spans="1:20" x14ac:dyDescent="0.25">
      <c r="A938" s="5">
        <v>43655</v>
      </c>
      <c r="B938">
        <v>2.5604</v>
      </c>
      <c r="C938">
        <v>2.5800999999999998</v>
      </c>
      <c r="D938">
        <v>2.4</v>
      </c>
      <c r="E938">
        <v>2.4297</v>
      </c>
      <c r="F938">
        <v>393931.02</v>
      </c>
      <c r="G938">
        <v>0</v>
      </c>
      <c r="L938" t="s">
        <v>7</v>
      </c>
      <c r="M938" t="s">
        <v>8</v>
      </c>
      <c r="N938" t="s">
        <v>7</v>
      </c>
      <c r="P938">
        <f t="shared" si="1014"/>
        <v>-0.67018323153803361</v>
      </c>
      <c r="Q938">
        <f t="shared" si="1015"/>
        <v>-264005.96398667374</v>
      </c>
      <c r="R938">
        <f t="shared" si="1016"/>
        <v>2338058.7517293007</v>
      </c>
      <c r="S938">
        <f t="shared" si="1017"/>
        <v>23.380587517293009</v>
      </c>
      <c r="T938">
        <f t="shared" si="1018"/>
        <v>2.3380587517293008E-2</v>
      </c>
    </row>
    <row r="939" spans="1:20" x14ac:dyDescent="0.25">
      <c r="A939" s="5">
        <v>43654</v>
      </c>
      <c r="B939">
        <v>2.3942999999999999</v>
      </c>
      <c r="C939">
        <v>2.6827000000000001</v>
      </c>
      <c r="D939">
        <v>2.3675999999999999</v>
      </c>
      <c r="E939">
        <v>2.5655000000000001</v>
      </c>
      <c r="F939">
        <v>665822.04</v>
      </c>
      <c r="G939">
        <v>0</v>
      </c>
      <c r="L939" t="s">
        <v>8</v>
      </c>
      <c r="M939" t="s">
        <v>8</v>
      </c>
      <c r="N939" t="s">
        <v>7</v>
      </c>
      <c r="P939">
        <f t="shared" si="1014"/>
        <v>0.25610917169152708</v>
      </c>
      <c r="Q939">
        <f t="shared" si="1015"/>
        <v>170523.13115836281</v>
      </c>
      <c r="R939">
        <f t="shared" si="1016"/>
        <v>2602064.7157159746</v>
      </c>
      <c r="S939">
        <f t="shared" si="1017"/>
        <v>26.020647157159747</v>
      </c>
      <c r="T939">
        <f t="shared" si="1018"/>
        <v>2.6020647157159748E-2</v>
      </c>
    </row>
    <row r="940" spans="1:20" x14ac:dyDescent="0.25">
      <c r="A940" s="5">
        <v>43653</v>
      </c>
      <c r="B940">
        <v>2.3679999999999999</v>
      </c>
      <c r="C940">
        <v>2.4169</v>
      </c>
      <c r="D940">
        <v>2.3075000000000001</v>
      </c>
      <c r="E940">
        <v>2.3910999999999998</v>
      </c>
      <c r="F940">
        <v>120901.31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0.52833638025593632</v>
      </c>
      <c r="Q940">
        <f t="shared" si="1015"/>
        <v>63876.560493600839</v>
      </c>
      <c r="R940">
        <f t="shared" si="1016"/>
        <v>2431541.584557612</v>
      </c>
      <c r="S940">
        <f t="shared" si="1017"/>
        <v>24.315415845576119</v>
      </c>
      <c r="T940">
        <f t="shared" si="1018"/>
        <v>2.4315415845576119E-2</v>
      </c>
    </row>
    <row r="941" spans="1:20" x14ac:dyDescent="0.25">
      <c r="A941" s="5">
        <v>43652</v>
      </c>
      <c r="B941">
        <v>2.3090999999999999</v>
      </c>
      <c r="C941">
        <v>2.4296000000000002</v>
      </c>
      <c r="D941">
        <v>2.3077000000000001</v>
      </c>
      <c r="E941">
        <v>2.3778000000000001</v>
      </c>
      <c r="F941">
        <v>186294.68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0.15012305168170603</v>
      </c>
      <c r="Q941">
        <f t="shared" si="1015"/>
        <v>27967.125873666886</v>
      </c>
      <c r="R941">
        <f t="shared" si="1016"/>
        <v>2367665.0240640109</v>
      </c>
      <c r="S941">
        <f t="shared" si="1017"/>
        <v>23.676650240640111</v>
      </c>
      <c r="T941">
        <f t="shared" si="1018"/>
        <v>2.3676650240640112E-2</v>
      </c>
    </row>
    <row r="942" spans="1:20" x14ac:dyDescent="0.25">
      <c r="A942" s="5">
        <v>43651</v>
      </c>
      <c r="B942">
        <v>2.3086000000000002</v>
      </c>
      <c r="C942">
        <v>2.3401999999999998</v>
      </c>
      <c r="D942">
        <v>2.2625999999999999</v>
      </c>
      <c r="E942">
        <v>2.3050000000000002</v>
      </c>
      <c r="F942">
        <v>206492.31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9.2783505154646256E-2</v>
      </c>
      <c r="Q942">
        <f t="shared" si="1015"/>
        <v>19159.080309279812</v>
      </c>
      <c r="R942">
        <f t="shared" si="1016"/>
        <v>2339697.8981903442</v>
      </c>
      <c r="S942">
        <f t="shared" si="1017"/>
        <v>23.396978981903441</v>
      </c>
      <c r="T942">
        <f t="shared" si="1018"/>
        <v>2.3396978981903439E-2</v>
      </c>
    </row>
    <row r="943" spans="1:20" x14ac:dyDescent="0.25">
      <c r="A943" s="5">
        <v>43650</v>
      </c>
      <c r="B943">
        <v>2.4868000000000001</v>
      </c>
      <c r="C943">
        <v>2.4868000000000001</v>
      </c>
      <c r="D943">
        <v>2.2940999999999998</v>
      </c>
      <c r="E943">
        <v>2.3075999999999999</v>
      </c>
      <c r="F943">
        <v>259571.06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-0.85988583290088172</v>
      </c>
      <c r="Q943">
        <f t="shared" si="1015"/>
        <v>-223201.47712506473</v>
      </c>
      <c r="R943">
        <f t="shared" si="1016"/>
        <v>2320538.8178810645</v>
      </c>
      <c r="S943">
        <f t="shared" si="1017"/>
        <v>23.205388178810644</v>
      </c>
      <c r="T943">
        <f t="shared" si="1018"/>
        <v>2.3205388178810644E-2</v>
      </c>
    </row>
    <row r="944" spans="1:20" x14ac:dyDescent="0.25">
      <c r="A944" s="5">
        <v>43649</v>
      </c>
      <c r="B944">
        <v>2.3805000000000001</v>
      </c>
      <c r="C944">
        <v>2.4900000000000002</v>
      </c>
      <c r="D944">
        <v>2.3289</v>
      </c>
      <c r="E944">
        <v>2.4872000000000001</v>
      </c>
      <c r="F944">
        <v>276607.51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0.96523898199875691</v>
      </c>
      <c r="Q944">
        <f t="shared" si="1015"/>
        <v>266992.35136561096</v>
      </c>
      <c r="R944">
        <f t="shared" si="1016"/>
        <v>2543740.2950061294</v>
      </c>
      <c r="S944">
        <f t="shared" si="1017"/>
        <v>25.437402950061294</v>
      </c>
      <c r="T944">
        <f t="shared" si="1018"/>
        <v>2.5437402950061295E-2</v>
      </c>
    </row>
    <row r="945" spans="1:20" x14ac:dyDescent="0.25">
      <c r="A945" s="5">
        <v>43648</v>
      </c>
      <c r="B945">
        <v>2.4361000000000002</v>
      </c>
      <c r="C945">
        <v>2.4634</v>
      </c>
      <c r="D945">
        <v>2.2157</v>
      </c>
      <c r="E945">
        <v>2.3759000000000001</v>
      </c>
      <c r="F945">
        <v>470371.86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0.29350020185708597</v>
      </c>
      <c r="Q945">
        <f t="shared" si="1015"/>
        <v>138054.23585789299</v>
      </c>
      <c r="R945">
        <f t="shared" si="1016"/>
        <v>2276747.9436405185</v>
      </c>
      <c r="S945">
        <f t="shared" si="1017"/>
        <v>22.767479436405186</v>
      </c>
      <c r="T945">
        <f t="shared" si="1018"/>
        <v>2.2767479436405186E-2</v>
      </c>
    </row>
    <row r="946" spans="1:20" x14ac:dyDescent="0.25">
      <c r="A946" s="5">
        <v>43647</v>
      </c>
      <c r="B946">
        <v>2.4958999999999998</v>
      </c>
      <c r="C946">
        <v>2.6221999999999999</v>
      </c>
      <c r="D946">
        <v>2.2732999999999999</v>
      </c>
      <c r="E946">
        <v>2.4373999999999998</v>
      </c>
      <c r="F946">
        <v>725671.15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-5.9329320722270457E-2</v>
      </c>
      <c r="Q946">
        <f t="shared" si="1015"/>
        <v>-43053.576397248835</v>
      </c>
      <c r="R946">
        <f t="shared" si="1016"/>
        <v>2138693.7077826257</v>
      </c>
      <c r="S946">
        <f t="shared" si="1017"/>
        <v>21.386937077826257</v>
      </c>
      <c r="T946">
        <f t="shared" si="1018"/>
        <v>2.1386937077826258E-2</v>
      </c>
    </row>
    <row r="947" spans="1:20" x14ac:dyDescent="0.25">
      <c r="A947" s="5">
        <v>43646</v>
      </c>
      <c r="B947">
        <v>2.8256999999999999</v>
      </c>
      <c r="C947">
        <v>2.8616000000000001</v>
      </c>
      <c r="D947">
        <v>2.4700000000000002</v>
      </c>
      <c r="E947">
        <v>2.4805000000000001</v>
      </c>
      <c r="F947">
        <v>462767.01</v>
      </c>
      <c r="G947">
        <v>0</v>
      </c>
      <c r="L947" t="s">
        <v>7</v>
      </c>
      <c r="M947" t="s">
        <v>8</v>
      </c>
      <c r="N947" t="s">
        <v>7</v>
      </c>
      <c r="P947">
        <f t="shared" si="1014"/>
        <v>-0.94637385086823311</v>
      </c>
      <c r="Q947">
        <f t="shared" si="1015"/>
        <v>-437950.59730847814</v>
      </c>
      <c r="R947">
        <f t="shared" si="1016"/>
        <v>2181747.2841798747</v>
      </c>
      <c r="S947">
        <f t="shared" si="1017"/>
        <v>21.817472841798747</v>
      </c>
      <c r="T947">
        <f t="shared" si="1018"/>
        <v>2.1817472841798746E-2</v>
      </c>
    </row>
    <row r="948" spans="1:20" x14ac:dyDescent="0.25">
      <c r="A948" s="5">
        <v>43645</v>
      </c>
      <c r="B948">
        <v>2.6825000000000001</v>
      </c>
      <c r="C948">
        <v>2.8679000000000001</v>
      </c>
      <c r="D948">
        <v>2.57</v>
      </c>
      <c r="E948">
        <v>2.8258000000000001</v>
      </c>
      <c r="F948">
        <v>1214092.27</v>
      </c>
      <c r="G948">
        <v>0</v>
      </c>
      <c r="L948" t="s">
        <v>8</v>
      </c>
      <c r="M948" t="s">
        <v>8</v>
      </c>
      <c r="N948" t="s">
        <v>7</v>
      </c>
      <c r="P948">
        <f t="shared" si="1014"/>
        <v>0.71735481705270232</v>
      </c>
      <c r="Q948">
        <f t="shared" si="1015"/>
        <v>870934.93823095004</v>
      </c>
      <c r="R948">
        <f t="shared" si="1016"/>
        <v>2619697.881488353</v>
      </c>
      <c r="S948">
        <f t="shared" si="1017"/>
        <v>26.196978814883529</v>
      </c>
      <c r="T948">
        <f t="shared" si="1018"/>
        <v>2.6196978814883528E-2</v>
      </c>
    </row>
    <row r="949" spans="1:20" x14ac:dyDescent="0.25">
      <c r="A949" s="5">
        <v>43644</v>
      </c>
      <c r="B949">
        <v>2.4032</v>
      </c>
      <c r="C949">
        <v>2.7888000000000002</v>
      </c>
      <c r="D949">
        <v>2.3512</v>
      </c>
      <c r="E949">
        <v>2.6922999999999999</v>
      </c>
      <c r="F949">
        <v>838105.8</v>
      </c>
      <c r="G949">
        <v>0</v>
      </c>
      <c r="L949" t="s">
        <v>8</v>
      </c>
      <c r="M949" t="s">
        <v>8</v>
      </c>
      <c r="N949" t="s">
        <v>7</v>
      </c>
      <c r="P949">
        <f t="shared" si="1014"/>
        <v>0.55895795246800639</v>
      </c>
      <c r="Q949">
        <f t="shared" si="1015"/>
        <v>468465.90191956051</v>
      </c>
      <c r="R949">
        <f t="shared" si="1016"/>
        <v>1748762.9432574031</v>
      </c>
      <c r="S949">
        <f t="shared" si="1017"/>
        <v>17.487629432574032</v>
      </c>
      <c r="T949">
        <f t="shared" si="1018"/>
        <v>1.7487629432574033E-2</v>
      </c>
    </row>
    <row r="950" spans="1:20" x14ac:dyDescent="0.25">
      <c r="A950" s="5">
        <v>43643</v>
      </c>
      <c r="B950">
        <v>2.7966000000000002</v>
      </c>
      <c r="C950">
        <v>2.9026000000000001</v>
      </c>
      <c r="D950">
        <v>2.2269000000000001</v>
      </c>
      <c r="E950">
        <v>2.4243999999999999</v>
      </c>
      <c r="F950">
        <v>1405471.7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-0.41542104484238629</v>
      </c>
      <c r="Q950">
        <f t="shared" si="1015"/>
        <v>-583862.52211040491</v>
      </c>
      <c r="R950">
        <f t="shared" si="1016"/>
        <v>1280297.0413378426</v>
      </c>
      <c r="S950">
        <f t="shared" si="1017"/>
        <v>12.802970413378425</v>
      </c>
      <c r="T950">
        <f t="shared" si="1018"/>
        <v>1.2802970413378426E-2</v>
      </c>
    </row>
    <row r="951" spans="1:20" x14ac:dyDescent="0.25">
      <c r="A951" s="5">
        <v>43642</v>
      </c>
      <c r="B951">
        <v>2.6817000000000002</v>
      </c>
      <c r="C951">
        <v>3.2837000000000001</v>
      </c>
      <c r="D951">
        <v>2.4969999999999999</v>
      </c>
      <c r="E951">
        <v>2.8157000000000001</v>
      </c>
      <c r="F951">
        <v>2747304.95</v>
      </c>
      <c r="G951">
        <v>0</v>
      </c>
      <c r="L951" t="s">
        <v>8</v>
      </c>
      <c r="M951" t="s">
        <v>8</v>
      </c>
      <c r="N951" t="s">
        <v>8</v>
      </c>
      <c r="P951">
        <f t="shared" si="1014"/>
        <v>-0.18978009406381052</v>
      </c>
      <c r="Q951">
        <f t="shared" si="1015"/>
        <v>-521383.79183297232</v>
      </c>
      <c r="R951">
        <f t="shared" si="1016"/>
        <v>1864159.5634482475</v>
      </c>
      <c r="S951">
        <f t="shared" si="1017"/>
        <v>18.641595634482474</v>
      </c>
      <c r="T951">
        <f t="shared" si="1018"/>
        <v>1.8641595634482474E-2</v>
      </c>
    </row>
    <row r="952" spans="1:20" x14ac:dyDescent="0.25">
      <c r="A952" s="5">
        <v>43641</v>
      </c>
      <c r="B952">
        <v>2.3668999999999998</v>
      </c>
      <c r="C952">
        <v>2.7252999999999998</v>
      </c>
      <c r="D952">
        <v>2.2751999999999999</v>
      </c>
      <c r="E952">
        <v>2.6898</v>
      </c>
      <c r="F952">
        <v>817125.4</v>
      </c>
      <c r="G952">
        <v>0</v>
      </c>
      <c r="L952" t="s">
        <v>8</v>
      </c>
      <c r="M952" t="s">
        <v>8</v>
      </c>
      <c r="N952" t="s">
        <v>8</v>
      </c>
      <c r="P952">
        <f t="shared" si="1014"/>
        <v>0.84225727616085377</v>
      </c>
      <c r="Q952">
        <f t="shared" si="1015"/>
        <v>688229.81368584814</v>
      </c>
      <c r="R952">
        <f t="shared" si="1016"/>
        <v>2385543.3552812198</v>
      </c>
      <c r="S952">
        <f t="shared" si="1017"/>
        <v>23.855433552812197</v>
      </c>
      <c r="T952">
        <f t="shared" si="1018"/>
        <v>2.3855433552812198E-2</v>
      </c>
    </row>
    <row r="953" spans="1:20" x14ac:dyDescent="0.25">
      <c r="A953" s="5">
        <v>43640</v>
      </c>
      <c r="B953">
        <v>2.2517999999999998</v>
      </c>
      <c r="C953">
        <v>2.4706999999999999</v>
      </c>
      <c r="D953">
        <v>2.1966000000000001</v>
      </c>
      <c r="E953">
        <v>2.3603999999999998</v>
      </c>
      <c r="F953">
        <v>768936.28</v>
      </c>
      <c r="G953">
        <v>0</v>
      </c>
      <c r="L953" t="s">
        <v>8</v>
      </c>
      <c r="M953" t="s">
        <v>8</v>
      </c>
      <c r="N953" t="s">
        <v>8</v>
      </c>
      <c r="P953">
        <f t="shared" si="1014"/>
        <v>0.19518423932871107</v>
      </c>
      <c r="Q953">
        <f t="shared" si="1015"/>
        <v>150084.24290404879</v>
      </c>
      <c r="R953">
        <f t="shared" si="1016"/>
        <v>1697313.5415953717</v>
      </c>
      <c r="S953">
        <f t="shared" si="1017"/>
        <v>16.973135415953717</v>
      </c>
      <c r="T953">
        <f t="shared" si="1018"/>
        <v>1.6973135415953716E-2</v>
      </c>
    </row>
    <row r="954" spans="1:20" x14ac:dyDescent="0.25">
      <c r="A954" s="5">
        <v>43639</v>
      </c>
      <c r="B954">
        <v>2.2694999999999999</v>
      </c>
      <c r="C954">
        <v>2.3469000000000002</v>
      </c>
      <c r="D954">
        <v>2.1779000000000002</v>
      </c>
      <c r="E954">
        <v>2.2645</v>
      </c>
      <c r="F954">
        <v>435263.32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2.4852071005914418E-2</v>
      </c>
      <c r="Q954">
        <f t="shared" si="1015"/>
        <v>10817.194934910049</v>
      </c>
      <c r="R954">
        <f t="shared" si="1016"/>
        <v>1547229.2986913228</v>
      </c>
      <c r="S954">
        <f t="shared" si="1017"/>
        <v>15.472292986913228</v>
      </c>
      <c r="T954">
        <f t="shared" si="1018"/>
        <v>1.5472292986913229E-2</v>
      </c>
    </row>
    <row r="955" spans="1:20" x14ac:dyDescent="0.25">
      <c r="A955" s="5">
        <v>43638</v>
      </c>
      <c r="B955">
        <v>2.0676000000000001</v>
      </c>
      <c r="C955">
        <v>2.3159000000000001</v>
      </c>
      <c r="D955">
        <v>2.0299999999999998</v>
      </c>
      <c r="E955">
        <v>2.2694999999999999</v>
      </c>
      <c r="F955">
        <v>617444.22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0.67541098286113899</v>
      </c>
      <c r="Q955">
        <f t="shared" si="1015"/>
        <v>417028.60749212932</v>
      </c>
      <c r="R955">
        <f t="shared" si="1016"/>
        <v>1536412.1037564126</v>
      </c>
      <c r="S955">
        <f t="shared" si="1017"/>
        <v>15.364121037564127</v>
      </c>
      <c r="T955">
        <f t="shared" si="1018"/>
        <v>1.5364121037564127E-2</v>
      </c>
    </row>
    <row r="956" spans="1:20" x14ac:dyDescent="0.25">
      <c r="A956" s="5">
        <v>43637</v>
      </c>
      <c r="B956">
        <v>2.0169999999999999</v>
      </c>
      <c r="C956">
        <v>2.0922999999999998</v>
      </c>
      <c r="D956">
        <v>2.0169000000000001</v>
      </c>
      <c r="E956">
        <v>2.0714999999999999</v>
      </c>
      <c r="F956">
        <v>236661.05</v>
      </c>
      <c r="G956">
        <v>0</v>
      </c>
      <c r="L956" t="s">
        <v>7</v>
      </c>
      <c r="M956" t="s">
        <v>8</v>
      </c>
      <c r="N956" t="s">
        <v>8</v>
      </c>
      <c r="P956">
        <f t="shared" si="1014"/>
        <v>0.44827586206896514</v>
      </c>
      <c r="Q956">
        <f t="shared" si="1015"/>
        <v>106089.43620689645</v>
      </c>
      <c r="R956">
        <f t="shared" si="1016"/>
        <v>1119383.4962642833</v>
      </c>
      <c r="S956">
        <f t="shared" si="1017"/>
        <v>11.193834962642834</v>
      </c>
      <c r="T956">
        <f t="shared" si="1018"/>
        <v>1.1193834962642833E-2</v>
      </c>
    </row>
    <row r="957" spans="1:20" x14ac:dyDescent="0.25">
      <c r="A957" s="5">
        <v>43636</v>
      </c>
      <c r="B957">
        <v>2.0947</v>
      </c>
      <c r="C957">
        <v>2.0949</v>
      </c>
      <c r="D957">
        <v>2.0095000000000001</v>
      </c>
      <c r="E957">
        <v>2.0158999999999998</v>
      </c>
      <c r="F957">
        <v>126428.69</v>
      </c>
      <c r="G957">
        <v>0</v>
      </c>
      <c r="L957" t="s">
        <v>7</v>
      </c>
      <c r="M957" t="s">
        <v>8</v>
      </c>
      <c r="N957" t="s">
        <v>8</v>
      </c>
      <c r="P957">
        <f t="shared" si="1014"/>
        <v>-0.8501170960187413</v>
      </c>
      <c r="Q957">
        <f t="shared" si="1015"/>
        <v>-107479.19079625368</v>
      </c>
      <c r="R957">
        <f t="shared" si="1016"/>
        <v>1013294.0600573868</v>
      </c>
      <c r="S957">
        <f t="shared" si="1017"/>
        <v>10.132940600573868</v>
      </c>
      <c r="T957">
        <f t="shared" si="1018"/>
        <v>1.0132940600573868E-2</v>
      </c>
    </row>
    <row r="958" spans="1:20" x14ac:dyDescent="0.25">
      <c r="A958" s="5">
        <v>43635</v>
      </c>
      <c r="B958">
        <v>2.0472000000000001</v>
      </c>
      <c r="C958">
        <v>2.1345999999999998</v>
      </c>
      <c r="D958">
        <v>2.0350999999999999</v>
      </c>
      <c r="E958">
        <v>2.09</v>
      </c>
      <c r="F958">
        <v>187067.85</v>
      </c>
      <c r="G958">
        <v>0</v>
      </c>
      <c r="L958" t="s">
        <v>7</v>
      </c>
      <c r="M958" t="s">
        <v>8</v>
      </c>
      <c r="N958" t="s">
        <v>8</v>
      </c>
      <c r="P958">
        <f t="shared" si="1014"/>
        <v>0.10351758793969833</v>
      </c>
      <c r="Q958">
        <f t="shared" si="1015"/>
        <v>19364.812613065296</v>
      </c>
      <c r="R958">
        <f t="shared" si="1016"/>
        <v>1120773.2508536405</v>
      </c>
      <c r="S958">
        <f t="shared" si="1017"/>
        <v>11.207732508536404</v>
      </c>
      <c r="T958">
        <f t="shared" si="1018"/>
        <v>1.1207732508536404E-2</v>
      </c>
    </row>
    <row r="959" spans="1:20" x14ac:dyDescent="0.25">
      <c r="A959" s="5">
        <v>43634</v>
      </c>
      <c r="B959">
        <v>2.1067999999999998</v>
      </c>
      <c r="C959">
        <v>2.1217999999999999</v>
      </c>
      <c r="D959">
        <v>2.0124</v>
      </c>
      <c r="E959">
        <v>2.0459000000000001</v>
      </c>
      <c r="F959">
        <v>311159.49</v>
      </c>
      <c r="G959">
        <v>0</v>
      </c>
      <c r="L959" t="s">
        <v>7</v>
      </c>
      <c r="M959" t="s">
        <v>8</v>
      </c>
      <c r="N959" t="s">
        <v>8</v>
      </c>
      <c r="P959">
        <f t="shared" ref="P959:P1022" si="1019">IF(C959=D959,0,((E959-D959)-(C959-E959))/(C959-D959))</f>
        <v>-0.38756855575868182</v>
      </c>
      <c r="Q959">
        <f t="shared" ref="Q959:Q1022" si="1020">F959*P959</f>
        <v>-120595.634149908</v>
      </c>
      <c r="R959">
        <f t="shared" ref="R959:R1022" si="1021">R960+Q959</f>
        <v>1101408.4382405751</v>
      </c>
      <c r="S959">
        <f t="shared" ref="S959:S1022" si="1022">R959/100000</f>
        <v>11.014084382405752</v>
      </c>
      <c r="T959">
        <f t="shared" ref="T959:T1022" si="1023">S959/1000</f>
        <v>1.1014084382405752E-2</v>
      </c>
    </row>
    <row r="960" spans="1:20" x14ac:dyDescent="0.25">
      <c r="A960" s="5">
        <v>43633</v>
      </c>
      <c r="B960">
        <v>2.1254</v>
      </c>
      <c r="C960">
        <v>2.1522000000000001</v>
      </c>
      <c r="D960">
        <v>2.0775999999999999</v>
      </c>
      <c r="E960">
        <v>2.105</v>
      </c>
      <c r="F960">
        <v>290418.99</v>
      </c>
      <c r="G960">
        <v>0</v>
      </c>
      <c r="L960" t="s">
        <v>7</v>
      </c>
      <c r="M960" t="s">
        <v>8</v>
      </c>
      <c r="N960" t="s">
        <v>8</v>
      </c>
      <c r="P960">
        <f t="shared" si="1019"/>
        <v>-0.26541554959785496</v>
      </c>
      <c r="Q960">
        <f t="shared" si="1020"/>
        <v>-77081.715844503939</v>
      </c>
      <c r="R960">
        <f t="shared" si="1021"/>
        <v>1222004.0723904832</v>
      </c>
      <c r="S960">
        <f t="shared" si="1022"/>
        <v>12.220040723904832</v>
      </c>
      <c r="T960">
        <f t="shared" si="1023"/>
        <v>1.2220040723904832E-2</v>
      </c>
    </row>
    <row r="961" spans="1:20" x14ac:dyDescent="0.25">
      <c r="A961" s="5">
        <v>43632</v>
      </c>
      <c r="B961">
        <v>2.0905999999999998</v>
      </c>
      <c r="C961">
        <v>2.2151999999999998</v>
      </c>
      <c r="D961">
        <v>2.0655000000000001</v>
      </c>
      <c r="E961">
        <v>2.1271</v>
      </c>
      <c r="F961">
        <v>470566.89</v>
      </c>
      <c r="G961">
        <v>0</v>
      </c>
      <c r="L961" t="s">
        <v>8</v>
      </c>
      <c r="M961" t="s">
        <v>8</v>
      </c>
      <c r="N961" t="s">
        <v>8</v>
      </c>
      <c r="P961">
        <f t="shared" si="1019"/>
        <v>-0.17702070808283243</v>
      </c>
      <c r="Q961">
        <f t="shared" si="1020"/>
        <v>-83300.084068136319</v>
      </c>
      <c r="R961">
        <f t="shared" si="1021"/>
        <v>1299085.7882349871</v>
      </c>
      <c r="S961">
        <f t="shared" si="1022"/>
        <v>12.990857882349871</v>
      </c>
      <c r="T961">
        <f t="shared" si="1023"/>
        <v>1.2990857882349872E-2</v>
      </c>
    </row>
    <row r="962" spans="1:20" x14ac:dyDescent="0.25">
      <c r="A962" s="5">
        <v>43631</v>
      </c>
      <c r="B962">
        <v>2.1086999999999998</v>
      </c>
      <c r="C962">
        <v>2.1735000000000002</v>
      </c>
      <c r="D962">
        <v>2.0674000000000001</v>
      </c>
      <c r="E962">
        <v>2.0956000000000001</v>
      </c>
      <c r="F962">
        <v>259617.93</v>
      </c>
      <c r="G962">
        <v>0</v>
      </c>
      <c r="L962" t="s">
        <v>8</v>
      </c>
      <c r="M962" t="s">
        <v>8</v>
      </c>
      <c r="N962" t="s">
        <v>8</v>
      </c>
      <c r="P962">
        <f t="shared" si="1019"/>
        <v>-0.4684260131950993</v>
      </c>
      <c r="Q962">
        <f t="shared" si="1020"/>
        <v>-121611.79190386436</v>
      </c>
      <c r="R962">
        <f t="shared" si="1021"/>
        <v>1382385.8723031234</v>
      </c>
      <c r="S962">
        <f t="shared" si="1022"/>
        <v>13.823858723031233</v>
      </c>
      <c r="T962">
        <f t="shared" si="1023"/>
        <v>1.3823858723031233E-2</v>
      </c>
    </row>
    <row r="963" spans="1:20" x14ac:dyDescent="0.25">
      <c r="A963" s="5">
        <v>43630</v>
      </c>
      <c r="B963">
        <v>2.1027999999999998</v>
      </c>
      <c r="C963">
        <v>2.1882999999999999</v>
      </c>
      <c r="D963">
        <v>2.0200999999999998</v>
      </c>
      <c r="E963">
        <v>2.1076999999999999</v>
      </c>
      <c r="F963">
        <v>316577.34999999998</v>
      </c>
      <c r="G963">
        <v>0</v>
      </c>
      <c r="L963" t="s">
        <v>8</v>
      </c>
      <c r="M963" t="s">
        <v>8</v>
      </c>
      <c r="N963" t="s">
        <v>8</v>
      </c>
      <c r="P963">
        <f t="shared" si="1019"/>
        <v>4.1617122473246802E-2</v>
      </c>
      <c r="Q963">
        <f t="shared" si="1020"/>
        <v>13175.038347205918</v>
      </c>
      <c r="R963">
        <f t="shared" si="1021"/>
        <v>1503997.6642069877</v>
      </c>
      <c r="S963">
        <f t="shared" si="1022"/>
        <v>15.039976642069877</v>
      </c>
      <c r="T963">
        <f t="shared" si="1023"/>
        <v>1.5039976642069878E-2</v>
      </c>
    </row>
    <row r="964" spans="1:20" x14ac:dyDescent="0.25">
      <c r="A964" s="5">
        <v>43629</v>
      </c>
      <c r="B964">
        <v>2.0569000000000002</v>
      </c>
      <c r="C964">
        <v>2.1454</v>
      </c>
      <c r="D964">
        <v>2.0007999999999999</v>
      </c>
      <c r="E964">
        <v>2.0975999999999999</v>
      </c>
      <c r="F964">
        <v>278309.09000000003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0.3388658367911474</v>
      </c>
      <c r="Q964">
        <f t="shared" si="1020"/>
        <v>94309.442669432756</v>
      </c>
      <c r="R964">
        <f t="shared" si="1021"/>
        <v>1490822.6258597819</v>
      </c>
      <c r="S964">
        <f t="shared" si="1022"/>
        <v>14.908226258597818</v>
      </c>
      <c r="T964">
        <f t="shared" si="1023"/>
        <v>1.4908226258597819E-2</v>
      </c>
    </row>
    <row r="965" spans="1:20" x14ac:dyDescent="0.25">
      <c r="A965" s="5">
        <v>43628</v>
      </c>
      <c r="B965">
        <v>1.9794</v>
      </c>
      <c r="C965">
        <v>2.0571000000000002</v>
      </c>
      <c r="D965">
        <v>1.9508000000000001</v>
      </c>
      <c r="E965">
        <v>2.0497000000000001</v>
      </c>
      <c r="F965">
        <v>166860.29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0.86077140169331945</v>
      </c>
      <c r="Q965">
        <f t="shared" si="1020"/>
        <v>143628.56571025378</v>
      </c>
      <c r="R965">
        <f t="shared" si="1021"/>
        <v>1396513.183190349</v>
      </c>
      <c r="S965">
        <f t="shared" si="1022"/>
        <v>13.96513183190349</v>
      </c>
      <c r="T965">
        <f t="shared" si="1023"/>
        <v>1.3965131831903489E-2</v>
      </c>
    </row>
    <row r="966" spans="1:20" x14ac:dyDescent="0.25">
      <c r="A966" s="5">
        <v>43627</v>
      </c>
      <c r="B966">
        <v>2.0276000000000001</v>
      </c>
      <c r="C966">
        <v>2.0350000000000001</v>
      </c>
      <c r="D966">
        <v>1.9</v>
      </c>
      <c r="E966">
        <v>1.9695</v>
      </c>
      <c r="F966">
        <v>228776.59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2.9629629629629606E-2</v>
      </c>
      <c r="Q966">
        <f t="shared" si="1020"/>
        <v>6778.5656296296238</v>
      </c>
      <c r="R966">
        <f t="shared" si="1021"/>
        <v>1252884.6174800952</v>
      </c>
      <c r="S966">
        <f t="shared" si="1022"/>
        <v>12.528846174800952</v>
      </c>
      <c r="T966">
        <f t="shared" si="1023"/>
        <v>1.2528846174800951E-2</v>
      </c>
    </row>
    <row r="967" spans="1:20" x14ac:dyDescent="0.25">
      <c r="A967" s="5">
        <v>43626</v>
      </c>
      <c r="B967">
        <v>1.8735999999999999</v>
      </c>
      <c r="C967">
        <v>2.0257000000000001</v>
      </c>
      <c r="D967">
        <v>1.8520000000000001</v>
      </c>
      <c r="E967">
        <v>2.0205000000000002</v>
      </c>
      <c r="F967">
        <v>306653.84000000003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0.94012665515256333</v>
      </c>
      <c r="Q967">
        <f t="shared" si="1020"/>
        <v>288293.44888888934</v>
      </c>
      <c r="R967">
        <f t="shared" si="1021"/>
        <v>1246106.0518504656</v>
      </c>
      <c r="S967">
        <f t="shared" si="1022"/>
        <v>12.461060518504656</v>
      </c>
      <c r="T967">
        <f t="shared" si="1023"/>
        <v>1.2461060518504655E-2</v>
      </c>
    </row>
    <row r="968" spans="1:20" x14ac:dyDescent="0.25">
      <c r="A968" s="5">
        <v>43625</v>
      </c>
      <c r="B968">
        <v>1.9961</v>
      </c>
      <c r="C968">
        <v>2.0148000000000001</v>
      </c>
      <c r="D968">
        <v>1.83</v>
      </c>
      <c r="E968">
        <v>1.89</v>
      </c>
      <c r="F968">
        <v>193206.66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-0.35064935064935276</v>
      </c>
      <c r="Q968">
        <f t="shared" si="1020"/>
        <v>-67747.789870130277</v>
      </c>
      <c r="R968">
        <f t="shared" si="1021"/>
        <v>957812.60296157631</v>
      </c>
      <c r="S968">
        <f t="shared" si="1022"/>
        <v>9.5781260296157633</v>
      </c>
      <c r="T968">
        <f t="shared" si="1023"/>
        <v>9.578126029615764E-3</v>
      </c>
    </row>
    <row r="969" spans="1:20" x14ac:dyDescent="0.25">
      <c r="A969" s="5">
        <v>43624</v>
      </c>
      <c r="B969">
        <v>2.0116999999999998</v>
      </c>
      <c r="C969">
        <v>2.0407999999999999</v>
      </c>
      <c r="D969">
        <v>1.9500999999999999</v>
      </c>
      <c r="E969">
        <v>1.9971000000000001</v>
      </c>
      <c r="F969">
        <v>115067.37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3.6383682469683598E-2</v>
      </c>
      <c r="Q969">
        <f t="shared" si="1020"/>
        <v>4186.5746527015963</v>
      </c>
      <c r="R969">
        <f t="shared" si="1021"/>
        <v>1025560.3928317066</v>
      </c>
      <c r="S969">
        <f t="shared" si="1022"/>
        <v>10.255603928317065</v>
      </c>
      <c r="T969">
        <f t="shared" si="1023"/>
        <v>1.0255603928317064E-2</v>
      </c>
    </row>
    <row r="970" spans="1:20" x14ac:dyDescent="0.25">
      <c r="A970" s="5">
        <v>43623</v>
      </c>
      <c r="B970">
        <v>1.9974000000000001</v>
      </c>
      <c r="C970">
        <v>2.0718000000000001</v>
      </c>
      <c r="D970">
        <v>1.9622999999999999</v>
      </c>
      <c r="E970">
        <v>2.0221</v>
      </c>
      <c r="F970">
        <v>373495.17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9.2237442922374277E-2</v>
      </c>
      <c r="Q970">
        <f t="shared" si="1020"/>
        <v>34450.239424657477</v>
      </c>
      <c r="R970">
        <f t="shared" si="1021"/>
        <v>1021373.8181790049</v>
      </c>
      <c r="S970">
        <f t="shared" si="1022"/>
        <v>10.213738181790049</v>
      </c>
      <c r="T970">
        <f t="shared" si="1023"/>
        <v>1.0213738181790048E-2</v>
      </c>
    </row>
    <row r="971" spans="1:20" x14ac:dyDescent="0.25">
      <c r="A971" s="5">
        <v>43622</v>
      </c>
      <c r="B971">
        <v>1.962</v>
      </c>
      <c r="C971">
        <v>2.0125000000000002</v>
      </c>
      <c r="D971">
        <v>1.8817999999999999</v>
      </c>
      <c r="E971">
        <v>1.9944</v>
      </c>
      <c r="F971">
        <v>138133.39000000001</v>
      </c>
      <c r="G971">
        <v>0</v>
      </c>
      <c r="L971" t="s">
        <v>7</v>
      </c>
      <c r="M971" t="s">
        <v>7</v>
      </c>
      <c r="N971" t="s">
        <v>8</v>
      </c>
      <c r="P971">
        <f t="shared" si="1019"/>
        <v>0.7230298393266994</v>
      </c>
      <c r="Q971">
        <f t="shared" si="1020"/>
        <v>99874.562777352316</v>
      </c>
      <c r="R971">
        <f t="shared" si="1021"/>
        <v>986923.57875434752</v>
      </c>
      <c r="S971">
        <f t="shared" si="1022"/>
        <v>9.8692357875434755</v>
      </c>
      <c r="T971">
        <f t="shared" si="1023"/>
        <v>9.8692357875434754E-3</v>
      </c>
    </row>
    <row r="972" spans="1:20" x14ac:dyDescent="0.25">
      <c r="A972" s="5">
        <v>43621</v>
      </c>
      <c r="B972">
        <v>1.9639</v>
      </c>
      <c r="C972">
        <v>2.0223</v>
      </c>
      <c r="D972">
        <v>1.9073</v>
      </c>
      <c r="E972">
        <v>1.9672000000000001</v>
      </c>
      <c r="F972">
        <v>248137.94</v>
      </c>
      <c r="G972">
        <v>0</v>
      </c>
      <c r="L972" t="s">
        <v>7</v>
      </c>
      <c r="M972" t="s">
        <v>7</v>
      </c>
      <c r="N972" t="s">
        <v>8</v>
      </c>
      <c r="P972">
        <f t="shared" si="1019"/>
        <v>4.1739130434783805E-2</v>
      </c>
      <c r="Q972">
        <f t="shared" si="1020"/>
        <v>10357.061843478557</v>
      </c>
      <c r="R972">
        <f t="shared" si="1021"/>
        <v>887049.01597699523</v>
      </c>
      <c r="S972">
        <f t="shared" si="1022"/>
        <v>8.8704901597699521</v>
      </c>
      <c r="T972">
        <f t="shared" si="1023"/>
        <v>8.8704901597699524E-3</v>
      </c>
    </row>
    <row r="973" spans="1:20" x14ac:dyDescent="0.25">
      <c r="A973" s="5">
        <v>43620</v>
      </c>
      <c r="B973">
        <v>2.0914999999999999</v>
      </c>
      <c r="C973">
        <v>2.1095999999999999</v>
      </c>
      <c r="D973">
        <v>1.9004000000000001</v>
      </c>
      <c r="E973">
        <v>1.9639</v>
      </c>
      <c r="F973">
        <v>297871.93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-0.39292543021032561</v>
      </c>
      <c r="Q973">
        <f t="shared" si="1020"/>
        <v>-117041.45624283</v>
      </c>
      <c r="R973">
        <f t="shared" si="1021"/>
        <v>876691.95413351664</v>
      </c>
      <c r="S973">
        <f t="shared" si="1022"/>
        <v>8.7669195413351666</v>
      </c>
      <c r="T973">
        <f t="shared" si="1023"/>
        <v>8.7669195413351674E-3</v>
      </c>
    </row>
    <row r="974" spans="1:20" x14ac:dyDescent="0.25">
      <c r="A974" s="5">
        <v>43619</v>
      </c>
      <c r="B974">
        <v>2.3586999999999998</v>
      </c>
      <c r="C974">
        <v>2.3586999999999998</v>
      </c>
      <c r="D974">
        <v>2.0684999999999998</v>
      </c>
      <c r="E974">
        <v>2.0903</v>
      </c>
      <c r="F974">
        <v>292274.64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-0.84975878704341656</v>
      </c>
      <c r="Q974">
        <f t="shared" si="1020"/>
        <v>-248362.94356995125</v>
      </c>
      <c r="R974">
        <f t="shared" si="1021"/>
        <v>993733.41037634667</v>
      </c>
      <c r="S974">
        <f t="shared" si="1022"/>
        <v>9.937334103763467</v>
      </c>
      <c r="T974">
        <f t="shared" si="1023"/>
        <v>9.9373341037634674E-3</v>
      </c>
    </row>
    <row r="975" spans="1:20" x14ac:dyDescent="0.25">
      <c r="A975" s="5">
        <v>43618</v>
      </c>
      <c r="B975">
        <v>2.2222</v>
      </c>
      <c r="C975">
        <v>2.3696999999999999</v>
      </c>
      <c r="D975">
        <v>2.2159</v>
      </c>
      <c r="E975">
        <v>2.3536999999999999</v>
      </c>
      <c r="F975">
        <v>168228.62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0.79193758127438207</v>
      </c>
      <c r="Q975">
        <f t="shared" si="1020"/>
        <v>133226.56642392714</v>
      </c>
      <c r="R975">
        <f t="shared" si="1021"/>
        <v>1242096.3539462979</v>
      </c>
      <c r="S975">
        <f t="shared" si="1022"/>
        <v>12.42096353946298</v>
      </c>
      <c r="T975">
        <f t="shared" si="1023"/>
        <v>1.242096353946298E-2</v>
      </c>
    </row>
    <row r="976" spans="1:20" x14ac:dyDescent="0.25">
      <c r="A976" s="5">
        <v>43617</v>
      </c>
      <c r="B976">
        <v>2.2665000000000002</v>
      </c>
      <c r="C976">
        <v>2.3431999999999999</v>
      </c>
      <c r="D976">
        <v>2.1955</v>
      </c>
      <c r="E976">
        <v>2.2231999999999998</v>
      </c>
      <c r="F976">
        <v>248080.35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-0.62491536899120048</v>
      </c>
      <c r="Q976">
        <f t="shared" si="1020"/>
        <v>-155029.22345971616</v>
      </c>
      <c r="R976">
        <f t="shared" si="1021"/>
        <v>1108869.7875223707</v>
      </c>
      <c r="S976">
        <f t="shared" si="1022"/>
        <v>11.088697875223707</v>
      </c>
      <c r="T976">
        <f t="shared" si="1023"/>
        <v>1.1088697875223706E-2</v>
      </c>
    </row>
    <row r="977" spans="1:20" x14ac:dyDescent="0.25">
      <c r="A977" s="5">
        <v>43616</v>
      </c>
      <c r="B977">
        <v>2.1703999999999999</v>
      </c>
      <c r="C977">
        <v>2.2711000000000001</v>
      </c>
      <c r="D977">
        <v>2.0907</v>
      </c>
      <c r="E977">
        <v>2.2593000000000001</v>
      </c>
      <c r="F977">
        <v>218476.11</v>
      </c>
      <c r="G977">
        <v>0</v>
      </c>
      <c r="L977" t="s">
        <v>7</v>
      </c>
      <c r="M977" t="s">
        <v>8</v>
      </c>
      <c r="N977" t="s">
        <v>8</v>
      </c>
      <c r="P977">
        <f t="shared" si="1019"/>
        <v>0.8691796008869177</v>
      </c>
      <c r="Q977">
        <f t="shared" si="1020"/>
        <v>189894.97809312632</v>
      </c>
      <c r="R977">
        <f t="shared" si="1021"/>
        <v>1263899.0109820869</v>
      </c>
      <c r="S977">
        <f t="shared" si="1022"/>
        <v>12.638990109820869</v>
      </c>
      <c r="T977">
        <f t="shared" si="1023"/>
        <v>1.2638990109820869E-2</v>
      </c>
    </row>
    <row r="978" spans="1:20" x14ac:dyDescent="0.25">
      <c r="A978" s="5">
        <v>43615</v>
      </c>
      <c r="B978">
        <v>2.2921</v>
      </c>
      <c r="C978">
        <v>2.4777999999999998</v>
      </c>
      <c r="D978">
        <v>2.0537999999999998</v>
      </c>
      <c r="E978">
        <v>2.1703999999999999</v>
      </c>
      <c r="F978">
        <v>588578.52</v>
      </c>
      <c r="G978">
        <v>0</v>
      </c>
      <c r="L978" t="s">
        <v>8</v>
      </c>
      <c r="M978" t="s">
        <v>8</v>
      </c>
      <c r="N978" t="s">
        <v>8</v>
      </c>
      <c r="P978">
        <f t="shared" si="1019"/>
        <v>-0.44999999999999973</v>
      </c>
      <c r="Q978">
        <f t="shared" si="1020"/>
        <v>-264860.33399999986</v>
      </c>
      <c r="R978">
        <f t="shared" si="1021"/>
        <v>1074004.0328889606</v>
      </c>
      <c r="S978">
        <f t="shared" si="1022"/>
        <v>10.740040328889606</v>
      </c>
      <c r="T978">
        <f t="shared" si="1023"/>
        <v>1.0740040328889606E-2</v>
      </c>
    </row>
    <row r="979" spans="1:20" x14ac:dyDescent="0.25">
      <c r="A979" s="5">
        <v>43614</v>
      </c>
      <c r="B979">
        <v>2.2597</v>
      </c>
      <c r="C979">
        <v>2.35</v>
      </c>
      <c r="D979">
        <v>2.1152000000000002</v>
      </c>
      <c r="E979">
        <v>2.2888999999999999</v>
      </c>
      <c r="F979">
        <v>386139.83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0.47955706984667651</v>
      </c>
      <c r="Q979">
        <f t="shared" si="1020"/>
        <v>185176.08542589381</v>
      </c>
      <c r="R979">
        <f t="shared" si="1021"/>
        <v>1338864.3668889604</v>
      </c>
      <c r="S979">
        <f t="shared" si="1022"/>
        <v>13.388643668889603</v>
      </c>
      <c r="T979">
        <f t="shared" si="1023"/>
        <v>1.3388643668889604E-2</v>
      </c>
    </row>
    <row r="980" spans="1:20" x14ac:dyDescent="0.25">
      <c r="A980" s="5">
        <v>43613</v>
      </c>
      <c r="B980">
        <v>2.1970999999999998</v>
      </c>
      <c r="C980">
        <v>2.3136000000000001</v>
      </c>
      <c r="D980">
        <v>2.1579999999999999</v>
      </c>
      <c r="E980">
        <v>2.2597</v>
      </c>
      <c r="F980">
        <v>397753.12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0.30719794344473011</v>
      </c>
      <c r="Q980">
        <f t="shared" si="1020"/>
        <v>122188.94046272495</v>
      </c>
      <c r="R980">
        <f t="shared" si="1021"/>
        <v>1153688.2814630666</v>
      </c>
      <c r="S980">
        <f t="shared" si="1022"/>
        <v>11.536882814630665</v>
      </c>
      <c r="T980">
        <f t="shared" si="1023"/>
        <v>1.1536882814630665E-2</v>
      </c>
    </row>
    <row r="981" spans="1:20" x14ac:dyDescent="0.25">
      <c r="A981" s="5">
        <v>43612</v>
      </c>
      <c r="B981">
        <v>2.0588000000000002</v>
      </c>
      <c r="C981">
        <v>2.2736999999999998</v>
      </c>
      <c r="D981">
        <v>2.0470999999999999</v>
      </c>
      <c r="E981">
        <v>2.2014999999999998</v>
      </c>
      <c r="F981">
        <v>417525.93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0.36275375110326508</v>
      </c>
      <c r="Q981">
        <f t="shared" si="1020"/>
        <v>151459.09729037929</v>
      </c>
      <c r="R981">
        <f t="shared" si="1021"/>
        <v>1031499.3410003416</v>
      </c>
      <c r="S981">
        <f t="shared" si="1022"/>
        <v>10.314993410003416</v>
      </c>
      <c r="T981">
        <f t="shared" si="1023"/>
        <v>1.0314993410003416E-2</v>
      </c>
    </row>
    <row r="982" spans="1:20" x14ac:dyDescent="0.25">
      <c r="A982" s="5">
        <v>43611</v>
      </c>
      <c r="B982">
        <v>1.9718</v>
      </c>
      <c r="C982">
        <v>2.0846</v>
      </c>
      <c r="D982">
        <v>1.9000999999999999</v>
      </c>
      <c r="E982">
        <v>2.0589</v>
      </c>
      <c r="F982">
        <v>140865.79</v>
      </c>
      <c r="G982">
        <v>0</v>
      </c>
      <c r="L982" t="s">
        <v>8</v>
      </c>
      <c r="M982" t="s">
        <v>7</v>
      </c>
      <c r="N982" t="s">
        <v>8</v>
      </c>
      <c r="P982">
        <f t="shared" si="1019"/>
        <v>0.72140921409214043</v>
      </c>
      <c r="Q982">
        <f t="shared" si="1020"/>
        <v>101621.87885636849</v>
      </c>
      <c r="R982">
        <f t="shared" si="1021"/>
        <v>880040.24370996223</v>
      </c>
      <c r="S982">
        <f t="shared" si="1022"/>
        <v>8.8004024370996223</v>
      </c>
      <c r="T982">
        <f t="shared" si="1023"/>
        <v>8.8004024370996227E-3</v>
      </c>
    </row>
    <row r="983" spans="1:20" x14ac:dyDescent="0.25">
      <c r="A983" s="5">
        <v>43610</v>
      </c>
      <c r="B983">
        <v>1.9722999999999999</v>
      </c>
      <c r="C983">
        <v>2.0049999999999999</v>
      </c>
      <c r="D983">
        <v>1.9452</v>
      </c>
      <c r="E983">
        <v>1.9636</v>
      </c>
      <c r="F983">
        <v>77898.100000000006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-0.38461538461538403</v>
      </c>
      <c r="Q983">
        <f t="shared" si="1020"/>
        <v>-29960.807692307648</v>
      </c>
      <c r="R983">
        <f t="shared" si="1021"/>
        <v>778418.36485359375</v>
      </c>
      <c r="S983">
        <f t="shared" si="1022"/>
        <v>7.7841836485359375</v>
      </c>
      <c r="T983">
        <f t="shared" si="1023"/>
        <v>7.7841836485359377E-3</v>
      </c>
    </row>
    <row r="984" spans="1:20" x14ac:dyDescent="0.25">
      <c r="A984" s="5">
        <v>43609</v>
      </c>
      <c r="B984">
        <v>1.9078999999999999</v>
      </c>
      <c r="C984">
        <v>2.0371000000000001</v>
      </c>
      <c r="D984">
        <v>1.9078999999999999</v>
      </c>
      <c r="E984">
        <v>1.9722</v>
      </c>
      <c r="F984">
        <v>151131.59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-4.643962848298413E-3</v>
      </c>
      <c r="Q984">
        <f t="shared" si="1020"/>
        <v>-701.84948916426799</v>
      </c>
      <c r="R984">
        <f t="shared" si="1021"/>
        <v>808379.17254590138</v>
      </c>
      <c r="S984">
        <f t="shared" si="1022"/>
        <v>8.0837917254590135</v>
      </c>
      <c r="T984">
        <f t="shared" si="1023"/>
        <v>8.0837917254590139E-3</v>
      </c>
    </row>
    <row r="985" spans="1:20" x14ac:dyDescent="0.25">
      <c r="A985" s="5">
        <v>43608</v>
      </c>
      <c r="B985">
        <v>1.9117</v>
      </c>
      <c r="C985">
        <v>1.9717</v>
      </c>
      <c r="D985">
        <v>1.81</v>
      </c>
      <c r="E985">
        <v>1.9058999999999999</v>
      </c>
      <c r="F985">
        <v>227605.57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0.18614718614718492</v>
      </c>
      <c r="Q985">
        <f t="shared" si="1020"/>
        <v>42368.136406926133</v>
      </c>
      <c r="R985">
        <f t="shared" si="1021"/>
        <v>809081.02203506569</v>
      </c>
      <c r="S985">
        <f t="shared" si="1022"/>
        <v>8.0908102203506562</v>
      </c>
      <c r="T985">
        <f t="shared" si="1023"/>
        <v>8.0908102203506565E-3</v>
      </c>
    </row>
    <row r="986" spans="1:20" x14ac:dyDescent="0.25">
      <c r="A986" s="5">
        <v>43607</v>
      </c>
      <c r="B986">
        <v>2.1057000000000001</v>
      </c>
      <c r="C986">
        <v>2.1454</v>
      </c>
      <c r="D986">
        <v>1.9117999999999999</v>
      </c>
      <c r="E986">
        <v>1.9121999999999999</v>
      </c>
      <c r="F986">
        <v>247363.94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-0.99657534246575386</v>
      </c>
      <c r="Q986">
        <f t="shared" si="1020"/>
        <v>-246516.8032191782</v>
      </c>
      <c r="R986">
        <f t="shared" si="1021"/>
        <v>766712.8856281396</v>
      </c>
      <c r="S986">
        <f t="shared" si="1022"/>
        <v>7.667128856281396</v>
      </c>
      <c r="T986">
        <f t="shared" si="1023"/>
        <v>7.6671288562813961E-3</v>
      </c>
    </row>
    <row r="987" spans="1:20" x14ac:dyDescent="0.25">
      <c r="A987" s="5">
        <v>43606</v>
      </c>
      <c r="B987">
        <v>2.0196999999999998</v>
      </c>
      <c r="C987">
        <v>2.15</v>
      </c>
      <c r="D987">
        <v>1.9871000000000001</v>
      </c>
      <c r="E987">
        <v>2.1053999999999999</v>
      </c>
      <c r="F987">
        <v>250992.11</v>
      </c>
      <c r="G987">
        <v>0</v>
      </c>
      <c r="L987" t="s">
        <v>7</v>
      </c>
      <c r="M987" t="s">
        <v>7</v>
      </c>
      <c r="N987" t="s">
        <v>8</v>
      </c>
      <c r="P987">
        <f t="shared" si="1019"/>
        <v>0.45242480049109857</v>
      </c>
      <c r="Q987">
        <f t="shared" si="1020"/>
        <v>113555.05529158986</v>
      </c>
      <c r="R987">
        <f t="shared" si="1021"/>
        <v>1013229.6888473178</v>
      </c>
      <c r="S987">
        <f t="shared" si="1022"/>
        <v>10.132296888473178</v>
      </c>
      <c r="T987">
        <f t="shared" si="1023"/>
        <v>1.0132296888473178E-2</v>
      </c>
    </row>
    <row r="988" spans="1:20" x14ac:dyDescent="0.25">
      <c r="A988" s="5">
        <v>43605</v>
      </c>
      <c r="B988">
        <v>2.0914999999999999</v>
      </c>
      <c r="C988">
        <v>2.1322000000000001</v>
      </c>
      <c r="D988">
        <v>1.8704000000000001</v>
      </c>
      <c r="E988">
        <v>2.0274000000000001</v>
      </c>
      <c r="F988">
        <v>471012.6</v>
      </c>
      <c r="G988">
        <v>0</v>
      </c>
      <c r="L988" t="s">
        <v>8</v>
      </c>
      <c r="M988" t="s">
        <v>7</v>
      </c>
      <c r="N988" t="s">
        <v>8</v>
      </c>
      <c r="P988">
        <f t="shared" si="1019"/>
        <v>0.19938884644767005</v>
      </c>
      <c r="Q988">
        <f t="shared" si="1020"/>
        <v>93914.658976317834</v>
      </c>
      <c r="R988">
        <f t="shared" si="1021"/>
        <v>899674.63355572801</v>
      </c>
      <c r="S988">
        <f t="shared" si="1022"/>
        <v>8.9967463355572797</v>
      </c>
      <c r="T988">
        <f t="shared" si="1023"/>
        <v>8.9967463355572798E-3</v>
      </c>
    </row>
    <row r="989" spans="1:20" x14ac:dyDescent="0.25">
      <c r="A989" s="5">
        <v>43604</v>
      </c>
      <c r="B989">
        <v>1.8875999999999999</v>
      </c>
      <c r="C989">
        <v>2.1063000000000001</v>
      </c>
      <c r="D989">
        <v>1.8827</v>
      </c>
      <c r="E989">
        <v>2.0994999999999999</v>
      </c>
      <c r="F989">
        <v>421055.37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0.93917710196779836</v>
      </c>
      <c r="Q989">
        <f t="shared" si="1020"/>
        <v>395445.56216457905</v>
      </c>
      <c r="R989">
        <f t="shared" si="1021"/>
        <v>805759.97457941016</v>
      </c>
      <c r="S989">
        <f t="shared" si="1022"/>
        <v>8.0575997457941018</v>
      </c>
      <c r="T989">
        <f t="shared" si="1023"/>
        <v>8.0575997457941022E-3</v>
      </c>
    </row>
    <row r="990" spans="1:20" x14ac:dyDescent="0.25">
      <c r="A990" s="5">
        <v>43603</v>
      </c>
      <c r="B990">
        <v>1.9927999999999999</v>
      </c>
      <c r="C990">
        <v>2.0093999999999999</v>
      </c>
      <c r="D990">
        <v>1.8672</v>
      </c>
      <c r="E990">
        <v>1.8872</v>
      </c>
      <c r="F990">
        <v>192140.33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-0.71870604781997138</v>
      </c>
      <c r="Q990">
        <f t="shared" si="1020"/>
        <v>-138092.41720112506</v>
      </c>
      <c r="R990">
        <f t="shared" si="1021"/>
        <v>410314.41241483111</v>
      </c>
      <c r="S990">
        <f t="shared" si="1022"/>
        <v>4.1031441241483115</v>
      </c>
      <c r="T990">
        <f t="shared" si="1023"/>
        <v>4.1031441241483118E-3</v>
      </c>
    </row>
    <row r="991" spans="1:20" x14ac:dyDescent="0.25">
      <c r="A991" s="5">
        <v>43602</v>
      </c>
      <c r="B991">
        <v>2.1659000000000002</v>
      </c>
      <c r="C991">
        <v>2.1924999999999999</v>
      </c>
      <c r="D991">
        <v>1.825</v>
      </c>
      <c r="E991">
        <v>1.99</v>
      </c>
      <c r="F991">
        <v>502890.74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-0.10204081632653027</v>
      </c>
      <c r="Q991">
        <f t="shared" si="1020"/>
        <v>-51315.38163265289</v>
      </c>
      <c r="R991">
        <f t="shared" si="1021"/>
        <v>548406.82961595617</v>
      </c>
      <c r="S991">
        <f t="shared" si="1022"/>
        <v>5.4840682961595615</v>
      </c>
      <c r="T991">
        <f t="shared" si="1023"/>
        <v>5.4840682961595612E-3</v>
      </c>
    </row>
    <row r="992" spans="1:20" x14ac:dyDescent="0.25">
      <c r="A992" s="5">
        <v>43601</v>
      </c>
      <c r="B992">
        <v>2.1970999999999998</v>
      </c>
      <c r="C992">
        <v>2.4279000000000002</v>
      </c>
      <c r="D992">
        <v>2.0312000000000001</v>
      </c>
      <c r="E992">
        <v>2.1659000000000002</v>
      </c>
      <c r="F992">
        <v>804316.01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-0.320897403579531</v>
      </c>
      <c r="Q992">
        <f t="shared" si="1020"/>
        <v>-258102.91926644809</v>
      </c>
      <c r="R992">
        <f t="shared" si="1021"/>
        <v>599722.211248609</v>
      </c>
      <c r="S992">
        <f t="shared" si="1022"/>
        <v>5.9972221124860896</v>
      </c>
      <c r="T992">
        <f t="shared" si="1023"/>
        <v>5.9972221124860899E-3</v>
      </c>
    </row>
    <row r="993" spans="1:20" x14ac:dyDescent="0.25">
      <c r="A993" s="5">
        <v>43600</v>
      </c>
      <c r="B993">
        <v>1.8708</v>
      </c>
      <c r="C993">
        <v>2.2059000000000002</v>
      </c>
      <c r="D993">
        <v>1.8492999999999999</v>
      </c>
      <c r="E993">
        <v>2.1951000000000001</v>
      </c>
      <c r="F993">
        <v>391107.11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0.93942793045428974</v>
      </c>
      <c r="Q993">
        <f t="shared" si="1020"/>
        <v>367416.94293325825</v>
      </c>
      <c r="R993">
        <f t="shared" si="1021"/>
        <v>857825.13051505713</v>
      </c>
      <c r="S993">
        <f t="shared" si="1022"/>
        <v>8.5782513051505713</v>
      </c>
      <c r="T993">
        <f t="shared" si="1023"/>
        <v>8.5782513051505718E-3</v>
      </c>
    </row>
    <row r="994" spans="1:20" x14ac:dyDescent="0.25">
      <c r="A994" s="5">
        <v>43599</v>
      </c>
      <c r="B994">
        <v>1.7110000000000001</v>
      </c>
      <c r="C994">
        <v>1.88</v>
      </c>
      <c r="D994">
        <v>1.7103999999999999</v>
      </c>
      <c r="E994">
        <v>1.8735999999999999</v>
      </c>
      <c r="F994">
        <v>409408.73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0.92452830188679291</v>
      </c>
      <c r="Q994">
        <f t="shared" si="1020"/>
        <v>378509.95792452845</v>
      </c>
      <c r="R994">
        <f t="shared" si="1021"/>
        <v>490408.18758179888</v>
      </c>
      <c r="S994">
        <f t="shared" si="1022"/>
        <v>4.9040818758179885</v>
      </c>
      <c r="T994">
        <f t="shared" si="1023"/>
        <v>4.9040818758179887E-3</v>
      </c>
    </row>
    <row r="995" spans="1:20" x14ac:dyDescent="0.25">
      <c r="A995" s="5">
        <v>43598</v>
      </c>
      <c r="B995">
        <v>1.6526000000000001</v>
      </c>
      <c r="C995">
        <v>1.8</v>
      </c>
      <c r="D995">
        <v>1.6369</v>
      </c>
      <c r="E995">
        <v>1.72</v>
      </c>
      <c r="F995">
        <v>239301.46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1.9006744328632006E-2</v>
      </c>
      <c r="Q995">
        <f t="shared" si="1020"/>
        <v>4548.3416676883589</v>
      </c>
      <c r="R995">
        <f t="shared" si="1021"/>
        <v>111898.22965727045</v>
      </c>
      <c r="S995">
        <f t="shared" si="1022"/>
        <v>1.1189822965727045</v>
      </c>
      <c r="T995">
        <f t="shared" si="1023"/>
        <v>1.1189822965727045E-3</v>
      </c>
    </row>
    <row r="996" spans="1:20" x14ac:dyDescent="0.25">
      <c r="A996" s="5">
        <v>43597</v>
      </c>
      <c r="B996">
        <v>1.7349000000000001</v>
      </c>
      <c r="C996">
        <v>1.831</v>
      </c>
      <c r="D996">
        <v>1.58</v>
      </c>
      <c r="E996">
        <v>1.6482000000000001</v>
      </c>
      <c r="F996">
        <v>404933.6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-0.45657370517928231</v>
      </c>
      <c r="Q996">
        <f t="shared" si="1020"/>
        <v>-184882.03410358541</v>
      </c>
      <c r="R996">
        <f t="shared" si="1021"/>
        <v>107349.88798958209</v>
      </c>
      <c r="S996">
        <f t="shared" si="1022"/>
        <v>1.0734988798958209</v>
      </c>
      <c r="T996">
        <f t="shared" si="1023"/>
        <v>1.0734988798958209E-3</v>
      </c>
    </row>
    <row r="997" spans="1:20" x14ac:dyDescent="0.25">
      <c r="A997" s="5">
        <v>43596</v>
      </c>
      <c r="B997">
        <v>1.5961000000000001</v>
      </c>
      <c r="C997">
        <v>1.8225</v>
      </c>
      <c r="D997">
        <v>1.5768</v>
      </c>
      <c r="E997">
        <v>1.7251000000000001</v>
      </c>
      <c r="F997">
        <v>321995.17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0.20716320716320782</v>
      </c>
      <c r="Q997">
        <f t="shared" si="1020"/>
        <v>66705.552108262316</v>
      </c>
      <c r="R997">
        <f t="shared" si="1021"/>
        <v>292231.92209316749</v>
      </c>
      <c r="S997">
        <f t="shared" si="1022"/>
        <v>2.9223192209316751</v>
      </c>
      <c r="T997">
        <f t="shared" si="1023"/>
        <v>2.9223192209316749E-3</v>
      </c>
    </row>
    <row r="998" spans="1:20" x14ac:dyDescent="0.25">
      <c r="A998" s="5">
        <v>43595</v>
      </c>
      <c r="B998">
        <v>1.5851999999999999</v>
      </c>
      <c r="C998">
        <v>1.6249</v>
      </c>
      <c r="D998">
        <v>1.5427</v>
      </c>
      <c r="E998">
        <v>1.5849</v>
      </c>
      <c r="F998">
        <v>185598.39</v>
      </c>
      <c r="G998">
        <v>0</v>
      </c>
      <c r="L998" t="s">
        <v>7</v>
      </c>
      <c r="M998" t="s">
        <v>8</v>
      </c>
      <c r="N998" t="s">
        <v>7</v>
      </c>
      <c r="P998">
        <f t="shared" si="1019"/>
        <v>2.6763990267639641E-2</v>
      </c>
      <c r="Q998">
        <f t="shared" si="1020"/>
        <v>4967.3535036495869</v>
      </c>
      <c r="R998">
        <f t="shared" si="1021"/>
        <v>225526.36998490518</v>
      </c>
      <c r="S998">
        <f t="shared" si="1022"/>
        <v>2.2552636998490518</v>
      </c>
      <c r="T998">
        <f t="shared" si="1023"/>
        <v>2.2552636998490519E-3</v>
      </c>
    </row>
    <row r="999" spans="1:20" x14ac:dyDescent="0.25">
      <c r="A999" s="5">
        <v>43594</v>
      </c>
      <c r="B999">
        <v>1.6475</v>
      </c>
      <c r="C999">
        <v>1.6791</v>
      </c>
      <c r="D999">
        <v>1.5764</v>
      </c>
      <c r="E999">
        <v>1.5928</v>
      </c>
      <c r="F999">
        <v>94983.27</v>
      </c>
      <c r="G999">
        <v>0</v>
      </c>
      <c r="L999" t="s">
        <v>8</v>
      </c>
      <c r="M999" t="s">
        <v>8</v>
      </c>
      <c r="N999" t="s">
        <v>7</v>
      </c>
      <c r="P999">
        <f t="shared" si="1019"/>
        <v>-0.68062317429406094</v>
      </c>
      <c r="Q999">
        <f t="shared" si="1020"/>
        <v>-64647.814732229854</v>
      </c>
      <c r="R999">
        <f t="shared" si="1021"/>
        <v>220559.01648125559</v>
      </c>
      <c r="S999">
        <f t="shared" si="1022"/>
        <v>2.205590164812556</v>
      </c>
      <c r="T999">
        <f t="shared" si="1023"/>
        <v>2.2055901648125559E-3</v>
      </c>
    </row>
    <row r="1000" spans="1:20" x14ac:dyDescent="0.25">
      <c r="A1000" s="5">
        <v>43593</v>
      </c>
      <c r="B1000">
        <v>1.5952</v>
      </c>
      <c r="C1000">
        <v>1.7052</v>
      </c>
      <c r="D1000">
        <v>1.4</v>
      </c>
      <c r="E1000">
        <v>1.6556</v>
      </c>
      <c r="F1000">
        <v>181330.47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0.67496723460026165</v>
      </c>
      <c r="Q1000">
        <f t="shared" si="1020"/>
        <v>122392.1258846657</v>
      </c>
      <c r="R1000">
        <f t="shared" si="1021"/>
        <v>285206.83121348545</v>
      </c>
      <c r="S1000">
        <f t="shared" si="1022"/>
        <v>2.8520683121348545</v>
      </c>
      <c r="T1000">
        <f t="shared" si="1023"/>
        <v>2.8520683121348546E-3</v>
      </c>
    </row>
    <row r="1001" spans="1:20" x14ac:dyDescent="0.25">
      <c r="A1001" s="5">
        <v>43592</v>
      </c>
      <c r="B1001">
        <v>1.6119000000000001</v>
      </c>
      <c r="C1001">
        <v>1.6736</v>
      </c>
      <c r="D1001">
        <v>1.5948</v>
      </c>
      <c r="E1001">
        <v>1.5998000000000001</v>
      </c>
      <c r="F1001">
        <v>262785.45</v>
      </c>
      <c r="G1001">
        <v>0</v>
      </c>
      <c r="L1001" t="s">
        <v>8</v>
      </c>
      <c r="M1001" t="s">
        <v>8</v>
      </c>
      <c r="N1001" t="s">
        <v>7</v>
      </c>
      <c r="P1001">
        <f t="shared" si="1019"/>
        <v>-0.87309644670050468</v>
      </c>
      <c r="Q1001">
        <f t="shared" si="1020"/>
        <v>-229437.04263959316</v>
      </c>
      <c r="R1001">
        <f t="shared" si="1021"/>
        <v>162814.70532881978</v>
      </c>
      <c r="S1001">
        <f t="shared" si="1022"/>
        <v>1.6281470532881979</v>
      </c>
      <c r="T1001">
        <f t="shared" si="1023"/>
        <v>1.6281470532881978E-3</v>
      </c>
    </row>
    <row r="1002" spans="1:20" x14ac:dyDescent="0.25">
      <c r="A1002" s="5">
        <v>43591</v>
      </c>
      <c r="B1002">
        <v>1.573</v>
      </c>
      <c r="C1002">
        <v>1.6524000000000001</v>
      </c>
      <c r="D1002">
        <v>1.5036</v>
      </c>
      <c r="E1002">
        <v>1.6026</v>
      </c>
      <c r="F1002">
        <v>238412.05</v>
      </c>
      <c r="G1002">
        <v>0</v>
      </c>
      <c r="L1002" t="s">
        <v>7</v>
      </c>
      <c r="M1002" t="s">
        <v>8</v>
      </c>
      <c r="N1002" t="s">
        <v>7</v>
      </c>
      <c r="P1002">
        <f t="shared" si="1019"/>
        <v>0.3306451612903219</v>
      </c>
      <c r="Q1002">
        <f t="shared" si="1020"/>
        <v>78829.790725806291</v>
      </c>
      <c r="R1002">
        <f t="shared" si="1021"/>
        <v>392251.74796841294</v>
      </c>
      <c r="S1002">
        <f t="shared" si="1022"/>
        <v>3.9225174796841293</v>
      </c>
      <c r="T1002">
        <f t="shared" si="1023"/>
        <v>3.9225174796841296E-3</v>
      </c>
    </row>
    <row r="1003" spans="1:20" x14ac:dyDescent="0.25">
      <c r="A1003" s="5">
        <v>43590</v>
      </c>
      <c r="B1003">
        <v>1.5964</v>
      </c>
      <c r="C1003">
        <v>1.6188</v>
      </c>
      <c r="D1003">
        <v>1.5589</v>
      </c>
      <c r="E1003">
        <v>1.5685</v>
      </c>
      <c r="F1003">
        <v>113607.07</v>
      </c>
      <c r="G1003">
        <v>0</v>
      </c>
      <c r="L1003" t="s">
        <v>7</v>
      </c>
      <c r="M1003" t="s">
        <v>8</v>
      </c>
      <c r="N1003" t="s">
        <v>7</v>
      </c>
      <c r="P1003">
        <f t="shared" si="1019"/>
        <v>-0.67946577629382165</v>
      </c>
      <c r="Q1003">
        <f t="shared" si="1020"/>
        <v>-77192.116010016543</v>
      </c>
      <c r="R1003">
        <f t="shared" si="1021"/>
        <v>313421.95724260667</v>
      </c>
      <c r="S1003">
        <f t="shared" si="1022"/>
        <v>3.1342195724260669</v>
      </c>
      <c r="T1003">
        <f t="shared" si="1023"/>
        <v>3.1342195724260668E-3</v>
      </c>
    </row>
    <row r="1004" spans="1:20" x14ac:dyDescent="0.25">
      <c r="A1004" s="5">
        <v>43589</v>
      </c>
      <c r="B1004">
        <v>1.694</v>
      </c>
      <c r="C1004">
        <v>1.7702</v>
      </c>
      <c r="D1004">
        <v>1.5525</v>
      </c>
      <c r="E1004">
        <v>1.6</v>
      </c>
      <c r="F1004">
        <v>201694.45</v>
      </c>
      <c r="G1004">
        <v>0</v>
      </c>
      <c r="L1004" t="s">
        <v>7</v>
      </c>
      <c r="M1004" t="s">
        <v>8</v>
      </c>
      <c r="N1004" t="s">
        <v>7</v>
      </c>
      <c r="P1004">
        <f t="shared" si="1019"/>
        <v>-0.56361966008268172</v>
      </c>
      <c r="Q1004">
        <f t="shared" si="1020"/>
        <v>-113678.95734956345</v>
      </c>
      <c r="R1004">
        <f t="shared" si="1021"/>
        <v>390614.0732526232</v>
      </c>
      <c r="S1004">
        <f t="shared" si="1022"/>
        <v>3.9061407325262318</v>
      </c>
      <c r="T1004">
        <f t="shared" si="1023"/>
        <v>3.9061407325262317E-3</v>
      </c>
    </row>
    <row r="1005" spans="1:20" x14ac:dyDescent="0.25">
      <c r="A1005" s="5">
        <v>43588</v>
      </c>
      <c r="B1005">
        <v>1.673</v>
      </c>
      <c r="C1005">
        <v>1.7182999999999999</v>
      </c>
      <c r="D1005">
        <v>1.6266</v>
      </c>
      <c r="E1005">
        <v>1.6991000000000001</v>
      </c>
      <c r="F1005">
        <v>238462.79</v>
      </c>
      <c r="G1005">
        <v>0</v>
      </c>
      <c r="L1005" t="s">
        <v>7</v>
      </c>
      <c r="M1005" t="s">
        <v>8</v>
      </c>
      <c r="N1005" t="s">
        <v>7</v>
      </c>
      <c r="P1005">
        <f t="shared" si="1019"/>
        <v>0.58124318429662147</v>
      </c>
      <c r="Q1005">
        <f t="shared" si="1020"/>
        <v>138604.87139585655</v>
      </c>
      <c r="R1005">
        <f t="shared" si="1021"/>
        <v>504293.03060218663</v>
      </c>
      <c r="S1005">
        <f t="shared" si="1022"/>
        <v>5.0429303060218666</v>
      </c>
      <c r="T1005">
        <f t="shared" si="1023"/>
        <v>5.0429303060218669E-3</v>
      </c>
    </row>
    <row r="1006" spans="1:20" x14ac:dyDescent="0.25">
      <c r="A1006" s="5">
        <v>43587</v>
      </c>
      <c r="B1006">
        <v>1.6012999999999999</v>
      </c>
      <c r="C1006">
        <v>1.7627999999999999</v>
      </c>
      <c r="D1006">
        <v>1.569</v>
      </c>
      <c r="E1006">
        <v>1.6826000000000001</v>
      </c>
      <c r="F1006">
        <v>289628.46000000002</v>
      </c>
      <c r="G1006">
        <v>0</v>
      </c>
      <c r="L1006" t="s">
        <v>8</v>
      </c>
      <c r="M1006" t="s">
        <v>8</v>
      </c>
      <c r="N1006" t="s">
        <v>7</v>
      </c>
      <c r="P1006">
        <f t="shared" si="1019"/>
        <v>0.1723426212590316</v>
      </c>
      <c r="Q1006">
        <f t="shared" si="1020"/>
        <v>49915.327987616591</v>
      </c>
      <c r="R1006">
        <f t="shared" si="1021"/>
        <v>365688.15920633008</v>
      </c>
      <c r="S1006">
        <f t="shared" si="1022"/>
        <v>3.6568815920633009</v>
      </c>
      <c r="T1006">
        <f t="shared" si="1023"/>
        <v>3.656881592063301E-3</v>
      </c>
    </row>
    <row r="1007" spans="1:20" x14ac:dyDescent="0.25">
      <c r="A1007" s="5">
        <v>43586</v>
      </c>
      <c r="B1007">
        <v>1.5731999999999999</v>
      </c>
      <c r="C1007">
        <v>1.6237999999999999</v>
      </c>
      <c r="D1007">
        <v>1.5653999999999999</v>
      </c>
      <c r="E1007">
        <v>1.6004</v>
      </c>
      <c r="F1007">
        <v>170685.94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0.19863013698630608</v>
      </c>
      <c r="Q1007">
        <f t="shared" si="1020"/>
        <v>33903.371643836421</v>
      </c>
      <c r="R1007">
        <f t="shared" si="1021"/>
        <v>315772.83121871349</v>
      </c>
      <c r="S1007">
        <f t="shared" si="1022"/>
        <v>3.1577283121871349</v>
      </c>
      <c r="T1007">
        <f t="shared" si="1023"/>
        <v>3.1577283121871349E-3</v>
      </c>
    </row>
    <row r="1008" spans="1:20" x14ac:dyDescent="0.25">
      <c r="A1008" s="5">
        <v>43585</v>
      </c>
      <c r="B1008">
        <v>1.4813000000000001</v>
      </c>
      <c r="C1008">
        <v>1.5714999999999999</v>
      </c>
      <c r="D1008">
        <v>1.4693000000000001</v>
      </c>
      <c r="E1008">
        <v>1.5619000000000001</v>
      </c>
      <c r="F1008">
        <v>160893.09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0.81213307240704802</v>
      </c>
      <c r="Q1008">
        <f t="shared" si="1020"/>
        <v>130666.59951076368</v>
      </c>
      <c r="R1008">
        <f t="shared" si="1021"/>
        <v>281869.45957487705</v>
      </c>
      <c r="S1008">
        <f t="shared" si="1022"/>
        <v>2.8186945957487706</v>
      </c>
      <c r="T1008">
        <f t="shared" si="1023"/>
        <v>2.8186945957487707E-3</v>
      </c>
    </row>
    <row r="1009" spans="1:20" x14ac:dyDescent="0.25">
      <c r="A1009" s="5">
        <v>43584</v>
      </c>
      <c r="B1009">
        <v>1.5274000000000001</v>
      </c>
      <c r="C1009">
        <v>1.5623</v>
      </c>
      <c r="D1009">
        <v>1.4435</v>
      </c>
      <c r="E1009">
        <v>1.4743999999999999</v>
      </c>
      <c r="F1009">
        <v>218060.83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-0.47979797979798111</v>
      </c>
      <c r="Q1009">
        <f t="shared" si="1020"/>
        <v>-104625.14570707099</v>
      </c>
      <c r="R1009">
        <f t="shared" si="1021"/>
        <v>151202.86006411334</v>
      </c>
      <c r="S1009">
        <f t="shared" si="1022"/>
        <v>1.5120286006411334</v>
      </c>
      <c r="T1009">
        <f t="shared" si="1023"/>
        <v>1.5120286006411335E-3</v>
      </c>
    </row>
    <row r="1010" spans="1:20" x14ac:dyDescent="0.25">
      <c r="A1010" s="5">
        <v>43583</v>
      </c>
      <c r="B1010">
        <v>1.5733999999999999</v>
      </c>
      <c r="C1010">
        <v>1.6041000000000001</v>
      </c>
      <c r="D1010">
        <v>1.5101</v>
      </c>
      <c r="E1010">
        <v>1.5303</v>
      </c>
      <c r="F1010">
        <v>138636.32999999999</v>
      </c>
      <c r="G1010">
        <v>0</v>
      </c>
      <c r="L1010" t="s">
        <v>7</v>
      </c>
      <c r="M1010" t="s">
        <v>7</v>
      </c>
      <c r="N1010" t="s">
        <v>7</v>
      </c>
      <c r="P1010">
        <f t="shared" si="1019"/>
        <v>-0.5702127659574473</v>
      </c>
      <c r="Q1010">
        <f t="shared" si="1020"/>
        <v>-79052.205191489425</v>
      </c>
      <c r="R1010">
        <f t="shared" si="1021"/>
        <v>255828.00577118434</v>
      </c>
      <c r="S1010">
        <f t="shared" si="1022"/>
        <v>2.5582800577118432</v>
      </c>
      <c r="T1010">
        <f t="shared" si="1023"/>
        <v>2.5582800577118431E-3</v>
      </c>
    </row>
    <row r="1011" spans="1:20" x14ac:dyDescent="0.25">
      <c r="A1011" s="5">
        <v>43582</v>
      </c>
      <c r="B1011">
        <v>1.5249999999999999</v>
      </c>
      <c r="C1011">
        <v>1.6242000000000001</v>
      </c>
      <c r="D1011">
        <v>1.4818</v>
      </c>
      <c r="E1011">
        <v>1.5723</v>
      </c>
      <c r="F1011">
        <v>169567.94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0.27106741573033671</v>
      </c>
      <c r="Q1011">
        <f t="shared" si="1020"/>
        <v>45964.343286516792</v>
      </c>
      <c r="R1011">
        <f t="shared" si="1021"/>
        <v>334880.21096267377</v>
      </c>
      <c r="S1011">
        <f t="shared" si="1022"/>
        <v>3.3488021096267375</v>
      </c>
      <c r="T1011">
        <f t="shared" si="1023"/>
        <v>3.3488021096267375E-3</v>
      </c>
    </row>
    <row r="1012" spans="1:20" x14ac:dyDescent="0.25">
      <c r="A1012" s="5">
        <v>43581</v>
      </c>
      <c r="B1012">
        <v>1.5118</v>
      </c>
      <c r="C1012">
        <v>1.5590999999999999</v>
      </c>
      <c r="D1012">
        <v>1.4395</v>
      </c>
      <c r="E1012">
        <v>1.5214000000000001</v>
      </c>
      <c r="F1012">
        <v>329595.09000000003</v>
      </c>
      <c r="G1012">
        <v>0</v>
      </c>
      <c r="L1012" t="s">
        <v>8</v>
      </c>
      <c r="M1012" t="s">
        <v>7</v>
      </c>
      <c r="N1012" t="s">
        <v>7</v>
      </c>
      <c r="P1012">
        <f t="shared" si="1019"/>
        <v>0.36956521739130654</v>
      </c>
      <c r="Q1012">
        <f t="shared" si="1020"/>
        <v>121806.88108695725</v>
      </c>
      <c r="R1012">
        <f t="shared" si="1021"/>
        <v>288915.86767615698</v>
      </c>
      <c r="S1012">
        <f t="shared" si="1022"/>
        <v>2.88915867676157</v>
      </c>
      <c r="T1012">
        <f t="shared" si="1023"/>
        <v>2.8891586767615701E-3</v>
      </c>
    </row>
    <row r="1013" spans="1:20" x14ac:dyDescent="0.25">
      <c r="A1013" s="5">
        <v>43580</v>
      </c>
      <c r="B1013">
        <v>1.6659999999999999</v>
      </c>
      <c r="C1013">
        <v>1.6986000000000001</v>
      </c>
      <c r="D1013">
        <v>1.4200999999999999</v>
      </c>
      <c r="E1013">
        <v>1.5118</v>
      </c>
      <c r="F1013">
        <v>523441.58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-0.34147217235188471</v>
      </c>
      <c r="Q1013">
        <f t="shared" si="1020"/>
        <v>-178740.73342190284</v>
      </c>
      <c r="R1013">
        <f t="shared" si="1021"/>
        <v>167108.98658919972</v>
      </c>
      <c r="S1013">
        <f t="shared" si="1022"/>
        <v>1.6710898658919973</v>
      </c>
      <c r="T1013">
        <f t="shared" si="1023"/>
        <v>1.6710898658919972E-3</v>
      </c>
    </row>
    <row r="1014" spans="1:20" x14ac:dyDescent="0.25">
      <c r="A1014" s="5">
        <v>43579</v>
      </c>
      <c r="B1014">
        <v>1.742</v>
      </c>
      <c r="C1014">
        <v>1.7487999999999999</v>
      </c>
      <c r="D1014">
        <v>1.5623</v>
      </c>
      <c r="E1014">
        <v>1.6633</v>
      </c>
      <c r="F1014">
        <v>496536.5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8.3109919571045993E-2</v>
      </c>
      <c r="Q1014">
        <f t="shared" si="1020"/>
        <v>41267.108579088679</v>
      </c>
      <c r="R1014">
        <f t="shared" si="1021"/>
        <v>345849.72001110256</v>
      </c>
      <c r="S1014">
        <f t="shared" si="1022"/>
        <v>3.4584972001110255</v>
      </c>
      <c r="T1014">
        <f t="shared" si="1023"/>
        <v>3.4584972001110255E-3</v>
      </c>
    </row>
    <row r="1015" spans="1:20" x14ac:dyDescent="0.25">
      <c r="A1015" s="5">
        <v>43578</v>
      </c>
      <c r="B1015">
        <v>1.8568</v>
      </c>
      <c r="C1015">
        <v>1.8754999999999999</v>
      </c>
      <c r="D1015">
        <v>1.742</v>
      </c>
      <c r="E1015">
        <v>1.742</v>
      </c>
      <c r="F1015">
        <v>204709.05</v>
      </c>
      <c r="G1015">
        <v>0</v>
      </c>
      <c r="L1015" t="s">
        <v>7</v>
      </c>
      <c r="M1015" t="s">
        <v>7</v>
      </c>
      <c r="N1015" t="s">
        <v>7</v>
      </c>
      <c r="P1015">
        <f t="shared" si="1019"/>
        <v>-1</v>
      </c>
      <c r="Q1015">
        <f t="shared" si="1020"/>
        <v>-204709.05</v>
      </c>
      <c r="R1015">
        <f t="shared" si="1021"/>
        <v>304582.61143201386</v>
      </c>
      <c r="S1015">
        <f t="shared" si="1022"/>
        <v>3.0458261143201386</v>
      </c>
      <c r="T1015">
        <f t="shared" si="1023"/>
        <v>3.0458261143201386E-3</v>
      </c>
    </row>
    <row r="1016" spans="1:20" x14ac:dyDescent="0.25">
      <c r="A1016" s="5">
        <v>43577</v>
      </c>
      <c r="B1016">
        <v>1.8545</v>
      </c>
      <c r="C1016">
        <v>1.877</v>
      </c>
      <c r="D1016">
        <v>1.8090999999999999</v>
      </c>
      <c r="E1016">
        <v>1.8612</v>
      </c>
      <c r="F1016">
        <v>149660.31</v>
      </c>
      <c r="G1016">
        <v>0</v>
      </c>
      <c r="L1016" t="s">
        <v>7</v>
      </c>
      <c r="M1016" t="s">
        <v>7</v>
      </c>
      <c r="N1016" t="s">
        <v>7</v>
      </c>
      <c r="P1016">
        <f t="shared" si="1019"/>
        <v>0.53460972017672992</v>
      </c>
      <c r="Q1016">
        <f t="shared" si="1020"/>
        <v>80009.856450662657</v>
      </c>
      <c r="R1016">
        <f t="shared" si="1021"/>
        <v>509291.66143201385</v>
      </c>
      <c r="S1016">
        <f t="shared" si="1022"/>
        <v>5.0929166143201385</v>
      </c>
      <c r="T1016">
        <f t="shared" si="1023"/>
        <v>5.0929166143201384E-3</v>
      </c>
    </row>
    <row r="1017" spans="1:20" x14ac:dyDescent="0.25">
      <c r="A1017" s="5">
        <v>43576</v>
      </c>
      <c r="B1017">
        <v>1.9508000000000001</v>
      </c>
      <c r="C1017">
        <v>1.9646999999999999</v>
      </c>
      <c r="D1017">
        <v>1.7605</v>
      </c>
      <c r="E1017">
        <v>1.8488</v>
      </c>
      <c r="F1017">
        <v>278990.06</v>
      </c>
      <c r="G1017">
        <v>0</v>
      </c>
      <c r="L1017" t="s">
        <v>7</v>
      </c>
      <c r="M1017" t="s">
        <v>7</v>
      </c>
      <c r="N1017" t="s">
        <v>7</v>
      </c>
      <c r="P1017">
        <f t="shared" si="1019"/>
        <v>-0.13516160626836363</v>
      </c>
      <c r="Q1017">
        <f t="shared" si="1020"/>
        <v>-37708.744642507147</v>
      </c>
      <c r="R1017">
        <f t="shared" si="1021"/>
        <v>429281.80498135119</v>
      </c>
      <c r="S1017">
        <f t="shared" si="1022"/>
        <v>4.292818049813512</v>
      </c>
      <c r="T1017">
        <f t="shared" si="1023"/>
        <v>4.2928180498135122E-3</v>
      </c>
    </row>
    <row r="1018" spans="1:20" x14ac:dyDescent="0.25">
      <c r="A1018" s="5">
        <v>43575</v>
      </c>
      <c r="B1018">
        <v>1.9656</v>
      </c>
      <c r="C1018">
        <v>1.9801</v>
      </c>
      <c r="D1018">
        <v>1.9202999999999999</v>
      </c>
      <c r="E1018">
        <v>1.9568000000000001</v>
      </c>
      <c r="F1018">
        <v>53806.65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0.22073578595318238</v>
      </c>
      <c r="Q1018">
        <f t="shared" si="1020"/>
        <v>11877.053177257802</v>
      </c>
      <c r="R1018">
        <f t="shared" si="1021"/>
        <v>466990.54962385836</v>
      </c>
      <c r="S1018">
        <f t="shared" si="1022"/>
        <v>4.6699054962385835</v>
      </c>
      <c r="T1018">
        <f t="shared" si="1023"/>
        <v>4.6699054962385834E-3</v>
      </c>
    </row>
    <row r="1019" spans="1:20" x14ac:dyDescent="0.25">
      <c r="A1019" s="5">
        <v>43574</v>
      </c>
      <c r="B1019">
        <v>1.9749000000000001</v>
      </c>
      <c r="C1019">
        <v>1.9797</v>
      </c>
      <c r="D1019">
        <v>1.8959999999999999</v>
      </c>
      <c r="E1019">
        <v>1.9661</v>
      </c>
      <c r="F1019">
        <v>129351.72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0.67502986857825475</v>
      </c>
      <c r="Q1019">
        <f t="shared" si="1020"/>
        <v>87316.274551971204</v>
      </c>
      <c r="R1019">
        <f t="shared" si="1021"/>
        <v>455113.49644660053</v>
      </c>
      <c r="S1019">
        <f t="shared" si="1022"/>
        <v>4.5511349644660051</v>
      </c>
      <c r="T1019">
        <f t="shared" si="1023"/>
        <v>4.5511349644660054E-3</v>
      </c>
    </row>
    <row r="1020" spans="1:20" x14ac:dyDescent="0.25">
      <c r="A1020" s="5">
        <v>43573</v>
      </c>
      <c r="B1020">
        <v>1.9395</v>
      </c>
      <c r="C1020">
        <v>1.9882</v>
      </c>
      <c r="D1020">
        <v>1.9171</v>
      </c>
      <c r="E1020">
        <v>1.9752000000000001</v>
      </c>
      <c r="F1020">
        <v>184174.41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0.63431786216596597</v>
      </c>
      <c r="Q1020">
        <f t="shared" si="1020"/>
        <v>116825.11801687811</v>
      </c>
      <c r="R1020">
        <f t="shared" si="1021"/>
        <v>367797.2218946293</v>
      </c>
      <c r="S1020">
        <f t="shared" si="1022"/>
        <v>3.6779722189462931</v>
      </c>
      <c r="T1020">
        <f t="shared" si="1023"/>
        <v>3.6779722189462932E-3</v>
      </c>
    </row>
    <row r="1021" spans="1:20" x14ac:dyDescent="0.25">
      <c r="A1021" s="5">
        <v>43572</v>
      </c>
      <c r="B1021">
        <v>1.9152</v>
      </c>
      <c r="C1021">
        <v>1.9498</v>
      </c>
      <c r="D1021">
        <v>1.8660000000000001</v>
      </c>
      <c r="E1021">
        <v>1.9357</v>
      </c>
      <c r="F1021">
        <v>206141.16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0.66348448687350781</v>
      </c>
      <c r="Q1021">
        <f t="shared" si="1020"/>
        <v>136771.46176610969</v>
      </c>
      <c r="R1021">
        <f t="shared" si="1021"/>
        <v>250972.10387775121</v>
      </c>
      <c r="S1021">
        <f t="shared" si="1022"/>
        <v>2.5097210387775122</v>
      </c>
      <c r="T1021">
        <f t="shared" si="1023"/>
        <v>2.5097210387775124E-3</v>
      </c>
    </row>
    <row r="1022" spans="1:20" x14ac:dyDescent="0.25">
      <c r="A1022" s="5">
        <v>43571</v>
      </c>
      <c r="B1022">
        <v>1.8435999999999999</v>
      </c>
      <c r="C1022">
        <v>1.9448000000000001</v>
      </c>
      <c r="D1022">
        <v>1.8163</v>
      </c>
      <c r="E1022">
        <v>1.9148000000000001</v>
      </c>
      <c r="F1022">
        <v>221817.15</v>
      </c>
      <c r="G1022">
        <v>0</v>
      </c>
      <c r="L1022" t="s">
        <v>8</v>
      </c>
      <c r="M1022" t="s">
        <v>7</v>
      </c>
      <c r="N1022" t="s">
        <v>8</v>
      </c>
      <c r="P1022">
        <f t="shared" si="1019"/>
        <v>0.53307392996108927</v>
      </c>
      <c r="Q1022">
        <f t="shared" si="1020"/>
        <v>118244.93988326842</v>
      </c>
      <c r="R1022">
        <f t="shared" si="1021"/>
        <v>114200.64211164151</v>
      </c>
      <c r="S1022">
        <f t="shared" si="1022"/>
        <v>1.1420064211164151</v>
      </c>
      <c r="T1022">
        <f t="shared" si="1023"/>
        <v>1.1420064211164151E-3</v>
      </c>
    </row>
    <row r="1023" spans="1:20" x14ac:dyDescent="0.25">
      <c r="A1023" s="5">
        <v>43570</v>
      </c>
      <c r="B1023">
        <v>1.9776</v>
      </c>
      <c r="C1023">
        <v>2.0188999999999999</v>
      </c>
      <c r="D1023">
        <v>1.7834000000000001</v>
      </c>
      <c r="E1023">
        <v>1.8449</v>
      </c>
      <c r="F1023">
        <v>340218.39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35" si="1024">IF(C1023=D1023,0,((E1023-D1023)-(C1023-E1023))/(C1023-D1023))</f>
        <v>-0.47770700636942731</v>
      </c>
      <c r="Q1023">
        <f t="shared" ref="Q1023:Q1035" si="1025">F1023*P1023</f>
        <v>-162524.70859872631</v>
      </c>
      <c r="R1023">
        <f t="shared" ref="R1023:R1035" si="1026">R1024+Q1023</f>
        <v>-4044.2977716269088</v>
      </c>
      <c r="S1023">
        <f t="shared" ref="S1023:S1035" si="1027">R1023/100000</f>
        <v>-4.0442977716269091E-2</v>
      </c>
      <c r="T1023">
        <f t="shared" ref="T1023:T1035" si="1028">S1023/1000</f>
        <v>-4.0442977716269088E-5</v>
      </c>
    </row>
    <row r="1024" spans="1:20" x14ac:dyDescent="0.25">
      <c r="A1024" s="5">
        <v>43569</v>
      </c>
      <c r="B1024">
        <v>1.9107000000000001</v>
      </c>
      <c r="C1024">
        <v>1.9776</v>
      </c>
      <c r="D1024">
        <v>1.8136000000000001</v>
      </c>
      <c r="E1024">
        <v>1.9776</v>
      </c>
      <c r="F1024">
        <v>267973.02</v>
      </c>
      <c r="G1024">
        <v>0</v>
      </c>
      <c r="L1024" t="s">
        <v>7</v>
      </c>
      <c r="M1024" t="s">
        <v>7</v>
      </c>
      <c r="N1024" t="s">
        <v>8</v>
      </c>
      <c r="P1024">
        <f t="shared" si="1024"/>
        <v>1</v>
      </c>
      <c r="Q1024">
        <f t="shared" si="1025"/>
        <v>267973.02</v>
      </c>
      <c r="R1024">
        <f t="shared" si="1026"/>
        <v>158480.4108270994</v>
      </c>
      <c r="S1024">
        <f t="shared" si="1027"/>
        <v>1.584804108270994</v>
      </c>
      <c r="T1024">
        <f t="shared" si="1028"/>
        <v>1.5848041082709942E-3</v>
      </c>
    </row>
    <row r="1025" spans="1:20" x14ac:dyDescent="0.25">
      <c r="A1025" s="5">
        <v>43568</v>
      </c>
      <c r="B1025">
        <v>1.9587000000000001</v>
      </c>
      <c r="C1025">
        <v>1.9944999999999999</v>
      </c>
      <c r="D1025">
        <v>1.8914</v>
      </c>
      <c r="E1025">
        <v>1.905</v>
      </c>
      <c r="F1025">
        <v>131179.89000000001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-0.73617846750727334</v>
      </c>
      <c r="Q1025">
        <f t="shared" si="1025"/>
        <v>-96571.810387972699</v>
      </c>
      <c r="R1025">
        <f t="shared" si="1026"/>
        <v>-109492.60917290061</v>
      </c>
      <c r="S1025">
        <f t="shared" si="1027"/>
        <v>-1.0949260917290062</v>
      </c>
      <c r="T1025">
        <f t="shared" si="1028"/>
        <v>-1.0949260917290063E-3</v>
      </c>
    </row>
    <row r="1026" spans="1:20" x14ac:dyDescent="0.25">
      <c r="A1026" s="5">
        <v>43567</v>
      </c>
      <c r="B1026">
        <v>1.9857</v>
      </c>
      <c r="C1026">
        <v>2.0398000000000001</v>
      </c>
      <c r="D1026">
        <v>1.8554999999999999</v>
      </c>
      <c r="E1026">
        <v>1.9656</v>
      </c>
      <c r="F1026">
        <v>194231.45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0.19479110146500281</v>
      </c>
      <c r="Q1026">
        <f t="shared" si="1025"/>
        <v>37834.558084644625</v>
      </c>
      <c r="R1026">
        <f t="shared" si="1026"/>
        <v>-12920.798784927916</v>
      </c>
      <c r="S1026">
        <f t="shared" si="1027"/>
        <v>-0.12920798784927917</v>
      </c>
      <c r="T1026">
        <f t="shared" si="1028"/>
        <v>-1.2920798784927918E-4</v>
      </c>
    </row>
    <row r="1027" spans="1:20" x14ac:dyDescent="0.25">
      <c r="A1027" s="5">
        <v>43566</v>
      </c>
      <c r="B1027">
        <v>2.2326999999999999</v>
      </c>
      <c r="C1027">
        <v>2.2326999999999999</v>
      </c>
      <c r="D1027">
        <v>1.8717999999999999</v>
      </c>
      <c r="E1027">
        <v>1.9854000000000001</v>
      </c>
      <c r="F1027">
        <v>589606.37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-0.37046273205874125</v>
      </c>
      <c r="Q1027">
        <f t="shared" si="1025"/>
        <v>-218427.18666943704</v>
      </c>
      <c r="R1027">
        <f t="shared" si="1026"/>
        <v>-50755.356869572541</v>
      </c>
      <c r="S1027">
        <f t="shared" si="1027"/>
        <v>-0.50755356869572543</v>
      </c>
      <c r="T1027">
        <f t="shared" si="1028"/>
        <v>-5.0755356869572538E-4</v>
      </c>
    </row>
    <row r="1028" spans="1:20" x14ac:dyDescent="0.25">
      <c r="A1028" s="5">
        <v>43565</v>
      </c>
      <c r="B1028">
        <v>2.2320000000000002</v>
      </c>
      <c r="C1028">
        <v>2.3134000000000001</v>
      </c>
      <c r="D1028">
        <v>2.2004999999999999</v>
      </c>
      <c r="E1028">
        <v>2.2246999999999999</v>
      </c>
      <c r="F1028">
        <v>203974.68</v>
      </c>
      <c r="G1028">
        <v>0</v>
      </c>
      <c r="L1028" t="s">
        <v>7</v>
      </c>
      <c r="M1028" t="s">
        <v>8</v>
      </c>
      <c r="N1028" t="s">
        <v>8</v>
      </c>
      <c r="P1028">
        <f t="shared" si="1024"/>
        <v>-0.57130203720106376</v>
      </c>
      <c r="Q1028">
        <f t="shared" si="1025"/>
        <v>-116531.15022143508</v>
      </c>
      <c r="R1028">
        <f t="shared" si="1026"/>
        <v>167671.8297998645</v>
      </c>
      <c r="S1028">
        <f t="shared" si="1027"/>
        <v>1.676718297998645</v>
      </c>
      <c r="T1028">
        <f t="shared" si="1028"/>
        <v>1.6767182979986451E-3</v>
      </c>
    </row>
    <row r="1029" spans="1:20" x14ac:dyDescent="0.25">
      <c r="A1029" s="5">
        <v>43564</v>
      </c>
      <c r="B1029">
        <v>2.319</v>
      </c>
      <c r="C1029">
        <v>2.3205</v>
      </c>
      <c r="D1029">
        <v>2.1776</v>
      </c>
      <c r="E1029">
        <v>2.2320000000000002</v>
      </c>
      <c r="F1029">
        <v>345619.63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-0.238628411476554</v>
      </c>
      <c r="Q1029">
        <f t="shared" si="1025"/>
        <v>-82474.663282014342</v>
      </c>
      <c r="R1029">
        <f t="shared" si="1026"/>
        <v>284202.98002129956</v>
      </c>
      <c r="S1029">
        <f t="shared" si="1027"/>
        <v>2.8420298002129956</v>
      </c>
      <c r="T1029">
        <f t="shared" si="1028"/>
        <v>2.8420298002129955E-3</v>
      </c>
    </row>
    <row r="1030" spans="1:20" x14ac:dyDescent="0.25">
      <c r="A1030" s="5">
        <v>43563</v>
      </c>
      <c r="B1030">
        <v>2.3338999999999999</v>
      </c>
      <c r="C1030">
        <v>2.4998</v>
      </c>
      <c r="D1030">
        <v>2.1741000000000001</v>
      </c>
      <c r="E1030">
        <v>2.3309000000000002</v>
      </c>
      <c r="F1030">
        <v>410029.91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-3.7150752225974151E-2</v>
      </c>
      <c r="Q1030">
        <f t="shared" si="1025"/>
        <v>-15232.91959164848</v>
      </c>
      <c r="R1030">
        <f t="shared" si="1026"/>
        <v>366677.64330331387</v>
      </c>
      <c r="S1030">
        <f t="shared" si="1027"/>
        <v>3.6667764330331387</v>
      </c>
      <c r="T1030">
        <f t="shared" si="1028"/>
        <v>3.6667764330331389E-3</v>
      </c>
    </row>
    <row r="1031" spans="1:20" x14ac:dyDescent="0.25">
      <c r="A1031" s="5">
        <v>43562</v>
      </c>
      <c r="B1031">
        <v>2.3237999999999999</v>
      </c>
      <c r="C1031">
        <v>2.3694000000000002</v>
      </c>
      <c r="D1031">
        <v>2.2608999999999999</v>
      </c>
      <c r="E1031">
        <v>2.3418999999999999</v>
      </c>
      <c r="F1031">
        <v>368997.87</v>
      </c>
      <c r="G1031">
        <v>0</v>
      </c>
      <c r="L1031" t="s">
        <v>7</v>
      </c>
      <c r="M1031" t="s">
        <v>8</v>
      </c>
      <c r="N1031" t="s">
        <v>8</v>
      </c>
      <c r="P1031">
        <f t="shared" si="1024"/>
        <v>0.49308755760368228</v>
      </c>
      <c r="Q1031">
        <f t="shared" si="1025"/>
        <v>181948.25847926107</v>
      </c>
      <c r="R1031">
        <f t="shared" si="1026"/>
        <v>381910.56289496238</v>
      </c>
      <c r="S1031">
        <f t="shared" si="1027"/>
        <v>3.8191056289496239</v>
      </c>
      <c r="T1031">
        <f t="shared" si="1028"/>
        <v>3.8191056289496239E-3</v>
      </c>
    </row>
    <row r="1032" spans="1:20" x14ac:dyDescent="0.25">
      <c r="A1032" s="5">
        <v>43561</v>
      </c>
      <c r="B1032">
        <v>2.4487999999999999</v>
      </c>
      <c r="C1032">
        <v>2.4487999999999999</v>
      </c>
      <c r="D1032">
        <v>2.2972999999999999</v>
      </c>
      <c r="E1032">
        <v>2.3203999999999998</v>
      </c>
      <c r="F1032">
        <v>361413.77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-0.69504950495049633</v>
      </c>
      <c r="Q1032">
        <f t="shared" si="1025"/>
        <v>-251200.46192079256</v>
      </c>
      <c r="R1032">
        <f t="shared" si="1026"/>
        <v>199962.30441570134</v>
      </c>
      <c r="S1032">
        <f t="shared" si="1027"/>
        <v>1.9996230441570133</v>
      </c>
      <c r="T1032">
        <f t="shared" si="1028"/>
        <v>1.9996230441570134E-3</v>
      </c>
    </row>
    <row r="1033" spans="1:20" x14ac:dyDescent="0.25">
      <c r="A1033" s="5">
        <v>43560</v>
      </c>
      <c r="B1033">
        <v>2.1387999999999998</v>
      </c>
      <c r="C1033">
        <v>2.4723000000000002</v>
      </c>
      <c r="D1033">
        <v>2.1208999999999998</v>
      </c>
      <c r="E1033">
        <v>2.4510000000000001</v>
      </c>
      <c r="F1033">
        <v>728503.33</v>
      </c>
      <c r="G1033">
        <v>0</v>
      </c>
      <c r="L1033" t="s">
        <v>8</v>
      </c>
      <c r="M1033" t="s">
        <v>8</v>
      </c>
      <c r="N1033" t="s">
        <v>8</v>
      </c>
      <c r="P1033">
        <f t="shared" si="1024"/>
        <v>0.8787706317586792</v>
      </c>
      <c r="Q1033">
        <f t="shared" si="1025"/>
        <v>640187.33154240146</v>
      </c>
      <c r="R1033">
        <f t="shared" si="1026"/>
        <v>451162.76633649389</v>
      </c>
      <c r="S1033">
        <f t="shared" si="1027"/>
        <v>4.5116276633649388</v>
      </c>
      <c r="T1033">
        <f t="shared" si="1028"/>
        <v>4.5116276633649392E-3</v>
      </c>
    </row>
    <row r="1034" spans="1:20" x14ac:dyDescent="0.25">
      <c r="A1034" s="5">
        <v>43559</v>
      </c>
      <c r="B1034">
        <v>1.9839</v>
      </c>
      <c r="C1034">
        <v>2.2193000000000001</v>
      </c>
      <c r="D1034">
        <v>1.9396</v>
      </c>
      <c r="E1034">
        <v>2.1328</v>
      </c>
      <c r="F1034">
        <v>495421.54</v>
      </c>
      <c r="G1034">
        <v>0</v>
      </c>
      <c r="L1034" t="s">
        <v>8</v>
      </c>
      <c r="M1034" t="s">
        <v>8</v>
      </c>
      <c r="N1034" t="s">
        <v>8</v>
      </c>
      <c r="P1034">
        <f t="shared" si="1024"/>
        <v>0.38148015731140505</v>
      </c>
      <c r="Q1034">
        <f t="shared" si="1025"/>
        <v>188993.48701465855</v>
      </c>
      <c r="R1034">
        <f t="shared" si="1026"/>
        <v>-189024.56520590759</v>
      </c>
      <c r="S1034">
        <f t="shared" si="1027"/>
        <v>-1.890245652059076</v>
      </c>
      <c r="T1034">
        <f t="shared" si="1028"/>
        <v>-1.890245652059076E-3</v>
      </c>
    </row>
    <row r="1035" spans="1:20" x14ac:dyDescent="0.25">
      <c r="A1035" s="5">
        <v>43558</v>
      </c>
      <c r="B1035">
        <v>2.5</v>
      </c>
      <c r="C1035">
        <v>2.5</v>
      </c>
      <c r="D1035">
        <v>1.829</v>
      </c>
      <c r="E1035">
        <v>1.9835</v>
      </c>
      <c r="F1035">
        <v>700690.92</v>
      </c>
      <c r="G1035">
        <v>0</v>
      </c>
      <c r="P1035">
        <f t="shared" si="1024"/>
        <v>-0.53949329359165399</v>
      </c>
      <c r="Q1035">
        <f t="shared" si="1025"/>
        <v>-378018.05222056614</v>
      </c>
      <c r="R1035">
        <f t="shared" si="1026"/>
        <v>-378018.05222056614</v>
      </c>
      <c r="S1035">
        <f t="shared" si="1027"/>
        <v>-3.7801805222056615</v>
      </c>
      <c r="T1035">
        <f t="shared" si="1028"/>
        <v>-3.7801805222056613E-3</v>
      </c>
    </row>
    <row r="1036" spans="1:20" x14ac:dyDescent="0.25">
      <c r="A1036" s="5"/>
      <c r="C1036"/>
      <c r="D1036"/>
    </row>
    <row r="1037" spans="1:20" x14ac:dyDescent="0.25">
      <c r="A1037" s="5"/>
      <c r="C1037"/>
      <c r="D1037"/>
    </row>
    <row r="1038" spans="1:20" x14ac:dyDescent="0.25">
      <c r="A1038" s="5"/>
      <c r="C1038"/>
      <c r="D1038"/>
    </row>
    <row r="1039" spans="1:20" x14ac:dyDescent="0.25">
      <c r="A1039" s="5"/>
      <c r="C1039"/>
      <c r="D1039"/>
    </row>
    <row r="1040" spans="1:20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T515" sqref="PT51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$A$514</v>
      </c>
      <c r="D111" s="1" t="str">
        <f>ADDRESS(C121-1,D121,1,1)</f>
        <v>$PT$514</v>
      </c>
      <c r="E111"/>
    </row>
    <row r="112" spans="1:5" x14ac:dyDescent="0.25">
      <c r="A112" s="7">
        <v>12164.144957890772</v>
      </c>
      <c r="C112" s="1" t="str">
        <f>ADDRESS(C121,1,1,1)</f>
        <v>$A$515</v>
      </c>
      <c r="D112" s="1" t="str">
        <f>ADDRESS(C121,D121-1,1,1)</f>
        <v>$PS$515</v>
      </c>
      <c r="E112"/>
    </row>
    <row r="113" spans="1:5" x14ac:dyDescent="0.25">
      <c r="A113" s="7">
        <v>11925.63231165762</v>
      </c>
      <c r="C113" s="1" t="str">
        <f>ADDRESS(C121+1,1,1,1)</f>
        <v>$A$516</v>
      </c>
      <c r="D113" s="1" t="str">
        <f>ADDRESS(C121-1,D121+1,1,1)</f>
        <v>$PU$514</v>
      </c>
    </row>
    <row r="114" spans="1:5" x14ac:dyDescent="0.25">
      <c r="A114" s="7">
        <v>11691.796383978059</v>
      </c>
      <c r="C114" s="1" t="str">
        <f>ADDRESS(C121,D121,1,1)</f>
        <v>$PT$515</v>
      </c>
      <c r="D114" s="1" t="str">
        <f>ADDRESS(C121+1,D121+1,1,1)</f>
        <v>$PU$516</v>
      </c>
    </row>
    <row r="115" spans="1:5" x14ac:dyDescent="0.25">
      <c r="A115" s="7">
        <v>11462.545474488292</v>
      </c>
      <c r="C115" s="1" t="str">
        <f>ADDRESS(C121+1,D121,1,1)</f>
        <v>$PT$516</v>
      </c>
    </row>
    <row r="116" spans="1:5" x14ac:dyDescent="0.25">
      <c r="A116" s="7">
        <v>11237.789680870874</v>
      </c>
      <c r="C116" s="1">
        <f>C117-1</f>
        <v>514</v>
      </c>
    </row>
    <row r="117" spans="1:5" x14ac:dyDescent="0.25">
      <c r="A117" s="7">
        <v>11017.440863598895</v>
      </c>
      <c r="C117" s="1">
        <f>C121</f>
        <v>515</v>
      </c>
      <c r="D117" s="1">
        <f>D121</f>
        <v>436</v>
      </c>
    </row>
    <row r="118" spans="1:5" x14ac:dyDescent="0.25">
      <c r="A118" s="7">
        <v>10801.412611371465</v>
      </c>
      <c r="C118" s="1">
        <f>C117+1</f>
        <v>516</v>
      </c>
      <c r="D118" s="1">
        <f>D117+1</f>
        <v>437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515</v>
      </c>
      <c r="D121" s="19">
        <v>436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R515</v>
      </c>
      <c r="D123" s="1" t="str">
        <f>"C"&amp;D121</f>
        <v>C436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4.1611403750515157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406" x14ac:dyDescent="0.25">
      <c r="A433" s="7">
        <v>21.106997141968804</v>
      </c>
      <c r="B433"/>
      <c r="C433"/>
      <c r="D433"/>
      <c r="E433"/>
    </row>
    <row r="434" spans="1:406" x14ac:dyDescent="0.25">
      <c r="A434" s="7">
        <v>20.693134452910591</v>
      </c>
      <c r="B434"/>
      <c r="C434"/>
      <c r="D434"/>
      <c r="E434"/>
    </row>
    <row r="435" spans="1:406" x14ac:dyDescent="0.25">
      <c r="A435" s="7">
        <v>20.287386718539796</v>
      </c>
      <c r="B435"/>
      <c r="C435"/>
      <c r="D435"/>
      <c r="E435"/>
    </row>
    <row r="436" spans="1:406" x14ac:dyDescent="0.25">
      <c r="A436" s="7">
        <v>19.889594822097838</v>
      </c>
      <c r="B436"/>
      <c r="C436"/>
      <c r="D436"/>
      <c r="E436"/>
      <c r="OI436" s="27" t="s">
        <v>8</v>
      </c>
    </row>
    <row r="437" spans="1:406" x14ac:dyDescent="0.25">
      <c r="A437" s="7">
        <v>19.499602766762585</v>
      </c>
      <c r="B437"/>
      <c r="C437"/>
      <c r="D437"/>
      <c r="E437"/>
      <c r="OI437" s="27" t="s">
        <v>8</v>
      </c>
      <c r="OJ437" s="27" t="s">
        <v>7</v>
      </c>
      <c r="OO437" s="27" t="s">
        <v>8</v>
      </c>
    </row>
    <row r="438" spans="1:406" x14ac:dyDescent="0.25">
      <c r="A438" s="7">
        <v>19.117257614473122</v>
      </c>
      <c r="B438"/>
      <c r="C438"/>
      <c r="D438"/>
      <c r="E438"/>
      <c r="OI438" s="27" t="s">
        <v>8</v>
      </c>
      <c r="OJ438" s="27" t="s">
        <v>7</v>
      </c>
      <c r="OO438" s="27" t="s">
        <v>8</v>
      </c>
      <c r="OP438" s="27" t="s">
        <v>7</v>
      </c>
    </row>
    <row r="439" spans="1:406" x14ac:dyDescent="0.25">
      <c r="A439" s="7">
        <v>18.74240942595404</v>
      </c>
      <c r="B439"/>
      <c r="C439"/>
      <c r="D439"/>
      <c r="E439"/>
      <c r="OI439" s="27" t="s">
        <v>8</v>
      </c>
      <c r="OJ439" s="27" t="s">
        <v>7</v>
      </c>
      <c r="OO439" s="27" t="s">
        <v>8</v>
      </c>
      <c r="OP439" s="27" t="s">
        <v>7</v>
      </c>
    </row>
    <row r="440" spans="1:406" x14ac:dyDescent="0.25">
      <c r="A440" s="7">
        <v>18.374911201915726</v>
      </c>
      <c r="B440"/>
      <c r="C440"/>
      <c r="D440"/>
      <c r="E440"/>
      <c r="OI440" s="27" t="s">
        <v>8</v>
      </c>
      <c r="OJ440" s="27" t="s">
        <v>7</v>
      </c>
      <c r="OO440" s="27" t="s">
        <v>8</v>
      </c>
      <c r="OP440" s="27" t="s">
        <v>7</v>
      </c>
    </row>
    <row r="441" spans="1:406" x14ac:dyDescent="0.25">
      <c r="A441" s="7">
        <v>18.014618825407574</v>
      </c>
      <c r="B441"/>
      <c r="C441"/>
      <c r="D441"/>
      <c r="E441"/>
      <c r="NU441" s="27" t="s">
        <v>8</v>
      </c>
      <c r="OI441" s="27" t="s">
        <v>8</v>
      </c>
      <c r="OJ441" s="27" t="s">
        <v>7</v>
      </c>
      <c r="OM441" s="27" t="s">
        <v>8</v>
      </c>
      <c r="OO441" s="27" t="s">
        <v>8</v>
      </c>
      <c r="OP441" s="27" t="s">
        <v>7</v>
      </c>
    </row>
    <row r="442" spans="1:406" x14ac:dyDescent="0.25">
      <c r="A442" s="7">
        <v>17.661391005301542</v>
      </c>
      <c r="B442"/>
      <c r="C442"/>
      <c r="D442"/>
      <c r="E442"/>
      <c r="NU442" s="27" t="s">
        <v>8</v>
      </c>
      <c r="NV442" s="27" t="s">
        <v>7</v>
      </c>
      <c r="OI442" s="27" t="s">
        <v>8</v>
      </c>
      <c r="OJ442" s="27" t="s">
        <v>7</v>
      </c>
      <c r="OK442" s="27" t="s">
        <v>8</v>
      </c>
      <c r="OM442" s="27" t="s">
        <v>8</v>
      </c>
      <c r="ON442" s="27" t="s">
        <v>7</v>
      </c>
      <c r="OO442" s="27" t="s">
        <v>8</v>
      </c>
      <c r="OP442" s="27" t="s">
        <v>7</v>
      </c>
    </row>
    <row r="443" spans="1:406" x14ac:dyDescent="0.25">
      <c r="A443" s="7">
        <v>17.315089220883866</v>
      </c>
      <c r="B443"/>
      <c r="C443"/>
      <c r="D443"/>
      <c r="E443"/>
      <c r="NU443" s="27" t="s">
        <v>8</v>
      </c>
      <c r="NV443" s="27" t="s">
        <v>7</v>
      </c>
      <c r="OI443" s="27" t="s">
        <v>8</v>
      </c>
      <c r="OJ443" s="27" t="s">
        <v>7</v>
      </c>
      <c r="OK443" s="27" t="s">
        <v>8</v>
      </c>
      <c r="OL443" s="27" t="s">
        <v>7</v>
      </c>
      <c r="OM443" s="27" t="s">
        <v>8</v>
      </c>
      <c r="ON443" s="27" t="s">
        <v>7</v>
      </c>
      <c r="OO443" s="27" t="s">
        <v>8</v>
      </c>
      <c r="OP443" s="27" t="s">
        <v>7</v>
      </c>
    </row>
    <row r="444" spans="1:406" x14ac:dyDescent="0.25">
      <c r="A444" s="7">
        <v>16.975577667533202</v>
      </c>
      <c r="B444"/>
      <c r="C444"/>
      <c r="D444"/>
      <c r="E444"/>
      <c r="NU444" s="27" t="s">
        <v>8</v>
      </c>
      <c r="NV444" s="27" t="s">
        <v>7</v>
      </c>
      <c r="OI444" s="27" t="s">
        <v>8</v>
      </c>
      <c r="OJ444" s="27" t="s">
        <v>7</v>
      </c>
      <c r="OK444" s="27" t="s">
        <v>8</v>
      </c>
      <c r="OL444" s="27" t="s">
        <v>7</v>
      </c>
      <c r="OM444" s="27" t="s">
        <v>8</v>
      </c>
      <c r="ON444" s="27" t="s">
        <v>7</v>
      </c>
      <c r="OO444" s="27" t="s">
        <v>8</v>
      </c>
      <c r="OP444" s="27" t="s">
        <v>7</v>
      </c>
    </row>
    <row r="445" spans="1:406" x14ac:dyDescent="0.25">
      <c r="A445" s="7">
        <v>16.642723203463923</v>
      </c>
      <c r="B445"/>
      <c r="C445"/>
      <c r="D445"/>
      <c r="E445"/>
      <c r="NU445" s="27" t="s">
        <v>8</v>
      </c>
      <c r="NV445" s="27" t="s">
        <v>7</v>
      </c>
      <c r="OI445" s="27" t="s">
        <v>8</v>
      </c>
      <c r="OJ445" s="27" t="s">
        <v>7</v>
      </c>
      <c r="OK445" s="27" t="s">
        <v>8</v>
      </c>
      <c r="OL445" s="27" t="s">
        <v>7</v>
      </c>
      <c r="OM445" s="27" t="s">
        <v>8</v>
      </c>
      <c r="ON445" s="27" t="s">
        <v>7</v>
      </c>
      <c r="OO445" s="27" t="s">
        <v>8</v>
      </c>
      <c r="OP445" s="27" t="s">
        <v>7</v>
      </c>
    </row>
    <row r="446" spans="1:406" x14ac:dyDescent="0.25">
      <c r="A446" s="7">
        <v>16.316395297513651</v>
      </c>
      <c r="B446"/>
      <c r="C446"/>
      <c r="D446"/>
      <c r="E446"/>
      <c r="NU446" s="27" t="s">
        <v>8</v>
      </c>
      <c r="NV446" s="27" t="s">
        <v>7</v>
      </c>
      <c r="OI446" s="27" t="s">
        <v>8</v>
      </c>
      <c r="OJ446" s="27" t="s">
        <v>7</v>
      </c>
      <c r="OK446" s="27" t="s">
        <v>8</v>
      </c>
      <c r="OL446" s="27" t="s">
        <v>7</v>
      </c>
      <c r="OM446" s="27" t="s">
        <v>8</v>
      </c>
      <c r="ON446" s="27" t="s">
        <v>7</v>
      </c>
      <c r="OO446" s="27" t="s">
        <v>8</v>
      </c>
      <c r="OP446" s="27" t="s">
        <v>7</v>
      </c>
    </row>
    <row r="447" spans="1:406" x14ac:dyDescent="0.25">
      <c r="A447" s="7">
        <v>15.996465977954561</v>
      </c>
      <c r="B447"/>
      <c r="C447"/>
      <c r="D447"/>
      <c r="E447"/>
      <c r="NU447" s="27" t="s">
        <v>8</v>
      </c>
      <c r="NV447" s="27" t="s">
        <v>7</v>
      </c>
      <c r="NW447" s="27" t="s">
        <v>8</v>
      </c>
      <c r="OA447" s="27" t="s">
        <v>8</v>
      </c>
      <c r="OI447" s="27" t="s">
        <v>8</v>
      </c>
      <c r="OJ447" s="27" t="s">
        <v>7</v>
      </c>
      <c r="OL447" s="27" t="s">
        <v>7</v>
      </c>
      <c r="OM447" s="27" t="s">
        <v>8</v>
      </c>
      <c r="ON447" s="27" t="s">
        <v>7</v>
      </c>
      <c r="OO447" s="27" t="s">
        <v>8</v>
      </c>
      <c r="OP447" s="27" t="s">
        <v>7</v>
      </c>
    </row>
    <row r="448" spans="1:406" x14ac:dyDescent="0.25">
      <c r="A448" s="7">
        <v>15.682809782308393</v>
      </c>
      <c r="B448"/>
      <c r="C448"/>
      <c r="D448"/>
      <c r="E448"/>
      <c r="NU448" s="27" t="s">
        <v>8</v>
      </c>
      <c r="NV448" s="27" t="s">
        <v>7</v>
      </c>
      <c r="NW448" s="27" t="s">
        <v>8</v>
      </c>
      <c r="NX448" s="27" t="s">
        <v>7</v>
      </c>
      <c r="NY448" s="27" t="s">
        <v>8</v>
      </c>
      <c r="OA448" s="27" t="s">
        <v>8</v>
      </c>
      <c r="OB448" s="27" t="s">
        <v>7</v>
      </c>
      <c r="OI448" s="27" t="s">
        <v>8</v>
      </c>
      <c r="OL448" s="27" t="s">
        <v>7</v>
      </c>
      <c r="ON448" s="27" t="s">
        <v>7</v>
      </c>
      <c r="OO448" s="27" t="s">
        <v>8</v>
      </c>
      <c r="OP448" s="27" t="s">
        <v>7</v>
      </c>
    </row>
    <row r="449" spans="1:406" x14ac:dyDescent="0.25">
      <c r="A449" s="7">
        <v>15.375303708145482</v>
      </c>
      <c r="B449"/>
      <c r="C449"/>
      <c r="D449"/>
      <c r="E449"/>
      <c r="NU449" s="27" t="s">
        <v>8</v>
      </c>
      <c r="NV449" s="27" t="s">
        <v>7</v>
      </c>
      <c r="NW449" s="27" t="s">
        <v>8</v>
      </c>
      <c r="NX449" s="27" t="s">
        <v>7</v>
      </c>
      <c r="NY449" s="27" t="s">
        <v>8</v>
      </c>
      <c r="NZ449" s="27" t="s">
        <v>7</v>
      </c>
      <c r="OA449" s="27" t="s">
        <v>8</v>
      </c>
      <c r="OB449" s="27" t="s">
        <v>7</v>
      </c>
      <c r="OG449" s="27" t="s">
        <v>8</v>
      </c>
      <c r="OI449" s="27" t="s">
        <v>8</v>
      </c>
      <c r="ON449" s="27" t="s">
        <v>7</v>
      </c>
      <c r="OO449" s="27" t="s">
        <v>8</v>
      </c>
      <c r="OP449" s="27" t="s">
        <v>7</v>
      </c>
    </row>
    <row r="450" spans="1:406" x14ac:dyDescent="0.25">
      <c r="A450" s="7">
        <v>15.073827164848511</v>
      </c>
      <c r="B450"/>
      <c r="C450"/>
      <c r="D450"/>
      <c r="E450"/>
      <c r="LE450" s="27" t="s">
        <v>8</v>
      </c>
      <c r="NU450" s="27" t="s">
        <v>8</v>
      </c>
      <c r="NV450" s="27" t="s">
        <v>7</v>
      </c>
      <c r="NW450" s="27" t="s">
        <v>8</v>
      </c>
      <c r="NX450" s="27" t="s">
        <v>7</v>
      </c>
      <c r="NY450" s="27" t="s">
        <v>8</v>
      </c>
      <c r="NZ450" s="27" t="s">
        <v>7</v>
      </c>
      <c r="OA450" s="27" t="s">
        <v>8</v>
      </c>
      <c r="OB450" s="27" t="s">
        <v>7</v>
      </c>
      <c r="OC450" s="27" t="s">
        <v>8</v>
      </c>
      <c r="OG450" s="27" t="s">
        <v>8</v>
      </c>
      <c r="OH450" s="27" t="s">
        <v>7</v>
      </c>
      <c r="OI450" s="27" t="s">
        <v>8</v>
      </c>
      <c r="ON450" s="27" t="s">
        <v>7</v>
      </c>
      <c r="OO450" s="27" t="s">
        <v>8</v>
      </c>
      <c r="OP450" s="27" t="s">
        <v>7</v>
      </c>
    </row>
    <row r="451" spans="1:406" x14ac:dyDescent="0.25">
      <c r="A451" s="7">
        <v>14.77826192632207</v>
      </c>
      <c r="B451"/>
      <c r="C451"/>
      <c r="D451"/>
      <c r="E451"/>
      <c r="LE451" s="27" t="s">
        <v>8</v>
      </c>
      <c r="LF451" s="27" t="s">
        <v>7</v>
      </c>
      <c r="NU451" s="27" t="s">
        <v>8</v>
      </c>
      <c r="NV451" s="27" t="s">
        <v>7</v>
      </c>
      <c r="NW451" s="27" t="s">
        <v>8</v>
      </c>
      <c r="NX451" s="27" t="s">
        <v>7</v>
      </c>
      <c r="NY451" s="27" t="s">
        <v>8</v>
      </c>
      <c r="NZ451" s="27" t="s">
        <v>7</v>
      </c>
      <c r="OA451" s="27" t="s">
        <v>8</v>
      </c>
      <c r="OB451" s="27" t="s">
        <v>7</v>
      </c>
      <c r="OC451" s="27" t="s">
        <v>8</v>
      </c>
      <c r="OD451" s="27" t="s">
        <v>7</v>
      </c>
      <c r="OG451" s="27" t="s">
        <v>8</v>
      </c>
      <c r="OH451" s="27" t="s">
        <v>7</v>
      </c>
      <c r="OI451" s="27" t="s">
        <v>8</v>
      </c>
      <c r="ON451" s="27" t="s">
        <v>7</v>
      </c>
      <c r="OP451" s="27" t="s">
        <v>7</v>
      </c>
    </row>
    <row r="452" spans="1:406" x14ac:dyDescent="0.25">
      <c r="A452" s="7">
        <v>14.488492084629481</v>
      </c>
      <c r="B452"/>
      <c r="C452"/>
      <c r="D452"/>
      <c r="E452"/>
      <c r="LE452" s="27" t="s">
        <v>8</v>
      </c>
      <c r="LF452" s="27" t="s">
        <v>7</v>
      </c>
      <c r="NU452" s="27" t="s">
        <v>8</v>
      </c>
      <c r="NV452" s="27" t="s">
        <v>7</v>
      </c>
      <c r="NW452" s="27" t="s">
        <v>8</v>
      </c>
      <c r="NX452" s="27" t="s">
        <v>7</v>
      </c>
      <c r="NY452" s="27" t="s">
        <v>8</v>
      </c>
      <c r="NZ452" s="27" t="s">
        <v>7</v>
      </c>
      <c r="OA452" s="27" t="s">
        <v>8</v>
      </c>
      <c r="OB452" s="27" t="s">
        <v>7</v>
      </c>
      <c r="OC452" s="27" t="s">
        <v>8</v>
      </c>
      <c r="OD452" s="27" t="s">
        <v>7</v>
      </c>
      <c r="OG452" s="27" t="s">
        <v>8</v>
      </c>
      <c r="OH452" s="27" t="s">
        <v>7</v>
      </c>
      <c r="OI452" s="27" t="s">
        <v>8</v>
      </c>
      <c r="OP452" s="27" t="s">
        <v>7</v>
      </c>
    </row>
    <row r="453" spans="1:406" x14ac:dyDescent="0.25">
      <c r="A453" s="7">
        <v>14.204404004538707</v>
      </c>
      <c r="B453"/>
      <c r="C453"/>
      <c r="D453"/>
      <c r="E453"/>
      <c r="LE453" s="27" t="s">
        <v>8</v>
      </c>
      <c r="LF453" s="27" t="s">
        <v>7</v>
      </c>
      <c r="NU453" s="27" t="s">
        <v>8</v>
      </c>
      <c r="NV453" s="27" t="s">
        <v>7</v>
      </c>
      <c r="NW453" s="27" t="s">
        <v>8</v>
      </c>
      <c r="NX453" s="27" t="s">
        <v>7</v>
      </c>
      <c r="NY453" s="27" t="s">
        <v>8</v>
      </c>
      <c r="NZ453" s="27" t="s">
        <v>7</v>
      </c>
      <c r="OA453" s="27" t="s">
        <v>8</v>
      </c>
      <c r="OB453" s="27" t="s">
        <v>7</v>
      </c>
      <c r="OC453" s="27" t="s">
        <v>8</v>
      </c>
      <c r="OD453" s="27" t="s">
        <v>7</v>
      </c>
      <c r="OG453" s="27" t="s">
        <v>8</v>
      </c>
      <c r="OH453" s="27" t="s">
        <v>7</v>
      </c>
      <c r="OI453" s="27" t="s">
        <v>8</v>
      </c>
      <c r="OP453" s="27" t="s">
        <v>7</v>
      </c>
    </row>
    <row r="454" spans="1:406" x14ac:dyDescent="0.25">
      <c r="A454" s="7">
        <v>13.925886278959517</v>
      </c>
      <c r="B454"/>
      <c r="C454"/>
      <c r="D454"/>
      <c r="E454"/>
      <c r="LE454" s="27" t="s">
        <v>8</v>
      </c>
      <c r="LF454" s="27" t="s">
        <v>7</v>
      </c>
      <c r="NU454" s="27" t="s">
        <v>8</v>
      </c>
      <c r="NV454" s="27" t="s">
        <v>7</v>
      </c>
      <c r="NX454" s="27" t="s">
        <v>7</v>
      </c>
      <c r="NY454" s="27" t="s">
        <v>8</v>
      </c>
      <c r="NZ454" s="27" t="s">
        <v>7</v>
      </c>
      <c r="OA454" s="27" t="s">
        <v>8</v>
      </c>
      <c r="OB454" s="27" t="s">
        <v>7</v>
      </c>
      <c r="OD454" s="27" t="s">
        <v>7</v>
      </c>
      <c r="OE454" s="27" t="s">
        <v>8</v>
      </c>
      <c r="OG454" s="27" t="s">
        <v>8</v>
      </c>
      <c r="OH454" s="27" t="s">
        <v>7</v>
      </c>
      <c r="OP454" s="27" t="s">
        <v>7</v>
      </c>
    </row>
    <row r="455" spans="1:406" x14ac:dyDescent="0.25">
      <c r="A455" s="7">
        <v>13.652829685254428</v>
      </c>
      <c r="B455"/>
      <c r="C455"/>
      <c r="D455"/>
      <c r="E455"/>
      <c r="LE455" s="27" t="s">
        <v>8</v>
      </c>
      <c r="LF455" s="27" t="s">
        <v>7</v>
      </c>
      <c r="NU455" s="27" t="s">
        <v>8</v>
      </c>
      <c r="NX455" s="27" t="s">
        <v>7</v>
      </c>
      <c r="NY455" s="27" t="s">
        <v>8</v>
      </c>
      <c r="NZ455" s="27" t="s">
        <v>7</v>
      </c>
      <c r="OA455" s="27" t="s">
        <v>8</v>
      </c>
      <c r="OD455" s="27" t="s">
        <v>7</v>
      </c>
      <c r="OE455" s="27" t="s">
        <v>8</v>
      </c>
      <c r="OF455" s="27" t="s">
        <v>7</v>
      </c>
      <c r="OG455" s="27" t="s">
        <v>8</v>
      </c>
      <c r="OP455" s="27" t="s">
        <v>7</v>
      </c>
    </row>
    <row r="456" spans="1:406" x14ac:dyDescent="0.25">
      <c r="A456" s="7">
        <v>13.385127142406303</v>
      </c>
      <c r="B456"/>
      <c r="C456"/>
      <c r="D456"/>
      <c r="E456"/>
      <c r="LE456" s="27" t="s">
        <v>8</v>
      </c>
      <c r="LF456" s="27" t="s">
        <v>7</v>
      </c>
      <c r="NU456" s="27" t="s">
        <v>8</v>
      </c>
      <c r="NX456" s="27" t="s">
        <v>7</v>
      </c>
      <c r="NY456" s="27" t="s">
        <v>8</v>
      </c>
      <c r="NZ456" s="27" t="s">
        <v>7</v>
      </c>
      <c r="OD456" s="27" t="s">
        <v>7</v>
      </c>
      <c r="OE456" s="27" t="s">
        <v>8</v>
      </c>
      <c r="OF456" s="27" t="s">
        <v>7</v>
      </c>
      <c r="OG456" s="27" t="s">
        <v>8</v>
      </c>
      <c r="OP456" s="27" t="s">
        <v>7</v>
      </c>
    </row>
    <row r="457" spans="1:406" x14ac:dyDescent="0.25">
      <c r="A457" s="7">
        <v>13.122673669025787</v>
      </c>
      <c r="B457"/>
      <c r="C457"/>
      <c r="D457"/>
      <c r="E457"/>
      <c r="LE457" s="27" t="s">
        <v>8</v>
      </c>
      <c r="LF457" s="27" t="s">
        <v>7</v>
      </c>
      <c r="NU457" s="27" t="s">
        <v>8</v>
      </c>
      <c r="NX457" s="27" t="s">
        <v>7</v>
      </c>
      <c r="NY457" s="27" t="s">
        <v>8</v>
      </c>
      <c r="OD457" s="27" t="s">
        <v>7</v>
      </c>
      <c r="OE457" s="27" t="s">
        <v>8</v>
      </c>
      <c r="OF457" s="27" t="s">
        <v>7</v>
      </c>
      <c r="OG457" s="27" t="s">
        <v>8</v>
      </c>
      <c r="OP457" s="27" t="s">
        <v>7</v>
      </c>
    </row>
    <row r="458" spans="1:406" x14ac:dyDescent="0.25">
      <c r="A458" s="7">
        <v>12.865366342182144</v>
      </c>
      <c r="B458"/>
      <c r="C458"/>
      <c r="D458"/>
      <c r="E458"/>
      <c r="LE458" s="27" t="s">
        <v>8</v>
      </c>
      <c r="LF458" s="27" t="s">
        <v>7</v>
      </c>
      <c r="NU458" s="27" t="s">
        <v>8</v>
      </c>
      <c r="NX458" s="27" t="s">
        <v>7</v>
      </c>
      <c r="OD458" s="27" t="s">
        <v>7</v>
      </c>
      <c r="OE458" s="27" t="s">
        <v>8</v>
      </c>
      <c r="OF458" s="27" t="s">
        <v>7</v>
      </c>
      <c r="OP458" s="27" t="s">
        <v>7</v>
      </c>
    </row>
    <row r="459" spans="1:406" x14ac:dyDescent="0.25">
      <c r="A459" s="7">
        <v>12.613104257041318</v>
      </c>
      <c r="B459"/>
      <c r="C459"/>
      <c r="D459"/>
      <c r="E459"/>
      <c r="LE459" s="27" t="s">
        <v>8</v>
      </c>
      <c r="LF459" s="27" t="s">
        <v>7</v>
      </c>
      <c r="NU459" s="27" t="s">
        <v>8</v>
      </c>
      <c r="OD459" s="27" t="s">
        <v>7</v>
      </c>
      <c r="OE459" s="27" t="s">
        <v>8</v>
      </c>
      <c r="OP459" s="27" t="s">
        <v>7</v>
      </c>
    </row>
    <row r="460" spans="1:406" x14ac:dyDescent="0.25">
      <c r="A460" s="7">
        <v>12.36578848729541</v>
      </c>
      <c r="B460"/>
      <c r="C460"/>
      <c r="D460"/>
      <c r="E460"/>
      <c r="LE460" s="27" t="s">
        <v>8</v>
      </c>
      <c r="LF460" s="27" t="s">
        <v>7</v>
      </c>
      <c r="LG460" s="27" t="s">
        <v>8</v>
      </c>
      <c r="NU460" s="27" t="s">
        <v>8</v>
      </c>
      <c r="OD460" s="27" t="s">
        <v>7</v>
      </c>
      <c r="OE460" s="27" t="s">
        <v>8</v>
      </c>
      <c r="OP460" s="27" t="s">
        <v>7</v>
      </c>
    </row>
    <row r="461" spans="1:406" x14ac:dyDescent="0.25">
      <c r="A461" s="7">
        <v>12.123322046368049</v>
      </c>
      <c r="B461"/>
      <c r="C461"/>
      <c r="D461"/>
      <c r="E461"/>
      <c r="LE461" s="27" t="s">
        <v>8</v>
      </c>
      <c r="LF461" s="27" t="s">
        <v>7</v>
      </c>
      <c r="LG461" s="27" t="s">
        <v>8</v>
      </c>
      <c r="LH461" s="27" t="s">
        <v>7</v>
      </c>
      <c r="NU461" s="27" t="s">
        <v>8</v>
      </c>
      <c r="OD461" s="27" t="s">
        <v>7</v>
      </c>
      <c r="OP461" s="27" t="s">
        <v>7</v>
      </c>
    </row>
    <row r="462" spans="1:406" x14ac:dyDescent="0.25">
      <c r="A462" s="7">
        <v>11.88560984938044</v>
      </c>
      <c r="B462"/>
      <c r="C462"/>
      <c r="D462"/>
      <c r="E462"/>
      <c r="LE462" s="27" t="s">
        <v>8</v>
      </c>
      <c r="LF462" s="27" t="s">
        <v>7</v>
      </c>
      <c r="LG462" s="27" t="s">
        <v>8</v>
      </c>
      <c r="LH462" s="27" t="s">
        <v>7</v>
      </c>
      <c r="NU462" s="27" t="s">
        <v>8</v>
      </c>
      <c r="OP462" s="27" t="s">
        <v>7</v>
      </c>
    </row>
    <row r="463" spans="1:406" x14ac:dyDescent="0.25">
      <c r="A463" s="7">
        <v>11.652558675863176</v>
      </c>
      <c r="B463"/>
      <c r="C463"/>
      <c r="D463"/>
      <c r="E463"/>
      <c r="LE463" s="27" t="s">
        <v>8</v>
      </c>
      <c r="LF463" s="27" t="s">
        <v>7</v>
      </c>
      <c r="LG463" s="27" t="s">
        <v>8</v>
      </c>
      <c r="LH463" s="27" t="s">
        <v>7</v>
      </c>
      <c r="NU463" s="27" t="s">
        <v>8</v>
      </c>
      <c r="OP463" s="27" t="s">
        <v>7</v>
      </c>
    </row>
    <row r="464" spans="1:406" x14ac:dyDescent="0.25">
      <c r="A464" s="7">
        <v>11.424077133199193</v>
      </c>
      <c r="B464"/>
      <c r="C464"/>
      <c r="D464"/>
      <c r="E464"/>
      <c r="LE464" s="27" t="s">
        <v>8</v>
      </c>
      <c r="LF464" s="27" t="s">
        <v>7</v>
      </c>
      <c r="LG464" s="27" t="s">
        <v>8</v>
      </c>
      <c r="LH464" s="27" t="s">
        <v>7</v>
      </c>
      <c r="NQ464" s="27" t="s">
        <v>8</v>
      </c>
      <c r="NU464" s="27" t="s">
        <v>8</v>
      </c>
      <c r="OP464" s="27" t="s">
        <v>7</v>
      </c>
    </row>
    <row r="465" spans="1:412" x14ac:dyDescent="0.25">
      <c r="A465" s="7">
        <v>11.200075620783522</v>
      </c>
      <c r="B465"/>
      <c r="C465"/>
      <c r="D465"/>
      <c r="E465"/>
      <c r="KM465" s="27" t="s">
        <v>8</v>
      </c>
      <c r="KO465" s="27" t="s">
        <v>8</v>
      </c>
      <c r="LE465" s="27" t="s">
        <v>8</v>
      </c>
      <c r="LF465" s="27" t="s">
        <v>7</v>
      </c>
      <c r="LG465" s="27" t="s">
        <v>8</v>
      </c>
      <c r="LH465" s="27" t="s">
        <v>7</v>
      </c>
      <c r="NQ465" s="27" t="s">
        <v>8</v>
      </c>
      <c r="NR465" s="27" t="s">
        <v>7</v>
      </c>
      <c r="NU465" s="27" t="s">
        <v>8</v>
      </c>
      <c r="OP465" s="27" t="s">
        <v>7</v>
      </c>
    </row>
    <row r="466" spans="1:412" x14ac:dyDescent="0.25">
      <c r="A466" s="7">
        <v>10.980466294885806</v>
      </c>
      <c r="B466"/>
      <c r="C466"/>
      <c r="D466"/>
      <c r="E466"/>
      <c r="KM466" s="27" t="s">
        <v>8</v>
      </c>
      <c r="KN466" s="27" t="s">
        <v>7</v>
      </c>
      <c r="KO466" s="27" t="s">
        <v>8</v>
      </c>
      <c r="KP466" s="27" t="s">
        <v>7</v>
      </c>
      <c r="LE466" s="27" t="s">
        <v>8</v>
      </c>
      <c r="LF466" s="27" t="s">
        <v>7</v>
      </c>
      <c r="LG466" s="27" t="s">
        <v>8</v>
      </c>
      <c r="LH466" s="27" t="s">
        <v>7</v>
      </c>
      <c r="NQ466" s="27" t="s">
        <v>8</v>
      </c>
      <c r="NR466" s="27" t="s">
        <v>7</v>
      </c>
      <c r="NU466" s="27" t="s">
        <v>8</v>
      </c>
      <c r="OP466" s="27" t="s">
        <v>7</v>
      </c>
    </row>
    <row r="467" spans="1:412" x14ac:dyDescent="0.25">
      <c r="A467" s="7">
        <v>10.765163034201771</v>
      </c>
      <c r="B467"/>
      <c r="C467"/>
      <c r="D467"/>
      <c r="E467"/>
      <c r="KM467" s="27" t="s">
        <v>8</v>
      </c>
      <c r="KN467" s="27" t="s">
        <v>7</v>
      </c>
      <c r="KO467" s="27" t="s">
        <v>8</v>
      </c>
      <c r="KP467" s="27" t="s">
        <v>7</v>
      </c>
      <c r="LE467" s="27" t="s">
        <v>8</v>
      </c>
      <c r="LF467" s="27" t="s">
        <v>7</v>
      </c>
      <c r="LG467" s="27" t="s">
        <v>8</v>
      </c>
      <c r="LH467" s="27" t="s">
        <v>7</v>
      </c>
      <c r="LI467" s="27" t="s">
        <v>8</v>
      </c>
      <c r="NQ467" s="27" t="s">
        <v>8</v>
      </c>
      <c r="NR467" s="27" t="s">
        <v>7</v>
      </c>
      <c r="NU467" s="27" t="s">
        <v>8</v>
      </c>
      <c r="OP467" s="27" t="s">
        <v>7</v>
      </c>
      <c r="OQ467" s="27" t="s">
        <v>8</v>
      </c>
    </row>
    <row r="468" spans="1:412" x14ac:dyDescent="0.25">
      <c r="A468" s="7">
        <v>10.554081406080169</v>
      </c>
      <c r="B468"/>
      <c r="C468"/>
      <c r="D468"/>
      <c r="E468"/>
      <c r="KM468" s="27" t="s">
        <v>8</v>
      </c>
      <c r="KN468" s="27" t="s">
        <v>7</v>
      </c>
      <c r="KO468" s="27" t="s">
        <v>8</v>
      </c>
      <c r="KP468" s="27" t="s">
        <v>7</v>
      </c>
      <c r="KQ468" s="27" t="s">
        <v>8</v>
      </c>
      <c r="LE468" s="27" t="s">
        <v>8</v>
      </c>
      <c r="LF468" s="27" t="s">
        <v>7</v>
      </c>
      <c r="LG468" s="27" t="s">
        <v>8</v>
      </c>
      <c r="LH468" s="27" t="s">
        <v>7</v>
      </c>
      <c r="LI468" s="27" t="s">
        <v>8</v>
      </c>
      <c r="LJ468" s="27" t="s">
        <v>7</v>
      </c>
      <c r="NQ468" s="27" t="s">
        <v>8</v>
      </c>
      <c r="NR468" s="27" t="s">
        <v>7</v>
      </c>
      <c r="NU468" s="27" t="s">
        <v>8</v>
      </c>
      <c r="OP468" s="27" t="s">
        <v>7</v>
      </c>
      <c r="OQ468" s="27" t="s">
        <v>8</v>
      </c>
      <c r="OR468" s="27" t="s">
        <v>7</v>
      </c>
      <c r="OS468" s="27" t="s">
        <v>8</v>
      </c>
    </row>
    <row r="469" spans="1:412" x14ac:dyDescent="0.25">
      <c r="A469" s="7">
        <v>10.34713863341193</v>
      </c>
      <c r="B469"/>
      <c r="C469"/>
      <c r="D469"/>
      <c r="E469"/>
      <c r="KM469" s="27" t="s">
        <v>8</v>
      </c>
      <c r="KN469" s="27" t="s">
        <v>7</v>
      </c>
      <c r="KO469" s="27" t="s">
        <v>8</v>
      </c>
      <c r="KP469" s="27" t="s">
        <v>7</v>
      </c>
      <c r="KQ469" s="27" t="s">
        <v>8</v>
      </c>
      <c r="KR469" s="27" t="s">
        <v>7</v>
      </c>
      <c r="LE469" s="27" t="s">
        <v>8</v>
      </c>
      <c r="LF469" s="27" t="s">
        <v>7</v>
      </c>
      <c r="LG469" s="27" t="s">
        <v>8</v>
      </c>
      <c r="LH469" s="27" t="s">
        <v>7</v>
      </c>
      <c r="LI469" s="27" t="s">
        <v>8</v>
      </c>
      <c r="LJ469" s="27" t="s">
        <v>7</v>
      </c>
      <c r="NQ469" s="27" t="s">
        <v>8</v>
      </c>
      <c r="NR469" s="27" t="s">
        <v>7</v>
      </c>
      <c r="NU469" s="27" t="s">
        <v>8</v>
      </c>
      <c r="OP469" s="27" t="s">
        <v>7</v>
      </c>
      <c r="OQ469" s="27" t="s">
        <v>8</v>
      </c>
      <c r="OR469" s="27" t="s">
        <v>7</v>
      </c>
      <c r="OS469" s="27" t="s">
        <v>8</v>
      </c>
      <c r="OT469" s="27" t="s">
        <v>7</v>
      </c>
    </row>
    <row r="470" spans="1:412" x14ac:dyDescent="0.25">
      <c r="A470" s="7">
        <v>10.14425356216856</v>
      </c>
      <c r="B470"/>
      <c r="C470"/>
      <c r="D470"/>
      <c r="E470"/>
      <c r="KM470" s="27" t="s">
        <v>8</v>
      </c>
      <c r="KN470" s="27" t="s">
        <v>7</v>
      </c>
      <c r="KO470" s="27" t="s">
        <v>8</v>
      </c>
      <c r="KP470" s="27" t="s">
        <v>7</v>
      </c>
      <c r="KQ470" s="27" t="s">
        <v>8</v>
      </c>
      <c r="KR470" s="27" t="s">
        <v>7</v>
      </c>
      <c r="LC470" s="27" t="s">
        <v>8</v>
      </c>
      <c r="LE470" s="27" t="s">
        <v>8</v>
      </c>
      <c r="LF470" s="27" t="s">
        <v>7</v>
      </c>
      <c r="LG470" s="27" t="s">
        <v>8</v>
      </c>
      <c r="LH470" s="27" t="s">
        <v>7</v>
      </c>
      <c r="LI470" s="27" t="s">
        <v>8</v>
      </c>
      <c r="LJ470" s="27" t="s">
        <v>7</v>
      </c>
      <c r="NI470" s="27" t="s">
        <v>8</v>
      </c>
      <c r="NQ470" s="27" t="s">
        <v>8</v>
      </c>
      <c r="NR470" s="27" t="s">
        <v>7</v>
      </c>
      <c r="NU470" s="27" t="s">
        <v>8</v>
      </c>
      <c r="OP470" s="27" t="s">
        <v>7</v>
      </c>
      <c r="OQ470" s="27" t="s">
        <v>8</v>
      </c>
      <c r="OR470" s="27" t="s">
        <v>7</v>
      </c>
      <c r="OS470" s="27" t="s">
        <v>8</v>
      </c>
      <c r="OT470" s="27" t="s">
        <v>7</v>
      </c>
    </row>
    <row r="471" spans="1:412" x14ac:dyDescent="0.25">
      <c r="A471" s="7">
        <v>9.9453466295770188</v>
      </c>
      <c r="B471"/>
      <c r="C471"/>
      <c r="D471"/>
      <c r="E471"/>
      <c r="KM471" s="27" t="s">
        <v>8</v>
      </c>
      <c r="KN471" s="27" t="s">
        <v>7</v>
      </c>
      <c r="KO471" s="27" t="s">
        <v>8</v>
      </c>
      <c r="KP471" s="27" t="s">
        <v>7</v>
      </c>
      <c r="KQ471" s="27" t="s">
        <v>8</v>
      </c>
      <c r="KR471" s="27" t="s">
        <v>7</v>
      </c>
      <c r="LC471" s="27" t="s">
        <v>8</v>
      </c>
      <c r="LD471" s="27" t="s">
        <v>7</v>
      </c>
      <c r="LE471" s="27" t="s">
        <v>8</v>
      </c>
      <c r="LF471" s="27" t="s">
        <v>7</v>
      </c>
      <c r="LG471" s="27" t="s">
        <v>8</v>
      </c>
      <c r="LH471" s="27" t="s">
        <v>7</v>
      </c>
      <c r="LI471" s="27" t="s">
        <v>8</v>
      </c>
      <c r="LJ471" s="27" t="s">
        <v>7</v>
      </c>
      <c r="NI471" s="27" t="s">
        <v>8</v>
      </c>
      <c r="NJ471" s="27" t="s">
        <v>7</v>
      </c>
      <c r="NK471" s="27" t="s">
        <v>8</v>
      </c>
      <c r="NO471" s="27" t="s">
        <v>8</v>
      </c>
      <c r="NQ471" s="27" t="s">
        <v>8</v>
      </c>
      <c r="NR471" s="27" t="s">
        <v>7</v>
      </c>
      <c r="NS471" s="27" t="s">
        <v>8</v>
      </c>
      <c r="NU471" s="27" t="s">
        <v>8</v>
      </c>
      <c r="OP471" s="27" t="s">
        <v>7</v>
      </c>
      <c r="OQ471" s="27" t="s">
        <v>8</v>
      </c>
      <c r="OR471" s="27" t="s">
        <v>7</v>
      </c>
      <c r="OS471" s="27" t="s">
        <v>8</v>
      </c>
      <c r="OT471" s="27" t="s">
        <v>7</v>
      </c>
    </row>
    <row r="472" spans="1:412" x14ac:dyDescent="0.25">
      <c r="A472" s="7">
        <v>9.7503398329186464</v>
      </c>
      <c r="B472"/>
      <c r="C472"/>
      <c r="D472"/>
      <c r="E472"/>
      <c r="GA472" s="27" t="s">
        <v>8</v>
      </c>
      <c r="KM472" s="27" t="s">
        <v>8</v>
      </c>
      <c r="KN472" s="27" t="s">
        <v>7</v>
      </c>
      <c r="KO472" s="27" t="s">
        <v>8</v>
      </c>
      <c r="KP472" s="27" t="s">
        <v>7</v>
      </c>
      <c r="KQ472" s="27" t="s">
        <v>8</v>
      </c>
      <c r="KR472" s="27" t="s">
        <v>7</v>
      </c>
      <c r="LC472" s="27" t="s">
        <v>8</v>
      </c>
      <c r="LD472" s="27" t="s">
        <v>7</v>
      </c>
      <c r="LE472" s="27" t="s">
        <v>8</v>
      </c>
      <c r="LF472" s="27" t="s">
        <v>7</v>
      </c>
      <c r="LG472" s="27" t="s">
        <v>8</v>
      </c>
      <c r="LH472" s="27" t="s">
        <v>7</v>
      </c>
      <c r="LI472" s="27" t="s">
        <v>8</v>
      </c>
      <c r="LJ472" s="27" t="s">
        <v>7</v>
      </c>
      <c r="NI472" s="27" t="s">
        <v>8</v>
      </c>
      <c r="NJ472" s="27" t="s">
        <v>7</v>
      </c>
      <c r="NK472" s="27" t="s">
        <v>8</v>
      </c>
      <c r="NL472" s="27" t="s">
        <v>7</v>
      </c>
      <c r="NO472" s="27" t="s">
        <v>8</v>
      </c>
      <c r="NP472" s="27" t="s">
        <v>7</v>
      </c>
      <c r="NQ472" s="27" t="s">
        <v>8</v>
      </c>
      <c r="NR472" s="27" t="s">
        <v>7</v>
      </c>
      <c r="NS472" s="27" t="s">
        <v>8</v>
      </c>
      <c r="NT472" s="27" t="s">
        <v>7</v>
      </c>
      <c r="NU472" s="27" t="s">
        <v>8</v>
      </c>
      <c r="OP472" s="27" t="s">
        <v>7</v>
      </c>
      <c r="OQ472" s="27" t="s">
        <v>8</v>
      </c>
      <c r="OR472" s="27" t="s">
        <v>7</v>
      </c>
      <c r="OS472" s="27" t="s">
        <v>8</v>
      </c>
      <c r="OT472" s="27" t="s">
        <v>7</v>
      </c>
    </row>
    <row r="473" spans="1:412" x14ac:dyDescent="0.25">
      <c r="A473" s="7">
        <v>9.5591566989398498</v>
      </c>
      <c r="B473"/>
      <c r="C473"/>
      <c r="D473"/>
      <c r="E473"/>
      <c r="GA473" s="27" t="s">
        <v>8</v>
      </c>
      <c r="GB473" s="27" t="s">
        <v>7</v>
      </c>
      <c r="KM473" s="27" t="s">
        <v>8</v>
      </c>
      <c r="KN473" s="27" t="s">
        <v>7</v>
      </c>
      <c r="KO473" s="27" t="s">
        <v>8</v>
      </c>
      <c r="KP473" s="27" t="s">
        <v>7</v>
      </c>
      <c r="KQ473" s="27" t="s">
        <v>8</v>
      </c>
      <c r="KR473" s="27" t="s">
        <v>7</v>
      </c>
      <c r="LC473" s="27" t="s">
        <v>8</v>
      </c>
      <c r="LD473" s="27" t="s">
        <v>7</v>
      </c>
      <c r="LE473" s="27" t="s">
        <v>8</v>
      </c>
      <c r="LF473" s="27" t="s">
        <v>7</v>
      </c>
      <c r="LH473" s="27" t="s">
        <v>7</v>
      </c>
      <c r="LI473" s="27" t="s">
        <v>8</v>
      </c>
      <c r="LJ473" s="27" t="s">
        <v>7</v>
      </c>
      <c r="NI473" s="27" t="s">
        <v>8</v>
      </c>
      <c r="NJ473" s="27" t="s">
        <v>7</v>
      </c>
      <c r="NK473" s="27" t="s">
        <v>8</v>
      </c>
      <c r="NL473" s="27" t="s">
        <v>7</v>
      </c>
      <c r="NO473" s="27" t="s">
        <v>8</v>
      </c>
      <c r="NP473" s="27" t="s">
        <v>7</v>
      </c>
      <c r="NQ473" s="27" t="s">
        <v>8</v>
      </c>
      <c r="NR473" s="27" t="s">
        <v>7</v>
      </c>
      <c r="NS473" s="27" t="s">
        <v>8</v>
      </c>
      <c r="NT473" s="27" t="s">
        <v>7</v>
      </c>
      <c r="NU473" s="27" t="s">
        <v>8</v>
      </c>
      <c r="OP473" s="27" t="s">
        <v>7</v>
      </c>
      <c r="OQ473" s="27" t="s">
        <v>8</v>
      </c>
      <c r="OR473" s="27" t="s">
        <v>7</v>
      </c>
      <c r="OS473" s="27" t="s">
        <v>8</v>
      </c>
      <c r="OT473" s="27" t="s">
        <v>7</v>
      </c>
    </row>
    <row r="474" spans="1:412" x14ac:dyDescent="0.25">
      <c r="A474" s="7">
        <v>9.3717222538625968</v>
      </c>
      <c r="B474"/>
      <c r="C474"/>
      <c r="D474"/>
      <c r="E474"/>
      <c r="GA474" s="27" t="s">
        <v>8</v>
      </c>
      <c r="GB474" s="27" t="s">
        <v>7</v>
      </c>
      <c r="KM474" s="27" t="s">
        <v>8</v>
      </c>
      <c r="KN474" s="27" t="s">
        <v>7</v>
      </c>
      <c r="KO474" s="27" t="s">
        <v>8</v>
      </c>
      <c r="KP474" s="27" t="s">
        <v>7</v>
      </c>
      <c r="KQ474" s="27" t="s">
        <v>8</v>
      </c>
      <c r="KR474" s="27" t="s">
        <v>7</v>
      </c>
      <c r="LC474" s="27" t="s">
        <v>8</v>
      </c>
      <c r="LD474" s="27" t="s">
        <v>7</v>
      </c>
      <c r="LE474" s="27" t="s">
        <v>8</v>
      </c>
      <c r="LH474" s="27" t="s">
        <v>7</v>
      </c>
      <c r="LI474" s="27" t="s">
        <v>8</v>
      </c>
      <c r="LJ474" s="27" t="s">
        <v>7</v>
      </c>
      <c r="NI474" s="27" t="s">
        <v>8</v>
      </c>
      <c r="NJ474" s="27" t="s">
        <v>7</v>
      </c>
      <c r="NK474" s="27" t="s">
        <v>8</v>
      </c>
      <c r="NL474" s="27" t="s">
        <v>7</v>
      </c>
      <c r="NO474" s="27" t="s">
        <v>8</v>
      </c>
      <c r="NP474" s="27" t="s">
        <v>7</v>
      </c>
      <c r="NQ474" s="27" t="s">
        <v>8</v>
      </c>
      <c r="NR474" s="27" t="s">
        <v>7</v>
      </c>
      <c r="NS474" s="27" t="s">
        <v>8</v>
      </c>
      <c r="NT474" s="27" t="s">
        <v>7</v>
      </c>
      <c r="NU474" s="27" t="s">
        <v>8</v>
      </c>
      <c r="OP474" s="27" t="s">
        <v>7</v>
      </c>
      <c r="OR474" s="27" t="s">
        <v>7</v>
      </c>
      <c r="OS474" s="27" t="s">
        <v>8</v>
      </c>
      <c r="OT474" s="27" t="s">
        <v>7</v>
      </c>
    </row>
    <row r="475" spans="1:412" x14ac:dyDescent="0.25">
      <c r="A475" s="7">
        <v>9.1879629939829375</v>
      </c>
      <c r="B475"/>
      <c r="C475"/>
      <c r="D475"/>
      <c r="E475"/>
      <c r="GA475" s="27" t="s">
        <v>8</v>
      </c>
      <c r="GB475" s="27" t="s">
        <v>7</v>
      </c>
      <c r="KM475" s="27" t="s">
        <v>8</v>
      </c>
      <c r="KN475" s="27" t="s">
        <v>7</v>
      </c>
      <c r="KO475" s="27" t="s">
        <v>8</v>
      </c>
      <c r="KP475" s="27" t="s">
        <v>7</v>
      </c>
      <c r="KQ475" s="27" t="s">
        <v>8</v>
      </c>
      <c r="KR475" s="27" t="s">
        <v>7</v>
      </c>
      <c r="LC475" s="27" t="s">
        <v>8</v>
      </c>
      <c r="LD475" s="27" t="s">
        <v>7</v>
      </c>
      <c r="LE475" s="27" t="s">
        <v>8</v>
      </c>
      <c r="LH475" s="27" t="s">
        <v>7</v>
      </c>
      <c r="LI475" s="27" t="s">
        <v>8</v>
      </c>
      <c r="LJ475" s="27" t="s">
        <v>7</v>
      </c>
      <c r="LK475" s="27" t="s">
        <v>8</v>
      </c>
      <c r="NI475" s="27" t="s">
        <v>8</v>
      </c>
      <c r="NJ475" s="27" t="s">
        <v>7</v>
      </c>
      <c r="NK475" s="27" t="s">
        <v>8</v>
      </c>
      <c r="NL475" s="27" t="s">
        <v>7</v>
      </c>
      <c r="NM475" s="27" t="s">
        <v>8</v>
      </c>
      <c r="NO475" s="27" t="s">
        <v>8</v>
      </c>
      <c r="NP475" s="27" t="s">
        <v>7</v>
      </c>
      <c r="NQ475" s="27" t="s">
        <v>8</v>
      </c>
      <c r="NR475" s="27" t="s">
        <v>7</v>
      </c>
      <c r="NS475" s="27" t="s">
        <v>8</v>
      </c>
      <c r="NT475" s="27" t="s">
        <v>7</v>
      </c>
      <c r="NU475" s="27" t="s">
        <v>8</v>
      </c>
      <c r="OR475" s="27" t="s">
        <v>7</v>
      </c>
      <c r="OS475" s="27" t="s">
        <v>8</v>
      </c>
      <c r="OT475" s="27" t="s">
        <v>7</v>
      </c>
      <c r="OU475" s="27" t="s">
        <v>8</v>
      </c>
    </row>
    <row r="476" spans="1:412" x14ac:dyDescent="0.25">
      <c r="A476" s="7">
        <v>9.0078068568460168</v>
      </c>
      <c r="B476"/>
      <c r="C476"/>
      <c r="D476"/>
      <c r="E476"/>
      <c r="GA476" s="27" t="s">
        <v>8</v>
      </c>
      <c r="GB476" s="27" t="s">
        <v>7</v>
      </c>
      <c r="KM476" s="27" t="s">
        <v>8</v>
      </c>
      <c r="KN476" s="27" t="s">
        <v>7</v>
      </c>
      <c r="KP476" s="27" t="s">
        <v>7</v>
      </c>
      <c r="KQ476" s="27" t="s">
        <v>8</v>
      </c>
      <c r="KR476" s="27" t="s">
        <v>7</v>
      </c>
      <c r="KS476" s="27" t="s">
        <v>8</v>
      </c>
      <c r="LC476" s="27" t="s">
        <v>8</v>
      </c>
      <c r="LD476" s="27" t="s">
        <v>7</v>
      </c>
      <c r="LE476" s="27" t="s">
        <v>8</v>
      </c>
      <c r="LH476" s="27" t="s">
        <v>7</v>
      </c>
      <c r="LJ476" s="27" t="s">
        <v>7</v>
      </c>
      <c r="LK476" s="27" t="s">
        <v>8</v>
      </c>
      <c r="LL476" s="27" t="s">
        <v>7</v>
      </c>
      <c r="NI476" s="27" t="s">
        <v>8</v>
      </c>
      <c r="NJ476" s="27" t="s">
        <v>7</v>
      </c>
      <c r="NK476" s="27" t="s">
        <v>8</v>
      </c>
      <c r="NL476" s="27" t="s">
        <v>7</v>
      </c>
      <c r="NM476" s="27" t="s">
        <v>8</v>
      </c>
      <c r="NN476" s="27" t="s">
        <v>7</v>
      </c>
      <c r="NO476" s="27" t="s">
        <v>8</v>
      </c>
      <c r="NP476" s="27" t="s">
        <v>7</v>
      </c>
      <c r="NQ476" s="27" t="s">
        <v>8</v>
      </c>
      <c r="NR476" s="27" t="s">
        <v>7</v>
      </c>
      <c r="NS476" s="27" t="s">
        <v>8</v>
      </c>
      <c r="NT476" s="27" t="s">
        <v>7</v>
      </c>
      <c r="NU476" s="27" t="s">
        <v>8</v>
      </c>
      <c r="OR476" s="27" t="s">
        <v>7</v>
      </c>
      <c r="OS476" s="27" t="s">
        <v>8</v>
      </c>
      <c r="OT476" s="27" t="s">
        <v>7</v>
      </c>
      <c r="OU476" s="27" t="s">
        <v>8</v>
      </c>
      <c r="OV476" s="27" t="s">
        <v>7</v>
      </c>
    </row>
    <row r="477" spans="1:412" x14ac:dyDescent="0.25">
      <c r="A477" s="7">
        <v>8.8311831929862912</v>
      </c>
      <c r="B477"/>
      <c r="C477"/>
      <c r="D477"/>
      <c r="E477"/>
      <c r="GA477" s="27" t="s">
        <v>8</v>
      </c>
      <c r="GB477" s="27" t="s">
        <v>7</v>
      </c>
      <c r="KM477" s="27" t="s">
        <v>8</v>
      </c>
      <c r="KP477" s="27" t="s">
        <v>7</v>
      </c>
      <c r="KR477" s="27" t="s">
        <v>7</v>
      </c>
      <c r="KS477" s="27" t="s">
        <v>8</v>
      </c>
      <c r="KT477" s="27" t="s">
        <v>7</v>
      </c>
      <c r="LC477" s="27" t="s">
        <v>8</v>
      </c>
      <c r="LD477" s="27" t="s">
        <v>7</v>
      </c>
      <c r="LE477" s="27" t="s">
        <v>8</v>
      </c>
      <c r="LJ477" s="27" t="s">
        <v>7</v>
      </c>
      <c r="LK477" s="27" t="s">
        <v>8</v>
      </c>
      <c r="LL477" s="27" t="s">
        <v>7</v>
      </c>
      <c r="NI477" s="27" t="s">
        <v>8</v>
      </c>
      <c r="NJ477" s="27" t="s">
        <v>7</v>
      </c>
      <c r="NK477" s="27" t="s">
        <v>8</v>
      </c>
      <c r="NL477" s="27" t="s">
        <v>7</v>
      </c>
      <c r="NM477" s="27" t="s">
        <v>8</v>
      </c>
      <c r="NN477" s="27" t="s">
        <v>7</v>
      </c>
      <c r="NO477" s="27" t="s">
        <v>8</v>
      </c>
      <c r="NP477" s="27" t="s">
        <v>7</v>
      </c>
      <c r="NQ477" s="27" t="s">
        <v>8</v>
      </c>
      <c r="NR477" s="27" t="s">
        <v>7</v>
      </c>
      <c r="NS477" s="27" t="s">
        <v>8</v>
      </c>
      <c r="NT477" s="27" t="s">
        <v>7</v>
      </c>
      <c r="NU477" s="27" t="s">
        <v>8</v>
      </c>
      <c r="OR477" s="27" t="s">
        <v>7</v>
      </c>
      <c r="OT477" s="27" t="s">
        <v>7</v>
      </c>
      <c r="OU477" s="27" t="s">
        <v>8</v>
      </c>
      <c r="OV477" s="27" t="s">
        <v>7</v>
      </c>
    </row>
    <row r="478" spans="1:412" x14ac:dyDescent="0.25">
      <c r="A478" s="7">
        <v>8.6580227382218542</v>
      </c>
      <c r="B478"/>
      <c r="C478"/>
      <c r="D478"/>
      <c r="E478"/>
      <c r="GA478" s="27" t="s">
        <v>8</v>
      </c>
      <c r="GB478" s="27" t="s">
        <v>7</v>
      </c>
      <c r="KM478" s="27" t="s">
        <v>8</v>
      </c>
      <c r="KR478" s="27" t="s">
        <v>7</v>
      </c>
      <c r="KS478" s="27" t="s">
        <v>8</v>
      </c>
      <c r="KT478" s="27" t="s">
        <v>7</v>
      </c>
      <c r="LC478" s="27" t="s">
        <v>8</v>
      </c>
      <c r="LD478" s="27" t="s">
        <v>7</v>
      </c>
      <c r="LJ478" s="27" t="s">
        <v>7</v>
      </c>
      <c r="LK478" s="27" t="s">
        <v>8</v>
      </c>
      <c r="LL478" s="27" t="s">
        <v>7</v>
      </c>
      <c r="NI478" s="27" t="s">
        <v>8</v>
      </c>
      <c r="NJ478" s="27" t="s">
        <v>7</v>
      </c>
      <c r="NK478" s="27" t="s">
        <v>8</v>
      </c>
      <c r="NL478" s="27" t="s">
        <v>7</v>
      </c>
      <c r="NM478" s="27" t="s">
        <v>8</v>
      </c>
      <c r="NN478" s="27" t="s">
        <v>7</v>
      </c>
      <c r="NO478" s="27" t="s">
        <v>8</v>
      </c>
      <c r="NP478" s="27" t="s">
        <v>7</v>
      </c>
      <c r="NQ478" s="27" t="s">
        <v>8</v>
      </c>
      <c r="NR478" s="27" t="s">
        <v>7</v>
      </c>
      <c r="NS478" s="27" t="s">
        <v>8</v>
      </c>
      <c r="NT478" s="27" t="s">
        <v>7</v>
      </c>
      <c r="NU478" s="27" t="s">
        <v>8</v>
      </c>
      <c r="OT478" s="27" t="s">
        <v>7</v>
      </c>
      <c r="OU478" s="27" t="s">
        <v>8</v>
      </c>
      <c r="OV478" s="27" t="s">
        <v>7</v>
      </c>
    </row>
    <row r="479" spans="1:412" x14ac:dyDescent="0.25">
      <c r="A479" s="7">
        <v>8.4882575864920131</v>
      </c>
      <c r="B479"/>
      <c r="C479"/>
      <c r="D479"/>
      <c r="E479"/>
      <c r="GA479" s="27" t="s">
        <v>8</v>
      </c>
      <c r="GB479" s="27" t="s">
        <v>7</v>
      </c>
      <c r="KM479" s="27" t="s">
        <v>8</v>
      </c>
      <c r="KR479" s="27" t="s">
        <v>7</v>
      </c>
      <c r="KS479" s="27" t="s">
        <v>8</v>
      </c>
      <c r="KT479" s="27" t="s">
        <v>7</v>
      </c>
      <c r="LC479" s="27" t="s">
        <v>8</v>
      </c>
      <c r="LJ479" s="27" t="s">
        <v>7</v>
      </c>
      <c r="LK479" s="27" t="s">
        <v>8</v>
      </c>
      <c r="LL479" s="27" t="s">
        <v>7</v>
      </c>
      <c r="NI479" s="27" t="s">
        <v>8</v>
      </c>
      <c r="NJ479" s="27" t="s">
        <v>7</v>
      </c>
      <c r="NK479" s="27" t="s">
        <v>8</v>
      </c>
      <c r="NL479" s="27" t="s">
        <v>7</v>
      </c>
      <c r="NM479" s="27" t="s">
        <v>8</v>
      </c>
      <c r="NN479" s="27" t="s">
        <v>7</v>
      </c>
      <c r="NO479" s="27" t="s">
        <v>8</v>
      </c>
      <c r="NP479" s="27" t="s">
        <v>7</v>
      </c>
      <c r="NR479" s="27" t="s">
        <v>7</v>
      </c>
      <c r="NS479" s="27" t="s">
        <v>8</v>
      </c>
      <c r="NT479" s="27" t="s">
        <v>7</v>
      </c>
      <c r="OT479" s="27" t="s">
        <v>7</v>
      </c>
      <c r="OU479" s="27" t="s">
        <v>8</v>
      </c>
      <c r="OV479" s="27" t="s">
        <v>7</v>
      </c>
    </row>
    <row r="480" spans="1:412" x14ac:dyDescent="0.25">
      <c r="A480" s="7">
        <v>8.3218211632274635</v>
      </c>
      <c r="B480"/>
      <c r="C480"/>
      <c r="D480"/>
      <c r="E480"/>
      <c r="GA480" s="27" t="s">
        <v>8</v>
      </c>
      <c r="GB480" s="27" t="s">
        <v>7</v>
      </c>
      <c r="KK480" s="27" t="s">
        <v>8</v>
      </c>
      <c r="KM480" s="27" t="s">
        <v>8</v>
      </c>
      <c r="KR480" s="27" t="s">
        <v>7</v>
      </c>
      <c r="KS480" s="27" t="s">
        <v>8</v>
      </c>
      <c r="KT480" s="27" t="s">
        <v>7</v>
      </c>
      <c r="KU480" s="27" t="s">
        <v>8</v>
      </c>
      <c r="LC480" s="27" t="s">
        <v>8</v>
      </c>
      <c r="LJ480" s="27" t="s">
        <v>7</v>
      </c>
      <c r="LK480" s="27" t="s">
        <v>8</v>
      </c>
      <c r="LL480" s="27" t="s">
        <v>7</v>
      </c>
      <c r="NI480" s="27" t="s">
        <v>8</v>
      </c>
      <c r="NJ480" s="27" t="s">
        <v>7</v>
      </c>
      <c r="NK480" s="27" t="s">
        <v>8</v>
      </c>
      <c r="NL480" s="27" t="s">
        <v>7</v>
      </c>
      <c r="NM480" s="27" t="s">
        <v>8</v>
      </c>
      <c r="NN480" s="27" t="s">
        <v>7</v>
      </c>
      <c r="NO480" s="27" t="s">
        <v>8</v>
      </c>
      <c r="NR480" s="27" t="s">
        <v>7</v>
      </c>
      <c r="OT480" s="27" t="s">
        <v>7</v>
      </c>
      <c r="OU480" s="27" t="s">
        <v>8</v>
      </c>
      <c r="OV480" s="27" t="s">
        <v>7</v>
      </c>
    </row>
    <row r="481" spans="1:432" x14ac:dyDescent="0.25">
      <c r="A481" s="7">
        <v>8.1586481992426112</v>
      </c>
      <c r="B481"/>
      <c r="C481"/>
      <c r="D481"/>
      <c r="E481"/>
      <c r="GA481" s="27" t="s">
        <v>8</v>
      </c>
      <c r="GB481" s="27" t="s">
        <v>7</v>
      </c>
      <c r="KK481" s="27" t="s">
        <v>8</v>
      </c>
      <c r="KL481" s="27" t="s">
        <v>7</v>
      </c>
      <c r="KM481" s="27" t="s">
        <v>8</v>
      </c>
      <c r="KR481" s="27" t="s">
        <v>7</v>
      </c>
      <c r="KS481" s="27" t="s">
        <v>8</v>
      </c>
      <c r="KT481" s="27" t="s">
        <v>7</v>
      </c>
      <c r="KU481" s="27" t="s">
        <v>8</v>
      </c>
      <c r="KV481" s="27" t="s">
        <v>7</v>
      </c>
      <c r="LA481" s="27" t="s">
        <v>8</v>
      </c>
      <c r="LC481" s="27" t="s">
        <v>8</v>
      </c>
      <c r="LJ481" s="27" t="s">
        <v>7</v>
      </c>
      <c r="LK481" s="27" t="s">
        <v>8</v>
      </c>
      <c r="LL481" s="27" t="s">
        <v>7</v>
      </c>
      <c r="NI481" s="27" t="s">
        <v>8</v>
      </c>
      <c r="NJ481" s="27" t="s">
        <v>7</v>
      </c>
      <c r="NK481" s="27" t="s">
        <v>8</v>
      </c>
      <c r="NL481" s="27" t="s">
        <v>7</v>
      </c>
      <c r="NM481" s="27" t="s">
        <v>8</v>
      </c>
      <c r="NN481" s="27" t="s">
        <v>7</v>
      </c>
      <c r="OT481" s="27" t="s">
        <v>7</v>
      </c>
      <c r="OU481" s="27" t="s">
        <v>8</v>
      </c>
      <c r="OV481" s="27" t="s">
        <v>7</v>
      </c>
    </row>
    <row r="482" spans="1:432" x14ac:dyDescent="0.25">
      <c r="A482" s="7">
        <v>7.9986747051398144</v>
      </c>
      <c r="B482"/>
      <c r="C482"/>
      <c r="D482"/>
      <c r="E482"/>
      <c r="GA482" s="27" t="s">
        <v>8</v>
      </c>
      <c r="GB482" s="27" t="s">
        <v>7</v>
      </c>
      <c r="KK482" s="27" t="s">
        <v>8</v>
      </c>
      <c r="KL482" s="27" t="s">
        <v>7</v>
      </c>
      <c r="KM482" s="27" t="s">
        <v>8</v>
      </c>
      <c r="KR482" s="27" t="s">
        <v>7</v>
      </c>
      <c r="KS482" s="27" t="s">
        <v>8</v>
      </c>
      <c r="KT482" s="27" t="s">
        <v>7</v>
      </c>
      <c r="KU482" s="27" t="s">
        <v>8</v>
      </c>
      <c r="KV482" s="27" t="s">
        <v>7</v>
      </c>
      <c r="LA482" s="27" t="s">
        <v>8</v>
      </c>
      <c r="LB482" s="27" t="s">
        <v>7</v>
      </c>
      <c r="LC482" s="27" t="s">
        <v>8</v>
      </c>
      <c r="LJ482" s="27" t="s">
        <v>7</v>
      </c>
      <c r="LL482" s="27" t="s">
        <v>7</v>
      </c>
      <c r="NI482" s="27" t="s">
        <v>8</v>
      </c>
      <c r="NJ482" s="27" t="s">
        <v>7</v>
      </c>
      <c r="NK482" s="27" t="s">
        <v>8</v>
      </c>
      <c r="NL482" s="27" t="s">
        <v>7</v>
      </c>
      <c r="OT482" s="27" t="s">
        <v>7</v>
      </c>
      <c r="OU482" s="27" t="s">
        <v>8</v>
      </c>
      <c r="OV482" s="27" t="s">
        <v>7</v>
      </c>
    </row>
    <row r="483" spans="1:432" x14ac:dyDescent="0.25">
      <c r="A483" s="7">
        <v>7.8418379462155041</v>
      </c>
      <c r="B483"/>
      <c r="C483"/>
      <c r="D483"/>
      <c r="E483"/>
      <c r="GA483" s="27" t="s">
        <v>8</v>
      </c>
      <c r="GB483" s="27" t="s">
        <v>7</v>
      </c>
      <c r="JQ483" s="27" t="s">
        <v>8</v>
      </c>
      <c r="KK483" s="27" t="s">
        <v>8</v>
      </c>
      <c r="KL483" s="27" t="s">
        <v>7</v>
      </c>
      <c r="KM483" s="27" t="s">
        <v>8</v>
      </c>
      <c r="KR483" s="27" t="s">
        <v>7</v>
      </c>
      <c r="KS483" s="27" t="s">
        <v>8</v>
      </c>
      <c r="KT483" s="27" t="s">
        <v>7</v>
      </c>
      <c r="KU483" s="27" t="s">
        <v>8</v>
      </c>
      <c r="KV483" s="27" t="s">
        <v>7</v>
      </c>
      <c r="KY483" s="27" t="s">
        <v>8</v>
      </c>
      <c r="LA483" s="27" t="s">
        <v>8</v>
      </c>
      <c r="LB483" s="27" t="s">
        <v>7</v>
      </c>
      <c r="LC483" s="27" t="s">
        <v>8</v>
      </c>
      <c r="LL483" s="27" t="s">
        <v>7</v>
      </c>
      <c r="LQ483" s="27" t="s">
        <v>8</v>
      </c>
      <c r="NI483" s="27" t="s">
        <v>8</v>
      </c>
      <c r="NJ483" s="27" t="s">
        <v>7</v>
      </c>
      <c r="NK483" s="27" t="s">
        <v>8</v>
      </c>
      <c r="OT483" s="27" t="s">
        <v>7</v>
      </c>
      <c r="OU483" s="27" t="s">
        <v>8</v>
      </c>
      <c r="OV483" s="27" t="s">
        <v>7</v>
      </c>
    </row>
    <row r="484" spans="1:432" x14ac:dyDescent="0.25">
      <c r="A484" s="7">
        <v>7.688076417858337</v>
      </c>
      <c r="B484"/>
      <c r="C484"/>
      <c r="D484"/>
      <c r="E484"/>
      <c r="GA484" s="27" t="s">
        <v>8</v>
      </c>
      <c r="GB484" s="27" t="s">
        <v>7</v>
      </c>
      <c r="JQ484" s="27" t="s">
        <v>8</v>
      </c>
      <c r="JR484" s="27" t="s">
        <v>7</v>
      </c>
      <c r="KK484" s="27" t="s">
        <v>8</v>
      </c>
      <c r="KL484" s="27" t="s">
        <v>7</v>
      </c>
      <c r="KM484" s="27" t="s">
        <v>8</v>
      </c>
      <c r="KR484" s="27" t="s">
        <v>7</v>
      </c>
      <c r="KS484" s="27" t="s">
        <v>8</v>
      </c>
      <c r="KT484" s="27" t="s">
        <v>7</v>
      </c>
      <c r="KU484" s="27" t="s">
        <v>8</v>
      </c>
      <c r="KV484" s="27" t="s">
        <v>7</v>
      </c>
      <c r="KY484" s="27" t="s">
        <v>8</v>
      </c>
      <c r="KZ484" s="27" t="s">
        <v>7</v>
      </c>
      <c r="LA484" s="27" t="s">
        <v>8</v>
      </c>
      <c r="LB484" s="27" t="s">
        <v>7</v>
      </c>
      <c r="LL484" s="27" t="s">
        <v>7</v>
      </c>
      <c r="LQ484" s="27" t="s">
        <v>8</v>
      </c>
      <c r="LR484" s="27" t="s">
        <v>7</v>
      </c>
      <c r="NI484" s="27" t="s">
        <v>8</v>
      </c>
      <c r="NJ484" s="27" t="s">
        <v>7</v>
      </c>
      <c r="NK484" s="27" t="s">
        <v>8</v>
      </c>
      <c r="OT484" s="27" t="s">
        <v>7</v>
      </c>
      <c r="OU484" s="27" t="s">
        <v>8</v>
      </c>
      <c r="OV484" s="27" t="s">
        <v>7</v>
      </c>
    </row>
    <row r="485" spans="1:432" x14ac:dyDescent="0.25">
      <c r="A485" s="7">
        <v>7.5373298214297417</v>
      </c>
      <c r="B485"/>
      <c r="C485"/>
      <c r="D485"/>
      <c r="E485"/>
      <c r="GA485" s="27" t="s">
        <v>8</v>
      </c>
      <c r="GB485" s="27" t="s">
        <v>7</v>
      </c>
      <c r="JQ485" s="27" t="s">
        <v>8</v>
      </c>
      <c r="JR485" s="27" t="s">
        <v>7</v>
      </c>
      <c r="KK485" s="27" t="s">
        <v>8</v>
      </c>
      <c r="KL485" s="27" t="s">
        <v>7</v>
      </c>
      <c r="KM485" s="27" t="s">
        <v>8</v>
      </c>
      <c r="KR485" s="27" t="s">
        <v>7</v>
      </c>
      <c r="KS485" s="27" t="s">
        <v>8</v>
      </c>
      <c r="KT485" s="27" t="s">
        <v>7</v>
      </c>
      <c r="KU485" s="27" t="s">
        <v>8</v>
      </c>
      <c r="KV485" s="27" t="s">
        <v>7</v>
      </c>
      <c r="KY485" s="27" t="s">
        <v>8</v>
      </c>
      <c r="KZ485" s="27" t="s">
        <v>7</v>
      </c>
      <c r="LA485" s="27" t="s">
        <v>8</v>
      </c>
      <c r="LL485" s="27" t="s">
        <v>7</v>
      </c>
      <c r="LQ485" s="27" t="s">
        <v>8</v>
      </c>
      <c r="LR485" s="27" t="s">
        <v>7</v>
      </c>
      <c r="NI485" s="27" t="s">
        <v>8</v>
      </c>
      <c r="NJ485" s="27" t="s">
        <v>7</v>
      </c>
      <c r="NK485" s="27" t="s">
        <v>8</v>
      </c>
      <c r="OT485" s="27" t="s">
        <v>7</v>
      </c>
      <c r="OV485" s="27" t="s">
        <v>7</v>
      </c>
    </row>
    <row r="486" spans="1:432" x14ac:dyDescent="0.25">
      <c r="A486" s="7">
        <v>7.389539040617394</v>
      </c>
      <c r="B486"/>
      <c r="C486"/>
      <c r="D486"/>
      <c r="E486"/>
      <c r="GA486" s="27" t="s">
        <v>8</v>
      </c>
      <c r="GB486" s="27" t="s">
        <v>7</v>
      </c>
      <c r="JQ486" s="27" t="s">
        <v>8</v>
      </c>
      <c r="JR486" s="27" t="s">
        <v>7</v>
      </c>
      <c r="KK486" s="27" t="s">
        <v>8</v>
      </c>
      <c r="KL486" s="27" t="s">
        <v>7</v>
      </c>
      <c r="KM486" s="27" t="s">
        <v>8</v>
      </c>
      <c r="KR486" s="27" t="s">
        <v>7</v>
      </c>
      <c r="KS486" s="27" t="s">
        <v>8</v>
      </c>
      <c r="KT486" s="27" t="s">
        <v>7</v>
      </c>
      <c r="KU486" s="27" t="s">
        <v>8</v>
      </c>
      <c r="KV486" s="27" t="s">
        <v>7</v>
      </c>
      <c r="KY486" s="27" t="s">
        <v>8</v>
      </c>
      <c r="KZ486" s="27" t="s">
        <v>7</v>
      </c>
      <c r="LA486" s="27" t="s">
        <v>8</v>
      </c>
      <c r="LL486" s="27" t="s">
        <v>7</v>
      </c>
      <c r="LQ486" s="27" t="s">
        <v>8</v>
      </c>
      <c r="LR486" s="27" t="s">
        <v>7</v>
      </c>
      <c r="NI486" s="27" t="s">
        <v>8</v>
      </c>
      <c r="NJ486" s="27" t="s">
        <v>7</v>
      </c>
      <c r="NK486" s="27" t="s">
        <v>8</v>
      </c>
      <c r="OV486" s="27" t="s">
        <v>7</v>
      </c>
      <c r="OY486" s="27" t="s">
        <v>8</v>
      </c>
    </row>
    <row r="487" spans="1:432" x14ac:dyDescent="0.25">
      <c r="A487" s="7">
        <v>7.2446461182523469</v>
      </c>
      <c r="B487"/>
      <c r="C487"/>
      <c r="D487"/>
      <c r="E487"/>
      <c r="GA487" s="27" t="s">
        <v>8</v>
      </c>
      <c r="GB487" s="27" t="s">
        <v>7</v>
      </c>
      <c r="GC487" s="27" t="s">
        <v>8</v>
      </c>
      <c r="JQ487" s="27" t="s">
        <v>8</v>
      </c>
      <c r="JR487" s="27" t="s">
        <v>7</v>
      </c>
      <c r="KK487" s="27" t="s">
        <v>8</v>
      </c>
      <c r="KL487" s="27" t="s">
        <v>7</v>
      </c>
      <c r="KM487" s="27" t="s">
        <v>8</v>
      </c>
      <c r="KR487" s="27" t="s">
        <v>7</v>
      </c>
      <c r="KS487" s="27" t="s">
        <v>8</v>
      </c>
      <c r="KT487" s="27" t="s">
        <v>7</v>
      </c>
      <c r="KU487" s="27" t="s">
        <v>8</v>
      </c>
      <c r="KV487" s="27" t="s">
        <v>7</v>
      </c>
      <c r="KY487" s="27" t="s">
        <v>8</v>
      </c>
      <c r="KZ487" s="27" t="s">
        <v>7</v>
      </c>
      <c r="LA487" s="27" t="s">
        <v>8</v>
      </c>
      <c r="LL487" s="27" t="s">
        <v>7</v>
      </c>
      <c r="LM487" s="27" t="s">
        <v>8</v>
      </c>
      <c r="LQ487" s="27" t="s">
        <v>8</v>
      </c>
      <c r="LR487" s="27" t="s">
        <v>7</v>
      </c>
      <c r="NC487" s="27" t="s">
        <v>8</v>
      </c>
      <c r="NI487" s="27" t="s">
        <v>8</v>
      </c>
      <c r="NJ487" s="27" t="s">
        <v>7</v>
      </c>
      <c r="NK487" s="27" t="s">
        <v>8</v>
      </c>
      <c r="OV487" s="27" t="s">
        <v>7</v>
      </c>
      <c r="OY487" s="27" t="s">
        <v>8</v>
      </c>
      <c r="OZ487" s="27" t="s">
        <v>7</v>
      </c>
    </row>
    <row r="488" spans="1:432" x14ac:dyDescent="0.25">
      <c r="A488" s="7">
        <v>7.1025942335807324</v>
      </c>
      <c r="B488"/>
      <c r="C488"/>
      <c r="D488"/>
      <c r="E488"/>
      <c r="GA488" s="27" t="s">
        <v>8</v>
      </c>
      <c r="GB488" s="27" t="s">
        <v>7</v>
      </c>
      <c r="GC488" s="27" t="s">
        <v>8</v>
      </c>
      <c r="GD488" s="27" t="s">
        <v>7</v>
      </c>
      <c r="JQ488" s="27" t="s">
        <v>8</v>
      </c>
      <c r="JR488" s="27" t="s">
        <v>7</v>
      </c>
      <c r="KK488" s="27" t="s">
        <v>8</v>
      </c>
      <c r="KL488" s="27" t="s">
        <v>7</v>
      </c>
      <c r="KM488" s="27" t="s">
        <v>8</v>
      </c>
      <c r="KR488" s="27" t="s">
        <v>7</v>
      </c>
      <c r="KS488" s="27" t="s">
        <v>8</v>
      </c>
      <c r="KT488" s="27" t="s">
        <v>7</v>
      </c>
      <c r="KU488" s="27" t="s">
        <v>8</v>
      </c>
      <c r="KV488" s="27" t="s">
        <v>7</v>
      </c>
      <c r="KY488" s="27" t="s">
        <v>8</v>
      </c>
      <c r="KZ488" s="27" t="s">
        <v>7</v>
      </c>
      <c r="LA488" s="27" t="s">
        <v>8</v>
      </c>
      <c r="LL488" s="27" t="s">
        <v>7</v>
      </c>
      <c r="LM488" s="27" t="s">
        <v>8</v>
      </c>
      <c r="LN488" s="27" t="s">
        <v>7</v>
      </c>
      <c r="LQ488" s="27" t="s">
        <v>8</v>
      </c>
      <c r="LR488" s="27" t="s">
        <v>7</v>
      </c>
      <c r="NC488" s="27" t="s">
        <v>8</v>
      </c>
      <c r="ND488" s="27" t="s">
        <v>7</v>
      </c>
      <c r="NI488" s="27" t="s">
        <v>8</v>
      </c>
      <c r="NJ488" s="27" t="s">
        <v>7</v>
      </c>
      <c r="NK488" s="27" t="s">
        <v>8</v>
      </c>
      <c r="OV488" s="27" t="s">
        <v>7</v>
      </c>
      <c r="OY488" s="27" t="s">
        <v>8</v>
      </c>
      <c r="OZ488" s="27" t="s">
        <v>7</v>
      </c>
      <c r="PG488" s="27" t="s">
        <v>8</v>
      </c>
    </row>
    <row r="489" spans="1:432" x14ac:dyDescent="0.25">
      <c r="A489" s="7">
        <v>6.9633276799811101</v>
      </c>
      <c r="B489"/>
      <c r="C489"/>
      <c r="D489"/>
      <c r="E489"/>
      <c r="GA489" s="27" t="s">
        <v>8</v>
      </c>
      <c r="GB489" s="27" t="s">
        <v>7</v>
      </c>
      <c r="GC489" s="27" t="s">
        <v>8</v>
      </c>
      <c r="GD489" s="27" t="s">
        <v>7</v>
      </c>
      <c r="JQ489" s="27" t="s">
        <v>8</v>
      </c>
      <c r="JR489" s="27" t="s">
        <v>7</v>
      </c>
      <c r="KK489" s="27" t="s">
        <v>8</v>
      </c>
      <c r="KL489" s="27" t="s">
        <v>7</v>
      </c>
      <c r="KM489" s="27" t="s">
        <v>8</v>
      </c>
      <c r="KR489" s="27" t="s">
        <v>7</v>
      </c>
      <c r="KS489" s="27" t="s">
        <v>8</v>
      </c>
      <c r="KT489" s="27" t="s">
        <v>7</v>
      </c>
      <c r="KV489" s="27" t="s">
        <v>7</v>
      </c>
      <c r="KY489" s="27" t="s">
        <v>8</v>
      </c>
      <c r="KZ489" s="27" t="s">
        <v>7</v>
      </c>
      <c r="LL489" s="27" t="s">
        <v>7</v>
      </c>
      <c r="LM489" s="27" t="s">
        <v>8</v>
      </c>
      <c r="LN489" s="27" t="s">
        <v>7</v>
      </c>
      <c r="LO489" s="27" t="s">
        <v>8</v>
      </c>
      <c r="LQ489" s="27" t="s">
        <v>8</v>
      </c>
      <c r="LR489" s="27" t="s">
        <v>7</v>
      </c>
      <c r="LU489" s="27" t="s">
        <v>8</v>
      </c>
      <c r="NC489" s="27" t="s">
        <v>8</v>
      </c>
      <c r="ND489" s="27" t="s">
        <v>7</v>
      </c>
      <c r="NI489" s="27" t="s">
        <v>8</v>
      </c>
      <c r="NJ489" s="27" t="s">
        <v>7</v>
      </c>
      <c r="NK489" s="27" t="s">
        <v>8</v>
      </c>
      <c r="OV489" s="27" t="s">
        <v>7</v>
      </c>
      <c r="OY489" s="27" t="s">
        <v>8</v>
      </c>
      <c r="OZ489" s="27" t="s">
        <v>7</v>
      </c>
      <c r="PG489" s="27" t="s">
        <v>8</v>
      </c>
      <c r="PH489" s="27" t="s">
        <v>7</v>
      </c>
    </row>
    <row r="490" spans="1:432" x14ac:dyDescent="0.25">
      <c r="A490" s="7">
        <v>6.8267918431187349</v>
      </c>
      <c r="B490"/>
      <c r="C490"/>
      <c r="D490"/>
      <c r="E490"/>
      <c r="GA490" s="27" t="s">
        <v>8</v>
      </c>
      <c r="GB490" s="27" t="s">
        <v>7</v>
      </c>
      <c r="GC490" s="27" t="s">
        <v>8</v>
      </c>
      <c r="GD490" s="27" t="s">
        <v>7</v>
      </c>
      <c r="JQ490" s="27" t="s">
        <v>8</v>
      </c>
      <c r="JR490" s="27" t="s">
        <v>7</v>
      </c>
      <c r="JU490" s="27" t="s">
        <v>8</v>
      </c>
      <c r="KK490" s="27" t="s">
        <v>8</v>
      </c>
      <c r="KL490" s="27" t="s">
        <v>7</v>
      </c>
      <c r="KM490" s="27" t="s">
        <v>8</v>
      </c>
      <c r="KR490" s="27" t="s">
        <v>7</v>
      </c>
      <c r="KV490" s="27" t="s">
        <v>7</v>
      </c>
      <c r="KY490" s="27" t="s">
        <v>8</v>
      </c>
      <c r="LL490" s="27" t="s">
        <v>7</v>
      </c>
      <c r="LM490" s="27" t="s">
        <v>8</v>
      </c>
      <c r="LN490" s="27" t="s">
        <v>7</v>
      </c>
      <c r="LO490" s="27" t="s">
        <v>8</v>
      </c>
      <c r="LP490" s="27" t="s">
        <v>7</v>
      </c>
      <c r="LQ490" s="27" t="s">
        <v>8</v>
      </c>
      <c r="LR490" s="27" t="s">
        <v>7</v>
      </c>
      <c r="LU490" s="27" t="s">
        <v>8</v>
      </c>
      <c r="LV490" s="27" t="s">
        <v>7</v>
      </c>
      <c r="NC490" s="27" t="s">
        <v>8</v>
      </c>
      <c r="ND490" s="27" t="s">
        <v>7</v>
      </c>
      <c r="NE490" s="27" t="s">
        <v>8</v>
      </c>
      <c r="NI490" s="27" t="s">
        <v>8</v>
      </c>
      <c r="NJ490" s="27" t="s">
        <v>7</v>
      </c>
      <c r="NK490" s="27" t="s">
        <v>8</v>
      </c>
      <c r="OV490" s="27" t="s">
        <v>7</v>
      </c>
      <c r="OY490" s="27" t="s">
        <v>8</v>
      </c>
      <c r="OZ490" s="27" t="s">
        <v>7</v>
      </c>
      <c r="PG490" s="27" t="s">
        <v>8</v>
      </c>
      <c r="PH490" s="27" t="s">
        <v>7</v>
      </c>
      <c r="PO490" s="27" t="s">
        <v>8</v>
      </c>
    </row>
    <row r="491" spans="1:432" x14ac:dyDescent="0.25">
      <c r="A491" s="7">
        <v>6.692933179528171</v>
      </c>
      <c r="B491"/>
      <c r="C491"/>
      <c r="D491"/>
      <c r="E491"/>
      <c r="GA491" s="27" t="s">
        <v>8</v>
      </c>
      <c r="GB491" s="27" t="s">
        <v>7</v>
      </c>
      <c r="GC491" s="27" t="s">
        <v>8</v>
      </c>
      <c r="GD491" s="27" t="s">
        <v>7</v>
      </c>
      <c r="JQ491" s="27" t="s">
        <v>8</v>
      </c>
      <c r="JR491" s="27" t="s">
        <v>7</v>
      </c>
      <c r="JU491" s="27" t="s">
        <v>8</v>
      </c>
      <c r="JV491" s="27" t="s">
        <v>7</v>
      </c>
      <c r="KK491" s="27" t="s">
        <v>8</v>
      </c>
      <c r="KL491" s="27" t="s">
        <v>7</v>
      </c>
      <c r="KV491" s="27" t="s">
        <v>7</v>
      </c>
      <c r="KY491" s="27" t="s">
        <v>8</v>
      </c>
      <c r="LL491" s="27" t="s">
        <v>7</v>
      </c>
      <c r="LM491" s="27" t="s">
        <v>8</v>
      </c>
      <c r="LN491" s="27" t="s">
        <v>7</v>
      </c>
      <c r="LO491" s="27" t="s">
        <v>8</v>
      </c>
      <c r="LP491" s="27" t="s">
        <v>7</v>
      </c>
      <c r="LQ491" s="27" t="s">
        <v>8</v>
      </c>
      <c r="LR491" s="27" t="s">
        <v>7</v>
      </c>
      <c r="LS491" s="27" t="s">
        <v>8</v>
      </c>
      <c r="LU491" s="27" t="s">
        <v>8</v>
      </c>
      <c r="LV491" s="27" t="s">
        <v>7</v>
      </c>
      <c r="NC491" s="27" t="s">
        <v>8</v>
      </c>
      <c r="ND491" s="27" t="s">
        <v>7</v>
      </c>
      <c r="NE491" s="27" t="s">
        <v>8</v>
      </c>
      <c r="NF491" s="27" t="s">
        <v>7</v>
      </c>
      <c r="NG491" s="27" t="s">
        <v>8</v>
      </c>
      <c r="NI491" s="27" t="s">
        <v>8</v>
      </c>
      <c r="NJ491" s="27" t="s">
        <v>7</v>
      </c>
      <c r="NK491" s="27" t="s">
        <v>8</v>
      </c>
      <c r="OV491" s="27" t="s">
        <v>7</v>
      </c>
      <c r="OW491" s="27" t="s">
        <v>8</v>
      </c>
      <c r="OY491" s="27" t="s">
        <v>8</v>
      </c>
      <c r="OZ491" s="27" t="s">
        <v>7</v>
      </c>
      <c r="PG491" s="27" t="s">
        <v>8</v>
      </c>
      <c r="PH491" s="27" t="s">
        <v>7</v>
      </c>
      <c r="PO491" s="27" t="s">
        <v>8</v>
      </c>
      <c r="PP491" s="27" t="s">
        <v>7</v>
      </c>
    </row>
    <row r="492" spans="1:432" x14ac:dyDescent="0.25">
      <c r="A492" s="7">
        <v>6.5616991956158541</v>
      </c>
      <c r="B492"/>
      <c r="C492"/>
      <c r="D492"/>
      <c r="E492"/>
      <c r="GA492" s="27" t="s">
        <v>8</v>
      </c>
      <c r="GB492" s="27" t="s">
        <v>7</v>
      </c>
      <c r="GC492" s="27" t="s">
        <v>8</v>
      </c>
      <c r="GD492" s="27" t="s">
        <v>7</v>
      </c>
      <c r="JQ492" s="27" t="s">
        <v>8</v>
      </c>
      <c r="JR492" s="27" t="s">
        <v>7</v>
      </c>
      <c r="JU492" s="27" t="s">
        <v>8</v>
      </c>
      <c r="JV492" s="27" t="s">
        <v>7</v>
      </c>
      <c r="KK492" s="27" t="s">
        <v>8</v>
      </c>
      <c r="KV492" s="27" t="s">
        <v>7</v>
      </c>
      <c r="KW492" s="27" t="s">
        <v>8</v>
      </c>
      <c r="KY492" s="27" t="s">
        <v>8</v>
      </c>
      <c r="LL492" s="27" t="s">
        <v>7</v>
      </c>
      <c r="LM492" s="27" t="s">
        <v>8</v>
      </c>
      <c r="LN492" s="27" t="s">
        <v>7</v>
      </c>
      <c r="LO492" s="27" t="s">
        <v>8</v>
      </c>
      <c r="LP492" s="27" t="s">
        <v>7</v>
      </c>
      <c r="LQ492" s="27" t="s">
        <v>8</v>
      </c>
      <c r="LR492" s="27" t="s">
        <v>7</v>
      </c>
      <c r="LS492" s="27" t="s">
        <v>8</v>
      </c>
      <c r="LT492" s="27" t="s">
        <v>7</v>
      </c>
      <c r="LU492" s="27" t="s">
        <v>8</v>
      </c>
      <c r="LV492" s="27" t="s">
        <v>7</v>
      </c>
      <c r="NA492" s="27" t="s">
        <v>8</v>
      </c>
      <c r="NC492" s="27" t="s">
        <v>8</v>
      </c>
      <c r="ND492" s="27" t="s">
        <v>7</v>
      </c>
      <c r="NE492" s="27" t="s">
        <v>8</v>
      </c>
      <c r="NF492" s="27" t="s">
        <v>7</v>
      </c>
      <c r="NG492" s="27" t="s">
        <v>8</v>
      </c>
      <c r="NH492" s="27" t="s">
        <v>7</v>
      </c>
      <c r="NI492" s="27" t="s">
        <v>8</v>
      </c>
      <c r="NJ492" s="27" t="s">
        <v>7</v>
      </c>
      <c r="OV492" s="27" t="s">
        <v>7</v>
      </c>
      <c r="OW492" s="27" t="s">
        <v>8</v>
      </c>
      <c r="OX492" s="27" t="s">
        <v>7</v>
      </c>
      <c r="OY492" s="27" t="s">
        <v>8</v>
      </c>
      <c r="OZ492" s="27" t="s">
        <v>7</v>
      </c>
      <c r="PA492" s="27" t="s">
        <v>8</v>
      </c>
      <c r="PC492" s="27" t="s">
        <v>8</v>
      </c>
      <c r="PG492" s="27" t="s">
        <v>8</v>
      </c>
      <c r="PH492" s="27" t="s">
        <v>7</v>
      </c>
      <c r="PO492" s="27" t="s">
        <v>8</v>
      </c>
      <c r="PP492" s="27" t="s">
        <v>7</v>
      </c>
    </row>
    <row r="493" spans="1:432" x14ac:dyDescent="0.25">
      <c r="A493" s="7">
        <v>6.4330384270743668</v>
      </c>
      <c r="B493"/>
      <c r="C493"/>
      <c r="D493"/>
      <c r="E493"/>
      <c r="GA493" s="27" t="s">
        <v>8</v>
      </c>
      <c r="GB493" s="27" t="s">
        <v>7</v>
      </c>
      <c r="GC493" s="27" t="s">
        <v>8</v>
      </c>
      <c r="GD493" s="27" t="s">
        <v>7</v>
      </c>
      <c r="JQ493" s="27" t="s">
        <v>8</v>
      </c>
      <c r="JR493" s="27" t="s">
        <v>7</v>
      </c>
      <c r="JS493" s="27" t="s">
        <v>8</v>
      </c>
      <c r="JU493" s="27" t="s">
        <v>8</v>
      </c>
      <c r="JV493" s="27" t="s">
        <v>7</v>
      </c>
      <c r="KK493" s="27" t="s">
        <v>8</v>
      </c>
      <c r="KV493" s="27" t="s">
        <v>7</v>
      </c>
      <c r="KW493" s="27" t="s">
        <v>8</v>
      </c>
      <c r="KX493" s="27" t="s">
        <v>7</v>
      </c>
      <c r="KY493" s="27" t="s">
        <v>8</v>
      </c>
      <c r="LL493" s="27" t="s">
        <v>7</v>
      </c>
      <c r="LM493" s="27" t="s">
        <v>8</v>
      </c>
      <c r="LN493" s="27" t="s">
        <v>7</v>
      </c>
      <c r="LO493" s="27" t="s">
        <v>8</v>
      </c>
      <c r="LP493" s="27" t="s">
        <v>7</v>
      </c>
      <c r="LQ493" s="27" t="s">
        <v>8</v>
      </c>
      <c r="LR493" s="27" t="s">
        <v>7</v>
      </c>
      <c r="LS493" s="27" t="s">
        <v>8</v>
      </c>
      <c r="LT493" s="27" t="s">
        <v>7</v>
      </c>
      <c r="LU493" s="27" t="s">
        <v>8</v>
      </c>
      <c r="LV493" s="27" t="s">
        <v>7</v>
      </c>
      <c r="NA493" s="27" t="s">
        <v>8</v>
      </c>
      <c r="NB493" s="27" t="s">
        <v>7</v>
      </c>
      <c r="NC493" s="27" t="s">
        <v>8</v>
      </c>
      <c r="ND493" s="27" t="s">
        <v>7</v>
      </c>
      <c r="NE493" s="27" t="s">
        <v>8</v>
      </c>
      <c r="NF493" s="27" t="s">
        <v>7</v>
      </c>
      <c r="NG493" s="27" t="s">
        <v>8</v>
      </c>
      <c r="NH493" s="27" t="s">
        <v>7</v>
      </c>
      <c r="NI493" s="27" t="s">
        <v>8</v>
      </c>
      <c r="OV493" s="27" t="s">
        <v>7</v>
      </c>
      <c r="OW493" s="27" t="s">
        <v>8</v>
      </c>
      <c r="OX493" s="27" t="s">
        <v>7</v>
      </c>
      <c r="OY493" s="27" t="s">
        <v>8</v>
      </c>
      <c r="OZ493" s="27" t="s">
        <v>7</v>
      </c>
      <c r="PA493" s="27" t="s">
        <v>8</v>
      </c>
      <c r="PB493" s="27" t="s">
        <v>7</v>
      </c>
      <c r="PC493" s="27" t="s">
        <v>8</v>
      </c>
      <c r="PD493" s="27" t="s">
        <v>7</v>
      </c>
      <c r="PG493" s="27" t="s">
        <v>8</v>
      </c>
      <c r="PH493" s="27" t="s">
        <v>7</v>
      </c>
      <c r="PI493" s="27" t="s">
        <v>8</v>
      </c>
      <c r="PO493" s="27" t="s">
        <v>8</v>
      </c>
      <c r="PP493" s="27" t="s">
        <v>7</v>
      </c>
    </row>
    <row r="494" spans="1:432" x14ac:dyDescent="0.25">
      <c r="A494" s="7">
        <v>6.3069004187003594</v>
      </c>
      <c r="B494"/>
      <c r="C494"/>
      <c r="D494"/>
      <c r="E494"/>
      <c r="GA494" s="27" t="s">
        <v>8</v>
      </c>
      <c r="GB494" s="27" t="s">
        <v>7</v>
      </c>
      <c r="GC494" s="27" t="s">
        <v>8</v>
      </c>
      <c r="GD494" s="27" t="s">
        <v>7</v>
      </c>
      <c r="JQ494" s="27" t="s">
        <v>8</v>
      </c>
      <c r="JR494" s="27" t="s">
        <v>7</v>
      </c>
      <c r="JS494" s="27" t="s">
        <v>8</v>
      </c>
      <c r="JT494" s="27" t="s">
        <v>7</v>
      </c>
      <c r="JU494" s="27" t="s">
        <v>8</v>
      </c>
      <c r="JV494" s="27" t="s">
        <v>7</v>
      </c>
      <c r="KI494" s="27" t="s">
        <v>8</v>
      </c>
      <c r="KK494" s="27" t="s">
        <v>8</v>
      </c>
      <c r="KV494" s="27" t="s">
        <v>7</v>
      </c>
      <c r="KW494" s="27" t="s">
        <v>8</v>
      </c>
      <c r="KX494" s="27" t="s">
        <v>7</v>
      </c>
      <c r="KY494" s="27" t="s">
        <v>8</v>
      </c>
      <c r="LL494" s="27" t="s">
        <v>7</v>
      </c>
      <c r="LM494" s="27" t="s">
        <v>8</v>
      </c>
      <c r="LN494" s="27" t="s">
        <v>7</v>
      </c>
      <c r="LO494" s="27" t="s">
        <v>8</v>
      </c>
      <c r="LP494" s="27" t="s">
        <v>7</v>
      </c>
      <c r="LQ494" s="27" t="s">
        <v>8</v>
      </c>
      <c r="LR494" s="27" t="s">
        <v>7</v>
      </c>
      <c r="LS494" s="27" t="s">
        <v>8</v>
      </c>
      <c r="LT494" s="27" t="s">
        <v>7</v>
      </c>
      <c r="LU494" s="27" t="s">
        <v>8</v>
      </c>
      <c r="LV494" s="27" t="s">
        <v>7</v>
      </c>
      <c r="NA494" s="27" t="s">
        <v>8</v>
      </c>
      <c r="NB494" s="27" t="s">
        <v>7</v>
      </c>
      <c r="NC494" s="27" t="s">
        <v>8</v>
      </c>
      <c r="ND494" s="27" t="s">
        <v>7</v>
      </c>
      <c r="NE494" s="27" t="s">
        <v>8</v>
      </c>
      <c r="NF494" s="27" t="s">
        <v>7</v>
      </c>
      <c r="NG494" s="27" t="s">
        <v>8</v>
      </c>
      <c r="NH494" s="27" t="s">
        <v>7</v>
      </c>
      <c r="NI494" s="27" t="s">
        <v>8</v>
      </c>
      <c r="OV494" s="27" t="s">
        <v>7</v>
      </c>
      <c r="OW494" s="27" t="s">
        <v>8</v>
      </c>
      <c r="OX494" s="27" t="s">
        <v>7</v>
      </c>
      <c r="OY494" s="27" t="s">
        <v>8</v>
      </c>
      <c r="OZ494" s="27" t="s">
        <v>7</v>
      </c>
      <c r="PA494" s="27" t="s">
        <v>8</v>
      </c>
      <c r="PB494" s="27" t="s">
        <v>7</v>
      </c>
      <c r="PC494" s="27" t="s">
        <v>8</v>
      </c>
      <c r="PD494" s="27" t="s">
        <v>7</v>
      </c>
      <c r="PG494" s="27" t="s">
        <v>8</v>
      </c>
      <c r="PH494" s="27" t="s">
        <v>7</v>
      </c>
      <c r="PI494" s="27" t="s">
        <v>8</v>
      </c>
      <c r="PJ494" s="27" t="s">
        <v>7</v>
      </c>
      <c r="PM494" s="27" t="s">
        <v>8</v>
      </c>
      <c r="PO494" s="27" t="s">
        <v>8</v>
      </c>
      <c r="PP494" s="27" t="s">
        <v>7</v>
      </c>
    </row>
    <row r="495" spans="1:432" x14ac:dyDescent="0.25">
      <c r="A495" s="7">
        <v>6.1832357046081956</v>
      </c>
      <c r="B495"/>
      <c r="C495"/>
      <c r="D495"/>
      <c r="E495"/>
      <c r="GA495" s="27" t="s">
        <v>8</v>
      </c>
      <c r="GB495" s="27" t="s">
        <v>7</v>
      </c>
      <c r="GC495" s="27" t="s">
        <v>8</v>
      </c>
      <c r="GD495" s="27" t="s">
        <v>7</v>
      </c>
      <c r="JQ495" s="27" t="s">
        <v>8</v>
      </c>
      <c r="JR495" s="27" t="s">
        <v>7</v>
      </c>
      <c r="JS495" s="27" t="s">
        <v>8</v>
      </c>
      <c r="JT495" s="27" t="s">
        <v>7</v>
      </c>
      <c r="JU495" s="27" t="s">
        <v>8</v>
      </c>
      <c r="JV495" s="27" t="s">
        <v>7</v>
      </c>
      <c r="KI495" s="27" t="s">
        <v>8</v>
      </c>
      <c r="KJ495" s="27" t="s">
        <v>7</v>
      </c>
      <c r="KK495" s="27" t="s">
        <v>8</v>
      </c>
      <c r="KV495" s="27" t="s">
        <v>7</v>
      </c>
      <c r="KW495" s="27" t="s">
        <v>8</v>
      </c>
      <c r="KX495" s="27" t="s">
        <v>7</v>
      </c>
      <c r="KY495" s="27" t="s">
        <v>8</v>
      </c>
      <c r="LL495" s="27" t="s">
        <v>7</v>
      </c>
      <c r="LM495" s="27" t="s">
        <v>8</v>
      </c>
      <c r="LN495" s="27" t="s">
        <v>7</v>
      </c>
      <c r="LO495" s="27" t="s">
        <v>8</v>
      </c>
      <c r="LP495" s="27" t="s">
        <v>7</v>
      </c>
      <c r="LQ495" s="27" t="s">
        <v>8</v>
      </c>
      <c r="LR495" s="27" t="s">
        <v>7</v>
      </c>
      <c r="LS495" s="27" t="s">
        <v>8</v>
      </c>
      <c r="LT495" s="27" t="s">
        <v>7</v>
      </c>
      <c r="LV495" s="27" t="s">
        <v>7</v>
      </c>
      <c r="LW495" s="27" t="s">
        <v>8</v>
      </c>
      <c r="NA495" s="27" t="s">
        <v>8</v>
      </c>
      <c r="NB495" s="27" t="s">
        <v>7</v>
      </c>
      <c r="ND495" s="27" t="s">
        <v>7</v>
      </c>
      <c r="NF495" s="27" t="s">
        <v>7</v>
      </c>
      <c r="NG495" s="27" t="s">
        <v>8</v>
      </c>
      <c r="NH495" s="27" t="s">
        <v>7</v>
      </c>
      <c r="OV495" s="27" t="s">
        <v>7</v>
      </c>
      <c r="OW495" s="27" t="s">
        <v>8</v>
      </c>
      <c r="OX495" s="27" t="s">
        <v>7</v>
      </c>
      <c r="OY495" s="27" t="s">
        <v>8</v>
      </c>
      <c r="OZ495" s="27" t="s">
        <v>7</v>
      </c>
      <c r="PA495" s="27" t="s">
        <v>8</v>
      </c>
      <c r="PB495" s="27" t="s">
        <v>7</v>
      </c>
      <c r="PC495" s="27" t="s">
        <v>8</v>
      </c>
      <c r="PD495" s="27" t="s">
        <v>7</v>
      </c>
      <c r="PE495" s="27" t="s">
        <v>8</v>
      </c>
      <c r="PG495" s="27" t="s">
        <v>8</v>
      </c>
      <c r="PH495" s="27" t="s">
        <v>7</v>
      </c>
      <c r="PI495" s="27" t="s">
        <v>8</v>
      </c>
      <c r="PJ495" s="27" t="s">
        <v>7</v>
      </c>
      <c r="PM495" s="27" t="s">
        <v>8</v>
      </c>
      <c r="PN495" s="27" t="s">
        <v>7</v>
      </c>
      <c r="PO495" s="27" t="s">
        <v>8</v>
      </c>
      <c r="PP495" s="27" t="s">
        <v>7</v>
      </c>
    </row>
    <row r="496" spans="1:432" x14ac:dyDescent="0.25">
      <c r="A496" s="7">
        <v>6.0619957888315641</v>
      </c>
      <c r="B496"/>
      <c r="C496"/>
      <c r="D496"/>
      <c r="E496"/>
      <c r="GA496" s="27" t="s">
        <v>8</v>
      </c>
      <c r="GB496" s="27" t="s">
        <v>7</v>
      </c>
      <c r="GC496" s="27" t="s">
        <v>8</v>
      </c>
      <c r="GD496" s="27" t="s">
        <v>7</v>
      </c>
      <c r="JQ496" s="27" t="s">
        <v>8</v>
      </c>
      <c r="JR496" s="27" t="s">
        <v>7</v>
      </c>
      <c r="JS496" s="27" t="s">
        <v>8</v>
      </c>
      <c r="JT496" s="27" t="s">
        <v>7</v>
      </c>
      <c r="JU496" s="27" t="s">
        <v>8</v>
      </c>
      <c r="JV496" s="27" t="s">
        <v>7</v>
      </c>
      <c r="KI496" s="27" t="s">
        <v>8</v>
      </c>
      <c r="KJ496" s="27" t="s">
        <v>7</v>
      </c>
      <c r="KK496" s="27" t="s">
        <v>8</v>
      </c>
      <c r="KV496" s="27" t="s">
        <v>7</v>
      </c>
      <c r="KW496" s="27" t="s">
        <v>8</v>
      </c>
      <c r="KX496" s="27" t="s">
        <v>7</v>
      </c>
      <c r="KY496" s="27" t="s">
        <v>8</v>
      </c>
      <c r="LL496" s="27" t="s">
        <v>7</v>
      </c>
      <c r="LM496" s="27" t="s">
        <v>8</v>
      </c>
      <c r="LN496" s="27" t="s">
        <v>7</v>
      </c>
      <c r="LO496" s="27" t="s">
        <v>8</v>
      </c>
      <c r="LP496" s="27" t="s">
        <v>7</v>
      </c>
      <c r="LQ496" s="27" t="s">
        <v>8</v>
      </c>
      <c r="LR496" s="27" t="s">
        <v>7</v>
      </c>
      <c r="LS496" s="27" t="s">
        <v>8</v>
      </c>
      <c r="LV496" s="27" t="s">
        <v>7</v>
      </c>
      <c r="LW496" s="27" t="s">
        <v>8</v>
      </c>
      <c r="LX496" s="27" t="s">
        <v>7</v>
      </c>
      <c r="NA496" s="27" t="s">
        <v>8</v>
      </c>
      <c r="NF496" s="27" t="s">
        <v>7</v>
      </c>
      <c r="NG496" s="27" t="s">
        <v>8</v>
      </c>
      <c r="OV496" s="27" t="s">
        <v>7</v>
      </c>
      <c r="OW496" s="27" t="s">
        <v>8</v>
      </c>
      <c r="OX496" s="27" t="s">
        <v>7</v>
      </c>
      <c r="OY496" s="27" t="s">
        <v>8</v>
      </c>
      <c r="OZ496" s="27" t="s">
        <v>7</v>
      </c>
      <c r="PA496" s="27" t="s">
        <v>8</v>
      </c>
      <c r="PB496" s="27" t="s">
        <v>7</v>
      </c>
      <c r="PC496" s="27" t="s">
        <v>8</v>
      </c>
      <c r="PD496" s="27" t="s">
        <v>7</v>
      </c>
      <c r="PE496" s="27" t="s">
        <v>8</v>
      </c>
      <c r="PF496" s="27" t="s">
        <v>7</v>
      </c>
      <c r="PG496" s="27" t="s">
        <v>8</v>
      </c>
      <c r="PH496" s="27" t="s">
        <v>7</v>
      </c>
      <c r="PI496" s="27" t="s">
        <v>8</v>
      </c>
      <c r="PJ496" s="27" t="s">
        <v>7</v>
      </c>
      <c r="PM496" s="27" t="s">
        <v>8</v>
      </c>
      <c r="PN496" s="27" t="s">
        <v>7</v>
      </c>
      <c r="PO496" s="27" t="s">
        <v>8</v>
      </c>
      <c r="PP496" s="27" t="s">
        <v>7</v>
      </c>
    </row>
    <row r="497" spans="1:436" x14ac:dyDescent="0.25">
      <c r="A497" s="7">
        <v>5.9431331263054545</v>
      </c>
      <c r="B497"/>
      <c r="C497"/>
      <c r="D497"/>
      <c r="E497"/>
      <c r="GA497" s="27" t="s">
        <v>8</v>
      </c>
      <c r="GB497" s="27" t="s">
        <v>7</v>
      </c>
      <c r="GC497" s="27" t="s">
        <v>8</v>
      </c>
      <c r="GD497" s="27" t="s">
        <v>7</v>
      </c>
      <c r="JQ497" s="27" t="s">
        <v>8</v>
      </c>
      <c r="JR497" s="27" t="s">
        <v>7</v>
      </c>
      <c r="JS497" s="27" t="s">
        <v>8</v>
      </c>
      <c r="JT497" s="27" t="s">
        <v>7</v>
      </c>
      <c r="JU497" s="27" t="s">
        <v>8</v>
      </c>
      <c r="JV497" s="27" t="s">
        <v>7</v>
      </c>
      <c r="KI497" s="27" t="s">
        <v>8</v>
      </c>
      <c r="KJ497" s="27" t="s">
        <v>7</v>
      </c>
      <c r="KK497" s="27" t="s">
        <v>8</v>
      </c>
      <c r="KV497" s="27" t="s">
        <v>7</v>
      </c>
      <c r="KW497" s="27" t="s">
        <v>8</v>
      </c>
      <c r="KX497" s="27" t="s">
        <v>7</v>
      </c>
      <c r="KY497" s="27" t="s">
        <v>8</v>
      </c>
      <c r="LL497" s="27" t="s">
        <v>7</v>
      </c>
      <c r="LM497" s="27" t="s">
        <v>8</v>
      </c>
      <c r="LN497" s="27" t="s">
        <v>7</v>
      </c>
      <c r="LO497" s="27" t="s">
        <v>8</v>
      </c>
      <c r="LP497" s="27" t="s">
        <v>7</v>
      </c>
      <c r="LQ497" s="27" t="s">
        <v>8</v>
      </c>
      <c r="LR497" s="27" t="s">
        <v>7</v>
      </c>
      <c r="LS497" s="27" t="s">
        <v>8</v>
      </c>
      <c r="LV497" s="27" t="s">
        <v>7</v>
      </c>
      <c r="LW497" s="27" t="s">
        <v>8</v>
      </c>
      <c r="LX497" s="27" t="s">
        <v>7</v>
      </c>
      <c r="MY497" s="27" t="s">
        <v>8</v>
      </c>
      <c r="NA497" s="27" t="s">
        <v>8</v>
      </c>
      <c r="NF497" s="27" t="s">
        <v>7</v>
      </c>
      <c r="NG497" s="27" t="s">
        <v>8</v>
      </c>
      <c r="OV497" s="27" t="s">
        <v>7</v>
      </c>
      <c r="OW497" s="27" t="s">
        <v>8</v>
      </c>
      <c r="OX497" s="27" t="s">
        <v>7</v>
      </c>
      <c r="OY497" s="27" t="s">
        <v>8</v>
      </c>
      <c r="OZ497" s="27" t="s">
        <v>7</v>
      </c>
      <c r="PB497" s="27" t="s">
        <v>7</v>
      </c>
      <c r="PC497" s="27" t="s">
        <v>8</v>
      </c>
      <c r="PD497" s="27" t="s">
        <v>7</v>
      </c>
      <c r="PE497" s="27" t="s">
        <v>8</v>
      </c>
      <c r="PF497" s="27" t="s">
        <v>7</v>
      </c>
      <c r="PG497" s="27" t="s">
        <v>8</v>
      </c>
      <c r="PH497" s="27" t="s">
        <v>7</v>
      </c>
      <c r="PI497" s="27" t="s">
        <v>8</v>
      </c>
      <c r="PJ497" s="27" t="s">
        <v>7</v>
      </c>
      <c r="PM497" s="27" t="s">
        <v>8</v>
      </c>
      <c r="PN497" s="27" t="s">
        <v>7</v>
      </c>
      <c r="PO497" s="27" t="s">
        <v>8</v>
      </c>
      <c r="PP497" s="27" t="s">
        <v>7</v>
      </c>
    </row>
    <row r="498" spans="1:436" x14ac:dyDescent="0.25">
      <c r="A498" s="7">
        <v>5.8266011042210337</v>
      </c>
      <c r="B498"/>
      <c r="C498"/>
      <c r="D498"/>
      <c r="E498"/>
      <c r="GA498" s="27" t="s">
        <v>8</v>
      </c>
      <c r="GB498" s="27" t="s">
        <v>7</v>
      </c>
      <c r="GC498" s="27" t="s">
        <v>8</v>
      </c>
      <c r="GD498" s="27" t="s">
        <v>7</v>
      </c>
      <c r="GE498" s="27" t="s">
        <v>8</v>
      </c>
      <c r="JQ498" s="27" t="s">
        <v>8</v>
      </c>
      <c r="JR498" s="27" t="s">
        <v>7</v>
      </c>
      <c r="JS498" s="27" t="s">
        <v>8</v>
      </c>
      <c r="JT498" s="27" t="s">
        <v>7</v>
      </c>
      <c r="JU498" s="27" t="s">
        <v>8</v>
      </c>
      <c r="JV498" s="27" t="s">
        <v>7</v>
      </c>
      <c r="KI498" s="27" t="s">
        <v>8</v>
      </c>
      <c r="KJ498" s="27" t="s">
        <v>7</v>
      </c>
      <c r="KK498" s="27" t="s">
        <v>8</v>
      </c>
      <c r="KV498" s="27" t="s">
        <v>7</v>
      </c>
      <c r="KW498" s="27" t="s">
        <v>8</v>
      </c>
      <c r="KX498" s="27" t="s">
        <v>7</v>
      </c>
      <c r="LL498" s="27" t="s">
        <v>7</v>
      </c>
      <c r="LM498" s="27" t="s">
        <v>8</v>
      </c>
      <c r="LN498" s="27" t="s">
        <v>7</v>
      </c>
      <c r="LO498" s="27" t="s">
        <v>8</v>
      </c>
      <c r="LP498" s="27" t="s">
        <v>7</v>
      </c>
      <c r="LQ498" s="27" t="s">
        <v>8</v>
      </c>
      <c r="LR498" s="27" t="s">
        <v>7</v>
      </c>
      <c r="LS498" s="27" t="s">
        <v>8</v>
      </c>
      <c r="LV498" s="27" t="s">
        <v>7</v>
      </c>
      <c r="LW498" s="27" t="s">
        <v>8</v>
      </c>
      <c r="LX498" s="27" t="s">
        <v>7</v>
      </c>
      <c r="MY498" s="27" t="s">
        <v>8</v>
      </c>
      <c r="MZ498" s="27" t="s">
        <v>7</v>
      </c>
      <c r="NA498" s="27" t="s">
        <v>8</v>
      </c>
      <c r="NF498" s="27" t="s">
        <v>7</v>
      </c>
      <c r="OV498" s="27" t="s">
        <v>7</v>
      </c>
      <c r="OW498" s="27" t="s">
        <v>8</v>
      </c>
      <c r="OX498" s="27" t="s">
        <v>7</v>
      </c>
      <c r="OY498" s="27" t="s">
        <v>8</v>
      </c>
      <c r="PB498" s="27" t="s">
        <v>7</v>
      </c>
      <c r="PC498" s="27" t="s">
        <v>8</v>
      </c>
      <c r="PD498" s="27" t="s">
        <v>7</v>
      </c>
      <c r="PF498" s="27" t="s">
        <v>7</v>
      </c>
      <c r="PG498" s="27" t="s">
        <v>8</v>
      </c>
      <c r="PH498" s="27" t="s">
        <v>7</v>
      </c>
      <c r="PJ498" s="27" t="s">
        <v>7</v>
      </c>
      <c r="PM498" s="27" t="s">
        <v>8</v>
      </c>
      <c r="PN498" s="27" t="s">
        <v>7</v>
      </c>
      <c r="PP498" s="27" t="s">
        <v>7</v>
      </c>
    </row>
    <row r="499" spans="1:436" x14ac:dyDescent="0.25">
      <c r="A499" s="7">
        <v>5.7123540237461112</v>
      </c>
      <c r="B499"/>
      <c r="C499"/>
      <c r="D499"/>
      <c r="E499"/>
      <c r="GA499" s="27" t="s">
        <v>8</v>
      </c>
      <c r="GB499" s="27" t="s">
        <v>7</v>
      </c>
      <c r="GC499" s="27" t="s">
        <v>8</v>
      </c>
      <c r="GD499" s="27" t="s">
        <v>7</v>
      </c>
      <c r="GE499" s="27" t="s">
        <v>8</v>
      </c>
      <c r="GF499" s="27" t="s">
        <v>7</v>
      </c>
      <c r="GG499" s="27" t="s">
        <v>8</v>
      </c>
      <c r="JQ499" s="27" t="s">
        <v>8</v>
      </c>
      <c r="JR499" s="27" t="s">
        <v>7</v>
      </c>
      <c r="JS499" s="27" t="s">
        <v>8</v>
      </c>
      <c r="JT499" s="27" t="s">
        <v>7</v>
      </c>
      <c r="JV499" s="27" t="s">
        <v>7</v>
      </c>
      <c r="KI499" s="27" t="s">
        <v>8</v>
      </c>
      <c r="KJ499" s="27" t="s">
        <v>7</v>
      </c>
      <c r="KK499" s="27" t="s">
        <v>8</v>
      </c>
      <c r="KV499" s="27" t="s">
        <v>7</v>
      </c>
      <c r="KW499" s="27" t="s">
        <v>8</v>
      </c>
      <c r="LL499" s="27" t="s">
        <v>7</v>
      </c>
      <c r="LM499" s="27" t="s">
        <v>8</v>
      </c>
      <c r="LN499" s="27" t="s">
        <v>7</v>
      </c>
      <c r="LO499" s="27" t="s">
        <v>8</v>
      </c>
      <c r="LP499" s="27" t="s">
        <v>7</v>
      </c>
      <c r="LQ499" s="27" t="s">
        <v>8</v>
      </c>
      <c r="LR499" s="27" t="s">
        <v>7</v>
      </c>
      <c r="LS499" s="27" t="s">
        <v>8</v>
      </c>
      <c r="LV499" s="27" t="s">
        <v>7</v>
      </c>
      <c r="LX499" s="27" t="s">
        <v>7</v>
      </c>
      <c r="MW499" s="27" t="s">
        <v>8</v>
      </c>
      <c r="MY499" s="27" t="s">
        <v>8</v>
      </c>
      <c r="MZ499" s="27" t="s">
        <v>7</v>
      </c>
      <c r="NA499" s="27" t="s">
        <v>8</v>
      </c>
      <c r="OV499" s="27" t="s">
        <v>7</v>
      </c>
      <c r="OW499" s="27" t="s">
        <v>8</v>
      </c>
      <c r="OX499" s="27" t="s">
        <v>7</v>
      </c>
      <c r="PB499" s="27" t="s">
        <v>7</v>
      </c>
      <c r="PC499" s="27" t="s">
        <v>8</v>
      </c>
      <c r="PF499" s="27" t="s">
        <v>7</v>
      </c>
      <c r="PG499" s="27" t="s">
        <v>8</v>
      </c>
      <c r="PJ499" s="27" t="s">
        <v>7</v>
      </c>
      <c r="PM499" s="27" t="s">
        <v>8</v>
      </c>
      <c r="PP499" s="27" t="s">
        <v>7</v>
      </c>
    </row>
    <row r="500" spans="1:436" x14ac:dyDescent="0.25">
      <c r="A500" s="7">
        <v>5.6003470821040304</v>
      </c>
      <c r="B500"/>
      <c r="C500"/>
      <c r="D500"/>
      <c r="E500"/>
      <c r="GA500" s="27" t="s">
        <v>8</v>
      </c>
      <c r="GB500" s="27" t="s">
        <v>7</v>
      </c>
      <c r="GC500" s="27" t="s">
        <v>8</v>
      </c>
      <c r="GD500" s="27" t="s">
        <v>7</v>
      </c>
      <c r="GE500" s="27" t="s">
        <v>8</v>
      </c>
      <c r="GF500" s="27" t="s">
        <v>7</v>
      </c>
      <c r="GG500" s="27" t="s">
        <v>8</v>
      </c>
      <c r="GH500" s="27" t="s">
        <v>7</v>
      </c>
      <c r="JQ500" s="27" t="s">
        <v>8</v>
      </c>
      <c r="JR500" s="27" t="s">
        <v>7</v>
      </c>
      <c r="JV500" s="27" t="s">
        <v>7</v>
      </c>
      <c r="KI500" s="27" t="s">
        <v>8</v>
      </c>
      <c r="KJ500" s="27" t="s">
        <v>7</v>
      </c>
      <c r="KK500" s="27" t="s">
        <v>8</v>
      </c>
      <c r="KV500" s="27" t="s">
        <v>7</v>
      </c>
      <c r="LL500" s="27" t="s">
        <v>7</v>
      </c>
      <c r="LM500" s="27" t="s">
        <v>8</v>
      </c>
      <c r="LN500" s="27" t="s">
        <v>7</v>
      </c>
      <c r="LO500" s="27" t="s">
        <v>8</v>
      </c>
      <c r="LP500" s="27" t="s">
        <v>7</v>
      </c>
      <c r="LQ500" s="27" t="s">
        <v>8</v>
      </c>
      <c r="LR500" s="27" t="s">
        <v>7</v>
      </c>
      <c r="LS500" s="27" t="s">
        <v>8</v>
      </c>
      <c r="LX500" s="27" t="s">
        <v>7</v>
      </c>
      <c r="MW500" s="27" t="s">
        <v>8</v>
      </c>
      <c r="MX500" s="27" t="s">
        <v>7</v>
      </c>
      <c r="MY500" s="27" t="s">
        <v>8</v>
      </c>
      <c r="MZ500" s="27" t="s">
        <v>7</v>
      </c>
      <c r="NA500" s="27" t="s">
        <v>8</v>
      </c>
      <c r="OV500" s="27" t="s">
        <v>7</v>
      </c>
      <c r="OW500" s="27" t="s">
        <v>8</v>
      </c>
      <c r="PB500" s="27" t="s">
        <v>7</v>
      </c>
      <c r="PF500" s="27" t="s">
        <v>7</v>
      </c>
      <c r="PJ500" s="27" t="s">
        <v>7</v>
      </c>
      <c r="PM500" s="27" t="s">
        <v>8</v>
      </c>
      <c r="PP500" s="27" t="s">
        <v>7</v>
      </c>
    </row>
    <row r="501" spans="1:436" x14ac:dyDescent="0.25">
      <c r="A501" s="7">
        <v>5.4905363550039512</v>
      </c>
      <c r="B501"/>
      <c r="C501"/>
      <c r="D501"/>
      <c r="E501"/>
      <c r="GA501" s="27" t="s">
        <v>8</v>
      </c>
      <c r="GB501" s="27" t="s">
        <v>7</v>
      </c>
      <c r="GC501" s="27" t="s">
        <v>8</v>
      </c>
      <c r="GD501" s="27" t="s">
        <v>7</v>
      </c>
      <c r="GE501" s="27" t="s">
        <v>8</v>
      </c>
      <c r="GF501" s="27" t="s">
        <v>7</v>
      </c>
      <c r="GG501" s="27" t="s">
        <v>8</v>
      </c>
      <c r="GH501" s="27" t="s">
        <v>7</v>
      </c>
      <c r="JO501" s="27" t="s">
        <v>8</v>
      </c>
      <c r="JQ501" s="27" t="s">
        <v>8</v>
      </c>
      <c r="JV501" s="27" t="s">
        <v>7</v>
      </c>
      <c r="KC501" s="27" t="s">
        <v>8</v>
      </c>
      <c r="KI501" s="27" t="s">
        <v>8</v>
      </c>
      <c r="KJ501" s="27" t="s">
        <v>7</v>
      </c>
      <c r="KK501" s="27" t="s">
        <v>8</v>
      </c>
      <c r="LL501" s="27" t="s">
        <v>7</v>
      </c>
      <c r="LM501" s="27" t="s">
        <v>8</v>
      </c>
      <c r="LN501" s="27" t="s">
        <v>7</v>
      </c>
      <c r="LO501" s="27" t="s">
        <v>8</v>
      </c>
      <c r="LP501" s="27" t="s">
        <v>7</v>
      </c>
      <c r="LR501" s="27" t="s">
        <v>7</v>
      </c>
      <c r="LX501" s="27" t="s">
        <v>7</v>
      </c>
      <c r="LY501" s="27" t="s">
        <v>8</v>
      </c>
      <c r="MA501" s="27" t="s">
        <v>8</v>
      </c>
      <c r="MW501" s="27" t="s">
        <v>8</v>
      </c>
      <c r="MX501" s="27" t="s">
        <v>7</v>
      </c>
      <c r="MY501" s="27" t="s">
        <v>8</v>
      </c>
      <c r="MZ501" s="27" t="s">
        <v>7</v>
      </c>
      <c r="NA501" s="27" t="s">
        <v>8</v>
      </c>
      <c r="OV501" s="27" t="s">
        <v>7</v>
      </c>
      <c r="OW501" s="27" t="s">
        <v>8</v>
      </c>
      <c r="PJ501" s="27" t="s">
        <v>7</v>
      </c>
      <c r="PK501" s="27" t="s">
        <v>8</v>
      </c>
      <c r="PM501" s="27" t="s">
        <v>8</v>
      </c>
      <c r="PP501" s="27" t="s">
        <v>7</v>
      </c>
    </row>
    <row r="502" spans="1:436" x14ac:dyDescent="0.25">
      <c r="A502" s="7">
        <v>5.3828787794156385</v>
      </c>
      <c r="B502"/>
      <c r="C502"/>
      <c r="D502"/>
      <c r="E502"/>
      <c r="GA502" s="27" t="s">
        <v>8</v>
      </c>
      <c r="GB502" s="27" t="s">
        <v>7</v>
      </c>
      <c r="GC502" s="27" t="s">
        <v>8</v>
      </c>
      <c r="GD502" s="27" t="s">
        <v>7</v>
      </c>
      <c r="GE502" s="27" t="s">
        <v>8</v>
      </c>
      <c r="GF502" s="27" t="s">
        <v>7</v>
      </c>
      <c r="GG502" s="27" t="s">
        <v>8</v>
      </c>
      <c r="GH502" s="27" t="s">
        <v>7</v>
      </c>
      <c r="JO502" s="27" t="s">
        <v>8</v>
      </c>
      <c r="JP502" s="27" t="s">
        <v>7</v>
      </c>
      <c r="JQ502" s="27" t="s">
        <v>8</v>
      </c>
      <c r="JV502" s="27" t="s">
        <v>7</v>
      </c>
      <c r="KC502" s="27" t="s">
        <v>8</v>
      </c>
      <c r="KD502" s="27" t="s">
        <v>7</v>
      </c>
      <c r="KE502" s="27" t="s">
        <v>8</v>
      </c>
      <c r="KG502" s="27" t="s">
        <v>8</v>
      </c>
      <c r="KI502" s="27" t="s">
        <v>8</v>
      </c>
      <c r="KJ502" s="27" t="s">
        <v>7</v>
      </c>
      <c r="KK502" s="27" t="s">
        <v>8</v>
      </c>
      <c r="LL502" s="27" t="s">
        <v>7</v>
      </c>
      <c r="LM502" s="27" t="s">
        <v>8</v>
      </c>
      <c r="LN502" s="27" t="s">
        <v>7</v>
      </c>
      <c r="LO502" s="27" t="s">
        <v>8</v>
      </c>
      <c r="LX502" s="27" t="s">
        <v>7</v>
      </c>
      <c r="LY502" s="27" t="s">
        <v>8</v>
      </c>
      <c r="LZ502" s="27" t="s">
        <v>7</v>
      </c>
      <c r="MA502" s="27" t="s">
        <v>8</v>
      </c>
      <c r="MB502" s="27" t="s">
        <v>7</v>
      </c>
      <c r="MW502" s="27" t="s">
        <v>8</v>
      </c>
      <c r="MX502" s="27" t="s">
        <v>7</v>
      </c>
      <c r="MZ502" s="27" t="s">
        <v>7</v>
      </c>
      <c r="NA502" s="27" t="s">
        <v>8</v>
      </c>
      <c r="OV502" s="27" t="s">
        <v>7</v>
      </c>
      <c r="OW502" s="27" t="s">
        <v>8</v>
      </c>
      <c r="PJ502" s="27" t="s">
        <v>7</v>
      </c>
      <c r="PK502" s="27" t="s">
        <v>8</v>
      </c>
      <c r="PL502" s="27" t="s">
        <v>7</v>
      </c>
      <c r="PM502" s="27" t="s">
        <v>8</v>
      </c>
      <c r="PP502" s="27" t="s">
        <v>7</v>
      </c>
    </row>
    <row r="503" spans="1:436" x14ac:dyDescent="0.25">
      <c r="A503" s="7">
        <v>5.2773321366819985</v>
      </c>
      <c r="B503"/>
      <c r="C503"/>
      <c r="D503"/>
      <c r="E503"/>
      <c r="GA503" s="27" t="s">
        <v>8</v>
      </c>
      <c r="GB503" s="27" t="s">
        <v>7</v>
      </c>
      <c r="GD503" s="27" t="s">
        <v>7</v>
      </c>
      <c r="GE503" s="27" t="s">
        <v>8</v>
      </c>
      <c r="GF503" s="27" t="s">
        <v>7</v>
      </c>
      <c r="GG503" s="27" t="s">
        <v>8</v>
      </c>
      <c r="GH503" s="27" t="s">
        <v>7</v>
      </c>
      <c r="JO503" s="27" t="s">
        <v>8</v>
      </c>
      <c r="JP503" s="27" t="s">
        <v>7</v>
      </c>
      <c r="JQ503" s="27" t="s">
        <v>8</v>
      </c>
      <c r="JV503" s="27" t="s">
        <v>7</v>
      </c>
      <c r="KC503" s="27" t="s">
        <v>8</v>
      </c>
      <c r="KD503" s="27" t="s">
        <v>7</v>
      </c>
      <c r="KE503" s="27" t="s">
        <v>8</v>
      </c>
      <c r="KF503" s="27" t="s">
        <v>7</v>
      </c>
      <c r="KG503" s="27" t="s">
        <v>8</v>
      </c>
      <c r="KH503" s="27" t="s">
        <v>7</v>
      </c>
      <c r="KI503" s="27" t="s">
        <v>8</v>
      </c>
      <c r="KJ503" s="27" t="s">
        <v>7</v>
      </c>
      <c r="KK503" s="27" t="s">
        <v>8</v>
      </c>
      <c r="LL503" s="27" t="s">
        <v>7</v>
      </c>
      <c r="LM503" s="27" t="s">
        <v>8</v>
      </c>
      <c r="LN503" s="27" t="s">
        <v>7</v>
      </c>
      <c r="LO503" s="27" t="s">
        <v>8</v>
      </c>
      <c r="LX503" s="27" t="s">
        <v>7</v>
      </c>
      <c r="LY503" s="27" t="s">
        <v>8</v>
      </c>
      <c r="LZ503" s="27" t="s">
        <v>7</v>
      </c>
      <c r="MA503" s="27" t="s">
        <v>8</v>
      </c>
      <c r="MB503" s="27" t="s">
        <v>7</v>
      </c>
      <c r="MU503" s="27" t="s">
        <v>8</v>
      </c>
      <c r="MW503" s="27" t="s">
        <v>8</v>
      </c>
      <c r="MZ503" s="27" t="s">
        <v>7</v>
      </c>
      <c r="NA503" s="27" t="s">
        <v>8</v>
      </c>
      <c r="OV503" s="27" t="s">
        <v>7</v>
      </c>
      <c r="OW503" s="27" t="s">
        <v>8</v>
      </c>
      <c r="PJ503" s="27" t="s">
        <v>7</v>
      </c>
      <c r="PK503" s="27" t="s">
        <v>8</v>
      </c>
      <c r="PL503" s="27" t="s">
        <v>7</v>
      </c>
      <c r="PM503" s="27" t="s">
        <v>8</v>
      </c>
      <c r="PP503" s="27" t="s">
        <v>7</v>
      </c>
    </row>
    <row r="504" spans="1:436" x14ac:dyDescent="0.25">
      <c r="A504" s="7">
        <v>5.1738550359627435</v>
      </c>
      <c r="B504"/>
      <c r="C504"/>
      <c r="D504"/>
      <c r="E504"/>
      <c r="GA504" s="27" t="s">
        <v>8</v>
      </c>
      <c r="GD504" s="27" t="s">
        <v>7</v>
      </c>
      <c r="GE504" s="27" t="s">
        <v>8</v>
      </c>
      <c r="GF504" s="27" t="s">
        <v>7</v>
      </c>
      <c r="GG504" s="27" t="s">
        <v>8</v>
      </c>
      <c r="GH504" s="27" t="s">
        <v>7</v>
      </c>
      <c r="IA504" s="27" t="s">
        <v>8</v>
      </c>
      <c r="JO504" s="27" t="s">
        <v>8</v>
      </c>
      <c r="JP504" s="27" t="s">
        <v>7</v>
      </c>
      <c r="JQ504" s="27" t="s">
        <v>8</v>
      </c>
      <c r="JV504" s="27" t="s">
        <v>7</v>
      </c>
      <c r="KC504" s="27" t="s">
        <v>8</v>
      </c>
      <c r="KD504" s="27" t="s">
        <v>7</v>
      </c>
      <c r="KE504" s="27" t="s">
        <v>8</v>
      </c>
      <c r="KF504" s="27" t="s">
        <v>7</v>
      </c>
      <c r="KG504" s="27" t="s">
        <v>8</v>
      </c>
      <c r="KH504" s="27" t="s">
        <v>7</v>
      </c>
      <c r="KI504" s="27" t="s">
        <v>8</v>
      </c>
      <c r="KJ504" s="27" t="s">
        <v>7</v>
      </c>
      <c r="KK504" s="27" t="s">
        <v>8</v>
      </c>
      <c r="LL504" s="27" t="s">
        <v>7</v>
      </c>
      <c r="LM504" s="27" t="s">
        <v>8</v>
      </c>
      <c r="LN504" s="27" t="s">
        <v>7</v>
      </c>
      <c r="LO504" s="27" t="s">
        <v>8</v>
      </c>
      <c r="LX504" s="27" t="s">
        <v>7</v>
      </c>
      <c r="LY504" s="27" t="s">
        <v>8</v>
      </c>
      <c r="LZ504" s="27" t="s">
        <v>7</v>
      </c>
      <c r="MA504" s="27" t="s">
        <v>8</v>
      </c>
      <c r="MB504" s="27" t="s">
        <v>7</v>
      </c>
      <c r="MU504" s="27" t="s">
        <v>8</v>
      </c>
      <c r="MV504" s="27" t="s">
        <v>7</v>
      </c>
      <c r="MW504" s="27" t="s">
        <v>8</v>
      </c>
      <c r="MZ504" s="27" t="s">
        <v>7</v>
      </c>
      <c r="NA504" s="27" t="s">
        <v>8</v>
      </c>
      <c r="OV504" s="27" t="s">
        <v>7</v>
      </c>
      <c r="OW504" s="27" t="s">
        <v>8</v>
      </c>
      <c r="PJ504" s="27" t="s">
        <v>7</v>
      </c>
      <c r="PL504" s="27" t="s">
        <v>7</v>
      </c>
      <c r="PM504" s="27" t="s">
        <v>8</v>
      </c>
      <c r="PP504" s="27" t="s">
        <v>7</v>
      </c>
    </row>
    <row r="505" spans="1:436" x14ac:dyDescent="0.25">
      <c r="A505" s="7">
        <v>5.07240689800269</v>
      </c>
      <c r="B505"/>
      <c r="C505"/>
      <c r="D505"/>
      <c r="E505"/>
      <c r="GA505" s="27" t="s">
        <v>8</v>
      </c>
      <c r="GD505" s="27" t="s">
        <v>7</v>
      </c>
      <c r="GE505" s="27" t="s">
        <v>8</v>
      </c>
      <c r="GF505" s="27" t="s">
        <v>7</v>
      </c>
      <c r="GG505" s="27" t="s">
        <v>8</v>
      </c>
      <c r="GH505" s="27" t="s">
        <v>7</v>
      </c>
      <c r="IA505" s="27" t="s">
        <v>8</v>
      </c>
      <c r="IB505" s="27" t="s">
        <v>7</v>
      </c>
      <c r="JO505" s="27" t="s">
        <v>8</v>
      </c>
      <c r="JP505" s="27" t="s">
        <v>7</v>
      </c>
      <c r="JQ505" s="27" t="s">
        <v>8</v>
      </c>
      <c r="JV505" s="27" t="s">
        <v>7</v>
      </c>
      <c r="JW505" s="27" t="s">
        <v>8</v>
      </c>
      <c r="KC505" s="27" t="s">
        <v>8</v>
      </c>
      <c r="KD505" s="27" t="s">
        <v>7</v>
      </c>
      <c r="KE505" s="27" t="s">
        <v>8</v>
      </c>
      <c r="KF505" s="27" t="s">
        <v>7</v>
      </c>
      <c r="KG505" s="27" t="s">
        <v>8</v>
      </c>
      <c r="KH505" s="27" t="s">
        <v>7</v>
      </c>
      <c r="KI505" s="27" t="s">
        <v>8</v>
      </c>
      <c r="KJ505" s="27" t="s">
        <v>7</v>
      </c>
      <c r="KK505" s="27" t="s">
        <v>8</v>
      </c>
      <c r="LL505" s="27" t="s">
        <v>7</v>
      </c>
      <c r="LM505" s="27" t="s">
        <v>8</v>
      </c>
      <c r="LN505" s="27" t="s">
        <v>7</v>
      </c>
      <c r="LO505" s="27" t="s">
        <v>8</v>
      </c>
      <c r="LX505" s="27" t="s">
        <v>7</v>
      </c>
      <c r="LY505" s="27" t="s">
        <v>8</v>
      </c>
      <c r="LZ505" s="27" t="s">
        <v>7</v>
      </c>
      <c r="MA505" s="27" t="s">
        <v>8</v>
      </c>
      <c r="MB505" s="27" t="s">
        <v>7</v>
      </c>
      <c r="MU505" s="27" t="s">
        <v>8</v>
      </c>
      <c r="MV505" s="27" t="s">
        <v>7</v>
      </c>
      <c r="MW505" s="27" t="s">
        <v>8</v>
      </c>
      <c r="MZ505" s="27" t="s">
        <v>7</v>
      </c>
      <c r="NA505" s="27" t="s">
        <v>8</v>
      </c>
      <c r="OV505" s="27" t="s">
        <v>7</v>
      </c>
      <c r="OW505" s="27" t="s">
        <v>8</v>
      </c>
      <c r="PL505" s="27" t="s">
        <v>7</v>
      </c>
      <c r="PM505" s="27" t="s">
        <v>8</v>
      </c>
      <c r="PP505" s="27" t="s">
        <v>7</v>
      </c>
    </row>
    <row r="506" spans="1:436" x14ac:dyDescent="0.25">
      <c r="A506" s="7">
        <v>4.9729479392183231</v>
      </c>
      <c r="B506"/>
      <c r="C506"/>
      <c r="D506"/>
      <c r="E506"/>
      <c r="GA506" s="27" t="s">
        <v>8</v>
      </c>
      <c r="GD506" s="27" t="s">
        <v>7</v>
      </c>
      <c r="GE506" s="27" t="s">
        <v>8</v>
      </c>
      <c r="GF506" s="27" t="s">
        <v>7</v>
      </c>
      <c r="GG506" s="27" t="s">
        <v>8</v>
      </c>
      <c r="GH506" s="27" t="s">
        <v>7</v>
      </c>
      <c r="IA506" s="27" t="s">
        <v>8</v>
      </c>
      <c r="IB506" s="27" t="s">
        <v>7</v>
      </c>
      <c r="JO506" s="27" t="s">
        <v>8</v>
      </c>
      <c r="JP506" s="27" t="s">
        <v>7</v>
      </c>
      <c r="JQ506" s="27" t="s">
        <v>8</v>
      </c>
      <c r="JV506" s="27" t="s">
        <v>7</v>
      </c>
      <c r="JW506" s="27" t="s">
        <v>8</v>
      </c>
      <c r="JX506" s="27" t="s">
        <v>7</v>
      </c>
      <c r="KA506" s="27" t="s">
        <v>8</v>
      </c>
      <c r="KC506" s="27" t="s">
        <v>8</v>
      </c>
      <c r="KD506" s="27" t="s">
        <v>7</v>
      </c>
      <c r="KE506" s="27" t="s">
        <v>8</v>
      </c>
      <c r="KF506" s="27" t="s">
        <v>7</v>
      </c>
      <c r="KG506" s="27" t="s">
        <v>8</v>
      </c>
      <c r="KH506" s="27" t="s">
        <v>7</v>
      </c>
      <c r="KI506" s="27" t="s">
        <v>8</v>
      </c>
      <c r="KJ506" s="27" t="s">
        <v>7</v>
      </c>
      <c r="KK506" s="27" t="s">
        <v>8</v>
      </c>
      <c r="LL506" s="27" t="s">
        <v>7</v>
      </c>
      <c r="LM506" s="27" t="s">
        <v>8</v>
      </c>
      <c r="LN506" s="27" t="s">
        <v>7</v>
      </c>
      <c r="LO506" s="27" t="s">
        <v>8</v>
      </c>
      <c r="LX506" s="27" t="s">
        <v>7</v>
      </c>
      <c r="LY506" s="27" t="s">
        <v>8</v>
      </c>
      <c r="LZ506" s="27" t="s">
        <v>7</v>
      </c>
      <c r="MA506" s="27" t="s">
        <v>8</v>
      </c>
      <c r="MB506" s="27" t="s">
        <v>7</v>
      </c>
      <c r="MU506" s="27" t="s">
        <v>8</v>
      </c>
      <c r="MV506" s="27" t="s">
        <v>7</v>
      </c>
      <c r="MW506" s="27" t="s">
        <v>8</v>
      </c>
      <c r="MZ506" s="27" t="s">
        <v>7</v>
      </c>
      <c r="OV506" s="27" t="s">
        <v>7</v>
      </c>
      <c r="OW506" s="27" t="s">
        <v>8</v>
      </c>
      <c r="PL506" s="27" t="s">
        <v>7</v>
      </c>
      <c r="PM506" s="27" t="s">
        <v>8</v>
      </c>
      <c r="PP506" s="27" t="s">
        <v>7</v>
      </c>
    </row>
    <row r="507" spans="1:436" x14ac:dyDescent="0.25">
      <c r="A507" s="7">
        <v>4.8754391560963954</v>
      </c>
      <c r="B507"/>
      <c r="C507"/>
      <c r="D507"/>
      <c r="E507"/>
      <c r="GA507" s="27" t="s">
        <v>8</v>
      </c>
      <c r="GD507" s="27" t="s">
        <v>7</v>
      </c>
      <c r="GF507" s="27" t="s">
        <v>7</v>
      </c>
      <c r="GH507" s="27" t="s">
        <v>7</v>
      </c>
      <c r="IA507" s="27" t="s">
        <v>8</v>
      </c>
      <c r="IB507" s="27" t="s">
        <v>7</v>
      </c>
      <c r="JO507" s="27" t="s">
        <v>8</v>
      </c>
      <c r="JP507" s="27" t="s">
        <v>7</v>
      </c>
      <c r="JQ507" s="27" t="s">
        <v>8</v>
      </c>
      <c r="JV507" s="27" t="s">
        <v>7</v>
      </c>
      <c r="JW507" s="27" t="s">
        <v>8</v>
      </c>
      <c r="JX507" s="27" t="s">
        <v>7</v>
      </c>
      <c r="KA507" s="27" t="s">
        <v>8</v>
      </c>
      <c r="KB507" s="27" t="s">
        <v>7</v>
      </c>
      <c r="KC507" s="27" t="s">
        <v>8</v>
      </c>
      <c r="KD507" s="27" t="s">
        <v>7</v>
      </c>
      <c r="KF507" s="27" t="s">
        <v>7</v>
      </c>
      <c r="KH507" s="27" t="s">
        <v>7</v>
      </c>
      <c r="KI507" s="27" t="s">
        <v>8</v>
      </c>
      <c r="KJ507" s="27" t="s">
        <v>7</v>
      </c>
      <c r="KK507" s="27" t="s">
        <v>8</v>
      </c>
      <c r="LL507" s="27" t="s">
        <v>7</v>
      </c>
      <c r="LM507" s="27" t="s">
        <v>8</v>
      </c>
      <c r="LN507" s="27" t="s">
        <v>7</v>
      </c>
      <c r="LO507" s="27" t="s">
        <v>8</v>
      </c>
      <c r="LX507" s="27" t="s">
        <v>7</v>
      </c>
      <c r="LY507" s="27" t="s">
        <v>8</v>
      </c>
      <c r="LZ507" s="27" t="s">
        <v>7</v>
      </c>
      <c r="MA507" s="27" t="s">
        <v>8</v>
      </c>
      <c r="MB507" s="27" t="s">
        <v>7</v>
      </c>
      <c r="MU507" s="27" t="s">
        <v>8</v>
      </c>
      <c r="MV507" s="27" t="s">
        <v>7</v>
      </c>
      <c r="MW507" s="27" t="s">
        <v>8</v>
      </c>
      <c r="OV507" s="27" t="s">
        <v>7</v>
      </c>
      <c r="OW507" s="27" t="s">
        <v>8</v>
      </c>
      <c r="PL507" s="27" t="s">
        <v>7</v>
      </c>
      <c r="PP507" s="27" t="s">
        <v>7</v>
      </c>
    </row>
    <row r="508" spans="1:436" x14ac:dyDescent="0.25">
      <c r="A508" s="7">
        <v>4.7798423098984264</v>
      </c>
      <c r="B508"/>
      <c r="C508"/>
      <c r="D508"/>
      <c r="E508"/>
      <c r="GA508" s="27" t="s">
        <v>8</v>
      </c>
      <c r="GH508" s="27" t="s">
        <v>7</v>
      </c>
      <c r="IA508" s="27" t="s">
        <v>8</v>
      </c>
      <c r="IB508" s="27" t="s">
        <v>7</v>
      </c>
      <c r="JM508" s="27" t="s">
        <v>8</v>
      </c>
      <c r="JO508" s="27" t="s">
        <v>8</v>
      </c>
      <c r="JP508" s="27" t="s">
        <v>7</v>
      </c>
      <c r="JQ508" s="27" t="s">
        <v>8</v>
      </c>
      <c r="JV508" s="27" t="s">
        <v>7</v>
      </c>
      <c r="JW508" s="27" t="s">
        <v>8</v>
      </c>
      <c r="JX508" s="27" t="s">
        <v>7</v>
      </c>
      <c r="KA508" s="27" t="s">
        <v>8</v>
      </c>
      <c r="KB508" s="27" t="s">
        <v>7</v>
      </c>
      <c r="KC508" s="27" t="s">
        <v>8</v>
      </c>
      <c r="KH508" s="27" t="s">
        <v>7</v>
      </c>
      <c r="KJ508" s="27" t="s">
        <v>7</v>
      </c>
      <c r="LL508" s="27" t="s">
        <v>7</v>
      </c>
      <c r="LM508" s="27" t="s">
        <v>8</v>
      </c>
      <c r="LN508" s="27" t="s">
        <v>7</v>
      </c>
      <c r="LO508" s="27" t="s">
        <v>8</v>
      </c>
      <c r="LX508" s="27" t="s">
        <v>7</v>
      </c>
      <c r="LZ508" s="27" t="s">
        <v>7</v>
      </c>
      <c r="MA508" s="27" t="s">
        <v>8</v>
      </c>
      <c r="MB508" s="27" t="s">
        <v>7</v>
      </c>
      <c r="MG508" s="27" t="s">
        <v>8</v>
      </c>
      <c r="MU508" s="27" t="s">
        <v>8</v>
      </c>
      <c r="MV508" s="27" t="s">
        <v>7</v>
      </c>
      <c r="MW508" s="27" t="s">
        <v>8</v>
      </c>
      <c r="OV508" s="27" t="s">
        <v>7</v>
      </c>
      <c r="PP508" s="27" t="s">
        <v>7</v>
      </c>
    </row>
    <row r="509" spans="1:436" x14ac:dyDescent="0.25">
      <c r="A509" s="7">
        <v>4.6861199116651235</v>
      </c>
      <c r="B509"/>
      <c r="C509"/>
      <c r="D509"/>
      <c r="E509"/>
      <c r="GA509" s="27" t="s">
        <v>8</v>
      </c>
      <c r="GH509" s="27" t="s">
        <v>7</v>
      </c>
      <c r="IA509" s="27" t="s">
        <v>8</v>
      </c>
      <c r="IB509" s="27" t="s">
        <v>7</v>
      </c>
      <c r="JM509" s="27" t="s">
        <v>8</v>
      </c>
      <c r="JN509" s="27" t="s">
        <v>7</v>
      </c>
      <c r="JO509" s="27" t="s">
        <v>8</v>
      </c>
      <c r="JP509" s="27" t="s">
        <v>7</v>
      </c>
      <c r="JQ509" s="27" t="s">
        <v>8</v>
      </c>
      <c r="JV509" s="27" t="s">
        <v>7</v>
      </c>
      <c r="JW509" s="27" t="s">
        <v>8</v>
      </c>
      <c r="JX509" s="27" t="s">
        <v>7</v>
      </c>
      <c r="JY509" s="27" t="s">
        <v>8</v>
      </c>
      <c r="KA509" s="27" t="s">
        <v>8</v>
      </c>
      <c r="KB509" s="27" t="s">
        <v>7</v>
      </c>
      <c r="KC509" s="27" t="s">
        <v>8</v>
      </c>
      <c r="LL509" s="27" t="s">
        <v>7</v>
      </c>
      <c r="LM509" s="27" t="s">
        <v>8</v>
      </c>
      <c r="LN509" s="27" t="s">
        <v>7</v>
      </c>
      <c r="LO509" s="27" t="s">
        <v>8</v>
      </c>
      <c r="LZ509" s="27" t="s">
        <v>7</v>
      </c>
      <c r="MA509" s="27" t="s">
        <v>8</v>
      </c>
      <c r="MB509" s="27" t="s">
        <v>7</v>
      </c>
      <c r="MG509" s="27" t="s">
        <v>8</v>
      </c>
      <c r="MH509" s="27" t="s">
        <v>7</v>
      </c>
      <c r="MI509" s="27" t="s">
        <v>8</v>
      </c>
      <c r="MS509" s="27" t="s">
        <v>8</v>
      </c>
      <c r="MU509" s="27" t="s">
        <v>8</v>
      </c>
      <c r="MV509" s="27" t="s">
        <v>7</v>
      </c>
      <c r="PP509" s="27" t="s">
        <v>7</v>
      </c>
    </row>
    <row r="510" spans="1:436" x14ac:dyDescent="0.25">
      <c r="A510" s="7">
        <v>4.5942352075148269</v>
      </c>
      <c r="B510"/>
      <c r="C510"/>
      <c r="D510"/>
      <c r="E510"/>
      <c r="GA510" s="27" t="s">
        <v>8</v>
      </c>
      <c r="GH510" s="27" t="s">
        <v>7</v>
      </c>
      <c r="IA510" s="27" t="s">
        <v>8</v>
      </c>
      <c r="IB510" s="27" t="s">
        <v>7</v>
      </c>
      <c r="JM510" s="27" t="s">
        <v>8</v>
      </c>
      <c r="JN510" s="27" t="s">
        <v>7</v>
      </c>
      <c r="JO510" s="27" t="s">
        <v>8</v>
      </c>
      <c r="JP510" s="27" t="s">
        <v>7</v>
      </c>
      <c r="JQ510" s="27" t="s">
        <v>8</v>
      </c>
      <c r="JV510" s="27" t="s">
        <v>7</v>
      </c>
      <c r="JW510" s="27" t="s">
        <v>8</v>
      </c>
      <c r="JX510" s="27" t="s">
        <v>7</v>
      </c>
      <c r="JY510" s="27" t="s">
        <v>8</v>
      </c>
      <c r="JZ510" s="27" t="s">
        <v>7</v>
      </c>
      <c r="KA510" s="27" t="s">
        <v>8</v>
      </c>
      <c r="KB510" s="27" t="s">
        <v>7</v>
      </c>
      <c r="KC510" s="27" t="s">
        <v>8</v>
      </c>
      <c r="LL510" s="27" t="s">
        <v>7</v>
      </c>
      <c r="LM510" s="27" t="s">
        <v>8</v>
      </c>
      <c r="LN510" s="27" t="s">
        <v>7</v>
      </c>
      <c r="LO510" s="27" t="s">
        <v>8</v>
      </c>
      <c r="LZ510" s="27" t="s">
        <v>7</v>
      </c>
      <c r="MA510" s="27" t="s">
        <v>8</v>
      </c>
      <c r="MB510" s="27" t="s">
        <v>7</v>
      </c>
      <c r="MG510" s="27" t="s">
        <v>8</v>
      </c>
      <c r="MH510" s="27" t="s">
        <v>7</v>
      </c>
      <c r="MI510" s="27" t="s">
        <v>8</v>
      </c>
      <c r="MJ510" s="27" t="s">
        <v>7</v>
      </c>
      <c r="MS510" s="27" t="s">
        <v>8</v>
      </c>
      <c r="MT510" s="27" t="s">
        <v>7</v>
      </c>
      <c r="MU510" s="27" t="s">
        <v>8</v>
      </c>
      <c r="PP510" s="27" t="s">
        <v>7</v>
      </c>
    </row>
    <row r="511" spans="1:436" x14ac:dyDescent="0.25">
      <c r="A511" s="7">
        <v>4.5041521642302227</v>
      </c>
      <c r="B511"/>
      <c r="C511"/>
      <c r="D511"/>
      <c r="E511"/>
      <c r="GA511" s="27" t="s">
        <v>8</v>
      </c>
      <c r="GH511" s="27" t="s">
        <v>7</v>
      </c>
      <c r="GI511" s="27" t="s">
        <v>8</v>
      </c>
      <c r="IA511" s="27" t="s">
        <v>8</v>
      </c>
      <c r="IB511" s="27" t="s">
        <v>7</v>
      </c>
      <c r="JM511" s="27" t="s">
        <v>8</v>
      </c>
      <c r="JN511" s="27" t="s">
        <v>7</v>
      </c>
      <c r="JO511" s="27" t="s">
        <v>8</v>
      </c>
      <c r="JP511" s="27" t="s">
        <v>7</v>
      </c>
      <c r="JQ511" s="27" t="s">
        <v>8</v>
      </c>
      <c r="JV511" s="27" t="s">
        <v>7</v>
      </c>
      <c r="JW511" s="27" t="s">
        <v>8</v>
      </c>
      <c r="JX511" s="27" t="s">
        <v>7</v>
      </c>
      <c r="JY511" s="27" t="s">
        <v>8</v>
      </c>
      <c r="JZ511" s="27" t="s">
        <v>7</v>
      </c>
      <c r="KA511" s="27" t="s">
        <v>8</v>
      </c>
      <c r="KB511" s="27" t="s">
        <v>7</v>
      </c>
      <c r="KC511" s="27" t="s">
        <v>8</v>
      </c>
      <c r="LL511" s="27" t="s">
        <v>7</v>
      </c>
      <c r="LM511" s="27" t="s">
        <v>8</v>
      </c>
      <c r="LN511" s="27" t="s">
        <v>7</v>
      </c>
      <c r="LO511" s="27" t="s">
        <v>8</v>
      </c>
      <c r="LZ511" s="27" t="s">
        <v>7</v>
      </c>
      <c r="MA511" s="27" t="s">
        <v>8</v>
      </c>
      <c r="MB511" s="27" t="s">
        <v>7</v>
      </c>
      <c r="ME511" s="27" t="s">
        <v>8</v>
      </c>
      <c r="MG511" s="27" t="s">
        <v>8</v>
      </c>
      <c r="MH511" s="27" t="s">
        <v>7</v>
      </c>
      <c r="MI511" s="27" t="s">
        <v>8</v>
      </c>
      <c r="MJ511" s="27" t="s">
        <v>7</v>
      </c>
      <c r="MS511" s="27" t="s">
        <v>8</v>
      </c>
      <c r="MT511" s="27" t="s">
        <v>7</v>
      </c>
      <c r="MU511" s="27" t="s">
        <v>8</v>
      </c>
      <c r="PP511" s="27" t="s">
        <v>7</v>
      </c>
      <c r="PS511" s="27" t="s">
        <v>8</v>
      </c>
    </row>
    <row r="512" spans="1:436" x14ac:dyDescent="0.25">
      <c r="A512" s="7">
        <v>4.4158354551276693</v>
      </c>
      <c r="B512"/>
      <c r="C512"/>
      <c r="D512"/>
      <c r="E512"/>
      <c r="GA512" s="27" t="s">
        <v>8</v>
      </c>
      <c r="GH512" s="27" t="s">
        <v>7</v>
      </c>
      <c r="GI512" s="27" t="s">
        <v>8</v>
      </c>
      <c r="GJ512" s="27" t="s">
        <v>7</v>
      </c>
      <c r="GW512" s="27" t="s">
        <v>8</v>
      </c>
      <c r="IA512" s="27" t="s">
        <v>8</v>
      </c>
      <c r="IB512" s="27" t="s">
        <v>7</v>
      </c>
      <c r="JE512" s="27" t="s">
        <v>8</v>
      </c>
      <c r="JK512" s="27" t="s">
        <v>8</v>
      </c>
      <c r="JM512" s="27" t="s">
        <v>8</v>
      </c>
      <c r="JN512" s="27" t="s">
        <v>7</v>
      </c>
      <c r="JO512" s="27" t="s">
        <v>8</v>
      </c>
      <c r="JP512" s="27" t="s">
        <v>7</v>
      </c>
      <c r="JQ512" s="27" t="s">
        <v>8</v>
      </c>
      <c r="JV512" s="27" t="s">
        <v>7</v>
      </c>
      <c r="JW512" s="27" t="s">
        <v>8</v>
      </c>
      <c r="JX512" s="27" t="s">
        <v>7</v>
      </c>
      <c r="JY512" s="27" t="s">
        <v>8</v>
      </c>
      <c r="JZ512" s="27" t="s">
        <v>7</v>
      </c>
      <c r="KA512" s="27" t="s">
        <v>8</v>
      </c>
      <c r="KB512" s="27" t="s">
        <v>7</v>
      </c>
      <c r="KC512" s="27" t="s">
        <v>8</v>
      </c>
      <c r="LL512" s="27" t="s">
        <v>7</v>
      </c>
      <c r="LM512" s="27" t="s">
        <v>8</v>
      </c>
      <c r="LN512" s="27" t="s">
        <v>7</v>
      </c>
      <c r="LO512" s="27" t="s">
        <v>8</v>
      </c>
      <c r="LZ512" s="27" t="s">
        <v>7</v>
      </c>
      <c r="MB512" s="27" t="s">
        <v>7</v>
      </c>
      <c r="ME512" s="27" t="s">
        <v>8</v>
      </c>
      <c r="MF512" s="27" t="s">
        <v>7</v>
      </c>
      <c r="MG512" s="27" t="s">
        <v>8</v>
      </c>
      <c r="MH512" s="27" t="s">
        <v>7</v>
      </c>
      <c r="MJ512" s="27" t="s">
        <v>7</v>
      </c>
      <c r="MS512" s="27" t="s">
        <v>8</v>
      </c>
      <c r="MT512" s="27" t="s">
        <v>7</v>
      </c>
      <c r="MU512" s="27" t="s">
        <v>8</v>
      </c>
      <c r="PP512" s="27" t="s">
        <v>7</v>
      </c>
      <c r="PQ512" s="27" t="s">
        <v>8</v>
      </c>
      <c r="PS512" s="27" t="s">
        <v>8</v>
      </c>
      <c r="PT512" s="27" t="s">
        <v>7</v>
      </c>
    </row>
    <row r="513" spans="1:436" x14ac:dyDescent="0.25">
      <c r="A513" s="7">
        <v>4.3292504462035977</v>
      </c>
      <c r="B513"/>
      <c r="C513"/>
      <c r="D513"/>
      <c r="E513"/>
      <c r="GA513" s="27" t="s">
        <v>8</v>
      </c>
      <c r="GH513" s="27" t="s">
        <v>7</v>
      </c>
      <c r="GI513" s="27" t="s">
        <v>8</v>
      </c>
      <c r="GJ513" s="27" t="s">
        <v>7</v>
      </c>
      <c r="GW513" s="27" t="s">
        <v>8</v>
      </c>
      <c r="GX513" s="27" t="s">
        <v>7</v>
      </c>
      <c r="GY513" s="27" t="s">
        <v>8</v>
      </c>
      <c r="HY513" s="27" t="s">
        <v>8</v>
      </c>
      <c r="IA513" s="27" t="s">
        <v>8</v>
      </c>
      <c r="IB513" s="27" t="s">
        <v>7</v>
      </c>
      <c r="IG513" s="27" t="s">
        <v>8</v>
      </c>
      <c r="JE513" s="27" t="s">
        <v>8</v>
      </c>
      <c r="JF513" s="27" t="s">
        <v>7</v>
      </c>
      <c r="JK513" s="27" t="s">
        <v>8</v>
      </c>
      <c r="JL513" s="27" t="s">
        <v>7</v>
      </c>
      <c r="JM513" s="27" t="s">
        <v>8</v>
      </c>
      <c r="JN513" s="27" t="s">
        <v>7</v>
      </c>
      <c r="JO513" s="27" t="s">
        <v>8</v>
      </c>
      <c r="JP513" s="27" t="s">
        <v>7</v>
      </c>
      <c r="JV513" s="27" t="s">
        <v>7</v>
      </c>
      <c r="JW513" s="27" t="s">
        <v>8</v>
      </c>
      <c r="JX513" s="27" t="s">
        <v>7</v>
      </c>
      <c r="JY513" s="27" t="s">
        <v>8</v>
      </c>
      <c r="JZ513" s="27" t="s">
        <v>7</v>
      </c>
      <c r="KA513" s="27" t="s">
        <v>8</v>
      </c>
      <c r="KB513" s="27" t="s">
        <v>7</v>
      </c>
      <c r="LL513" s="27" t="s">
        <v>7</v>
      </c>
      <c r="LM513" s="27" t="s">
        <v>8</v>
      </c>
      <c r="LN513" s="27" t="s">
        <v>7</v>
      </c>
      <c r="LO513" s="27" t="s">
        <v>8</v>
      </c>
      <c r="MB513" s="27" t="s">
        <v>7</v>
      </c>
      <c r="ME513" s="27" t="s">
        <v>8</v>
      </c>
      <c r="MF513" s="27" t="s">
        <v>7</v>
      </c>
      <c r="MG513" s="27" t="s">
        <v>8</v>
      </c>
      <c r="MJ513" s="27" t="s">
        <v>7</v>
      </c>
      <c r="MS513" s="27" t="s">
        <v>8</v>
      </c>
      <c r="MT513" s="27" t="s">
        <v>7</v>
      </c>
      <c r="MU513" s="27" t="s">
        <v>8</v>
      </c>
      <c r="PP513" s="27" t="s">
        <v>7</v>
      </c>
      <c r="PQ513" s="27" t="s">
        <v>8</v>
      </c>
      <c r="PR513" s="27" t="s">
        <v>7</v>
      </c>
      <c r="PS513" s="27" t="s">
        <v>8</v>
      </c>
      <c r="PT513" s="27" t="s">
        <v>7</v>
      </c>
    </row>
    <row r="514" spans="1:436" x14ac:dyDescent="0.25">
      <c r="A514" s="7">
        <v>4.2443631825525463</v>
      </c>
      <c r="B514"/>
      <c r="C514"/>
      <c r="D514"/>
      <c r="E514"/>
      <c r="GA514" s="27" t="s">
        <v>8</v>
      </c>
      <c r="GH514" s="27" t="s">
        <v>7</v>
      </c>
      <c r="GI514" s="27" t="s">
        <v>8</v>
      </c>
      <c r="GJ514" s="27" t="s">
        <v>7</v>
      </c>
      <c r="GW514" s="27" t="s">
        <v>8</v>
      </c>
      <c r="GX514" s="27" t="s">
        <v>7</v>
      </c>
      <c r="GY514" s="27" t="s">
        <v>8</v>
      </c>
      <c r="GZ514" s="27" t="s">
        <v>7</v>
      </c>
      <c r="HY514" s="27" t="s">
        <v>8</v>
      </c>
      <c r="HZ514" s="27" t="s">
        <v>7</v>
      </c>
      <c r="IA514" s="27" t="s">
        <v>8</v>
      </c>
      <c r="IB514" s="27" t="s">
        <v>7</v>
      </c>
      <c r="IG514" s="27" t="s">
        <v>8</v>
      </c>
      <c r="IH514" s="27" t="s">
        <v>7</v>
      </c>
      <c r="JE514" s="27" t="s">
        <v>8</v>
      </c>
      <c r="JF514" s="27" t="s">
        <v>7</v>
      </c>
      <c r="JK514" s="27" t="s">
        <v>8</v>
      </c>
      <c r="JL514" s="27" t="s">
        <v>7</v>
      </c>
      <c r="JM514" s="27" t="s">
        <v>8</v>
      </c>
      <c r="JN514" s="27" t="s">
        <v>7</v>
      </c>
      <c r="JO514" s="27" t="s">
        <v>8</v>
      </c>
      <c r="JV514" s="27" t="s">
        <v>7</v>
      </c>
      <c r="JW514" s="27" t="s">
        <v>8</v>
      </c>
      <c r="JX514" s="27" t="s">
        <v>7</v>
      </c>
      <c r="JY514" s="27" t="s">
        <v>8</v>
      </c>
      <c r="JZ514" s="27" t="s">
        <v>7</v>
      </c>
      <c r="KA514" s="27" t="s">
        <v>8</v>
      </c>
      <c r="LL514" s="27" t="s">
        <v>7</v>
      </c>
      <c r="LN514" s="27" t="s">
        <v>7</v>
      </c>
      <c r="LO514" s="27" t="s">
        <v>8</v>
      </c>
      <c r="MB514" s="27" t="s">
        <v>7</v>
      </c>
      <c r="ME514" s="27" t="s">
        <v>8</v>
      </c>
      <c r="MF514" s="27" t="s">
        <v>7</v>
      </c>
      <c r="MG514" s="27" t="s">
        <v>8</v>
      </c>
      <c r="MJ514" s="27" t="s">
        <v>7</v>
      </c>
      <c r="MK514" s="27" t="s">
        <v>8</v>
      </c>
      <c r="MS514" s="27" t="s">
        <v>8</v>
      </c>
      <c r="MT514" s="27" t="s">
        <v>7</v>
      </c>
      <c r="MU514" s="27" t="s">
        <v>8</v>
      </c>
      <c r="PP514" s="27" t="s">
        <v>7</v>
      </c>
      <c r="PQ514" s="27" t="s">
        <v>8</v>
      </c>
      <c r="PR514" s="27" t="s">
        <v>7</v>
      </c>
      <c r="PS514" s="27" t="s">
        <v>8</v>
      </c>
      <c r="PT514" s="27" t="s">
        <v>7</v>
      </c>
    </row>
    <row r="515" spans="1:436" x14ac:dyDescent="0.25">
      <c r="A515" s="7">
        <v>4.1611403750515157</v>
      </c>
      <c r="B515"/>
      <c r="C515"/>
      <c r="D515"/>
      <c r="E515"/>
      <c r="GA515" s="27" t="s">
        <v>8</v>
      </c>
      <c r="GH515" s="27" t="s">
        <v>7</v>
      </c>
      <c r="GI515" s="27" t="s">
        <v>8</v>
      </c>
      <c r="GJ515" s="27" t="s">
        <v>7</v>
      </c>
      <c r="GM515" s="27" t="s">
        <v>8</v>
      </c>
      <c r="GW515" s="27" t="s">
        <v>8</v>
      </c>
      <c r="GX515" s="27" t="s">
        <v>7</v>
      </c>
      <c r="GY515" s="27" t="s">
        <v>8</v>
      </c>
      <c r="GZ515" s="27" t="s">
        <v>7</v>
      </c>
      <c r="HY515" s="27" t="s">
        <v>8</v>
      </c>
      <c r="HZ515" s="27" t="s">
        <v>7</v>
      </c>
      <c r="IA515" s="27" t="s">
        <v>8</v>
      </c>
      <c r="IB515" s="27" t="s">
        <v>7</v>
      </c>
      <c r="IG515" s="27" t="s">
        <v>8</v>
      </c>
      <c r="IH515" s="27" t="s">
        <v>7</v>
      </c>
      <c r="JE515" s="27" t="s">
        <v>8</v>
      </c>
      <c r="JF515" s="27" t="s">
        <v>7</v>
      </c>
      <c r="JK515" s="27" t="s">
        <v>8</v>
      </c>
      <c r="JL515" s="27" t="s">
        <v>7</v>
      </c>
      <c r="JM515" s="27" t="s">
        <v>8</v>
      </c>
      <c r="JN515" s="27" t="s">
        <v>7</v>
      </c>
      <c r="JV515" s="27" t="s">
        <v>7</v>
      </c>
      <c r="JW515" s="27" t="s">
        <v>8</v>
      </c>
      <c r="JX515" s="27" t="s">
        <v>7</v>
      </c>
      <c r="JZ515" s="27" t="s">
        <v>7</v>
      </c>
      <c r="KA515" s="27" t="s">
        <v>8</v>
      </c>
      <c r="LN515" s="27" t="s">
        <v>7</v>
      </c>
      <c r="LO515" s="27" t="s">
        <v>8</v>
      </c>
      <c r="MB515" s="27" t="s">
        <v>7</v>
      </c>
      <c r="ME515" s="27" t="s">
        <v>8</v>
      </c>
      <c r="MF515" s="27" t="s">
        <v>7</v>
      </c>
      <c r="MG515" s="27" t="s">
        <v>8</v>
      </c>
      <c r="MJ515" s="27" t="s">
        <v>7</v>
      </c>
      <c r="MK515" s="27" t="s">
        <v>8</v>
      </c>
      <c r="ML515" s="27" t="s">
        <v>7</v>
      </c>
      <c r="MS515" s="27" t="s">
        <v>8</v>
      </c>
      <c r="MT515" s="27" t="s">
        <v>7</v>
      </c>
      <c r="MU515" s="27" t="s">
        <v>8</v>
      </c>
      <c r="PP515" s="27" t="s">
        <v>7</v>
      </c>
      <c r="PQ515" s="27" t="s">
        <v>8</v>
      </c>
      <c r="PR515" s="27" t="s">
        <v>7</v>
      </c>
      <c r="PS515" s="27" t="s">
        <v>8</v>
      </c>
      <c r="PT515" s="27" t="s">
        <v>7</v>
      </c>
    </row>
    <row r="516" spans="1:436" x14ac:dyDescent="0.25">
      <c r="A516" s="7">
        <v>4.0795493873054074</v>
      </c>
      <c r="B516"/>
      <c r="C516"/>
      <c r="D516"/>
      <c r="E516"/>
      <c r="GA516" s="27" t="s">
        <v>8</v>
      </c>
      <c r="GH516" s="27" t="s">
        <v>7</v>
      </c>
      <c r="GI516" s="27" t="s">
        <v>8</v>
      </c>
      <c r="GJ516" s="27" t="s">
        <v>7</v>
      </c>
      <c r="GM516" s="27" t="s">
        <v>8</v>
      </c>
      <c r="GN516" s="27" t="s">
        <v>7</v>
      </c>
      <c r="GW516" s="27" t="s">
        <v>8</v>
      </c>
      <c r="GX516" s="27" t="s">
        <v>7</v>
      </c>
      <c r="GY516" s="27" t="s">
        <v>8</v>
      </c>
      <c r="GZ516" s="27" t="s">
        <v>7</v>
      </c>
      <c r="HY516" s="27" t="s">
        <v>8</v>
      </c>
      <c r="HZ516" s="27" t="s">
        <v>7</v>
      </c>
      <c r="IA516" s="27" t="s">
        <v>8</v>
      </c>
      <c r="IB516" s="27" t="s">
        <v>7</v>
      </c>
      <c r="IE516" s="27" t="s">
        <v>8</v>
      </c>
      <c r="IG516" s="27" t="s">
        <v>8</v>
      </c>
      <c r="IH516" s="27" t="s">
        <v>7</v>
      </c>
      <c r="JA516" s="27" t="s">
        <v>8</v>
      </c>
      <c r="JE516" s="27" t="s">
        <v>8</v>
      </c>
      <c r="JF516" s="27" t="s">
        <v>7</v>
      </c>
      <c r="JK516" s="27" t="s">
        <v>8</v>
      </c>
      <c r="JL516" s="27" t="s">
        <v>7</v>
      </c>
      <c r="JM516" s="27" t="s">
        <v>8</v>
      </c>
      <c r="JV516" s="27" t="s">
        <v>7</v>
      </c>
      <c r="JW516" s="27" t="s">
        <v>8</v>
      </c>
      <c r="JZ516" s="27" t="s">
        <v>7</v>
      </c>
      <c r="KA516" s="27" t="s">
        <v>8</v>
      </c>
      <c r="LN516" s="27" t="s">
        <v>7</v>
      </c>
      <c r="LO516" s="27" t="s">
        <v>8</v>
      </c>
      <c r="MB516" s="27" t="s">
        <v>7</v>
      </c>
      <c r="ME516" s="27" t="s">
        <v>8</v>
      </c>
      <c r="MF516" s="27" t="s">
        <v>7</v>
      </c>
      <c r="MG516" s="27" t="s">
        <v>8</v>
      </c>
      <c r="MJ516" s="27" t="s">
        <v>7</v>
      </c>
      <c r="MK516" s="27" t="s">
        <v>8</v>
      </c>
      <c r="ML516" s="27" t="s">
        <v>7</v>
      </c>
      <c r="MQ516" s="27" t="s">
        <v>8</v>
      </c>
      <c r="MS516" s="27" t="s">
        <v>8</v>
      </c>
      <c r="MT516" s="27" t="s">
        <v>7</v>
      </c>
      <c r="PP516" s="27" t="s">
        <v>7</v>
      </c>
      <c r="PQ516" s="27" t="s">
        <v>8</v>
      </c>
      <c r="PR516" s="27" t="s">
        <v>7</v>
      </c>
      <c r="PS516" s="27" t="s">
        <v>8</v>
      </c>
    </row>
    <row r="517" spans="1:436" x14ac:dyDescent="0.25">
      <c r="A517" s="7">
        <v>3.9995582228484383</v>
      </c>
      <c r="B517"/>
      <c r="C517"/>
      <c r="D517"/>
      <c r="E517"/>
      <c r="GA517" s="27" t="s">
        <v>8</v>
      </c>
      <c r="GH517" s="27" t="s">
        <v>7</v>
      </c>
      <c r="GI517" s="27" t="s">
        <v>8</v>
      </c>
      <c r="GJ517" s="27" t="s">
        <v>7</v>
      </c>
      <c r="GK517" s="27" t="s">
        <v>8</v>
      </c>
      <c r="GM517" s="27" t="s">
        <v>8</v>
      </c>
      <c r="GN517" s="27" t="s">
        <v>7</v>
      </c>
      <c r="GO517" s="27" t="s">
        <v>8</v>
      </c>
      <c r="GW517" s="27" t="s">
        <v>8</v>
      </c>
      <c r="GX517" s="27" t="s">
        <v>7</v>
      </c>
      <c r="GY517" s="27" t="s">
        <v>8</v>
      </c>
      <c r="GZ517" s="27" t="s">
        <v>7</v>
      </c>
      <c r="HY517" s="27" t="s">
        <v>8</v>
      </c>
      <c r="HZ517" s="27" t="s">
        <v>7</v>
      </c>
      <c r="IA517" s="27" t="s">
        <v>8</v>
      </c>
      <c r="IB517" s="27" t="s">
        <v>7</v>
      </c>
      <c r="IE517" s="27" t="s">
        <v>8</v>
      </c>
      <c r="IF517" s="27" t="s">
        <v>7</v>
      </c>
      <c r="IG517" s="27" t="s">
        <v>8</v>
      </c>
      <c r="IH517" s="27" t="s">
        <v>7</v>
      </c>
      <c r="JA517" s="27" t="s">
        <v>8</v>
      </c>
      <c r="JB517" s="27" t="s">
        <v>7</v>
      </c>
      <c r="JE517" s="27" t="s">
        <v>8</v>
      </c>
      <c r="JF517" s="27" t="s">
        <v>7</v>
      </c>
      <c r="JK517" s="27" t="s">
        <v>8</v>
      </c>
      <c r="JL517" s="27" t="s">
        <v>7</v>
      </c>
      <c r="JM517" s="27" t="s">
        <v>8</v>
      </c>
      <c r="JV517" s="27" t="s">
        <v>7</v>
      </c>
      <c r="JW517" s="27" t="s">
        <v>8</v>
      </c>
      <c r="JZ517" s="27" t="s">
        <v>7</v>
      </c>
      <c r="LN517" s="27" t="s">
        <v>7</v>
      </c>
      <c r="LO517" s="27" t="s">
        <v>8</v>
      </c>
      <c r="MB517" s="27" t="s">
        <v>7</v>
      </c>
      <c r="MC517" s="27" t="s">
        <v>8</v>
      </c>
      <c r="ME517" s="27" t="s">
        <v>8</v>
      </c>
      <c r="MF517" s="27" t="s">
        <v>7</v>
      </c>
      <c r="MG517" s="27" t="s">
        <v>8</v>
      </c>
      <c r="MJ517" s="27" t="s">
        <v>7</v>
      </c>
      <c r="MK517" s="27" t="s">
        <v>8</v>
      </c>
      <c r="ML517" s="27" t="s">
        <v>7</v>
      </c>
      <c r="MQ517" s="27" t="s">
        <v>8</v>
      </c>
      <c r="MR517" s="27" t="s">
        <v>7</v>
      </c>
      <c r="MS517" s="27" t="s">
        <v>8</v>
      </c>
      <c r="PP517" s="27" t="s">
        <v>7</v>
      </c>
      <c r="PQ517" s="27" t="s">
        <v>8</v>
      </c>
      <c r="PR517" s="27" t="s">
        <v>7</v>
      </c>
      <c r="PS517" s="27" t="s">
        <v>8</v>
      </c>
    </row>
    <row r="518" spans="1:436" x14ac:dyDescent="0.25">
      <c r="A518" s="7">
        <v>3.9211355125965079</v>
      </c>
      <c r="B518"/>
      <c r="C518"/>
      <c r="D518"/>
      <c r="E518"/>
      <c r="GA518" s="27" t="s">
        <v>8</v>
      </c>
      <c r="GH518" s="27" t="s">
        <v>7</v>
      </c>
      <c r="GI518" s="27" t="s">
        <v>8</v>
      </c>
      <c r="GJ518" s="27" t="s">
        <v>7</v>
      </c>
      <c r="GK518" s="27" t="s">
        <v>8</v>
      </c>
      <c r="GL518" s="27" t="s">
        <v>7</v>
      </c>
      <c r="GM518" s="27" t="s">
        <v>8</v>
      </c>
      <c r="GN518" s="27" t="s">
        <v>7</v>
      </c>
      <c r="GO518" s="27" t="s">
        <v>8</v>
      </c>
      <c r="GP518" s="27" t="s">
        <v>7</v>
      </c>
      <c r="GW518" s="27" t="s">
        <v>8</v>
      </c>
      <c r="GX518" s="27" t="s">
        <v>7</v>
      </c>
      <c r="GY518" s="27" t="s">
        <v>8</v>
      </c>
      <c r="GZ518" s="27" t="s">
        <v>7</v>
      </c>
      <c r="HE518" s="27" t="s">
        <v>8</v>
      </c>
      <c r="HY518" s="27" t="s">
        <v>8</v>
      </c>
      <c r="HZ518" s="27" t="s">
        <v>7</v>
      </c>
      <c r="IA518" s="27" t="s">
        <v>8</v>
      </c>
      <c r="IB518" s="27" t="s">
        <v>7</v>
      </c>
      <c r="IC518" s="27" t="s">
        <v>8</v>
      </c>
      <c r="IE518" s="27" t="s">
        <v>8</v>
      </c>
      <c r="IF518" s="27" t="s">
        <v>7</v>
      </c>
      <c r="IG518" s="27" t="s">
        <v>8</v>
      </c>
      <c r="IH518" s="27" t="s">
        <v>7</v>
      </c>
      <c r="IY518" s="27" t="s">
        <v>8</v>
      </c>
      <c r="JA518" s="27" t="s">
        <v>8</v>
      </c>
      <c r="JB518" s="27" t="s">
        <v>7</v>
      </c>
      <c r="JE518" s="27" t="s">
        <v>8</v>
      </c>
      <c r="JF518" s="27" t="s">
        <v>7</v>
      </c>
      <c r="JK518" s="27" t="s">
        <v>8</v>
      </c>
      <c r="JL518" s="27" t="s">
        <v>7</v>
      </c>
      <c r="JM518" s="27" t="s">
        <v>8</v>
      </c>
      <c r="JV518" s="27" t="s">
        <v>7</v>
      </c>
      <c r="JW518" s="27" t="s">
        <v>8</v>
      </c>
      <c r="LN518" s="27" t="s">
        <v>7</v>
      </c>
      <c r="LO518" s="27" t="s">
        <v>8</v>
      </c>
      <c r="MB518" s="27" t="s">
        <v>7</v>
      </c>
      <c r="MC518" s="27" t="s">
        <v>8</v>
      </c>
      <c r="MD518" s="27" t="s">
        <v>7</v>
      </c>
      <c r="ME518" s="27" t="s">
        <v>8</v>
      </c>
      <c r="MF518" s="27" t="s">
        <v>7</v>
      </c>
      <c r="MJ518" s="27" t="s">
        <v>7</v>
      </c>
      <c r="MK518" s="27" t="s">
        <v>8</v>
      </c>
      <c r="ML518" s="27" t="s">
        <v>7</v>
      </c>
      <c r="MM518" s="27" t="s">
        <v>8</v>
      </c>
      <c r="MQ518" s="27" t="s">
        <v>8</v>
      </c>
      <c r="MR518" s="27" t="s">
        <v>7</v>
      </c>
      <c r="MS518" s="27" t="s">
        <v>8</v>
      </c>
      <c r="PP518" s="27" t="s">
        <v>7</v>
      </c>
      <c r="PR518" s="27" t="s">
        <v>7</v>
      </c>
      <c r="PS518" s="27" t="s">
        <v>8</v>
      </c>
    </row>
    <row r="519" spans="1:436" x14ac:dyDescent="0.25">
      <c r="A519" s="7">
        <v>3.844250502545596</v>
      </c>
      <c r="B519"/>
      <c r="C519"/>
      <c r="D519"/>
      <c r="E519"/>
      <c r="GA519" s="27" t="s">
        <v>8</v>
      </c>
      <c r="GH519" s="27" t="s">
        <v>7</v>
      </c>
      <c r="GI519" s="27" t="s">
        <v>8</v>
      </c>
      <c r="GJ519" s="27" t="s">
        <v>7</v>
      </c>
      <c r="GK519" s="27" t="s">
        <v>8</v>
      </c>
      <c r="GL519" s="27" t="s">
        <v>7</v>
      </c>
      <c r="GM519" s="27" t="s">
        <v>8</v>
      </c>
      <c r="GN519" s="27" t="s">
        <v>7</v>
      </c>
      <c r="GO519" s="27" t="s">
        <v>8</v>
      </c>
      <c r="GP519" s="27" t="s">
        <v>7</v>
      </c>
      <c r="GW519" s="27" t="s">
        <v>8</v>
      </c>
      <c r="GX519" s="27" t="s">
        <v>7</v>
      </c>
      <c r="GZ519" s="27" t="s">
        <v>7</v>
      </c>
      <c r="HA519" s="27" t="s">
        <v>8</v>
      </c>
      <c r="HC519" s="27" t="s">
        <v>8</v>
      </c>
      <c r="HE519" s="27" t="s">
        <v>8</v>
      </c>
      <c r="HF519" s="27" t="s">
        <v>7</v>
      </c>
      <c r="HS519" s="27" t="s">
        <v>8</v>
      </c>
      <c r="HY519" s="27" t="s">
        <v>8</v>
      </c>
      <c r="HZ519" s="27" t="s">
        <v>7</v>
      </c>
      <c r="IA519" s="27" t="s">
        <v>8</v>
      </c>
      <c r="IB519" s="27" t="s">
        <v>7</v>
      </c>
      <c r="IC519" s="27" t="s">
        <v>8</v>
      </c>
      <c r="ID519" s="27" t="s">
        <v>7</v>
      </c>
      <c r="IE519" s="27" t="s">
        <v>8</v>
      </c>
      <c r="IF519" s="27" t="s">
        <v>7</v>
      </c>
      <c r="IG519" s="27" t="s">
        <v>8</v>
      </c>
      <c r="IH519" s="27" t="s">
        <v>7</v>
      </c>
      <c r="IY519" s="27" t="s">
        <v>8</v>
      </c>
      <c r="IZ519" s="27" t="s">
        <v>7</v>
      </c>
      <c r="JA519" s="27" t="s">
        <v>8</v>
      </c>
      <c r="JB519" s="27" t="s">
        <v>7</v>
      </c>
      <c r="JC519" s="27" t="s">
        <v>8</v>
      </c>
      <c r="JE519" s="27" t="s">
        <v>8</v>
      </c>
      <c r="JF519" s="27" t="s">
        <v>7</v>
      </c>
      <c r="JG519" s="27" t="s">
        <v>8</v>
      </c>
      <c r="JK519" s="27" t="s">
        <v>8</v>
      </c>
      <c r="JL519" s="27" t="s">
        <v>7</v>
      </c>
      <c r="JV519" s="27" t="s">
        <v>7</v>
      </c>
      <c r="LN519" s="27" t="s">
        <v>7</v>
      </c>
      <c r="LO519" s="27" t="s">
        <v>8</v>
      </c>
      <c r="MB519" s="27" t="s">
        <v>7</v>
      </c>
      <c r="MC519" s="27" t="s">
        <v>8</v>
      </c>
      <c r="MD519" s="27" t="s">
        <v>7</v>
      </c>
      <c r="ME519" s="27" t="s">
        <v>8</v>
      </c>
      <c r="MJ519" s="27" t="s">
        <v>7</v>
      </c>
      <c r="ML519" s="27" t="s">
        <v>7</v>
      </c>
      <c r="MM519" s="27" t="s">
        <v>8</v>
      </c>
      <c r="MN519" s="27" t="s">
        <v>7</v>
      </c>
      <c r="MO519" s="27" t="s">
        <v>8</v>
      </c>
      <c r="MQ519" s="27" t="s">
        <v>8</v>
      </c>
      <c r="MR519" s="27" t="s">
        <v>7</v>
      </c>
      <c r="MS519" s="27" t="s">
        <v>8</v>
      </c>
      <c r="PR519" s="27" t="s">
        <v>7</v>
      </c>
      <c r="PS519" s="27" t="s">
        <v>8</v>
      </c>
    </row>
    <row r="520" spans="1:436" x14ac:dyDescent="0.25">
      <c r="A520" s="7">
        <v>3.7688730417113687</v>
      </c>
      <c r="B520"/>
      <c r="C520"/>
      <c r="D520"/>
      <c r="E520"/>
      <c r="GA520" s="27" t="s">
        <v>8</v>
      </c>
      <c r="GH520" s="27" t="s">
        <v>7</v>
      </c>
      <c r="GI520" s="27" t="s">
        <v>8</v>
      </c>
      <c r="GJ520" s="27" t="s">
        <v>7</v>
      </c>
      <c r="GK520" s="27" t="s">
        <v>8</v>
      </c>
      <c r="GL520" s="27" t="s">
        <v>7</v>
      </c>
      <c r="GM520" s="27" t="s">
        <v>8</v>
      </c>
      <c r="GN520" s="27" t="s">
        <v>7</v>
      </c>
      <c r="GO520" s="27" t="s">
        <v>8</v>
      </c>
      <c r="GP520" s="27" t="s">
        <v>7</v>
      </c>
      <c r="GW520" s="27" t="s">
        <v>8</v>
      </c>
      <c r="GZ520" s="27" t="s">
        <v>7</v>
      </c>
      <c r="HA520" s="27" t="s">
        <v>8</v>
      </c>
      <c r="HB520" s="27" t="s">
        <v>7</v>
      </c>
      <c r="HC520" s="27" t="s">
        <v>8</v>
      </c>
      <c r="HD520" s="27" t="s">
        <v>7</v>
      </c>
      <c r="HE520" s="27" t="s">
        <v>8</v>
      </c>
      <c r="HF520" s="27" t="s">
        <v>7</v>
      </c>
      <c r="HS520" s="27" t="s">
        <v>8</v>
      </c>
      <c r="HT520" s="27" t="s">
        <v>7</v>
      </c>
      <c r="HY520" s="27" t="s">
        <v>8</v>
      </c>
      <c r="HZ520" s="27" t="s">
        <v>7</v>
      </c>
      <c r="IA520" s="27" t="s">
        <v>8</v>
      </c>
      <c r="IB520" s="27" t="s">
        <v>7</v>
      </c>
      <c r="IC520" s="27" t="s">
        <v>8</v>
      </c>
      <c r="ID520" s="27" t="s">
        <v>7</v>
      </c>
      <c r="IE520" s="27" t="s">
        <v>8</v>
      </c>
      <c r="IF520" s="27" t="s">
        <v>7</v>
      </c>
      <c r="IG520" s="27" t="s">
        <v>8</v>
      </c>
      <c r="IH520" s="27" t="s">
        <v>7</v>
      </c>
      <c r="II520" s="27" t="s">
        <v>8</v>
      </c>
      <c r="IY520" s="27" t="s">
        <v>8</v>
      </c>
      <c r="IZ520" s="27" t="s">
        <v>7</v>
      </c>
      <c r="JA520" s="27" t="s">
        <v>8</v>
      </c>
      <c r="JB520" s="27" t="s">
        <v>7</v>
      </c>
      <c r="JC520" s="27" t="s">
        <v>8</v>
      </c>
      <c r="JD520" s="27" t="s">
        <v>7</v>
      </c>
      <c r="JE520" s="27" t="s">
        <v>8</v>
      </c>
      <c r="JF520" s="27" t="s">
        <v>7</v>
      </c>
      <c r="JG520" s="27" t="s">
        <v>8</v>
      </c>
      <c r="JH520" s="27" t="s">
        <v>7</v>
      </c>
      <c r="JI520" s="27" t="s">
        <v>8</v>
      </c>
      <c r="JK520" s="27" t="s">
        <v>8</v>
      </c>
      <c r="LN520" s="27" t="s">
        <v>7</v>
      </c>
      <c r="LO520" s="27" t="s">
        <v>8</v>
      </c>
      <c r="MB520" s="27" t="s">
        <v>7</v>
      </c>
      <c r="MC520" s="27" t="s">
        <v>8</v>
      </c>
      <c r="MD520" s="27" t="s">
        <v>7</v>
      </c>
      <c r="ME520" s="27" t="s">
        <v>8</v>
      </c>
      <c r="ML520" s="27" t="s">
        <v>7</v>
      </c>
      <c r="MM520" s="27" t="s">
        <v>8</v>
      </c>
      <c r="MN520" s="27" t="s">
        <v>7</v>
      </c>
      <c r="MO520" s="27" t="s">
        <v>8</v>
      </c>
      <c r="MP520" s="27" t="s">
        <v>7</v>
      </c>
      <c r="MQ520" s="27" t="s">
        <v>8</v>
      </c>
      <c r="MR520" s="27" t="s">
        <v>7</v>
      </c>
      <c r="MS520" s="27" t="s">
        <v>8</v>
      </c>
      <c r="PR520" s="27" t="s">
        <v>7</v>
      </c>
      <c r="PS520" s="27" t="s">
        <v>8</v>
      </c>
    </row>
    <row r="521" spans="1:436" x14ac:dyDescent="0.25">
      <c r="A521" s="7">
        <v>3.6949735703052635</v>
      </c>
      <c r="B521"/>
      <c r="C521"/>
      <c r="D521"/>
      <c r="E521"/>
      <c r="GA521" s="27" t="s">
        <v>8</v>
      </c>
      <c r="GH521" s="27" t="s">
        <v>7</v>
      </c>
      <c r="GI521" s="27" t="s">
        <v>8</v>
      </c>
      <c r="GJ521" s="27" t="s">
        <v>7</v>
      </c>
      <c r="GK521" s="27" t="s">
        <v>8</v>
      </c>
      <c r="GL521" s="27" t="s">
        <v>7</v>
      </c>
      <c r="GN521" s="27" t="s">
        <v>7</v>
      </c>
      <c r="GP521" s="27" t="s">
        <v>7</v>
      </c>
      <c r="GW521" s="27" t="s">
        <v>8</v>
      </c>
      <c r="GZ521" s="27" t="s">
        <v>7</v>
      </c>
      <c r="HA521" s="27" t="s">
        <v>8</v>
      </c>
      <c r="HB521" s="27" t="s">
        <v>7</v>
      </c>
      <c r="HC521" s="27" t="s">
        <v>8</v>
      </c>
      <c r="HD521" s="27" t="s">
        <v>7</v>
      </c>
      <c r="HE521" s="27" t="s">
        <v>8</v>
      </c>
      <c r="HF521" s="27" t="s">
        <v>7</v>
      </c>
      <c r="HS521" s="27" t="s">
        <v>8</v>
      </c>
      <c r="HT521" s="27" t="s">
        <v>7</v>
      </c>
      <c r="HY521" s="27" t="s">
        <v>8</v>
      </c>
      <c r="HZ521" s="27" t="s">
        <v>7</v>
      </c>
      <c r="IA521" s="27" t="s">
        <v>8</v>
      </c>
      <c r="IB521" s="27" t="s">
        <v>7</v>
      </c>
      <c r="IC521" s="27" t="s">
        <v>8</v>
      </c>
      <c r="ID521" s="27" t="s">
        <v>7</v>
      </c>
      <c r="IE521" s="27" t="s">
        <v>8</v>
      </c>
      <c r="IF521" s="27" t="s">
        <v>7</v>
      </c>
      <c r="IG521" s="27" t="s">
        <v>8</v>
      </c>
      <c r="IH521" s="27" t="s">
        <v>7</v>
      </c>
      <c r="II521" s="27" t="s">
        <v>8</v>
      </c>
      <c r="IJ521" s="27" t="s">
        <v>7</v>
      </c>
      <c r="IY521" s="27" t="s">
        <v>8</v>
      </c>
      <c r="IZ521" s="27" t="s">
        <v>7</v>
      </c>
      <c r="JA521" s="27" t="s">
        <v>8</v>
      </c>
      <c r="JB521" s="27" t="s">
        <v>7</v>
      </c>
      <c r="JC521" s="27" t="s">
        <v>8</v>
      </c>
      <c r="JD521" s="27" t="s">
        <v>7</v>
      </c>
      <c r="JE521" s="27" t="s">
        <v>8</v>
      </c>
      <c r="JF521" s="27" t="s">
        <v>7</v>
      </c>
      <c r="JG521" s="27" t="s">
        <v>8</v>
      </c>
      <c r="JH521" s="27" t="s">
        <v>7</v>
      </c>
      <c r="JI521" s="27" t="s">
        <v>8</v>
      </c>
      <c r="JJ521" s="27" t="s">
        <v>7</v>
      </c>
      <c r="JK521" s="27" t="s">
        <v>8</v>
      </c>
      <c r="LN521" s="27" t="s">
        <v>7</v>
      </c>
      <c r="LO521" s="27" t="s">
        <v>8</v>
      </c>
      <c r="MB521" s="27" t="s">
        <v>7</v>
      </c>
      <c r="MC521" s="27" t="s">
        <v>8</v>
      </c>
      <c r="MD521" s="27" t="s">
        <v>7</v>
      </c>
      <c r="ME521" s="27" t="s">
        <v>8</v>
      </c>
      <c r="ML521" s="27" t="s">
        <v>7</v>
      </c>
      <c r="MN521" s="27" t="s">
        <v>7</v>
      </c>
      <c r="MO521" s="27" t="s">
        <v>8</v>
      </c>
      <c r="MP521" s="27" t="s">
        <v>7</v>
      </c>
      <c r="MQ521" s="27" t="s">
        <v>8</v>
      </c>
      <c r="MR521" s="27" t="s">
        <v>7</v>
      </c>
      <c r="PR521" s="27" t="s">
        <v>7</v>
      </c>
    </row>
    <row r="522" spans="1:436" x14ac:dyDescent="0.25">
      <c r="A522" s="7">
        <v>3.6225231081424152</v>
      </c>
      <c r="B522"/>
      <c r="C522"/>
      <c r="D522"/>
      <c r="E522"/>
      <c r="GA522" s="27" t="s">
        <v>8</v>
      </c>
      <c r="GH522" s="27" t="s">
        <v>7</v>
      </c>
      <c r="GI522" s="27" t="s">
        <v>8</v>
      </c>
      <c r="GJ522" s="27" t="s">
        <v>7</v>
      </c>
      <c r="GK522" s="27" t="s">
        <v>8</v>
      </c>
      <c r="GP522" s="27" t="s">
        <v>7</v>
      </c>
      <c r="GW522" s="27" t="s">
        <v>8</v>
      </c>
      <c r="GZ522" s="27" t="s">
        <v>7</v>
      </c>
      <c r="HB522" s="27" t="s">
        <v>7</v>
      </c>
      <c r="HC522" s="27" t="s">
        <v>8</v>
      </c>
      <c r="HD522" s="27" t="s">
        <v>7</v>
      </c>
      <c r="HE522" s="27" t="s">
        <v>8</v>
      </c>
      <c r="HF522" s="27" t="s">
        <v>7</v>
      </c>
      <c r="HK522" s="27" t="s">
        <v>8</v>
      </c>
      <c r="HS522" s="27" t="s">
        <v>8</v>
      </c>
      <c r="HT522" s="27" t="s">
        <v>7</v>
      </c>
      <c r="HU522" s="27" t="s">
        <v>8</v>
      </c>
      <c r="HY522" s="27" t="s">
        <v>8</v>
      </c>
      <c r="HZ522" s="27" t="s">
        <v>7</v>
      </c>
      <c r="IB522" s="27" t="s">
        <v>7</v>
      </c>
      <c r="IC522" s="27" t="s">
        <v>8</v>
      </c>
      <c r="ID522" s="27" t="s">
        <v>7</v>
      </c>
      <c r="IF522" s="27" t="s">
        <v>7</v>
      </c>
      <c r="IH522" s="27" t="s">
        <v>7</v>
      </c>
      <c r="II522" s="27" t="s">
        <v>8</v>
      </c>
      <c r="IJ522" s="27" t="s">
        <v>7</v>
      </c>
      <c r="IY522" s="27" t="s">
        <v>8</v>
      </c>
      <c r="IZ522" s="27" t="s">
        <v>7</v>
      </c>
      <c r="JA522" s="27" t="s">
        <v>8</v>
      </c>
      <c r="JB522" s="27" t="s">
        <v>7</v>
      </c>
      <c r="JC522" s="27" t="s">
        <v>8</v>
      </c>
      <c r="JD522" s="27" t="s">
        <v>7</v>
      </c>
      <c r="JE522" s="27" t="s">
        <v>8</v>
      </c>
      <c r="JF522" s="27" t="s">
        <v>7</v>
      </c>
      <c r="JG522" s="27" t="s">
        <v>8</v>
      </c>
      <c r="JH522" s="27" t="s">
        <v>7</v>
      </c>
      <c r="JI522" s="27" t="s">
        <v>8</v>
      </c>
      <c r="JJ522" s="27" t="s">
        <v>7</v>
      </c>
      <c r="JK522" s="27" t="s">
        <v>8</v>
      </c>
      <c r="LN522" s="27" t="s">
        <v>7</v>
      </c>
      <c r="LO522" s="27" t="s">
        <v>8</v>
      </c>
      <c r="MB522" s="27" t="s">
        <v>7</v>
      </c>
      <c r="MC522" s="27" t="s">
        <v>8</v>
      </c>
      <c r="MD522" s="27" t="s">
        <v>7</v>
      </c>
      <c r="ME522" s="27" t="s">
        <v>8</v>
      </c>
      <c r="MN522" s="27" t="s">
        <v>7</v>
      </c>
      <c r="MP522" s="27" t="s">
        <v>7</v>
      </c>
      <c r="MQ522" s="27" t="s">
        <v>8</v>
      </c>
    </row>
    <row r="523" spans="1:436" x14ac:dyDescent="0.25">
      <c r="A523" s="7">
        <v>3.5514932432768775</v>
      </c>
      <c r="B523"/>
      <c r="C523"/>
      <c r="D523"/>
      <c r="E523"/>
      <c r="GA523" s="27" t="s">
        <v>8</v>
      </c>
      <c r="GH523" s="27" t="s">
        <v>7</v>
      </c>
      <c r="GI523" s="27" t="s">
        <v>8</v>
      </c>
      <c r="GJ523" s="27" t="s">
        <v>7</v>
      </c>
      <c r="GK523" s="27" t="s">
        <v>8</v>
      </c>
      <c r="GP523" s="27" t="s">
        <v>7</v>
      </c>
      <c r="GW523" s="27" t="s">
        <v>8</v>
      </c>
      <c r="HB523" s="27" t="s">
        <v>7</v>
      </c>
      <c r="HD523" s="27" t="s">
        <v>7</v>
      </c>
      <c r="HE523" s="27" t="s">
        <v>8</v>
      </c>
      <c r="HF523" s="27" t="s">
        <v>7</v>
      </c>
      <c r="HK523" s="27" t="s">
        <v>8</v>
      </c>
      <c r="HL523" s="27" t="s">
        <v>7</v>
      </c>
      <c r="HS523" s="27" t="s">
        <v>8</v>
      </c>
      <c r="HT523" s="27" t="s">
        <v>7</v>
      </c>
      <c r="HU523" s="27" t="s">
        <v>8</v>
      </c>
      <c r="HV523" s="27" t="s">
        <v>7</v>
      </c>
      <c r="HW523" s="27" t="s">
        <v>8</v>
      </c>
      <c r="HY523" s="27" t="s">
        <v>8</v>
      </c>
      <c r="IB523" s="27" t="s">
        <v>7</v>
      </c>
      <c r="IC523" s="27" t="s">
        <v>8</v>
      </c>
      <c r="IH523" s="27" t="s">
        <v>7</v>
      </c>
      <c r="II523" s="27" t="s">
        <v>8</v>
      </c>
      <c r="IJ523" s="27" t="s">
        <v>7</v>
      </c>
      <c r="IY523" s="27" t="s">
        <v>8</v>
      </c>
      <c r="IZ523" s="27" t="s">
        <v>7</v>
      </c>
      <c r="JA523" s="27" t="s">
        <v>8</v>
      </c>
      <c r="JB523" s="27" t="s">
        <v>7</v>
      </c>
      <c r="JC523" s="27" t="s">
        <v>8</v>
      </c>
      <c r="JD523" s="27" t="s">
        <v>7</v>
      </c>
      <c r="JE523" s="27" t="s">
        <v>8</v>
      </c>
      <c r="JF523" s="27" t="s">
        <v>7</v>
      </c>
      <c r="JG523" s="27" t="s">
        <v>8</v>
      </c>
      <c r="JH523" s="27" t="s">
        <v>7</v>
      </c>
      <c r="JI523" s="27" t="s">
        <v>8</v>
      </c>
      <c r="JJ523" s="27" t="s">
        <v>7</v>
      </c>
      <c r="JK523" s="27" t="s">
        <v>8</v>
      </c>
      <c r="LN523" s="27" t="s">
        <v>7</v>
      </c>
      <c r="LO523" s="27" t="s">
        <v>8</v>
      </c>
      <c r="MB523" s="27" t="s">
        <v>7</v>
      </c>
      <c r="MC523" s="27" t="s">
        <v>8</v>
      </c>
      <c r="MD523" s="27" t="s">
        <v>7</v>
      </c>
      <c r="ME523" s="27" t="s">
        <v>8</v>
      </c>
      <c r="MP523" s="27" t="s">
        <v>7</v>
      </c>
      <c r="MQ523" s="27" t="s">
        <v>8</v>
      </c>
    </row>
    <row r="524" spans="1:436" x14ac:dyDescent="0.25">
      <c r="A524" s="7">
        <v>3.4818561208596837</v>
      </c>
      <c r="B524"/>
      <c r="C524"/>
      <c r="D524"/>
      <c r="E524"/>
      <c r="GA524" s="27" t="s">
        <v>8</v>
      </c>
      <c r="GH524" s="27" t="s">
        <v>7</v>
      </c>
      <c r="GI524" s="27" t="s">
        <v>8</v>
      </c>
      <c r="GJ524" s="27" t="s">
        <v>7</v>
      </c>
      <c r="GK524" s="27" t="s">
        <v>8</v>
      </c>
      <c r="GP524" s="27" t="s">
        <v>7</v>
      </c>
      <c r="GW524" s="27" t="s">
        <v>8</v>
      </c>
      <c r="HD524" s="27" t="s">
        <v>7</v>
      </c>
      <c r="HE524" s="27" t="s">
        <v>8</v>
      </c>
      <c r="HF524" s="27" t="s">
        <v>7</v>
      </c>
      <c r="HG524" s="27" t="s">
        <v>8</v>
      </c>
      <c r="HI524" s="27" t="s">
        <v>8</v>
      </c>
      <c r="HK524" s="27" t="s">
        <v>8</v>
      </c>
      <c r="HL524" s="27" t="s">
        <v>7</v>
      </c>
      <c r="HQ524" s="27" t="s">
        <v>8</v>
      </c>
      <c r="HS524" s="27" t="s">
        <v>8</v>
      </c>
      <c r="HT524" s="27" t="s">
        <v>7</v>
      </c>
      <c r="HU524" s="27" t="s">
        <v>8</v>
      </c>
      <c r="HV524" s="27" t="s">
        <v>7</v>
      </c>
      <c r="HW524" s="27" t="s">
        <v>8</v>
      </c>
      <c r="HX524" s="27" t="s">
        <v>7</v>
      </c>
      <c r="HY524" s="27" t="s">
        <v>8</v>
      </c>
      <c r="IB524" s="27" t="s">
        <v>7</v>
      </c>
      <c r="IC524" s="27" t="s">
        <v>8</v>
      </c>
      <c r="IH524" s="27" t="s">
        <v>7</v>
      </c>
      <c r="IJ524" s="27" t="s">
        <v>7</v>
      </c>
      <c r="IO524" s="27" t="s">
        <v>8</v>
      </c>
      <c r="IY524" s="27" t="s">
        <v>8</v>
      </c>
      <c r="IZ524" s="27" t="s">
        <v>7</v>
      </c>
      <c r="JA524" s="27" t="s">
        <v>8</v>
      </c>
      <c r="JB524" s="27" t="s">
        <v>7</v>
      </c>
      <c r="JC524" s="27" t="s">
        <v>8</v>
      </c>
      <c r="JD524" s="27" t="s">
        <v>7</v>
      </c>
      <c r="JE524" s="27" t="s">
        <v>8</v>
      </c>
      <c r="JF524" s="27" t="s">
        <v>7</v>
      </c>
      <c r="JG524" s="27" t="s">
        <v>8</v>
      </c>
      <c r="JH524" s="27" t="s">
        <v>7</v>
      </c>
      <c r="JI524" s="27" t="s">
        <v>8</v>
      </c>
      <c r="JJ524" s="27" t="s">
        <v>7</v>
      </c>
      <c r="JK524" s="27" t="s">
        <v>8</v>
      </c>
      <c r="LN524" s="27" t="s">
        <v>7</v>
      </c>
      <c r="LO524" s="27" t="s">
        <v>8</v>
      </c>
      <c r="MB524" s="27" t="s">
        <v>7</v>
      </c>
      <c r="MC524" s="27" t="s">
        <v>8</v>
      </c>
      <c r="MD524" s="27" t="s">
        <v>7</v>
      </c>
      <c r="ME524" s="27" t="s">
        <v>8</v>
      </c>
      <c r="MP524" s="27" t="s">
        <v>7</v>
      </c>
      <c r="MQ524" s="27" t="s">
        <v>8</v>
      </c>
    </row>
    <row r="525" spans="1:436" x14ac:dyDescent="0.25">
      <c r="A525" s="7">
        <v>3.4135844322153761</v>
      </c>
      <c r="B525"/>
      <c r="C525"/>
      <c r="D525"/>
      <c r="E525"/>
      <c r="GA525" s="27" t="s">
        <v>8</v>
      </c>
      <c r="GH525" s="27" t="s">
        <v>7</v>
      </c>
      <c r="GI525" s="27" t="s">
        <v>8</v>
      </c>
      <c r="GJ525" s="27" t="s">
        <v>7</v>
      </c>
      <c r="GK525" s="27" t="s">
        <v>8</v>
      </c>
      <c r="GP525" s="27" t="s">
        <v>7</v>
      </c>
      <c r="GW525" s="27" t="s">
        <v>8</v>
      </c>
      <c r="HD525" s="27" t="s">
        <v>7</v>
      </c>
      <c r="HE525" s="27" t="s">
        <v>8</v>
      </c>
      <c r="HF525" s="27" t="s">
        <v>7</v>
      </c>
      <c r="HG525" s="27" t="s">
        <v>8</v>
      </c>
      <c r="HH525" s="27" t="s">
        <v>7</v>
      </c>
      <c r="HI525" s="27" t="s">
        <v>8</v>
      </c>
      <c r="HJ525" s="27" t="s">
        <v>7</v>
      </c>
      <c r="HK525" s="27" t="s">
        <v>8</v>
      </c>
      <c r="HL525" s="27" t="s">
        <v>7</v>
      </c>
      <c r="HQ525" s="27" t="s">
        <v>8</v>
      </c>
      <c r="HR525" s="27" t="s">
        <v>7</v>
      </c>
      <c r="HS525" s="27" t="s">
        <v>8</v>
      </c>
      <c r="HT525" s="27" t="s">
        <v>7</v>
      </c>
      <c r="HV525" s="27" t="s">
        <v>7</v>
      </c>
      <c r="HW525" s="27" t="s">
        <v>8</v>
      </c>
      <c r="HX525" s="27" t="s">
        <v>7</v>
      </c>
      <c r="HY525" s="27" t="s">
        <v>8</v>
      </c>
      <c r="IB525" s="27" t="s">
        <v>7</v>
      </c>
      <c r="IC525" s="27" t="s">
        <v>8</v>
      </c>
      <c r="IJ525" s="27" t="s">
        <v>7</v>
      </c>
      <c r="IO525" s="27" t="s">
        <v>8</v>
      </c>
      <c r="IP525" s="27" t="s">
        <v>7</v>
      </c>
      <c r="IY525" s="27" t="s">
        <v>8</v>
      </c>
      <c r="IZ525" s="27" t="s">
        <v>7</v>
      </c>
      <c r="JA525" s="27" t="s">
        <v>8</v>
      </c>
      <c r="JB525" s="27" t="s">
        <v>7</v>
      </c>
      <c r="JC525" s="27" t="s">
        <v>8</v>
      </c>
      <c r="JD525" s="27" t="s">
        <v>7</v>
      </c>
      <c r="JE525" s="27" t="s">
        <v>8</v>
      </c>
      <c r="JF525" s="27" t="s">
        <v>7</v>
      </c>
      <c r="JG525" s="27" t="s">
        <v>8</v>
      </c>
      <c r="JH525" s="27" t="s">
        <v>7</v>
      </c>
      <c r="JI525" s="27" t="s">
        <v>8</v>
      </c>
      <c r="JJ525" s="27" t="s">
        <v>7</v>
      </c>
      <c r="JK525" s="27" t="s">
        <v>8</v>
      </c>
      <c r="LN525" s="27" t="s">
        <v>7</v>
      </c>
      <c r="MB525" s="27" t="s">
        <v>7</v>
      </c>
      <c r="MC525" s="27" t="s">
        <v>8</v>
      </c>
      <c r="MD525" s="27" t="s">
        <v>7</v>
      </c>
      <c r="ME525" s="27" t="s">
        <v>8</v>
      </c>
      <c r="MP525" s="27" t="s">
        <v>7</v>
      </c>
      <c r="MQ525" s="27" t="s">
        <v>8</v>
      </c>
    </row>
    <row r="526" spans="1:436" x14ac:dyDescent="0.25">
      <c r="A526" s="7">
        <v>3.3466514041327216</v>
      </c>
      <c r="B526"/>
      <c r="C526"/>
      <c r="D526"/>
      <c r="E526"/>
      <c r="GA526" s="27" t="s">
        <v>8</v>
      </c>
      <c r="GH526" s="27" t="s">
        <v>7</v>
      </c>
      <c r="GJ526" s="27" t="s">
        <v>7</v>
      </c>
      <c r="GP526" s="27" t="s">
        <v>7</v>
      </c>
      <c r="GW526" s="27" t="s">
        <v>8</v>
      </c>
      <c r="HD526" s="27" t="s">
        <v>7</v>
      </c>
      <c r="HE526" s="27" t="s">
        <v>8</v>
      </c>
      <c r="HF526" s="27" t="s">
        <v>7</v>
      </c>
      <c r="HG526" s="27" t="s">
        <v>8</v>
      </c>
      <c r="HH526" s="27" t="s">
        <v>7</v>
      </c>
      <c r="HI526" s="27" t="s">
        <v>8</v>
      </c>
      <c r="HJ526" s="27" t="s">
        <v>7</v>
      </c>
      <c r="HK526" s="27" t="s">
        <v>8</v>
      </c>
      <c r="HL526" s="27" t="s">
        <v>7</v>
      </c>
      <c r="HQ526" s="27" t="s">
        <v>8</v>
      </c>
      <c r="HR526" s="27" t="s">
        <v>7</v>
      </c>
      <c r="HS526" s="27" t="s">
        <v>8</v>
      </c>
      <c r="HV526" s="27" t="s">
        <v>7</v>
      </c>
      <c r="HW526" s="27" t="s">
        <v>8</v>
      </c>
      <c r="HX526" s="27" t="s">
        <v>7</v>
      </c>
      <c r="HY526" s="27" t="s">
        <v>8</v>
      </c>
      <c r="IB526" s="27" t="s">
        <v>7</v>
      </c>
      <c r="IC526" s="27" t="s">
        <v>8</v>
      </c>
      <c r="IJ526" s="27" t="s">
        <v>7</v>
      </c>
      <c r="IM526" s="27" t="s">
        <v>8</v>
      </c>
      <c r="IO526" s="27" t="s">
        <v>8</v>
      </c>
      <c r="IP526" s="27" t="s">
        <v>7</v>
      </c>
      <c r="IY526" s="27" t="s">
        <v>8</v>
      </c>
      <c r="IZ526" s="27" t="s">
        <v>7</v>
      </c>
      <c r="JA526" s="27" t="s">
        <v>8</v>
      </c>
      <c r="JB526" s="27" t="s">
        <v>7</v>
      </c>
      <c r="JC526" s="27" t="s">
        <v>8</v>
      </c>
      <c r="JD526" s="27" t="s">
        <v>7</v>
      </c>
      <c r="JF526" s="27" t="s">
        <v>7</v>
      </c>
      <c r="JG526" s="27" t="s">
        <v>8</v>
      </c>
      <c r="JH526" s="27" t="s">
        <v>7</v>
      </c>
      <c r="JI526" s="27" t="s">
        <v>8</v>
      </c>
      <c r="JJ526" s="27" t="s">
        <v>7</v>
      </c>
      <c r="MB526" s="27" t="s">
        <v>7</v>
      </c>
      <c r="MC526" s="27" t="s">
        <v>8</v>
      </c>
      <c r="MD526" s="27" t="s">
        <v>7</v>
      </c>
      <c r="MP526" s="18" t="s">
        <v>7</v>
      </c>
      <c r="MQ526" s="27" t="s">
        <v>8</v>
      </c>
    </row>
    <row r="527" spans="1:436" x14ac:dyDescent="0.25">
      <c r="A527" s="7">
        <v>3.2810307883654133</v>
      </c>
      <c r="B527"/>
      <c r="C527"/>
      <c r="D527"/>
      <c r="E527"/>
      <c r="AG527" s="27" t="s">
        <v>8</v>
      </c>
      <c r="FY527" s="27" t="s">
        <v>8</v>
      </c>
      <c r="GA527" s="27" t="s">
        <v>8</v>
      </c>
      <c r="GP527" s="27" t="s">
        <v>7</v>
      </c>
      <c r="GW527" s="27" t="s">
        <v>8</v>
      </c>
      <c r="HD527" s="27" t="s">
        <v>7</v>
      </c>
      <c r="HE527" s="27" t="s">
        <v>8</v>
      </c>
      <c r="HF527" s="27" t="s">
        <v>7</v>
      </c>
      <c r="HH527" s="27" t="s">
        <v>7</v>
      </c>
      <c r="HI527" s="27" t="s">
        <v>8</v>
      </c>
      <c r="HJ527" s="27" t="s">
        <v>7</v>
      </c>
      <c r="HK527" s="27" t="s">
        <v>8</v>
      </c>
      <c r="HL527" s="27" t="s">
        <v>7</v>
      </c>
      <c r="HM527" s="27" t="s">
        <v>8</v>
      </c>
      <c r="HQ527" s="27" t="s">
        <v>8</v>
      </c>
      <c r="HR527" s="27" t="s">
        <v>7</v>
      </c>
      <c r="HS527" s="27" t="s">
        <v>8</v>
      </c>
      <c r="HV527" s="27" t="s">
        <v>7</v>
      </c>
      <c r="HX527" s="27" t="s">
        <v>7</v>
      </c>
      <c r="HY527" s="27" t="s">
        <v>8</v>
      </c>
      <c r="IB527" s="27" t="s">
        <v>7</v>
      </c>
      <c r="IJ527" s="27" t="s">
        <v>7</v>
      </c>
      <c r="IK527" s="27" t="s">
        <v>8</v>
      </c>
      <c r="IM527" s="27" t="s">
        <v>8</v>
      </c>
      <c r="IN527" s="27" t="s">
        <v>7</v>
      </c>
      <c r="IO527" s="27" t="s">
        <v>8</v>
      </c>
      <c r="IP527" s="27" t="s">
        <v>7</v>
      </c>
      <c r="IY527" s="27" t="s">
        <v>8</v>
      </c>
      <c r="IZ527" s="27" t="s">
        <v>7</v>
      </c>
      <c r="JA527" s="27" t="s">
        <v>8</v>
      </c>
      <c r="JB527" s="27" t="s">
        <v>7</v>
      </c>
      <c r="JC527" s="27" t="s">
        <v>8</v>
      </c>
      <c r="JF527" s="27" t="s">
        <v>7</v>
      </c>
      <c r="JG527" s="27" t="s">
        <v>8</v>
      </c>
      <c r="JH527" s="27" t="s">
        <v>7</v>
      </c>
      <c r="JI527" s="27" t="s">
        <v>8</v>
      </c>
      <c r="MB527" s="27" t="s">
        <v>7</v>
      </c>
      <c r="MC527" s="27" t="s">
        <v>8</v>
      </c>
      <c r="MP527" s="27" t="s">
        <v>7</v>
      </c>
      <c r="MQ527" s="27" t="s">
        <v>8</v>
      </c>
    </row>
    <row r="528" spans="1:436" x14ac:dyDescent="0.25">
      <c r="A528" s="7">
        <v>3.2166968513386403</v>
      </c>
      <c r="B528"/>
      <c r="C528"/>
      <c r="D528"/>
      <c r="E528"/>
      <c r="AG528" s="27" t="s">
        <v>8</v>
      </c>
      <c r="AH528" s="27" t="s">
        <v>7</v>
      </c>
      <c r="FY528" s="27" t="s">
        <v>8</v>
      </c>
      <c r="FZ528" s="27" t="s">
        <v>7</v>
      </c>
      <c r="GA528" s="27" t="s">
        <v>8</v>
      </c>
      <c r="GP528" s="27" t="s">
        <v>7</v>
      </c>
      <c r="GS528" s="27" t="s">
        <v>8</v>
      </c>
      <c r="GU528" s="27" t="s">
        <v>8</v>
      </c>
      <c r="GW528" s="27" t="s">
        <v>8</v>
      </c>
      <c r="HD528" s="27" t="s">
        <v>7</v>
      </c>
      <c r="HE528" s="27" t="s">
        <v>8</v>
      </c>
      <c r="HH528" s="27" t="s">
        <v>7</v>
      </c>
      <c r="HI528" s="27" t="s">
        <v>8</v>
      </c>
      <c r="HJ528" s="27" t="s">
        <v>7</v>
      </c>
      <c r="HK528" s="27" t="s">
        <v>8</v>
      </c>
      <c r="HL528" s="27" t="s">
        <v>7</v>
      </c>
      <c r="HM528" s="27" t="s">
        <v>8</v>
      </c>
      <c r="HN528" s="27" t="s">
        <v>7</v>
      </c>
      <c r="HQ528" s="27" t="s">
        <v>8</v>
      </c>
      <c r="HR528" s="27" t="s">
        <v>7</v>
      </c>
      <c r="HS528" s="27" t="s">
        <v>8</v>
      </c>
      <c r="HX528" s="27" t="s">
        <v>7</v>
      </c>
      <c r="IJ528" s="27" t="s">
        <v>7</v>
      </c>
      <c r="IK528" s="27" t="s">
        <v>8</v>
      </c>
      <c r="IL528" s="27" t="s">
        <v>7</v>
      </c>
      <c r="IM528" s="27" t="s">
        <v>8</v>
      </c>
      <c r="IN528" s="27" t="s">
        <v>7</v>
      </c>
      <c r="IO528" s="27" t="s">
        <v>8</v>
      </c>
      <c r="IP528" s="27" t="s">
        <v>7</v>
      </c>
      <c r="IY528" s="27" t="s">
        <v>8</v>
      </c>
      <c r="IZ528" s="27" t="s">
        <v>7</v>
      </c>
      <c r="JA528" s="27" t="s">
        <v>8</v>
      </c>
      <c r="JB528" s="27" t="s">
        <v>7</v>
      </c>
      <c r="JC528" s="27" t="s">
        <v>8</v>
      </c>
      <c r="JF528" s="27" t="s">
        <v>7</v>
      </c>
      <c r="JG528" s="27" t="s">
        <v>8</v>
      </c>
      <c r="JH528" s="27" t="s">
        <v>7</v>
      </c>
      <c r="JI528" s="27" t="s">
        <v>8</v>
      </c>
      <c r="MB528" s="27" t="s">
        <v>7</v>
      </c>
      <c r="MC528" s="27" t="s">
        <v>8</v>
      </c>
      <c r="MP528" s="27" t="s">
        <v>7</v>
      </c>
      <c r="MQ528" s="27" t="s">
        <v>8</v>
      </c>
    </row>
    <row r="529" spans="1:355" x14ac:dyDescent="0.25">
      <c r="A529" s="7">
        <v>3.1536243640574906</v>
      </c>
      <c r="B529"/>
      <c r="C529"/>
      <c r="D529"/>
      <c r="E529"/>
      <c r="AG529" s="27" t="s">
        <v>8</v>
      </c>
      <c r="AH529" s="27" t="s">
        <v>7</v>
      </c>
      <c r="FY529" s="27" t="s">
        <v>8</v>
      </c>
      <c r="FZ529" s="27" t="s">
        <v>7</v>
      </c>
      <c r="GA529" s="27" t="s">
        <v>8</v>
      </c>
      <c r="GP529" s="27" t="s">
        <v>7</v>
      </c>
      <c r="GQ529" s="27" t="s">
        <v>8</v>
      </c>
      <c r="GS529" s="27" t="s">
        <v>8</v>
      </c>
      <c r="GT529" s="27" t="s">
        <v>7</v>
      </c>
      <c r="GU529" s="27" t="s">
        <v>8</v>
      </c>
      <c r="GV529" s="27" t="s">
        <v>7</v>
      </c>
      <c r="GW529" s="27" t="s">
        <v>8</v>
      </c>
      <c r="HD529" s="27" t="s">
        <v>7</v>
      </c>
      <c r="HE529" s="27" t="s">
        <v>8</v>
      </c>
      <c r="HH529" s="27" t="s">
        <v>7</v>
      </c>
      <c r="HJ529" s="27" t="s">
        <v>7</v>
      </c>
      <c r="HK529" s="27" t="s">
        <v>8</v>
      </c>
      <c r="HL529" s="27" t="s">
        <v>7</v>
      </c>
      <c r="HM529" s="27" t="s">
        <v>8</v>
      </c>
      <c r="HN529" s="27" t="s">
        <v>7</v>
      </c>
      <c r="HO529" s="27" t="s">
        <v>8</v>
      </c>
      <c r="HQ529" s="27" t="s">
        <v>8</v>
      </c>
      <c r="HR529" s="27" t="s">
        <v>7</v>
      </c>
      <c r="HS529" s="27" t="s">
        <v>8</v>
      </c>
      <c r="IJ529" s="27" t="s">
        <v>7</v>
      </c>
      <c r="IK529" s="27" t="s">
        <v>8</v>
      </c>
      <c r="IL529" s="27" t="s">
        <v>7</v>
      </c>
      <c r="IM529" s="27" t="s">
        <v>8</v>
      </c>
      <c r="IN529" s="27" t="s">
        <v>7</v>
      </c>
      <c r="IO529" s="27" t="s">
        <v>8</v>
      </c>
      <c r="IP529" s="27" t="s">
        <v>7</v>
      </c>
      <c r="IY529" s="27" t="s">
        <v>8</v>
      </c>
      <c r="IZ529" s="27" t="s">
        <v>7</v>
      </c>
      <c r="JA529" s="27" t="s">
        <v>8</v>
      </c>
      <c r="JB529" s="27" t="s">
        <v>7</v>
      </c>
      <c r="JC529" s="27" t="s">
        <v>8</v>
      </c>
      <c r="JF529" s="27" t="s">
        <v>7</v>
      </c>
      <c r="JG529" s="27" t="s">
        <v>8</v>
      </c>
      <c r="JH529" s="27" t="s">
        <v>7</v>
      </c>
      <c r="JI529" s="27" t="s">
        <v>8</v>
      </c>
      <c r="MB529" s="27" t="s">
        <v>7</v>
      </c>
      <c r="MC529" s="27" t="s">
        <v>8</v>
      </c>
      <c r="MP529" s="27" t="s">
        <v>7</v>
      </c>
      <c r="MQ529" s="27" t="s">
        <v>8</v>
      </c>
    </row>
    <row r="530" spans="1:355" x14ac:dyDescent="0.25">
      <c r="A530" s="7">
        <v>3.0917885922132262</v>
      </c>
      <c r="B530"/>
      <c r="C530"/>
      <c r="D530"/>
      <c r="E530"/>
      <c r="AG530" s="27" t="s">
        <v>8</v>
      </c>
      <c r="AH530" s="27" t="s">
        <v>7</v>
      </c>
      <c r="FY530" s="27" t="s">
        <v>8</v>
      </c>
      <c r="FZ530" s="27" t="s">
        <v>7</v>
      </c>
      <c r="GA530" s="27" t="s">
        <v>8</v>
      </c>
      <c r="GP530" s="27" t="s">
        <v>7</v>
      </c>
      <c r="GQ530" s="27" t="s">
        <v>8</v>
      </c>
      <c r="GR530" s="27" t="s">
        <v>7</v>
      </c>
      <c r="GS530" s="27" t="s">
        <v>8</v>
      </c>
      <c r="GT530" s="27" t="s">
        <v>7</v>
      </c>
      <c r="GU530" s="27" t="s">
        <v>8</v>
      </c>
      <c r="GV530" s="27" t="s">
        <v>7</v>
      </c>
      <c r="GW530" s="27" t="s">
        <v>8</v>
      </c>
      <c r="HD530" s="27" t="s">
        <v>7</v>
      </c>
      <c r="HE530" s="27" t="s">
        <v>8</v>
      </c>
      <c r="HJ530" s="27" t="s">
        <v>7</v>
      </c>
      <c r="HL530" s="27" t="s">
        <v>7</v>
      </c>
      <c r="HN530" s="27" t="s">
        <v>7</v>
      </c>
      <c r="HO530" s="27" t="s">
        <v>8</v>
      </c>
      <c r="HP530" s="27" t="s">
        <v>7</v>
      </c>
      <c r="HQ530" s="27" t="s">
        <v>8</v>
      </c>
      <c r="HR530" s="27" t="s">
        <v>7</v>
      </c>
      <c r="HS530" s="27" t="s">
        <v>8</v>
      </c>
      <c r="IJ530" s="27" t="s">
        <v>7</v>
      </c>
      <c r="IK530" s="27" t="s">
        <v>8</v>
      </c>
      <c r="IL530" s="27" t="s">
        <v>7</v>
      </c>
      <c r="IM530" s="27" t="s">
        <v>8</v>
      </c>
      <c r="IN530" s="27" t="s">
        <v>7</v>
      </c>
      <c r="IP530" s="27" t="s">
        <v>7</v>
      </c>
      <c r="IY530" s="27" t="s">
        <v>8</v>
      </c>
      <c r="IZ530" s="27" t="s">
        <v>7</v>
      </c>
      <c r="JB530" s="27" t="s">
        <v>7</v>
      </c>
      <c r="JC530" s="27" t="s">
        <v>8</v>
      </c>
      <c r="JF530" s="27" t="s">
        <v>7</v>
      </c>
      <c r="JG530" s="27" t="s">
        <v>8</v>
      </c>
      <c r="JH530" s="27" t="s">
        <v>7</v>
      </c>
      <c r="MB530" s="27" t="s">
        <v>7</v>
      </c>
      <c r="MC530" s="27" t="s">
        <v>8</v>
      </c>
      <c r="MP530" s="27" t="s">
        <v>7</v>
      </c>
    </row>
    <row r="531" spans="1:355" x14ac:dyDescent="0.25">
      <c r="A531" s="7">
        <v>3.0311652864835552</v>
      </c>
      <c r="B531"/>
      <c r="C531"/>
      <c r="D531"/>
      <c r="E531"/>
      <c r="AG531" s="27" t="s">
        <v>8</v>
      </c>
      <c r="AH531" s="27" t="s">
        <v>7</v>
      </c>
      <c r="FY531" s="27" t="s">
        <v>8</v>
      </c>
      <c r="FZ531" s="27" t="s">
        <v>7</v>
      </c>
      <c r="GA531" s="27" t="s">
        <v>8</v>
      </c>
      <c r="GP531" s="27" t="s">
        <v>7</v>
      </c>
      <c r="GQ531" s="27" t="s">
        <v>8</v>
      </c>
      <c r="GR531" s="27" t="s">
        <v>7</v>
      </c>
      <c r="GS531" s="27" t="s">
        <v>8</v>
      </c>
      <c r="GT531" s="27" t="s">
        <v>7</v>
      </c>
      <c r="GU531" s="27" t="s">
        <v>8</v>
      </c>
      <c r="GV531" s="27" t="s">
        <v>7</v>
      </c>
      <c r="GW531" s="27" t="s">
        <v>8</v>
      </c>
      <c r="HD531" s="27" t="s">
        <v>7</v>
      </c>
      <c r="HN531" s="27" t="s">
        <v>7</v>
      </c>
      <c r="HO531" s="27" t="s">
        <v>8</v>
      </c>
      <c r="HP531" s="27" t="s">
        <v>7</v>
      </c>
      <c r="HQ531" s="27" t="s">
        <v>8</v>
      </c>
      <c r="HR531" s="27" t="s">
        <v>7</v>
      </c>
      <c r="IJ531" s="27" t="s">
        <v>7</v>
      </c>
      <c r="IL531" s="27" t="s">
        <v>7</v>
      </c>
      <c r="IM531" s="27" t="s">
        <v>8</v>
      </c>
      <c r="IP531" s="27" t="s">
        <v>7</v>
      </c>
      <c r="IY531" s="27" t="s">
        <v>8</v>
      </c>
      <c r="JB531" s="27" t="s">
        <v>7</v>
      </c>
      <c r="JC531" s="27" t="s">
        <v>8</v>
      </c>
      <c r="JF531" s="27" t="s">
        <v>7</v>
      </c>
      <c r="JG531" s="27" t="s">
        <v>8</v>
      </c>
      <c r="MB531" s="27" t="s">
        <v>7</v>
      </c>
      <c r="MC531" s="27" t="s">
        <v>8</v>
      </c>
    </row>
    <row r="532" spans="1:355" x14ac:dyDescent="0.25">
      <c r="A532" s="7">
        <v>2.9717306730230932</v>
      </c>
      <c r="B532"/>
      <c r="C532"/>
      <c r="D532"/>
      <c r="E532"/>
      <c r="AG532" s="27" t="s">
        <v>8</v>
      </c>
      <c r="AH532" s="27" t="s">
        <v>7</v>
      </c>
      <c r="FY532" s="27" t="s">
        <v>8</v>
      </c>
      <c r="FZ532" s="27" t="s">
        <v>7</v>
      </c>
      <c r="GA532" s="27" t="s">
        <v>8</v>
      </c>
      <c r="GP532" s="27" t="s">
        <v>7</v>
      </c>
      <c r="GR532" s="27" t="s">
        <v>7</v>
      </c>
      <c r="GS532" s="27" t="s">
        <v>8</v>
      </c>
      <c r="GT532" s="27" t="s">
        <v>7</v>
      </c>
      <c r="GU532" s="27" t="s">
        <v>8</v>
      </c>
      <c r="GV532" s="27" t="s">
        <v>7</v>
      </c>
      <c r="HN532" s="27" t="s">
        <v>7</v>
      </c>
      <c r="HO532" s="27" t="s">
        <v>8</v>
      </c>
      <c r="HP532" s="27" t="s">
        <v>7</v>
      </c>
      <c r="HQ532" s="27" t="s">
        <v>8</v>
      </c>
      <c r="IL532" s="27" t="s">
        <v>7</v>
      </c>
      <c r="IP532" s="27" t="s">
        <v>7</v>
      </c>
      <c r="IY532" s="27" t="s">
        <v>8</v>
      </c>
      <c r="JB532" s="27" t="s">
        <v>7</v>
      </c>
      <c r="JC532" s="27" t="s">
        <v>8</v>
      </c>
      <c r="JF532" s="27" t="s">
        <v>7</v>
      </c>
      <c r="MB532" s="27" t="s">
        <v>7</v>
      </c>
      <c r="MC532" s="27" t="s">
        <v>8</v>
      </c>
    </row>
    <row r="533" spans="1:355" x14ac:dyDescent="0.25">
      <c r="A533" s="7">
        <v>2.9134614441402875</v>
      </c>
      <c r="B533"/>
      <c r="C533"/>
      <c r="D533"/>
      <c r="E533"/>
      <c r="AG533" s="27" t="s">
        <v>8</v>
      </c>
      <c r="AH533" s="27" t="s">
        <v>7</v>
      </c>
      <c r="FY533" s="27" t="s">
        <v>8</v>
      </c>
      <c r="FZ533" s="27" t="s">
        <v>7</v>
      </c>
      <c r="GA533" s="27" t="s">
        <v>8</v>
      </c>
      <c r="GR533" s="27" t="s">
        <v>7</v>
      </c>
      <c r="GS533" s="27" t="s">
        <v>8</v>
      </c>
      <c r="GT533" s="27" t="s">
        <v>7</v>
      </c>
      <c r="GU533" s="27" t="s">
        <v>8</v>
      </c>
      <c r="HN533" s="27" t="s">
        <v>7</v>
      </c>
      <c r="HO533" s="27" t="s">
        <v>8</v>
      </c>
      <c r="HP533" s="27" t="s">
        <v>7</v>
      </c>
      <c r="HQ533" s="27" t="s">
        <v>8</v>
      </c>
      <c r="IP533" s="27" t="s">
        <v>7</v>
      </c>
      <c r="IY533" s="27" t="s">
        <v>8</v>
      </c>
      <c r="JB533" s="27" t="s">
        <v>7</v>
      </c>
      <c r="JC533" s="27" t="s">
        <v>8</v>
      </c>
      <c r="MB533" s="27" t="s">
        <v>7</v>
      </c>
    </row>
    <row r="534" spans="1:355" x14ac:dyDescent="0.25">
      <c r="A534" s="7">
        <v>2.8563347491571447</v>
      </c>
      <c r="B534"/>
      <c r="C534"/>
      <c r="D534"/>
      <c r="E534"/>
      <c r="AG534" s="27" t="s">
        <v>8</v>
      </c>
      <c r="AH534" s="27" t="s">
        <v>7</v>
      </c>
      <c r="AI534" s="27" t="s">
        <v>8</v>
      </c>
      <c r="FY534" s="27" t="s">
        <v>8</v>
      </c>
      <c r="FZ534" s="27" t="s">
        <v>7</v>
      </c>
      <c r="GA534" s="27" t="s">
        <v>8</v>
      </c>
      <c r="GR534" s="27" t="s">
        <v>7</v>
      </c>
      <c r="GS534" s="27" t="s">
        <v>8</v>
      </c>
      <c r="GT534" s="27" t="s">
        <v>7</v>
      </c>
      <c r="GU534" s="27" t="s">
        <v>8</v>
      </c>
      <c r="HN534" s="27" t="s">
        <v>7</v>
      </c>
      <c r="HO534" s="27" t="s">
        <v>8</v>
      </c>
      <c r="HP534" s="27" t="s">
        <v>7</v>
      </c>
      <c r="HQ534" s="27" t="s">
        <v>8</v>
      </c>
      <c r="IP534" s="27" t="s">
        <v>7</v>
      </c>
      <c r="IY534" s="27" t="s">
        <v>8</v>
      </c>
      <c r="JB534" s="27" t="s">
        <v>7</v>
      </c>
      <c r="JC534" s="27" t="s">
        <v>8</v>
      </c>
    </row>
    <row r="535" spans="1:355" x14ac:dyDescent="0.25">
      <c r="A535" s="7">
        <v>2.8003281854481812</v>
      </c>
      <c r="B535"/>
      <c r="C535"/>
      <c r="D535"/>
      <c r="E535"/>
      <c r="AG535" s="27" t="s">
        <v>8</v>
      </c>
      <c r="AH535" s="27" t="s">
        <v>7</v>
      </c>
      <c r="AI535" s="27" t="s">
        <v>8</v>
      </c>
      <c r="AJ535" s="27" t="s">
        <v>7</v>
      </c>
      <c r="FY535" s="27" t="s">
        <v>8</v>
      </c>
      <c r="FZ535" s="27" t="s">
        <v>7</v>
      </c>
      <c r="GA535" s="27" t="s">
        <v>8</v>
      </c>
      <c r="GR535" s="27" t="s">
        <v>7</v>
      </c>
      <c r="GS535" s="27" t="s">
        <v>8</v>
      </c>
      <c r="GT535" s="27" t="s">
        <v>7</v>
      </c>
      <c r="GU535" s="27" t="s">
        <v>8</v>
      </c>
      <c r="HN535" s="27" t="s">
        <v>7</v>
      </c>
      <c r="HP535" s="27" t="s">
        <v>7</v>
      </c>
      <c r="HQ535" s="27" t="s">
        <v>8</v>
      </c>
      <c r="IP535" s="27" t="s">
        <v>7</v>
      </c>
      <c r="IY535" s="27" t="s">
        <v>8</v>
      </c>
      <c r="JB535" s="27" t="s">
        <v>7</v>
      </c>
      <c r="JC535" s="27" t="s">
        <v>8</v>
      </c>
    </row>
    <row r="536" spans="1:355" x14ac:dyDescent="0.25">
      <c r="A536" s="7">
        <v>2.7454197896550796</v>
      </c>
      <c r="B536"/>
      <c r="C536"/>
      <c r="D536"/>
      <c r="E536"/>
      <c r="AG536" s="27" t="s">
        <v>8</v>
      </c>
      <c r="AH536" s="27" t="s">
        <v>7</v>
      </c>
      <c r="AI536" s="27" t="s">
        <v>8</v>
      </c>
      <c r="AJ536" s="27" t="s">
        <v>7</v>
      </c>
      <c r="FY536" s="27" t="s">
        <v>8</v>
      </c>
      <c r="FZ536" s="27" t="s">
        <v>7</v>
      </c>
      <c r="GA536" s="27" t="s">
        <v>8</v>
      </c>
      <c r="GR536" s="27" t="s">
        <v>7</v>
      </c>
      <c r="GS536" s="27" t="s">
        <v>8</v>
      </c>
      <c r="GT536" s="27" t="s">
        <v>7</v>
      </c>
      <c r="HP536" s="27" t="s">
        <v>7</v>
      </c>
      <c r="HQ536" s="27" t="s">
        <v>8</v>
      </c>
      <c r="IP536" s="27" t="s">
        <v>7</v>
      </c>
      <c r="IQ536" s="27" t="s">
        <v>8</v>
      </c>
      <c r="IS536" s="27" t="s">
        <v>8</v>
      </c>
      <c r="IW536" s="27" t="s">
        <v>8</v>
      </c>
      <c r="IY536" s="27" t="s">
        <v>8</v>
      </c>
      <c r="JB536" s="27" t="s">
        <v>7</v>
      </c>
      <c r="JC536" s="27" t="s">
        <v>8</v>
      </c>
    </row>
    <row r="537" spans="1:355" x14ac:dyDescent="0.25">
      <c r="A537" s="7">
        <v>2.6915880290736074</v>
      </c>
      <c r="B537"/>
      <c r="C537"/>
      <c r="D537"/>
      <c r="E537"/>
      <c r="AG537" s="27" t="s">
        <v>8</v>
      </c>
      <c r="AH537" s="27" t="s">
        <v>7</v>
      </c>
      <c r="AI537" s="27" t="s">
        <v>8</v>
      </c>
      <c r="AJ537" s="27" t="s">
        <v>7</v>
      </c>
      <c r="FY537" s="27" t="s">
        <v>8</v>
      </c>
      <c r="FZ537" s="27" t="s">
        <v>7</v>
      </c>
      <c r="GA537" s="27" t="s">
        <v>8</v>
      </c>
      <c r="GR537" s="27" t="s">
        <v>7</v>
      </c>
      <c r="GS537" s="27" t="s">
        <v>8</v>
      </c>
      <c r="HP537" s="27" t="s">
        <v>7</v>
      </c>
      <c r="HQ537" s="27" t="s">
        <v>8</v>
      </c>
      <c r="IP537" s="27" t="s">
        <v>7</v>
      </c>
      <c r="IQ537" s="27" t="s">
        <v>8</v>
      </c>
      <c r="IR537" s="27" t="s">
        <v>7</v>
      </c>
      <c r="IS537" s="27" t="s">
        <v>8</v>
      </c>
      <c r="IT537" s="27" t="s">
        <v>7</v>
      </c>
      <c r="IW537" s="27" t="s">
        <v>8</v>
      </c>
      <c r="IX537" s="27" t="s">
        <v>7</v>
      </c>
      <c r="IY537" s="27" t="s">
        <v>8</v>
      </c>
      <c r="JB537" s="27" t="s">
        <v>7</v>
      </c>
      <c r="JC537" s="27" t="s">
        <v>8</v>
      </c>
    </row>
    <row r="538" spans="1:355" x14ac:dyDescent="0.25">
      <c r="A538" s="7">
        <v>2.6388117932094191</v>
      </c>
      <c r="B538"/>
      <c r="C538"/>
      <c r="D538"/>
      <c r="E538"/>
      <c r="AG538" s="27" t="s">
        <v>8</v>
      </c>
      <c r="AH538" s="27" t="s">
        <v>7</v>
      </c>
      <c r="AI538" s="27" t="s">
        <v>8</v>
      </c>
      <c r="AJ538" s="27" t="s">
        <v>7</v>
      </c>
      <c r="AM538" s="27" t="s">
        <v>8</v>
      </c>
      <c r="FY538" s="27" t="s">
        <v>8</v>
      </c>
      <c r="FZ538" s="27" t="s">
        <v>7</v>
      </c>
      <c r="GA538" s="27" t="s">
        <v>8</v>
      </c>
      <c r="GR538" s="27" t="s">
        <v>7</v>
      </c>
      <c r="GS538" s="27" t="s">
        <v>8</v>
      </c>
      <c r="HP538" s="27" t="s">
        <v>7</v>
      </c>
      <c r="IP538" s="27" t="s">
        <v>7</v>
      </c>
      <c r="IQ538" s="27" t="s">
        <v>8</v>
      </c>
      <c r="IR538" s="27" t="s">
        <v>7</v>
      </c>
      <c r="IS538" s="27" t="s">
        <v>8</v>
      </c>
      <c r="IT538" s="27" t="s">
        <v>7</v>
      </c>
      <c r="IW538" s="27" t="s">
        <v>8</v>
      </c>
      <c r="IX538" s="27" t="s">
        <v>7</v>
      </c>
      <c r="IY538" s="27" t="s">
        <v>8</v>
      </c>
      <c r="JB538" s="27" t="s">
        <v>7</v>
      </c>
    </row>
    <row r="539" spans="1:355" x14ac:dyDescent="0.25">
      <c r="A539" s="7">
        <v>2.5870703854994304</v>
      </c>
      <c r="B539"/>
      <c r="C539"/>
      <c r="D539"/>
      <c r="E539"/>
      <c r="AG539" s="27" t="s">
        <v>8</v>
      </c>
      <c r="AH539" s="27" t="s">
        <v>7</v>
      </c>
      <c r="AI539" s="27" t="s">
        <v>8</v>
      </c>
      <c r="AJ539" s="27" t="s">
        <v>7</v>
      </c>
      <c r="AM539" s="27" t="s">
        <v>8</v>
      </c>
      <c r="AN539" s="27" t="s">
        <v>7</v>
      </c>
      <c r="FY539" s="27" t="s">
        <v>8</v>
      </c>
      <c r="FZ539" s="27" t="s">
        <v>7</v>
      </c>
      <c r="GA539" s="27" t="s">
        <v>8</v>
      </c>
      <c r="GR539" s="27" t="s">
        <v>7</v>
      </c>
      <c r="GS539" s="27" t="s">
        <v>8</v>
      </c>
      <c r="IP539" s="27" t="s">
        <v>7</v>
      </c>
      <c r="IQ539" s="27" t="s">
        <v>8</v>
      </c>
      <c r="IR539" s="27" t="s">
        <v>7</v>
      </c>
      <c r="IS539" s="27" t="s">
        <v>8</v>
      </c>
      <c r="IT539" s="27" t="s">
        <v>7</v>
      </c>
      <c r="IU539" s="27" t="s">
        <v>8</v>
      </c>
      <c r="IW539" s="27" t="s">
        <v>8</v>
      </c>
      <c r="IX539" s="27" t="s">
        <v>7</v>
      </c>
      <c r="IY539" s="27" t="s">
        <v>8</v>
      </c>
    </row>
    <row r="540" spans="1:355" x14ac:dyDescent="0.25">
      <c r="A540" s="7">
        <v>2.53634351519552</v>
      </c>
      <c r="B540"/>
      <c r="C540"/>
      <c r="D540"/>
      <c r="E540"/>
      <c r="AG540" s="27" t="s">
        <v>8</v>
      </c>
      <c r="AH540" s="27" t="s">
        <v>7</v>
      </c>
      <c r="AI540" s="27" t="s">
        <v>8</v>
      </c>
      <c r="AJ540" s="27" t="s">
        <v>7</v>
      </c>
      <c r="AM540" s="27" t="s">
        <v>8</v>
      </c>
      <c r="AN540" s="27" t="s">
        <v>7</v>
      </c>
      <c r="FY540" s="27" t="s">
        <v>8</v>
      </c>
      <c r="FZ540" s="27" t="s">
        <v>7</v>
      </c>
      <c r="GA540" s="27" t="s">
        <v>8</v>
      </c>
      <c r="GR540" s="27" t="s">
        <v>7</v>
      </c>
      <c r="IP540" s="27" t="s">
        <v>7</v>
      </c>
      <c r="IQ540" s="27" t="s">
        <v>8</v>
      </c>
      <c r="IR540" s="27" t="s">
        <v>7</v>
      </c>
      <c r="IS540" s="27" t="s">
        <v>8</v>
      </c>
      <c r="IT540" s="27" t="s">
        <v>7</v>
      </c>
      <c r="IU540" s="27" t="s">
        <v>8</v>
      </c>
      <c r="IV540" s="27" t="s">
        <v>7</v>
      </c>
      <c r="IW540" s="27" t="s">
        <v>8</v>
      </c>
      <c r="IX540" s="27" t="s">
        <v>7</v>
      </c>
      <c r="IY540" s="27" t="s">
        <v>8</v>
      </c>
    </row>
    <row r="541" spans="1:355" x14ac:dyDescent="0.25">
      <c r="A541" s="7">
        <v>2.4866112894073726</v>
      </c>
      <c r="B541"/>
      <c r="C541"/>
      <c r="D541"/>
      <c r="E541"/>
      <c r="AG541" s="27" t="s">
        <v>8</v>
      </c>
      <c r="AH541" s="27" t="s">
        <v>7</v>
      </c>
      <c r="AI541" s="27" t="s">
        <v>8</v>
      </c>
      <c r="AJ541" s="27" t="s">
        <v>7</v>
      </c>
      <c r="AK541" s="27" t="s">
        <v>8</v>
      </c>
      <c r="AM541" s="27" t="s">
        <v>8</v>
      </c>
      <c r="AN541" s="27" t="s">
        <v>7</v>
      </c>
      <c r="FY541" s="27" t="s">
        <v>8</v>
      </c>
      <c r="FZ541" s="27" t="s">
        <v>7</v>
      </c>
      <c r="IP541" s="27" t="s">
        <v>7</v>
      </c>
      <c r="IQ541" s="27" t="s">
        <v>8</v>
      </c>
      <c r="IR541" s="27" t="s">
        <v>7</v>
      </c>
      <c r="IS541" s="27" t="s">
        <v>8</v>
      </c>
      <c r="IT541" s="27" t="s">
        <v>7</v>
      </c>
      <c r="IU541" s="27" t="s">
        <v>8</v>
      </c>
      <c r="IV541" s="27" t="s">
        <v>7</v>
      </c>
      <c r="IW541" s="27" t="s">
        <v>8</v>
      </c>
      <c r="IX541" s="27" t="s">
        <v>7</v>
      </c>
    </row>
    <row r="542" spans="1:355" x14ac:dyDescent="0.25">
      <c r="A542" s="7">
        <v>2.4378542053013459</v>
      </c>
      <c r="B542"/>
      <c r="C542"/>
      <c r="D542"/>
      <c r="E542" t="s">
        <v>8</v>
      </c>
      <c r="Y542" s="27" t="s">
        <v>8</v>
      </c>
      <c r="AG542" s="27" t="s">
        <v>8</v>
      </c>
      <c r="AH542" s="27" t="s">
        <v>7</v>
      </c>
      <c r="AI542" s="27" t="s">
        <v>8</v>
      </c>
      <c r="AJ542" s="27" t="s">
        <v>7</v>
      </c>
      <c r="AK542" s="27" t="s">
        <v>8</v>
      </c>
      <c r="AL542" s="27" t="s">
        <v>7</v>
      </c>
      <c r="AM542" s="27" t="s">
        <v>8</v>
      </c>
      <c r="AN542" s="27" t="s">
        <v>7</v>
      </c>
      <c r="FY542" s="27" t="s">
        <v>8</v>
      </c>
      <c r="IP542" s="27" t="s">
        <v>7</v>
      </c>
      <c r="IQ542" s="27" t="s">
        <v>8</v>
      </c>
      <c r="IR542" s="27" t="s">
        <v>7</v>
      </c>
      <c r="IT542" s="27" t="s">
        <v>7</v>
      </c>
      <c r="IV542" s="27" t="s">
        <v>7</v>
      </c>
      <c r="IW542" s="27" t="s">
        <v>8</v>
      </c>
    </row>
    <row r="543" spans="1:355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U543" s="27" t="s">
        <v>8</v>
      </c>
      <c r="Y543" s="27" t="s">
        <v>8</v>
      </c>
      <c r="Z543" s="27" t="s">
        <v>7</v>
      </c>
      <c r="AG543" s="27" t="s">
        <v>8</v>
      </c>
      <c r="AH543" s="27" t="s">
        <v>7</v>
      </c>
      <c r="AI543" s="27" t="s">
        <v>8</v>
      </c>
      <c r="AJ543" s="27" t="s">
        <v>7</v>
      </c>
      <c r="AK543" s="27" t="s">
        <v>8</v>
      </c>
      <c r="AL543" s="27" t="s">
        <v>7</v>
      </c>
      <c r="AM543" s="27" t="s">
        <v>8</v>
      </c>
      <c r="AN543" s="27" t="s">
        <v>7</v>
      </c>
      <c r="FY543" s="27" t="s">
        <v>8</v>
      </c>
      <c r="IP543" s="27" t="s">
        <v>7</v>
      </c>
      <c r="IQ543" s="27" t="s">
        <v>8</v>
      </c>
      <c r="IV543" s="27" t="s">
        <v>7</v>
      </c>
    </row>
    <row r="544" spans="1:355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U544" s="27" t="s">
        <v>8</v>
      </c>
      <c r="V544" s="27" t="s">
        <v>7</v>
      </c>
      <c r="Y544" s="27" t="s">
        <v>8</v>
      </c>
      <c r="Z544" s="27" t="s">
        <v>7</v>
      </c>
      <c r="AA544" s="27" t="s">
        <v>8</v>
      </c>
      <c r="AG544" s="27" t="s">
        <v>8</v>
      </c>
      <c r="AH544" s="27" t="s">
        <v>7</v>
      </c>
      <c r="AI544" s="27" t="s">
        <v>8</v>
      </c>
      <c r="AJ544" s="27" t="s">
        <v>7</v>
      </c>
      <c r="AK544" s="27" t="s">
        <v>8</v>
      </c>
      <c r="AL544" s="27" t="s">
        <v>7</v>
      </c>
      <c r="AM544" s="27" t="s">
        <v>8</v>
      </c>
      <c r="AN544" s="27" t="s">
        <v>7</v>
      </c>
      <c r="FY544" s="27" t="s">
        <v>8</v>
      </c>
      <c r="IP544" s="27" t="s">
        <v>7</v>
      </c>
      <c r="IQ544" s="27" t="s">
        <v>8</v>
      </c>
    </row>
    <row r="545" spans="1:251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U545" s="27" t="s">
        <v>8</v>
      </c>
      <c r="V545" s="27" t="s">
        <v>7</v>
      </c>
      <c r="Y545" s="27" t="s">
        <v>8</v>
      </c>
      <c r="Z545" s="27" t="s">
        <v>7</v>
      </c>
      <c r="AA545" s="27" t="s">
        <v>8</v>
      </c>
      <c r="AB545" s="27" t="s">
        <v>7</v>
      </c>
      <c r="AG545" s="27" t="s">
        <v>8</v>
      </c>
      <c r="AH545" s="27" t="s">
        <v>7</v>
      </c>
      <c r="AI545" s="27" t="s">
        <v>8</v>
      </c>
      <c r="AJ545" s="27" t="s">
        <v>7</v>
      </c>
      <c r="AK545" s="27" t="s">
        <v>8</v>
      </c>
      <c r="AL545" s="27" t="s">
        <v>7</v>
      </c>
      <c r="AN545" s="27" t="s">
        <v>7</v>
      </c>
      <c r="FY545" s="27" t="s">
        <v>8</v>
      </c>
      <c r="IP545" s="27" t="s">
        <v>7</v>
      </c>
      <c r="IQ545" s="27" t="s">
        <v>8</v>
      </c>
    </row>
    <row r="546" spans="1:251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U546" s="27" t="s">
        <v>8</v>
      </c>
      <c r="V546" s="27" t="s">
        <v>7</v>
      </c>
      <c r="Y546" s="27" t="s">
        <v>8</v>
      </c>
      <c r="Z546" s="27" t="s">
        <v>7</v>
      </c>
      <c r="AA546" s="27" t="s">
        <v>8</v>
      </c>
      <c r="AB546" s="27" t="s">
        <v>7</v>
      </c>
      <c r="AG546" s="27" t="s">
        <v>8</v>
      </c>
      <c r="AH546" s="27" t="s">
        <v>7</v>
      </c>
      <c r="AJ546" s="27" t="s">
        <v>7</v>
      </c>
      <c r="AN546" s="27" t="s">
        <v>7</v>
      </c>
      <c r="FY546" s="27" t="s">
        <v>8</v>
      </c>
      <c r="IP546" s="27" t="s">
        <v>7</v>
      </c>
      <c r="IQ546" s="27" t="s">
        <v>8</v>
      </c>
    </row>
    <row r="547" spans="1:251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U547" s="27" t="s">
        <v>8</v>
      </c>
      <c r="V547" s="27" t="s">
        <v>7</v>
      </c>
      <c r="Y547" s="27" t="s">
        <v>8</v>
      </c>
      <c r="Z547" s="27" t="s">
        <v>7</v>
      </c>
      <c r="AA547" s="27" t="s">
        <v>8</v>
      </c>
      <c r="AB547" s="27" t="s">
        <v>7</v>
      </c>
      <c r="AE547" s="27" t="s">
        <v>8</v>
      </c>
      <c r="AG547" s="27" t="s">
        <v>8</v>
      </c>
      <c r="AN547" s="27" t="s">
        <v>7</v>
      </c>
      <c r="EU547" s="27" t="s">
        <v>8</v>
      </c>
      <c r="FY547" s="27" t="s">
        <v>8</v>
      </c>
      <c r="IP547" s="27" t="s">
        <v>7</v>
      </c>
      <c r="IQ547" s="27" t="s">
        <v>8</v>
      </c>
    </row>
    <row r="548" spans="1:251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U548" s="27" t="s">
        <v>8</v>
      </c>
      <c r="V548" s="27" t="s">
        <v>7</v>
      </c>
      <c r="Y548" s="27" t="s">
        <v>8</v>
      </c>
      <c r="Z548" s="27" t="s">
        <v>7</v>
      </c>
      <c r="AA548" s="27" t="s">
        <v>8</v>
      </c>
      <c r="AB548" s="27" t="s">
        <v>7</v>
      </c>
      <c r="AE548" s="27" t="s">
        <v>8</v>
      </c>
      <c r="AF548" s="27" t="s">
        <v>7</v>
      </c>
      <c r="AG548" s="27" t="s">
        <v>8</v>
      </c>
      <c r="AN548" s="27" t="s">
        <v>7</v>
      </c>
      <c r="EU548" s="27" t="s">
        <v>8</v>
      </c>
      <c r="EV548" s="27" t="s">
        <v>7</v>
      </c>
      <c r="FY548" s="27" t="s">
        <v>8</v>
      </c>
      <c r="IP548" s="27" t="s">
        <v>7</v>
      </c>
      <c r="IQ548" s="27" t="s">
        <v>8</v>
      </c>
    </row>
    <row r="549" spans="1:251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U549" s="27" t="s">
        <v>8</v>
      </c>
      <c r="V549" s="27" t="s">
        <v>7</v>
      </c>
      <c r="W549" s="27" t="s">
        <v>8</v>
      </c>
      <c r="Y549" s="27" t="s">
        <v>8</v>
      </c>
      <c r="Z549" s="27" t="s">
        <v>7</v>
      </c>
      <c r="AB549" s="27" t="s">
        <v>7</v>
      </c>
      <c r="AE549" s="27" t="s">
        <v>8</v>
      </c>
      <c r="AF549" s="27" t="s">
        <v>7</v>
      </c>
      <c r="AG549" s="27" t="s">
        <v>8</v>
      </c>
      <c r="AN549" s="27" t="s">
        <v>7</v>
      </c>
      <c r="EU549" s="27" t="s">
        <v>8</v>
      </c>
      <c r="EV549" s="27" t="s">
        <v>7</v>
      </c>
      <c r="FY549" s="27" t="s">
        <v>8</v>
      </c>
      <c r="IP549" s="27" t="s">
        <v>7</v>
      </c>
      <c r="IQ549" s="27" t="s">
        <v>8</v>
      </c>
    </row>
    <row r="550" spans="1:251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U550" s="27" t="s">
        <v>8</v>
      </c>
      <c r="V550" s="27" t="s">
        <v>7</v>
      </c>
      <c r="W550" s="27" t="s">
        <v>8</v>
      </c>
      <c r="X550" s="27" t="s">
        <v>7</v>
      </c>
      <c r="Y550" s="27" t="s">
        <v>8</v>
      </c>
      <c r="AB550" s="27" t="s">
        <v>7</v>
      </c>
      <c r="AE550" s="27" t="s">
        <v>8</v>
      </c>
      <c r="AF550" s="27" t="s">
        <v>7</v>
      </c>
      <c r="AG550" s="27" t="s">
        <v>8</v>
      </c>
      <c r="AN550" s="27" t="s">
        <v>7</v>
      </c>
      <c r="EU550" s="27" t="s">
        <v>8</v>
      </c>
      <c r="EV550" s="27" t="s">
        <v>7</v>
      </c>
      <c r="FW550" s="27" t="s">
        <v>8</v>
      </c>
      <c r="FY550" s="27" t="s">
        <v>8</v>
      </c>
      <c r="IP550" s="27" t="s">
        <v>7</v>
      </c>
      <c r="IQ550" s="27" t="s">
        <v>8</v>
      </c>
    </row>
    <row r="551" spans="1:251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U551" s="27" t="s">
        <v>8</v>
      </c>
      <c r="V551" s="27" t="s">
        <v>7</v>
      </c>
      <c r="W551" s="27" t="s">
        <v>8</v>
      </c>
      <c r="X551" s="27" t="s">
        <v>7</v>
      </c>
      <c r="Y551" s="27" t="s">
        <v>8</v>
      </c>
      <c r="AB551" s="27" t="s">
        <v>7</v>
      </c>
      <c r="AC551" s="27" t="s">
        <v>8</v>
      </c>
      <c r="AE551" s="27" t="s">
        <v>8</v>
      </c>
      <c r="AF551" s="27" t="s">
        <v>7</v>
      </c>
      <c r="AN551" s="27" t="s">
        <v>7</v>
      </c>
      <c r="EU551" s="27" t="s">
        <v>8</v>
      </c>
      <c r="EV551" s="27" t="s">
        <v>7</v>
      </c>
      <c r="FW551" s="27" t="s">
        <v>8</v>
      </c>
      <c r="FX551" s="27" t="s">
        <v>7</v>
      </c>
      <c r="FY551" s="27" t="s">
        <v>8</v>
      </c>
      <c r="IP551" s="27" t="s">
        <v>7</v>
      </c>
      <c r="IQ551" s="27" t="s">
        <v>8</v>
      </c>
    </row>
    <row r="552" spans="1:251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U552" s="27" t="s">
        <v>8</v>
      </c>
      <c r="V552" s="27" t="s">
        <v>7</v>
      </c>
      <c r="W552" s="27" t="s">
        <v>8</v>
      </c>
      <c r="X552" s="27" t="s">
        <v>7</v>
      </c>
      <c r="Y552" s="27" t="s">
        <v>8</v>
      </c>
      <c r="AB552" s="27" t="s">
        <v>7</v>
      </c>
      <c r="AC552" s="27" t="s">
        <v>8</v>
      </c>
      <c r="AD552" s="27" t="s">
        <v>7</v>
      </c>
      <c r="AE552" s="27" t="s">
        <v>8</v>
      </c>
      <c r="AN552" s="27" t="s">
        <v>7</v>
      </c>
      <c r="AO552" s="27" t="s">
        <v>8</v>
      </c>
      <c r="EU552" s="27" t="s">
        <v>8</v>
      </c>
      <c r="EV552" s="27" t="s">
        <v>7</v>
      </c>
      <c r="FW552" s="27" t="s">
        <v>8</v>
      </c>
      <c r="FX552" s="27" t="s">
        <v>7</v>
      </c>
      <c r="FY552" s="27" t="s">
        <v>8</v>
      </c>
      <c r="IP552" s="27" t="s">
        <v>7</v>
      </c>
    </row>
    <row r="553" spans="1:251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H553" s="27" t="s">
        <v>7</v>
      </c>
      <c r="I553" s="27" t="s">
        <v>8</v>
      </c>
      <c r="U553" s="27" t="s">
        <v>8</v>
      </c>
      <c r="V553" s="27" t="s">
        <v>7</v>
      </c>
      <c r="W553" s="27" t="s">
        <v>8</v>
      </c>
      <c r="X553" s="27" t="s">
        <v>7</v>
      </c>
      <c r="Y553" s="27" t="s">
        <v>8</v>
      </c>
      <c r="AB553" s="27" t="s">
        <v>7</v>
      </c>
      <c r="AC553" s="27" t="s">
        <v>8</v>
      </c>
      <c r="AD553" s="27" t="s">
        <v>7</v>
      </c>
      <c r="AE553" s="27" t="s">
        <v>8</v>
      </c>
      <c r="AN553" s="27" t="s">
        <v>7</v>
      </c>
      <c r="AO553" s="27" t="s">
        <v>8</v>
      </c>
      <c r="AP553" s="27" t="s">
        <v>7</v>
      </c>
      <c r="EU553" s="27" t="s">
        <v>8</v>
      </c>
      <c r="EV553" s="27" t="s">
        <v>7</v>
      </c>
      <c r="FW553" s="27" t="s">
        <v>8</v>
      </c>
      <c r="FX553" s="27" t="s">
        <v>7</v>
      </c>
      <c r="FY553" s="27" t="s">
        <v>8</v>
      </c>
    </row>
    <row r="554" spans="1:251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H554" s="27" t="s">
        <v>7</v>
      </c>
      <c r="I554" s="27" t="s">
        <v>8</v>
      </c>
      <c r="J554" s="27" t="s">
        <v>7</v>
      </c>
      <c r="U554" s="27" t="s">
        <v>8</v>
      </c>
      <c r="V554" s="27" t="s">
        <v>7</v>
      </c>
      <c r="W554" s="27" t="s">
        <v>8</v>
      </c>
      <c r="X554" s="27" t="s">
        <v>7</v>
      </c>
      <c r="Y554" s="27" t="s">
        <v>8</v>
      </c>
      <c r="AB554" s="27" t="s">
        <v>7</v>
      </c>
      <c r="AC554" s="27" t="s">
        <v>8</v>
      </c>
      <c r="AD554" s="27" t="s">
        <v>7</v>
      </c>
      <c r="AE554" s="27" t="s">
        <v>8</v>
      </c>
      <c r="AN554" s="27" t="s">
        <v>7</v>
      </c>
      <c r="AO554" s="27" t="s">
        <v>8</v>
      </c>
      <c r="AP554" s="27" t="s">
        <v>7</v>
      </c>
      <c r="EU554" s="27" t="s">
        <v>8</v>
      </c>
      <c r="EV554" s="27" t="s">
        <v>7</v>
      </c>
      <c r="FW554" s="27" t="s">
        <v>8</v>
      </c>
      <c r="FX554" s="27" t="s">
        <v>7</v>
      </c>
    </row>
    <row r="555" spans="1:251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H555" s="27" t="s">
        <v>7</v>
      </c>
      <c r="I555" s="27" t="s">
        <v>8</v>
      </c>
      <c r="J555" s="27" t="s">
        <v>7</v>
      </c>
      <c r="U555" s="27" t="s">
        <v>8</v>
      </c>
      <c r="V555" s="27" t="s">
        <v>7</v>
      </c>
      <c r="W555" s="27" t="s">
        <v>8</v>
      </c>
      <c r="X555" s="27" t="s">
        <v>7</v>
      </c>
      <c r="Y555" s="27" t="s">
        <v>8</v>
      </c>
      <c r="AB555" s="27" t="s">
        <v>7</v>
      </c>
      <c r="AD555" s="27" t="s">
        <v>7</v>
      </c>
      <c r="AE555" s="27" t="s">
        <v>8</v>
      </c>
      <c r="AN555" s="27" t="s">
        <v>7</v>
      </c>
      <c r="AO555" s="27" t="s">
        <v>8</v>
      </c>
      <c r="AP555" s="27" t="s">
        <v>7</v>
      </c>
      <c r="EU555" s="27" t="s">
        <v>8</v>
      </c>
      <c r="EV555" s="27" t="s">
        <v>7</v>
      </c>
      <c r="FW555" s="27" t="s">
        <v>8</v>
      </c>
    </row>
    <row r="556" spans="1:251" x14ac:dyDescent="0.25">
      <c r="A556" s="7">
        <v>1.8475888157854219</v>
      </c>
      <c r="B556"/>
      <c r="C556"/>
      <c r="D556"/>
      <c r="E556" t="s">
        <v>8</v>
      </c>
      <c r="H556" s="27" t="s">
        <v>7</v>
      </c>
      <c r="I556" s="27" t="s">
        <v>8</v>
      </c>
      <c r="J556" s="27" t="s">
        <v>7</v>
      </c>
      <c r="U556" s="27" t="s">
        <v>8</v>
      </c>
      <c r="V556" s="27" t="s">
        <v>7</v>
      </c>
      <c r="X556" s="27" t="s">
        <v>7</v>
      </c>
      <c r="Y556" s="27" t="s">
        <v>8</v>
      </c>
      <c r="AD556" s="27" t="s">
        <v>7</v>
      </c>
      <c r="AN556" s="27" t="s">
        <v>7</v>
      </c>
      <c r="AP556" s="27" t="s">
        <v>7</v>
      </c>
      <c r="AS556" s="27" t="s">
        <v>8</v>
      </c>
      <c r="EU556" s="27" t="s">
        <v>8</v>
      </c>
      <c r="EV556" s="27" t="s">
        <v>7</v>
      </c>
      <c r="EW556" s="27" t="s">
        <v>8</v>
      </c>
      <c r="FU556" s="27" t="s">
        <v>8</v>
      </c>
      <c r="FW556" s="27" t="s">
        <v>8</v>
      </c>
    </row>
    <row r="557" spans="1:251" x14ac:dyDescent="0.25">
      <c r="A557" s="7">
        <v>1.8113615841033548</v>
      </c>
      <c r="B557"/>
      <c r="C557"/>
      <c r="D557"/>
      <c r="E557" t="s">
        <v>8</v>
      </c>
      <c r="H557" s="27" t="s">
        <v>7</v>
      </c>
      <c r="J557" s="27" t="s">
        <v>7</v>
      </c>
      <c r="S557" s="27" t="s">
        <v>8</v>
      </c>
      <c r="U557" s="27" t="s">
        <v>8</v>
      </c>
      <c r="X557" s="27" t="s">
        <v>7</v>
      </c>
      <c r="AP557" s="27" t="s">
        <v>7</v>
      </c>
      <c r="AS557" s="27" t="s">
        <v>8</v>
      </c>
      <c r="AT557" s="27" t="s">
        <v>7</v>
      </c>
      <c r="EU557" s="27" t="s">
        <v>8</v>
      </c>
      <c r="EV557" s="27" t="s">
        <v>7</v>
      </c>
      <c r="EW557" s="27" t="s">
        <v>8</v>
      </c>
      <c r="EX557" s="27" t="s">
        <v>7</v>
      </c>
      <c r="FU557" s="27" t="s">
        <v>8</v>
      </c>
      <c r="FV557" s="27" t="s">
        <v>7</v>
      </c>
      <c r="FW557" s="27" t="s">
        <v>8</v>
      </c>
    </row>
    <row r="558" spans="1:251" x14ac:dyDescent="0.25">
      <c r="A558" s="7">
        <v>1.7758446902974065</v>
      </c>
      <c r="B558"/>
      <c r="C558"/>
      <c r="D558"/>
      <c r="E558" t="s">
        <v>8</v>
      </c>
      <c r="J558" s="27" t="s">
        <v>7</v>
      </c>
      <c r="S558" s="27" t="s">
        <v>8</v>
      </c>
      <c r="T558" s="27" t="s">
        <v>7</v>
      </c>
      <c r="U558" s="27" t="s">
        <v>8</v>
      </c>
      <c r="AP558" s="27" t="s">
        <v>7</v>
      </c>
      <c r="AS558" s="27" t="s">
        <v>8</v>
      </c>
      <c r="AT558" s="27" t="s">
        <v>7</v>
      </c>
      <c r="EU558" s="27" t="s">
        <v>8</v>
      </c>
      <c r="EV558" s="27" t="s">
        <v>7</v>
      </c>
      <c r="EW558" s="27" t="s">
        <v>8</v>
      </c>
      <c r="EX558" s="27" t="s">
        <v>7</v>
      </c>
      <c r="FA558" s="27" t="s">
        <v>8</v>
      </c>
      <c r="FC558" s="27" t="s">
        <v>8</v>
      </c>
      <c r="FU558" s="27" t="s">
        <v>8</v>
      </c>
      <c r="FV558" s="27" t="s">
        <v>7</v>
      </c>
      <c r="FW558" s="27" t="s">
        <v>8</v>
      </c>
    </row>
    <row r="559" spans="1:251" x14ac:dyDescent="0.25">
      <c r="A559" s="7">
        <v>1.7410242061739281</v>
      </c>
      <c r="B559"/>
      <c r="C559"/>
      <c r="D559"/>
      <c r="E559" t="s">
        <v>8</v>
      </c>
      <c r="J559" s="27" t="s">
        <v>7</v>
      </c>
      <c r="M559" s="27" t="s">
        <v>8</v>
      </c>
      <c r="S559" s="27" t="s">
        <v>8</v>
      </c>
      <c r="T559" s="27" t="s">
        <v>7</v>
      </c>
      <c r="U559" s="27" t="s">
        <v>8</v>
      </c>
      <c r="AP559" s="27" t="s">
        <v>7</v>
      </c>
      <c r="AS559" s="27" t="s">
        <v>8</v>
      </c>
      <c r="AT559" s="27" t="s">
        <v>7</v>
      </c>
      <c r="EU559" s="27" t="s">
        <v>8</v>
      </c>
      <c r="EV559" s="27" t="s">
        <v>7</v>
      </c>
      <c r="EW559" s="27" t="s">
        <v>8</v>
      </c>
      <c r="EX559" s="27" t="s">
        <v>7</v>
      </c>
      <c r="FA559" s="27" t="s">
        <v>8</v>
      </c>
      <c r="FB559" s="27" t="s">
        <v>7</v>
      </c>
      <c r="FC559" s="27" t="s">
        <v>8</v>
      </c>
      <c r="FD559" s="27" t="s">
        <v>7</v>
      </c>
      <c r="FQ559" s="27" t="s">
        <v>8</v>
      </c>
      <c r="FU559" s="27" t="s">
        <v>8</v>
      </c>
      <c r="FV559" s="27" t="s">
        <v>7</v>
      </c>
      <c r="FW559" s="27" t="s">
        <v>8</v>
      </c>
    </row>
    <row r="560" spans="1:251" x14ac:dyDescent="0.25">
      <c r="A560" s="7">
        <v>1.7068864766411058</v>
      </c>
      <c r="B560"/>
      <c r="C560"/>
      <c r="D560"/>
      <c r="E560" t="s">
        <v>8</v>
      </c>
      <c r="J560" s="27" t="s">
        <v>7</v>
      </c>
      <c r="M560" s="27" t="s">
        <v>8</v>
      </c>
      <c r="N560" s="27" t="s">
        <v>7</v>
      </c>
      <c r="S560" s="27" t="s">
        <v>8</v>
      </c>
      <c r="T560" s="27" t="s">
        <v>7</v>
      </c>
      <c r="U560" s="27" t="s">
        <v>8</v>
      </c>
      <c r="AP560" s="27" t="s">
        <v>7</v>
      </c>
      <c r="AS560" s="27" t="s">
        <v>8</v>
      </c>
      <c r="AT560" s="27" t="s">
        <v>7</v>
      </c>
      <c r="AU560" s="27" t="s">
        <v>8</v>
      </c>
      <c r="EU560" s="27" t="s">
        <v>8</v>
      </c>
      <c r="EV560" s="27" t="s">
        <v>7</v>
      </c>
      <c r="EW560" s="27" t="s">
        <v>8</v>
      </c>
      <c r="EX560" s="27" t="s">
        <v>7</v>
      </c>
      <c r="EY560" s="27" t="s">
        <v>8</v>
      </c>
      <c r="FA560" s="27" t="s">
        <v>8</v>
      </c>
      <c r="FB560" s="27" t="s">
        <v>7</v>
      </c>
      <c r="FC560" s="27" t="s">
        <v>8</v>
      </c>
      <c r="FD560" s="27" t="s">
        <v>7</v>
      </c>
      <c r="FQ560" s="27" t="s">
        <v>8</v>
      </c>
      <c r="FR560" s="27" t="s">
        <v>7</v>
      </c>
      <c r="FS560" s="27" t="s">
        <v>8</v>
      </c>
      <c r="FU560" s="27" t="s">
        <v>8</v>
      </c>
      <c r="FV560" s="27" t="s">
        <v>7</v>
      </c>
      <c r="FW560" s="27" t="s">
        <v>8</v>
      </c>
    </row>
    <row r="561" spans="1:179" x14ac:dyDescent="0.25">
      <c r="A561" s="7">
        <v>1.6734181143540252</v>
      </c>
      <c r="B561"/>
      <c r="C561"/>
      <c r="D561"/>
      <c r="E561" t="s">
        <v>8</v>
      </c>
      <c r="J561" s="27" t="s">
        <v>7</v>
      </c>
      <c r="M561" s="27" t="s">
        <v>8</v>
      </c>
      <c r="N561" s="27" t="s">
        <v>7</v>
      </c>
      <c r="O561" s="27" t="s">
        <v>8</v>
      </c>
      <c r="Q561" s="27" t="s">
        <v>8</v>
      </c>
      <c r="S561" s="27" t="s">
        <v>8</v>
      </c>
      <c r="T561" s="27" t="s">
        <v>7</v>
      </c>
      <c r="U561" s="27" t="s">
        <v>8</v>
      </c>
      <c r="AP561" s="27" t="s">
        <v>7</v>
      </c>
      <c r="AS561" s="27" t="s">
        <v>8</v>
      </c>
      <c r="AT561" s="27" t="s">
        <v>7</v>
      </c>
      <c r="AU561" s="27" t="s">
        <v>8</v>
      </c>
      <c r="AV561" s="27" t="s">
        <v>7</v>
      </c>
      <c r="EU561" s="27" t="s">
        <v>8</v>
      </c>
      <c r="EV561" s="27" t="s">
        <v>7</v>
      </c>
      <c r="EW561" s="27" t="s">
        <v>8</v>
      </c>
      <c r="EX561" s="27" t="s">
        <v>7</v>
      </c>
      <c r="EY561" s="27" t="s">
        <v>8</v>
      </c>
      <c r="EZ561" s="27" t="s">
        <v>7</v>
      </c>
      <c r="FA561" s="27" t="s">
        <v>8</v>
      </c>
      <c r="FB561" s="27" t="s">
        <v>7</v>
      </c>
      <c r="FC561" s="27" t="s">
        <v>8</v>
      </c>
      <c r="FD561" s="27" t="s">
        <v>7</v>
      </c>
      <c r="FE561" s="27" t="s">
        <v>8</v>
      </c>
      <c r="FI561" s="27" t="s">
        <v>8</v>
      </c>
      <c r="FQ561" s="27" t="s">
        <v>8</v>
      </c>
      <c r="FR561" s="27" t="s">
        <v>7</v>
      </c>
      <c r="FS561" s="27" t="s">
        <v>8</v>
      </c>
      <c r="FT561" s="27" t="s">
        <v>7</v>
      </c>
      <c r="FU561" s="27" t="s">
        <v>8</v>
      </c>
      <c r="FV561" s="27" t="s">
        <v>7</v>
      </c>
      <c r="FW561" s="27" t="s">
        <v>8</v>
      </c>
    </row>
    <row r="562" spans="1:179" x14ac:dyDescent="0.25">
      <c r="A562" s="7">
        <v>1.6406059944647307</v>
      </c>
      <c r="B562"/>
      <c r="C562"/>
      <c r="D562"/>
      <c r="E562" t="s">
        <v>8</v>
      </c>
      <c r="J562" s="27" t="s">
        <v>7</v>
      </c>
      <c r="M562" s="27" t="s">
        <v>8</v>
      </c>
      <c r="N562" s="27" t="s">
        <v>7</v>
      </c>
      <c r="O562" s="27" t="s">
        <v>8</v>
      </c>
      <c r="P562" s="27" t="s">
        <v>7</v>
      </c>
      <c r="Q562" s="27" t="s">
        <v>8</v>
      </c>
      <c r="R562" s="27" t="s">
        <v>7</v>
      </c>
      <c r="S562" s="27" t="s">
        <v>8</v>
      </c>
      <c r="T562" s="27" t="s">
        <v>7</v>
      </c>
      <c r="U562" s="27" t="s">
        <v>8</v>
      </c>
      <c r="AP562" s="27" t="s">
        <v>7</v>
      </c>
      <c r="AS562" s="27" t="s">
        <v>8</v>
      </c>
      <c r="AT562" s="27" t="s">
        <v>7</v>
      </c>
      <c r="AU562" s="27" t="s">
        <v>8</v>
      </c>
      <c r="AV562" s="27" t="s">
        <v>7</v>
      </c>
      <c r="EU562" s="27" t="s">
        <v>8</v>
      </c>
      <c r="EV562" s="27" t="s">
        <v>7</v>
      </c>
      <c r="EW562" s="27" t="s">
        <v>8</v>
      </c>
      <c r="EX562" s="27" t="s">
        <v>7</v>
      </c>
      <c r="EY562" s="27" t="s">
        <v>8</v>
      </c>
      <c r="EZ562" s="27" t="s">
        <v>7</v>
      </c>
      <c r="FA562" s="27" t="s">
        <v>8</v>
      </c>
      <c r="FB562" s="27" t="s">
        <v>7</v>
      </c>
      <c r="FC562" s="27" t="s">
        <v>8</v>
      </c>
      <c r="FD562" s="27" t="s">
        <v>7</v>
      </c>
      <c r="FE562" s="27" t="s">
        <v>8</v>
      </c>
      <c r="FF562" s="27" t="s">
        <v>7</v>
      </c>
      <c r="FI562" s="27" t="s">
        <v>8</v>
      </c>
      <c r="FJ562" s="27" t="s">
        <v>7</v>
      </c>
      <c r="FO562" s="27" t="s">
        <v>8</v>
      </c>
      <c r="FQ562" s="27" t="s">
        <v>8</v>
      </c>
      <c r="FR562" s="27" t="s">
        <v>7</v>
      </c>
      <c r="FS562" s="27" t="s">
        <v>8</v>
      </c>
      <c r="FT562" s="27" t="s">
        <v>7</v>
      </c>
      <c r="FU562" s="27" t="s">
        <v>8</v>
      </c>
      <c r="FV562" s="27" t="s">
        <v>7</v>
      </c>
      <c r="FW562" s="27" t="s">
        <v>8</v>
      </c>
    </row>
    <row r="563" spans="1:179" x14ac:dyDescent="0.25">
      <c r="A563" s="7">
        <v>1.6084372494752261</v>
      </c>
      <c r="B563"/>
      <c r="C563"/>
      <c r="D563"/>
      <c r="E563" t="s">
        <v>8</v>
      </c>
      <c r="J563" s="27" t="s">
        <v>7</v>
      </c>
      <c r="K563" s="27" t="s">
        <v>8</v>
      </c>
      <c r="M563" s="27" t="s">
        <v>8</v>
      </c>
      <c r="N563" s="27" t="s">
        <v>7</v>
      </c>
      <c r="O563" s="27" t="s">
        <v>8</v>
      </c>
      <c r="P563" s="27" t="s">
        <v>7</v>
      </c>
      <c r="Q563" s="27" t="s">
        <v>8</v>
      </c>
      <c r="R563" s="27" t="s">
        <v>7</v>
      </c>
      <c r="S563" s="27" t="s">
        <v>8</v>
      </c>
      <c r="T563" s="27" t="s">
        <v>7</v>
      </c>
      <c r="AP563" s="27" t="s">
        <v>7</v>
      </c>
      <c r="AS563" s="27" t="s">
        <v>8</v>
      </c>
      <c r="AT563" s="27" t="s">
        <v>7</v>
      </c>
      <c r="AU563" s="27" t="s">
        <v>8</v>
      </c>
      <c r="AV563" s="27" t="s">
        <v>7</v>
      </c>
      <c r="EU563" s="27" t="s">
        <v>8</v>
      </c>
      <c r="EV563" s="27" t="s">
        <v>7</v>
      </c>
      <c r="EW563" s="27" t="s">
        <v>8</v>
      </c>
      <c r="EX563" s="27" t="s">
        <v>7</v>
      </c>
      <c r="EY563" s="27" t="s">
        <v>8</v>
      </c>
      <c r="EZ563" s="27" t="s">
        <v>7</v>
      </c>
      <c r="FA563" s="27" t="s">
        <v>8</v>
      </c>
      <c r="FB563" s="27" t="s">
        <v>7</v>
      </c>
      <c r="FD563" s="27" t="s">
        <v>7</v>
      </c>
      <c r="FE563" s="27" t="s">
        <v>8</v>
      </c>
      <c r="FF563" s="27" t="s">
        <v>7</v>
      </c>
      <c r="FI563" s="27" t="s">
        <v>8</v>
      </c>
      <c r="FJ563" s="27" t="s">
        <v>7</v>
      </c>
      <c r="FO563" s="27" t="s">
        <v>8</v>
      </c>
      <c r="FP563" s="27" t="s">
        <v>7</v>
      </c>
      <c r="FQ563" s="27" t="s">
        <v>8</v>
      </c>
      <c r="FR563" s="27" t="s">
        <v>7</v>
      </c>
      <c r="FS563" s="27" t="s">
        <v>8</v>
      </c>
      <c r="FT563" s="27" t="s">
        <v>7</v>
      </c>
      <c r="FU563" s="27" t="s">
        <v>8</v>
      </c>
      <c r="FV563" s="27" t="s">
        <v>7</v>
      </c>
    </row>
    <row r="564" spans="1:179" x14ac:dyDescent="0.25">
      <c r="A564" s="7">
        <v>1.5768992641913981</v>
      </c>
      <c r="B564"/>
      <c r="C564"/>
      <c r="D564"/>
      <c r="E564" t="s">
        <v>8</v>
      </c>
      <c r="J564" s="27" t="s">
        <v>7</v>
      </c>
      <c r="K564" s="27" t="s">
        <v>8</v>
      </c>
      <c r="L564" s="27" t="s">
        <v>7</v>
      </c>
      <c r="M564" s="27" t="s">
        <v>8</v>
      </c>
      <c r="N564" s="27" t="s">
        <v>7</v>
      </c>
      <c r="O564" s="27" t="s">
        <v>8</v>
      </c>
      <c r="P564" s="27" t="s">
        <v>7</v>
      </c>
      <c r="Q564" s="27" t="s">
        <v>8</v>
      </c>
      <c r="R564" s="27" t="s">
        <v>7</v>
      </c>
      <c r="S564" s="27" t="s">
        <v>8</v>
      </c>
      <c r="AP564" s="27" t="s">
        <v>7</v>
      </c>
      <c r="AS564" s="27" t="s">
        <v>8</v>
      </c>
      <c r="AT564" s="27" t="s">
        <v>7</v>
      </c>
      <c r="AU564" s="27" t="s">
        <v>8</v>
      </c>
      <c r="AV564" s="27" t="s">
        <v>7</v>
      </c>
      <c r="AW564" s="27" t="s">
        <v>8</v>
      </c>
      <c r="AY564" s="27" t="s">
        <v>8</v>
      </c>
      <c r="EU564" s="27" t="s">
        <v>8</v>
      </c>
      <c r="EV564" s="27" t="s">
        <v>7</v>
      </c>
      <c r="EW564" s="27" t="s">
        <v>8</v>
      </c>
      <c r="EX564" s="27" t="s">
        <v>7</v>
      </c>
      <c r="EZ564" s="27" t="s">
        <v>7</v>
      </c>
      <c r="FA564" s="27" t="s">
        <v>8</v>
      </c>
      <c r="FD564" s="27" t="s">
        <v>7</v>
      </c>
      <c r="FE564" s="27" t="s">
        <v>8</v>
      </c>
      <c r="FF564" s="27" t="s">
        <v>7</v>
      </c>
      <c r="FI564" s="27" t="s">
        <v>8</v>
      </c>
      <c r="FJ564" s="27" t="s">
        <v>7</v>
      </c>
      <c r="FO564" s="27" t="s">
        <v>8</v>
      </c>
      <c r="FP564" s="27" t="s">
        <v>7</v>
      </c>
      <c r="FQ564" s="27" t="s">
        <v>8</v>
      </c>
      <c r="FR564" s="27" t="s">
        <v>7</v>
      </c>
      <c r="FS564" s="27" t="s">
        <v>8</v>
      </c>
      <c r="FT564" s="27" t="s">
        <v>7</v>
      </c>
      <c r="FU564" s="27" t="s">
        <v>8</v>
      </c>
    </row>
    <row r="565" spans="1:179" x14ac:dyDescent="0.25">
      <c r="A565" s="7">
        <v>1.5459796707758806</v>
      </c>
      <c r="B565"/>
      <c r="C565"/>
      <c r="D565"/>
      <c r="E565" t="s">
        <v>8</v>
      </c>
      <c r="J565" s="27" t="s">
        <v>7</v>
      </c>
      <c r="K565" s="27" t="s">
        <v>8</v>
      </c>
      <c r="L565" s="27" t="s">
        <v>7</v>
      </c>
      <c r="M565" s="27" t="s">
        <v>8</v>
      </c>
      <c r="N565" s="27" t="s">
        <v>7</v>
      </c>
      <c r="O565" s="27" t="s">
        <v>8</v>
      </c>
      <c r="P565" s="27" t="s">
        <v>7</v>
      </c>
      <c r="Q565" s="27" t="s">
        <v>8</v>
      </c>
      <c r="R565" s="27" t="s">
        <v>7</v>
      </c>
      <c r="AP565" s="27" t="s">
        <v>7</v>
      </c>
      <c r="AQ565" s="27" t="s">
        <v>8</v>
      </c>
      <c r="AS565" s="27" t="s">
        <v>8</v>
      </c>
      <c r="AT565" s="27" t="s">
        <v>7</v>
      </c>
      <c r="AU565" s="27" t="s">
        <v>8</v>
      </c>
      <c r="AV565" s="27" t="s">
        <v>7</v>
      </c>
      <c r="AW565" s="27" t="s">
        <v>8</v>
      </c>
      <c r="AX565" s="27" t="s">
        <v>7</v>
      </c>
      <c r="AY565" s="27" t="s">
        <v>8</v>
      </c>
      <c r="AZ565" s="27" t="s">
        <v>7</v>
      </c>
      <c r="EU565" s="27" t="s">
        <v>8</v>
      </c>
      <c r="EV565" s="27" t="s">
        <v>7</v>
      </c>
      <c r="EZ565" s="27" t="s">
        <v>7</v>
      </c>
      <c r="FA565" s="27" t="s">
        <v>8</v>
      </c>
      <c r="FD565" s="27" t="s">
        <v>7</v>
      </c>
      <c r="FE565" s="27" t="s">
        <v>8</v>
      </c>
      <c r="FF565" s="27" t="s">
        <v>7</v>
      </c>
      <c r="FG565" s="27" t="s">
        <v>8</v>
      </c>
      <c r="FI565" s="27" t="s">
        <v>8</v>
      </c>
      <c r="FJ565" s="27" t="s">
        <v>7</v>
      </c>
      <c r="FM565" s="27" t="s">
        <v>8</v>
      </c>
      <c r="FO565" s="27" t="s">
        <v>8</v>
      </c>
      <c r="FP565" s="27" t="s">
        <v>7</v>
      </c>
      <c r="FQ565" s="27" t="s">
        <v>8</v>
      </c>
      <c r="FR565" s="27" t="s">
        <v>7</v>
      </c>
      <c r="FS565" s="27" t="s">
        <v>8</v>
      </c>
      <c r="FT565" s="27" t="s">
        <v>7</v>
      </c>
    </row>
    <row r="566" spans="1:179" x14ac:dyDescent="0.25">
      <c r="A566" s="7">
        <v>1.5156663438979221</v>
      </c>
      <c r="B566"/>
      <c r="C566"/>
      <c r="D566"/>
      <c r="E566" t="s">
        <v>8</v>
      </c>
      <c r="J566" s="27" t="s">
        <v>7</v>
      </c>
      <c r="K566" s="27" t="s">
        <v>8</v>
      </c>
      <c r="L566" s="27" t="s">
        <v>7</v>
      </c>
      <c r="M566" s="27" t="s">
        <v>8</v>
      </c>
      <c r="N566" s="27" t="s">
        <v>7</v>
      </c>
      <c r="P566" s="27" t="s">
        <v>7</v>
      </c>
      <c r="Q566" s="27" t="s">
        <v>8</v>
      </c>
      <c r="AP566" s="27" t="s">
        <v>7</v>
      </c>
      <c r="AQ566" s="27" t="s">
        <v>8</v>
      </c>
      <c r="AR566" s="27" t="s">
        <v>7</v>
      </c>
      <c r="AS566" s="27" t="s">
        <v>8</v>
      </c>
      <c r="AT566" s="27" t="s">
        <v>7</v>
      </c>
      <c r="AV566" s="27" t="s">
        <v>7</v>
      </c>
      <c r="AW566" s="27" t="s">
        <v>8</v>
      </c>
      <c r="AX566" s="27" t="s">
        <v>7</v>
      </c>
      <c r="AY566" s="27" t="s">
        <v>8</v>
      </c>
      <c r="AZ566" s="27" t="s">
        <v>7</v>
      </c>
      <c r="EU566" s="27" t="s">
        <v>8</v>
      </c>
      <c r="EZ566" s="27" t="s">
        <v>7</v>
      </c>
      <c r="FA566" s="27" t="s">
        <v>8</v>
      </c>
      <c r="FD566" s="27" t="s">
        <v>7</v>
      </c>
      <c r="FE566" s="27" t="s">
        <v>8</v>
      </c>
      <c r="FF566" s="27" t="s">
        <v>7</v>
      </c>
      <c r="FG566" s="27" t="s">
        <v>8</v>
      </c>
      <c r="FH566" s="27" t="s">
        <v>7</v>
      </c>
      <c r="FI566" s="27" t="s">
        <v>8</v>
      </c>
      <c r="FJ566" s="27" t="s">
        <v>7</v>
      </c>
      <c r="FM566" s="27" t="s">
        <v>8</v>
      </c>
      <c r="FN566" s="27" t="s">
        <v>7</v>
      </c>
      <c r="FO566" s="27" t="s">
        <v>8</v>
      </c>
      <c r="FP566" s="27" t="s">
        <v>7</v>
      </c>
      <c r="FQ566" s="27" t="s">
        <v>8</v>
      </c>
      <c r="FR566" s="27" t="s">
        <v>7</v>
      </c>
      <c r="FS566" s="27" t="s">
        <v>8</v>
      </c>
    </row>
    <row r="567" spans="1:179" x14ac:dyDescent="0.25">
      <c r="A567" s="7">
        <v>1.4859473959783549</v>
      </c>
      <c r="B567"/>
      <c r="C567"/>
      <c r="D567"/>
      <c r="E567" t="s">
        <v>8</v>
      </c>
      <c r="J567" s="27" t="s">
        <v>7</v>
      </c>
      <c r="K567" s="27" t="s">
        <v>8</v>
      </c>
      <c r="L567" s="27" t="s">
        <v>7</v>
      </c>
      <c r="M567" s="27" t="s">
        <v>8</v>
      </c>
      <c r="P567" s="27" t="s">
        <v>7</v>
      </c>
      <c r="Q567" s="27" t="s">
        <v>8</v>
      </c>
      <c r="AP567" s="27" t="s">
        <v>7</v>
      </c>
      <c r="AQ567" s="27" t="s">
        <v>8</v>
      </c>
      <c r="AR567" s="27" t="s">
        <v>7</v>
      </c>
      <c r="AS567" s="27" t="s">
        <v>8</v>
      </c>
      <c r="AV567" s="27" t="s">
        <v>7</v>
      </c>
      <c r="AW567" s="27" t="s">
        <v>8</v>
      </c>
      <c r="AX567" s="27" t="s">
        <v>7</v>
      </c>
      <c r="AZ567" s="27" t="s">
        <v>7</v>
      </c>
      <c r="DC567" s="27" t="s">
        <v>8</v>
      </c>
      <c r="EU567" s="27" t="s">
        <v>8</v>
      </c>
      <c r="EZ567" s="27" t="s">
        <v>7</v>
      </c>
      <c r="FD567" s="27" t="s">
        <v>7</v>
      </c>
      <c r="FF567" s="27" t="s">
        <v>7</v>
      </c>
      <c r="FG567" s="27" t="s">
        <v>8</v>
      </c>
      <c r="FH567" s="27" t="s">
        <v>7</v>
      </c>
      <c r="FI567" s="27" t="s">
        <v>8</v>
      </c>
      <c r="FJ567" s="27" t="s">
        <v>7</v>
      </c>
      <c r="FK567" s="27" t="s">
        <v>8</v>
      </c>
      <c r="FM567" s="27" t="s">
        <v>8</v>
      </c>
      <c r="FN567" s="27" t="s">
        <v>7</v>
      </c>
      <c r="FO567" s="27" t="s">
        <v>8</v>
      </c>
      <c r="FP567" s="27" t="s">
        <v>7</v>
      </c>
      <c r="FR567" s="27" t="s">
        <v>7</v>
      </c>
    </row>
    <row r="568" spans="1:179" x14ac:dyDescent="0.25">
      <c r="A568" s="7">
        <v>1.4568111725277988</v>
      </c>
      <c r="B568"/>
      <c r="C568"/>
      <c r="D568"/>
      <c r="E568" t="s">
        <v>8</v>
      </c>
      <c r="J568" s="27" t="s">
        <v>7</v>
      </c>
      <c r="K568" s="27" t="s">
        <v>8</v>
      </c>
      <c r="L568" s="27" t="s">
        <v>7</v>
      </c>
      <c r="P568" s="27" t="s">
        <v>7</v>
      </c>
      <c r="Q568" s="27" t="s">
        <v>8</v>
      </c>
      <c r="AP568" s="27" t="s">
        <v>7</v>
      </c>
      <c r="AQ568" s="27" t="s">
        <v>8</v>
      </c>
      <c r="AR568" s="27" t="s">
        <v>7</v>
      </c>
      <c r="AV568" s="27" t="s">
        <v>7</v>
      </c>
      <c r="AW568" s="27" t="s">
        <v>8</v>
      </c>
      <c r="AZ568" s="27" t="s">
        <v>7</v>
      </c>
      <c r="DC568" s="27" t="s">
        <v>8</v>
      </c>
      <c r="DD568" s="27" t="s">
        <v>7</v>
      </c>
      <c r="DE568" s="27" t="s">
        <v>8</v>
      </c>
      <c r="EU568" s="27" t="s">
        <v>8</v>
      </c>
      <c r="FF568" s="27" t="s">
        <v>7</v>
      </c>
      <c r="FG568" s="27" t="s">
        <v>8</v>
      </c>
      <c r="FH568" s="27" t="s">
        <v>7</v>
      </c>
      <c r="FJ568" s="27" t="s">
        <v>7</v>
      </c>
      <c r="FK568" s="27" t="s">
        <v>8</v>
      </c>
      <c r="FL568" s="27" t="s">
        <v>7</v>
      </c>
      <c r="FM568" s="27" t="s">
        <v>8</v>
      </c>
      <c r="FN568" s="27" t="s">
        <v>7</v>
      </c>
    </row>
    <row r="569" spans="1:179" x14ac:dyDescent="0.25">
      <c r="A569" s="7">
        <v>1.4282462475762734</v>
      </c>
      <c r="B569"/>
      <c r="C569"/>
      <c r="D569"/>
      <c r="E569" t="s">
        <v>8</v>
      </c>
      <c r="J569" s="27" t="s">
        <v>7</v>
      </c>
      <c r="P569" s="27" t="s">
        <v>7</v>
      </c>
      <c r="Q569" s="27" t="s">
        <v>8</v>
      </c>
      <c r="AP569" s="27" t="s">
        <v>7</v>
      </c>
      <c r="AQ569" s="27" t="s">
        <v>8</v>
      </c>
      <c r="AV569" s="27" t="s">
        <v>7</v>
      </c>
      <c r="AW569" s="27" t="s">
        <v>8</v>
      </c>
      <c r="AZ569" s="27" t="s">
        <v>7</v>
      </c>
      <c r="BA569" s="27" t="s">
        <v>8</v>
      </c>
      <c r="DC569" s="27" t="s">
        <v>8</v>
      </c>
      <c r="DD569" s="27" t="s">
        <v>7</v>
      </c>
      <c r="DE569" s="27" t="s">
        <v>8</v>
      </c>
      <c r="DF569" s="27" t="s">
        <v>7</v>
      </c>
      <c r="EU569" s="27" t="s">
        <v>8</v>
      </c>
      <c r="FF569" s="27" t="s">
        <v>7</v>
      </c>
      <c r="FJ569" s="27" t="s">
        <v>7</v>
      </c>
      <c r="FK569" s="27" t="s">
        <v>8</v>
      </c>
      <c r="FL569" s="27" t="s">
        <v>7</v>
      </c>
      <c r="FM569" s="27" t="s">
        <v>8</v>
      </c>
    </row>
    <row r="570" spans="1:179" x14ac:dyDescent="0.25">
      <c r="A570" s="7">
        <v>1.4002414191924248</v>
      </c>
      <c r="B570"/>
      <c r="C570"/>
      <c r="D570"/>
      <c r="E570" t="s">
        <v>8</v>
      </c>
      <c r="P570" s="27" t="s">
        <v>7</v>
      </c>
      <c r="AP570" s="27" t="s">
        <v>7</v>
      </c>
      <c r="AQ570" s="27" t="s">
        <v>8</v>
      </c>
      <c r="AV570" s="27" t="s">
        <v>7</v>
      </c>
      <c r="AZ570" s="27" t="s">
        <v>7</v>
      </c>
      <c r="BA570" s="27" t="s">
        <v>8</v>
      </c>
      <c r="BB570" s="27" t="s">
        <v>7</v>
      </c>
      <c r="DC570" s="27" t="s">
        <v>8</v>
      </c>
      <c r="DD570" s="27" t="s">
        <v>7</v>
      </c>
      <c r="DE570" s="27" t="s">
        <v>8</v>
      </c>
      <c r="DF570" s="27" t="s">
        <v>7</v>
      </c>
      <c r="EU570" s="27" t="s">
        <v>8</v>
      </c>
      <c r="FJ570" s="27" t="s">
        <v>7</v>
      </c>
      <c r="FK570" s="27" t="s">
        <v>8</v>
      </c>
      <c r="FL570" s="27" t="s">
        <v>7</v>
      </c>
    </row>
    <row r="571" spans="1:179" x14ac:dyDescent="0.25">
      <c r="A571" s="7">
        <v>1.3727857050906125</v>
      </c>
      <c r="B571"/>
      <c r="C571"/>
      <c r="D571"/>
      <c r="E571" t="s">
        <v>8</v>
      </c>
      <c r="AP571" s="27" t="s">
        <v>7</v>
      </c>
      <c r="AQ571" s="27" t="s">
        <v>8</v>
      </c>
      <c r="AZ571" s="27" t="s">
        <v>7</v>
      </c>
      <c r="BA571" s="27" t="s">
        <v>8</v>
      </c>
      <c r="BB571" s="27" t="s">
        <v>7</v>
      </c>
      <c r="DC571" s="27" t="s">
        <v>8</v>
      </c>
      <c r="DD571" s="27" t="s">
        <v>7</v>
      </c>
      <c r="DE571" s="27" t="s">
        <v>8</v>
      </c>
      <c r="DF571" s="27" t="s">
        <v>7</v>
      </c>
      <c r="EU571" s="27" t="s">
        <v>8</v>
      </c>
      <c r="FJ571" s="27" t="s">
        <v>7</v>
      </c>
      <c r="FK571" s="27" t="s">
        <v>8</v>
      </c>
    </row>
    <row r="572" spans="1:179" x14ac:dyDescent="0.25">
      <c r="A572" s="7">
        <v>1.3458683383241299</v>
      </c>
      <c r="B572"/>
      <c r="C572"/>
      <c r="D572"/>
      <c r="E572" t="s">
        <v>8</v>
      </c>
      <c r="AP572" s="27" t="s">
        <v>7</v>
      </c>
      <c r="AQ572" s="27" t="s">
        <v>8</v>
      </c>
      <c r="AZ572" s="27" t="s">
        <v>7</v>
      </c>
      <c r="BA572" s="27" t="s">
        <v>8</v>
      </c>
      <c r="BB572" s="27" t="s">
        <v>7</v>
      </c>
      <c r="DC572" s="27" t="s">
        <v>8</v>
      </c>
      <c r="DD572" s="27" t="s">
        <v>7</v>
      </c>
      <c r="DE572" s="27" t="s">
        <v>8</v>
      </c>
      <c r="DF572" s="27" t="s">
        <v>7</v>
      </c>
      <c r="EU572" s="27" t="s">
        <v>8</v>
      </c>
      <c r="FJ572" s="27" t="s">
        <v>7</v>
      </c>
      <c r="FK572" s="27" t="s">
        <v>8</v>
      </c>
    </row>
    <row r="573" spans="1:179" x14ac:dyDescent="0.25">
      <c r="A573" s="7">
        <v>1.3194787630628724</v>
      </c>
      <c r="B573"/>
      <c r="C573"/>
      <c r="D573"/>
      <c r="E573" t="s">
        <v>8</v>
      </c>
      <c r="AP573" s="27" t="s">
        <v>7</v>
      </c>
      <c r="AZ573" s="27" t="s">
        <v>7</v>
      </c>
      <c r="BA573" s="27" t="s">
        <v>8</v>
      </c>
      <c r="BB573" s="27" t="s">
        <v>7</v>
      </c>
      <c r="DC573" s="27" t="s">
        <v>8</v>
      </c>
      <c r="DD573" s="27" t="s">
        <v>7</v>
      </c>
      <c r="DE573" s="27" t="s">
        <v>8</v>
      </c>
      <c r="DF573" s="27" t="s">
        <v>7</v>
      </c>
      <c r="EU573" s="27" t="s">
        <v>8</v>
      </c>
      <c r="FJ573" s="27" t="s">
        <v>7</v>
      </c>
    </row>
    <row r="574" spans="1:179" x14ac:dyDescent="0.25">
      <c r="A574" s="7">
        <v>1.2936066304537963</v>
      </c>
      <c r="B574"/>
      <c r="C574"/>
      <c r="D574"/>
      <c r="E574" t="s">
        <v>8</v>
      </c>
      <c r="AZ574" s="27" t="s">
        <v>7</v>
      </c>
      <c r="BB574" s="27" t="s">
        <v>7</v>
      </c>
      <c r="DC574" s="27" t="s">
        <v>8</v>
      </c>
      <c r="DD574" s="27" t="s">
        <v>7</v>
      </c>
      <c r="DE574" s="27" t="s">
        <v>8</v>
      </c>
      <c r="DF574" s="27" t="s">
        <v>7</v>
      </c>
      <c r="EU574" s="27" t="s">
        <v>8</v>
      </c>
    </row>
    <row r="575" spans="1:179" x14ac:dyDescent="0.25">
      <c r="A575" s="7">
        <v>1.2682417945625455</v>
      </c>
      <c r="B575"/>
      <c r="C575"/>
      <c r="D575"/>
      <c r="E575" t="s">
        <v>8</v>
      </c>
      <c r="BB575" s="27" t="s">
        <v>7</v>
      </c>
      <c r="BE575" s="27" t="s">
        <v>8</v>
      </c>
      <c r="DC575" s="27" t="s">
        <v>8</v>
      </c>
      <c r="DD575" s="27" t="s">
        <v>7</v>
      </c>
      <c r="DE575" s="27" t="s">
        <v>8</v>
      </c>
      <c r="DF575" s="27" t="s">
        <v>7</v>
      </c>
      <c r="EU575" s="27" t="s">
        <v>8</v>
      </c>
    </row>
    <row r="576" spans="1:179" x14ac:dyDescent="0.25">
      <c r="A576" s="7">
        <v>1.2433743083946525</v>
      </c>
      <c r="B576"/>
      <c r="C576"/>
      <c r="D576"/>
      <c r="E576" t="s">
        <v>8</v>
      </c>
      <c r="BB576" s="27" t="s">
        <v>7</v>
      </c>
      <c r="BC576" s="27" t="s">
        <v>8</v>
      </c>
      <c r="BE576" s="27" t="s">
        <v>8</v>
      </c>
      <c r="BF576" s="27" t="s">
        <v>7</v>
      </c>
      <c r="DC576" s="27" t="s">
        <v>8</v>
      </c>
      <c r="DD576" s="27" t="s">
        <v>7</v>
      </c>
      <c r="DE576" s="27" t="s">
        <v>8</v>
      </c>
      <c r="DF576" s="27" t="s">
        <v>7</v>
      </c>
      <c r="EU576" s="27" t="s">
        <v>8</v>
      </c>
    </row>
    <row r="577" spans="1:151" x14ac:dyDescent="0.25">
      <c r="A577" s="7">
        <v>1.2189944199947573</v>
      </c>
      <c r="B577"/>
      <c r="C577"/>
      <c r="D577"/>
      <c r="E577" t="s">
        <v>8</v>
      </c>
      <c r="BB577" s="27" t="s">
        <v>7</v>
      </c>
      <c r="BC577" s="27" t="s">
        <v>8</v>
      </c>
      <c r="BD577" s="27" t="s">
        <v>7</v>
      </c>
      <c r="BE577" s="27" t="s">
        <v>8</v>
      </c>
      <c r="BF577" s="27" t="s">
        <v>7</v>
      </c>
      <c r="DC577" s="27" t="s">
        <v>8</v>
      </c>
      <c r="DD577" s="27" t="s">
        <v>7</v>
      </c>
      <c r="DF577" s="27" t="s">
        <v>7</v>
      </c>
      <c r="DG577" s="27" t="s">
        <v>8</v>
      </c>
      <c r="EU577" s="27" t="s">
        <v>8</v>
      </c>
    </row>
    <row r="578" spans="1:151" x14ac:dyDescent="0.25">
      <c r="A578" s="7">
        <v>1.1950925686223111</v>
      </c>
      <c r="B578"/>
      <c r="C578"/>
      <c r="D578"/>
      <c r="E578" t="s">
        <v>8</v>
      </c>
      <c r="BB578" s="27" t="s">
        <v>7</v>
      </c>
      <c r="BC578" s="27" t="s">
        <v>8</v>
      </c>
      <c r="BD578" s="27" t="s">
        <v>7</v>
      </c>
      <c r="BE578" s="27" t="s">
        <v>8</v>
      </c>
      <c r="BF578" s="27" t="s">
        <v>7</v>
      </c>
      <c r="BK578" s="27" t="s">
        <v>8</v>
      </c>
      <c r="DC578" s="27" t="s">
        <v>8</v>
      </c>
      <c r="DF578" s="27" t="s">
        <v>7</v>
      </c>
      <c r="DG578" s="27" t="s">
        <v>8</v>
      </c>
      <c r="DH578" s="27" t="s">
        <v>7</v>
      </c>
      <c r="ES578" s="27" t="s">
        <v>8</v>
      </c>
      <c r="EU578" s="27" t="s">
        <v>8</v>
      </c>
    </row>
    <row r="579" spans="1:151" x14ac:dyDescent="0.25">
      <c r="A579" s="7">
        <v>1.1716593810022657</v>
      </c>
      <c r="B579"/>
      <c r="C579"/>
      <c r="D579"/>
      <c r="E579" t="s">
        <v>8</v>
      </c>
      <c r="BB579" s="27" t="s">
        <v>7</v>
      </c>
      <c r="BC579" s="27" t="s">
        <v>8</v>
      </c>
      <c r="BD579" s="27" t="s">
        <v>7</v>
      </c>
      <c r="BE579" s="27" t="s">
        <v>8</v>
      </c>
      <c r="BF579" s="27" t="s">
        <v>7</v>
      </c>
      <c r="BK579" s="27" t="s">
        <v>8</v>
      </c>
      <c r="BL579" s="27" t="s">
        <v>7</v>
      </c>
      <c r="CY579" s="27" t="s">
        <v>8</v>
      </c>
      <c r="DA579" s="27" t="s">
        <v>8</v>
      </c>
      <c r="DC579" s="27" t="s">
        <v>8</v>
      </c>
      <c r="DF579" s="27" t="s">
        <v>7</v>
      </c>
      <c r="DG579" s="27" t="s">
        <v>8</v>
      </c>
      <c r="DH579" s="27" t="s">
        <v>7</v>
      </c>
      <c r="ES579" s="27" t="s">
        <v>8</v>
      </c>
      <c r="ET579" s="27" t="s">
        <v>7</v>
      </c>
      <c r="EU579" s="27" t="s">
        <v>8</v>
      </c>
    </row>
    <row r="580" spans="1:151" x14ac:dyDescent="0.25">
      <c r="A580" s="7">
        <v>1.14868566764928</v>
      </c>
      <c r="B580"/>
      <c r="C580"/>
      <c r="D580"/>
      <c r="E580" t="s">
        <v>8</v>
      </c>
      <c r="BB580" s="27" t="s">
        <v>7</v>
      </c>
      <c r="BC580" s="27" t="s">
        <v>8</v>
      </c>
      <c r="BD580" s="27" t="s">
        <v>7</v>
      </c>
      <c r="BF580" s="27" t="s">
        <v>7</v>
      </c>
      <c r="BK580" s="27" t="s">
        <v>8</v>
      </c>
      <c r="BL580" s="27" t="s">
        <v>7</v>
      </c>
      <c r="CY580" s="27" t="s">
        <v>8</v>
      </c>
      <c r="CZ580" s="27" t="s">
        <v>7</v>
      </c>
      <c r="DA580" s="27" t="s">
        <v>8</v>
      </c>
      <c r="DB580" s="27" t="s">
        <v>7</v>
      </c>
      <c r="DC580" s="27" t="s">
        <v>8</v>
      </c>
      <c r="DF580" s="27" t="s">
        <v>7</v>
      </c>
      <c r="DG580" s="27" t="s">
        <v>8</v>
      </c>
      <c r="DH580" s="27" t="s">
        <v>7</v>
      </c>
      <c r="DI580" s="27" t="s">
        <v>8</v>
      </c>
      <c r="ES580" s="27" t="s">
        <v>8</v>
      </c>
      <c r="ET580" s="27" t="s">
        <v>7</v>
      </c>
      <c r="EU580" s="27" t="s">
        <v>8</v>
      </c>
    </row>
    <row r="581" spans="1:151" x14ac:dyDescent="0.25">
      <c r="A581" s="7">
        <v>1.1261624192640001</v>
      </c>
      <c r="B581"/>
      <c r="C581"/>
      <c r="D581"/>
      <c r="E581" t="s">
        <v>8</v>
      </c>
      <c r="BB581" s="27" t="s">
        <v>7</v>
      </c>
      <c r="BF581" s="27" t="s">
        <v>7</v>
      </c>
      <c r="BK581" s="27" t="s">
        <v>8</v>
      </c>
      <c r="BL581" s="27" t="s">
        <v>7</v>
      </c>
      <c r="CY581" s="27" t="s">
        <v>8</v>
      </c>
      <c r="CZ581" s="27" t="s">
        <v>7</v>
      </c>
      <c r="DA581" s="27" t="s">
        <v>8</v>
      </c>
      <c r="DB581" s="27" t="s">
        <v>7</v>
      </c>
      <c r="DC581" s="27" t="s">
        <v>8</v>
      </c>
      <c r="DF581" s="27" t="s">
        <v>7</v>
      </c>
      <c r="DG581" s="27" t="s">
        <v>8</v>
      </c>
      <c r="DH581" s="27" t="s">
        <v>7</v>
      </c>
      <c r="DI581" s="27" t="s">
        <v>8</v>
      </c>
      <c r="DJ581" s="27" t="s">
        <v>7</v>
      </c>
      <c r="ES581" s="27" t="s">
        <v>8</v>
      </c>
      <c r="ET581" s="27" t="s">
        <v>7</v>
      </c>
    </row>
    <row r="582" spans="1:151" x14ac:dyDescent="0.25">
      <c r="A582" s="7">
        <v>1.1040808032</v>
      </c>
      <c r="B582"/>
      <c r="C582"/>
      <c r="D582"/>
      <c r="E582" t="s">
        <v>8</v>
      </c>
      <c r="BF582" s="27" t="s">
        <v>7</v>
      </c>
      <c r="BG582" s="27" t="s">
        <v>8</v>
      </c>
      <c r="BK582" s="27" t="s">
        <v>8</v>
      </c>
      <c r="BL582" s="27" t="s">
        <v>7</v>
      </c>
      <c r="BU582" s="27" t="s">
        <v>8</v>
      </c>
      <c r="CC582" s="27" t="s">
        <v>8</v>
      </c>
      <c r="CY582" s="27" t="s">
        <v>8</v>
      </c>
      <c r="CZ582" s="27" t="s">
        <v>7</v>
      </c>
      <c r="DA582" s="27" t="s">
        <v>8</v>
      </c>
      <c r="DB582" s="27" t="s">
        <v>7</v>
      </c>
      <c r="DC582" s="27" t="s">
        <v>8</v>
      </c>
      <c r="DF582" s="27" t="s">
        <v>7</v>
      </c>
      <c r="DG582" s="27" t="s">
        <v>8</v>
      </c>
      <c r="DH582" s="27" t="s">
        <v>7</v>
      </c>
      <c r="DI582" s="27" t="s">
        <v>8</v>
      </c>
      <c r="DJ582" s="27" t="s">
        <v>7</v>
      </c>
      <c r="ES582" s="27" t="s">
        <v>8</v>
      </c>
    </row>
    <row r="583" spans="1:151" x14ac:dyDescent="0.25">
      <c r="A583" s="7">
        <v>1.08243216</v>
      </c>
      <c r="B583"/>
      <c r="C583"/>
      <c r="D583"/>
      <c r="E583" t="s">
        <v>8</v>
      </c>
      <c r="BF583" s="27" t="s">
        <v>7</v>
      </c>
      <c r="BG583" s="27" t="s">
        <v>8</v>
      </c>
      <c r="BH583" s="27" t="s">
        <v>7</v>
      </c>
      <c r="BI583" s="27" t="s">
        <v>8</v>
      </c>
      <c r="BK583" s="27" t="s">
        <v>8</v>
      </c>
      <c r="BL583" s="27" t="s">
        <v>7</v>
      </c>
      <c r="BU583" s="27" t="s">
        <v>8</v>
      </c>
      <c r="BV583" s="27" t="s">
        <v>7</v>
      </c>
      <c r="BW583" s="27" t="s">
        <v>8</v>
      </c>
      <c r="CC583" s="27" t="s">
        <v>8</v>
      </c>
      <c r="CD583" s="27" t="s">
        <v>7</v>
      </c>
      <c r="CY583" s="27" t="s">
        <v>8</v>
      </c>
      <c r="CZ583" s="27" t="s">
        <v>7</v>
      </c>
      <c r="DA583" s="27" t="s">
        <v>8</v>
      </c>
      <c r="DB583" s="27" t="s">
        <v>7</v>
      </c>
      <c r="DC583" s="27" t="s">
        <v>8</v>
      </c>
      <c r="DF583" s="27" t="s">
        <v>7</v>
      </c>
      <c r="DG583" s="27" t="s">
        <v>8</v>
      </c>
      <c r="DH583" s="27" t="s">
        <v>7</v>
      </c>
      <c r="DI583" s="27" t="s">
        <v>8</v>
      </c>
      <c r="DJ583" s="27" t="s">
        <v>7</v>
      </c>
      <c r="ES583" s="27" t="s">
        <v>8</v>
      </c>
    </row>
    <row r="584" spans="1:151" x14ac:dyDescent="0.25">
      <c r="A584" s="7">
        <v>1.0612079999999999</v>
      </c>
      <c r="B584"/>
      <c r="C584"/>
      <c r="D584"/>
      <c r="E584" t="s">
        <v>8</v>
      </c>
      <c r="BF584" s="27" t="s">
        <v>7</v>
      </c>
      <c r="BG584" s="27" t="s">
        <v>8</v>
      </c>
      <c r="BH584" s="27" t="s">
        <v>7</v>
      </c>
      <c r="BI584" s="27" t="s">
        <v>8</v>
      </c>
      <c r="BJ584" s="27" t="s">
        <v>7</v>
      </c>
      <c r="BK584" s="27" t="s">
        <v>8</v>
      </c>
      <c r="BL584" s="27" t="s">
        <v>7</v>
      </c>
      <c r="BU584" s="27" t="s">
        <v>8</v>
      </c>
      <c r="BV584" s="27" t="s">
        <v>7</v>
      </c>
      <c r="BW584" s="27" t="s">
        <v>8</v>
      </c>
      <c r="BX584" s="27" t="s">
        <v>7</v>
      </c>
      <c r="CC584" s="27" t="s">
        <v>8</v>
      </c>
      <c r="CD584" s="27" t="s">
        <v>7</v>
      </c>
      <c r="CY584" s="27" t="s">
        <v>8</v>
      </c>
      <c r="CZ584" s="27" t="s">
        <v>7</v>
      </c>
      <c r="DA584" s="27" t="s">
        <v>8</v>
      </c>
      <c r="DB584" s="27" t="s">
        <v>7</v>
      </c>
      <c r="DC584" s="27" t="s">
        <v>8</v>
      </c>
      <c r="DF584" s="27" t="s">
        <v>7</v>
      </c>
      <c r="DH584" s="27" t="s">
        <v>7</v>
      </c>
      <c r="DI584" s="27" t="s">
        <v>8</v>
      </c>
      <c r="DJ584" s="27" t="s">
        <v>7</v>
      </c>
      <c r="EQ584" s="27" t="s">
        <v>8</v>
      </c>
      <c r="ES584" s="27" t="s">
        <v>8</v>
      </c>
    </row>
    <row r="585" spans="1:151" x14ac:dyDescent="0.25">
      <c r="A585" s="7">
        <v>1.0404</v>
      </c>
      <c r="B585"/>
      <c r="C585"/>
      <c r="D585"/>
      <c r="E585" t="s">
        <v>8</v>
      </c>
      <c r="BF585" s="27" t="s">
        <v>7</v>
      </c>
      <c r="BH585" s="27" t="s">
        <v>7</v>
      </c>
      <c r="BI585" s="27" t="s">
        <v>8</v>
      </c>
      <c r="BJ585" s="27" t="s">
        <v>7</v>
      </c>
      <c r="BK585" s="27" t="s">
        <v>8</v>
      </c>
      <c r="BL585" s="27" t="s">
        <v>7</v>
      </c>
      <c r="BU585" s="27" t="s">
        <v>8</v>
      </c>
      <c r="BV585" s="27" t="s">
        <v>7</v>
      </c>
      <c r="BW585" s="27" t="s">
        <v>8</v>
      </c>
      <c r="BX585" s="27" t="s">
        <v>7</v>
      </c>
      <c r="CA585" s="27" t="s">
        <v>8</v>
      </c>
      <c r="CC585" s="27" t="s">
        <v>8</v>
      </c>
      <c r="CD585" s="27" t="s">
        <v>7</v>
      </c>
      <c r="CW585" s="27" t="s">
        <v>8</v>
      </c>
      <c r="CY585" s="27" t="s">
        <v>8</v>
      </c>
      <c r="CZ585" s="27" t="s">
        <v>7</v>
      </c>
      <c r="DA585" s="27" t="s">
        <v>8</v>
      </c>
      <c r="DB585" s="27" t="s">
        <v>7</v>
      </c>
      <c r="DC585" s="27" t="s">
        <v>8</v>
      </c>
      <c r="DH585" s="27" t="s">
        <v>7</v>
      </c>
      <c r="DJ585" s="27" t="s">
        <v>7</v>
      </c>
      <c r="EQ585" s="27" t="s">
        <v>8</v>
      </c>
      <c r="ER585" s="27" t="s">
        <v>7</v>
      </c>
      <c r="ES585" s="27" t="s">
        <v>8</v>
      </c>
    </row>
    <row r="586" spans="1:151" x14ac:dyDescent="0.25">
      <c r="A586" s="7">
        <v>1.02</v>
      </c>
      <c r="B586"/>
      <c r="C586"/>
      <c r="D586"/>
      <c r="E586" t="s">
        <v>8</v>
      </c>
      <c r="BH586" s="27" t="s">
        <v>7</v>
      </c>
      <c r="BJ586" s="27" t="s">
        <v>7</v>
      </c>
      <c r="BL586" s="27" t="s">
        <v>7</v>
      </c>
      <c r="BU586" s="27" t="s">
        <v>8</v>
      </c>
      <c r="BV586" s="27" t="s">
        <v>7</v>
      </c>
      <c r="BW586" s="27" t="s">
        <v>8</v>
      </c>
      <c r="BX586" s="27" t="s">
        <v>7</v>
      </c>
      <c r="BY586" s="27" t="s">
        <v>8</v>
      </c>
      <c r="CA586" s="27" t="s">
        <v>8</v>
      </c>
      <c r="CB586" s="27" t="s">
        <v>7</v>
      </c>
      <c r="CC586" s="27" t="s">
        <v>8</v>
      </c>
      <c r="CD586" s="27" t="s">
        <v>7</v>
      </c>
      <c r="CW586" s="27" t="s">
        <v>8</v>
      </c>
      <c r="CX586" s="27" t="s">
        <v>7</v>
      </c>
      <c r="CY586" s="27" t="s">
        <v>8</v>
      </c>
      <c r="CZ586" s="27" t="s">
        <v>7</v>
      </c>
      <c r="DA586" s="27" t="s">
        <v>8</v>
      </c>
      <c r="DB586" s="27" t="s">
        <v>7</v>
      </c>
      <c r="DC586" s="27" t="s">
        <v>8</v>
      </c>
      <c r="DJ586" s="27" t="s">
        <v>7</v>
      </c>
      <c r="EQ586" s="27" t="s">
        <v>8</v>
      </c>
      <c r="ER586" s="27" t="s">
        <v>7</v>
      </c>
      <c r="ES586" s="27" t="s">
        <v>8</v>
      </c>
    </row>
    <row r="587" spans="1:151" x14ac:dyDescent="0.25">
      <c r="A587" s="7">
        <v>1</v>
      </c>
      <c r="B587"/>
      <c r="C587"/>
      <c r="D587"/>
      <c r="E587" s="29" t="s">
        <v>8</v>
      </c>
      <c r="BL587" s="27" t="s">
        <v>7</v>
      </c>
      <c r="BU587" s="27" t="s">
        <v>8</v>
      </c>
      <c r="BV587" s="27" t="s">
        <v>7</v>
      </c>
      <c r="BW587" s="27" t="s">
        <v>8</v>
      </c>
      <c r="BX587" s="27" t="s">
        <v>7</v>
      </c>
      <c r="BY587" s="27" t="s">
        <v>8</v>
      </c>
      <c r="BZ587" s="27" t="s">
        <v>7</v>
      </c>
      <c r="CA587" s="27" t="s">
        <v>8</v>
      </c>
      <c r="CB587" s="27" t="s">
        <v>7</v>
      </c>
      <c r="CC587" s="27" t="s">
        <v>8</v>
      </c>
      <c r="CD587" s="27" t="s">
        <v>7</v>
      </c>
      <c r="CW587" s="27" t="s">
        <v>8</v>
      </c>
      <c r="CX587" s="27" t="s">
        <v>7</v>
      </c>
      <c r="CY587" s="27" t="s">
        <v>8</v>
      </c>
      <c r="CZ587" s="27" t="s">
        <v>7</v>
      </c>
      <c r="DB587" s="27" t="s">
        <v>7</v>
      </c>
      <c r="DJ587" s="27" t="s">
        <v>7</v>
      </c>
      <c r="EQ587" s="27" t="s">
        <v>8</v>
      </c>
      <c r="ER587" s="27" t="s">
        <v>7</v>
      </c>
      <c r="ES587" s="27" t="s">
        <v>8</v>
      </c>
    </row>
    <row r="588" spans="1:151" x14ac:dyDescent="0.25">
      <c r="A588" s="7">
        <v>0.98039215686274506</v>
      </c>
      <c r="B588"/>
      <c r="C588"/>
      <c r="D588"/>
      <c r="E588"/>
      <c r="BL588" s="27" t="s">
        <v>7</v>
      </c>
      <c r="BU588" s="27" t="s">
        <v>8</v>
      </c>
      <c r="BV588" s="27" t="s">
        <v>7</v>
      </c>
      <c r="BW588" s="27" t="s">
        <v>8</v>
      </c>
      <c r="BX588" s="27" t="s">
        <v>7</v>
      </c>
      <c r="BY588" s="27" t="s">
        <v>8</v>
      </c>
      <c r="BZ588" s="27" t="s">
        <v>7</v>
      </c>
      <c r="CA588" s="27" t="s">
        <v>8</v>
      </c>
      <c r="CB588" s="27" t="s">
        <v>7</v>
      </c>
      <c r="CC588" s="27" t="s">
        <v>8</v>
      </c>
      <c r="CD588" s="27" t="s">
        <v>7</v>
      </c>
      <c r="CW588" s="27" t="s">
        <v>8</v>
      </c>
      <c r="CX588" s="27" t="s">
        <v>7</v>
      </c>
      <c r="CY588" s="27" t="s">
        <v>8</v>
      </c>
      <c r="DJ588" s="27" t="s">
        <v>7</v>
      </c>
      <c r="EQ588" s="27" t="s">
        <v>8</v>
      </c>
      <c r="ER588" s="27" t="s">
        <v>7</v>
      </c>
      <c r="ES588" s="27" t="s">
        <v>8</v>
      </c>
    </row>
    <row r="589" spans="1:151" x14ac:dyDescent="0.25">
      <c r="A589" s="7">
        <v>0.96116878123798544</v>
      </c>
      <c r="B589"/>
      <c r="C589"/>
      <c r="D589"/>
      <c r="E589"/>
      <c r="BL589" s="27" t="s">
        <v>7</v>
      </c>
      <c r="BU589" s="27" t="s">
        <v>8</v>
      </c>
      <c r="BV589" s="27" t="s">
        <v>7</v>
      </c>
      <c r="BW589" s="27" t="s">
        <v>8</v>
      </c>
      <c r="BX589" s="27" t="s">
        <v>7</v>
      </c>
      <c r="BY589" s="27" t="s">
        <v>8</v>
      </c>
      <c r="BZ589" s="27" t="s">
        <v>7</v>
      </c>
      <c r="CA589" s="27" t="s">
        <v>8</v>
      </c>
      <c r="CB589" s="27" t="s">
        <v>7</v>
      </c>
      <c r="CD589" s="27" t="s">
        <v>7</v>
      </c>
      <c r="CW589" s="27" t="s">
        <v>8</v>
      </c>
      <c r="CX589" s="27" t="s">
        <v>7</v>
      </c>
      <c r="CY589" s="27" t="s">
        <v>8</v>
      </c>
      <c r="DJ589" s="27" t="s">
        <v>7</v>
      </c>
      <c r="DM589" s="27" t="s">
        <v>8</v>
      </c>
      <c r="EQ589" s="27" t="s">
        <v>8</v>
      </c>
      <c r="ER589" s="27" t="s">
        <v>7</v>
      </c>
      <c r="ES589" s="27" t="s">
        <v>8</v>
      </c>
    </row>
    <row r="590" spans="1:151" x14ac:dyDescent="0.25">
      <c r="A590" s="7">
        <v>0.94232233454704462</v>
      </c>
      <c r="B590"/>
      <c r="C590"/>
      <c r="D590"/>
      <c r="E590"/>
      <c r="BL590" s="27" t="s">
        <v>7</v>
      </c>
      <c r="BU590" s="27" t="s">
        <v>8</v>
      </c>
      <c r="BV590" s="27" t="s">
        <v>7</v>
      </c>
      <c r="BW590" s="27" t="s">
        <v>8</v>
      </c>
      <c r="BX590" s="27" t="s">
        <v>7</v>
      </c>
      <c r="BZ590" s="27" t="s">
        <v>7</v>
      </c>
      <c r="CA590" s="27" t="s">
        <v>8</v>
      </c>
      <c r="CD590" s="27" t="s">
        <v>7</v>
      </c>
      <c r="CW590" s="27" t="s">
        <v>8</v>
      </c>
      <c r="CX590" s="27" t="s">
        <v>7</v>
      </c>
      <c r="DJ590" s="27" t="s">
        <v>7</v>
      </c>
      <c r="DM590" s="27" t="s">
        <v>8</v>
      </c>
      <c r="DN590" s="27" t="s">
        <v>7</v>
      </c>
      <c r="EQ590" s="27" t="s">
        <v>8</v>
      </c>
      <c r="ER590" s="27" t="s">
        <v>7</v>
      </c>
      <c r="ES590" s="27" t="s">
        <v>8</v>
      </c>
    </row>
    <row r="591" spans="1:151" x14ac:dyDescent="0.25">
      <c r="A591" s="7">
        <v>0.92384542602651432</v>
      </c>
      <c r="B591"/>
      <c r="C591"/>
      <c r="D591"/>
      <c r="E591"/>
      <c r="BL591" s="27" t="s">
        <v>7</v>
      </c>
      <c r="BQ591" s="27" t="s">
        <v>8</v>
      </c>
      <c r="BU591" s="27" t="s">
        <v>8</v>
      </c>
      <c r="BV591" s="27" t="s">
        <v>7</v>
      </c>
      <c r="BZ591" s="27" t="s">
        <v>7</v>
      </c>
      <c r="CD591" s="27" t="s">
        <v>7</v>
      </c>
      <c r="CW591" s="27" t="s">
        <v>8</v>
      </c>
      <c r="DJ591" s="27" t="s">
        <v>7</v>
      </c>
      <c r="DM591" s="27" t="s">
        <v>8</v>
      </c>
      <c r="DN591" s="27" t="s">
        <v>7</v>
      </c>
      <c r="EQ591" s="27" t="s">
        <v>8</v>
      </c>
      <c r="ER591" s="27" t="s">
        <v>7</v>
      </c>
    </row>
    <row r="592" spans="1:151" x14ac:dyDescent="0.25">
      <c r="A592" s="7">
        <v>0.90573080982991594</v>
      </c>
      <c r="B592"/>
      <c r="C592"/>
      <c r="D592"/>
      <c r="E592"/>
      <c r="BL592" s="27" t="s">
        <v>7</v>
      </c>
      <c r="BQ592" s="27" t="s">
        <v>8</v>
      </c>
      <c r="BR592" s="27" t="s">
        <v>7</v>
      </c>
      <c r="BU592" s="27" t="s">
        <v>8</v>
      </c>
      <c r="CD592" s="27" t="s">
        <v>7</v>
      </c>
      <c r="CW592" s="27" t="s">
        <v>8</v>
      </c>
      <c r="DJ592" s="27" t="s">
        <v>7</v>
      </c>
      <c r="DK592" s="27" t="s">
        <v>8</v>
      </c>
      <c r="DM592" s="27" t="s">
        <v>8</v>
      </c>
      <c r="DN592" s="27" t="s">
        <v>7</v>
      </c>
      <c r="EQ592" s="27" t="s">
        <v>8</v>
      </c>
    </row>
    <row r="593" spans="1:147" x14ac:dyDescent="0.25">
      <c r="A593" s="7">
        <v>0.8879713821861922</v>
      </c>
      <c r="B593"/>
      <c r="C593"/>
      <c r="D593"/>
      <c r="E593"/>
      <c r="BL593" s="27" t="s">
        <v>7</v>
      </c>
      <c r="BQ593" s="27" t="s">
        <v>8</v>
      </c>
      <c r="BR593" s="27" t="s">
        <v>7</v>
      </c>
      <c r="BU593" s="27" t="s">
        <v>8</v>
      </c>
      <c r="CD593" s="27" t="s">
        <v>7</v>
      </c>
      <c r="CS593" s="27" t="s">
        <v>8</v>
      </c>
      <c r="CW593" s="27" t="s">
        <v>8</v>
      </c>
      <c r="DJ593" s="27" t="s">
        <v>7</v>
      </c>
      <c r="DK593" s="27" t="s">
        <v>8</v>
      </c>
      <c r="DL593" s="27" t="s">
        <v>7</v>
      </c>
      <c r="DM593" s="27" t="s">
        <v>8</v>
      </c>
      <c r="DN593" s="27" t="s">
        <v>7</v>
      </c>
      <c r="EQ593" s="27" t="s">
        <v>8</v>
      </c>
    </row>
    <row r="594" spans="1:147" x14ac:dyDescent="0.25">
      <c r="A594" s="7">
        <v>0.87056017861391399</v>
      </c>
      <c r="B594"/>
      <c r="C594"/>
      <c r="D594"/>
      <c r="E594"/>
      <c r="BL594" s="27" t="s">
        <v>7</v>
      </c>
      <c r="BQ594" s="27" t="s">
        <v>8</v>
      </c>
      <c r="BR594" s="27" t="s">
        <v>7</v>
      </c>
      <c r="BU594" s="27" t="s">
        <v>8</v>
      </c>
      <c r="CD594" s="27" t="s">
        <v>7</v>
      </c>
      <c r="CS594" s="27" t="s">
        <v>8</v>
      </c>
      <c r="CT594" s="27" t="s">
        <v>7</v>
      </c>
      <c r="CW594" s="27" t="s">
        <v>8</v>
      </c>
      <c r="DJ594" s="27" t="s">
        <v>7</v>
      </c>
      <c r="DK594" s="27" t="s">
        <v>8</v>
      </c>
      <c r="DL594" s="27" t="s">
        <v>7</v>
      </c>
      <c r="DM594" s="27" t="s">
        <v>8</v>
      </c>
      <c r="DN594" s="27" t="s">
        <v>7</v>
      </c>
      <c r="EQ594" s="27" t="s">
        <v>8</v>
      </c>
    </row>
    <row r="595" spans="1:147" x14ac:dyDescent="0.25">
      <c r="A595" s="7">
        <v>0.85349037119011173</v>
      </c>
      <c r="B595"/>
      <c r="C595"/>
      <c r="D595"/>
      <c r="E595"/>
      <c r="BL595" s="27" t="s">
        <v>7</v>
      </c>
      <c r="BQ595" s="27" t="s">
        <v>8</v>
      </c>
      <c r="BR595" s="27" t="s">
        <v>7</v>
      </c>
      <c r="BU595" s="27" t="s">
        <v>8</v>
      </c>
      <c r="CD595" s="27" t="s">
        <v>7</v>
      </c>
      <c r="CS595" s="27" t="s">
        <v>8</v>
      </c>
      <c r="CT595" s="27" t="s">
        <v>7</v>
      </c>
      <c r="CW595" s="27" t="s">
        <v>8</v>
      </c>
      <c r="DJ595" s="27" t="s">
        <v>7</v>
      </c>
      <c r="DK595" s="27" t="s">
        <v>8</v>
      </c>
      <c r="DL595" s="27" t="s">
        <v>7</v>
      </c>
      <c r="DM595" s="27" t="s">
        <v>8</v>
      </c>
      <c r="DN595" s="27" t="s">
        <v>7</v>
      </c>
      <c r="EQ595" s="27" t="s">
        <v>8</v>
      </c>
    </row>
    <row r="596" spans="1:147" x14ac:dyDescent="0.25">
      <c r="A596" s="7">
        <v>0.83675526587265858</v>
      </c>
      <c r="B596"/>
      <c r="C596"/>
      <c r="D596"/>
      <c r="E596"/>
      <c r="BL596" s="27" t="s">
        <v>7</v>
      </c>
      <c r="BQ596" s="27" t="s">
        <v>8</v>
      </c>
      <c r="BR596" s="27" t="s">
        <v>7</v>
      </c>
      <c r="BU596" s="27" t="s">
        <v>8</v>
      </c>
      <c r="CD596" s="27" t="s">
        <v>7</v>
      </c>
      <c r="CS596" s="27" t="s">
        <v>8</v>
      </c>
      <c r="CT596" s="27" t="s">
        <v>7</v>
      </c>
      <c r="CU596" s="27" t="s">
        <v>8</v>
      </c>
      <c r="CW596" s="27" t="s">
        <v>8</v>
      </c>
      <c r="DJ596" s="27" t="s">
        <v>7</v>
      </c>
      <c r="DK596" s="27" t="s">
        <v>8</v>
      </c>
      <c r="DL596" s="27" t="s">
        <v>7</v>
      </c>
      <c r="DM596" s="27" t="s">
        <v>8</v>
      </c>
      <c r="DN596" s="27" t="s">
        <v>7</v>
      </c>
      <c r="EQ596" s="27" t="s">
        <v>8</v>
      </c>
    </row>
    <row r="597" spans="1:147" x14ac:dyDescent="0.25">
      <c r="A597" s="7">
        <v>0.82034829987515545</v>
      </c>
      <c r="B597"/>
      <c r="C597"/>
      <c r="D597"/>
      <c r="E597"/>
      <c r="BL597" s="27" t="s">
        <v>7</v>
      </c>
      <c r="BM597" s="27" t="s">
        <v>8</v>
      </c>
      <c r="BO597" s="27" t="s">
        <v>8</v>
      </c>
      <c r="BQ597" s="27" t="s">
        <v>8</v>
      </c>
      <c r="BR597" s="27" t="s">
        <v>7</v>
      </c>
      <c r="BS597" s="27" t="s">
        <v>8</v>
      </c>
      <c r="BU597" s="27" t="s">
        <v>8</v>
      </c>
      <c r="CD597" s="27" t="s">
        <v>7</v>
      </c>
      <c r="CG597" s="27" t="s">
        <v>8</v>
      </c>
      <c r="CQ597" s="27" t="s">
        <v>8</v>
      </c>
      <c r="CS597" s="27" t="s">
        <v>8</v>
      </c>
      <c r="CT597" s="27" t="s">
        <v>7</v>
      </c>
      <c r="CU597" s="27" t="s">
        <v>8</v>
      </c>
      <c r="CV597" s="27" t="s">
        <v>7</v>
      </c>
      <c r="CW597" s="27" t="s">
        <v>8</v>
      </c>
      <c r="DJ597" s="27" t="s">
        <v>7</v>
      </c>
      <c r="DK597" s="27" t="s">
        <v>8</v>
      </c>
      <c r="DL597" s="27" t="s">
        <v>7</v>
      </c>
      <c r="DM597" s="27" t="s">
        <v>8</v>
      </c>
      <c r="DN597" s="27" t="s">
        <v>7</v>
      </c>
      <c r="EO597" s="27" t="s">
        <v>8</v>
      </c>
      <c r="EQ597" s="27" t="s">
        <v>8</v>
      </c>
    </row>
    <row r="598" spans="1:147" x14ac:dyDescent="0.25">
      <c r="A598" s="7">
        <v>0.80426303909328967</v>
      </c>
      <c r="B598"/>
      <c r="C598"/>
      <c r="D598"/>
      <c r="E598"/>
      <c r="BL598" s="27" t="s">
        <v>7</v>
      </c>
      <c r="BM598" s="27" t="s">
        <v>8</v>
      </c>
      <c r="BN598" s="27" t="s">
        <v>7</v>
      </c>
      <c r="BO598" s="27" t="s">
        <v>8</v>
      </c>
      <c r="BP598" s="27" t="s">
        <v>7</v>
      </c>
      <c r="BQ598" s="27" t="s">
        <v>8</v>
      </c>
      <c r="BR598" s="27" t="s">
        <v>7</v>
      </c>
      <c r="BS598" s="27" t="s">
        <v>8</v>
      </c>
      <c r="BT598" s="27" t="s">
        <v>7</v>
      </c>
      <c r="BU598" s="27" t="s">
        <v>8</v>
      </c>
      <c r="CD598" s="27" t="s">
        <v>7</v>
      </c>
      <c r="CE598" s="27" t="s">
        <v>8</v>
      </c>
      <c r="CG598" s="27" t="s">
        <v>8</v>
      </c>
      <c r="CH598" s="27" t="s">
        <v>7</v>
      </c>
      <c r="CQ598" s="27" t="s">
        <v>8</v>
      </c>
      <c r="CR598" s="27" t="s">
        <v>7</v>
      </c>
      <c r="CS598" s="27" t="s">
        <v>8</v>
      </c>
      <c r="CT598" s="27" t="s">
        <v>7</v>
      </c>
      <c r="CU598" s="27" t="s">
        <v>8</v>
      </c>
      <c r="CV598" s="27" t="s">
        <v>7</v>
      </c>
      <c r="CW598" s="27" t="s">
        <v>8</v>
      </c>
      <c r="DJ598" s="27" t="s">
        <v>7</v>
      </c>
      <c r="DL598" s="27" t="s">
        <v>7</v>
      </c>
      <c r="DN598" s="27" t="s">
        <v>7</v>
      </c>
      <c r="DO598" s="27" t="s">
        <v>8</v>
      </c>
      <c r="EK598" s="27" t="s">
        <v>8</v>
      </c>
      <c r="EO598" s="27" t="s">
        <v>8</v>
      </c>
      <c r="EP598" s="27" t="s">
        <v>7</v>
      </c>
      <c r="EQ598" s="27" t="s">
        <v>8</v>
      </c>
    </row>
    <row r="599" spans="1:147" x14ac:dyDescent="0.25">
      <c r="A599" s="7">
        <v>0.78849317558165644</v>
      </c>
      <c r="B599"/>
      <c r="C599"/>
      <c r="D599"/>
      <c r="E599"/>
      <c r="BL599" s="27" t="s">
        <v>7</v>
      </c>
      <c r="BM599" s="27" t="s">
        <v>8</v>
      </c>
      <c r="BN599" s="27" t="s">
        <v>7</v>
      </c>
      <c r="BO599" s="27" t="s">
        <v>8</v>
      </c>
      <c r="BP599" s="27" t="s">
        <v>7</v>
      </c>
      <c r="BQ599" s="27" t="s">
        <v>8</v>
      </c>
      <c r="BR599" s="27" t="s">
        <v>7</v>
      </c>
      <c r="BS599" s="27" t="s">
        <v>8</v>
      </c>
      <c r="BT599" s="27" t="s">
        <v>7</v>
      </c>
      <c r="BU599" s="27" t="s">
        <v>8</v>
      </c>
      <c r="CD599" s="27" t="s">
        <v>7</v>
      </c>
      <c r="CE599" s="27" t="s">
        <v>8</v>
      </c>
      <c r="CF599" s="27" t="s">
        <v>7</v>
      </c>
      <c r="CG599" s="27" t="s">
        <v>8</v>
      </c>
      <c r="CH599" s="27" t="s">
        <v>7</v>
      </c>
      <c r="CQ599" s="27" t="s">
        <v>8</v>
      </c>
      <c r="CR599" s="27" t="s">
        <v>7</v>
      </c>
      <c r="CS599" s="27" t="s">
        <v>8</v>
      </c>
      <c r="CT599" s="27" t="s">
        <v>7</v>
      </c>
      <c r="CU599" s="27" t="s">
        <v>8</v>
      </c>
      <c r="CV599" s="27" t="s">
        <v>7</v>
      </c>
      <c r="CW599" s="27" t="s">
        <v>8</v>
      </c>
      <c r="DN599" s="27" t="s">
        <v>7</v>
      </c>
      <c r="DO599" s="27" t="s">
        <v>8</v>
      </c>
      <c r="DP599" s="27" t="s">
        <v>7</v>
      </c>
      <c r="EK599" s="27" t="s">
        <v>8</v>
      </c>
      <c r="EL599" s="27" t="s">
        <v>7</v>
      </c>
      <c r="EO599" s="27" t="s">
        <v>8</v>
      </c>
      <c r="EP599" s="27" t="s">
        <v>7</v>
      </c>
      <c r="EQ599" s="27" t="s">
        <v>8</v>
      </c>
    </row>
    <row r="600" spans="1:147" x14ac:dyDescent="0.25">
      <c r="A600" s="7">
        <v>0.77303252508005538</v>
      </c>
      <c r="B600"/>
      <c r="C600"/>
      <c r="D600"/>
      <c r="E600"/>
      <c r="BL600" s="27" t="s">
        <v>7</v>
      </c>
      <c r="BM600" s="27" t="s">
        <v>8</v>
      </c>
      <c r="BN600" s="27" t="s">
        <v>7</v>
      </c>
      <c r="BO600" s="27" t="s">
        <v>8</v>
      </c>
      <c r="BP600" s="27" t="s">
        <v>7</v>
      </c>
      <c r="BR600" s="27" t="s">
        <v>7</v>
      </c>
      <c r="BS600" s="27" t="s">
        <v>8</v>
      </c>
      <c r="BT600" s="27" t="s">
        <v>7</v>
      </c>
      <c r="BU600" s="27" t="s">
        <v>8</v>
      </c>
      <c r="CD600" s="27" t="s">
        <v>7</v>
      </c>
      <c r="CE600" s="27" t="s">
        <v>8</v>
      </c>
      <c r="CF600" s="27" t="s">
        <v>7</v>
      </c>
      <c r="CG600" s="27" t="s">
        <v>8</v>
      </c>
      <c r="CH600" s="27" t="s">
        <v>7</v>
      </c>
      <c r="CQ600" s="27" t="s">
        <v>8</v>
      </c>
      <c r="CR600" s="27" t="s">
        <v>7</v>
      </c>
      <c r="CS600" s="27" t="s">
        <v>8</v>
      </c>
      <c r="CT600" s="27" t="s">
        <v>7</v>
      </c>
      <c r="CU600" s="27" t="s">
        <v>8</v>
      </c>
      <c r="CV600" s="27" t="s">
        <v>7</v>
      </c>
      <c r="CW600" s="27" t="s">
        <v>8</v>
      </c>
      <c r="DN600" s="27" t="s">
        <v>7</v>
      </c>
      <c r="DO600" s="27" t="s">
        <v>8</v>
      </c>
      <c r="DP600" s="27" t="s">
        <v>7</v>
      </c>
      <c r="EK600" s="27" t="s">
        <v>8</v>
      </c>
      <c r="EL600" s="27" t="s">
        <v>7</v>
      </c>
      <c r="EO600" s="27" t="s">
        <v>8</v>
      </c>
      <c r="EP600" s="27" t="s">
        <v>7</v>
      </c>
      <c r="EQ600" s="27" t="s">
        <v>8</v>
      </c>
    </row>
    <row r="601" spans="1:147" x14ac:dyDescent="0.25">
      <c r="A601" s="7">
        <v>0.75787502458828959</v>
      </c>
      <c r="B601"/>
      <c r="C601"/>
      <c r="D601"/>
      <c r="E601"/>
      <c r="BL601" s="27" t="s">
        <v>7</v>
      </c>
      <c r="BM601" s="27" t="s">
        <v>8</v>
      </c>
      <c r="BN601" s="27" t="s">
        <v>7</v>
      </c>
      <c r="BR601" s="27" t="s">
        <v>7</v>
      </c>
      <c r="BT601" s="27" t="s">
        <v>7</v>
      </c>
      <c r="BU601" s="27" t="s">
        <v>8</v>
      </c>
      <c r="CD601" s="27" t="s">
        <v>7</v>
      </c>
      <c r="CE601" s="27" t="s">
        <v>8</v>
      </c>
      <c r="CF601" s="27" t="s">
        <v>7</v>
      </c>
      <c r="CG601" s="27" t="s">
        <v>8</v>
      </c>
      <c r="CH601" s="27" t="s">
        <v>7</v>
      </c>
      <c r="CI601" s="27" t="s">
        <v>8</v>
      </c>
      <c r="CQ601" s="27" t="s">
        <v>8</v>
      </c>
      <c r="CR601" s="27" t="s">
        <v>7</v>
      </c>
      <c r="CS601" s="27" t="s">
        <v>8</v>
      </c>
      <c r="CT601" s="27" t="s">
        <v>7</v>
      </c>
      <c r="CV601" s="27" t="s">
        <v>7</v>
      </c>
      <c r="CW601" s="27" t="s">
        <v>8</v>
      </c>
      <c r="DN601" s="27" t="s">
        <v>7</v>
      </c>
      <c r="DO601" s="27" t="s">
        <v>8</v>
      </c>
      <c r="DP601" s="27" t="s">
        <v>7</v>
      </c>
      <c r="EK601" s="27" t="s">
        <v>8</v>
      </c>
      <c r="EL601" s="27" t="s">
        <v>7</v>
      </c>
      <c r="EO601" s="27" t="s">
        <v>8</v>
      </c>
      <c r="EP601" s="27" t="s">
        <v>7</v>
      </c>
      <c r="EQ601" s="27" t="s">
        <v>8</v>
      </c>
    </row>
    <row r="602" spans="1:147" x14ac:dyDescent="0.25">
      <c r="A602" s="7">
        <v>0.74301472998851925</v>
      </c>
      <c r="B602"/>
      <c r="C602"/>
      <c r="D602"/>
      <c r="E602"/>
      <c r="BL602" s="27" t="s">
        <v>7</v>
      </c>
      <c r="BM602" s="27" t="s">
        <v>8</v>
      </c>
      <c r="BT602" s="27" t="s">
        <v>7</v>
      </c>
      <c r="BU602" s="27" t="s">
        <v>8</v>
      </c>
      <c r="CD602" s="27" t="s">
        <v>7</v>
      </c>
      <c r="CE602" s="27" t="s">
        <v>8</v>
      </c>
      <c r="CF602" s="27" t="s">
        <v>7</v>
      </c>
      <c r="CG602" s="27" t="s">
        <v>8</v>
      </c>
      <c r="CH602" s="27" t="s">
        <v>7</v>
      </c>
      <c r="CI602" s="27" t="s">
        <v>8</v>
      </c>
      <c r="CJ602" s="27" t="s">
        <v>7</v>
      </c>
      <c r="CQ602" s="27" t="s">
        <v>8</v>
      </c>
      <c r="CR602" s="27" t="s">
        <v>7</v>
      </c>
      <c r="CV602" s="27" t="s">
        <v>7</v>
      </c>
      <c r="CW602" s="27" t="s">
        <v>8</v>
      </c>
      <c r="DN602" s="27" t="s">
        <v>7</v>
      </c>
      <c r="DP602" s="27" t="s">
        <v>7</v>
      </c>
      <c r="EK602" s="27" t="s">
        <v>8</v>
      </c>
      <c r="EL602" s="27" t="s">
        <v>7</v>
      </c>
      <c r="EO602" s="27" t="s">
        <v>8</v>
      </c>
      <c r="EP602" s="27" t="s">
        <v>7</v>
      </c>
      <c r="EQ602" s="27" t="s">
        <v>8</v>
      </c>
    </row>
    <row r="603" spans="1:147" x14ac:dyDescent="0.25">
      <c r="A603" s="7">
        <v>0.72844581371423456</v>
      </c>
      <c r="B603"/>
      <c r="C603"/>
      <c r="D603"/>
      <c r="E603"/>
      <c r="BL603" s="27" t="s">
        <v>7</v>
      </c>
      <c r="BM603" s="27" t="s">
        <v>8</v>
      </c>
      <c r="BT603" s="27" t="s">
        <v>7</v>
      </c>
      <c r="BU603" s="27" t="s">
        <v>8</v>
      </c>
      <c r="CD603" s="27" t="s">
        <v>7</v>
      </c>
      <c r="CF603" s="27" t="s">
        <v>7</v>
      </c>
      <c r="CG603" s="27" t="s">
        <v>8</v>
      </c>
      <c r="CH603" s="27" t="s">
        <v>7</v>
      </c>
      <c r="CI603" s="27" t="s">
        <v>8</v>
      </c>
      <c r="CJ603" s="27" t="s">
        <v>7</v>
      </c>
      <c r="CQ603" s="27" t="s">
        <v>8</v>
      </c>
      <c r="CV603" s="27" t="s">
        <v>7</v>
      </c>
      <c r="DP603" s="27" t="s">
        <v>7</v>
      </c>
      <c r="EK603" s="27" t="s">
        <v>8</v>
      </c>
      <c r="EL603" s="27" t="s">
        <v>7</v>
      </c>
      <c r="EM603" s="27" t="s">
        <v>8</v>
      </c>
      <c r="EO603" s="27" t="s">
        <v>8</v>
      </c>
      <c r="EP603" s="27" t="s">
        <v>7</v>
      </c>
      <c r="EQ603" s="27" t="s">
        <v>8</v>
      </c>
    </row>
    <row r="604" spans="1:147" x14ac:dyDescent="0.25">
      <c r="A604" s="7">
        <v>0.71416256246493581</v>
      </c>
      <c r="B604"/>
      <c r="C604"/>
      <c r="D604"/>
      <c r="E604"/>
      <c r="BL604" s="27" t="s">
        <v>7</v>
      </c>
      <c r="BT604" s="27" t="s">
        <v>7</v>
      </c>
      <c r="CF604" s="27" t="s">
        <v>7</v>
      </c>
      <c r="CG604" s="27" t="s">
        <v>8</v>
      </c>
      <c r="CH604" s="27" t="s">
        <v>7</v>
      </c>
      <c r="CJ604" s="27" t="s">
        <v>7</v>
      </c>
      <c r="CQ604" s="27" t="s">
        <v>8</v>
      </c>
      <c r="DP604" s="27" t="s">
        <v>7</v>
      </c>
      <c r="EK604" s="27" t="s">
        <v>8</v>
      </c>
      <c r="EL604" s="27" t="s">
        <v>7</v>
      </c>
      <c r="EM604" s="27" t="s">
        <v>8</v>
      </c>
      <c r="EN604" s="27" t="s">
        <v>7</v>
      </c>
      <c r="EO604" s="27" t="s">
        <v>8</v>
      </c>
      <c r="EP604" s="27" t="s">
        <v>7</v>
      </c>
      <c r="EQ604" s="27" t="s">
        <v>8</v>
      </c>
    </row>
    <row r="605" spans="1:147" x14ac:dyDescent="0.25">
      <c r="A605" s="7">
        <v>0.7001593749656233</v>
      </c>
      <c r="B605"/>
      <c r="C605"/>
      <c r="D605"/>
      <c r="E605"/>
      <c r="CF605" s="27" t="s">
        <v>7</v>
      </c>
      <c r="CG605" s="27" t="s">
        <v>8</v>
      </c>
      <c r="CJ605" s="27" t="s">
        <v>7</v>
      </c>
      <c r="CQ605" s="27" t="s">
        <v>8</v>
      </c>
      <c r="DP605" s="27" t="s">
        <v>7</v>
      </c>
      <c r="EK605" s="27" t="s">
        <v>8</v>
      </c>
      <c r="EL605" s="27" t="s">
        <v>7</v>
      </c>
      <c r="EM605" s="27" t="s">
        <v>8</v>
      </c>
      <c r="EN605" s="27" t="s">
        <v>7</v>
      </c>
      <c r="EO605" s="27" t="s">
        <v>8</v>
      </c>
      <c r="EP605" s="27" t="s">
        <v>7</v>
      </c>
      <c r="EQ605" s="27" t="s">
        <v>8</v>
      </c>
    </row>
    <row r="606" spans="1:147" x14ac:dyDescent="0.25">
      <c r="A606" s="7">
        <v>0.68643075977021883</v>
      </c>
      <c r="B606"/>
      <c r="C606"/>
      <c r="D606"/>
      <c r="E606"/>
      <c r="CF606" s="27" t="s">
        <v>7</v>
      </c>
      <c r="CG606" s="27" t="s">
        <v>8</v>
      </c>
      <c r="CJ606" s="27" t="s">
        <v>7</v>
      </c>
      <c r="CO606" s="27" t="s">
        <v>8</v>
      </c>
      <c r="CQ606" s="27" t="s">
        <v>8</v>
      </c>
      <c r="DP606" s="27" t="s">
        <v>7</v>
      </c>
      <c r="EI606" s="27" t="s">
        <v>8</v>
      </c>
      <c r="EK606" s="27" t="s">
        <v>8</v>
      </c>
      <c r="EL606" s="27" t="s">
        <v>7</v>
      </c>
      <c r="EM606" s="27" t="s">
        <v>8</v>
      </c>
      <c r="EN606" s="27" t="s">
        <v>7</v>
      </c>
      <c r="EP606" s="27" t="s">
        <v>7</v>
      </c>
      <c r="EQ606" s="27" t="s">
        <v>8</v>
      </c>
    </row>
    <row r="607" spans="1:147" x14ac:dyDescent="0.25">
      <c r="A607" s="7">
        <v>0.67297133310805768</v>
      </c>
      <c r="B607"/>
      <c r="C607"/>
      <c r="D607"/>
      <c r="E607"/>
      <c r="CF607" s="27" t="s">
        <v>7</v>
      </c>
      <c r="CG607" s="27" t="s">
        <v>8</v>
      </c>
      <c r="CJ607" s="27" t="s">
        <v>7</v>
      </c>
      <c r="CK607" s="27" t="s">
        <v>8</v>
      </c>
      <c r="CO607" s="27" t="s">
        <v>8</v>
      </c>
      <c r="CP607" s="27" t="s">
        <v>7</v>
      </c>
      <c r="CQ607" s="27" t="s">
        <v>8</v>
      </c>
      <c r="DP607" s="27" t="s">
        <v>7</v>
      </c>
      <c r="EI607" s="27" t="s">
        <v>8</v>
      </c>
      <c r="EJ607" s="27" t="s">
        <v>7</v>
      </c>
      <c r="EK607" s="27" t="s">
        <v>8</v>
      </c>
      <c r="EL607" s="27" t="s">
        <v>7</v>
      </c>
      <c r="EP607" s="27" t="s">
        <v>7</v>
      </c>
      <c r="EQ607" s="27" t="s">
        <v>8</v>
      </c>
    </row>
    <row r="608" spans="1:147" x14ac:dyDescent="0.25">
      <c r="A608" s="7">
        <v>0.65977581677260566</v>
      </c>
      <c r="B608"/>
      <c r="C608"/>
      <c r="D608"/>
      <c r="E608"/>
      <c r="CF608" s="27" t="s">
        <v>7</v>
      </c>
      <c r="CJ608" s="27" t="s">
        <v>7</v>
      </c>
      <c r="CK608" s="27" t="s">
        <v>8</v>
      </c>
      <c r="CL608" s="27" t="s">
        <v>7</v>
      </c>
      <c r="CO608" s="27" t="s">
        <v>8</v>
      </c>
      <c r="CP608" s="27" t="s">
        <v>7</v>
      </c>
      <c r="CQ608" s="27" t="s">
        <v>8</v>
      </c>
      <c r="DP608" s="27" t="s">
        <v>7</v>
      </c>
      <c r="EI608" s="27" t="s">
        <v>8</v>
      </c>
      <c r="EJ608" s="27" t="s">
        <v>7</v>
      </c>
      <c r="EK608" s="27" t="s">
        <v>8</v>
      </c>
      <c r="EP608" s="27" t="s">
        <v>7</v>
      </c>
      <c r="EQ608" s="27" t="s">
        <v>8</v>
      </c>
    </row>
    <row r="609" spans="1:147" x14ac:dyDescent="0.25">
      <c r="A609" s="7">
        <v>0.64683903605157422</v>
      </c>
      <c r="B609"/>
      <c r="C609"/>
      <c r="D609"/>
      <c r="E609"/>
      <c r="CJ609" s="27" t="s">
        <v>7</v>
      </c>
      <c r="CK609" s="27" t="s">
        <v>8</v>
      </c>
      <c r="CL609" s="27" t="s">
        <v>7</v>
      </c>
      <c r="CM609" s="27" t="s">
        <v>8</v>
      </c>
      <c r="CO609" s="27" t="s">
        <v>8</v>
      </c>
      <c r="CP609" s="27" t="s">
        <v>7</v>
      </c>
      <c r="CQ609" s="27" t="s">
        <v>8</v>
      </c>
      <c r="DP609" s="27" t="s">
        <v>7</v>
      </c>
      <c r="EI609" s="27" t="s">
        <v>8</v>
      </c>
      <c r="EJ609" s="27" t="s">
        <v>7</v>
      </c>
      <c r="EP609" s="27" t="s">
        <v>7</v>
      </c>
      <c r="EQ609" s="27" t="s">
        <v>8</v>
      </c>
    </row>
    <row r="610" spans="1:147" x14ac:dyDescent="0.25">
      <c r="A610" s="7">
        <v>0.63415591769762181</v>
      </c>
      <c r="B610"/>
      <c r="C610"/>
      <c r="D610"/>
      <c r="E610"/>
      <c r="CJ610" s="27" t="s">
        <v>7</v>
      </c>
      <c r="CK610" s="27" t="s">
        <v>8</v>
      </c>
      <c r="CL610" s="27" t="s">
        <v>7</v>
      </c>
      <c r="CM610" s="27" t="s">
        <v>8</v>
      </c>
      <c r="CN610" s="27" t="s">
        <v>7</v>
      </c>
      <c r="CO610" s="27" t="s">
        <v>8</v>
      </c>
      <c r="CP610" s="27" t="s">
        <v>7</v>
      </c>
      <c r="DP610" s="27" t="s">
        <v>7</v>
      </c>
      <c r="EA610" s="27" t="s">
        <v>8</v>
      </c>
      <c r="EI610" s="27" t="s">
        <v>8</v>
      </c>
      <c r="EP610" s="27" t="s">
        <v>7</v>
      </c>
    </row>
    <row r="611" spans="1:147" x14ac:dyDescent="0.25">
      <c r="A611" s="7">
        <v>0.62172148793884496</v>
      </c>
      <c r="B611"/>
      <c r="C611"/>
      <c r="D611"/>
      <c r="E611"/>
      <c r="CJ611" s="27" t="s">
        <v>7</v>
      </c>
      <c r="CK611" s="27" t="s">
        <v>8</v>
      </c>
      <c r="CL611" s="27" t="s">
        <v>7</v>
      </c>
      <c r="CM611" s="27" t="s">
        <v>8</v>
      </c>
      <c r="CN611" s="27" t="s">
        <v>7</v>
      </c>
      <c r="CO611" s="27" t="s">
        <v>8</v>
      </c>
      <c r="DP611" s="27" t="s">
        <v>7</v>
      </c>
      <c r="EA611" s="27" t="s">
        <v>8</v>
      </c>
      <c r="EB611" s="27" t="s">
        <v>7</v>
      </c>
      <c r="EI611" s="27" t="s">
        <v>8</v>
      </c>
    </row>
    <row r="612" spans="1:147" x14ac:dyDescent="0.25">
      <c r="A612" s="7">
        <v>0.60953087052827937</v>
      </c>
      <c r="B612"/>
      <c r="C612"/>
      <c r="D612"/>
      <c r="E612"/>
      <c r="CJ612" s="27" t="s">
        <v>7</v>
      </c>
      <c r="CK612" s="27" t="s">
        <v>8</v>
      </c>
      <c r="CL612" s="27" t="s">
        <v>7</v>
      </c>
      <c r="CN612" s="27" t="s">
        <v>7</v>
      </c>
      <c r="CO612" s="27" t="s">
        <v>8</v>
      </c>
      <c r="DP612" s="27" t="s">
        <v>7</v>
      </c>
      <c r="EA612" s="27" t="s">
        <v>8</v>
      </c>
      <c r="EB612" s="27" t="s">
        <v>7</v>
      </c>
      <c r="EG612" s="27" t="s">
        <v>8</v>
      </c>
      <c r="EI612" s="27" t="s">
        <v>8</v>
      </c>
    </row>
    <row r="613" spans="1:147" x14ac:dyDescent="0.25">
      <c r="A613" s="7">
        <v>0.59757928483164646</v>
      </c>
      <c r="B613"/>
      <c r="C613"/>
      <c r="D613"/>
      <c r="E613"/>
      <c r="CJ613" s="27" t="s">
        <v>7</v>
      </c>
      <c r="CK613" s="27" t="s">
        <v>8</v>
      </c>
      <c r="CN613" s="27" t="s">
        <v>7</v>
      </c>
      <c r="CO613" s="27" t="s">
        <v>8</v>
      </c>
      <c r="DP613" s="27" t="s">
        <v>7</v>
      </c>
      <c r="DU613" s="27" t="s">
        <v>8</v>
      </c>
      <c r="EA613" s="27" t="s">
        <v>8</v>
      </c>
      <c r="EB613" s="27" t="s">
        <v>7</v>
      </c>
      <c r="EE613" s="27" t="s">
        <v>8</v>
      </c>
      <c r="EG613" s="27" t="s">
        <v>8</v>
      </c>
      <c r="EH613" s="27" t="s">
        <v>7</v>
      </c>
      <c r="EI613" s="27" t="s">
        <v>8</v>
      </c>
    </row>
    <row r="614" spans="1:147" x14ac:dyDescent="0.25">
      <c r="A614" s="7">
        <v>0.58586204395259456</v>
      </c>
      <c r="B614"/>
      <c r="C614"/>
      <c r="D614"/>
      <c r="E614"/>
      <c r="CJ614" s="27" t="s">
        <v>7</v>
      </c>
      <c r="CK614" s="27" t="s">
        <v>8</v>
      </c>
      <c r="CN614" s="27" t="s">
        <v>7</v>
      </c>
      <c r="DP614" s="27" t="s">
        <v>7</v>
      </c>
      <c r="DU614" s="27" t="s">
        <v>8</v>
      </c>
      <c r="DV614" s="27" t="s">
        <v>7</v>
      </c>
      <c r="EA614" s="27" t="s">
        <v>8</v>
      </c>
      <c r="EB614" s="27" t="s">
        <v>7</v>
      </c>
      <c r="EC614" s="27" t="s">
        <v>8</v>
      </c>
      <c r="EE614" s="27" t="s">
        <v>8</v>
      </c>
      <c r="EF614" s="27" t="s">
        <v>7</v>
      </c>
      <c r="EG614" s="27" t="s">
        <v>8</v>
      </c>
      <c r="EH614" s="27" t="s">
        <v>7</v>
      </c>
      <c r="EI614" s="27" t="s">
        <v>8</v>
      </c>
    </row>
    <row r="615" spans="1:147" x14ac:dyDescent="0.25">
      <c r="A615" s="7">
        <v>0.57437455289470052</v>
      </c>
      <c r="B615"/>
      <c r="C615"/>
      <c r="D615"/>
      <c r="E615"/>
      <c r="CJ615" s="27" t="s">
        <v>7</v>
      </c>
      <c r="DP615" s="27" t="s">
        <v>7</v>
      </c>
      <c r="DU615" s="27" t="s">
        <v>8</v>
      </c>
      <c r="DV615" s="27" t="s">
        <v>7</v>
      </c>
      <c r="DY615" s="27" t="s">
        <v>8</v>
      </c>
      <c r="EA615" s="27" t="s">
        <v>8</v>
      </c>
      <c r="EB615" s="27" t="s">
        <v>7</v>
      </c>
      <c r="EC615" s="27" t="s">
        <v>8</v>
      </c>
      <c r="ED615" s="27" t="s">
        <v>7</v>
      </c>
      <c r="EE615" s="27" t="s">
        <v>8</v>
      </c>
      <c r="EF615" s="27" t="s">
        <v>7</v>
      </c>
      <c r="EG615" s="27" t="s">
        <v>8</v>
      </c>
      <c r="EH615" s="27" t="s">
        <v>7</v>
      </c>
      <c r="EI615" s="27" t="s">
        <v>8</v>
      </c>
    </row>
    <row r="616" spans="1:147" x14ac:dyDescent="0.25">
      <c r="A616" s="7">
        <v>0.56311230675951029</v>
      </c>
      <c r="B616"/>
      <c r="C616"/>
      <c r="D616"/>
      <c r="E616"/>
      <c r="DP616" s="27" t="s">
        <v>7</v>
      </c>
      <c r="DU616" s="27" t="s">
        <v>8</v>
      </c>
      <c r="DV616" s="27" t="s">
        <v>7</v>
      </c>
      <c r="DY616" s="27" t="s">
        <v>8</v>
      </c>
      <c r="DZ616" s="27" t="s">
        <v>7</v>
      </c>
      <c r="EA616" s="27" t="s">
        <v>8</v>
      </c>
      <c r="EB616" s="27" t="s">
        <v>7</v>
      </c>
      <c r="EC616" s="27" t="s">
        <v>8</v>
      </c>
      <c r="ED616" s="27" t="s">
        <v>7</v>
      </c>
      <c r="EE616" s="27" t="s">
        <v>8</v>
      </c>
      <c r="EF616" s="27" t="s">
        <v>7</v>
      </c>
      <c r="EG616" s="27" t="s">
        <v>8</v>
      </c>
      <c r="EH616" s="27" t="s">
        <v>7</v>
      </c>
    </row>
    <row r="617" spans="1:147" x14ac:dyDescent="0.25">
      <c r="A617" s="7">
        <v>0.55207088897991208</v>
      </c>
      <c r="B617"/>
      <c r="C617"/>
      <c r="D617"/>
      <c r="E617"/>
      <c r="DP617" s="27" t="s">
        <v>7</v>
      </c>
      <c r="DU617" s="27" t="s">
        <v>8</v>
      </c>
      <c r="DV617" s="27" t="s">
        <v>7</v>
      </c>
      <c r="DY617" s="27" t="s">
        <v>8</v>
      </c>
      <c r="DZ617" s="27" t="s">
        <v>7</v>
      </c>
      <c r="EA617" s="27" t="s">
        <v>8</v>
      </c>
      <c r="EB617" s="27" t="s">
        <v>7</v>
      </c>
      <c r="EC617" s="27" t="s">
        <v>8</v>
      </c>
      <c r="ED617" s="27" t="s">
        <v>7</v>
      </c>
      <c r="EE617" s="27" t="s">
        <v>8</v>
      </c>
      <c r="EF617" s="27" t="s">
        <v>7</v>
      </c>
      <c r="EG617" s="27" t="s">
        <v>8</v>
      </c>
    </row>
    <row r="618" spans="1:147" x14ac:dyDescent="0.25">
      <c r="A618" s="7">
        <v>0.54124596958814908</v>
      </c>
      <c r="B618"/>
      <c r="C618"/>
      <c r="D618"/>
      <c r="E618"/>
      <c r="DP618" s="27" t="s">
        <v>7</v>
      </c>
      <c r="DU618" s="27" t="s">
        <v>8</v>
      </c>
      <c r="DV618" s="27" t="s">
        <v>7</v>
      </c>
      <c r="DY618" s="27" t="s">
        <v>8</v>
      </c>
      <c r="DZ618" s="27" t="s">
        <v>7</v>
      </c>
      <c r="EB618" s="27" t="s">
        <v>7</v>
      </c>
      <c r="ED618" s="27" t="s">
        <v>7</v>
      </c>
      <c r="EE618" s="27" t="s">
        <v>8</v>
      </c>
      <c r="EF618" s="27" t="s">
        <v>7</v>
      </c>
      <c r="EG618" s="27" t="s">
        <v>8</v>
      </c>
    </row>
    <row r="619" spans="1:147" x14ac:dyDescent="0.25">
      <c r="A619" s="7">
        <v>0.53063330351779314</v>
      </c>
      <c r="B619"/>
      <c r="C619"/>
      <c r="D619"/>
      <c r="E619"/>
      <c r="DP619" s="27" t="s">
        <v>7</v>
      </c>
      <c r="DU619" s="27" t="s">
        <v>8</v>
      </c>
      <c r="DV619" s="27" t="s">
        <v>7</v>
      </c>
      <c r="DW619" s="27" t="s">
        <v>8</v>
      </c>
      <c r="DY619" s="27" t="s">
        <v>8</v>
      </c>
      <c r="ED619" s="27" t="s">
        <v>7</v>
      </c>
      <c r="EE619" s="27" t="s">
        <v>8</v>
      </c>
      <c r="EF619" s="27" t="s">
        <v>7</v>
      </c>
    </row>
    <row r="620" spans="1:147" x14ac:dyDescent="0.25">
      <c r="A620" s="7">
        <v>0.52022872893901284</v>
      </c>
      <c r="B620"/>
      <c r="C620"/>
      <c r="D620"/>
      <c r="E620"/>
      <c r="DP620" s="27" t="s">
        <v>7</v>
      </c>
      <c r="DQ620" s="27" t="s">
        <v>8</v>
      </c>
      <c r="DU620" s="27" t="s">
        <v>8</v>
      </c>
      <c r="DV620" s="27" t="s">
        <v>7</v>
      </c>
      <c r="DW620" s="27" t="s">
        <v>8</v>
      </c>
      <c r="DX620" s="27" t="s">
        <v>7</v>
      </c>
      <c r="DY620" s="27" t="s">
        <v>8</v>
      </c>
      <c r="ED620" s="27" t="s">
        <v>7</v>
      </c>
      <c r="EE620" s="27" t="s">
        <v>8</v>
      </c>
    </row>
    <row r="621" spans="1:147" x14ac:dyDescent="0.25">
      <c r="A621" s="7">
        <v>0.51002816562648323</v>
      </c>
      <c r="B621"/>
      <c r="C621"/>
      <c r="D621"/>
      <c r="E621"/>
      <c r="DP621" s="27" t="s">
        <v>7</v>
      </c>
      <c r="DQ621" s="27" t="s">
        <v>8</v>
      </c>
      <c r="DR621" s="27" t="s">
        <v>7</v>
      </c>
      <c r="DU621" s="27" t="s">
        <v>8</v>
      </c>
      <c r="DV621" s="27" t="s">
        <v>7</v>
      </c>
      <c r="DW621" s="27" t="s">
        <v>8</v>
      </c>
      <c r="DX621" s="27" t="s">
        <v>7</v>
      </c>
      <c r="DY621" s="27" t="s">
        <v>8</v>
      </c>
      <c r="ED621" s="27" t="s">
        <v>7</v>
      </c>
    </row>
    <row r="622" spans="1:147" x14ac:dyDescent="0.25">
      <c r="A622" s="7">
        <v>0.50002761335929735</v>
      </c>
      <c r="B622"/>
      <c r="C622"/>
      <c r="D622"/>
      <c r="E622"/>
      <c r="DP622" s="27" t="s">
        <v>7</v>
      </c>
      <c r="DQ622" s="27" t="s">
        <v>8</v>
      </c>
      <c r="DR622" s="27" t="s">
        <v>7</v>
      </c>
      <c r="DU622" s="27" t="s">
        <v>8</v>
      </c>
      <c r="DV622" s="27" t="s">
        <v>7</v>
      </c>
      <c r="DW622" s="27" t="s">
        <v>8</v>
      </c>
      <c r="DX622" s="27" t="s">
        <v>7</v>
      </c>
      <c r="DY622" s="27" t="s">
        <v>8</v>
      </c>
    </row>
    <row r="623" spans="1:147" x14ac:dyDescent="0.25">
      <c r="A623" s="7">
        <v>0.49022315035225228</v>
      </c>
      <c r="B623"/>
      <c r="C623"/>
      <c r="D623"/>
      <c r="E623"/>
      <c r="DP623" s="27" t="s">
        <v>7</v>
      </c>
      <c r="DQ623" s="27" t="s">
        <v>8</v>
      </c>
      <c r="DR623" s="27" t="s">
        <v>7</v>
      </c>
      <c r="DU623" s="27" t="s">
        <v>8</v>
      </c>
      <c r="DV623" s="27" t="s">
        <v>7</v>
      </c>
      <c r="DW623" s="27" t="s">
        <v>8</v>
      </c>
      <c r="DX623" s="27" t="s">
        <v>7</v>
      </c>
      <c r="DY623" s="27" t="s">
        <v>8</v>
      </c>
    </row>
    <row r="624" spans="1:147" x14ac:dyDescent="0.25">
      <c r="A624" s="7">
        <v>0.48061093171789437</v>
      </c>
      <c r="B624"/>
      <c r="C624"/>
      <c r="D624"/>
      <c r="E624"/>
      <c r="DP624" s="27" t="s">
        <v>7</v>
      </c>
      <c r="DQ624" s="27" t="s">
        <v>8</v>
      </c>
      <c r="DR624" s="27" t="s">
        <v>7</v>
      </c>
      <c r="DS624" s="27" t="s">
        <v>8</v>
      </c>
      <c r="DU624" s="27" t="s">
        <v>8</v>
      </c>
      <c r="DV624" s="27" t="s">
        <v>7</v>
      </c>
      <c r="DW624" s="27" t="s">
        <v>8</v>
      </c>
      <c r="DX624" s="27" t="s">
        <v>7</v>
      </c>
      <c r="DY624" s="27" t="s">
        <v>8</v>
      </c>
    </row>
    <row r="625" spans="1:128" x14ac:dyDescent="0.25">
      <c r="A625" s="7">
        <v>0.47118718795871994</v>
      </c>
      <c r="B625"/>
      <c r="C625"/>
      <c r="D625"/>
      <c r="E625"/>
      <c r="DP625" s="27" t="s">
        <v>7</v>
      </c>
      <c r="DQ625" s="27" t="s">
        <v>8</v>
      </c>
      <c r="DR625" s="27" t="s">
        <v>7</v>
      </c>
      <c r="DS625" s="27" t="s">
        <v>8</v>
      </c>
      <c r="DT625" s="27" t="s">
        <v>7</v>
      </c>
      <c r="DU625" s="27" t="s">
        <v>8</v>
      </c>
      <c r="DV625" s="27" t="s">
        <v>7</v>
      </c>
      <c r="DX625" s="27" t="s">
        <v>7</v>
      </c>
    </row>
    <row r="626" spans="1:128" x14ac:dyDescent="0.25">
      <c r="A626" s="7">
        <v>0.46194822348894116</v>
      </c>
      <c r="B626"/>
      <c r="C626"/>
      <c r="D626"/>
      <c r="E626"/>
      <c r="DP626" s="27" t="s">
        <v>7</v>
      </c>
      <c r="DQ626" s="27" t="s">
        <v>8</v>
      </c>
      <c r="DR626" s="27" t="s">
        <v>7</v>
      </c>
      <c r="DS626" s="27" t="s">
        <v>8</v>
      </c>
      <c r="DT626" s="27" t="s">
        <v>7</v>
      </c>
      <c r="DU626" s="27" t="s">
        <v>8</v>
      </c>
    </row>
    <row r="627" spans="1:128" x14ac:dyDescent="0.25">
      <c r="A627" s="7">
        <v>0.45289041518523643</v>
      </c>
      <c r="B627"/>
      <c r="C627"/>
      <c r="D627"/>
      <c r="E627"/>
      <c r="DP627" s="27" t="s">
        <v>7</v>
      </c>
      <c r="DQ627" s="27" t="s">
        <v>8</v>
      </c>
      <c r="DR627" s="27" t="s">
        <v>7</v>
      </c>
      <c r="DS627" s="27" t="s">
        <v>8</v>
      </c>
      <c r="DT627" s="27" t="s">
        <v>7</v>
      </c>
      <c r="DU627" s="27" t="s">
        <v>8</v>
      </c>
    </row>
    <row r="628" spans="1:128" x14ac:dyDescent="0.25">
      <c r="A628" s="7">
        <v>0.44401021096591808</v>
      </c>
      <c r="B628"/>
      <c r="C628"/>
      <c r="D628"/>
      <c r="E628"/>
      <c r="DP628" s="27" t="s">
        <v>7</v>
      </c>
      <c r="DQ628" s="27" t="s">
        <v>8</v>
      </c>
      <c r="DR628" s="27" t="s">
        <v>7</v>
      </c>
      <c r="DS628" s="27" t="s">
        <v>8</v>
      </c>
      <c r="DT628" s="27" t="s">
        <v>7</v>
      </c>
      <c r="DU628" s="27" t="s">
        <v>8</v>
      </c>
    </row>
    <row r="629" spans="1:128" x14ac:dyDescent="0.25">
      <c r="A629" s="7">
        <v>0.4353041283979589</v>
      </c>
      <c r="B629"/>
      <c r="C629"/>
      <c r="D629"/>
      <c r="E629"/>
      <c r="DP629" s="27" t="s">
        <v>7</v>
      </c>
      <c r="DQ629" s="27" t="s">
        <v>8</v>
      </c>
      <c r="DR629" s="27" t="s">
        <v>7</v>
      </c>
      <c r="DS629" s="27" t="s">
        <v>8</v>
      </c>
      <c r="DT629" s="27" t="s">
        <v>7</v>
      </c>
      <c r="DU629" s="27" t="s">
        <v>8</v>
      </c>
    </row>
    <row r="630" spans="1:128" x14ac:dyDescent="0.25">
      <c r="A630" s="7">
        <v>0.4267687533313323</v>
      </c>
      <c r="B630"/>
      <c r="C630"/>
      <c r="D630"/>
      <c r="E630"/>
      <c r="DP630" s="27" t="s">
        <v>7</v>
      </c>
      <c r="DQ630" s="27" t="s">
        <v>8</v>
      </c>
      <c r="DR630" s="27" t="s">
        <v>7</v>
      </c>
      <c r="DS630" s="27" t="s">
        <v>8</v>
      </c>
      <c r="DT630" s="27" t="s">
        <v>7</v>
      </c>
    </row>
    <row r="631" spans="1:128" x14ac:dyDescent="0.25">
      <c r="A631" s="7">
        <v>0.41840073856012971</v>
      </c>
      <c r="B631"/>
      <c r="C631"/>
      <c r="D631"/>
      <c r="E631"/>
      <c r="DP631" s="27" t="s">
        <v>7</v>
      </c>
      <c r="DQ631" s="27" t="s">
        <v>8</v>
      </c>
      <c r="DR631" s="27" t="s">
        <v>7</v>
      </c>
      <c r="DS631" s="27" t="s">
        <v>8</v>
      </c>
    </row>
    <row r="632" spans="1:128" x14ac:dyDescent="0.25">
      <c r="A632" s="7">
        <v>0.41019680250993112</v>
      </c>
      <c r="B632"/>
      <c r="C632"/>
      <c r="D632"/>
      <c r="E632"/>
      <c r="DP632" s="27" t="s">
        <v>7</v>
      </c>
      <c r="DQ632" s="27" t="s">
        <v>8</v>
      </c>
      <c r="DR632" s="27" t="s">
        <v>7</v>
      </c>
      <c r="DS632" s="27" t="s">
        <v>8</v>
      </c>
    </row>
    <row r="633" spans="1:128" x14ac:dyDescent="0.25">
      <c r="A633" s="7">
        <v>0.40215372795091286</v>
      </c>
      <c r="B633"/>
      <c r="C633"/>
      <c r="D633"/>
      <c r="E633"/>
      <c r="DP633" s="27" t="s">
        <v>7</v>
      </c>
      <c r="DQ633" s="27" t="s">
        <v>8</v>
      </c>
      <c r="DR633" s="27" t="s">
        <v>7</v>
      </c>
    </row>
    <row r="634" spans="1:128" x14ac:dyDescent="0.25">
      <c r="A634" s="7">
        <v>0.39426836073618904</v>
      </c>
      <c r="B634"/>
      <c r="C634"/>
      <c r="D634"/>
      <c r="E634"/>
      <c r="DP634" s="27" t="s">
        <v>7</v>
      </c>
      <c r="DQ634" s="27" t="s">
        <v>8</v>
      </c>
    </row>
    <row r="635" spans="1:128" x14ac:dyDescent="0.25">
      <c r="A635" s="7">
        <v>0.38653760856489122</v>
      </c>
      <c r="B635"/>
      <c r="C635"/>
      <c r="D635"/>
      <c r="E635"/>
      <c r="DP635" s="27" t="s">
        <v>7</v>
      </c>
      <c r="DQ635" s="27" t="s">
        <v>8</v>
      </c>
    </row>
    <row r="636" spans="1:128" x14ac:dyDescent="0.25">
      <c r="A636" s="7">
        <v>0.37895843976950117</v>
      </c>
      <c r="B636"/>
      <c r="C636"/>
      <c r="D636"/>
      <c r="E636"/>
      <c r="DP636" s="27" t="s">
        <v>7</v>
      </c>
      <c r="DQ636" s="27" t="s">
        <v>8</v>
      </c>
    </row>
    <row r="637" spans="1:128" x14ac:dyDescent="0.25">
      <c r="A637" s="7">
        <v>0.37152788212696197</v>
      </c>
      <c r="B637"/>
      <c r="C637"/>
      <c r="D637"/>
      <c r="E637"/>
      <c r="DP637" s="27" t="s">
        <v>7</v>
      </c>
      <c r="DQ637" s="27" t="s">
        <v>8</v>
      </c>
    </row>
    <row r="638" spans="1:128" x14ac:dyDescent="0.25">
      <c r="A638" s="7">
        <v>0.36424302169310002</v>
      </c>
      <c r="B638"/>
      <c r="C638"/>
      <c r="D638"/>
      <c r="E638"/>
      <c r="DP638" s="27" t="s">
        <v>7</v>
      </c>
      <c r="DQ638" s="27" t="s">
        <v>8</v>
      </c>
    </row>
    <row r="639" spans="1:128" x14ac:dyDescent="0.25">
      <c r="A639" s="7">
        <v>0.35710100165990194</v>
      </c>
      <c r="B639"/>
      <c r="C639"/>
      <c r="D639"/>
      <c r="E639"/>
      <c r="DP639" s="27" t="s">
        <v>7</v>
      </c>
      <c r="DQ639" s="27" t="s">
        <v>8</v>
      </c>
    </row>
    <row r="640" spans="1:128" x14ac:dyDescent="0.25">
      <c r="A640" s="7">
        <v>0.35009902123519804</v>
      </c>
      <c r="B640"/>
      <c r="C640"/>
      <c r="D640"/>
      <c r="E640"/>
      <c r="DP640" s="27" t="s">
        <v>7</v>
      </c>
      <c r="DQ640" s="27" t="s">
        <v>8</v>
      </c>
    </row>
    <row r="641" spans="1:121" x14ac:dyDescent="0.25">
      <c r="A641" s="7">
        <v>0.34323433454431179</v>
      </c>
      <c r="B641"/>
      <c r="C641"/>
      <c r="D641"/>
      <c r="E641"/>
      <c r="DP641" s="27" t="s">
        <v>7</v>
      </c>
      <c r="DQ641" s="27" t="s">
        <v>8</v>
      </c>
    </row>
    <row r="642" spans="1:121" x14ac:dyDescent="0.25">
      <c r="A642" s="7">
        <v>0.33650424955324681</v>
      </c>
      <c r="B642"/>
      <c r="C642"/>
      <c r="D642"/>
      <c r="E642"/>
      <c r="DP642" s="27" t="s">
        <v>7</v>
      </c>
      <c r="DQ642" s="27" t="s">
        <v>8</v>
      </c>
    </row>
    <row r="643" spans="1:121" x14ac:dyDescent="0.25">
      <c r="A643" s="7">
        <v>0.3299061270129871</v>
      </c>
      <c r="B643"/>
      <c r="C643"/>
      <c r="D643"/>
      <c r="E643"/>
      <c r="DP643" s="27" t="s">
        <v>7</v>
      </c>
      <c r="DQ643" s="27" t="s">
        <v>8</v>
      </c>
    </row>
    <row r="644" spans="1:121" x14ac:dyDescent="0.25">
      <c r="A644" s="7">
        <v>0.32343737942449713</v>
      </c>
      <c r="B644"/>
      <c r="C644"/>
      <c r="D644"/>
      <c r="E644"/>
      <c r="DP644" s="27" t="s">
        <v>7</v>
      </c>
      <c r="DQ644" s="27" t="s">
        <v>8</v>
      </c>
    </row>
    <row r="645" spans="1:121" x14ac:dyDescent="0.25">
      <c r="A645" s="7">
        <v>0.31709547002401678</v>
      </c>
      <c r="B645"/>
      <c r="C645"/>
      <c r="D645"/>
      <c r="E645"/>
      <c r="DP645" s="27" t="s">
        <v>7</v>
      </c>
      <c r="DQ645" s="27" t="s">
        <v>8</v>
      </c>
    </row>
    <row r="646" spans="1:121" x14ac:dyDescent="0.25">
      <c r="A646" s="7">
        <v>0.31087791178825175</v>
      </c>
      <c r="B646"/>
      <c r="C646"/>
      <c r="D646"/>
      <c r="E646"/>
      <c r="DP646" s="27" t="s">
        <v>7</v>
      </c>
      <c r="DQ646" s="27" t="s">
        <v>8</v>
      </c>
    </row>
    <row r="647" spans="1:121" x14ac:dyDescent="0.25">
      <c r="A647" s="7">
        <v>0.30478226645907036</v>
      </c>
      <c r="B647"/>
      <c r="C647"/>
      <c r="D647"/>
      <c r="E647"/>
      <c r="DP647" s="27" t="s">
        <v>7</v>
      </c>
    </row>
    <row r="648" spans="1:121" x14ac:dyDescent="0.25">
      <c r="A648" s="7">
        <v>0.29880614358732388</v>
      </c>
      <c r="B648"/>
      <c r="C648"/>
      <c r="D648"/>
      <c r="E648"/>
    </row>
    <row r="649" spans="1:121" x14ac:dyDescent="0.25">
      <c r="A649" s="7">
        <v>0.2929471995954156</v>
      </c>
      <c r="B649"/>
      <c r="C649"/>
      <c r="D649"/>
      <c r="E649"/>
    </row>
    <row r="650" spans="1:121" x14ac:dyDescent="0.25">
      <c r="A650" s="7">
        <v>0.28720313685825055</v>
      </c>
      <c r="B650"/>
      <c r="C650"/>
      <c r="D650"/>
      <c r="E650"/>
    </row>
    <row r="651" spans="1:121" x14ac:dyDescent="0.25">
      <c r="A651" s="7">
        <v>0.28157170280220645</v>
      </c>
      <c r="B651"/>
      <c r="C651"/>
      <c r="D651"/>
      <c r="E651"/>
    </row>
    <row r="652" spans="1:121" x14ac:dyDescent="0.25">
      <c r="A652" s="7">
        <v>0.27605068902177105</v>
      </c>
      <c r="B652"/>
      <c r="C652"/>
      <c r="D652"/>
      <c r="E652"/>
    </row>
    <row r="653" spans="1:121" x14ac:dyDescent="0.25">
      <c r="A653" s="7">
        <v>0.27063793041350104</v>
      </c>
      <c r="B653"/>
      <c r="C653"/>
      <c r="D653"/>
      <c r="E653"/>
    </row>
    <row r="654" spans="1:121" x14ac:dyDescent="0.25">
      <c r="A654" s="7">
        <v>0.26533130432696184</v>
      </c>
      <c r="B654"/>
      <c r="C654"/>
      <c r="D654"/>
      <c r="E654"/>
    </row>
    <row r="655" spans="1:121" x14ac:dyDescent="0.25">
      <c r="A655" s="7">
        <v>0.26012872973231554</v>
      </c>
      <c r="B655"/>
      <c r="C655"/>
      <c r="D655"/>
      <c r="E655"/>
    </row>
    <row r="656" spans="1:121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36" operator="equal">
      <formula>$U$1</formula>
    </cfRule>
    <cfRule type="cellIs" dxfId="89" priority="1437" operator="equal">
      <formula>$S$1</formula>
    </cfRule>
  </conditionalFormatting>
  <conditionalFormatting sqref="D27">
    <cfRule type="cellIs" dxfId="88" priority="1434" operator="equal">
      <formula>$S$1</formula>
    </cfRule>
    <cfRule type="cellIs" dxfId="87" priority="1435" operator="equal">
      <formula>$U$1</formula>
    </cfRule>
  </conditionalFormatting>
  <conditionalFormatting sqref="C164">
    <cfRule type="cellIs" dxfId="86" priority="1432" operator="equal">
      <formula>$U$1</formula>
    </cfRule>
    <cfRule type="cellIs" dxfId="85" priority="1433" operator="equal">
      <formula>$S$1</formula>
    </cfRule>
  </conditionalFormatting>
  <conditionalFormatting sqref="D164">
    <cfRule type="cellIs" dxfId="84" priority="1430" operator="equal">
      <formula>$S$1</formula>
    </cfRule>
    <cfRule type="cellIs" dxfId="83" priority="1431" operator="equal">
      <formula>$U$1</formula>
    </cfRule>
  </conditionalFormatting>
  <conditionalFormatting sqref="C55">
    <cfRule type="cellIs" dxfId="82" priority="1428" operator="equal">
      <formula>$U$1</formula>
    </cfRule>
    <cfRule type="cellIs" dxfId="81" priority="1429" operator="equal">
      <formula>$S$1</formula>
    </cfRule>
  </conditionalFormatting>
  <conditionalFormatting sqref="D55">
    <cfRule type="cellIs" dxfId="80" priority="1426" operator="equal">
      <formula>$S$1</formula>
    </cfRule>
    <cfRule type="cellIs" dxfId="79" priority="1427" operator="equal">
      <formula>$U$1</formula>
    </cfRule>
  </conditionalFormatting>
  <conditionalFormatting sqref="C89">
    <cfRule type="cellIs" dxfId="78" priority="1424" operator="equal">
      <formula>$U$1</formula>
    </cfRule>
    <cfRule type="cellIs" dxfId="77" priority="1425" operator="equal">
      <formula>$S$1</formula>
    </cfRule>
  </conditionalFormatting>
  <conditionalFormatting sqref="D89">
    <cfRule type="cellIs" dxfId="76" priority="1422" operator="equal">
      <formula>$S$1</formula>
    </cfRule>
    <cfRule type="cellIs" dxfId="75" priority="1423" operator="equal">
      <formula>$U$1</formula>
    </cfRule>
  </conditionalFormatting>
  <conditionalFormatting sqref="C136">
    <cfRule type="cellIs" dxfId="74" priority="1420" operator="equal">
      <formula>$U$1</formula>
    </cfRule>
    <cfRule type="cellIs" dxfId="73" priority="1421" operator="equal">
      <formula>$S$1</formula>
    </cfRule>
  </conditionalFormatting>
  <conditionalFormatting sqref="D136">
    <cfRule type="cellIs" dxfId="72" priority="1418" operator="equal">
      <formula>$S$1</formula>
    </cfRule>
    <cfRule type="cellIs" dxfId="71" priority="1419" operator="equal">
      <formula>$U$1</formula>
    </cfRule>
  </conditionalFormatting>
  <conditionalFormatting sqref="C1">
    <cfRule type="cellIs" dxfId="70" priority="141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85" zoomScale="90" zoomScaleNormal="90" workbookViewId="0">
      <pane xSplit="4" topLeftCell="DQ1" activePane="topRight" state="frozen"/>
      <selection activeCell="A109" sqref="A109"/>
      <selection pane="topRight" activeCell="GA209" sqref="GA20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$A$208</v>
      </c>
      <c r="D111" s="1" t="str">
        <f>ADDRESS(C121-1,D121,1,1)</f>
        <v>$GA$208</v>
      </c>
      <c r="E111"/>
    </row>
    <row r="112" spans="1:5" x14ac:dyDescent="0.25">
      <c r="A112" s="30">
        <v>515.50191262726139</v>
      </c>
      <c r="C112" s="1" t="str">
        <f>ADDRESS(C121,1,1,1)</f>
        <v>$A$209</v>
      </c>
      <c r="D112" s="1" t="str">
        <f>ADDRESS(C121,D121-1,1,1)</f>
        <v>$FZ$209</v>
      </c>
      <c r="E112"/>
    </row>
    <row r="113" spans="1:5" x14ac:dyDescent="0.25">
      <c r="A113" s="30">
        <v>490.95420250215363</v>
      </c>
      <c r="C113" s="1" t="str">
        <f>ADDRESS(C121+1,1,1,1)</f>
        <v>$A$210</v>
      </c>
      <c r="D113" s="1" t="str">
        <f>ADDRESS(C121-1,D121+1,1,1)</f>
        <v>$GB$208</v>
      </c>
    </row>
    <row r="114" spans="1:5" x14ac:dyDescent="0.25">
      <c r="A114" s="30">
        <v>467.57543095443202</v>
      </c>
      <c r="C114" s="1" t="str">
        <f>ADDRESS(C121,D121,1,1)</f>
        <v>$GA$209</v>
      </c>
      <c r="D114" s="1" t="str">
        <f>ADDRESS(C121+1,D121+1,1,1)</f>
        <v>$GB$210</v>
      </c>
    </row>
    <row r="115" spans="1:5" x14ac:dyDescent="0.25">
      <c r="A115" s="30">
        <v>445.30993424231622</v>
      </c>
      <c r="C115" s="1" t="str">
        <f>ADDRESS(C121+1,D121,1,1)</f>
        <v>$GA$210</v>
      </c>
    </row>
    <row r="116" spans="1:5" x14ac:dyDescent="0.25">
      <c r="A116" s="30">
        <v>424.10469927839637</v>
      </c>
      <c r="C116" s="1">
        <f>C117-1</f>
        <v>208</v>
      </c>
    </row>
    <row r="117" spans="1:5" x14ac:dyDescent="0.25">
      <c r="A117" s="30">
        <v>403.9092374079965</v>
      </c>
      <c r="C117" s="1">
        <f>C121</f>
        <v>209</v>
      </c>
      <c r="D117" s="1">
        <f>D121</f>
        <v>183</v>
      </c>
    </row>
    <row r="118" spans="1:5" x14ac:dyDescent="0.25">
      <c r="A118" s="30">
        <v>384.6754641980919</v>
      </c>
      <c r="C118" s="1">
        <f>C117+1</f>
        <v>210</v>
      </c>
      <c r="D118" s="1">
        <f>D117+1</f>
        <v>184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209</v>
      </c>
      <c r="D121" s="19">
        <v>183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R209</v>
      </c>
      <c r="D123" s="1" t="str">
        <f>"C"&amp;D121</f>
        <v>C183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4.5380394939082018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71" x14ac:dyDescent="0.25">
      <c r="A177" s="30">
        <v>21.623492570684135</v>
      </c>
      <c r="E177"/>
    </row>
    <row r="178" spans="1:171" x14ac:dyDescent="0.25">
      <c r="A178" s="30">
        <v>20.593802448270605</v>
      </c>
      <c r="C178" s="7"/>
      <c r="D178"/>
      <c r="E178"/>
    </row>
    <row r="179" spans="1:171" x14ac:dyDescent="0.25">
      <c r="A179" s="30">
        <v>19.613145188829147</v>
      </c>
      <c r="E179"/>
      <c r="FI179" s="27" t="s">
        <v>8</v>
      </c>
      <c r="FK179" s="27" t="s">
        <v>8</v>
      </c>
    </row>
    <row r="180" spans="1:171" x14ac:dyDescent="0.25">
      <c r="A180" s="30">
        <v>18.679185894122998</v>
      </c>
      <c r="E180"/>
      <c r="FI180" s="27" t="s">
        <v>8</v>
      </c>
      <c r="FJ180" s="27" t="s">
        <v>7</v>
      </c>
      <c r="FK180" s="27" t="s">
        <v>8</v>
      </c>
      <c r="FL180" s="27" t="s">
        <v>7</v>
      </c>
    </row>
    <row r="181" spans="1:171" x14ac:dyDescent="0.25">
      <c r="A181" s="30">
        <v>17.78970085154571</v>
      </c>
      <c r="C181"/>
      <c r="D181"/>
      <c r="E181"/>
      <c r="FE181" s="27" t="s">
        <v>8</v>
      </c>
      <c r="FI181" s="27" t="s">
        <v>8</v>
      </c>
      <c r="FJ181" s="27" t="s">
        <v>7</v>
      </c>
      <c r="FK181" s="27" t="s">
        <v>8</v>
      </c>
      <c r="FL181" s="27" t="s">
        <v>7</v>
      </c>
    </row>
    <row r="182" spans="1:171" x14ac:dyDescent="0.25">
      <c r="A182" s="30">
        <v>16.942572239567344</v>
      </c>
      <c r="E182"/>
      <c r="FE182" s="27" t="s">
        <v>8</v>
      </c>
      <c r="FF182" s="27" t="s">
        <v>7</v>
      </c>
      <c r="FI182" s="27" t="s">
        <v>8</v>
      </c>
      <c r="FJ182" s="27" t="s">
        <v>7</v>
      </c>
      <c r="FK182" s="27" t="s">
        <v>8</v>
      </c>
      <c r="FL182" s="27" t="s">
        <v>7</v>
      </c>
    </row>
    <row r="183" spans="1:171" x14ac:dyDescent="0.25">
      <c r="A183" s="30">
        <v>16.135783085302233</v>
      </c>
      <c r="E183"/>
      <c r="FE183" s="27" t="s">
        <v>8</v>
      </c>
      <c r="FF183" s="27" t="s">
        <v>7</v>
      </c>
      <c r="FG183" s="27" t="s">
        <v>8</v>
      </c>
      <c r="FI183" s="27" t="s">
        <v>8</v>
      </c>
      <c r="FJ183" s="27" t="s">
        <v>7</v>
      </c>
      <c r="FK183" s="27" t="s">
        <v>8</v>
      </c>
      <c r="FL183" s="27" t="s">
        <v>7</v>
      </c>
    </row>
    <row r="184" spans="1:171" x14ac:dyDescent="0.25">
      <c r="A184" s="30">
        <v>15.367412462192602</v>
      </c>
      <c r="E184"/>
      <c r="FE184" s="27" t="s">
        <v>8</v>
      </c>
      <c r="FF184" s="27" t="s">
        <v>7</v>
      </c>
      <c r="FG184" s="27" t="s">
        <v>8</v>
      </c>
      <c r="FH184" s="27" t="s">
        <v>7</v>
      </c>
      <c r="FI184" s="27" t="s">
        <v>8</v>
      </c>
      <c r="FJ184" s="27" t="s">
        <v>7</v>
      </c>
      <c r="FL184" s="27" t="s">
        <v>7</v>
      </c>
    </row>
    <row r="185" spans="1:171" x14ac:dyDescent="0.25">
      <c r="A185" s="30">
        <v>14.635630916373906</v>
      </c>
      <c r="C185"/>
      <c r="E185"/>
      <c r="DS185" s="31" t="s">
        <v>8</v>
      </c>
      <c r="FE185" s="27" t="s">
        <v>8</v>
      </c>
      <c r="FF185" s="27" t="s">
        <v>7</v>
      </c>
      <c r="FG185" s="27" t="s">
        <v>8</v>
      </c>
      <c r="FH185" s="27" t="s">
        <v>7</v>
      </c>
      <c r="FI185" s="27" t="s">
        <v>8</v>
      </c>
      <c r="FL185" s="27" t="s">
        <v>7</v>
      </c>
    </row>
    <row r="186" spans="1:171" x14ac:dyDescent="0.25">
      <c r="A186" s="30">
        <v>13.938696110832291</v>
      </c>
      <c r="E186"/>
      <c r="DS186" s="27" t="s">
        <v>8</v>
      </c>
      <c r="DT186" s="31" t="s">
        <v>7</v>
      </c>
      <c r="FE186" s="27" t="s">
        <v>8</v>
      </c>
      <c r="FF186" s="27" t="s">
        <v>7</v>
      </c>
      <c r="FG186" s="27" t="s">
        <v>8</v>
      </c>
      <c r="FH186" s="27" t="s">
        <v>7</v>
      </c>
      <c r="FI186" s="27" t="s">
        <v>8</v>
      </c>
      <c r="FL186" s="27" t="s">
        <v>7</v>
      </c>
    </row>
    <row r="187" spans="1:17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DS187" s="27" t="s">
        <v>8</v>
      </c>
      <c r="DT187" s="27" t="s">
        <v>7</v>
      </c>
      <c r="DU187" s="31"/>
      <c r="FE187" s="27" t="s">
        <v>8</v>
      </c>
      <c r="FF187" s="27" t="s">
        <v>7</v>
      </c>
      <c r="FG187" s="27" t="s">
        <v>8</v>
      </c>
      <c r="FH187" s="27" t="s">
        <v>7</v>
      </c>
      <c r="FI187" s="27" t="s">
        <v>8</v>
      </c>
      <c r="FL187" s="27" t="s">
        <v>7</v>
      </c>
    </row>
    <row r="188" spans="1:171" x14ac:dyDescent="0.25">
      <c r="A188" s="30">
        <v>12.64280826379346</v>
      </c>
      <c r="E188"/>
      <c r="DS188" s="27" t="s">
        <v>8</v>
      </c>
      <c r="DT188" s="27" t="s">
        <v>7</v>
      </c>
      <c r="DV188" s="31"/>
      <c r="FE188" s="27" t="s">
        <v>8</v>
      </c>
      <c r="FF188" s="27" t="s">
        <v>7</v>
      </c>
      <c r="FH188" s="27" t="s">
        <v>7</v>
      </c>
      <c r="FI188" s="27" t="s">
        <v>8</v>
      </c>
      <c r="FL188" s="27" t="s">
        <v>7</v>
      </c>
    </row>
    <row r="189" spans="1:171" x14ac:dyDescent="0.25">
      <c r="A189" s="30">
        <v>12.04076977504139</v>
      </c>
      <c r="E189"/>
      <c r="DS189" s="27" t="s">
        <v>8</v>
      </c>
      <c r="DT189" s="27" t="s">
        <v>7</v>
      </c>
      <c r="DU189" s="27" t="s">
        <v>8</v>
      </c>
      <c r="DW189" s="31"/>
      <c r="FE189" s="27" t="s">
        <v>8</v>
      </c>
      <c r="FH189" s="27" t="s">
        <v>7</v>
      </c>
      <c r="FL189" s="27" t="s">
        <v>7</v>
      </c>
    </row>
    <row r="190" spans="1:171" x14ac:dyDescent="0.25">
      <c r="A190" s="30">
        <v>11.467399785753704</v>
      </c>
      <c r="E190"/>
      <c r="DS190" s="27" t="s">
        <v>8</v>
      </c>
      <c r="DT190" s="27" t="s">
        <v>7</v>
      </c>
      <c r="DU190" s="27" t="s">
        <v>8</v>
      </c>
      <c r="DV190" s="27" t="s">
        <v>7</v>
      </c>
      <c r="DX190" s="31"/>
      <c r="FE190" s="27" t="s">
        <v>8</v>
      </c>
      <c r="FL190" s="27" t="s">
        <v>7</v>
      </c>
    </row>
    <row r="191" spans="1:171" x14ac:dyDescent="0.25">
      <c r="A191" s="30">
        <v>10.921333129289241</v>
      </c>
      <c r="E191"/>
      <c r="DI191" s="27" t="s">
        <v>8</v>
      </c>
      <c r="DK191" s="27" t="s">
        <v>8</v>
      </c>
      <c r="DS191" s="27" t="s">
        <v>8</v>
      </c>
      <c r="DT191" s="27" t="s">
        <v>7</v>
      </c>
      <c r="DU191" s="27" t="s">
        <v>8</v>
      </c>
      <c r="DV191" s="27" t="s">
        <v>7</v>
      </c>
      <c r="DY191" s="31"/>
      <c r="FA191" s="27" t="s">
        <v>8</v>
      </c>
      <c r="FE191" s="27" t="s">
        <v>8</v>
      </c>
      <c r="FL191" s="27" t="s">
        <v>7</v>
      </c>
      <c r="FM191" s="27" t="s">
        <v>8</v>
      </c>
    </row>
    <row r="192" spans="1:171" x14ac:dyDescent="0.25">
      <c r="A192" s="30">
        <v>10.401269646942135</v>
      </c>
      <c r="E192"/>
      <c r="DI192" s="27" t="s">
        <v>8</v>
      </c>
      <c r="DJ192" s="27" t="s">
        <v>7</v>
      </c>
      <c r="DK192" s="27" t="s">
        <v>8</v>
      </c>
      <c r="DL192" s="27" t="s">
        <v>7</v>
      </c>
      <c r="DM192" s="27" t="s">
        <v>8</v>
      </c>
      <c r="DS192" s="27" t="s">
        <v>8</v>
      </c>
      <c r="DT192" s="27" t="s">
        <v>7</v>
      </c>
      <c r="DU192" s="27" t="s">
        <v>8</v>
      </c>
      <c r="DV192" s="27" t="s">
        <v>7</v>
      </c>
      <c r="DZ192" s="31"/>
      <c r="FA192" s="27" t="s">
        <v>8</v>
      </c>
      <c r="FB192" s="27" t="s">
        <v>7</v>
      </c>
      <c r="FE192" s="27" t="s">
        <v>8</v>
      </c>
      <c r="FL192" s="27" t="s">
        <v>7</v>
      </c>
      <c r="FM192" s="27" t="s">
        <v>8</v>
      </c>
      <c r="FN192" s="27" t="s">
        <v>7</v>
      </c>
      <c r="FO192" s="27" t="s">
        <v>8</v>
      </c>
    </row>
    <row r="193" spans="1:182" x14ac:dyDescent="0.25">
      <c r="A193" s="30">
        <v>9.9059710923258422</v>
      </c>
      <c r="E193"/>
      <c r="DI193" s="27" t="s">
        <v>8</v>
      </c>
      <c r="DJ193" s="27" t="s">
        <v>7</v>
      </c>
      <c r="DK193" s="27" t="s">
        <v>8</v>
      </c>
      <c r="DL193" s="27" t="s">
        <v>7</v>
      </c>
      <c r="DM193" s="27" t="s">
        <v>8</v>
      </c>
      <c r="DN193" s="27" t="s">
        <v>7</v>
      </c>
      <c r="DS193" s="27" t="s">
        <v>8</v>
      </c>
      <c r="DT193" s="27" t="s">
        <v>7</v>
      </c>
      <c r="DU193" s="27" t="s">
        <v>8</v>
      </c>
      <c r="DV193" s="27" t="s">
        <v>7</v>
      </c>
      <c r="EA193" s="31"/>
      <c r="ES193" s="27" t="s">
        <v>8</v>
      </c>
      <c r="EW193" s="27" t="s">
        <v>8</v>
      </c>
      <c r="EY193" s="27" t="s">
        <v>8</v>
      </c>
      <c r="FA193" s="27" t="s">
        <v>8</v>
      </c>
      <c r="FB193" s="27" t="s">
        <v>7</v>
      </c>
      <c r="FC193" s="27" t="s">
        <v>8</v>
      </c>
      <c r="FE193" s="27" t="s">
        <v>8</v>
      </c>
      <c r="FL193" s="27" t="s">
        <v>7</v>
      </c>
      <c r="FM193" s="27" t="s">
        <v>8</v>
      </c>
      <c r="FN193" s="27" t="s">
        <v>7</v>
      </c>
      <c r="FO193" s="27" t="s">
        <v>8</v>
      </c>
      <c r="FP193" s="27" t="s">
        <v>7</v>
      </c>
    </row>
    <row r="194" spans="1:182" x14ac:dyDescent="0.25">
      <c r="A194" s="30">
        <v>9.4342581831674686</v>
      </c>
      <c r="E194"/>
      <c r="BK194" s="27" t="s">
        <v>8</v>
      </c>
      <c r="DI194" s="27" t="s">
        <v>8</v>
      </c>
      <c r="DJ194" s="27" t="s">
        <v>7</v>
      </c>
      <c r="DL194" s="27" t="s">
        <v>7</v>
      </c>
      <c r="DM194" s="27" t="s">
        <v>8</v>
      </c>
      <c r="DN194" s="27" t="s">
        <v>7</v>
      </c>
      <c r="DS194" s="27" t="s">
        <v>8</v>
      </c>
      <c r="DT194" s="27" t="s">
        <v>7</v>
      </c>
      <c r="DV194" s="27" t="s">
        <v>7</v>
      </c>
      <c r="EB194" s="31"/>
      <c r="ES194" s="27" t="s">
        <v>8</v>
      </c>
      <c r="ET194" s="27" t="s">
        <v>7</v>
      </c>
      <c r="EU194" s="27" t="s">
        <v>8</v>
      </c>
      <c r="EW194" s="27" t="s">
        <v>8</v>
      </c>
      <c r="EX194" s="27" t="s">
        <v>7</v>
      </c>
      <c r="EY194" s="27" t="s">
        <v>8</v>
      </c>
      <c r="EZ194" s="27" t="s">
        <v>7</v>
      </c>
      <c r="FA194" s="27" t="s">
        <v>8</v>
      </c>
      <c r="FB194" s="27" t="s">
        <v>7</v>
      </c>
      <c r="FC194" s="27" t="s">
        <v>8</v>
      </c>
      <c r="FD194" s="27" t="s">
        <v>7</v>
      </c>
      <c r="FE194" s="27" t="s">
        <v>8</v>
      </c>
      <c r="FL194" s="27" t="s">
        <v>7</v>
      </c>
      <c r="FN194" s="27" t="s">
        <v>7</v>
      </c>
      <c r="FO194" s="27" t="s">
        <v>8</v>
      </c>
      <c r="FP194" s="27" t="s">
        <v>7</v>
      </c>
    </row>
    <row r="195" spans="1:182" x14ac:dyDescent="0.25">
      <c r="A195" s="30">
        <v>8.9850077934928265</v>
      </c>
      <c r="E195"/>
      <c r="BK195" s="27" t="s">
        <v>8</v>
      </c>
      <c r="BL195" s="27" t="s">
        <v>7</v>
      </c>
      <c r="DI195" s="27" t="s">
        <v>8</v>
      </c>
      <c r="DL195" s="27" t="s">
        <v>7</v>
      </c>
      <c r="DN195" s="27" t="s">
        <v>7</v>
      </c>
      <c r="DO195" s="27" t="s">
        <v>8</v>
      </c>
      <c r="DS195" s="27" t="s">
        <v>8</v>
      </c>
      <c r="DV195" s="27" t="s">
        <v>7</v>
      </c>
      <c r="EC195" s="31"/>
      <c r="ES195" s="27" t="s">
        <v>8</v>
      </c>
      <c r="ET195" s="27" t="s">
        <v>7</v>
      </c>
      <c r="EU195" s="27" t="s">
        <v>8</v>
      </c>
      <c r="EV195" s="27" t="s">
        <v>7</v>
      </c>
      <c r="EW195" s="27" t="s">
        <v>8</v>
      </c>
      <c r="EX195" s="27" t="s">
        <v>7</v>
      </c>
      <c r="EY195" s="27" t="s">
        <v>8</v>
      </c>
      <c r="EZ195" s="27" t="s">
        <v>7</v>
      </c>
      <c r="FA195" s="27" t="s">
        <v>8</v>
      </c>
      <c r="FB195" s="27" t="s">
        <v>7</v>
      </c>
      <c r="FC195" s="27" t="s">
        <v>8</v>
      </c>
      <c r="FD195" s="27" t="s">
        <v>7</v>
      </c>
      <c r="FE195" s="27" t="s">
        <v>8</v>
      </c>
      <c r="FN195" s="27" t="s">
        <v>7</v>
      </c>
      <c r="FP195" s="27" t="s">
        <v>7</v>
      </c>
      <c r="FQ195" s="27" t="s">
        <v>8</v>
      </c>
    </row>
    <row r="196" spans="1:182" x14ac:dyDescent="0.25">
      <c r="A196" s="30">
        <v>8.5571502795169767</v>
      </c>
      <c r="E196"/>
      <c r="BK196" s="27" t="s">
        <v>8</v>
      </c>
      <c r="BL196" s="27" t="s">
        <v>7</v>
      </c>
      <c r="DI196" s="27" t="s">
        <v>8</v>
      </c>
      <c r="DN196" s="27" t="s">
        <v>7</v>
      </c>
      <c r="DO196" s="27" t="s">
        <v>8</v>
      </c>
      <c r="DP196" s="27" t="s">
        <v>7</v>
      </c>
      <c r="DS196" s="27" t="s">
        <v>8</v>
      </c>
      <c r="DV196" s="27" t="s">
        <v>7</v>
      </c>
      <c r="ED196" s="31"/>
      <c r="ES196" s="27" t="s">
        <v>8</v>
      </c>
      <c r="ET196" s="27" t="s">
        <v>7</v>
      </c>
      <c r="EU196" s="27" t="s">
        <v>8</v>
      </c>
      <c r="EV196" s="27" t="s">
        <v>7</v>
      </c>
      <c r="EW196" s="27" t="s">
        <v>8</v>
      </c>
      <c r="EX196" s="27" t="s">
        <v>7</v>
      </c>
      <c r="EY196" s="27" t="s">
        <v>8</v>
      </c>
      <c r="EZ196" s="27" t="s">
        <v>7</v>
      </c>
      <c r="FB196" s="27" t="s">
        <v>7</v>
      </c>
      <c r="FD196" s="27" t="s">
        <v>7</v>
      </c>
      <c r="FE196" s="27" t="s">
        <v>8</v>
      </c>
      <c r="FP196" s="27" t="s">
        <v>7</v>
      </c>
      <c r="FQ196" s="27" t="s">
        <v>8</v>
      </c>
      <c r="FR196" s="27" t="s">
        <v>7</v>
      </c>
    </row>
    <row r="197" spans="1:182" x14ac:dyDescent="0.25">
      <c r="A197" s="30">
        <v>8.1496669328733109</v>
      </c>
      <c r="E197"/>
      <c r="BK197" s="27" t="s">
        <v>8</v>
      </c>
      <c r="BL197" s="27" t="s">
        <v>7</v>
      </c>
      <c r="DG197" s="27" t="s">
        <v>8</v>
      </c>
      <c r="DI197" s="27" t="s">
        <v>8</v>
      </c>
      <c r="DN197" s="27" t="s">
        <v>7</v>
      </c>
      <c r="DO197" s="27" t="s">
        <v>8</v>
      </c>
      <c r="DP197" s="27" t="s">
        <v>7</v>
      </c>
      <c r="DQ197" s="27" t="s">
        <v>8</v>
      </c>
      <c r="DS197" s="27" t="s">
        <v>8</v>
      </c>
      <c r="DV197" s="27" t="s">
        <v>7</v>
      </c>
      <c r="EE197" s="31"/>
      <c r="ES197" s="27" t="s">
        <v>8</v>
      </c>
      <c r="ET197" s="27" t="s">
        <v>7</v>
      </c>
      <c r="EU197" s="27" t="s">
        <v>8</v>
      </c>
      <c r="EV197" s="27" t="s">
        <v>7</v>
      </c>
      <c r="EX197" s="27" t="s">
        <v>7</v>
      </c>
      <c r="FD197" s="27" t="s">
        <v>7</v>
      </c>
      <c r="FP197" s="27" t="s">
        <v>7</v>
      </c>
      <c r="FQ197" s="27" t="s">
        <v>8</v>
      </c>
      <c r="FR197" s="27" t="s">
        <v>7</v>
      </c>
    </row>
    <row r="198" spans="1:182" x14ac:dyDescent="0.25">
      <c r="A198" s="30">
        <v>7.7615875551174378</v>
      </c>
      <c r="E198"/>
      <c r="BK198" s="27" t="s">
        <v>8</v>
      </c>
      <c r="BL198" s="27" t="s">
        <v>7</v>
      </c>
      <c r="CY198" s="27" t="s">
        <v>8</v>
      </c>
      <c r="DG198" s="27" t="s">
        <v>8</v>
      </c>
      <c r="DH198" s="27" t="s">
        <v>7</v>
      </c>
      <c r="DI198" s="27" t="s">
        <v>8</v>
      </c>
      <c r="DN198" s="27" t="s">
        <v>7</v>
      </c>
      <c r="DO198" s="27" t="s">
        <v>8</v>
      </c>
      <c r="DP198" s="27" t="s">
        <v>7</v>
      </c>
      <c r="DQ198" s="27" t="s">
        <v>8</v>
      </c>
      <c r="DR198" s="27" t="s">
        <v>7</v>
      </c>
      <c r="DS198" s="27" t="s">
        <v>8</v>
      </c>
      <c r="DV198" s="27" t="s">
        <v>7</v>
      </c>
      <c r="EA198" s="27" t="s">
        <v>8</v>
      </c>
      <c r="EF198" s="31"/>
      <c r="ES198" s="27" t="s">
        <v>8</v>
      </c>
      <c r="ET198" s="27" t="s">
        <v>7</v>
      </c>
      <c r="EU198" s="27" t="s">
        <v>8</v>
      </c>
      <c r="FP198" s="27" t="s">
        <v>7</v>
      </c>
      <c r="FR198" s="27" t="s">
        <v>7</v>
      </c>
    </row>
    <row r="199" spans="1:182" x14ac:dyDescent="0.25">
      <c r="A199" s="30">
        <v>7.3919881477308929</v>
      </c>
      <c r="E199"/>
      <c r="BK199" s="27" t="s">
        <v>8</v>
      </c>
      <c r="BL199" s="27" t="s">
        <v>7</v>
      </c>
      <c r="CY199" s="27" t="s">
        <v>8</v>
      </c>
      <c r="CZ199" s="27" t="s">
        <v>7</v>
      </c>
      <c r="DG199" s="27" t="s">
        <v>8</v>
      </c>
      <c r="DH199" s="27" t="s">
        <v>7</v>
      </c>
      <c r="DI199" s="27" t="s">
        <v>8</v>
      </c>
      <c r="DN199" s="27" t="s">
        <v>7</v>
      </c>
      <c r="DO199" s="27" t="s">
        <v>8</v>
      </c>
      <c r="DP199" s="27" t="s">
        <v>7</v>
      </c>
      <c r="DQ199" s="27" t="s">
        <v>8</v>
      </c>
      <c r="DR199" s="27" t="s">
        <v>7</v>
      </c>
      <c r="DS199" s="27" t="s">
        <v>8</v>
      </c>
      <c r="DV199" s="27" t="s">
        <v>7</v>
      </c>
      <c r="EA199" s="27" t="s">
        <v>8</v>
      </c>
      <c r="EB199" s="27" t="s">
        <v>7</v>
      </c>
      <c r="EG199" s="31"/>
      <c r="ES199" s="27" t="s">
        <v>8</v>
      </c>
      <c r="ET199" s="27" t="s">
        <v>7</v>
      </c>
      <c r="EU199" s="27" t="s">
        <v>8</v>
      </c>
      <c r="FR199" s="27" t="s">
        <v>7</v>
      </c>
      <c r="FU199" s="27" t="s">
        <v>8</v>
      </c>
    </row>
    <row r="200" spans="1:182" x14ac:dyDescent="0.25">
      <c r="A200" s="30">
        <v>7.0399887121246598</v>
      </c>
      <c r="E200"/>
      <c r="BK200" s="27" t="s">
        <v>8</v>
      </c>
      <c r="BL200" s="27" t="s">
        <v>7</v>
      </c>
      <c r="BM200" s="27" t="s">
        <v>8</v>
      </c>
      <c r="CY200" s="27" t="s">
        <v>8</v>
      </c>
      <c r="CZ200" s="27" t="s">
        <v>7</v>
      </c>
      <c r="DG200" s="27" t="s">
        <v>8</v>
      </c>
      <c r="DH200" s="27" t="s">
        <v>7</v>
      </c>
      <c r="DI200" s="27" t="s">
        <v>8</v>
      </c>
      <c r="DN200" s="27" t="s">
        <v>7</v>
      </c>
      <c r="DP200" s="27" t="s">
        <v>7</v>
      </c>
      <c r="DR200" s="27" t="s">
        <v>7</v>
      </c>
      <c r="DS200" s="27" t="s">
        <v>8</v>
      </c>
      <c r="DV200" s="27" t="s">
        <v>7</v>
      </c>
      <c r="DW200" s="27" t="s">
        <v>8</v>
      </c>
      <c r="EA200" s="27" t="s">
        <v>8</v>
      </c>
      <c r="EB200" s="27" t="s">
        <v>7</v>
      </c>
      <c r="EC200" s="27" t="s">
        <v>8</v>
      </c>
      <c r="EH200" s="31"/>
      <c r="EQ200" s="27" t="s">
        <v>8</v>
      </c>
      <c r="ES200" s="27" t="s">
        <v>8</v>
      </c>
      <c r="ET200" s="27" t="s">
        <v>7</v>
      </c>
      <c r="EU200" s="27" t="s">
        <v>8</v>
      </c>
      <c r="FR200" s="27" t="s">
        <v>7</v>
      </c>
      <c r="FU200" s="27" t="s">
        <v>8</v>
      </c>
      <c r="FV200" s="27" t="s">
        <v>7</v>
      </c>
      <c r="FW200" s="27" t="s">
        <v>8</v>
      </c>
    </row>
    <row r="201" spans="1:182" x14ac:dyDescent="0.25">
      <c r="A201" s="30">
        <v>6.7047511544044376</v>
      </c>
      <c r="E201"/>
      <c r="BK201" s="27" t="s">
        <v>8</v>
      </c>
      <c r="BL201" s="27" t="s">
        <v>7</v>
      </c>
      <c r="BM201" s="27" t="s">
        <v>8</v>
      </c>
      <c r="BN201" s="27" t="s">
        <v>7</v>
      </c>
      <c r="CY201" s="27" t="s">
        <v>8</v>
      </c>
      <c r="CZ201" s="27" t="s">
        <v>7</v>
      </c>
      <c r="DA201" s="27" t="s">
        <v>8</v>
      </c>
      <c r="DG201" s="27" t="s">
        <v>8</v>
      </c>
      <c r="DH201" s="27" t="s">
        <v>7</v>
      </c>
      <c r="DR201" s="27" t="s">
        <v>7</v>
      </c>
      <c r="DS201" s="27" t="s">
        <v>8</v>
      </c>
      <c r="DV201" s="27" t="s">
        <v>7</v>
      </c>
      <c r="DW201" s="27" t="s">
        <v>8</v>
      </c>
      <c r="DX201" s="27" t="s">
        <v>7</v>
      </c>
      <c r="DY201" s="27" t="s">
        <v>8</v>
      </c>
      <c r="EA201" s="27" t="s">
        <v>8</v>
      </c>
      <c r="EB201" s="27" t="s">
        <v>7</v>
      </c>
      <c r="EC201" s="27" t="s">
        <v>8</v>
      </c>
      <c r="ED201" s="27" t="s">
        <v>7</v>
      </c>
      <c r="EI201" s="31"/>
      <c r="EQ201" s="27" t="s">
        <v>8</v>
      </c>
      <c r="ER201" s="27" t="s">
        <v>7</v>
      </c>
      <c r="ES201" s="27" t="s">
        <v>8</v>
      </c>
      <c r="ET201" s="27" t="s">
        <v>7</v>
      </c>
      <c r="FR201" s="27" t="s">
        <v>7</v>
      </c>
      <c r="FS201" s="27" t="s">
        <v>8</v>
      </c>
      <c r="FU201" s="27" t="s">
        <v>8</v>
      </c>
      <c r="FV201" s="27" t="s">
        <v>7</v>
      </c>
      <c r="FW201" s="27" t="s">
        <v>8</v>
      </c>
      <c r="FX201" s="27" t="s">
        <v>7</v>
      </c>
      <c r="FY201" s="27" t="s">
        <v>8</v>
      </c>
    </row>
    <row r="202" spans="1:182" x14ac:dyDescent="0.25">
      <c r="A202" s="30">
        <v>6.3854772899089882</v>
      </c>
      <c r="E202"/>
      <c r="BK202" s="27" t="s">
        <v>8</v>
      </c>
      <c r="BL202" s="27" t="s">
        <v>7</v>
      </c>
      <c r="BM202" s="27" t="s">
        <v>8</v>
      </c>
      <c r="BN202" s="27" t="s">
        <v>7</v>
      </c>
      <c r="CY202" s="27" t="s">
        <v>8</v>
      </c>
      <c r="CZ202" s="27" t="s">
        <v>7</v>
      </c>
      <c r="DA202" s="27" t="s">
        <v>8</v>
      </c>
      <c r="DB202" s="27" t="s">
        <v>7</v>
      </c>
      <c r="DG202" s="27" t="s">
        <v>8</v>
      </c>
      <c r="DR202" s="27" t="s">
        <v>7</v>
      </c>
      <c r="DS202" s="27" t="s">
        <v>8</v>
      </c>
      <c r="DV202" s="27" t="s">
        <v>7</v>
      </c>
      <c r="DW202" s="27" t="s">
        <v>8</v>
      </c>
      <c r="DX202" s="27" t="s">
        <v>7</v>
      </c>
      <c r="DY202" s="27" t="s">
        <v>8</v>
      </c>
      <c r="DZ202" s="27" t="s">
        <v>7</v>
      </c>
      <c r="EA202" s="27" t="s">
        <v>8</v>
      </c>
      <c r="EB202" s="27" t="s">
        <v>7</v>
      </c>
      <c r="EC202" s="27" t="s">
        <v>8</v>
      </c>
      <c r="ED202" s="27" t="s">
        <v>7</v>
      </c>
      <c r="EJ202" s="31"/>
      <c r="EQ202" s="27" t="s">
        <v>8</v>
      </c>
      <c r="ER202" s="27" t="s">
        <v>7</v>
      </c>
      <c r="ES202" s="27" t="s">
        <v>8</v>
      </c>
      <c r="FR202" s="27" t="s">
        <v>7</v>
      </c>
      <c r="FS202" s="27" t="s">
        <v>8</v>
      </c>
      <c r="FT202" s="27" t="s">
        <v>7</v>
      </c>
      <c r="FU202" s="27" t="s">
        <v>8</v>
      </c>
      <c r="FV202" s="27" t="s">
        <v>7</v>
      </c>
      <c r="FW202" s="27" t="s">
        <v>8</v>
      </c>
      <c r="FX202" s="27" t="s">
        <v>7</v>
      </c>
      <c r="FY202" s="27" t="s">
        <v>8</v>
      </c>
      <c r="FZ202" s="27" t="s">
        <v>7</v>
      </c>
    </row>
    <row r="203" spans="1:182" x14ac:dyDescent="0.25">
      <c r="A203" s="30">
        <v>6.0814069427704647</v>
      </c>
      <c r="C203" s="7"/>
      <c r="D203"/>
      <c r="E203"/>
      <c r="BK203" s="27" t="s">
        <v>8</v>
      </c>
      <c r="BL203" s="27" t="s">
        <v>7</v>
      </c>
      <c r="BM203" s="27" t="s">
        <v>8</v>
      </c>
      <c r="BN203" s="27" t="s">
        <v>7</v>
      </c>
      <c r="CY203" s="27" t="s">
        <v>8</v>
      </c>
      <c r="CZ203" s="27" t="s">
        <v>7</v>
      </c>
      <c r="DA203" s="27" t="s">
        <v>8</v>
      </c>
      <c r="DB203" s="27" t="s">
        <v>7</v>
      </c>
      <c r="DE203" s="27" t="s">
        <v>8</v>
      </c>
      <c r="DG203" s="27" t="s">
        <v>8</v>
      </c>
      <c r="DR203" s="27" t="s">
        <v>7</v>
      </c>
      <c r="DS203" s="27" t="s">
        <v>8</v>
      </c>
      <c r="DV203" s="27" t="s">
        <v>7</v>
      </c>
      <c r="DW203" s="27" t="s">
        <v>8</v>
      </c>
      <c r="DX203" s="27" t="s">
        <v>7</v>
      </c>
      <c r="DY203" s="27" t="s">
        <v>8</v>
      </c>
      <c r="DZ203" s="27" t="s">
        <v>7</v>
      </c>
      <c r="EA203" s="27" t="s">
        <v>8</v>
      </c>
      <c r="EB203" s="27" t="s">
        <v>7</v>
      </c>
      <c r="EC203" s="27" t="s">
        <v>8</v>
      </c>
      <c r="ED203" s="27" t="s">
        <v>7</v>
      </c>
      <c r="EK203" s="31"/>
      <c r="EQ203" s="27" t="s">
        <v>8</v>
      </c>
      <c r="ER203" s="27" t="s">
        <v>7</v>
      </c>
      <c r="ES203" s="27" t="s">
        <v>8</v>
      </c>
      <c r="FR203" s="27" t="s">
        <v>7</v>
      </c>
      <c r="FS203" s="27" t="s">
        <v>8</v>
      </c>
      <c r="FT203" s="27" t="s">
        <v>7</v>
      </c>
      <c r="FU203" s="27" t="s">
        <v>8</v>
      </c>
      <c r="FV203" s="27" t="s">
        <v>7</v>
      </c>
      <c r="FW203" s="27" t="s">
        <v>8</v>
      </c>
      <c r="FX203" s="27" t="s">
        <v>7</v>
      </c>
      <c r="FY203" s="27" t="s">
        <v>8</v>
      </c>
      <c r="FZ203" s="27" t="s">
        <v>7</v>
      </c>
    </row>
    <row r="204" spans="1:182" x14ac:dyDescent="0.25">
      <c r="A204" s="30">
        <v>5.7918161359718709</v>
      </c>
      <c r="E204"/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BQ204" s="27" t="s">
        <v>8</v>
      </c>
      <c r="CY204" s="27" t="s">
        <v>8</v>
      </c>
      <c r="CZ204" s="27" t="s">
        <v>7</v>
      </c>
      <c r="DA204" s="27" t="s">
        <v>8</v>
      </c>
      <c r="DB204" s="27" t="s">
        <v>7</v>
      </c>
      <c r="DE204" s="27" t="s">
        <v>8</v>
      </c>
      <c r="DF204" s="27" t="s">
        <v>7</v>
      </c>
      <c r="DG204" s="27" t="s">
        <v>8</v>
      </c>
      <c r="DR204" s="27" t="s">
        <v>7</v>
      </c>
      <c r="DV204" s="27" t="s">
        <v>7</v>
      </c>
      <c r="DW204" s="27" t="s">
        <v>8</v>
      </c>
      <c r="DX204" s="27" t="s">
        <v>7</v>
      </c>
      <c r="DY204" s="27" t="s">
        <v>8</v>
      </c>
      <c r="DZ204" s="27" t="s">
        <v>7</v>
      </c>
      <c r="EA204" s="27" t="s">
        <v>8</v>
      </c>
      <c r="EB204" s="27" t="s">
        <v>7</v>
      </c>
      <c r="EC204" s="27" t="s">
        <v>8</v>
      </c>
      <c r="ED204" s="27" t="s">
        <v>7</v>
      </c>
      <c r="EL204" s="31"/>
      <c r="EO204" s="27" t="s">
        <v>8</v>
      </c>
      <c r="EQ204" s="27" t="s">
        <v>8</v>
      </c>
      <c r="ER204" s="27" t="s">
        <v>7</v>
      </c>
      <c r="FR204" s="27" t="s">
        <v>7</v>
      </c>
      <c r="FS204" s="27" t="s">
        <v>8</v>
      </c>
      <c r="FT204" s="27" t="s">
        <v>7</v>
      </c>
      <c r="FV204" s="27" t="s">
        <v>7</v>
      </c>
      <c r="FX204" s="27" t="s">
        <v>7</v>
      </c>
      <c r="FY204" s="27" t="s">
        <v>8</v>
      </c>
      <c r="FZ204" s="27" t="s">
        <v>7</v>
      </c>
    </row>
    <row r="205" spans="1:182" x14ac:dyDescent="0.25">
      <c r="A205" s="30">
        <v>5.5160153675922574</v>
      </c>
      <c r="E205"/>
      <c r="BK205" s="27" t="s">
        <v>8</v>
      </c>
      <c r="BL205" s="27" t="s">
        <v>7</v>
      </c>
      <c r="BN205" s="27" t="s">
        <v>7</v>
      </c>
      <c r="BO205" s="27" t="s">
        <v>8</v>
      </c>
      <c r="BP205" s="27" t="s">
        <v>7</v>
      </c>
      <c r="BQ205" s="27" t="s">
        <v>8</v>
      </c>
      <c r="BR205" s="27" t="s">
        <v>7</v>
      </c>
      <c r="CY205" s="27" t="s">
        <v>8</v>
      </c>
      <c r="CZ205" s="27" t="s">
        <v>7</v>
      </c>
      <c r="DB205" s="27" t="s">
        <v>7</v>
      </c>
      <c r="DE205" s="27" t="s">
        <v>8</v>
      </c>
      <c r="DF205" s="27" t="s">
        <v>7</v>
      </c>
      <c r="DG205" s="27" t="s">
        <v>8</v>
      </c>
      <c r="DV205" s="27" t="s">
        <v>7</v>
      </c>
      <c r="DW205" s="27" t="s">
        <v>8</v>
      </c>
      <c r="DX205" s="27" t="s">
        <v>7</v>
      </c>
      <c r="DY205" s="27" t="s">
        <v>8</v>
      </c>
      <c r="DZ205" s="27" t="s">
        <v>7</v>
      </c>
      <c r="EB205" s="27" t="s">
        <v>7</v>
      </c>
      <c r="ED205" s="27" t="s">
        <v>7</v>
      </c>
      <c r="EE205" s="27" t="s">
        <v>8</v>
      </c>
      <c r="EG205" s="27" t="s">
        <v>8</v>
      </c>
      <c r="EM205" s="31"/>
      <c r="EO205" s="27" t="s">
        <v>8</v>
      </c>
      <c r="EP205" s="27" t="s">
        <v>7</v>
      </c>
      <c r="EQ205" s="27" t="s">
        <v>8</v>
      </c>
      <c r="EX205" s="31"/>
      <c r="FR205" s="27" t="s">
        <v>7</v>
      </c>
      <c r="FS205" s="27" t="s">
        <v>8</v>
      </c>
      <c r="FX205" s="27" t="s">
        <v>7</v>
      </c>
      <c r="FY205" s="27" t="s">
        <v>8</v>
      </c>
      <c r="FZ205" s="27" t="s">
        <v>7</v>
      </c>
    </row>
    <row r="206" spans="1:182" x14ac:dyDescent="0.25">
      <c r="A206" s="30">
        <v>5.2533479691354827</v>
      </c>
      <c r="C206"/>
      <c r="D206"/>
      <c r="E206"/>
      <c r="BK206" s="27" t="s">
        <v>8</v>
      </c>
      <c r="BN206" s="27" t="s">
        <v>7</v>
      </c>
      <c r="BO206" s="27" t="s">
        <v>8</v>
      </c>
      <c r="BP206" s="27" t="s">
        <v>7</v>
      </c>
      <c r="BQ206" s="27" t="s">
        <v>8</v>
      </c>
      <c r="BR206" s="27" t="s">
        <v>7</v>
      </c>
      <c r="CW206" s="27" t="s">
        <v>8</v>
      </c>
      <c r="CY206" s="27" t="s">
        <v>8</v>
      </c>
      <c r="DB206" s="27" t="s">
        <v>7</v>
      </c>
      <c r="DE206" s="27" t="s">
        <v>8</v>
      </c>
      <c r="DF206" s="27" t="s">
        <v>7</v>
      </c>
      <c r="DG206" s="27" t="s">
        <v>8</v>
      </c>
      <c r="DV206" s="27" t="s">
        <v>7</v>
      </c>
      <c r="DW206" s="27" t="s">
        <v>8</v>
      </c>
      <c r="DX206" s="27" t="s">
        <v>7</v>
      </c>
      <c r="DY206" s="27" t="s">
        <v>8</v>
      </c>
      <c r="ED206" s="32" t="s">
        <v>7</v>
      </c>
      <c r="EE206" s="27" t="s">
        <v>8</v>
      </c>
      <c r="EF206" s="27" t="s">
        <v>7</v>
      </c>
      <c r="EG206" s="27" t="s">
        <v>8</v>
      </c>
      <c r="EH206" s="27" t="s">
        <v>7</v>
      </c>
      <c r="EN206" s="31"/>
      <c r="EO206" s="27" t="s">
        <v>8</v>
      </c>
      <c r="EP206" s="27" t="s">
        <v>7</v>
      </c>
      <c r="EQ206" s="27" t="s">
        <v>8</v>
      </c>
      <c r="EW206" s="31"/>
      <c r="FR206" s="27" t="s">
        <v>7</v>
      </c>
      <c r="FS206" s="27" t="s">
        <v>8</v>
      </c>
      <c r="FX206" s="27" t="s">
        <v>7</v>
      </c>
      <c r="FY206" s="27" t="s">
        <v>8</v>
      </c>
      <c r="FZ206" s="27" t="s">
        <v>7</v>
      </c>
    </row>
    <row r="207" spans="1:182" x14ac:dyDescent="0.25">
      <c r="A207" s="30">
        <v>5.0031885420337927</v>
      </c>
      <c r="E207"/>
      <c r="BK207" s="27" t="s">
        <v>8</v>
      </c>
      <c r="BN207" s="27" t="s">
        <v>7</v>
      </c>
      <c r="BP207" s="27" t="s">
        <v>7</v>
      </c>
      <c r="BR207" s="27" t="s">
        <v>7</v>
      </c>
      <c r="CG207" s="27" t="s">
        <v>8</v>
      </c>
      <c r="CW207" s="27" t="s">
        <v>8</v>
      </c>
      <c r="CX207" s="27" t="s">
        <v>7</v>
      </c>
      <c r="CY207" s="27" t="s">
        <v>8</v>
      </c>
      <c r="DB207" s="27" t="s">
        <v>7</v>
      </c>
      <c r="DC207" s="27" t="s">
        <v>8</v>
      </c>
      <c r="DE207" s="27" t="s">
        <v>8</v>
      </c>
      <c r="DF207" s="27" t="s">
        <v>7</v>
      </c>
      <c r="DG207" s="27" t="s">
        <v>8</v>
      </c>
      <c r="DV207" s="27" t="s">
        <v>7</v>
      </c>
      <c r="DW207" s="27" t="s">
        <v>8</v>
      </c>
      <c r="DX207" s="27" t="s">
        <v>7</v>
      </c>
      <c r="DY207" s="27" t="s">
        <v>8</v>
      </c>
      <c r="ED207" s="27" t="s">
        <v>7</v>
      </c>
      <c r="EE207" s="27" t="s">
        <v>8</v>
      </c>
      <c r="EF207" s="27" t="s">
        <v>7</v>
      </c>
      <c r="EG207" s="27" t="s">
        <v>8</v>
      </c>
      <c r="EH207" s="27" t="s">
        <v>7</v>
      </c>
      <c r="EO207" s="33" t="s">
        <v>8</v>
      </c>
      <c r="EP207" s="27" t="s">
        <v>7</v>
      </c>
      <c r="EV207" s="31"/>
      <c r="FR207" s="27" t="s">
        <v>7</v>
      </c>
      <c r="FX207" s="27" t="s">
        <v>7</v>
      </c>
      <c r="FZ207" s="27" t="s">
        <v>7</v>
      </c>
    </row>
    <row r="208" spans="1:182" x14ac:dyDescent="0.25">
      <c r="A208" s="30">
        <v>4.7649414686036122</v>
      </c>
      <c r="E208"/>
      <c r="BK208" s="27" t="s">
        <v>8</v>
      </c>
      <c r="BR208" s="27" t="s">
        <v>7</v>
      </c>
      <c r="CG208" s="27" t="s">
        <v>8</v>
      </c>
      <c r="CH208" s="27" t="s">
        <v>7</v>
      </c>
      <c r="CU208" s="27" t="s">
        <v>8</v>
      </c>
      <c r="CW208" s="27" t="s">
        <v>8</v>
      </c>
      <c r="CX208" s="27" t="s">
        <v>7</v>
      </c>
      <c r="CY208" s="27" t="s">
        <v>8</v>
      </c>
      <c r="DB208" s="27" t="s">
        <v>7</v>
      </c>
      <c r="DC208" s="27" t="s">
        <v>8</v>
      </c>
      <c r="DD208" s="27" t="s">
        <v>7</v>
      </c>
      <c r="DE208" s="27" t="s">
        <v>8</v>
      </c>
      <c r="DF208" s="27" t="s">
        <v>7</v>
      </c>
      <c r="DV208" s="27" t="s">
        <v>7</v>
      </c>
      <c r="DW208" s="27" t="s">
        <v>8</v>
      </c>
      <c r="DX208" s="27" t="s">
        <v>7</v>
      </c>
      <c r="DY208" s="27" t="s">
        <v>8</v>
      </c>
      <c r="ED208" s="27" t="s">
        <v>7</v>
      </c>
      <c r="EF208" s="27" t="s">
        <v>7</v>
      </c>
      <c r="EG208" s="27" t="s">
        <v>8</v>
      </c>
      <c r="EH208" s="27" t="s">
        <v>7</v>
      </c>
      <c r="EK208" s="27" t="s">
        <v>8</v>
      </c>
      <c r="EM208" s="27" t="s">
        <v>8</v>
      </c>
      <c r="EO208" s="27" t="s">
        <v>8</v>
      </c>
      <c r="EU208" s="31"/>
      <c r="FZ208" s="27" t="s">
        <v>7</v>
      </c>
    </row>
    <row r="209" spans="1:183" x14ac:dyDescent="0.25">
      <c r="A209" s="30">
        <v>4.5380394939082018</v>
      </c>
      <c r="E209"/>
      <c r="BK209" s="27" t="s">
        <v>8</v>
      </c>
      <c r="BR209" s="27" t="s">
        <v>7</v>
      </c>
      <c r="CG209" s="27" t="s">
        <v>8</v>
      </c>
      <c r="CH209" s="27" t="s">
        <v>7</v>
      </c>
      <c r="CU209" s="27" t="s">
        <v>8</v>
      </c>
      <c r="CV209" s="27" t="s">
        <v>7</v>
      </c>
      <c r="CW209" s="27" t="s">
        <v>8</v>
      </c>
      <c r="CX209" s="27" t="s">
        <v>7</v>
      </c>
      <c r="CY209" s="27" t="s">
        <v>8</v>
      </c>
      <c r="DB209" s="27" t="s">
        <v>7</v>
      </c>
      <c r="DC209" s="27" t="s">
        <v>8</v>
      </c>
      <c r="DD209" s="27" t="s">
        <v>7</v>
      </c>
      <c r="DE209" s="27" t="s">
        <v>8</v>
      </c>
      <c r="DV209" s="27" t="s">
        <v>7</v>
      </c>
      <c r="DW209" s="27" t="s">
        <v>8</v>
      </c>
      <c r="DX209" s="27" t="s">
        <v>7</v>
      </c>
      <c r="DY209" s="27" t="s">
        <v>8</v>
      </c>
      <c r="EF209" s="27" t="s">
        <v>7</v>
      </c>
      <c r="EH209" s="27" t="s">
        <v>7</v>
      </c>
      <c r="EK209" s="27" t="s">
        <v>8</v>
      </c>
      <c r="EL209" s="27" t="s">
        <v>7</v>
      </c>
      <c r="EM209" s="27" t="s">
        <v>8</v>
      </c>
      <c r="EN209" s="27" t="s">
        <v>7</v>
      </c>
      <c r="EO209" s="27" t="s">
        <v>8</v>
      </c>
      <c r="ET209" s="31"/>
      <c r="FZ209" s="27" t="s">
        <v>7</v>
      </c>
      <c r="GA209" s="27" t="s">
        <v>8</v>
      </c>
    </row>
    <row r="210" spans="1:183" x14ac:dyDescent="0.25">
      <c r="A210" s="30">
        <v>4.3219423751506678</v>
      </c>
      <c r="C210"/>
      <c r="E210"/>
      <c r="BK210" s="27" t="s">
        <v>8</v>
      </c>
      <c r="BR210" s="27" t="s">
        <v>7</v>
      </c>
      <c r="BS210" s="27" t="s">
        <v>8</v>
      </c>
      <c r="BY210" s="27" t="s">
        <v>8</v>
      </c>
      <c r="CE210" s="27" t="s">
        <v>8</v>
      </c>
      <c r="CG210" s="27" t="s">
        <v>8</v>
      </c>
      <c r="CH210" s="27" t="s">
        <v>7</v>
      </c>
      <c r="CI210" s="27" t="s">
        <v>8</v>
      </c>
      <c r="CQ210" s="27" t="s">
        <v>8</v>
      </c>
      <c r="CU210" s="27" t="s">
        <v>8</v>
      </c>
      <c r="CV210" s="27" t="s">
        <v>7</v>
      </c>
      <c r="CW210" s="27" t="s">
        <v>8</v>
      </c>
      <c r="CX210" s="27" t="s">
        <v>7</v>
      </c>
      <c r="DB210" s="27" t="s">
        <v>7</v>
      </c>
      <c r="DC210" s="27" t="s">
        <v>8</v>
      </c>
      <c r="DD210" s="27" t="s">
        <v>7</v>
      </c>
      <c r="DE210" s="27" t="s">
        <v>8</v>
      </c>
      <c r="DV210" s="27" t="s">
        <v>7</v>
      </c>
      <c r="DX210" s="27" t="s">
        <v>7</v>
      </c>
      <c r="DY210" s="27" t="s">
        <v>8</v>
      </c>
      <c r="EH210" s="27" t="s">
        <v>7</v>
      </c>
      <c r="EK210" s="27" t="s">
        <v>8</v>
      </c>
      <c r="EL210" s="27" t="s">
        <v>7</v>
      </c>
      <c r="EM210" s="27" t="s">
        <v>8</v>
      </c>
      <c r="EN210" s="27" t="s">
        <v>7</v>
      </c>
      <c r="EO210" s="27" t="s">
        <v>8</v>
      </c>
      <c r="ES210" s="31"/>
      <c r="FZ210" s="27" t="s">
        <v>7</v>
      </c>
      <c r="GA210" s="27" t="s">
        <v>8</v>
      </c>
    </row>
    <row r="211" spans="1:183" x14ac:dyDescent="0.25">
      <c r="A211" s="30">
        <v>4.1161355953815884</v>
      </c>
      <c r="E211"/>
      <c r="BK211" s="27" t="s">
        <v>8</v>
      </c>
      <c r="BR211" s="27" t="s">
        <v>7</v>
      </c>
      <c r="BS211" s="27" t="s">
        <v>8</v>
      </c>
      <c r="BT211" s="27" t="s">
        <v>7</v>
      </c>
      <c r="BU211" s="27" t="s">
        <v>8</v>
      </c>
      <c r="BY211" s="27" t="s">
        <v>8</v>
      </c>
      <c r="BZ211" s="27" t="s">
        <v>7</v>
      </c>
      <c r="CE211" s="27" t="s">
        <v>8</v>
      </c>
      <c r="CF211" s="27" t="s">
        <v>7</v>
      </c>
      <c r="CG211" s="27" t="s">
        <v>8</v>
      </c>
      <c r="CH211" s="27" t="s">
        <v>7</v>
      </c>
      <c r="CI211" s="27" t="s">
        <v>8</v>
      </c>
      <c r="CJ211" s="27" t="s">
        <v>7</v>
      </c>
      <c r="CO211" s="27" t="s">
        <v>8</v>
      </c>
      <c r="CQ211" s="27" t="s">
        <v>8</v>
      </c>
      <c r="CR211" s="27" t="s">
        <v>7</v>
      </c>
      <c r="CU211" s="27" t="s">
        <v>8</v>
      </c>
      <c r="CV211" s="27" t="s">
        <v>7</v>
      </c>
      <c r="DB211" s="27" t="s">
        <v>7</v>
      </c>
      <c r="DC211" s="27" t="s">
        <v>8</v>
      </c>
      <c r="DD211" s="27" t="s">
        <v>7</v>
      </c>
      <c r="DX211" s="27" t="s">
        <v>7</v>
      </c>
      <c r="DY211" s="27" t="s">
        <v>8</v>
      </c>
      <c r="EH211" s="27" t="s">
        <v>7</v>
      </c>
      <c r="EK211" s="33" t="s">
        <v>8</v>
      </c>
      <c r="EL211" s="27" t="s">
        <v>7</v>
      </c>
      <c r="EM211" s="27" t="s">
        <v>8</v>
      </c>
      <c r="EN211" s="27" t="s">
        <v>7</v>
      </c>
      <c r="ER211" s="31"/>
      <c r="FZ211" s="27" t="s">
        <v>7</v>
      </c>
      <c r="GA211" s="27" t="s">
        <v>8</v>
      </c>
    </row>
    <row r="212" spans="1:183" x14ac:dyDescent="0.25">
      <c r="A212" s="30">
        <v>3.9201291384586554</v>
      </c>
      <c r="E212"/>
      <c r="BK212" s="27" t="s">
        <v>8</v>
      </c>
      <c r="BR212" s="27" t="s">
        <v>7</v>
      </c>
      <c r="BS212" s="27" t="s">
        <v>8</v>
      </c>
      <c r="BT212" s="27" t="s">
        <v>7</v>
      </c>
      <c r="BU212" s="27" t="s">
        <v>8</v>
      </c>
      <c r="BV212" s="27" t="s">
        <v>7</v>
      </c>
      <c r="BY212" s="27" t="s">
        <v>8</v>
      </c>
      <c r="BZ212" s="27" t="s">
        <v>7</v>
      </c>
      <c r="CA212" s="27" t="s">
        <v>8</v>
      </c>
      <c r="CE212" s="27" t="s">
        <v>8</v>
      </c>
      <c r="CF212" s="27" t="s">
        <v>7</v>
      </c>
      <c r="CG212" s="27" t="s">
        <v>8</v>
      </c>
      <c r="CH212" s="27" t="s">
        <v>7</v>
      </c>
      <c r="CI212" s="27" t="s">
        <v>8</v>
      </c>
      <c r="CJ212" s="27" t="s">
        <v>7</v>
      </c>
      <c r="CM212" s="27" t="s">
        <v>8</v>
      </c>
      <c r="CO212" s="27" t="s">
        <v>8</v>
      </c>
      <c r="CP212" s="27" t="s">
        <v>7</v>
      </c>
      <c r="CQ212" s="27" t="s">
        <v>8</v>
      </c>
      <c r="CR212" s="27" t="s">
        <v>7</v>
      </c>
      <c r="CU212" s="27" t="s">
        <v>8</v>
      </c>
      <c r="DB212" s="27" t="s">
        <v>7</v>
      </c>
      <c r="DX212" s="27" t="s">
        <v>7</v>
      </c>
      <c r="DY212" s="27" t="s">
        <v>8</v>
      </c>
      <c r="EH212" s="27" t="s">
        <v>7</v>
      </c>
      <c r="EI212" s="27" t="s">
        <v>8</v>
      </c>
      <c r="EK212" s="27" t="s">
        <v>8</v>
      </c>
      <c r="EL212" s="27" t="s">
        <v>7</v>
      </c>
      <c r="EM212" s="27" t="s">
        <v>8</v>
      </c>
      <c r="EQ212" s="31"/>
      <c r="FZ212" s="27" t="s">
        <v>7</v>
      </c>
      <c r="GA212" s="27" t="s">
        <v>8</v>
      </c>
    </row>
    <row r="213" spans="1:183" x14ac:dyDescent="0.25">
      <c r="A213" s="30">
        <v>3.7334563223415764</v>
      </c>
      <c r="E213"/>
      <c r="BK213" s="27" t="s">
        <v>8</v>
      </c>
      <c r="BR213" s="27" t="s">
        <v>7</v>
      </c>
      <c r="BS213" s="27" t="s">
        <v>8</v>
      </c>
      <c r="BT213" s="27" t="s">
        <v>7</v>
      </c>
      <c r="BU213" s="27" t="s">
        <v>8</v>
      </c>
      <c r="BV213" s="27" t="s">
        <v>7</v>
      </c>
      <c r="BY213" s="27" t="s">
        <v>8</v>
      </c>
      <c r="BZ213" s="27" t="s">
        <v>7</v>
      </c>
      <c r="CA213" s="27" t="s">
        <v>8</v>
      </c>
      <c r="CB213" s="27" t="s">
        <v>7</v>
      </c>
      <c r="CC213" s="27" t="s">
        <v>8</v>
      </c>
      <c r="CE213" s="27" t="s">
        <v>8</v>
      </c>
      <c r="CF213" s="27" t="s">
        <v>7</v>
      </c>
      <c r="CH213" s="27" t="s">
        <v>7</v>
      </c>
      <c r="CI213" s="27" t="s">
        <v>8</v>
      </c>
      <c r="CJ213" s="27" t="s">
        <v>7</v>
      </c>
      <c r="CM213" s="27" t="s">
        <v>8</v>
      </c>
      <c r="CN213" s="27" t="s">
        <v>7</v>
      </c>
      <c r="CO213" s="27" t="s">
        <v>8</v>
      </c>
      <c r="CP213" s="27" t="s">
        <v>7</v>
      </c>
      <c r="CQ213" s="27" t="s">
        <v>8</v>
      </c>
      <c r="CR213" s="27" t="s">
        <v>7</v>
      </c>
      <c r="CS213" s="27" t="s">
        <v>8</v>
      </c>
      <c r="CU213" s="27" t="s">
        <v>8</v>
      </c>
      <c r="DX213" s="27" t="s">
        <v>7</v>
      </c>
      <c r="DY213" s="27" t="s">
        <v>8</v>
      </c>
      <c r="EH213" s="27" t="s">
        <v>7</v>
      </c>
      <c r="EI213" s="27" t="s">
        <v>8</v>
      </c>
      <c r="EJ213" s="27" t="s">
        <v>7</v>
      </c>
      <c r="EK213" s="27" t="s">
        <v>8</v>
      </c>
      <c r="EL213" s="27" t="s">
        <v>7</v>
      </c>
      <c r="EM213" s="27" t="s">
        <v>8</v>
      </c>
      <c r="EP213" s="31"/>
      <c r="FZ213" s="27" t="s">
        <v>7</v>
      </c>
    </row>
    <row r="214" spans="1:183" x14ac:dyDescent="0.25">
      <c r="A214" s="30">
        <v>3.5556726879443583</v>
      </c>
      <c r="E214"/>
      <c r="BK214" s="27" t="s">
        <v>8</v>
      </c>
      <c r="BR214" s="27" t="s">
        <v>7</v>
      </c>
      <c r="BS214" s="27" t="s">
        <v>8</v>
      </c>
      <c r="BT214" s="27" t="s">
        <v>7</v>
      </c>
      <c r="BU214" s="27" t="s">
        <v>8</v>
      </c>
      <c r="BV214" s="27" t="s">
        <v>7</v>
      </c>
      <c r="BY214" s="27" t="s">
        <v>8</v>
      </c>
      <c r="BZ214" s="27" t="s">
        <v>7</v>
      </c>
      <c r="CA214" s="27" t="s">
        <v>8</v>
      </c>
      <c r="CB214" s="27" t="s">
        <v>7</v>
      </c>
      <c r="CC214" s="27" t="s">
        <v>8</v>
      </c>
      <c r="CD214" s="27" t="s">
        <v>7</v>
      </c>
      <c r="CE214" s="27" t="s">
        <v>8</v>
      </c>
      <c r="CH214" s="27" t="s">
        <v>7</v>
      </c>
      <c r="CI214" s="27" t="s">
        <v>8</v>
      </c>
      <c r="CJ214" s="27" t="s">
        <v>7</v>
      </c>
      <c r="CM214" s="27" t="s">
        <v>8</v>
      </c>
      <c r="CN214" s="27" t="s">
        <v>7</v>
      </c>
      <c r="CO214" s="27" t="s">
        <v>8</v>
      </c>
      <c r="CP214" s="27" t="s">
        <v>7</v>
      </c>
      <c r="CQ214" s="27" t="s">
        <v>8</v>
      </c>
      <c r="CR214" s="27" t="s">
        <v>7</v>
      </c>
      <c r="CS214" s="27" t="s">
        <v>8</v>
      </c>
      <c r="CT214" s="27" t="s">
        <v>7</v>
      </c>
      <c r="CU214" s="27" t="s">
        <v>8</v>
      </c>
      <c r="DX214" s="27" t="s">
        <v>7</v>
      </c>
      <c r="DY214" s="27" t="s">
        <v>8</v>
      </c>
      <c r="EH214" s="27" t="s">
        <v>7</v>
      </c>
      <c r="EI214" s="27" t="s">
        <v>8</v>
      </c>
      <c r="EJ214" s="27" t="s">
        <v>7</v>
      </c>
      <c r="EK214" s="27" t="s">
        <v>8</v>
      </c>
      <c r="EL214" s="27" t="s">
        <v>7</v>
      </c>
      <c r="EM214" s="27" t="s">
        <v>8</v>
      </c>
      <c r="EO214" s="31"/>
    </row>
    <row r="215" spans="1:183" x14ac:dyDescent="0.25">
      <c r="A215" s="30">
        <v>3.3863549408993889</v>
      </c>
      <c r="E215"/>
      <c r="BK215" s="27" t="s">
        <v>8</v>
      </c>
      <c r="BR215" s="27" t="s">
        <v>7</v>
      </c>
      <c r="BT215" s="27" t="s">
        <v>7</v>
      </c>
      <c r="BV215" s="27" t="s">
        <v>7</v>
      </c>
      <c r="BY215" s="27" t="s">
        <v>8</v>
      </c>
      <c r="BZ215" s="27" t="s">
        <v>7</v>
      </c>
      <c r="CA215" s="27" t="s">
        <v>8</v>
      </c>
      <c r="CB215" s="27" t="s">
        <v>7</v>
      </c>
      <c r="CC215" s="27" t="s">
        <v>8</v>
      </c>
      <c r="CD215" s="27" t="s">
        <v>7</v>
      </c>
      <c r="CE215" s="27" t="s">
        <v>8</v>
      </c>
      <c r="CH215" s="27" t="s">
        <v>7</v>
      </c>
      <c r="CJ215" s="27" t="s">
        <v>7</v>
      </c>
      <c r="CM215" s="27" t="s">
        <v>8</v>
      </c>
      <c r="CN215" s="27" t="s">
        <v>7</v>
      </c>
      <c r="CO215" s="27" t="s">
        <v>8</v>
      </c>
      <c r="CP215" s="27" t="s">
        <v>7</v>
      </c>
      <c r="CQ215" s="27" t="s">
        <v>8</v>
      </c>
      <c r="CR215" s="27" t="s">
        <v>7</v>
      </c>
      <c r="CS215" s="27" t="s">
        <v>8</v>
      </c>
      <c r="CT215" s="27" t="s">
        <v>7</v>
      </c>
      <c r="CU215" s="27" t="s">
        <v>8</v>
      </c>
      <c r="DX215" s="27" t="s">
        <v>7</v>
      </c>
      <c r="EH215" s="27" t="s">
        <v>7</v>
      </c>
      <c r="EI215" s="27" t="s">
        <v>8</v>
      </c>
      <c r="EJ215" s="27" t="s">
        <v>7</v>
      </c>
      <c r="EL215" s="18" t="s">
        <v>7</v>
      </c>
      <c r="EM215" s="27" t="s">
        <v>8</v>
      </c>
      <c r="EN215" s="31"/>
    </row>
    <row r="216" spans="1:183" x14ac:dyDescent="0.25">
      <c r="A216" s="30">
        <v>3.2250999437137038</v>
      </c>
      <c r="E216"/>
      <c r="M216" s="27" t="s">
        <v>8</v>
      </c>
      <c r="BI216" s="27" t="s">
        <v>8</v>
      </c>
      <c r="BK216" s="27" t="s">
        <v>8</v>
      </c>
      <c r="BV216" s="27" t="s">
        <v>7</v>
      </c>
      <c r="BW216" s="27" t="s">
        <v>8</v>
      </c>
      <c r="BY216" s="27" t="s">
        <v>8</v>
      </c>
      <c r="BZ216" s="27" t="s">
        <v>7</v>
      </c>
      <c r="CA216" s="27" t="s">
        <v>8</v>
      </c>
      <c r="CB216" s="27" t="s">
        <v>7</v>
      </c>
      <c r="CC216" s="27" t="s">
        <v>8</v>
      </c>
      <c r="CD216" s="27" t="s">
        <v>7</v>
      </c>
      <c r="CJ216" s="27" t="s">
        <v>7</v>
      </c>
      <c r="CM216" s="27" t="s">
        <v>8</v>
      </c>
      <c r="CN216" s="27" t="s">
        <v>7</v>
      </c>
      <c r="CP216" s="27" t="s">
        <v>7</v>
      </c>
      <c r="CQ216" s="27" t="s">
        <v>8</v>
      </c>
      <c r="CR216" s="27" t="s">
        <v>7</v>
      </c>
      <c r="CS216" s="27" t="s">
        <v>8</v>
      </c>
      <c r="CT216" s="27" t="s">
        <v>7</v>
      </c>
      <c r="CU216" s="27" t="s">
        <v>8</v>
      </c>
      <c r="EH216" s="27" t="s">
        <v>7</v>
      </c>
      <c r="EI216" s="27" t="s">
        <v>8</v>
      </c>
      <c r="EL216" s="32" t="s">
        <v>7</v>
      </c>
      <c r="EM216" s="31" t="s">
        <v>8</v>
      </c>
    </row>
    <row r="217" spans="1:183" x14ac:dyDescent="0.25">
      <c r="A217" s="30">
        <v>3.0715237559178128</v>
      </c>
      <c r="E217"/>
      <c r="M217" s="27" t="s">
        <v>8</v>
      </c>
      <c r="N217" s="27" t="s">
        <v>7</v>
      </c>
      <c r="BI217" s="27" t="s">
        <v>8</v>
      </c>
      <c r="BJ217" s="27" t="s">
        <v>7</v>
      </c>
      <c r="BK217" s="27" t="s">
        <v>8</v>
      </c>
      <c r="BV217" s="27" t="s">
        <v>7</v>
      </c>
      <c r="BW217" s="27" t="s">
        <v>8</v>
      </c>
      <c r="BX217" s="27" t="s">
        <v>7</v>
      </c>
      <c r="BY217" s="27" t="s">
        <v>8</v>
      </c>
      <c r="BZ217" s="27" t="s">
        <v>7</v>
      </c>
      <c r="CB217" s="27" t="s">
        <v>7</v>
      </c>
      <c r="CC217" s="27" t="s">
        <v>8</v>
      </c>
      <c r="CJ217" s="27" t="s">
        <v>7</v>
      </c>
      <c r="CM217" s="27" t="s">
        <v>8</v>
      </c>
      <c r="CP217" s="27" t="s">
        <v>7</v>
      </c>
      <c r="CQ217" s="27" t="s">
        <v>8</v>
      </c>
      <c r="CR217" s="27" t="s">
        <v>7</v>
      </c>
      <c r="CT217" s="27" t="s">
        <v>7</v>
      </c>
      <c r="EH217" s="27" t="s">
        <v>7</v>
      </c>
      <c r="EI217" s="27" t="s">
        <v>8</v>
      </c>
      <c r="EL217" s="31" t="s">
        <v>7</v>
      </c>
    </row>
    <row r="218" spans="1:183" x14ac:dyDescent="0.25">
      <c r="A218" s="30">
        <v>2.9252607199217264</v>
      </c>
      <c r="E218"/>
      <c r="M218" s="27" t="s">
        <v>8</v>
      </c>
      <c r="N218" s="27" t="s">
        <v>7</v>
      </c>
      <c r="BI218" s="27" t="s">
        <v>8</v>
      </c>
      <c r="BJ218" s="27" t="s">
        <v>7</v>
      </c>
      <c r="BK218" s="27" t="s">
        <v>8</v>
      </c>
      <c r="BV218" s="27" t="s">
        <v>7</v>
      </c>
      <c r="BW218" s="27" t="s">
        <v>8</v>
      </c>
      <c r="BX218" s="27" t="s">
        <v>7</v>
      </c>
      <c r="BY218" s="27" t="s">
        <v>8</v>
      </c>
      <c r="CB218" s="27" t="s">
        <v>7</v>
      </c>
      <c r="CC218" s="27" t="s">
        <v>8</v>
      </c>
      <c r="CJ218" s="27" t="s">
        <v>7</v>
      </c>
      <c r="CM218" s="27" t="s">
        <v>8</v>
      </c>
      <c r="CP218" s="27" t="s">
        <v>7</v>
      </c>
      <c r="CQ218" s="27" t="s">
        <v>8</v>
      </c>
      <c r="EH218" s="27" t="s">
        <v>7</v>
      </c>
    </row>
    <row r="219" spans="1:183" x14ac:dyDescent="0.25">
      <c r="A219" s="30">
        <v>2.7859625904016441</v>
      </c>
      <c r="E219"/>
      <c r="M219" s="27" t="s">
        <v>8</v>
      </c>
      <c r="N219" s="27" t="s">
        <v>7</v>
      </c>
      <c r="O219" s="27" t="s">
        <v>8</v>
      </c>
      <c r="BI219" s="27" t="s">
        <v>8</v>
      </c>
      <c r="BJ219" s="27" t="s">
        <v>7</v>
      </c>
      <c r="BK219" s="27" t="s">
        <v>8</v>
      </c>
      <c r="BV219" s="27" t="s">
        <v>7</v>
      </c>
      <c r="BW219" s="27" t="s">
        <v>8</v>
      </c>
      <c r="BX219" s="27" t="s">
        <v>7</v>
      </c>
      <c r="CB219" s="27" t="s">
        <v>7</v>
      </c>
      <c r="CC219" s="27" t="s">
        <v>8</v>
      </c>
      <c r="CJ219" s="27" t="s">
        <v>7</v>
      </c>
      <c r="CK219" s="27" t="s">
        <v>8</v>
      </c>
      <c r="CM219" s="27" t="s">
        <v>8</v>
      </c>
      <c r="CP219" s="27" t="s">
        <v>7</v>
      </c>
      <c r="CQ219" s="27" t="s">
        <v>8</v>
      </c>
    </row>
    <row r="220" spans="1:183" x14ac:dyDescent="0.25">
      <c r="A220" s="30">
        <v>2.6532977051444226</v>
      </c>
      <c r="E220"/>
      <c r="M220" s="27" t="s">
        <v>8</v>
      </c>
      <c r="N220" s="27" t="s">
        <v>7</v>
      </c>
      <c r="O220" s="27" t="s">
        <v>8</v>
      </c>
      <c r="P220" s="27" t="s">
        <v>7</v>
      </c>
      <c r="Q220" s="27" t="s">
        <v>8</v>
      </c>
      <c r="BI220" s="27" t="s">
        <v>8</v>
      </c>
      <c r="BJ220" s="27" t="s">
        <v>7</v>
      </c>
      <c r="BK220" s="27" t="s">
        <v>8</v>
      </c>
      <c r="BV220" s="27" t="s">
        <v>7</v>
      </c>
      <c r="BW220" s="27" t="s">
        <v>8</v>
      </c>
      <c r="CB220" s="27" t="s">
        <v>7</v>
      </c>
      <c r="CJ220" s="27" t="s">
        <v>7</v>
      </c>
      <c r="CK220" s="27" t="s">
        <v>8</v>
      </c>
      <c r="CL220" s="27" t="s">
        <v>7</v>
      </c>
      <c r="CM220" s="27" t="s">
        <v>8</v>
      </c>
      <c r="CP220" s="27" t="s">
        <v>7</v>
      </c>
    </row>
    <row r="221" spans="1:183" x14ac:dyDescent="0.25">
      <c r="A221" s="30">
        <v>2.5269501953756404</v>
      </c>
      <c r="E221"/>
      <c r="M221" s="27" t="s">
        <v>8</v>
      </c>
      <c r="N221" s="27" t="s">
        <v>7</v>
      </c>
      <c r="O221" s="27" t="s">
        <v>8</v>
      </c>
      <c r="P221" s="27" t="s">
        <v>7</v>
      </c>
      <c r="Q221" s="27" t="s">
        <v>8</v>
      </c>
      <c r="R221" s="27" t="s">
        <v>7</v>
      </c>
      <c r="BI221" s="27" t="s">
        <v>8</v>
      </c>
      <c r="BJ221" s="27" t="s">
        <v>7</v>
      </c>
      <c r="BV221" s="27" t="s">
        <v>7</v>
      </c>
      <c r="CJ221" s="27" t="s">
        <v>7</v>
      </c>
      <c r="CK221" s="27" t="s">
        <v>8</v>
      </c>
      <c r="CL221" s="27" t="s">
        <v>7</v>
      </c>
      <c r="CM221" s="27" t="s">
        <v>8</v>
      </c>
    </row>
    <row r="222" spans="1:183" x14ac:dyDescent="0.25">
      <c r="A222" s="30">
        <v>2.4066192336910861</v>
      </c>
      <c r="E222" t="s">
        <v>8</v>
      </c>
      <c r="I222" s="27" t="s">
        <v>8</v>
      </c>
      <c r="K222" s="27" t="s">
        <v>8</v>
      </c>
      <c r="M222" s="27" t="s">
        <v>8</v>
      </c>
      <c r="N222" s="27" t="s">
        <v>7</v>
      </c>
      <c r="O222" s="27" t="s">
        <v>8</v>
      </c>
      <c r="P222" s="27" t="s">
        <v>7</v>
      </c>
      <c r="Q222" s="27" t="s">
        <v>8</v>
      </c>
      <c r="R222" s="27" t="s">
        <v>7</v>
      </c>
      <c r="BI222" s="27" t="s">
        <v>8</v>
      </c>
      <c r="CJ222" s="27" t="s">
        <v>7</v>
      </c>
      <c r="CK222" s="27" t="s">
        <v>8</v>
      </c>
      <c r="CL222" s="27" t="s">
        <v>7</v>
      </c>
    </row>
    <row r="223" spans="1:183" x14ac:dyDescent="0.25">
      <c r="A223" s="30">
        <v>2.2920183178010345</v>
      </c>
      <c r="E223" t="s">
        <v>8</v>
      </c>
      <c r="F223" s="27" t="s">
        <v>7</v>
      </c>
      <c r="I223" s="27" t="s">
        <v>8</v>
      </c>
      <c r="J223" s="27" t="s">
        <v>7</v>
      </c>
      <c r="K223" s="27" t="s">
        <v>8</v>
      </c>
      <c r="L223" s="27" t="s">
        <v>7</v>
      </c>
      <c r="M223" s="27" t="s">
        <v>8</v>
      </c>
      <c r="N223" s="27" t="s">
        <v>7</v>
      </c>
      <c r="P223" s="27" t="s">
        <v>7</v>
      </c>
      <c r="R223" s="27" t="s">
        <v>7</v>
      </c>
      <c r="BI223" s="27" t="s">
        <v>8</v>
      </c>
      <c r="CJ223" s="27" t="s">
        <v>7</v>
      </c>
      <c r="CK223" s="27" t="s">
        <v>8</v>
      </c>
    </row>
    <row r="224" spans="1:183" x14ac:dyDescent="0.25">
      <c r="A224" s="30">
        <v>2.1828745883819374</v>
      </c>
      <c r="E224" t="s">
        <v>8</v>
      </c>
      <c r="F224" s="27" t="s">
        <v>7</v>
      </c>
      <c r="I224" s="27" t="s">
        <v>8</v>
      </c>
      <c r="J224" s="27" t="s">
        <v>7</v>
      </c>
      <c r="K224" s="27" t="s">
        <v>8</v>
      </c>
      <c r="L224" s="27" t="s">
        <v>7</v>
      </c>
      <c r="M224" s="27" t="s">
        <v>8</v>
      </c>
      <c r="R224" s="27" t="s">
        <v>7</v>
      </c>
      <c r="AY224" s="27" t="s">
        <v>8</v>
      </c>
      <c r="BI224" s="27" t="s">
        <v>8</v>
      </c>
      <c r="CJ224" s="27" t="s">
        <v>7</v>
      </c>
      <c r="CK224" s="27" t="s">
        <v>8</v>
      </c>
    </row>
    <row r="225" spans="1:88" x14ac:dyDescent="0.25">
      <c r="A225" s="30">
        <v>2.0789281794113688</v>
      </c>
      <c r="E225" t="s">
        <v>8</v>
      </c>
      <c r="F225" s="27" t="s">
        <v>7</v>
      </c>
      <c r="I225" s="27" t="s">
        <v>8</v>
      </c>
      <c r="J225" s="27" t="s">
        <v>7</v>
      </c>
      <c r="K225" s="27" t="s">
        <v>8</v>
      </c>
      <c r="L225" s="27" t="s">
        <v>7</v>
      </c>
      <c r="M225" s="27" t="s">
        <v>8</v>
      </c>
      <c r="R225" s="27" t="s">
        <v>7</v>
      </c>
      <c r="AY225" s="27" t="s">
        <v>8</v>
      </c>
      <c r="AZ225" s="27" t="s">
        <v>7</v>
      </c>
      <c r="BI225" s="27" t="s">
        <v>8</v>
      </c>
      <c r="CJ225" s="27" t="s">
        <v>7</v>
      </c>
    </row>
    <row r="226" spans="1:88" x14ac:dyDescent="0.25">
      <c r="A226" s="30">
        <v>1.9799315994393987</v>
      </c>
      <c r="E226" t="s">
        <v>8</v>
      </c>
      <c r="F226" s="27" t="s">
        <v>7</v>
      </c>
      <c r="I226" s="27" t="s">
        <v>8</v>
      </c>
      <c r="J226" s="27" t="s">
        <v>7</v>
      </c>
      <c r="K226" s="27" t="s">
        <v>8</v>
      </c>
      <c r="L226" s="27" t="s">
        <v>7</v>
      </c>
      <c r="M226" s="27" t="s">
        <v>8</v>
      </c>
      <c r="R226" s="27" t="s">
        <v>7</v>
      </c>
      <c r="AY226" s="27" t="s">
        <v>8</v>
      </c>
      <c r="AZ226" s="27" t="s">
        <v>7</v>
      </c>
      <c r="BI226" s="27" t="s">
        <v>8</v>
      </c>
    </row>
    <row r="227" spans="1:88" x14ac:dyDescent="0.25">
      <c r="A227" s="30">
        <v>1.8856491423232367</v>
      </c>
      <c r="E227" t="s">
        <v>8</v>
      </c>
      <c r="F227" s="27" t="s">
        <v>7</v>
      </c>
      <c r="I227" s="27" t="s">
        <v>8</v>
      </c>
      <c r="J227" s="27" t="s">
        <v>7</v>
      </c>
      <c r="L227" s="27" t="s">
        <v>7</v>
      </c>
      <c r="R227" s="27" t="s">
        <v>7</v>
      </c>
      <c r="AY227" s="27" t="s">
        <v>8</v>
      </c>
      <c r="AZ227" s="27" t="s">
        <v>7</v>
      </c>
      <c r="BI227" s="27" t="s">
        <v>8</v>
      </c>
    </row>
    <row r="228" spans="1:88" x14ac:dyDescent="0.25">
      <c r="A228" s="30">
        <v>1.7958563260221301</v>
      </c>
      <c r="C228" s="7"/>
      <c r="D228"/>
      <c r="E228" t="s">
        <v>8</v>
      </c>
      <c r="F228" s="27" t="s">
        <v>7</v>
      </c>
      <c r="I228" s="27" t="s">
        <v>8</v>
      </c>
      <c r="R228" s="27" t="s">
        <v>7</v>
      </c>
      <c r="S228" s="27" t="s">
        <v>8</v>
      </c>
      <c r="AY228" s="27" t="s">
        <v>8</v>
      </c>
      <c r="AZ228" s="27" t="s">
        <v>7</v>
      </c>
      <c r="BA228" s="27" t="s">
        <v>8</v>
      </c>
      <c r="BI228" s="27" t="s">
        <v>8</v>
      </c>
    </row>
    <row r="229" spans="1:88" x14ac:dyDescent="0.25">
      <c r="A229" s="30">
        <v>1.7103393581163142</v>
      </c>
      <c r="E229" t="s">
        <v>8</v>
      </c>
      <c r="F229" s="27" t="s">
        <v>7</v>
      </c>
      <c r="G229" s="27" t="s">
        <v>8</v>
      </c>
      <c r="I229" s="27" t="s">
        <v>8</v>
      </c>
      <c r="R229" s="27" t="s">
        <v>7</v>
      </c>
      <c r="S229" s="27" t="s">
        <v>8</v>
      </c>
      <c r="T229" s="27" t="s">
        <v>7</v>
      </c>
      <c r="AY229" s="27" t="s">
        <v>8</v>
      </c>
      <c r="AZ229" s="27" t="s">
        <v>7</v>
      </c>
      <c r="BA229" s="27" t="s">
        <v>8</v>
      </c>
      <c r="BB229" s="27" t="s">
        <v>7</v>
      </c>
      <c r="BC229" s="27" t="s">
        <v>8</v>
      </c>
      <c r="BG229" s="27" t="s">
        <v>8</v>
      </c>
      <c r="BI229" s="27" t="s">
        <v>8</v>
      </c>
    </row>
    <row r="230" spans="1:88" x14ac:dyDescent="0.25">
      <c r="A230" s="30">
        <v>1.628894626777442</v>
      </c>
      <c r="E230" t="s">
        <v>8</v>
      </c>
      <c r="F230" s="27" t="s">
        <v>7</v>
      </c>
      <c r="G230" s="27" t="s">
        <v>8</v>
      </c>
      <c r="H230" s="27" t="s">
        <v>7</v>
      </c>
      <c r="I230" s="27" t="s">
        <v>8</v>
      </c>
      <c r="R230" s="27" t="s">
        <v>7</v>
      </c>
      <c r="S230" s="27" t="s">
        <v>8</v>
      </c>
      <c r="T230" s="27" t="s">
        <v>7</v>
      </c>
      <c r="AY230" s="27" t="s">
        <v>8</v>
      </c>
      <c r="AZ230" s="27" t="s">
        <v>7</v>
      </c>
      <c r="BA230" s="27" t="s">
        <v>8</v>
      </c>
      <c r="BB230" s="27" t="s">
        <v>7</v>
      </c>
      <c r="BC230" s="27" t="s">
        <v>8</v>
      </c>
      <c r="BD230" s="27" t="s">
        <v>7</v>
      </c>
      <c r="BE230" s="27" t="s">
        <v>8</v>
      </c>
      <c r="BG230" s="27" t="s">
        <v>8</v>
      </c>
      <c r="BH230" s="27" t="s">
        <v>7</v>
      </c>
      <c r="BI230" s="27" t="s">
        <v>8</v>
      </c>
    </row>
    <row r="231" spans="1:88" x14ac:dyDescent="0.25">
      <c r="A231" s="30">
        <v>1.5513282159785162</v>
      </c>
      <c r="C231"/>
      <c r="D231"/>
      <c r="E231" t="s">
        <v>8</v>
      </c>
      <c r="F231" s="27" t="s">
        <v>7</v>
      </c>
      <c r="G231" s="27" t="s">
        <v>8</v>
      </c>
      <c r="H231" s="27" t="s">
        <v>7</v>
      </c>
      <c r="I231" s="27" t="s">
        <v>8</v>
      </c>
      <c r="R231" s="27" t="s">
        <v>7</v>
      </c>
      <c r="S231" s="27" t="s">
        <v>8</v>
      </c>
      <c r="T231" s="27" t="s">
        <v>7</v>
      </c>
      <c r="AY231" s="27" t="s">
        <v>8</v>
      </c>
      <c r="AZ231" s="27" t="s">
        <v>7</v>
      </c>
      <c r="BB231" s="27" t="s">
        <v>7</v>
      </c>
      <c r="BC231" s="27" t="s">
        <v>8</v>
      </c>
      <c r="BD231" s="27" t="s">
        <v>7</v>
      </c>
      <c r="BE231" s="27" t="s">
        <v>8</v>
      </c>
      <c r="BF231" s="27" t="s">
        <v>7</v>
      </c>
      <c r="BG231" s="27" t="s">
        <v>8</v>
      </c>
      <c r="BH231" s="27" t="s">
        <v>7</v>
      </c>
      <c r="BI231" s="27" t="s">
        <v>8</v>
      </c>
    </row>
    <row r="232" spans="1:88" x14ac:dyDescent="0.25">
      <c r="A232" s="30">
        <v>1.477455443789063</v>
      </c>
      <c r="E232" t="s">
        <v>8</v>
      </c>
      <c r="F232" s="27" t="s">
        <v>7</v>
      </c>
      <c r="H232" s="27" t="s">
        <v>7</v>
      </c>
      <c r="I232" s="27" t="s">
        <v>8</v>
      </c>
      <c r="R232" s="27" t="s">
        <v>7</v>
      </c>
      <c r="S232" s="27" t="s">
        <v>8</v>
      </c>
      <c r="T232" s="27" t="s">
        <v>7</v>
      </c>
      <c r="AI232" s="27" t="s">
        <v>8</v>
      </c>
      <c r="AY232" s="27" t="s">
        <v>8</v>
      </c>
      <c r="BB232" s="27" t="s">
        <v>7</v>
      </c>
      <c r="BD232" s="27" t="s">
        <v>7</v>
      </c>
      <c r="BE232" s="27" t="s">
        <v>8</v>
      </c>
      <c r="BF232" s="27" t="s">
        <v>7</v>
      </c>
      <c r="BG232" s="27" t="s">
        <v>8</v>
      </c>
      <c r="BH232" s="27" t="s">
        <v>7</v>
      </c>
      <c r="BI232" s="27" t="s">
        <v>8</v>
      </c>
    </row>
    <row r="233" spans="1:88" x14ac:dyDescent="0.25">
      <c r="A233" s="30">
        <v>1.4071004226562505</v>
      </c>
      <c r="E233" t="s">
        <v>8</v>
      </c>
      <c r="H233" s="27" t="s">
        <v>7</v>
      </c>
      <c r="R233" s="27" t="s">
        <v>7</v>
      </c>
      <c r="S233" s="27" t="s">
        <v>8</v>
      </c>
      <c r="T233" s="27" t="s">
        <v>7</v>
      </c>
      <c r="AI233" s="27" t="s">
        <v>8</v>
      </c>
      <c r="AJ233" s="27" t="s">
        <v>7</v>
      </c>
      <c r="AK233" s="27" t="s">
        <v>8</v>
      </c>
      <c r="AY233" s="27" t="s">
        <v>8</v>
      </c>
      <c r="BD233" s="27" t="s">
        <v>7</v>
      </c>
      <c r="BF233" s="27" t="s">
        <v>7</v>
      </c>
      <c r="BG233" s="27" t="s">
        <v>8</v>
      </c>
      <c r="BH233" s="27" t="s">
        <v>7</v>
      </c>
    </row>
    <row r="234" spans="1:88" x14ac:dyDescent="0.25">
      <c r="A234" s="30">
        <v>1.3400956406250004</v>
      </c>
      <c r="E234" t="s">
        <v>8</v>
      </c>
      <c r="R234" s="27" t="s">
        <v>7</v>
      </c>
      <c r="T234" s="27" t="s">
        <v>7</v>
      </c>
      <c r="AI234" s="27" t="s">
        <v>8</v>
      </c>
      <c r="AJ234" s="27" t="s">
        <v>7</v>
      </c>
      <c r="AK234" s="27" t="s">
        <v>8</v>
      </c>
      <c r="AL234" s="27" t="s">
        <v>7</v>
      </c>
      <c r="AY234" s="27" t="s">
        <v>8</v>
      </c>
      <c r="BF234" s="27" t="s">
        <v>7</v>
      </c>
    </row>
    <row r="235" spans="1:88" x14ac:dyDescent="0.25">
      <c r="A235" s="30">
        <v>1.2762815625000004</v>
      </c>
      <c r="C235"/>
      <c r="E235" t="s">
        <v>8</v>
      </c>
      <c r="T235" s="27" t="s">
        <v>7</v>
      </c>
      <c r="AI235" s="27" t="s">
        <v>8</v>
      </c>
      <c r="AJ235" s="27" t="s">
        <v>7</v>
      </c>
      <c r="AK235" s="27" t="s">
        <v>8</v>
      </c>
      <c r="AL235" s="27" t="s">
        <v>7</v>
      </c>
      <c r="AY235" s="27" t="s">
        <v>8</v>
      </c>
    </row>
    <row r="236" spans="1:88" x14ac:dyDescent="0.25">
      <c r="A236" s="30">
        <v>1.2155062500000002</v>
      </c>
      <c r="E236" t="s">
        <v>8</v>
      </c>
      <c r="T236" s="27" t="s">
        <v>7</v>
      </c>
      <c r="AI236" s="27" t="s">
        <v>8</v>
      </c>
      <c r="AJ236" s="27" t="s">
        <v>7</v>
      </c>
      <c r="AL236" s="27" t="s">
        <v>7</v>
      </c>
      <c r="AY236" s="27" t="s">
        <v>8</v>
      </c>
    </row>
    <row r="237" spans="1:8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T237" s="27" t="s">
        <v>7</v>
      </c>
      <c r="AE237" s="27" t="s">
        <v>8</v>
      </c>
      <c r="AG237" s="27" t="s">
        <v>8</v>
      </c>
      <c r="AI237" s="27" t="s">
        <v>8</v>
      </c>
      <c r="AL237" s="27" t="s">
        <v>7</v>
      </c>
      <c r="AY237" s="27" t="s">
        <v>8</v>
      </c>
    </row>
    <row r="238" spans="1:88" x14ac:dyDescent="0.25">
      <c r="A238" s="30">
        <v>1.1025</v>
      </c>
      <c r="E238" t="s">
        <v>8</v>
      </c>
      <c r="T238" s="27" t="s">
        <v>7</v>
      </c>
      <c r="W238" s="27" t="s">
        <v>8</v>
      </c>
      <c r="Y238" s="27" t="s">
        <v>8</v>
      </c>
      <c r="AE238" s="27" t="s">
        <v>8</v>
      </c>
      <c r="AF238" s="27" t="s">
        <v>7</v>
      </c>
      <c r="AG238" s="27" t="s">
        <v>8</v>
      </c>
      <c r="AH238" s="27" t="s">
        <v>7</v>
      </c>
      <c r="AI238" s="27" t="s">
        <v>8</v>
      </c>
      <c r="AL238" s="27" t="s">
        <v>7</v>
      </c>
      <c r="AY238" s="27" t="s">
        <v>8</v>
      </c>
    </row>
    <row r="239" spans="1:88" x14ac:dyDescent="0.25">
      <c r="A239" s="30">
        <v>1.05</v>
      </c>
      <c r="E239" t="s">
        <v>8</v>
      </c>
      <c r="T239" s="27" t="s">
        <v>7</v>
      </c>
      <c r="W239" s="27" t="s">
        <v>8</v>
      </c>
      <c r="X239" s="27" t="s">
        <v>7</v>
      </c>
      <c r="Y239" s="27" t="s">
        <v>8</v>
      </c>
      <c r="Z239" s="27" t="s">
        <v>7</v>
      </c>
      <c r="AE239" s="27" t="s">
        <v>8</v>
      </c>
      <c r="AF239" s="27" t="s">
        <v>7</v>
      </c>
      <c r="AG239" s="27" t="s">
        <v>8</v>
      </c>
      <c r="AH239" s="27" t="s">
        <v>7</v>
      </c>
      <c r="AI239" s="27" t="s">
        <v>8</v>
      </c>
      <c r="AL239" s="27" t="s">
        <v>7</v>
      </c>
      <c r="AY239" s="27" t="s">
        <v>8</v>
      </c>
    </row>
    <row r="240" spans="1:88" x14ac:dyDescent="0.25">
      <c r="A240" s="30">
        <v>1</v>
      </c>
      <c r="E240" s="29" t="s">
        <v>8</v>
      </c>
      <c r="T240" s="27" t="s">
        <v>7</v>
      </c>
      <c r="W240" s="27" t="s">
        <v>8</v>
      </c>
      <c r="X240" s="27" t="s">
        <v>7</v>
      </c>
      <c r="Y240" s="27" t="s">
        <v>8</v>
      </c>
      <c r="Z240" s="27" t="s">
        <v>7</v>
      </c>
      <c r="AE240" s="27" t="s">
        <v>8</v>
      </c>
      <c r="AF240" s="27" t="s">
        <v>7</v>
      </c>
      <c r="AH240" s="27" t="s">
        <v>7</v>
      </c>
      <c r="AL240" s="27" t="s">
        <v>7</v>
      </c>
      <c r="AY240" s="27" t="s">
        <v>8</v>
      </c>
    </row>
    <row r="241" spans="1:51" x14ac:dyDescent="0.25">
      <c r="A241" s="30">
        <v>0.952380952380952</v>
      </c>
      <c r="B241"/>
      <c r="C241"/>
      <c r="D241"/>
      <c r="E241"/>
      <c r="T241" s="27" t="s">
        <v>7</v>
      </c>
      <c r="W241" s="27" t="s">
        <v>8</v>
      </c>
      <c r="X241" s="27" t="s">
        <v>7</v>
      </c>
      <c r="Z241" s="27" t="s">
        <v>7</v>
      </c>
      <c r="AE241" s="27" t="s">
        <v>8</v>
      </c>
      <c r="AL241" s="27" t="s">
        <v>7</v>
      </c>
      <c r="AM241" s="27" t="s">
        <v>8</v>
      </c>
      <c r="AY241" s="27" t="s">
        <v>8</v>
      </c>
    </row>
    <row r="242" spans="1:51" x14ac:dyDescent="0.25">
      <c r="A242" s="30">
        <v>0.90702947845804915</v>
      </c>
      <c r="B242"/>
      <c r="C242"/>
      <c r="D242"/>
      <c r="E242"/>
      <c r="T242" s="27" t="s">
        <v>7</v>
      </c>
      <c r="U242" s="27" t="s">
        <v>8</v>
      </c>
      <c r="W242" s="27" t="s">
        <v>8</v>
      </c>
      <c r="Z242" s="27" t="s">
        <v>7</v>
      </c>
      <c r="AE242" s="27" t="s">
        <v>8</v>
      </c>
      <c r="AL242" s="27" t="s">
        <v>7</v>
      </c>
      <c r="AM242" s="27" t="s">
        <v>8</v>
      </c>
      <c r="AN242" s="27" t="s">
        <v>7</v>
      </c>
      <c r="AY242" s="27" t="s">
        <v>8</v>
      </c>
    </row>
    <row r="243" spans="1:51" x14ac:dyDescent="0.25">
      <c r="A243" s="30">
        <v>0.86383759853147501</v>
      </c>
      <c r="B243"/>
      <c r="C243"/>
      <c r="D243"/>
      <c r="E243"/>
      <c r="T243" s="27" t="s">
        <v>7</v>
      </c>
      <c r="U243" s="27" t="s">
        <v>8</v>
      </c>
      <c r="V243" s="27" t="s">
        <v>7</v>
      </c>
      <c r="W243" s="27" t="s">
        <v>8</v>
      </c>
      <c r="Z243" s="27" t="s">
        <v>7</v>
      </c>
      <c r="AC243" s="27" t="s">
        <v>8</v>
      </c>
      <c r="AE243" s="27" t="s">
        <v>8</v>
      </c>
      <c r="AL243" s="27" t="s">
        <v>7</v>
      </c>
      <c r="AM243" s="27" t="s">
        <v>8</v>
      </c>
      <c r="AN243" s="27" t="s">
        <v>7</v>
      </c>
      <c r="AY243" s="27" t="s">
        <v>8</v>
      </c>
    </row>
    <row r="244" spans="1:51" x14ac:dyDescent="0.25">
      <c r="A244" s="30">
        <v>0.82270247479188063</v>
      </c>
      <c r="B244"/>
      <c r="C244"/>
      <c r="D244"/>
      <c r="E244"/>
      <c r="T244" s="27" t="s">
        <v>7</v>
      </c>
      <c r="U244" s="27" t="s">
        <v>8</v>
      </c>
      <c r="V244" s="27" t="s">
        <v>7</v>
      </c>
      <c r="W244" s="27" t="s">
        <v>8</v>
      </c>
      <c r="Z244" s="27" t="s">
        <v>7</v>
      </c>
      <c r="AC244" s="27" t="s">
        <v>8</v>
      </c>
      <c r="AD244" s="27" t="s">
        <v>7</v>
      </c>
      <c r="AE244" s="27" t="s">
        <v>8</v>
      </c>
      <c r="AL244" s="27" t="s">
        <v>7</v>
      </c>
      <c r="AN244" s="27" t="s">
        <v>7</v>
      </c>
      <c r="AW244" s="27" t="s">
        <v>8</v>
      </c>
      <c r="AY244" s="27" t="s">
        <v>8</v>
      </c>
    </row>
    <row r="245" spans="1:51" x14ac:dyDescent="0.25">
      <c r="A245" s="30">
        <v>0.78352616646845741</v>
      </c>
      <c r="B245"/>
      <c r="C245"/>
      <c r="D245"/>
      <c r="E245"/>
      <c r="T245" s="27" t="s">
        <v>7</v>
      </c>
      <c r="U245" s="27" t="s">
        <v>8</v>
      </c>
      <c r="V245" s="27" t="s">
        <v>7</v>
      </c>
      <c r="W245" s="27" t="s">
        <v>8</v>
      </c>
      <c r="Z245" s="27" t="s">
        <v>7</v>
      </c>
      <c r="AA245" s="27" t="s">
        <v>8</v>
      </c>
      <c r="AC245" s="27" t="s">
        <v>8</v>
      </c>
      <c r="AD245" s="27" t="s">
        <v>7</v>
      </c>
      <c r="AE245" s="27" t="s">
        <v>8</v>
      </c>
      <c r="AN245" s="27" t="s">
        <v>7</v>
      </c>
      <c r="AU245" s="27" t="s">
        <v>8</v>
      </c>
      <c r="AW245" s="27" t="s">
        <v>8</v>
      </c>
      <c r="AX245" s="27" t="s">
        <v>7</v>
      </c>
      <c r="AY245" s="27" t="s">
        <v>8</v>
      </c>
    </row>
    <row r="246" spans="1:51" x14ac:dyDescent="0.25">
      <c r="A246" s="30">
        <v>0.74621539663662584</v>
      </c>
      <c r="B246"/>
      <c r="C246"/>
      <c r="D246"/>
      <c r="E246"/>
      <c r="T246" s="27" t="s">
        <v>7</v>
      </c>
      <c r="U246" s="27" t="s">
        <v>8</v>
      </c>
      <c r="V246" s="27" t="s">
        <v>7</v>
      </c>
      <c r="W246" s="27" t="s">
        <v>8</v>
      </c>
      <c r="Z246" s="27" t="s">
        <v>7</v>
      </c>
      <c r="AA246" s="27" t="s">
        <v>8</v>
      </c>
      <c r="AB246" s="27" t="s">
        <v>7</v>
      </c>
      <c r="AC246" s="27" t="s">
        <v>8</v>
      </c>
      <c r="AD246" s="27" t="s">
        <v>7</v>
      </c>
      <c r="AN246" s="27" t="s">
        <v>7</v>
      </c>
      <c r="AU246" s="27" t="s">
        <v>8</v>
      </c>
      <c r="AV246" s="27" t="s">
        <v>7</v>
      </c>
      <c r="AW246" s="27" t="s">
        <v>8</v>
      </c>
      <c r="AX246" s="27" t="s">
        <v>7</v>
      </c>
      <c r="AY246" s="27" t="s">
        <v>8</v>
      </c>
    </row>
    <row r="247" spans="1:51" x14ac:dyDescent="0.25">
      <c r="A247" s="30">
        <v>0.71068133013011958</v>
      </c>
      <c r="B247"/>
      <c r="C247"/>
      <c r="D247"/>
      <c r="E247"/>
      <c r="T247" s="27" t="s">
        <v>7</v>
      </c>
      <c r="V247" s="27" t="s">
        <v>7</v>
      </c>
      <c r="Z247" s="27" t="s">
        <v>7</v>
      </c>
      <c r="AA247" s="27" t="s">
        <v>8</v>
      </c>
      <c r="AB247" s="27" t="s">
        <v>7</v>
      </c>
      <c r="AC247" s="27" t="s">
        <v>8</v>
      </c>
      <c r="AN247" s="27" t="s">
        <v>7</v>
      </c>
      <c r="AU247" s="27" t="s">
        <v>8</v>
      </c>
      <c r="AV247" s="27" t="s">
        <v>7</v>
      </c>
      <c r="AW247" s="27" t="s">
        <v>8</v>
      </c>
      <c r="AX247" s="27" t="s">
        <v>7</v>
      </c>
      <c r="AY247" s="27" t="s">
        <v>8</v>
      </c>
    </row>
    <row r="248" spans="1:51" x14ac:dyDescent="0.25">
      <c r="A248" s="30">
        <v>0.676839362028685</v>
      </c>
      <c r="B248"/>
      <c r="C248"/>
      <c r="D248"/>
      <c r="E248"/>
      <c r="Z248" s="27" t="s">
        <v>7</v>
      </c>
      <c r="AB248" s="27" t="s">
        <v>7</v>
      </c>
      <c r="AC248" s="27" t="s">
        <v>8</v>
      </c>
      <c r="AN248" s="27" t="s">
        <v>7</v>
      </c>
      <c r="AU248" s="27" t="s">
        <v>8</v>
      </c>
      <c r="AV248" s="27" t="s">
        <v>7</v>
      </c>
      <c r="AX248" s="27" t="s">
        <v>7</v>
      </c>
      <c r="AY248" s="27" t="s">
        <v>8</v>
      </c>
    </row>
    <row r="249" spans="1:51" x14ac:dyDescent="0.25">
      <c r="A249" s="30">
        <v>0.64460891621779492</v>
      </c>
      <c r="B249"/>
      <c r="C249"/>
      <c r="D249"/>
      <c r="E249"/>
      <c r="AB249" s="27" t="s">
        <v>7</v>
      </c>
      <c r="AC249" s="27" t="s">
        <v>8</v>
      </c>
      <c r="AN249" s="27" t="s">
        <v>7</v>
      </c>
      <c r="AU249" s="27" t="s">
        <v>8</v>
      </c>
      <c r="AX249" s="27" t="s">
        <v>7</v>
      </c>
    </row>
    <row r="250" spans="1:51" x14ac:dyDescent="0.25">
      <c r="A250" s="30">
        <v>0.61391325354075688</v>
      </c>
      <c r="B250"/>
      <c r="C250"/>
      <c r="D250"/>
      <c r="E250"/>
      <c r="AB250" s="27" t="s">
        <v>7</v>
      </c>
      <c r="AC250" s="27" t="s">
        <v>8</v>
      </c>
      <c r="AN250" s="27" t="s">
        <v>7</v>
      </c>
      <c r="AS250" s="27" t="s">
        <v>8</v>
      </c>
      <c r="AU250" s="27" t="s">
        <v>8</v>
      </c>
    </row>
    <row r="251" spans="1:51" x14ac:dyDescent="0.25">
      <c r="A251" s="30">
        <v>0.58467928908643485</v>
      </c>
      <c r="B251"/>
      <c r="C251"/>
      <c r="D251"/>
      <c r="E251"/>
      <c r="AB251" s="27" t="s">
        <v>7</v>
      </c>
      <c r="AN251" s="27" t="s">
        <v>7</v>
      </c>
      <c r="AQ251" s="27" t="s">
        <v>8</v>
      </c>
      <c r="AS251" s="27" t="s">
        <v>8</v>
      </c>
      <c r="AT251" s="27" t="s">
        <v>7</v>
      </c>
      <c r="AU251" s="27" t="s">
        <v>8</v>
      </c>
    </row>
    <row r="252" spans="1:51" x14ac:dyDescent="0.25">
      <c r="A252" s="30">
        <v>0.55683741817755672</v>
      </c>
      <c r="B252"/>
      <c r="C252"/>
      <c r="D252"/>
      <c r="E252"/>
      <c r="AN252" s="27" t="s">
        <v>7</v>
      </c>
      <c r="AQ252" s="27" t="s">
        <v>8</v>
      </c>
      <c r="AR252" s="27" t="s">
        <v>7</v>
      </c>
      <c r="AS252" s="27" t="s">
        <v>8</v>
      </c>
      <c r="AT252" s="27" t="s">
        <v>7</v>
      </c>
      <c r="AU252" s="27" t="s">
        <v>8</v>
      </c>
    </row>
    <row r="253" spans="1:51" x14ac:dyDescent="0.25">
      <c r="A253" s="30">
        <v>0.53032135064529184</v>
      </c>
      <c r="B253"/>
      <c r="C253"/>
      <c r="D253"/>
      <c r="E253"/>
      <c r="AN253" s="27" t="s">
        <v>7</v>
      </c>
      <c r="AQ253" s="27" t="s">
        <v>8</v>
      </c>
      <c r="AR253" s="27" t="s">
        <v>7</v>
      </c>
      <c r="AS253" s="27" t="s">
        <v>8</v>
      </c>
      <c r="AT253" s="27" t="s">
        <v>7</v>
      </c>
      <c r="AU253" s="27" t="s">
        <v>8</v>
      </c>
    </row>
    <row r="254" spans="1:51" x14ac:dyDescent="0.25">
      <c r="A254" s="30">
        <v>0.50506795299551588</v>
      </c>
      <c r="B254"/>
      <c r="C254"/>
      <c r="D254"/>
      <c r="E254"/>
      <c r="AN254" s="27" t="s">
        <v>7</v>
      </c>
      <c r="AO254" s="27" t="s">
        <v>8</v>
      </c>
      <c r="AQ254" s="27" t="s">
        <v>8</v>
      </c>
      <c r="AR254" s="27" t="s">
        <v>7</v>
      </c>
      <c r="AS254" s="27" t="s">
        <v>8</v>
      </c>
      <c r="AT254" s="27" t="s">
        <v>7</v>
      </c>
    </row>
    <row r="255" spans="1:51" x14ac:dyDescent="0.25">
      <c r="A255" s="30">
        <v>0.48101709809096732</v>
      </c>
      <c r="E255"/>
      <c r="AN255" s="27" t="s">
        <v>7</v>
      </c>
      <c r="AO255" s="27" t="s">
        <v>8</v>
      </c>
      <c r="AP255" s="27" t="s">
        <v>7</v>
      </c>
      <c r="AQ255" s="27" t="s">
        <v>8</v>
      </c>
      <c r="AR255" s="27" t="s">
        <v>7</v>
      </c>
    </row>
    <row r="256" spans="1:51" x14ac:dyDescent="0.25">
      <c r="A256" s="30">
        <v>0.45811152199139726</v>
      </c>
      <c r="E256"/>
      <c r="AN256" s="27" t="s">
        <v>7</v>
      </c>
      <c r="AO256" s="27" t="s">
        <v>8</v>
      </c>
      <c r="AP256" s="27" t="s">
        <v>7</v>
      </c>
      <c r="AQ256" s="27" t="s">
        <v>8</v>
      </c>
    </row>
    <row r="257" spans="1:43" x14ac:dyDescent="0.25">
      <c r="A257" s="30">
        <v>0.43629668761085438</v>
      </c>
      <c r="B257"/>
      <c r="C257"/>
      <c r="D257"/>
      <c r="E257"/>
      <c r="AN257" s="27" t="s">
        <v>7</v>
      </c>
      <c r="AO257" s="27" t="s">
        <v>8</v>
      </c>
      <c r="AP257" s="27" t="s">
        <v>7</v>
      </c>
      <c r="AQ257" s="27" t="s">
        <v>8</v>
      </c>
    </row>
    <row r="258" spans="1:43" x14ac:dyDescent="0.25">
      <c r="A258" s="30">
        <v>0.41552065486748019</v>
      </c>
      <c r="B258"/>
      <c r="C258"/>
      <c r="D258"/>
      <c r="E258"/>
      <c r="AN258" s="27" t="s">
        <v>7</v>
      </c>
      <c r="AO258" s="27" t="s">
        <v>8</v>
      </c>
      <c r="AP258" s="27" t="s">
        <v>7</v>
      </c>
    </row>
    <row r="259" spans="1:43" x14ac:dyDescent="0.25">
      <c r="A259" s="30">
        <v>0.39573395701664765</v>
      </c>
      <c r="B259"/>
      <c r="C259"/>
      <c r="D259"/>
      <c r="E259"/>
      <c r="AN259" s="27" t="s">
        <v>7</v>
      </c>
      <c r="AO259" s="27" t="s">
        <v>8</v>
      </c>
    </row>
    <row r="260" spans="1:43" x14ac:dyDescent="0.25">
      <c r="A260" s="30">
        <v>0.37688948287299762</v>
      </c>
      <c r="B260"/>
      <c r="C260"/>
      <c r="D260"/>
      <c r="E260"/>
      <c r="AN260" s="27" t="s">
        <v>7</v>
      </c>
      <c r="AO260" s="27" t="s">
        <v>8</v>
      </c>
    </row>
    <row r="261" spans="1:43" x14ac:dyDescent="0.25">
      <c r="A261" s="30">
        <v>0.35894236464094997</v>
      </c>
      <c r="B261"/>
      <c r="C261"/>
      <c r="D261"/>
      <c r="E261"/>
      <c r="AN261" s="27" t="s">
        <v>7</v>
      </c>
      <c r="AO261" s="27" t="s">
        <v>8</v>
      </c>
    </row>
    <row r="262" spans="1:43" x14ac:dyDescent="0.25">
      <c r="A262" s="30">
        <v>0.34184987108661891</v>
      </c>
      <c r="B262"/>
      <c r="C262"/>
      <c r="D262"/>
      <c r="E262"/>
      <c r="AN262" s="27" t="s">
        <v>7</v>
      </c>
      <c r="AO262" s="27" t="s">
        <v>8</v>
      </c>
    </row>
    <row r="263" spans="1:43" x14ac:dyDescent="0.25">
      <c r="A263" s="30">
        <v>0.32557130579677979</v>
      </c>
      <c r="B263"/>
      <c r="C263"/>
      <c r="D263"/>
      <c r="E263"/>
      <c r="AN263" s="27" t="s">
        <v>7</v>
      </c>
      <c r="AO263" s="27" t="s">
        <v>8</v>
      </c>
    </row>
    <row r="264" spans="1:43" x14ac:dyDescent="0.25">
      <c r="A264" s="30">
        <v>0.3100679102826473</v>
      </c>
      <c r="B264"/>
      <c r="C264"/>
      <c r="D264"/>
      <c r="E264"/>
      <c r="AN264" s="27" t="s">
        <v>7</v>
      </c>
    </row>
    <row r="265" spans="1:43" x14ac:dyDescent="0.25">
      <c r="A265" s="30">
        <v>0.2953027716977592</v>
      </c>
      <c r="B265"/>
      <c r="C265"/>
      <c r="D265"/>
      <c r="E265"/>
    </row>
    <row r="266" spans="1:43" x14ac:dyDescent="0.25">
      <c r="A266" s="30">
        <v>0.28124073495024676</v>
      </c>
      <c r="B266"/>
      <c r="C266"/>
      <c r="D266"/>
      <c r="E266"/>
    </row>
    <row r="267" spans="1:43" x14ac:dyDescent="0.25">
      <c r="A267" s="30">
        <v>0.26784831900023492</v>
      </c>
      <c r="B267"/>
      <c r="C267"/>
      <c r="D267"/>
      <c r="E267"/>
    </row>
    <row r="268" spans="1:43" x14ac:dyDescent="0.25">
      <c r="A268" s="30">
        <v>0.25509363714308075</v>
      </c>
      <c r="B268"/>
      <c r="C268"/>
      <c r="D268"/>
      <c r="E268"/>
    </row>
    <row r="269" spans="1:43" x14ac:dyDescent="0.25">
      <c r="A269" s="30">
        <v>0.24294632108864825</v>
      </c>
      <c r="B269"/>
      <c r="C269"/>
      <c r="D269"/>
      <c r="E269"/>
    </row>
    <row r="270" spans="1:43" x14ac:dyDescent="0.25">
      <c r="A270" s="30">
        <v>0.23137744865585538</v>
      </c>
      <c r="B270"/>
      <c r="C270"/>
      <c r="D270"/>
      <c r="E270"/>
    </row>
    <row r="271" spans="1:43" x14ac:dyDescent="0.25">
      <c r="A271" s="30">
        <v>0.22035947491033836</v>
      </c>
      <c r="B271"/>
      <c r="C271"/>
      <c r="D271"/>
      <c r="E271"/>
    </row>
    <row r="272" spans="1:43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51" operator="equal">
      <formula>$U$1</formula>
    </cfRule>
    <cfRule type="cellIs" dxfId="67" priority="1452" operator="equal">
      <formula>$S$1</formula>
    </cfRule>
  </conditionalFormatting>
  <conditionalFormatting sqref="D136">
    <cfRule type="cellIs" dxfId="66" priority="1449" operator="equal">
      <formula>$S$1</formula>
    </cfRule>
    <cfRule type="cellIs" dxfId="65" priority="1450" operator="equal">
      <formula>$U$1</formula>
    </cfRule>
  </conditionalFormatting>
  <conditionalFormatting sqref="C162">
    <cfRule type="cellIs" dxfId="64" priority="1447" operator="equal">
      <formula>$U$1</formula>
    </cfRule>
    <cfRule type="cellIs" dxfId="63" priority="1448" operator="equal">
      <formula>$S$1</formula>
    </cfRule>
  </conditionalFormatting>
  <conditionalFormatting sqref="D162">
    <cfRule type="cellIs" dxfId="62" priority="1445" operator="equal">
      <formula>$S$1</formula>
    </cfRule>
    <cfRule type="cellIs" dxfId="61" priority="1446" operator="equal">
      <formula>$U$1</formula>
    </cfRule>
  </conditionalFormatting>
  <conditionalFormatting sqref="C187">
    <cfRule type="cellIs" dxfId="60" priority="1443" operator="equal">
      <formula>$U$1</formula>
    </cfRule>
    <cfRule type="cellIs" dxfId="59" priority="1444" operator="equal">
      <formula>$S$1</formula>
    </cfRule>
  </conditionalFormatting>
  <conditionalFormatting sqref="D187">
    <cfRule type="cellIs" dxfId="58" priority="1441" operator="equal">
      <formula>$S$1</formula>
    </cfRule>
    <cfRule type="cellIs" dxfId="57" priority="1442" operator="equal">
      <formula>$U$1</formula>
    </cfRule>
  </conditionalFormatting>
  <conditionalFormatting sqref="C212">
    <cfRule type="cellIs" dxfId="56" priority="1439" operator="equal">
      <formula>$U$1</formula>
    </cfRule>
    <cfRule type="cellIs" dxfId="55" priority="1440" operator="equal">
      <formula>$S$1</formula>
    </cfRule>
  </conditionalFormatting>
  <conditionalFormatting sqref="D212">
    <cfRule type="cellIs" dxfId="54" priority="1437" operator="equal">
      <formula>$S$1</formula>
    </cfRule>
    <cfRule type="cellIs" dxfId="53" priority="1438" operator="equal">
      <formula>$U$1</formula>
    </cfRule>
  </conditionalFormatting>
  <conditionalFormatting sqref="C237">
    <cfRule type="cellIs" dxfId="52" priority="1435" operator="equal">
      <formula>$U$1</formula>
    </cfRule>
    <cfRule type="cellIs" dxfId="51" priority="1436" operator="equal">
      <formula>$S$1</formula>
    </cfRule>
  </conditionalFormatting>
  <conditionalFormatting sqref="D237">
    <cfRule type="cellIs" dxfId="50" priority="1433" operator="equal">
      <formula>$S$1</formula>
    </cfRule>
    <cfRule type="cellIs" dxfId="49" priority="1434" operator="equal">
      <formula>$U$1</formula>
    </cfRule>
  </conditionalFormatting>
  <conditionalFormatting sqref="C106">
    <cfRule type="cellIs" dxfId="48" priority="1431" operator="equal">
      <formula>$U$1</formula>
    </cfRule>
    <cfRule type="cellIs" dxfId="47" priority="1432" operator="equal">
      <formula>$S$1</formula>
    </cfRule>
  </conditionalFormatting>
  <conditionalFormatting sqref="D106">
    <cfRule type="cellIs" dxfId="46" priority="1429" operator="equal">
      <formula>$S$1</formula>
    </cfRule>
    <cfRule type="cellIs" dxfId="45" priority="1430" operator="equal">
      <formula>$U$1</formula>
    </cfRule>
  </conditionalFormatting>
  <conditionalFormatting sqref="C81">
    <cfRule type="cellIs" dxfId="44" priority="1427" operator="equal">
      <formula>$U$1</formula>
    </cfRule>
    <cfRule type="cellIs" dxfId="43" priority="1428" operator="equal">
      <formula>$S$1</formula>
    </cfRule>
  </conditionalFormatting>
  <conditionalFormatting sqref="D81">
    <cfRule type="cellIs" dxfId="42" priority="1425" operator="equal">
      <formula>$S$1</formula>
    </cfRule>
    <cfRule type="cellIs" dxfId="41" priority="1426" operator="equal">
      <formula>$U$1</formula>
    </cfRule>
  </conditionalFormatting>
  <conditionalFormatting sqref="C56">
    <cfRule type="cellIs" dxfId="40" priority="1423" operator="equal">
      <formula>$U$1</formula>
    </cfRule>
    <cfRule type="cellIs" dxfId="39" priority="1424" operator="equal">
      <formula>$S$1</formula>
    </cfRule>
  </conditionalFormatting>
  <conditionalFormatting sqref="D56">
    <cfRule type="cellIs" dxfId="38" priority="1421" operator="equal">
      <formula>$S$1</formula>
    </cfRule>
    <cfRule type="cellIs" dxfId="37" priority="1422" operator="equal">
      <formula>$U$1</formula>
    </cfRule>
  </conditionalFormatting>
  <conditionalFormatting sqref="C31">
    <cfRule type="cellIs" dxfId="36" priority="1419" operator="equal">
      <formula>$U$1</formula>
    </cfRule>
    <cfRule type="cellIs" dxfId="35" priority="1420" operator="equal">
      <formula>$S$1</formula>
    </cfRule>
  </conditionalFormatting>
  <conditionalFormatting sqref="D31">
    <cfRule type="cellIs" dxfId="34" priority="1417" operator="equal">
      <formula>$S$1</formula>
    </cfRule>
    <cfRule type="cellIs" dxfId="33" priority="141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5" zoomScale="90" zoomScaleNormal="90" workbookViewId="0">
      <pane xSplit="4" topLeftCell="G1" activePane="topRight" state="frozen"/>
      <selection activeCell="A109" sqref="A109"/>
      <selection pane="topRight" activeCell="AX107" sqref="AX10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6" x14ac:dyDescent="0.25">
      <c r="A81" s="30">
        <v>45.259255568176073</v>
      </c>
      <c r="E81"/>
    </row>
    <row r="82" spans="1:46" x14ac:dyDescent="0.25">
      <c r="A82" s="30">
        <v>41.144777789250973</v>
      </c>
      <c r="E82"/>
    </row>
    <row r="83" spans="1:46" x14ac:dyDescent="0.25">
      <c r="A83" s="30">
        <v>37.404343444773609</v>
      </c>
      <c r="E83"/>
    </row>
    <row r="84" spans="1:46" x14ac:dyDescent="0.25">
      <c r="A84" s="30">
        <v>34.003948586157826</v>
      </c>
      <c r="E84"/>
    </row>
    <row r="85" spans="1:46" x14ac:dyDescent="0.25">
      <c r="A85" s="30">
        <v>30.912680532870748</v>
      </c>
      <c r="E85"/>
    </row>
    <row r="86" spans="1:46" x14ac:dyDescent="0.25">
      <c r="A86" s="30">
        <v>28.102436848064315</v>
      </c>
      <c r="E86"/>
    </row>
    <row r="87" spans="1:46" x14ac:dyDescent="0.25">
      <c r="A87" s="30">
        <v>25.547669861876649</v>
      </c>
      <c r="E87"/>
    </row>
    <row r="88" spans="1:46" x14ac:dyDescent="0.25">
      <c r="A88" s="30">
        <v>23.225154419887861</v>
      </c>
      <c r="E88"/>
    </row>
    <row r="89" spans="1:46" x14ac:dyDescent="0.25">
      <c r="A89" s="30">
        <v>21.113776745352599</v>
      </c>
      <c r="E89"/>
    </row>
    <row r="90" spans="1:46" x14ac:dyDescent="0.25">
      <c r="A90" s="30">
        <v>19.194342495775089</v>
      </c>
      <c r="E90"/>
      <c r="AS90" s="27" t="s">
        <v>8</v>
      </c>
    </row>
    <row r="91" spans="1:46" x14ac:dyDescent="0.25">
      <c r="A91" s="30">
        <v>17.449402268886445</v>
      </c>
      <c r="E91"/>
      <c r="AQ91" s="27" t="s">
        <v>8</v>
      </c>
      <c r="AS91" s="27" t="s">
        <v>8</v>
      </c>
      <c r="AT91" s="27" t="s">
        <v>7</v>
      </c>
    </row>
    <row r="92" spans="1:46" x14ac:dyDescent="0.25">
      <c r="A92" s="30">
        <v>15.863092971714948</v>
      </c>
      <c r="C92" s="1" t="s">
        <v>15</v>
      </c>
      <c r="E92"/>
      <c r="AQ92" s="27" t="s">
        <v>8</v>
      </c>
      <c r="AR92" s="27" t="s">
        <v>7</v>
      </c>
      <c r="AS92" s="27" t="s">
        <v>8</v>
      </c>
      <c r="AT92" s="27" t="s">
        <v>7</v>
      </c>
    </row>
    <row r="93" spans="1:46" x14ac:dyDescent="0.25">
      <c r="A93" s="30">
        <v>14.420993610649951</v>
      </c>
      <c r="C93" s="7">
        <v>0.11167815779424731</v>
      </c>
      <c r="D93"/>
      <c r="E93"/>
      <c r="AE93" s="31" t="s">
        <v>8</v>
      </c>
      <c r="AQ93" s="27" t="s">
        <v>8</v>
      </c>
      <c r="AR93" s="27" t="s">
        <v>7</v>
      </c>
      <c r="AS93" s="27" t="s">
        <v>8</v>
      </c>
      <c r="AT93" s="27" t="s">
        <v>7</v>
      </c>
    </row>
    <row r="94" spans="1:46" x14ac:dyDescent="0.25">
      <c r="A94" s="30">
        <v>13.109994191499954</v>
      </c>
      <c r="E94"/>
      <c r="AE94" s="27" t="s">
        <v>8</v>
      </c>
      <c r="AF94" s="31" t="s">
        <v>7</v>
      </c>
      <c r="AQ94" s="27" t="s">
        <v>8</v>
      </c>
      <c r="AR94" s="27" t="s">
        <v>7</v>
      </c>
      <c r="AS94" s="27" t="s">
        <v>8</v>
      </c>
      <c r="AT94" s="27" t="s">
        <v>7</v>
      </c>
    </row>
    <row r="95" spans="1:46" x14ac:dyDescent="0.25">
      <c r="A95" s="30">
        <v>11.918176537727231</v>
      </c>
      <c r="C95" s="1" t="s">
        <v>11</v>
      </c>
      <c r="D95" s="1" t="s">
        <v>12</v>
      </c>
      <c r="E95"/>
      <c r="AE95" s="27" t="s">
        <v>8</v>
      </c>
      <c r="AF95" s="27" t="s">
        <v>7</v>
      </c>
      <c r="AG95" s="31"/>
      <c r="AQ95" s="27" t="s">
        <v>8</v>
      </c>
      <c r="AR95" s="27" t="s">
        <v>7</v>
      </c>
      <c r="AT95" s="27" t="s">
        <v>7</v>
      </c>
    </row>
    <row r="96" spans="1:46" x14ac:dyDescent="0.25">
      <c r="A96" s="30">
        <v>10.834705943388391</v>
      </c>
      <c r="C96"/>
      <c r="D96"/>
      <c r="E96"/>
      <c r="AC96" s="27" t="s">
        <v>8</v>
      </c>
      <c r="AE96" s="27" t="s">
        <v>8</v>
      </c>
      <c r="AF96" s="27" t="s">
        <v>7</v>
      </c>
      <c r="AH96" s="31"/>
      <c r="AO96" s="27" t="s">
        <v>8</v>
      </c>
      <c r="AQ96" s="27" t="s">
        <v>8</v>
      </c>
      <c r="AT96" s="27" t="s">
        <v>7</v>
      </c>
    </row>
    <row r="97" spans="1:50" x14ac:dyDescent="0.25">
      <c r="A97" s="30">
        <v>9.849732675807628</v>
      </c>
      <c r="E97"/>
      <c r="AC97" s="27" t="s">
        <v>8</v>
      </c>
      <c r="AD97" s="27" t="s">
        <v>7</v>
      </c>
      <c r="AE97" s="27" t="s">
        <v>8</v>
      </c>
      <c r="AF97" s="27" t="s">
        <v>7</v>
      </c>
      <c r="AI97" s="31"/>
      <c r="AM97" s="27" t="s">
        <v>8</v>
      </c>
      <c r="AO97" s="27" t="s">
        <v>8</v>
      </c>
      <c r="AP97" s="27" t="s">
        <v>7</v>
      </c>
      <c r="AQ97" s="27" t="s">
        <v>8</v>
      </c>
      <c r="AT97" s="27" t="s">
        <v>7</v>
      </c>
    </row>
    <row r="98" spans="1:50" x14ac:dyDescent="0.25">
      <c r="A98" s="30">
        <v>8.9543024325523888</v>
      </c>
      <c r="C98" s="1" t="s">
        <v>13</v>
      </c>
      <c r="E98"/>
      <c r="Q98" s="27" t="s">
        <v>8</v>
      </c>
      <c r="AC98" s="27" t="s">
        <v>8</v>
      </c>
      <c r="AD98" s="27" t="s">
        <v>7</v>
      </c>
      <c r="AE98" s="27" t="s">
        <v>8</v>
      </c>
      <c r="AF98" s="27" t="s">
        <v>7</v>
      </c>
      <c r="AJ98" s="31"/>
      <c r="AM98" s="27" t="s">
        <v>8</v>
      </c>
      <c r="AN98" s="27" t="s">
        <v>7</v>
      </c>
      <c r="AO98" s="27" t="s">
        <v>8</v>
      </c>
      <c r="AP98" s="27" t="s">
        <v>7</v>
      </c>
      <c r="AQ98" s="27" t="s">
        <v>8</v>
      </c>
      <c r="AT98" s="27" t="s">
        <v>7</v>
      </c>
    </row>
    <row r="99" spans="1:50" x14ac:dyDescent="0.25">
      <c r="A99" s="30">
        <v>8.140274938683989</v>
      </c>
      <c r="C99" s="1">
        <f>C88</f>
        <v>0</v>
      </c>
      <c r="E99"/>
      <c r="Q99" s="27" t="s">
        <v>8</v>
      </c>
      <c r="R99" s="27" t="s">
        <v>7</v>
      </c>
      <c r="AC99" s="27" t="s">
        <v>8</v>
      </c>
      <c r="AD99" s="27" t="s">
        <v>7</v>
      </c>
      <c r="AE99" s="27" t="s">
        <v>8</v>
      </c>
      <c r="AF99" s="27" t="s">
        <v>7</v>
      </c>
      <c r="AK99" s="31"/>
      <c r="AM99" s="27" t="s">
        <v>8</v>
      </c>
      <c r="AN99" s="27" t="s">
        <v>7</v>
      </c>
      <c r="AO99" s="27" t="s">
        <v>8</v>
      </c>
      <c r="AP99" s="27" t="s">
        <v>7</v>
      </c>
      <c r="AT99" s="27" t="s">
        <v>7</v>
      </c>
    </row>
    <row r="100" spans="1:50" x14ac:dyDescent="0.25">
      <c r="A100" s="30">
        <v>7.4002499442581717</v>
      </c>
      <c r="C100"/>
      <c r="D100"/>
      <c r="E100"/>
      <c r="Q100" s="27" t="s">
        <v>8</v>
      </c>
      <c r="R100" s="27" t="s">
        <v>7</v>
      </c>
      <c r="AA100" s="27" t="s">
        <v>8</v>
      </c>
      <c r="AC100" s="27" t="s">
        <v>8</v>
      </c>
      <c r="AD100" s="27" t="s">
        <v>7</v>
      </c>
      <c r="AE100" s="27" t="s">
        <v>8</v>
      </c>
      <c r="AF100" s="27" t="s">
        <v>7</v>
      </c>
      <c r="AI100" s="27" t="s">
        <v>8</v>
      </c>
      <c r="AL100" s="31"/>
      <c r="AM100" s="27" t="s">
        <v>8</v>
      </c>
      <c r="AN100" s="27" t="s">
        <v>7</v>
      </c>
      <c r="AO100" s="27" t="s">
        <v>8</v>
      </c>
      <c r="AT100" s="27" t="s">
        <v>7</v>
      </c>
      <c r="AU100" s="27" t="s">
        <v>8</v>
      </c>
    </row>
    <row r="101" spans="1:50" x14ac:dyDescent="0.25">
      <c r="A101" s="30">
        <v>6.72749994932561</v>
      </c>
      <c r="C101" s="1" t="s">
        <v>14</v>
      </c>
      <c r="E101"/>
      <c r="Q101" s="27" t="s">
        <v>8</v>
      </c>
      <c r="R101" s="27" t="s">
        <v>7</v>
      </c>
      <c r="AA101" s="27" t="s">
        <v>8</v>
      </c>
      <c r="AB101" s="27" t="s">
        <v>7</v>
      </c>
      <c r="AC101" s="27" t="s">
        <v>8</v>
      </c>
      <c r="AD101" s="27" t="s">
        <v>7</v>
      </c>
      <c r="AE101" s="27" t="s">
        <v>8</v>
      </c>
      <c r="AF101" s="27" t="s">
        <v>7</v>
      </c>
      <c r="AG101" s="27" t="s">
        <v>8</v>
      </c>
      <c r="AI101" s="27" t="s">
        <v>8</v>
      </c>
      <c r="AJ101" s="27" t="s">
        <v>7</v>
      </c>
      <c r="AM101" s="31" t="s">
        <v>8</v>
      </c>
      <c r="AN101" s="27" t="s">
        <v>7</v>
      </c>
      <c r="AT101" s="27" t="s">
        <v>7</v>
      </c>
      <c r="AU101" s="27" t="s">
        <v>8</v>
      </c>
      <c r="AV101" s="27" t="s">
        <v>7</v>
      </c>
      <c r="AW101" s="27" t="s">
        <v>8</v>
      </c>
    </row>
    <row r="102" spans="1:5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Q102" s="27" t="s">
        <v>8</v>
      </c>
      <c r="R102" s="27" t="s">
        <v>7</v>
      </c>
      <c r="AA102" s="27" t="s">
        <v>8</v>
      </c>
      <c r="AB102" s="27" t="s">
        <v>7</v>
      </c>
      <c r="AC102" s="27" t="s">
        <v>8</v>
      </c>
      <c r="AD102" s="27" t="s">
        <v>7</v>
      </c>
      <c r="AF102" s="27" t="s">
        <v>7</v>
      </c>
      <c r="AG102" s="27" t="s">
        <v>8</v>
      </c>
      <c r="AH102" s="27" t="s">
        <v>7</v>
      </c>
      <c r="AI102" s="27" t="s">
        <v>8</v>
      </c>
      <c r="AJ102" s="27" t="s">
        <v>7</v>
      </c>
      <c r="AM102" s="27" t="s">
        <v>8</v>
      </c>
      <c r="AN102" s="31"/>
      <c r="AT102" s="27" t="s">
        <v>7</v>
      </c>
      <c r="AU102" s="27" t="s">
        <v>8</v>
      </c>
      <c r="AV102" s="27" t="s">
        <v>7</v>
      </c>
      <c r="AW102" s="27" t="s">
        <v>8</v>
      </c>
      <c r="AX102" s="27" t="s">
        <v>7</v>
      </c>
    </row>
    <row r="103" spans="1:50" x14ac:dyDescent="0.25">
      <c r="A103" s="30">
        <v>5.5599173134922388</v>
      </c>
      <c r="E103"/>
      <c r="Q103" s="27" t="s">
        <v>8</v>
      </c>
      <c r="R103" s="27" t="s">
        <v>7</v>
      </c>
      <c r="AA103" s="27" t="s">
        <v>8</v>
      </c>
      <c r="AB103" s="27" t="s">
        <v>7</v>
      </c>
      <c r="AC103" s="27" t="s">
        <v>8</v>
      </c>
      <c r="AF103" s="27" t="s">
        <v>7</v>
      </c>
      <c r="AG103" s="27" t="s">
        <v>8</v>
      </c>
      <c r="AH103" s="27" t="s">
        <v>7</v>
      </c>
      <c r="AI103" s="27" t="s">
        <v>8</v>
      </c>
      <c r="AJ103" s="27" t="s">
        <v>7</v>
      </c>
      <c r="AM103" s="27" t="s">
        <v>8</v>
      </c>
      <c r="AT103" s="27" t="s">
        <v>7</v>
      </c>
      <c r="AU103" s="27" t="s">
        <v>8</v>
      </c>
      <c r="AV103" s="27" t="s">
        <v>7</v>
      </c>
      <c r="AW103" s="27" t="s">
        <v>8</v>
      </c>
      <c r="AX103" s="27" t="s">
        <v>7</v>
      </c>
    </row>
    <row r="104" spans="1:50" x14ac:dyDescent="0.25">
      <c r="A104" s="30">
        <v>5.0544702849929442</v>
      </c>
      <c r="E104"/>
      <c r="Q104" s="27" t="s">
        <v>8</v>
      </c>
      <c r="R104" s="27" t="s">
        <v>7</v>
      </c>
      <c r="U104" s="27" t="s">
        <v>8</v>
      </c>
      <c r="AA104" s="27" t="s">
        <v>8</v>
      </c>
      <c r="AB104" s="27" t="s">
        <v>7</v>
      </c>
      <c r="AC104" s="27" t="s">
        <v>8</v>
      </c>
      <c r="AF104" s="27" t="s">
        <v>7</v>
      </c>
      <c r="AG104" s="27" t="s">
        <v>8</v>
      </c>
      <c r="AH104" s="27" t="s">
        <v>7</v>
      </c>
      <c r="AI104" s="27" t="s">
        <v>8</v>
      </c>
      <c r="AJ104" s="27" t="s">
        <v>7</v>
      </c>
      <c r="AM104" s="27" t="s">
        <v>8</v>
      </c>
      <c r="AT104" s="27" t="s">
        <v>7</v>
      </c>
      <c r="AV104" s="27" t="s">
        <v>7</v>
      </c>
      <c r="AX104" s="27" t="s">
        <v>7</v>
      </c>
    </row>
    <row r="105" spans="1:50" x14ac:dyDescent="0.25">
      <c r="A105" s="30">
        <v>4.594972986357222</v>
      </c>
      <c r="E105"/>
      <c r="Q105" s="27" t="s">
        <v>8</v>
      </c>
      <c r="R105" s="27" t="s">
        <v>7</v>
      </c>
      <c r="U105" s="27" t="s">
        <v>8</v>
      </c>
      <c r="V105" s="27" t="s">
        <v>7</v>
      </c>
      <c r="AA105" s="27" t="s">
        <v>8</v>
      </c>
      <c r="AB105" s="27" t="s">
        <v>7</v>
      </c>
      <c r="AC105" s="27" t="s">
        <v>8</v>
      </c>
      <c r="AF105" s="27" t="s">
        <v>7</v>
      </c>
      <c r="AG105" s="27" t="s">
        <v>8</v>
      </c>
      <c r="AH105" s="27" t="s">
        <v>7</v>
      </c>
      <c r="AI105" s="27" t="s">
        <v>8</v>
      </c>
      <c r="AJ105" s="27" t="s">
        <v>7</v>
      </c>
      <c r="AK105" s="27" t="s">
        <v>8</v>
      </c>
      <c r="AM105" s="27" t="s">
        <v>8</v>
      </c>
      <c r="AX105" s="27" t="s">
        <v>7</v>
      </c>
    </row>
    <row r="106" spans="1:50" x14ac:dyDescent="0.25">
      <c r="A106" s="30">
        <v>4.1772481694156562</v>
      </c>
      <c r="E106"/>
      <c r="Q106" s="27" t="s">
        <v>8</v>
      </c>
      <c r="R106" s="27" t="s">
        <v>7</v>
      </c>
      <c r="S106" s="27" t="s">
        <v>8</v>
      </c>
      <c r="U106" s="27" t="s">
        <v>8</v>
      </c>
      <c r="V106" s="27" t="s">
        <v>7</v>
      </c>
      <c r="Y106" s="27" t="s">
        <v>8</v>
      </c>
      <c r="AA106" s="27" t="s">
        <v>8</v>
      </c>
      <c r="AB106" s="27" t="s">
        <v>7</v>
      </c>
      <c r="AC106" s="27" t="s">
        <v>8</v>
      </c>
      <c r="AF106" s="27" t="s">
        <v>7</v>
      </c>
      <c r="AH106" s="27" t="s">
        <v>7</v>
      </c>
      <c r="AI106" s="27" t="s">
        <v>8</v>
      </c>
      <c r="AJ106" s="27" t="s">
        <v>7</v>
      </c>
      <c r="AK106" s="27" t="s">
        <v>8</v>
      </c>
      <c r="AL106" s="27" t="s">
        <v>7</v>
      </c>
      <c r="AM106" s="27" t="s">
        <v>8</v>
      </c>
      <c r="AX106" s="27" t="s">
        <v>7</v>
      </c>
    </row>
    <row r="107" spans="1:50" x14ac:dyDescent="0.25">
      <c r="A107" s="30">
        <v>3.7974983358324148</v>
      </c>
      <c r="E107"/>
      <c r="Q107" s="27" t="s">
        <v>8</v>
      </c>
      <c r="R107" s="27" t="s">
        <v>7</v>
      </c>
      <c r="S107" s="27" t="s">
        <v>8</v>
      </c>
      <c r="T107" s="27" t="s">
        <v>7</v>
      </c>
      <c r="U107" s="27" t="s">
        <v>8</v>
      </c>
      <c r="V107" s="27" t="s">
        <v>7</v>
      </c>
      <c r="W107" s="27" t="s">
        <v>8</v>
      </c>
      <c r="Y107" s="27" t="s">
        <v>8</v>
      </c>
      <c r="Z107" s="27" t="s">
        <v>7</v>
      </c>
      <c r="AA107" s="27" t="s">
        <v>8</v>
      </c>
      <c r="AB107" s="27" t="s">
        <v>7</v>
      </c>
      <c r="AH107" s="27" t="s">
        <v>7</v>
      </c>
      <c r="AI107" s="27" t="s">
        <v>8</v>
      </c>
      <c r="AJ107" s="27" t="s">
        <v>7</v>
      </c>
      <c r="AK107" s="27" t="s">
        <v>8</v>
      </c>
      <c r="AL107" s="27" t="s">
        <v>7</v>
      </c>
      <c r="AM107" s="27" t="s">
        <v>8</v>
      </c>
      <c r="AX107" s="27" t="s">
        <v>7</v>
      </c>
    </row>
    <row r="108" spans="1:50" x14ac:dyDescent="0.25">
      <c r="A108" s="30">
        <v>3.4522712143931042</v>
      </c>
      <c r="E108"/>
      <c r="Q108" s="27" t="s">
        <v>8</v>
      </c>
      <c r="R108" s="27" t="s">
        <v>7</v>
      </c>
      <c r="S108" s="27" t="s">
        <v>8</v>
      </c>
      <c r="T108" s="27" t="s">
        <v>7</v>
      </c>
      <c r="U108" s="27" t="s">
        <v>8</v>
      </c>
      <c r="V108" s="27" t="s">
        <v>7</v>
      </c>
      <c r="W108" s="27" t="s">
        <v>8</v>
      </c>
      <c r="X108" s="27" t="s">
        <v>7</v>
      </c>
      <c r="Y108" s="27" t="s">
        <v>8</v>
      </c>
      <c r="Z108" s="27" t="s">
        <v>7</v>
      </c>
      <c r="AA108" s="27" t="s">
        <v>8</v>
      </c>
      <c r="AH108" s="27" t="s">
        <v>7</v>
      </c>
      <c r="AJ108" s="27" t="s">
        <v>7</v>
      </c>
      <c r="AK108" s="27" t="s">
        <v>8</v>
      </c>
      <c r="AL108" s="18" t="s">
        <v>7</v>
      </c>
      <c r="AM108" s="27" t="s">
        <v>8</v>
      </c>
    </row>
    <row r="109" spans="1:50" x14ac:dyDescent="0.25">
      <c r="A109" s="30">
        <v>3.1384283767210035</v>
      </c>
      <c r="E109"/>
      <c r="G109" s="27" t="s">
        <v>8</v>
      </c>
      <c r="Q109" s="27" t="s">
        <v>8</v>
      </c>
      <c r="R109" s="27" t="s">
        <v>7</v>
      </c>
      <c r="S109" s="27" t="s">
        <v>8</v>
      </c>
      <c r="T109" s="27" t="s">
        <v>7</v>
      </c>
      <c r="U109" s="27" t="s">
        <v>8</v>
      </c>
      <c r="V109" s="27" t="s">
        <v>7</v>
      </c>
      <c r="W109" s="27" t="s">
        <v>8</v>
      </c>
      <c r="X109" s="27" t="s">
        <v>7</v>
      </c>
      <c r="Y109" s="27" t="s">
        <v>8</v>
      </c>
      <c r="Z109" s="27" t="s">
        <v>7</v>
      </c>
      <c r="AJ109" s="27" t="s">
        <v>7</v>
      </c>
      <c r="AL109" s="27" t="s">
        <v>7</v>
      </c>
    </row>
    <row r="110" spans="1:50" x14ac:dyDescent="0.25">
      <c r="A110" s="30">
        <v>2.8531167061100029</v>
      </c>
      <c r="E110"/>
      <c r="G110" s="27" t="s">
        <v>8</v>
      </c>
      <c r="H110" s="27" t="s">
        <v>7</v>
      </c>
      <c r="Q110" s="27" t="s">
        <v>8</v>
      </c>
      <c r="R110" s="27" t="s">
        <v>7</v>
      </c>
      <c r="S110" s="27" t="s">
        <v>8</v>
      </c>
      <c r="T110" s="27" t="s">
        <v>7</v>
      </c>
      <c r="V110" s="27" t="s">
        <v>7</v>
      </c>
      <c r="W110" s="27" t="s">
        <v>8</v>
      </c>
      <c r="X110" s="27" t="s">
        <v>7</v>
      </c>
    </row>
    <row r="111" spans="1:50" x14ac:dyDescent="0.25">
      <c r="A111" s="30">
        <v>2.5937424601000023</v>
      </c>
      <c r="C111" s="1" t="str">
        <f>ADDRESS(C121-1,1,1,1)</f>
        <v>$A$106</v>
      </c>
      <c r="D111" s="1" t="str">
        <f>ADDRESS(C121-1,D121,1,1)</f>
        <v>$AX$106</v>
      </c>
      <c r="E111"/>
      <c r="G111" s="27" t="s">
        <v>8</v>
      </c>
      <c r="H111" s="27" t="s">
        <v>7</v>
      </c>
      <c r="Q111" s="27" t="s">
        <v>8</v>
      </c>
      <c r="R111" s="27" t="s">
        <v>7</v>
      </c>
      <c r="V111" s="27" t="s">
        <v>7</v>
      </c>
      <c r="W111" s="27" t="s">
        <v>8</v>
      </c>
    </row>
    <row r="112" spans="1:50" x14ac:dyDescent="0.25">
      <c r="A112" s="30">
        <v>2.3579476910000019</v>
      </c>
      <c r="C112" s="1" t="str">
        <f>ADDRESS(C121,1,1,1)</f>
        <v>$A$107</v>
      </c>
      <c r="D112" s="1" t="str">
        <f>ADDRESS(C121,D121-1,1,1)</f>
        <v>$AW$107</v>
      </c>
      <c r="E112" t="s">
        <v>8</v>
      </c>
      <c r="G112" s="27" t="s">
        <v>8</v>
      </c>
      <c r="H112" s="27" t="s">
        <v>7</v>
      </c>
      <c r="Q112" s="27" t="s">
        <v>8</v>
      </c>
      <c r="V112" s="27" t="s">
        <v>7</v>
      </c>
      <c r="W112" s="27" t="s">
        <v>8</v>
      </c>
    </row>
    <row r="113" spans="1:22" x14ac:dyDescent="0.25">
      <c r="A113" s="30">
        <v>2.1435888100000016</v>
      </c>
      <c r="C113" s="1" t="str">
        <f>ADDRESS(C121+1,1,1,1)</f>
        <v>$A$108</v>
      </c>
      <c r="D113" s="1" t="str">
        <f>ADDRESS(C121-1,D121+1,1,1)</f>
        <v>$AY$106</v>
      </c>
      <c r="E113" s="1" t="s">
        <v>8</v>
      </c>
      <c r="F113" s="27" t="s">
        <v>7</v>
      </c>
      <c r="G113" s="27" t="s">
        <v>8</v>
      </c>
      <c r="H113" s="27" t="s">
        <v>7</v>
      </c>
      <c r="O113" s="27" t="s">
        <v>8</v>
      </c>
      <c r="Q113" s="27" t="s">
        <v>8</v>
      </c>
      <c r="V113" s="27" t="s">
        <v>7</v>
      </c>
    </row>
    <row r="114" spans="1:22" x14ac:dyDescent="0.25">
      <c r="A114" s="30">
        <v>1.9487171000000014</v>
      </c>
      <c r="C114" s="1" t="str">
        <f>ADDRESS(C121,D121,1,1)</f>
        <v>$AX$107</v>
      </c>
      <c r="D114" s="1" t="str">
        <f>ADDRESS(C121+1,D121+1,1,1)</f>
        <v>$AY$108</v>
      </c>
      <c r="E114" s="1" t="s">
        <v>8</v>
      </c>
      <c r="F114" s="27" t="s">
        <v>7</v>
      </c>
      <c r="G114" s="27" t="s">
        <v>8</v>
      </c>
      <c r="H114" s="27" t="s">
        <v>7</v>
      </c>
      <c r="O114" s="27" t="s">
        <v>8</v>
      </c>
      <c r="P114" s="27" t="s">
        <v>7</v>
      </c>
      <c r="Q114" s="27" t="s">
        <v>8</v>
      </c>
    </row>
    <row r="115" spans="1:22" x14ac:dyDescent="0.25">
      <c r="A115" s="30">
        <v>1.7715610000000011</v>
      </c>
      <c r="C115" s="1" t="str">
        <f>ADDRESS(C121+1,D121,1,1)</f>
        <v>$AX$108</v>
      </c>
      <c r="E115" s="1" t="s">
        <v>8</v>
      </c>
      <c r="F115" s="27" t="s">
        <v>7</v>
      </c>
      <c r="G115" s="27" t="s">
        <v>8</v>
      </c>
      <c r="H115" s="27" t="s">
        <v>7</v>
      </c>
      <c r="I115" s="27" t="s">
        <v>8</v>
      </c>
      <c r="O115" s="27" t="s">
        <v>8</v>
      </c>
      <c r="P115" s="27" t="s">
        <v>7</v>
      </c>
      <c r="Q115" s="27" t="s">
        <v>8</v>
      </c>
    </row>
    <row r="116" spans="1:22" x14ac:dyDescent="0.25">
      <c r="A116" s="30">
        <v>1.6105100000000008</v>
      </c>
      <c r="C116" s="1">
        <f>C117-1</f>
        <v>106</v>
      </c>
      <c r="E116" s="1" t="s">
        <v>8</v>
      </c>
      <c r="F116" s="27" t="s">
        <v>7</v>
      </c>
      <c r="G116" s="27" t="s">
        <v>8</v>
      </c>
      <c r="H116" s="27" t="s">
        <v>7</v>
      </c>
      <c r="I116" s="27" t="s">
        <v>8</v>
      </c>
      <c r="J116" s="27" t="s">
        <v>7</v>
      </c>
      <c r="O116" s="27" t="s">
        <v>8</v>
      </c>
      <c r="P116" s="27" t="s">
        <v>7</v>
      </c>
      <c r="Q116" s="27" t="s">
        <v>8</v>
      </c>
    </row>
    <row r="117" spans="1:22" x14ac:dyDescent="0.25">
      <c r="A117" s="30">
        <v>1.4641000000000006</v>
      </c>
      <c r="C117" s="1">
        <f>C121</f>
        <v>107</v>
      </c>
      <c r="D117" s="1">
        <f>D121</f>
        <v>50</v>
      </c>
      <c r="E117" s="1" t="s">
        <v>8</v>
      </c>
      <c r="F117" s="27" t="s">
        <v>7</v>
      </c>
      <c r="H117" s="27" t="s">
        <v>7</v>
      </c>
      <c r="I117" s="27" t="s">
        <v>8</v>
      </c>
      <c r="J117" s="27" t="s">
        <v>7</v>
      </c>
      <c r="M117" s="27" t="s">
        <v>8</v>
      </c>
      <c r="O117" s="27" t="s">
        <v>8</v>
      </c>
      <c r="P117" s="27" t="s">
        <v>7</v>
      </c>
      <c r="Q117" s="27" t="s">
        <v>8</v>
      </c>
    </row>
    <row r="118" spans="1:22" x14ac:dyDescent="0.25">
      <c r="A118" s="30">
        <v>1.3310000000000004</v>
      </c>
      <c r="C118" s="1">
        <f>C117+1</f>
        <v>108</v>
      </c>
      <c r="D118" s="1">
        <f>D117+1</f>
        <v>51</v>
      </c>
      <c r="E118" s="1" t="s">
        <v>8</v>
      </c>
      <c r="H118" s="27" t="s">
        <v>7</v>
      </c>
      <c r="J118" s="27" t="s">
        <v>7</v>
      </c>
      <c r="M118" s="27" t="s">
        <v>8</v>
      </c>
      <c r="N118" s="27" t="s">
        <v>7</v>
      </c>
      <c r="O118" s="27" t="s">
        <v>8</v>
      </c>
      <c r="P118" s="27" t="s">
        <v>7</v>
      </c>
    </row>
    <row r="119" spans="1:22" x14ac:dyDescent="0.25">
      <c r="A119" s="30">
        <v>1.2100000000000002</v>
      </c>
      <c r="E119" s="1" t="s">
        <v>8</v>
      </c>
      <c r="J119" s="27" t="s">
        <v>7</v>
      </c>
      <c r="M119" s="27" t="s">
        <v>8</v>
      </c>
      <c r="N119" s="27" t="s">
        <v>7</v>
      </c>
      <c r="O119" s="27" t="s">
        <v>8</v>
      </c>
    </row>
    <row r="120" spans="1:22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K120" s="27" t="s">
        <v>8</v>
      </c>
      <c r="M120" s="27" t="s">
        <v>8</v>
      </c>
      <c r="N120" s="27" t="s">
        <v>7</v>
      </c>
      <c r="O120" s="27" t="s">
        <v>8</v>
      </c>
    </row>
    <row r="121" spans="1:22" x14ac:dyDescent="0.25">
      <c r="A121" s="30">
        <v>1</v>
      </c>
      <c r="C121" s="18">
        <v>107</v>
      </c>
      <c r="D121" s="19">
        <v>50</v>
      </c>
      <c r="E121" s="18" t="s">
        <v>8</v>
      </c>
      <c r="J121" s="27" t="s">
        <v>7</v>
      </c>
      <c r="K121" s="27" t="s">
        <v>8</v>
      </c>
      <c r="L121" s="27" t="s">
        <v>7</v>
      </c>
      <c r="M121" s="27" t="s">
        <v>8</v>
      </c>
      <c r="N121" s="27" t="s">
        <v>7</v>
      </c>
      <c r="O121" s="27" t="s">
        <v>8</v>
      </c>
    </row>
    <row r="122" spans="1:22" x14ac:dyDescent="0.25">
      <c r="A122" s="30">
        <v>0.90909090909090895</v>
      </c>
      <c r="C122" s="1" t="str">
        <f>INDEX(1:1048576,C117,D117)</f>
        <v>O</v>
      </c>
      <c r="J122" s="27" t="s">
        <v>7</v>
      </c>
      <c r="K122" s="27" t="s">
        <v>8</v>
      </c>
      <c r="L122" s="27" t="s">
        <v>7</v>
      </c>
      <c r="M122" s="27" t="s">
        <v>8</v>
      </c>
      <c r="N122" s="27" t="s">
        <v>7</v>
      </c>
      <c r="O122" s="27" t="s">
        <v>8</v>
      </c>
    </row>
    <row r="123" spans="1:22" x14ac:dyDescent="0.25">
      <c r="A123" s="30">
        <v>0.82644628099173523</v>
      </c>
      <c r="C123" s="1" t="str">
        <f>"R"&amp;C121</f>
        <v>R107</v>
      </c>
      <c r="D123" s="1" t="str">
        <f>"C"&amp;D121</f>
        <v>C50</v>
      </c>
      <c r="J123" s="27" t="s">
        <v>7</v>
      </c>
      <c r="K123" s="27" t="s">
        <v>8</v>
      </c>
      <c r="L123" s="27" t="s">
        <v>7</v>
      </c>
      <c r="M123" s="27" t="s">
        <v>8</v>
      </c>
      <c r="N123" s="27" t="s">
        <v>7</v>
      </c>
      <c r="O123" s="27" t="s">
        <v>8</v>
      </c>
    </row>
    <row r="124" spans="1:22" x14ac:dyDescent="0.25">
      <c r="A124" s="30">
        <v>0.75131480090157732</v>
      </c>
      <c r="C124" s="1">
        <f>SUM(C130:D130)</f>
        <v>0</v>
      </c>
      <c r="D124" s="1">
        <f>IF(C124=0,0,1)</f>
        <v>0</v>
      </c>
      <c r="J124" s="27" t="s">
        <v>7</v>
      </c>
      <c r="L124" s="27" t="s">
        <v>7</v>
      </c>
      <c r="M124" s="27" t="s">
        <v>8</v>
      </c>
      <c r="N124" s="27" t="s">
        <v>7</v>
      </c>
      <c r="O124" s="27" t="s">
        <v>8</v>
      </c>
    </row>
    <row r="125" spans="1:22" x14ac:dyDescent="0.25">
      <c r="A125" s="30">
        <v>0.68301345536507019</v>
      </c>
      <c r="L125" s="27" t="s">
        <v>7</v>
      </c>
      <c r="M125" s="27" t="s">
        <v>8</v>
      </c>
      <c r="N125" s="27" t="s">
        <v>7</v>
      </c>
      <c r="O125" s="27" t="s">
        <v>8</v>
      </c>
    </row>
    <row r="126" spans="1:22" x14ac:dyDescent="0.25">
      <c r="A126" s="30">
        <v>0.6209213230591546</v>
      </c>
      <c r="C126" s="1" t="s">
        <v>10</v>
      </c>
      <c r="L126" s="27" t="s">
        <v>7</v>
      </c>
      <c r="N126" s="27" t="s">
        <v>7</v>
      </c>
      <c r="O126" s="27" t="s">
        <v>8</v>
      </c>
    </row>
    <row r="127" spans="1:22" x14ac:dyDescent="0.25">
      <c r="A127" s="30">
        <v>0.56447393005377677</v>
      </c>
      <c r="C127" s="30">
        <v>3.7974983358324148</v>
      </c>
      <c r="D127"/>
      <c r="N127" s="27" t="s">
        <v>7</v>
      </c>
      <c r="O127" s="27" t="s">
        <v>8</v>
      </c>
    </row>
    <row r="128" spans="1:22" x14ac:dyDescent="0.25">
      <c r="A128" s="30">
        <v>0.51315811823070612</v>
      </c>
      <c r="N128" s="27" t="s">
        <v>7</v>
      </c>
      <c r="O128" s="27" t="s">
        <v>8</v>
      </c>
    </row>
    <row r="129" spans="1:15" x14ac:dyDescent="0.25">
      <c r="A129" s="30">
        <v>0.46650738020973276</v>
      </c>
      <c r="C129" s="1" t="s">
        <v>11</v>
      </c>
      <c r="D129" s="1" t="s">
        <v>12</v>
      </c>
      <c r="E129"/>
      <c r="N129" s="27" t="s">
        <v>7</v>
      </c>
      <c r="O129" s="27" t="s">
        <v>8</v>
      </c>
    </row>
    <row r="130" spans="1:15" x14ac:dyDescent="0.25">
      <c r="A130" s="30">
        <v>0.42409761837248428</v>
      </c>
      <c r="C130" s="6"/>
      <c r="D130" s="6"/>
      <c r="E130"/>
      <c r="N130" s="27" t="s">
        <v>7</v>
      </c>
      <c r="O130" s="27" t="s">
        <v>8</v>
      </c>
    </row>
    <row r="131" spans="1:15" x14ac:dyDescent="0.25">
      <c r="A131" s="30">
        <v>0.38554328942953109</v>
      </c>
      <c r="E131"/>
      <c r="N131" s="27" t="s">
        <v>7</v>
      </c>
      <c r="O131" s="27" t="s">
        <v>8</v>
      </c>
    </row>
    <row r="132" spans="1:15" x14ac:dyDescent="0.25">
      <c r="A132" s="30">
        <v>0.35049389948139187</v>
      </c>
      <c r="C132" s="1" t="s">
        <v>13</v>
      </c>
      <c r="E132"/>
      <c r="N132" s="27" t="s">
        <v>7</v>
      </c>
      <c r="O132" s="27" t="s">
        <v>8</v>
      </c>
    </row>
    <row r="133" spans="1:15" x14ac:dyDescent="0.25">
      <c r="A133" s="30">
        <v>0.31863081771035617</v>
      </c>
      <c r="C133" s="1" t="str">
        <f>C122</f>
        <v>O</v>
      </c>
      <c r="E133"/>
      <c r="N133" s="27" t="s">
        <v>7</v>
      </c>
    </row>
    <row r="134" spans="1:15" x14ac:dyDescent="0.25">
      <c r="A134" s="30">
        <v>0.28966437973668741</v>
      </c>
      <c r="C134"/>
      <c r="D134"/>
      <c r="E134"/>
    </row>
    <row r="135" spans="1:15" x14ac:dyDescent="0.25">
      <c r="A135" s="30">
        <v>0.2633312543060794</v>
      </c>
      <c r="C135" s="1" t="s">
        <v>14</v>
      </c>
      <c r="E135"/>
    </row>
    <row r="136" spans="1:1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15" x14ac:dyDescent="0.25">
      <c r="A137" s="30">
        <v>0.2176291357901482</v>
      </c>
      <c r="E137"/>
    </row>
    <row r="138" spans="1:1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15" x14ac:dyDescent="0.25">
      <c r="A139" s="30">
        <v>0.17985878990921333</v>
      </c>
      <c r="E139"/>
    </row>
    <row r="140" spans="1:15" x14ac:dyDescent="0.25">
      <c r="A140" s="30">
        <v>0.16350799082655756</v>
      </c>
      <c r="C140" s="1">
        <v>0</v>
      </c>
      <c r="E140"/>
    </row>
    <row r="141" spans="1:15" x14ac:dyDescent="0.25">
      <c r="A141" s="30">
        <v>0.14864362802414322</v>
      </c>
      <c r="C141" s="1">
        <v>1</v>
      </c>
      <c r="E141"/>
    </row>
    <row r="142" spans="1:15" x14ac:dyDescent="0.25">
      <c r="A142" s="30">
        <v>0.13513057093103928</v>
      </c>
      <c r="C142" s="1">
        <v>2</v>
      </c>
      <c r="E142"/>
    </row>
    <row r="143" spans="1:15" x14ac:dyDescent="0.25">
      <c r="A143" s="30">
        <v>0.12284597357367205</v>
      </c>
      <c r="C143" s="1">
        <v>3</v>
      </c>
      <c r="E143"/>
    </row>
    <row r="144" spans="1:1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35" operator="equal">
      <formula>$U$1</formula>
    </cfRule>
    <cfRule type="cellIs" dxfId="30" priority="1436" operator="equal">
      <formula>$S$1</formula>
    </cfRule>
  </conditionalFormatting>
  <conditionalFormatting sqref="D136">
    <cfRule type="cellIs" dxfId="29" priority="1433" operator="equal">
      <formula>$S$1</formula>
    </cfRule>
    <cfRule type="cellIs" dxfId="28" priority="1434" operator="equal">
      <formula>$U$1</formula>
    </cfRule>
  </conditionalFormatting>
  <conditionalFormatting sqref="C102">
    <cfRule type="cellIs" dxfId="27" priority="1431" operator="equal">
      <formula>$U$1</formula>
    </cfRule>
    <cfRule type="cellIs" dxfId="26" priority="1432" operator="equal">
      <formula>$S$1</formula>
    </cfRule>
  </conditionalFormatting>
  <conditionalFormatting sqref="D102">
    <cfRule type="cellIs" dxfId="25" priority="1429" operator="equal">
      <formula>$S$1</formula>
    </cfRule>
    <cfRule type="cellIs" dxfId="24" priority="1430" operator="equal">
      <formula>$U$1</formula>
    </cfRule>
  </conditionalFormatting>
  <conditionalFormatting sqref="C77">
    <cfRule type="cellIs" dxfId="23" priority="1427" operator="equal">
      <formula>$U$1</formula>
    </cfRule>
    <cfRule type="cellIs" dxfId="22" priority="1428" operator="equal">
      <formula>$S$1</formula>
    </cfRule>
  </conditionalFormatting>
  <conditionalFormatting sqref="D77">
    <cfRule type="cellIs" dxfId="21" priority="1425" operator="equal">
      <formula>$S$1</formula>
    </cfRule>
    <cfRule type="cellIs" dxfId="20" priority="1426" operator="equal">
      <formula>$U$1</formula>
    </cfRule>
  </conditionalFormatting>
  <conditionalFormatting sqref="C52">
    <cfRule type="cellIs" dxfId="19" priority="1423" operator="equal">
      <formula>$U$1</formula>
    </cfRule>
    <cfRule type="cellIs" dxfId="18" priority="1424" operator="equal">
      <formula>$S$1</formula>
    </cfRule>
  </conditionalFormatting>
  <conditionalFormatting sqref="D52">
    <cfRule type="cellIs" dxfId="17" priority="1421" operator="equal">
      <formula>$S$1</formula>
    </cfRule>
    <cfRule type="cellIs" dxfId="16" priority="1422" operator="equal">
      <formula>$U$1</formula>
    </cfRule>
  </conditionalFormatting>
  <conditionalFormatting sqref="C26">
    <cfRule type="cellIs" dxfId="15" priority="1419" operator="equal">
      <formula>$U$1</formula>
    </cfRule>
    <cfRule type="cellIs" dxfId="14" priority="1420" operator="equal">
      <formula>$S$1</formula>
    </cfRule>
  </conditionalFormatting>
  <conditionalFormatting sqref="D26">
    <cfRule type="cellIs" dxfId="13" priority="1417" operator="equal">
      <formula>$S$1</formula>
    </cfRule>
    <cfRule type="cellIs" dxfId="12" priority="141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3.0715237559178128</v>
      </c>
      <c r="F3" s="30">
        <v>4.3219423751506678</v>
      </c>
      <c r="G3" s="30">
        <v>5.7918161359718709</v>
      </c>
      <c r="H3" s="25">
        <f>IF(G3="","",(3*(G3-F3))+E3)</f>
        <v>7.4811450383814222</v>
      </c>
      <c r="I3" s="7"/>
      <c r="J3" s="7">
        <f>(E3+G3)/2</f>
        <v>4.4316699459448419</v>
      </c>
      <c r="K3" s="7">
        <f>H3/2</f>
        <v>3.7405725191907111</v>
      </c>
      <c r="M3" s="26">
        <f>IF(OR(J3="",H3=""),"",H3/J3)</f>
        <v>1.6881097034825381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2022-01-28T01:19:42Z</dcterms:modified>
</cp:coreProperties>
</file>