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6A41A812-5001-4BCA-8804-C46A5B12FB9C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H5" i="6"/>
  <c r="M5" i="6"/>
  <c r="O4" i="6"/>
  <c r="N4" i="6"/>
  <c r="H4" i="6"/>
  <c r="M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22" i="4"/>
  <c r="C133" i="4" s="1"/>
  <c r="C136" i="4" s="1"/>
  <c r="R765" i="1"/>
  <c r="S765" i="1" s="1"/>
  <c r="T765" i="1" s="1"/>
  <c r="S766" i="1"/>
  <c r="T766" i="1" s="1"/>
  <c r="C122" i="3"/>
  <c r="C133" i="3" s="1"/>
  <c r="C136" i="3" s="1"/>
  <c r="R764" i="1"/>
  <c r="S764" i="1" s="1"/>
  <c r="T764" i="1" s="1"/>
  <c r="C116" i="3"/>
  <c r="C118" i="3"/>
  <c r="C136" i="5" l="1"/>
  <c r="C138" i="5" s="1"/>
  <c r="R763" i="1"/>
  <c r="D136" i="4"/>
  <c r="C138" i="4" s="1"/>
  <c r="D136" i="3"/>
  <c r="C138" i="3" s="1"/>
  <c r="R762" i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S755" i="1" l="1"/>
  <c r="T755" i="1" s="1"/>
  <c r="R754" i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S731" i="1" l="1"/>
  <c r="T731" i="1" s="1"/>
  <c r="R730" i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S715" i="1" l="1"/>
  <c r="T715" i="1" s="1"/>
  <c r="R714" i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S683" i="1" l="1"/>
  <c r="T683" i="1" s="1"/>
  <c r="R682" i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S667" i="1" l="1"/>
  <c r="T667" i="1" s="1"/>
  <c r="R666" i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S659" i="1" l="1"/>
  <c r="T659" i="1" s="1"/>
  <c r="R658" i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S611" i="1" l="1"/>
  <c r="T611" i="1" s="1"/>
  <c r="R610" i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S595" i="1" l="1"/>
  <c r="T595" i="1" s="1"/>
  <c r="R594" i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S587" i="1" l="1"/>
  <c r="T587" i="1" s="1"/>
  <c r="R586" i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S579" i="1" l="1"/>
  <c r="T579" i="1" s="1"/>
  <c r="R578" i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S483" i="1" l="1"/>
  <c r="T483" i="1" s="1"/>
  <c r="R482" i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S467" i="1" l="1"/>
  <c r="T467" i="1" s="1"/>
  <c r="R466" i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S451" i="1" l="1"/>
  <c r="T451" i="1" s="1"/>
  <c r="R450" i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S435" i="1" l="1"/>
  <c r="T435" i="1" s="1"/>
  <c r="R434" i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S339" i="1" l="1"/>
  <c r="T339" i="1" s="1"/>
  <c r="R338" i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S325" i="1" l="1"/>
  <c r="T325" i="1" s="1"/>
  <c r="R324" i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S309" i="1" l="1"/>
  <c r="T309" i="1" s="1"/>
  <c r="R308" i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S301" i="1" l="1"/>
  <c r="T301" i="1" s="1"/>
  <c r="R300" i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S286" i="1" l="1"/>
  <c r="T286" i="1" s="1"/>
  <c r="R285" i="1"/>
  <c r="S285" i="1" l="1"/>
  <c r="T285" i="1" s="1"/>
  <c r="R284" i="1"/>
  <c r="R283" i="1" l="1"/>
  <c r="S284" i="1"/>
  <c r="T284" i="1" s="1"/>
  <c r="S283" i="1" l="1"/>
  <c r="T283" i="1" s="1"/>
  <c r="R282" i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S277" i="1" l="1"/>
  <c r="T277" i="1" s="1"/>
  <c r="R276" i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S270" i="1" l="1"/>
  <c r="T270" i="1" s="1"/>
  <c r="R269" i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S262" i="1" l="1"/>
  <c r="T262" i="1" s="1"/>
  <c r="R261" i="1"/>
  <c r="S261" i="1" l="1"/>
  <c r="T261" i="1" s="1"/>
  <c r="R260" i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S253" i="1" l="1"/>
  <c r="T253" i="1" s="1"/>
  <c r="R252" i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S246" i="1" l="1"/>
  <c r="T246" i="1" s="1"/>
  <c r="R245" i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S238" i="1" l="1"/>
  <c r="T238" i="1" s="1"/>
  <c r="R237" i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S229" i="1" l="1"/>
  <c r="T229" i="1" s="1"/>
  <c r="R228" i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S214" i="1" l="1"/>
  <c r="T214" i="1" s="1"/>
  <c r="R213" i="1"/>
  <c r="R212" i="1" l="1"/>
  <c r="S213" i="1"/>
  <c r="T213" i="1" s="1"/>
  <c r="R211" i="1" l="1"/>
  <c r="S212" i="1"/>
  <c r="T212" i="1" s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S205" i="1" l="1"/>
  <c r="T205" i="1" s="1"/>
  <c r="R204" i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S198" i="1" l="1"/>
  <c r="T198" i="1" s="1"/>
  <c r="R197" i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S190" i="1" l="1"/>
  <c r="T190" i="1" s="1"/>
  <c r="R189" i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S181" i="1" l="1"/>
  <c r="T181" i="1" s="1"/>
  <c r="R180" i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S166" i="1" l="1"/>
  <c r="T166" i="1" s="1"/>
  <c r="R165" i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S157" i="1" l="1"/>
  <c r="T157" i="1" s="1"/>
  <c r="R156" i="1"/>
  <c r="S156" i="1" l="1"/>
  <c r="T156" i="1" s="1"/>
  <c r="R155" i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S142" i="1" l="1"/>
  <c r="T142" i="1" s="1"/>
  <c r="R141" i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S133" i="1" l="1"/>
  <c r="T133" i="1" s="1"/>
  <c r="R132" i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S110" i="1" l="1"/>
  <c r="T110" i="1" s="1"/>
  <c r="R109" i="1"/>
  <c r="S109" i="1" l="1"/>
  <c r="T109" i="1" s="1"/>
  <c r="R108" i="1"/>
  <c r="S108" i="1" l="1"/>
  <c r="T108" i="1" s="1"/>
  <c r="R107" i="1"/>
  <c r="R106" i="1" l="1"/>
  <c r="S107" i="1"/>
  <c r="T107" i="1" s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R98" i="1" l="1"/>
  <c r="S99" i="1"/>
  <c r="T99" i="1" s="1"/>
  <c r="R97" i="1" l="1"/>
  <c r="S98" i="1"/>
  <c r="T98" i="1" s="1"/>
  <c r="R96" i="1" l="1"/>
  <c r="S97" i="1"/>
  <c r="T97" i="1" s="1"/>
  <c r="R95" i="1" l="1"/>
  <c r="S96" i="1"/>
  <c r="T96" i="1" s="1"/>
  <c r="R94" i="1" l="1"/>
  <c r="S95" i="1"/>
  <c r="T95" i="1" s="1"/>
  <c r="S94" i="1" l="1"/>
  <c r="T94" i="1" s="1"/>
  <c r="R93" i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R85" i="1" l="1"/>
  <c r="S86" i="1"/>
  <c r="T86" i="1" s="1"/>
  <c r="S85" i="1" l="1"/>
  <c r="T85" i="1" s="1"/>
  <c r="R84" i="1"/>
  <c r="S84" i="1" l="1"/>
  <c r="T84" i="1" s="1"/>
  <c r="R83" i="1"/>
  <c r="R82" i="1" l="1"/>
  <c r="S83" i="1"/>
  <c r="T83" i="1" s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R70" i="1" l="1"/>
  <c r="S71" i="1"/>
  <c r="T71" i="1" s="1"/>
  <c r="R69" i="1" l="1"/>
  <c r="S70" i="1"/>
  <c r="T70" i="1" s="1"/>
  <c r="R68" i="1" l="1"/>
  <c r="S69" i="1"/>
  <c r="T69" i="1" s="1"/>
  <c r="S68" i="1" l="1"/>
  <c r="T68" i="1" s="1"/>
  <c r="R67" i="1"/>
  <c r="R66" i="1" l="1"/>
  <c r="S67" i="1"/>
  <c r="T67" i="1" s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R61" i="1" l="1"/>
  <c r="S62" i="1"/>
  <c r="T62" i="1" s="1"/>
  <c r="S61" i="1" l="1"/>
  <c r="T61" i="1" s="1"/>
  <c r="R60" i="1"/>
  <c r="S60" i="1" l="1"/>
  <c r="T60" i="1" s="1"/>
  <c r="R59" i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S52" i="1" l="1"/>
  <c r="T52" i="1" s="1"/>
  <c r="R51" i="1"/>
  <c r="R50" i="1" l="1"/>
  <c r="S51" i="1"/>
  <c r="T51" i="1" s="1"/>
  <c r="S50" i="1" l="1"/>
  <c r="T50" i="1" s="1"/>
  <c r="R49" i="1"/>
  <c r="R48" i="1" l="1"/>
  <c r="S49" i="1"/>
  <c r="T49" i="1" s="1"/>
  <c r="S48" i="1" l="1"/>
  <c r="T48" i="1" s="1"/>
  <c r="R47" i="1"/>
  <c r="R46" i="1" l="1"/>
  <c r="S47" i="1"/>
  <c r="T47" i="1" s="1"/>
  <c r="R45" i="1" l="1"/>
  <c r="S46" i="1"/>
  <c r="T46" i="1" s="1"/>
  <c r="R44" i="1" l="1"/>
  <c r="S45" i="1"/>
  <c r="T45" i="1" s="1"/>
  <c r="R43" i="1" l="1"/>
  <c r="S44" i="1"/>
  <c r="T44" i="1" s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R32" i="1" l="1"/>
  <c r="S33" i="1"/>
  <c r="T33" i="1" s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<sst xmlns="http://schemas.openxmlformats.org/spreadsheetml/2006/main" count="4936" uniqueCount="34">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</sst>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0.39379999999999998</c:v>
                </c:pt>
                <c:pt idx="1">
                  <c:v>0.40450000000000003</c:v>
                </c:pt>
                <c:pt idx="2">
                  <c:v>0.41399999999999998</c:v>
                </c:pt>
                <c:pt idx="3">
                  <c:v>0.39290000000000003</c:v>
                </c:pt>
                <c:pt idx="4">
                  <c:v>0.41510000000000002</c:v>
                </c:pt>
                <c:pt idx="5">
                  <c:v>0.41570000000000001</c:v>
                </c:pt>
                <c:pt idx="6">
                  <c:v>0.43690000000000001</c:v>
                </c:pt>
                <c:pt idx="7">
                  <c:v>0.50039999999999996</c:v>
                </c:pt>
                <c:pt idx="8">
                  <c:v>0.52410000000000001</c:v>
                </c:pt>
                <c:pt idx="9">
                  <c:v>0.53090000000000004</c:v>
                </c:pt>
                <c:pt idx="10">
                  <c:v>0.54769999999999996</c:v>
                </c:pt>
                <c:pt idx="11">
                  <c:v>0.58889999999999998</c:v>
                </c:pt>
                <c:pt idx="12">
                  <c:v>0.59489999999999998</c:v>
                </c:pt>
                <c:pt idx="13">
                  <c:v>0.57930000000000004</c:v>
                </c:pt>
                <c:pt idx="14">
                  <c:v>0.57079999999999997</c:v>
                </c:pt>
                <c:pt idx="15">
                  <c:v>0.59409999999999996</c:v>
                </c:pt>
                <c:pt idx="16">
                  <c:v>0.56859999999999999</c:v>
                </c:pt>
                <c:pt idx="17">
                  <c:v>0.54239999999999999</c:v>
                </c:pt>
                <c:pt idx="18">
                  <c:v>0.58350000000000002</c:v>
                </c:pt>
                <c:pt idx="19">
                  <c:v>0.57330000000000003</c:v>
                </c:pt>
                <c:pt idx="20">
                  <c:v>0.59350000000000003</c:v>
                </c:pt>
                <c:pt idx="21">
                  <c:v>0.63639999999999997</c:v>
                </c:pt>
                <c:pt idx="22">
                  <c:v>0.63009999999999999</c:v>
                </c:pt>
                <c:pt idx="23">
                  <c:v>0.67869999999999997</c:v>
                </c:pt>
                <c:pt idx="24">
                  <c:v>0.65810000000000002</c:v>
                </c:pt>
                <c:pt idx="25">
                  <c:v>0.67649999999999999</c:v>
                </c:pt>
                <c:pt idx="26">
                  <c:v>0.66449999999999998</c:v>
                </c:pt>
                <c:pt idx="27">
                  <c:v>0.64190000000000003</c:v>
                </c:pt>
                <c:pt idx="28">
                  <c:v>0.64610000000000001</c:v>
                </c:pt>
                <c:pt idx="29">
                  <c:v>0.63300000000000001</c:v>
                </c:pt>
                <c:pt idx="30">
                  <c:v>0.66539999999999999</c:v>
                </c:pt>
                <c:pt idx="31">
                  <c:v>0.73740000000000006</c:v>
                </c:pt>
                <c:pt idx="32">
                  <c:v>0.73519999999999996</c:v>
                </c:pt>
                <c:pt idx="33">
                  <c:v>0.71970000000000001</c:v>
                </c:pt>
                <c:pt idx="34">
                  <c:v>0.6966</c:v>
                </c:pt>
                <c:pt idx="35">
                  <c:v>0.73370000000000002</c:v>
                </c:pt>
                <c:pt idx="36">
                  <c:v>0.69399999999999995</c:v>
                </c:pt>
                <c:pt idx="37">
                  <c:v>0.70960000000000001</c:v>
                </c:pt>
                <c:pt idx="38">
                  <c:v>0.62250000000000005</c:v>
                </c:pt>
                <c:pt idx="39">
                  <c:v>0.64770000000000005</c:v>
                </c:pt>
                <c:pt idx="40">
                  <c:v>0.60570000000000002</c:v>
                </c:pt>
                <c:pt idx="41">
                  <c:v>0.58940000000000003</c:v>
                </c:pt>
                <c:pt idx="42">
                  <c:v>0.61450000000000005</c:v>
                </c:pt>
                <c:pt idx="43">
                  <c:v>0.64</c:v>
                </c:pt>
                <c:pt idx="44">
                  <c:v>0.63790000000000002</c:v>
                </c:pt>
                <c:pt idx="45">
                  <c:v>0.5978</c:v>
                </c:pt>
                <c:pt idx="46">
                  <c:v>0.68459999999999999</c:v>
                </c:pt>
                <c:pt idx="47">
                  <c:v>0.65</c:v>
                </c:pt>
                <c:pt idx="48">
                  <c:v>0.63819999999999999</c:v>
                </c:pt>
                <c:pt idx="49">
                  <c:v>0.68459999999999999</c:v>
                </c:pt>
                <c:pt idx="50">
                  <c:v>0.76239999999999997</c:v>
                </c:pt>
                <c:pt idx="51">
                  <c:v>0.68879999999999997</c:v>
                </c:pt>
                <c:pt idx="52">
                  <c:v>0.70509999999999995</c:v>
                </c:pt>
                <c:pt idx="53">
                  <c:v>0.68730000000000002</c:v>
                </c:pt>
                <c:pt idx="54">
                  <c:v>0.73429999999999995</c:v>
                </c:pt>
                <c:pt idx="55">
                  <c:v>0.86040000000000005</c:v>
                </c:pt>
                <c:pt idx="56">
                  <c:v>0.89859999999999995</c:v>
                </c:pt>
                <c:pt idx="57">
                  <c:v>0.92320000000000002</c:v>
                </c:pt>
                <c:pt idx="58">
                  <c:v>0.92269999999999996</c:v>
                </c:pt>
                <c:pt idx="59">
                  <c:v>0.9627</c:v>
                </c:pt>
                <c:pt idx="60">
                  <c:v>1.0058</c:v>
                </c:pt>
                <c:pt idx="61">
                  <c:v>1.0356000000000001</c:v>
                </c:pt>
                <c:pt idx="62">
                  <c:v>0.8589</c:v>
                </c:pt>
                <c:pt idx="63">
                  <c:v>0.92049999999999998</c:v>
                </c:pt>
                <c:pt idx="64">
                  <c:v>0.87980000000000003</c:v>
                </c:pt>
                <c:pt idx="65">
                  <c:v>0.90129999999999999</c:v>
                </c:pt>
                <c:pt idx="66">
                  <c:v>0.87639999999999996</c:v>
                </c:pt>
                <c:pt idx="67">
                  <c:v>0.92069999999999996</c:v>
                </c:pt>
                <c:pt idx="68">
                  <c:v>0.96489999999999998</c:v>
                </c:pt>
                <c:pt idx="69">
                  <c:v>0.95499999999999996</c:v>
                </c:pt>
                <c:pt idx="70">
                  <c:v>0.86760000000000004</c:v>
                </c:pt>
                <c:pt idx="71">
                  <c:v>0.93510000000000004</c:v>
                </c:pt>
                <c:pt idx="72">
                  <c:v>0.92179999999999995</c:v>
                </c:pt>
                <c:pt idx="73">
                  <c:v>1.0192000000000001</c:v>
                </c:pt>
                <c:pt idx="74">
                  <c:v>1.0668</c:v>
                </c:pt>
                <c:pt idx="75">
                  <c:v>1.0968</c:v>
                </c:pt>
                <c:pt idx="76">
                  <c:v>1.0744</c:v>
                </c:pt>
                <c:pt idx="77">
                  <c:v>1.1092</c:v>
                </c:pt>
                <c:pt idx="78">
                  <c:v>1.0851999999999999</c:v>
                </c:pt>
                <c:pt idx="79">
                  <c:v>1.2074</c:v>
                </c:pt>
                <c:pt idx="80">
                  <c:v>1.1346000000000001</c:v>
                </c:pt>
                <c:pt idx="81">
                  <c:v>1.1145</c:v>
                </c:pt>
                <c:pt idx="82">
                  <c:v>1.0621</c:v>
                </c:pt>
                <c:pt idx="83">
                  <c:v>1.0649</c:v>
                </c:pt>
                <c:pt idx="84">
                  <c:v>1.0526</c:v>
                </c:pt>
                <c:pt idx="85">
                  <c:v>0.98899999999999999</c:v>
                </c:pt>
                <c:pt idx="86">
                  <c:v>0.99199999999999999</c:v>
                </c:pt>
                <c:pt idx="87">
                  <c:v>0.99229999999999996</c:v>
                </c:pt>
                <c:pt idx="88">
                  <c:v>1.0449999999999999</c:v>
                </c:pt>
                <c:pt idx="89">
                  <c:v>0.91990000000000005</c:v>
                </c:pt>
                <c:pt idx="90">
                  <c:v>0.97009999999999996</c:v>
                </c:pt>
                <c:pt idx="91">
                  <c:v>0.94140000000000001</c:v>
                </c:pt>
                <c:pt idx="92">
                  <c:v>0.93220000000000003</c:v>
                </c:pt>
                <c:pt idx="93">
                  <c:v>1.0812999999999999</c:v>
                </c:pt>
                <c:pt idx="94">
                  <c:v>1.038</c:v>
                </c:pt>
                <c:pt idx="95">
                  <c:v>0.94030000000000002</c:v>
                </c:pt>
                <c:pt idx="96">
                  <c:v>0.88670000000000004</c:v>
                </c:pt>
                <c:pt idx="97">
                  <c:v>0.90269999999999995</c:v>
                </c:pt>
                <c:pt idx="98">
                  <c:v>0.93530000000000002</c:v>
                </c:pt>
                <c:pt idx="99">
                  <c:v>0.87470000000000003</c:v>
                </c:pt>
                <c:pt idx="100">
                  <c:v>0.77939999999999998</c:v>
                </c:pt>
                <c:pt idx="101">
                  <c:v>0.76910000000000001</c:v>
                </c:pt>
                <c:pt idx="102">
                  <c:v>0.7772</c:v>
                </c:pt>
                <c:pt idx="103">
                  <c:v>0.79949999999999999</c:v>
                </c:pt>
                <c:pt idx="104">
                  <c:v>0.81530000000000002</c:v>
                </c:pt>
                <c:pt idx="105">
                  <c:v>0.71630000000000005</c:v>
                </c:pt>
                <c:pt idx="106">
                  <c:v>0.70730000000000004</c:v>
                </c:pt>
                <c:pt idx="107">
                  <c:v>0.67620000000000002</c:v>
                </c:pt>
                <c:pt idx="108">
                  <c:v>0.67989999999999995</c:v>
                </c:pt>
                <c:pt idx="109">
                  <c:v>0.68189999999999995</c:v>
                </c:pt>
                <c:pt idx="110">
                  <c:v>0.74399999999999999</c:v>
                </c:pt>
                <c:pt idx="111">
                  <c:v>0.71130000000000004</c:v>
                </c:pt>
                <c:pt idx="112">
                  <c:v>0.72119999999999995</c:v>
                </c:pt>
                <c:pt idx="113">
                  <c:v>0.71750000000000003</c:v>
                </c:pt>
                <c:pt idx="114">
                  <c:v>0.75700000000000001</c:v>
                </c:pt>
                <c:pt idx="115">
                  <c:v>0.71350000000000002</c:v>
                </c:pt>
                <c:pt idx="116">
                  <c:v>0.73350000000000004</c:v>
                </c:pt>
                <c:pt idx="117">
                  <c:v>0.7258</c:v>
                </c:pt>
                <c:pt idx="118">
                  <c:v>0.70669999999999999</c:v>
                </c:pt>
                <c:pt idx="119">
                  <c:v>0.64590000000000003</c:v>
                </c:pt>
                <c:pt idx="120">
                  <c:v>0.63280000000000003</c:v>
                </c:pt>
                <c:pt idx="121">
                  <c:v>0.62790000000000001</c:v>
                </c:pt>
                <c:pt idx="122">
                  <c:v>0.66100000000000003</c:v>
                </c:pt>
                <c:pt idx="123">
                  <c:v>0.67310000000000003</c:v>
                </c:pt>
                <c:pt idx="124">
                  <c:v>0.6825</c:v>
                </c:pt>
                <c:pt idx="125">
                  <c:v>0.69220000000000004</c:v>
                </c:pt>
                <c:pt idx="126">
                  <c:v>0.73370000000000002</c:v>
                </c:pt>
                <c:pt idx="127">
                  <c:v>0.745</c:v>
                </c:pt>
                <c:pt idx="128">
                  <c:v>0.65800000000000003</c:v>
                </c:pt>
                <c:pt idx="129">
                  <c:v>0.73799999999999999</c:v>
                </c:pt>
                <c:pt idx="130">
                  <c:v>0.81410000000000005</c:v>
                </c:pt>
                <c:pt idx="131">
                  <c:v>0.83440000000000003</c:v>
                </c:pt>
                <c:pt idx="132">
                  <c:v>0.81850000000000001</c:v>
                </c:pt>
                <c:pt idx="133">
                  <c:v>0.85629999999999995</c:v>
                </c:pt>
                <c:pt idx="134">
                  <c:v>0.90720000000000001</c:v>
                </c:pt>
                <c:pt idx="135">
                  <c:v>0.85970000000000002</c:v>
                </c:pt>
                <c:pt idx="136">
                  <c:v>0.83960000000000001</c:v>
                </c:pt>
                <c:pt idx="137">
                  <c:v>0.92159999999999997</c:v>
                </c:pt>
                <c:pt idx="138">
                  <c:v>0.87309999999999999</c:v>
                </c:pt>
                <c:pt idx="139">
                  <c:v>0.80820000000000003</c:v>
                </c:pt>
                <c:pt idx="140">
                  <c:v>0.85570000000000002</c:v>
                </c:pt>
                <c:pt idx="141">
                  <c:v>0.8226</c:v>
                </c:pt>
                <c:pt idx="142">
                  <c:v>0.83389999999999997</c:v>
                </c:pt>
                <c:pt idx="143">
                  <c:v>1.0646</c:v>
                </c:pt>
                <c:pt idx="144">
                  <c:v>1.0236000000000001</c:v>
                </c:pt>
                <c:pt idx="145">
                  <c:v>0.9506</c:v>
                </c:pt>
                <c:pt idx="146">
                  <c:v>0.91320000000000001</c:v>
                </c:pt>
                <c:pt idx="147">
                  <c:v>0.90669999999999995</c:v>
                </c:pt>
                <c:pt idx="148">
                  <c:v>0.92100000000000004</c:v>
                </c:pt>
                <c:pt idx="149">
                  <c:v>0.85609999999999997</c:v>
                </c:pt>
                <c:pt idx="150">
                  <c:v>0.85089999999999999</c:v>
                </c:pt>
                <c:pt idx="151">
                  <c:v>0.91490000000000005</c:v>
                </c:pt>
                <c:pt idx="152">
                  <c:v>0.91669999999999996</c:v>
                </c:pt>
                <c:pt idx="153">
                  <c:v>0.92430000000000001</c:v>
                </c:pt>
                <c:pt idx="154">
                  <c:v>0.86499999999999999</c:v>
                </c:pt>
                <c:pt idx="155">
                  <c:v>0.95130000000000003</c:v>
                </c:pt>
                <c:pt idx="156">
                  <c:v>0.9194</c:v>
                </c:pt>
                <c:pt idx="157">
                  <c:v>1.0247999999999999</c:v>
                </c:pt>
                <c:pt idx="158">
                  <c:v>1.0248999999999999</c:v>
                </c:pt>
                <c:pt idx="159">
                  <c:v>0.98860000000000003</c:v>
                </c:pt>
                <c:pt idx="160">
                  <c:v>1.0408999999999999</c:v>
                </c:pt>
                <c:pt idx="161">
                  <c:v>0.98329999999999995</c:v>
                </c:pt>
                <c:pt idx="162">
                  <c:v>0.85429999999999995</c:v>
                </c:pt>
                <c:pt idx="163">
                  <c:v>0.86970000000000003</c:v>
                </c:pt>
                <c:pt idx="164">
                  <c:v>0.85560000000000003</c:v>
                </c:pt>
                <c:pt idx="165">
                  <c:v>0.89700000000000002</c:v>
                </c:pt>
                <c:pt idx="166">
                  <c:v>0.89980000000000004</c:v>
                </c:pt>
                <c:pt idx="167">
                  <c:v>0.92869999999999997</c:v>
                </c:pt>
                <c:pt idx="168">
                  <c:v>0.87980000000000003</c:v>
                </c:pt>
                <c:pt idx="169">
                  <c:v>0.7893</c:v>
                </c:pt>
                <c:pt idx="170">
                  <c:v>0.74980000000000002</c:v>
                </c:pt>
                <c:pt idx="171">
                  <c:v>0.70760000000000001</c:v>
                </c:pt>
                <c:pt idx="172">
                  <c:v>0.67200000000000004</c:v>
                </c:pt>
                <c:pt idx="173">
                  <c:v>0.73199999999999998</c:v>
                </c:pt>
                <c:pt idx="174">
                  <c:v>0.70299999999999996</c:v>
                </c:pt>
                <c:pt idx="175">
                  <c:v>0.7006</c:v>
                </c:pt>
                <c:pt idx="176">
                  <c:v>0.66710000000000003</c:v>
                </c:pt>
                <c:pt idx="177">
                  <c:v>0.6462</c:v>
                </c:pt>
                <c:pt idx="178">
                  <c:v>0.69220000000000004</c:v>
                </c:pt>
                <c:pt idx="179">
                  <c:v>0.65939999999999999</c:v>
                </c:pt>
                <c:pt idx="180">
                  <c:v>0.62619999999999998</c:v>
                </c:pt>
                <c:pt idx="181">
                  <c:v>0.59509999999999996</c:v>
                </c:pt>
                <c:pt idx="182">
                  <c:v>0.5847</c:v>
                </c:pt>
                <c:pt idx="183">
                  <c:v>0.56040000000000001</c:v>
                </c:pt>
                <c:pt idx="184">
                  <c:v>0.56720000000000004</c:v>
                </c:pt>
                <c:pt idx="185">
                  <c:v>0.55010000000000003</c:v>
                </c:pt>
                <c:pt idx="186">
                  <c:v>0.54249999999999998</c:v>
                </c:pt>
                <c:pt idx="187">
                  <c:v>0.54969999999999997</c:v>
                </c:pt>
                <c:pt idx="188">
                  <c:v>0.55669999999999997</c:v>
                </c:pt>
                <c:pt idx="189">
                  <c:v>0.55940000000000001</c:v>
                </c:pt>
                <c:pt idx="190">
                  <c:v>0.5575</c:v>
                </c:pt>
                <c:pt idx="191">
                  <c:v>0.49209999999999998</c:v>
                </c:pt>
                <c:pt idx="192">
                  <c:v>0.50749999999999995</c:v>
                </c:pt>
                <c:pt idx="193">
                  <c:v>0.55159999999999998</c:v>
                </c:pt>
                <c:pt idx="194">
                  <c:v>0.55869999999999997</c:v>
                </c:pt>
                <c:pt idx="195">
                  <c:v>0.58069999999999999</c:v>
                </c:pt>
                <c:pt idx="196">
                  <c:v>0.60029999999999994</c:v>
                </c:pt>
                <c:pt idx="197">
                  <c:v>0.63839999999999997</c:v>
                </c:pt>
                <c:pt idx="198">
                  <c:v>0.6331</c:v>
                </c:pt>
                <c:pt idx="199">
                  <c:v>0.67</c:v>
                </c:pt>
                <c:pt idx="200">
                  <c:v>0.7127</c:v>
                </c:pt>
                <c:pt idx="201">
                  <c:v>0.6865</c:v>
                </c:pt>
                <c:pt idx="202">
                  <c:v>0.69199999999999995</c:v>
                </c:pt>
                <c:pt idx="203">
                  <c:v>0.65490000000000004</c:v>
                </c:pt>
                <c:pt idx="204">
                  <c:v>0.70630000000000004</c:v>
                </c:pt>
                <c:pt idx="205">
                  <c:v>0.70199999999999996</c:v>
                </c:pt>
                <c:pt idx="206">
                  <c:v>0.73280000000000001</c:v>
                </c:pt>
                <c:pt idx="207">
                  <c:v>0.72529999999999994</c:v>
                </c:pt>
                <c:pt idx="208">
                  <c:v>0.6764</c:v>
                </c:pt>
                <c:pt idx="209">
                  <c:v>0.60289999999999999</c:v>
                </c:pt>
                <c:pt idx="210">
                  <c:v>0.53610000000000002</c:v>
                </c:pt>
                <c:pt idx="211">
                  <c:v>0.59140000000000004</c:v>
                </c:pt>
                <c:pt idx="212">
                  <c:v>0.57950000000000002</c:v>
                </c:pt>
                <c:pt idx="213">
                  <c:v>0.5716</c:v>
                </c:pt>
                <c:pt idx="214">
                  <c:v>0.55879999999999996</c:v>
                </c:pt>
                <c:pt idx="215">
                  <c:v>0.54349999999999998</c:v>
                </c:pt>
                <c:pt idx="216">
                  <c:v>0.52539999999999998</c:v>
                </c:pt>
                <c:pt idx="217">
                  <c:v>0.6018</c:v>
                </c:pt>
                <c:pt idx="218">
                  <c:v>0.60199999999999998</c:v>
                </c:pt>
                <c:pt idx="219">
                  <c:v>0.49370000000000003</c:v>
                </c:pt>
                <c:pt idx="220">
                  <c:v>0.50419999999999998</c:v>
                </c:pt>
                <c:pt idx="221">
                  <c:v>0.64219999999999999</c:v>
                </c:pt>
                <c:pt idx="222">
                  <c:v>0.60029999999999994</c:v>
                </c:pt>
                <c:pt idx="223">
                  <c:v>0.6099</c:v>
                </c:pt>
                <c:pt idx="224">
                  <c:v>0.68610000000000004</c:v>
                </c:pt>
                <c:pt idx="225">
                  <c:v>0.68140000000000001</c:v>
                </c:pt>
                <c:pt idx="226">
                  <c:v>0.7167</c:v>
                </c:pt>
                <c:pt idx="227">
                  <c:v>0.68289999999999995</c:v>
                </c:pt>
                <c:pt idx="228">
                  <c:v>0.68479999999999996</c:v>
                </c:pt>
                <c:pt idx="229">
                  <c:v>0.60250000000000004</c:v>
                </c:pt>
                <c:pt idx="230">
                  <c:v>0.61360000000000003</c:v>
                </c:pt>
                <c:pt idx="231">
                  <c:v>0.66420000000000001</c:v>
                </c:pt>
                <c:pt idx="232">
                  <c:v>0.70920000000000005</c:v>
                </c:pt>
                <c:pt idx="233">
                  <c:v>0.69240000000000002</c:v>
                </c:pt>
                <c:pt idx="234">
                  <c:v>0.69869999999999999</c:v>
                </c:pt>
                <c:pt idx="235">
                  <c:v>0.78380000000000005</c:v>
                </c:pt>
                <c:pt idx="236">
                  <c:v>0.75439999999999996</c:v>
                </c:pt>
                <c:pt idx="237">
                  <c:v>0.80159999999999998</c:v>
                </c:pt>
                <c:pt idx="238">
                  <c:v>0.95240000000000002</c:v>
                </c:pt>
                <c:pt idx="239">
                  <c:v>0.76639999999999997</c:v>
                </c:pt>
                <c:pt idx="240">
                  <c:v>0.76839999999999997</c:v>
                </c:pt>
                <c:pt idx="241">
                  <c:v>0.79330000000000001</c:v>
                </c:pt>
                <c:pt idx="242">
                  <c:v>0.73939999999999995</c:v>
                </c:pt>
                <c:pt idx="243">
                  <c:v>0.62829999999999997</c:v>
                </c:pt>
                <c:pt idx="244">
                  <c:v>0.65129999999999999</c:v>
                </c:pt>
                <c:pt idx="245">
                  <c:v>0.77110000000000001</c:v>
                </c:pt>
                <c:pt idx="246">
                  <c:v>0.84289999999999998</c:v>
                </c:pt>
                <c:pt idx="247">
                  <c:v>0.82299999999999995</c:v>
                </c:pt>
                <c:pt idx="248">
                  <c:v>0.82540000000000002</c:v>
                </c:pt>
                <c:pt idx="249">
                  <c:v>0.65069999999999995</c:v>
                </c:pt>
                <c:pt idx="250">
                  <c:v>0.78959999999999997</c:v>
                </c:pt>
                <c:pt idx="251">
                  <c:v>0.85289999999999999</c:v>
                </c:pt>
                <c:pt idx="252">
                  <c:v>0.9073</c:v>
                </c:pt>
                <c:pt idx="253">
                  <c:v>0.74580000000000002</c:v>
                </c:pt>
                <c:pt idx="254">
                  <c:v>1.2244999999999999</c:v>
                </c:pt>
                <c:pt idx="255">
                  <c:v>1.1957</c:v>
                </c:pt>
                <c:pt idx="256">
                  <c:v>1.2989999999999999</c:v>
                </c:pt>
                <c:pt idx="257">
                  <c:v>1.3168</c:v>
                </c:pt>
                <c:pt idx="258">
                  <c:v>1.3647</c:v>
                </c:pt>
                <c:pt idx="259">
                  <c:v>1.3136000000000001</c:v>
                </c:pt>
                <c:pt idx="260">
                  <c:v>1.2851999999999999</c:v>
                </c:pt>
                <c:pt idx="261">
                  <c:v>1.46</c:v>
                </c:pt>
                <c:pt idx="262">
                  <c:v>1.3815</c:v>
                </c:pt>
                <c:pt idx="263">
                  <c:v>1.5347</c:v>
                </c:pt>
                <c:pt idx="264">
                  <c:v>1.5871</c:v>
                </c:pt>
                <c:pt idx="265">
                  <c:v>1.6011</c:v>
                </c:pt>
                <c:pt idx="266">
                  <c:v>1.6054999999999999</c:v>
                </c:pt>
                <c:pt idx="267">
                  <c:v>1.5343</c:v>
                </c:pt>
                <c:pt idx="268">
                  <c:v>1.4319999999999999</c:v>
                </c:pt>
                <c:pt idx="269">
                  <c:v>1.59</c:v>
                </c:pt>
                <c:pt idx="270">
                  <c:v>1.6113</c:v>
                </c:pt>
                <c:pt idx="271">
                  <c:v>1.6759999999999999</c:v>
                </c:pt>
                <c:pt idx="272">
                  <c:v>1.5593999999999999</c:v>
                </c:pt>
                <c:pt idx="273">
                  <c:v>1.4974000000000001</c:v>
                </c:pt>
                <c:pt idx="274">
                  <c:v>1.5336000000000001</c:v>
                </c:pt>
                <c:pt idx="275">
                  <c:v>1.5598000000000001</c:v>
                </c:pt>
                <c:pt idx="276">
                  <c:v>1.4597</c:v>
                </c:pt>
                <c:pt idx="277">
                  <c:v>1.26</c:v>
                </c:pt>
                <c:pt idx="278">
                  <c:v>1.25502</c:v>
                </c:pt>
                <c:pt idx="279">
                  <c:v>1.3951199999999999</c:v>
                </c:pt>
                <c:pt idx="280">
                  <c:v>1.4089100000000001</c:v>
                </c:pt>
                <c:pt idx="281">
                  <c:v>1.5251699999999999</c:v>
                </c:pt>
                <c:pt idx="282">
                  <c:v>1.5891999999999999</c:v>
                </c:pt>
                <c:pt idx="283">
                  <c:v>1.55803</c:v>
                </c:pt>
                <c:pt idx="284">
                  <c:v>1.7029000000000001</c:v>
                </c:pt>
                <c:pt idx="285">
                  <c:v>1.9282999999999999</c:v>
                </c:pt>
                <c:pt idx="286">
                  <c:v>1.9886999999999999</c:v>
                </c:pt>
                <c:pt idx="287">
                  <c:v>2.0959099999999999</c:v>
                </c:pt>
                <c:pt idx="288">
                  <c:v>2.0258699999999998</c:v>
                </c:pt>
                <c:pt idx="289">
                  <c:v>1.92096</c:v>
                </c:pt>
                <c:pt idx="290">
                  <c:v>2.0150999999999999</c:v>
                </c:pt>
                <c:pt idx="291">
                  <c:v>1.8990100000000001</c:v>
                </c:pt>
                <c:pt idx="292">
                  <c:v>1.8869400000000001</c:v>
                </c:pt>
                <c:pt idx="293">
                  <c:v>1.7380199999999999</c:v>
                </c:pt>
                <c:pt idx="294">
                  <c:v>1.7508699999999999</c:v>
                </c:pt>
                <c:pt idx="295">
                  <c:v>1.6571800000000001</c:v>
                </c:pt>
                <c:pt idx="296">
                  <c:v>1.75983</c:v>
                </c:pt>
                <c:pt idx="297">
                  <c:v>1.8270500000000001</c:v>
                </c:pt>
                <c:pt idx="298">
                  <c:v>1.7582800000000001</c:v>
                </c:pt>
                <c:pt idx="299">
                  <c:v>1.67777</c:v>
                </c:pt>
                <c:pt idx="300">
                  <c:v>1.88581</c:v>
                </c:pt>
                <c:pt idx="301">
                  <c:v>1.77315</c:v>
                </c:pt>
                <c:pt idx="302">
                  <c:v>1.71923</c:v>
                </c:pt>
                <c:pt idx="303">
                  <c:v>1.7588200000000001</c:v>
                </c:pt>
                <c:pt idx="304">
                  <c:v>1.77274</c:v>
                </c:pt>
                <c:pt idx="305">
                  <c:v>1.81412</c:v>
                </c:pt>
                <c:pt idx="306">
                  <c:v>1.4689399999999999</c:v>
                </c:pt>
                <c:pt idx="307">
                  <c:v>1.5520099999999999</c:v>
                </c:pt>
                <c:pt idx="308">
                  <c:v>1.3375300000000001</c:v>
                </c:pt>
                <c:pt idx="309">
                  <c:v>1.3930199999999999</c:v>
                </c:pt>
                <c:pt idx="310">
                  <c:v>1.5014799999999999</c:v>
                </c:pt>
                <c:pt idx="311">
                  <c:v>1.5421</c:v>
                </c:pt>
                <c:pt idx="312">
                  <c:v>1.69933</c:v>
                </c:pt>
                <c:pt idx="313">
                  <c:v>1.7191399999999999</c:v>
                </c:pt>
                <c:pt idx="314">
                  <c:v>1.6918299999999999</c:v>
                </c:pt>
                <c:pt idx="315">
                  <c:v>1.6925300000000001</c:v>
                </c:pt>
                <c:pt idx="316">
                  <c:v>1.71868</c:v>
                </c:pt>
                <c:pt idx="317">
                  <c:v>1.71349</c:v>
                </c:pt>
                <c:pt idx="318">
                  <c:v>1.71936</c:v>
                </c:pt>
                <c:pt idx="319">
                  <c:v>1.73</c:v>
                </c:pt>
                <c:pt idx="320">
                  <c:v>1.7928299999999999</c:v>
                </c:pt>
                <c:pt idx="321">
                  <c:v>1.7352799999999999</c:v>
                </c:pt>
                <c:pt idx="322">
                  <c:v>1.91001</c:v>
                </c:pt>
                <c:pt idx="323">
                  <c:v>2.0324900000000001</c:v>
                </c:pt>
                <c:pt idx="324">
                  <c:v>2.1159599999999998</c:v>
                </c:pt>
                <c:pt idx="325">
                  <c:v>1.9049</c:v>
                </c:pt>
                <c:pt idx="326">
                  <c:v>1.8805799999999999</c:v>
                </c:pt>
                <c:pt idx="327">
                  <c:v>1.7932300000000001</c:v>
                </c:pt>
                <c:pt idx="328">
                  <c:v>1.8262</c:v>
                </c:pt>
                <c:pt idx="329">
                  <c:v>1.855</c:v>
                </c:pt>
                <c:pt idx="330">
                  <c:v>1.9527000000000001</c:v>
                </c:pt>
                <c:pt idx="331">
                  <c:v>1.8287899999999999</c:v>
                </c:pt>
                <c:pt idx="332">
                  <c:v>1.92645</c:v>
                </c:pt>
                <c:pt idx="333">
                  <c:v>1.589</c:v>
                </c:pt>
                <c:pt idx="334">
                  <c:v>1.6830000000000001</c:v>
                </c:pt>
                <c:pt idx="335">
                  <c:v>1.7262999999999999</c:v>
                </c:pt>
                <c:pt idx="336">
                  <c:v>1.72272</c:v>
                </c:pt>
                <c:pt idx="337">
                  <c:v>1.8960699999999999</c:v>
                </c:pt>
                <c:pt idx="338">
                  <c:v>1.7075400000000001</c:v>
                </c:pt>
                <c:pt idx="339">
                  <c:v>2.0187499999999998</c:v>
                </c:pt>
                <c:pt idx="340">
                  <c:v>2.3018000000000001</c:v>
                </c:pt>
                <c:pt idx="341">
                  <c:v>2.2850000000000001</c:v>
                </c:pt>
                <c:pt idx="342">
                  <c:v>2.16364</c:v>
                </c:pt>
                <c:pt idx="343">
                  <c:v>2.2947199999999999</c:v>
                </c:pt>
                <c:pt idx="344">
                  <c:v>2.1798299999999999</c:v>
                </c:pt>
                <c:pt idx="345">
                  <c:v>2.0654599999999999</c:v>
                </c:pt>
                <c:pt idx="346">
                  <c:v>2.1369899999999999</c:v>
                </c:pt>
                <c:pt idx="347">
                  <c:v>2.1608200000000002</c:v>
                </c:pt>
                <c:pt idx="348">
                  <c:v>2.3329</c:v>
                </c:pt>
                <c:pt idx="349">
                  <c:v>2.23448</c:v>
                </c:pt>
                <c:pt idx="350">
                  <c:v>2.0370900000000001</c:v>
                </c:pt>
                <c:pt idx="351">
                  <c:v>1.26668</c:v>
                </c:pt>
                <c:pt idx="352">
                  <c:v>1.0527299999999999</c:v>
                </c:pt>
                <c:pt idx="353">
                  <c:v>0.96894999999999998</c:v>
                </c:pt>
                <c:pt idx="354">
                  <c:v>0.91807000000000005</c:v>
                </c:pt>
                <c:pt idx="355">
                  <c:v>0.86500999999999995</c:v>
                </c:pt>
                <c:pt idx="356">
                  <c:v>0.94945999999999997</c:v>
                </c:pt>
                <c:pt idx="357">
                  <c:v>0.81616999999999995</c:v>
                </c:pt>
                <c:pt idx="358">
                  <c:v>0.82499999999999996</c:v>
                </c:pt>
                <c:pt idx="359">
                  <c:v>0.75205</c:v>
                </c:pt>
                <c:pt idx="360">
                  <c:v>0.78310999999999997</c:v>
                </c:pt>
                <c:pt idx="361">
                  <c:v>0.79447999999999996</c:v>
                </c:pt>
                <c:pt idx="362">
                  <c:v>0.63734000000000002</c:v>
                </c:pt>
                <c:pt idx="363">
                  <c:v>0.55281999999999998</c:v>
                </c:pt>
                <c:pt idx="364">
                  <c:v>0.55600000000000005</c:v>
                </c:pt>
                <c:pt idx="365">
                  <c:v>0.48465000000000003</c:v>
                </c:pt>
                <c:pt idx="366">
                  <c:v>0.53700999999999999</c:v>
                </c:pt>
                <c:pt idx="367">
                  <c:v>0.52985000000000004</c:v>
                </c:pt>
                <c:pt idx="368">
                  <c:v>0.55603999999999998</c:v>
                </c:pt>
                <c:pt idx="369">
                  <c:v>0.58445999999999998</c:v>
                </c:pt>
                <c:pt idx="370">
                  <c:v>0.5111</c:v>
                </c:pt>
                <c:pt idx="371">
                  <c:v>0.43565999999999999</c:v>
                </c:pt>
                <c:pt idx="372">
                  <c:v>0.52202999999999999</c:v>
                </c:pt>
                <c:pt idx="373">
                  <c:v>0.53827999999999998</c:v>
                </c:pt>
                <c:pt idx="374">
                  <c:v>0.61907000000000001</c:v>
                </c:pt>
                <c:pt idx="375">
                  <c:v>0.51876999999999995</c:v>
                </c:pt>
                <c:pt idx="376">
                  <c:v>0.46600000000000003</c:v>
                </c:pt>
                <c:pt idx="377">
                  <c:v>0.33761000000000002</c:v>
                </c:pt>
                <c:pt idx="378">
                  <c:v>0.33378999999999998</c:v>
                </c:pt>
                <c:pt idx="379">
                  <c:v>0.32500000000000001</c:v>
                </c:pt>
                <c:pt idx="380">
                  <c:v>0.27767999999999998</c:v>
                </c:pt>
                <c:pt idx="381">
                  <c:v>0.29053000000000001</c:v>
                </c:pt>
                <c:pt idx="382">
                  <c:v>0.32627</c:v>
                </c:pt>
                <c:pt idx="383">
                  <c:v>0.34849000000000002</c:v>
                </c:pt>
                <c:pt idx="384">
                  <c:v>0.32902999999999999</c:v>
                </c:pt>
                <c:pt idx="385">
                  <c:v>0.34633000000000003</c:v>
                </c:pt>
                <c:pt idx="386">
                  <c:v>0.36991000000000002</c:v>
                </c:pt>
                <c:pt idx="387">
                  <c:v>0.33822999999999998</c:v>
                </c:pt>
                <c:pt idx="388">
                  <c:v>0.30887999999999999</c:v>
                </c:pt>
                <c:pt idx="389">
                  <c:v>0.29857</c:v>
                </c:pt>
                <c:pt idx="390">
                  <c:v>0.32751000000000002</c:v>
                </c:pt>
                <c:pt idx="391">
                  <c:v>0.36169000000000001</c:v>
                </c:pt>
                <c:pt idx="392">
                  <c:v>0.35045999999999999</c:v>
                </c:pt>
                <c:pt idx="393">
                  <c:v>0.37464999999999998</c:v>
                </c:pt>
                <c:pt idx="394">
                  <c:v>0.37359999999999999</c:v>
                </c:pt>
                <c:pt idx="395">
                  <c:v>0.38084000000000001</c:v>
                </c:pt>
                <c:pt idx="396">
                  <c:v>0.39677000000000001</c:v>
                </c:pt>
                <c:pt idx="397">
                  <c:v>0.48480000000000001</c:v>
                </c:pt>
                <c:pt idx="398">
                  <c:v>0.35847000000000001</c:v>
                </c:pt>
                <c:pt idx="399">
                  <c:v>0.41045999999999999</c:v>
                </c:pt>
                <c:pt idx="400">
                  <c:v>0.41158</c:v>
                </c:pt>
                <c:pt idx="401">
                  <c:v>0.54571999999999998</c:v>
                </c:pt>
                <c:pt idx="402">
                  <c:v>0.47194999999999998</c:v>
                </c:pt>
                <c:pt idx="403">
                  <c:v>0.73826000000000003</c:v>
                </c:pt>
                <c:pt idx="404">
                  <c:v>0.47749000000000003</c:v>
                </c:pt>
                <c:pt idx="405">
                  <c:v>0.26122000000000001</c:v>
                </c:pt>
                <c:pt idx="406">
                  <c:v>0.12275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E-4DC9-BF35-A71F9BF7C962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27.821525438515895</c:v>
                </c:pt>
                <c:pt idx="1">
                  <c:v>27.849068303747689</c:v>
                </c:pt>
                <c:pt idx="2">
                  <c:v>28.272040648363074</c:v>
                </c:pt>
                <c:pt idx="3">
                  <c:v>28.095778695827182</c:v>
                </c:pt>
                <c:pt idx="4">
                  <c:v>27.869010522647155</c:v>
                </c:pt>
                <c:pt idx="5">
                  <c:v>27.787305626647157</c:v>
                </c:pt>
                <c:pt idx="6">
                  <c:v>27.587460705091011</c:v>
                </c:pt>
                <c:pt idx="7">
                  <c:v>28.19283804250847</c:v>
                </c:pt>
                <c:pt idx="8">
                  <c:v>28.590063227771626</c:v>
                </c:pt>
                <c:pt idx="9">
                  <c:v>28.421643784315375</c:v>
                </c:pt>
                <c:pt idx="10">
                  <c:v>28.536757783410401</c:v>
                </c:pt>
                <c:pt idx="11">
                  <c:v>28.725960231268871</c:v>
                </c:pt>
                <c:pt idx="12">
                  <c:v>28.65055136495986</c:v>
                </c:pt>
                <c:pt idx="13">
                  <c:v>28.497019692374828</c:v>
                </c:pt>
                <c:pt idx="14">
                  <c:v>28.308365549810727</c:v>
                </c:pt>
                <c:pt idx="15">
                  <c:v>28.813630023459371</c:v>
                </c:pt>
                <c:pt idx="16">
                  <c:v>28.487865373579496</c:v>
                </c:pt>
                <c:pt idx="17">
                  <c:v>28.192553155899937</c:v>
                </c:pt>
                <c:pt idx="18">
                  <c:v>28.458928026263571</c:v>
                </c:pt>
                <c:pt idx="19">
                  <c:v>28.400765858706571</c:v>
                </c:pt>
                <c:pt idx="20">
                  <c:v>28.548961298706569</c:v>
                </c:pt>
                <c:pt idx="21">
                  <c:v>29.02250583791011</c:v>
                </c:pt>
                <c:pt idx="22">
                  <c:v>28.725519137910108</c:v>
                </c:pt>
                <c:pt idx="23">
                  <c:v>29.166782430272665</c:v>
                </c:pt>
                <c:pt idx="24">
                  <c:v>29.075504489184734</c:v>
                </c:pt>
                <c:pt idx="25">
                  <c:v>29.275345682192551</c:v>
                </c:pt>
                <c:pt idx="26">
                  <c:v>29.206326859188255</c:v>
                </c:pt>
                <c:pt idx="27">
                  <c:v>29.039290579361268</c:v>
                </c:pt>
                <c:pt idx="28">
                  <c:v>29.152301569310328</c:v>
                </c:pt>
                <c:pt idx="29">
                  <c:v>29.028265203012541</c:v>
                </c:pt>
                <c:pt idx="30">
                  <c:v>29.382402893353934</c:v>
                </c:pt>
                <c:pt idx="31">
                  <c:v>29.824849982767201</c:v>
                </c:pt>
                <c:pt idx="32">
                  <c:v>30.1783115347672</c:v>
                </c:pt>
                <c:pt idx="33">
                  <c:v>29.87879202854646</c:v>
                </c:pt>
                <c:pt idx="34">
                  <c:v>29.724203070421463</c:v>
                </c:pt>
                <c:pt idx="35">
                  <c:v>29.980311114421465</c:v>
                </c:pt>
                <c:pt idx="36">
                  <c:v>29.718701122307639</c:v>
                </c:pt>
                <c:pt idx="37">
                  <c:v>30.166906492994663</c:v>
                </c:pt>
                <c:pt idx="38">
                  <c:v>29.538062297299945</c:v>
                </c:pt>
                <c:pt idx="39">
                  <c:v>29.647792965633275</c:v>
                </c:pt>
                <c:pt idx="40">
                  <c:v>29.411702239128132</c:v>
                </c:pt>
                <c:pt idx="41">
                  <c:v>29.256712581535012</c:v>
                </c:pt>
                <c:pt idx="42">
                  <c:v>29.54571967201888</c:v>
                </c:pt>
                <c:pt idx="43">
                  <c:v>29.910977505171058</c:v>
                </c:pt>
                <c:pt idx="44">
                  <c:v>29.674669468119927</c:v>
                </c:pt>
                <c:pt idx="45">
                  <c:v>29.454960793024387</c:v>
                </c:pt>
                <c:pt idx="46">
                  <c:v>29.778011756839419</c:v>
                </c:pt>
                <c:pt idx="47">
                  <c:v>29.658370315961371</c:v>
                </c:pt>
                <c:pt idx="48">
                  <c:v>29.639861635792592</c:v>
                </c:pt>
                <c:pt idx="49">
                  <c:v>30.084343920970401</c:v>
                </c:pt>
                <c:pt idx="50">
                  <c:v>30.627147201113257</c:v>
                </c:pt>
                <c:pt idx="51">
                  <c:v>30.027671713030163</c:v>
                </c:pt>
                <c:pt idx="52">
                  <c:v>30.24957289879557</c:v>
                </c:pt>
                <c:pt idx="53">
                  <c:v>29.639794726851132</c:v>
                </c:pt>
                <c:pt idx="54">
                  <c:v>29.792641838792303</c:v>
                </c:pt>
                <c:pt idx="55">
                  <c:v>29.524351542711212</c:v>
                </c:pt>
                <c:pt idx="56">
                  <c:v>29.612661629639316</c:v>
                </c:pt>
                <c:pt idx="57">
                  <c:v>29.64300915670195</c:v>
                </c:pt>
                <c:pt idx="58">
                  <c:v>29.817064165462561</c:v>
                </c:pt>
                <c:pt idx="59">
                  <c:v>30.084401759997274</c:v>
                </c:pt>
                <c:pt idx="60">
                  <c:v>30.335110557296311</c:v>
                </c:pt>
                <c:pt idx="61">
                  <c:v>30.419376356512686</c:v>
                </c:pt>
                <c:pt idx="62">
                  <c:v>29.149637353408952</c:v>
                </c:pt>
                <c:pt idx="63">
                  <c:v>30.736342576845846</c:v>
                </c:pt>
                <c:pt idx="64">
                  <c:v>30.518932367991219</c:v>
                </c:pt>
                <c:pt idx="65">
                  <c:v>30.569926034868097</c:v>
                </c:pt>
                <c:pt idx="66">
                  <c:v>30.472129532223025</c:v>
                </c:pt>
                <c:pt idx="67">
                  <c:v>30.621377129063642</c:v>
                </c:pt>
                <c:pt idx="68">
                  <c:v>30.952368300293156</c:v>
                </c:pt>
                <c:pt idx="69">
                  <c:v>30.820171986194794</c:v>
                </c:pt>
                <c:pt idx="70">
                  <c:v>30.509467720485421</c:v>
                </c:pt>
                <c:pt idx="71">
                  <c:v>31.170710080188584</c:v>
                </c:pt>
                <c:pt idx="72">
                  <c:v>31.013415174056508</c:v>
                </c:pt>
                <c:pt idx="73">
                  <c:v>31.066635643378262</c:v>
                </c:pt>
                <c:pt idx="74">
                  <c:v>31.483527197884698</c:v>
                </c:pt>
                <c:pt idx="75">
                  <c:v>31.572687567916851</c:v>
                </c:pt>
                <c:pt idx="76">
                  <c:v>31.592697910598847</c:v>
                </c:pt>
                <c:pt idx="77">
                  <c:v>31.752061490976367</c:v>
                </c:pt>
                <c:pt idx="78">
                  <c:v>31.772422366850989</c:v>
                </c:pt>
                <c:pt idx="79">
                  <c:v>32.030835755205267</c:v>
                </c:pt>
                <c:pt idx="80">
                  <c:v>32.448259082012783</c:v>
                </c:pt>
                <c:pt idx="81">
                  <c:v>32.048460463025435</c:v>
                </c:pt>
                <c:pt idx="82">
                  <c:v>31.746584218823852</c:v>
                </c:pt>
                <c:pt idx="83">
                  <c:v>31.508645966617042</c:v>
                </c:pt>
                <c:pt idx="84">
                  <c:v>31.945841838328633</c:v>
                </c:pt>
                <c:pt idx="85">
                  <c:v>31.396768862969687</c:v>
                </c:pt>
                <c:pt idx="86">
                  <c:v>31.221116007840433</c:v>
                </c:pt>
                <c:pt idx="87">
                  <c:v>31.453739490491035</c:v>
                </c:pt>
                <c:pt idx="88">
                  <c:v>31.441714222337193</c:v>
                </c:pt>
                <c:pt idx="89">
                  <c:v>30.860879392472853</c:v>
                </c:pt>
                <c:pt idx="90">
                  <c:v>31.100441613952622</c:v>
                </c:pt>
                <c:pt idx="91">
                  <c:v>31.234247900289255</c:v>
                </c:pt>
                <c:pt idx="92">
                  <c:v>31.43019427783619</c:v>
                </c:pt>
                <c:pt idx="93">
                  <c:v>32.284595802065567</c:v>
                </c:pt>
                <c:pt idx="94">
                  <c:v>32.637720503486456</c:v>
                </c:pt>
                <c:pt idx="95">
                  <c:v>31.896333382695193</c:v>
                </c:pt>
                <c:pt idx="96">
                  <c:v>31.248272212695191</c:v>
                </c:pt>
                <c:pt idx="97">
                  <c:v>31.334951765134214</c:v>
                </c:pt>
                <c:pt idx="98">
                  <c:v>31.925937418200039</c:v>
                </c:pt>
                <c:pt idx="99">
                  <c:v>31.128694217477669</c:v>
                </c:pt>
                <c:pt idx="100">
                  <c:v>30.268582556077479</c:v>
                </c:pt>
                <c:pt idx="101">
                  <c:v>30.118620001502137</c:v>
                </c:pt>
                <c:pt idx="102">
                  <c:v>30.198638597129669</c:v>
                </c:pt>
                <c:pt idx="103">
                  <c:v>30.357002163745054</c:v>
                </c:pt>
                <c:pt idx="104">
                  <c:v>31.100694173128751</c:v>
                </c:pt>
                <c:pt idx="105">
                  <c:v>30.147606092541363</c:v>
                </c:pt>
                <c:pt idx="106">
                  <c:v>30.242172456802397</c:v>
                </c:pt>
                <c:pt idx="107">
                  <c:v>29.974959128991749</c:v>
                </c:pt>
                <c:pt idx="108">
                  <c:v>29.821004129538196</c:v>
                </c:pt>
                <c:pt idx="109">
                  <c:v>29.887838880160764</c:v>
                </c:pt>
                <c:pt idx="110">
                  <c:v>30.121215935006582</c:v>
                </c:pt>
                <c:pt idx="111">
                  <c:v>29.889529401793727</c:v>
                </c:pt>
                <c:pt idx="112">
                  <c:v>30.043028984051791</c:v>
                </c:pt>
                <c:pt idx="113">
                  <c:v>30.048464941812608</c:v>
                </c:pt>
                <c:pt idx="114">
                  <c:v>30.118691964095078</c:v>
                </c:pt>
                <c:pt idx="115">
                  <c:v>30.022639736070385</c:v>
                </c:pt>
                <c:pt idx="116">
                  <c:v>30.056223707915045</c:v>
                </c:pt>
                <c:pt idx="117">
                  <c:v>30.035392510806606</c:v>
                </c:pt>
                <c:pt idx="118">
                  <c:v>30.04602463202918</c:v>
                </c:pt>
                <c:pt idx="119">
                  <c:v>29.782019918575944</c:v>
                </c:pt>
                <c:pt idx="120">
                  <c:v>29.748029412856646</c:v>
                </c:pt>
                <c:pt idx="121">
                  <c:v>29.858669290426214</c:v>
                </c:pt>
                <c:pt idx="122">
                  <c:v>30.142085285975561</c:v>
                </c:pt>
                <c:pt idx="123">
                  <c:v>30.567612603630284</c:v>
                </c:pt>
                <c:pt idx="124">
                  <c:v>30.548397507855928</c:v>
                </c:pt>
                <c:pt idx="125">
                  <c:v>30.458709754650798</c:v>
                </c:pt>
                <c:pt idx="126">
                  <c:v>30.764161953137283</c:v>
                </c:pt>
                <c:pt idx="127">
                  <c:v>30.673811855939341</c:v>
                </c:pt>
                <c:pt idx="128">
                  <c:v>30.498149204383441</c:v>
                </c:pt>
                <c:pt idx="129">
                  <c:v>30.710861597041117</c:v>
                </c:pt>
                <c:pt idx="130">
                  <c:v>30.890338347098918</c:v>
                </c:pt>
                <c:pt idx="131">
                  <c:v>30.945723544072283</c:v>
                </c:pt>
                <c:pt idx="132">
                  <c:v>30.84477718778593</c:v>
                </c:pt>
                <c:pt idx="133">
                  <c:v>31.049007942870105</c:v>
                </c:pt>
                <c:pt idx="134">
                  <c:v>31.285942624658343</c:v>
                </c:pt>
                <c:pt idx="135">
                  <c:v>31.033563995000549</c:v>
                </c:pt>
                <c:pt idx="136">
                  <c:v>30.920905383571977</c:v>
                </c:pt>
                <c:pt idx="137">
                  <c:v>31.177616162333884</c:v>
                </c:pt>
                <c:pt idx="138">
                  <c:v>30.744272314619597</c:v>
                </c:pt>
                <c:pt idx="139">
                  <c:v>30.761874655754546</c:v>
                </c:pt>
                <c:pt idx="140">
                  <c:v>31.177130671410215</c:v>
                </c:pt>
                <c:pt idx="141">
                  <c:v>31.201645532999617</c:v>
                </c:pt>
                <c:pt idx="142">
                  <c:v>30.92385247633295</c:v>
                </c:pt>
                <c:pt idx="143">
                  <c:v>31.496121586345193</c:v>
                </c:pt>
                <c:pt idx="144">
                  <c:v>30.484120030361215</c:v>
                </c:pt>
                <c:pt idx="145">
                  <c:v>29.892995443305676</c:v>
                </c:pt>
                <c:pt idx="146">
                  <c:v>29.767159585028438</c:v>
                </c:pt>
                <c:pt idx="147">
                  <c:v>29.718032354939943</c:v>
                </c:pt>
                <c:pt idx="148">
                  <c:v>29.920023607228874</c:v>
                </c:pt>
                <c:pt idx="149">
                  <c:v>29.502705734928195</c:v>
                </c:pt>
                <c:pt idx="150">
                  <c:v>29.778393862092376</c:v>
                </c:pt>
                <c:pt idx="151">
                  <c:v>30.110339137099327</c:v>
                </c:pt>
                <c:pt idx="152">
                  <c:v>29.9938979746603</c:v>
                </c:pt>
                <c:pt idx="153">
                  <c:v>30.086408829122874</c:v>
                </c:pt>
                <c:pt idx="154">
                  <c:v>29.749421276510681</c:v>
                </c:pt>
                <c:pt idx="155">
                  <c:v>30.201885817397727</c:v>
                </c:pt>
                <c:pt idx="156">
                  <c:v>29.947097739050044</c:v>
                </c:pt>
                <c:pt idx="157">
                  <c:v>30.428696340512886</c:v>
                </c:pt>
                <c:pt idx="158">
                  <c:v>30.691846397238166</c:v>
                </c:pt>
                <c:pt idx="159">
                  <c:v>30.59152551689429</c:v>
                </c:pt>
                <c:pt idx="160">
                  <c:v>31.298941417339702</c:v>
                </c:pt>
                <c:pt idx="161">
                  <c:v>31.143316774759704</c:v>
                </c:pt>
                <c:pt idx="162">
                  <c:v>30.141551498925292</c:v>
                </c:pt>
                <c:pt idx="163">
                  <c:v>30.373889607209982</c:v>
                </c:pt>
                <c:pt idx="164">
                  <c:v>31.059986486845631</c:v>
                </c:pt>
                <c:pt idx="165">
                  <c:v>31.56712128665529</c:v>
                </c:pt>
                <c:pt idx="166">
                  <c:v>31.31643715099375</c:v>
                </c:pt>
                <c:pt idx="167">
                  <c:v>31.498909793685442</c:v>
                </c:pt>
                <c:pt idx="168">
                  <c:v>31.072914378912717</c:v>
                </c:pt>
                <c:pt idx="169">
                  <c:v>30.230434195577502</c:v>
                </c:pt>
                <c:pt idx="170">
                  <c:v>30.595191889816146</c:v>
                </c:pt>
                <c:pt idx="171">
                  <c:v>30.269981023139181</c:v>
                </c:pt>
                <c:pt idx="172">
                  <c:v>30.078714322365595</c:v>
                </c:pt>
                <c:pt idx="173">
                  <c:v>30.349682830145017</c:v>
                </c:pt>
                <c:pt idx="174">
                  <c:v>30.245855290190477</c:v>
                </c:pt>
                <c:pt idx="175">
                  <c:v>30.127784882774492</c:v>
                </c:pt>
                <c:pt idx="176">
                  <c:v>29.786525330072561</c:v>
                </c:pt>
                <c:pt idx="177">
                  <c:v>29.611470795828172</c:v>
                </c:pt>
                <c:pt idx="178">
                  <c:v>29.943283160048754</c:v>
                </c:pt>
                <c:pt idx="179">
                  <c:v>29.514411087827323</c:v>
                </c:pt>
                <c:pt idx="180">
                  <c:v>29.741692648219662</c:v>
                </c:pt>
                <c:pt idx="181">
                  <c:v>29.48398779027773</c:v>
                </c:pt>
                <c:pt idx="182">
                  <c:v>29.20976236760059</c:v>
                </c:pt>
                <c:pt idx="183">
                  <c:v>29.330491514582235</c:v>
                </c:pt>
                <c:pt idx="184">
                  <c:v>29.397853578899131</c:v>
                </c:pt>
                <c:pt idx="185">
                  <c:v>29.295998894602526</c:v>
                </c:pt>
                <c:pt idx="186">
                  <c:v>29.99702019914908</c:v>
                </c:pt>
                <c:pt idx="187">
                  <c:v>29.962497773399082</c:v>
                </c:pt>
                <c:pt idx="188">
                  <c:v>30.220109379799251</c:v>
                </c:pt>
                <c:pt idx="189">
                  <c:v>30.071875985918002</c:v>
                </c:pt>
                <c:pt idx="190">
                  <c:v>29.88161245725593</c:v>
                </c:pt>
                <c:pt idx="191">
                  <c:v>29.689270169409145</c:v>
                </c:pt>
                <c:pt idx="192">
                  <c:v>29.737291879863438</c:v>
                </c:pt>
                <c:pt idx="193">
                  <c:v>29.902255989037123</c:v>
                </c:pt>
                <c:pt idx="194">
                  <c:v>30.009553596021739</c:v>
                </c:pt>
                <c:pt idx="195">
                  <c:v>30.13940804991168</c:v>
                </c:pt>
                <c:pt idx="196">
                  <c:v>30.280094841367987</c:v>
                </c:pt>
                <c:pt idx="197">
                  <c:v>30.440674508256969</c:v>
                </c:pt>
                <c:pt idx="198">
                  <c:v>30.30398783111233</c:v>
                </c:pt>
                <c:pt idx="199">
                  <c:v>30.482145620465698</c:v>
                </c:pt>
                <c:pt idx="200">
                  <c:v>30.717612334585723</c:v>
                </c:pt>
                <c:pt idx="201">
                  <c:v>30.756184108157022</c:v>
                </c:pt>
                <c:pt idx="202">
                  <c:v>30.729727174196913</c:v>
                </c:pt>
                <c:pt idx="203">
                  <c:v>30.466772368082093</c:v>
                </c:pt>
                <c:pt idx="204">
                  <c:v>30.665797722843472</c:v>
                </c:pt>
                <c:pt idx="205">
                  <c:v>30.924900283646352</c:v>
                </c:pt>
                <c:pt idx="206">
                  <c:v>31.281699789832835</c:v>
                </c:pt>
                <c:pt idx="207">
                  <c:v>31.586373068813103</c:v>
                </c:pt>
                <c:pt idx="208">
                  <c:v>31.290055978110921</c:v>
                </c:pt>
                <c:pt idx="209">
                  <c:v>30.684770060490219</c:v>
                </c:pt>
                <c:pt idx="210">
                  <c:v>30.420460035814717</c:v>
                </c:pt>
                <c:pt idx="211">
                  <c:v>30.560564642247567</c:v>
                </c:pt>
                <c:pt idx="212">
                  <c:v>30.291740547034053</c:v>
                </c:pt>
                <c:pt idx="213">
                  <c:v>30.512164282794924</c:v>
                </c:pt>
                <c:pt idx="214">
                  <c:v>30.436454008559103</c:v>
                </c:pt>
                <c:pt idx="215">
                  <c:v>30.253534758265676</c:v>
                </c:pt>
                <c:pt idx="216">
                  <c:v>30.064544269351707</c:v>
                </c:pt>
                <c:pt idx="217">
                  <c:v>30.379196971280756</c:v>
                </c:pt>
                <c:pt idx="218">
                  <c:v>30.361981182104849</c:v>
                </c:pt>
                <c:pt idx="219">
                  <c:v>29.894172407176594</c:v>
                </c:pt>
                <c:pt idx="220">
                  <c:v>29.867157392557896</c:v>
                </c:pt>
                <c:pt idx="221">
                  <c:v>30.308754614923583</c:v>
                </c:pt>
                <c:pt idx="222">
                  <c:v>30.080487919254736</c:v>
                </c:pt>
                <c:pt idx="223">
                  <c:v>30.206774192649394</c:v>
                </c:pt>
                <c:pt idx="224">
                  <c:v>30.41839563954581</c:v>
                </c:pt>
                <c:pt idx="225">
                  <c:v>30.445940747020096</c:v>
                </c:pt>
                <c:pt idx="226">
                  <c:v>30.870972776724628</c:v>
                </c:pt>
                <c:pt idx="227">
                  <c:v>30.880547406987777</c:v>
                </c:pt>
                <c:pt idx="228">
                  <c:v>31.032143381097455</c:v>
                </c:pt>
                <c:pt idx="229">
                  <c:v>30.78505645909318</c:v>
                </c:pt>
                <c:pt idx="230">
                  <c:v>30.735466505264903</c:v>
                </c:pt>
                <c:pt idx="231">
                  <c:v>30.947010533125464</c:v>
                </c:pt>
                <c:pt idx="232">
                  <c:v>31.153100453463303</c:v>
                </c:pt>
                <c:pt idx="233">
                  <c:v>30.9600930098735</c:v>
                </c:pt>
                <c:pt idx="234">
                  <c:v>30.74489618709703</c:v>
                </c:pt>
                <c:pt idx="235">
                  <c:v>31.155201013254285</c:v>
                </c:pt>
                <c:pt idx="236">
                  <c:v>31.152062210620951</c:v>
                </c:pt>
                <c:pt idx="237">
                  <c:v>31.356714107869127</c:v>
                </c:pt>
                <c:pt idx="238">
                  <c:v>31.696828867606747</c:v>
                </c:pt>
                <c:pt idx="239">
                  <c:v>31.115832960060576</c:v>
                </c:pt>
                <c:pt idx="240">
                  <c:v>31.177163236227894</c:v>
                </c:pt>
                <c:pt idx="241">
                  <c:v>31.350718290333415</c:v>
                </c:pt>
                <c:pt idx="242">
                  <c:v>31.190001366608758</c:v>
                </c:pt>
                <c:pt idx="243">
                  <c:v>30.954650317645825</c:v>
                </c:pt>
                <c:pt idx="244">
                  <c:v>31.060654053092001</c:v>
                </c:pt>
                <c:pt idx="245">
                  <c:v>31.396971418999819</c:v>
                </c:pt>
                <c:pt idx="246">
                  <c:v>31.619323312112986</c:v>
                </c:pt>
                <c:pt idx="247">
                  <c:v>31.59164418009718</c:v>
                </c:pt>
                <c:pt idx="248">
                  <c:v>31.412974388286411</c:v>
                </c:pt>
                <c:pt idx="249">
                  <c:v>30.958383140330859</c:v>
                </c:pt>
                <c:pt idx="250">
                  <c:v>30.973018721903056</c:v>
                </c:pt>
                <c:pt idx="251">
                  <c:v>31.170078225762914</c:v>
                </c:pt>
                <c:pt idx="252">
                  <c:v>31.151957908285866</c:v>
                </c:pt>
                <c:pt idx="253">
                  <c:v>30.789851345194435</c:v>
                </c:pt>
                <c:pt idx="254">
                  <c:v>31.2815587980052</c:v>
                </c:pt>
                <c:pt idx="255">
                  <c:v>31.275886942207119</c:v>
                </c:pt>
                <c:pt idx="256">
                  <c:v>31.550407785546909</c:v>
                </c:pt>
                <c:pt idx="257">
                  <c:v>31.644926582424421</c:v>
                </c:pt>
                <c:pt idx="258">
                  <c:v>32.131789653804177</c:v>
                </c:pt>
                <c:pt idx="259">
                  <c:v>32.021599699035974</c:v>
                </c:pt>
                <c:pt idx="260">
                  <c:v>31.929382001921027</c:v>
                </c:pt>
                <c:pt idx="261">
                  <c:v>32.327690895463029</c:v>
                </c:pt>
                <c:pt idx="262">
                  <c:v>32.102439432949716</c:v>
                </c:pt>
                <c:pt idx="263">
                  <c:v>32.209586060217184</c:v>
                </c:pt>
                <c:pt idx="264">
                  <c:v>32.22506022896026</c:v>
                </c:pt>
                <c:pt idx="265">
                  <c:v>32.351422762453005</c:v>
                </c:pt>
                <c:pt idx="266">
                  <c:v>32.478885356203378</c:v>
                </c:pt>
                <c:pt idx="267">
                  <c:v>32.349089907183576</c:v>
                </c:pt>
                <c:pt idx="268">
                  <c:v>32.164168587864353</c:v>
                </c:pt>
                <c:pt idx="269">
                  <c:v>32.440151399405394</c:v>
                </c:pt>
                <c:pt idx="270">
                  <c:v>32.626235935208598</c:v>
                </c:pt>
                <c:pt idx="271">
                  <c:v>32.638014622954429</c:v>
                </c:pt>
                <c:pt idx="272">
                  <c:v>32.440387732472864</c:v>
                </c:pt>
                <c:pt idx="273">
                  <c:v>32.328164722998913</c:v>
                </c:pt>
                <c:pt idx="274">
                  <c:v>32.354813540070168</c:v>
                </c:pt>
                <c:pt idx="275">
                  <c:v>32.41581677447617</c:v>
                </c:pt>
                <c:pt idx="276">
                  <c:v>32.228932144684308</c:v>
                </c:pt>
                <c:pt idx="277">
                  <c:v>32.047386261402146</c:v>
                </c:pt>
                <c:pt idx="278">
                  <c:v>32.075818750520149</c:v>
                </c:pt>
                <c:pt idx="279">
                  <c:v>32.261139472917449</c:v>
                </c:pt>
                <c:pt idx="280">
                  <c:v>31.814450441301947</c:v>
                </c:pt>
                <c:pt idx="281">
                  <c:v>32.229911800997954</c:v>
                </c:pt>
                <c:pt idx="282">
                  <c:v>32.478769513093525</c:v>
                </c:pt>
                <c:pt idx="283">
                  <c:v>32.274478769018472</c:v>
                </c:pt>
                <c:pt idx="284">
                  <c:v>32.590790700188045</c:v>
                </c:pt>
                <c:pt idx="285">
                  <c:v>32.584468847754898</c:v>
                </c:pt>
                <c:pt idx="286">
                  <c:v>32.902044729420616</c:v>
                </c:pt>
                <c:pt idx="287">
                  <c:v>33.069327554192043</c:v>
                </c:pt>
                <c:pt idx="288">
                  <c:v>32.995989402292317</c:v>
                </c:pt>
                <c:pt idx="289">
                  <c:v>32.810887148584058</c:v>
                </c:pt>
                <c:pt idx="290">
                  <c:v>33.227979750624755</c:v>
                </c:pt>
                <c:pt idx="291">
                  <c:v>33.227245866374389</c:v>
                </c:pt>
                <c:pt idx="292">
                  <c:v>32.937468548415815</c:v>
                </c:pt>
                <c:pt idx="293">
                  <c:v>32.568619891979793</c:v>
                </c:pt>
                <c:pt idx="294">
                  <c:v>32.700748040935821</c:v>
                </c:pt>
                <c:pt idx="295">
                  <c:v>32.483045734498575</c:v>
                </c:pt>
                <c:pt idx="296">
                  <c:v>32.446482154939865</c:v>
                </c:pt>
                <c:pt idx="297">
                  <c:v>32.687962643178778</c:v>
                </c:pt>
                <c:pt idx="298">
                  <c:v>32.356668160725469</c:v>
                </c:pt>
                <c:pt idx="299">
                  <c:v>32.119118054481675</c:v>
                </c:pt>
                <c:pt idx="300">
                  <c:v>32.623992522466331</c:v>
                </c:pt>
                <c:pt idx="301">
                  <c:v>32.35890109087385</c:v>
                </c:pt>
                <c:pt idx="302">
                  <c:v>32.309757242544741</c:v>
                </c:pt>
                <c:pt idx="303">
                  <c:v>32.298862295785611</c:v>
                </c:pt>
                <c:pt idx="304">
                  <c:v>32.658491582164324</c:v>
                </c:pt>
                <c:pt idx="305">
                  <c:v>32.646678349849573</c:v>
                </c:pt>
                <c:pt idx="306">
                  <c:v>31.803820933053913</c:v>
                </c:pt>
                <c:pt idx="307">
                  <c:v>32.012678223214145</c:v>
                </c:pt>
                <c:pt idx="308">
                  <c:v>31.718171060832351</c:v>
                </c:pt>
                <c:pt idx="309">
                  <c:v>31.887130033569761</c:v>
                </c:pt>
                <c:pt idx="310">
                  <c:v>32.044456345369277</c:v>
                </c:pt>
                <c:pt idx="311">
                  <c:v>32.311645110557848</c:v>
                </c:pt>
                <c:pt idx="312">
                  <c:v>32.536658553888394</c:v>
                </c:pt>
                <c:pt idx="313">
                  <c:v>32.55894326602067</c:v>
                </c:pt>
                <c:pt idx="314">
                  <c:v>32.853756532911284</c:v>
                </c:pt>
                <c:pt idx="315">
                  <c:v>32.887569923820543</c:v>
                </c:pt>
                <c:pt idx="316">
                  <c:v>33.118438545253511</c:v>
                </c:pt>
                <c:pt idx="317">
                  <c:v>33.034728603551642</c:v>
                </c:pt>
                <c:pt idx="318">
                  <c:v>32.960311679967319</c:v>
                </c:pt>
                <c:pt idx="319">
                  <c:v>33.176012506744094</c:v>
                </c:pt>
                <c:pt idx="320">
                  <c:v>33.351066166418171</c:v>
                </c:pt>
                <c:pt idx="321">
                  <c:v>33.243823779743366</c:v>
                </c:pt>
                <c:pt idx="322">
                  <c:v>33.480227187866447</c:v>
                </c:pt>
                <c:pt idx="323">
                  <c:v>33.787896499175872</c:v>
                </c:pt>
                <c:pt idx="324">
                  <c:v>33.896228819592359</c:v>
                </c:pt>
                <c:pt idx="325">
                  <c:v>33.669535830562154</c:v>
                </c:pt>
                <c:pt idx="326">
                  <c:v>33.46868543249095</c:v>
                </c:pt>
                <c:pt idx="327">
                  <c:v>33.415202848556255</c:v>
                </c:pt>
                <c:pt idx="328">
                  <c:v>33.449041513330002</c:v>
                </c:pt>
                <c:pt idx="329">
                  <c:v>33.375868870026387</c:v>
                </c:pt>
                <c:pt idx="330">
                  <c:v>33.562152981787627</c:v>
                </c:pt>
                <c:pt idx="331">
                  <c:v>33.515203939869082</c:v>
                </c:pt>
                <c:pt idx="332">
                  <c:v>33.590980715845681</c:v>
                </c:pt>
                <c:pt idx="333">
                  <c:v>33.124682790640456</c:v>
                </c:pt>
                <c:pt idx="334">
                  <c:v>33.03003205220746</c:v>
                </c:pt>
                <c:pt idx="335">
                  <c:v>33.170555605953375</c:v>
                </c:pt>
                <c:pt idx="336">
                  <c:v>33.13376578470919</c:v>
                </c:pt>
                <c:pt idx="337">
                  <c:v>33.55438185450172</c:v>
                </c:pt>
                <c:pt idx="338">
                  <c:v>33.313290228087475</c:v>
                </c:pt>
                <c:pt idx="339">
                  <c:v>33.17303199396347</c:v>
                </c:pt>
                <c:pt idx="340">
                  <c:v>33.193994776168523</c:v>
                </c:pt>
                <c:pt idx="341">
                  <c:v>33.132505825466573</c:v>
                </c:pt>
                <c:pt idx="342">
                  <c:v>33.321087893664526</c:v>
                </c:pt>
                <c:pt idx="343">
                  <c:v>33.541185183165233</c:v>
                </c:pt>
                <c:pt idx="344">
                  <c:v>33.197121889581901</c:v>
                </c:pt>
                <c:pt idx="345">
                  <c:v>32.654512633999985</c:v>
                </c:pt>
                <c:pt idx="346">
                  <c:v>33.041884138833559</c:v>
                </c:pt>
                <c:pt idx="347">
                  <c:v>32.766687110087929</c:v>
                </c:pt>
                <c:pt idx="348">
                  <c:v>32.751299331749713</c:v>
                </c:pt>
                <c:pt idx="349">
                  <c:v>32.98044046952829</c:v>
                </c:pt>
                <c:pt idx="350">
                  <c:v>34.133004337579017</c:v>
                </c:pt>
                <c:pt idx="351">
                  <c:v>31.656284728472098</c:v>
                </c:pt>
                <c:pt idx="352">
                  <c:v>30.216068942558429</c:v>
                </c:pt>
                <c:pt idx="353">
                  <c:v>29.904419205027928</c:v>
                </c:pt>
                <c:pt idx="354">
                  <c:v>30.07245482568662</c:v>
                </c:pt>
                <c:pt idx="355">
                  <c:v>29.452398961570911</c:v>
                </c:pt>
                <c:pt idx="356">
                  <c:v>29.899663663641814</c:v>
                </c:pt>
                <c:pt idx="357">
                  <c:v>29.597754558503109</c:v>
                </c:pt>
                <c:pt idx="358">
                  <c:v>29.454583932410181</c:v>
                </c:pt>
                <c:pt idx="359">
                  <c:v>29.011120628150763</c:v>
                </c:pt>
                <c:pt idx="360">
                  <c:v>29.452171230359209</c:v>
                </c:pt>
                <c:pt idx="361">
                  <c:v>30.318614163159449</c:v>
                </c:pt>
                <c:pt idx="362">
                  <c:v>29.004643541652751</c:v>
                </c:pt>
                <c:pt idx="363">
                  <c:v>28.504275953391367</c:v>
                </c:pt>
                <c:pt idx="364">
                  <c:v>29.755320089604243</c:v>
                </c:pt>
                <c:pt idx="365">
                  <c:v>29.044451005006856</c:v>
                </c:pt>
                <c:pt idx="366">
                  <c:v>29.319108217554938</c:v>
                </c:pt>
                <c:pt idx="367">
                  <c:v>28.813077142528655</c:v>
                </c:pt>
                <c:pt idx="368">
                  <c:v>29.626638797103073</c:v>
                </c:pt>
                <c:pt idx="369">
                  <c:v>29.616508921717273</c:v>
                </c:pt>
                <c:pt idx="370">
                  <c:v>28.29264645557182</c:v>
                </c:pt>
                <c:pt idx="371">
                  <c:v>27.502607618307344</c:v>
                </c:pt>
                <c:pt idx="372">
                  <c:v>28.840996226900376</c:v>
                </c:pt>
                <c:pt idx="373">
                  <c:v>28.948818404649312</c:v>
                </c:pt>
                <c:pt idx="374">
                  <c:v>30.451009149208957</c:v>
                </c:pt>
                <c:pt idx="375">
                  <c:v>29.265594362658515</c:v>
                </c:pt>
                <c:pt idx="376">
                  <c:v>28.246411691755281</c:v>
                </c:pt>
                <c:pt idx="377">
                  <c:v>25.874288999946213</c:v>
                </c:pt>
                <c:pt idx="378">
                  <c:v>26.464594978176859</c:v>
                </c:pt>
                <c:pt idx="379">
                  <c:v>26.726847162535975</c:v>
                </c:pt>
                <c:pt idx="380">
                  <c:v>26.316070578017559</c:v>
                </c:pt>
                <c:pt idx="381">
                  <c:v>26.61015899142312</c:v>
                </c:pt>
                <c:pt idx="382">
                  <c:v>26.308583122813172</c:v>
                </c:pt>
                <c:pt idx="383">
                  <c:v>26.899222155585154</c:v>
                </c:pt>
                <c:pt idx="384">
                  <c:v>26.530476429035559</c:v>
                </c:pt>
                <c:pt idx="385">
                  <c:v>26.500280260463526</c:v>
                </c:pt>
                <c:pt idx="386">
                  <c:v>27.343554692871901</c:v>
                </c:pt>
                <c:pt idx="387">
                  <c:v>26.597386037230599</c:v>
                </c:pt>
                <c:pt idx="388">
                  <c:v>25.675587095367241</c:v>
                </c:pt>
                <c:pt idx="389">
                  <c:v>26.201001710515602</c:v>
                </c:pt>
                <c:pt idx="390">
                  <c:v>26.782445475118838</c:v>
                </c:pt>
                <c:pt idx="391">
                  <c:v>26.919474877015293</c:v>
                </c:pt>
                <c:pt idx="392">
                  <c:v>26.942037667495292</c:v>
                </c:pt>
                <c:pt idx="393">
                  <c:v>27.365915560410855</c:v>
                </c:pt>
                <c:pt idx="394">
                  <c:v>27.476878665760456</c:v>
                </c:pt>
                <c:pt idx="395">
                  <c:v>26.813980337389584</c:v>
                </c:pt>
                <c:pt idx="396">
                  <c:v>29.023443378865192</c:v>
                </c:pt>
                <c:pt idx="397">
                  <c:v>31.469271057560245</c:v>
                </c:pt>
                <c:pt idx="398">
                  <c:v>26.92051637783846</c:v>
                </c:pt>
                <c:pt idx="399">
                  <c:v>28.092956926412782</c:v>
                </c:pt>
                <c:pt idx="400">
                  <c:v>27.646625784831151</c:v>
                </c:pt>
                <c:pt idx="401">
                  <c:v>30.126560381968808</c:v>
                </c:pt>
                <c:pt idx="402">
                  <c:v>28.498274264810565</c:v>
                </c:pt>
                <c:pt idx="403">
                  <c:v>36.331875919362744</c:v>
                </c:pt>
                <c:pt idx="404">
                  <c:v>22.687616209135715</c:v>
                </c:pt>
                <c:pt idx="405">
                  <c:v>14.745744114186261</c:v>
                </c:pt>
                <c:pt idx="406">
                  <c:v>1.6474526189658121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E-4DC9-BF35-A71F9BF7C9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2824256"/>
        <c:axId val="598833344"/>
      </c:lineChart>
      <c:dateAx>
        <c:axId val="462824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8833344"/>
        <c:crosses val="autoZero"/>
        <c:auto val="1"/>
        <c:lblOffset val="100"/>
        <c:baseTimeUnit val="days"/>
      </c:dateAx>
      <c:valAx>
        <c:axId val="59883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824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EBBA0BC-9B10-4747-9F61-268CA3584BFA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0D87C4-CBEB-4AAB-AF5D-D78F4112C1D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2.8807299999999998</v>
      </c>
      <c r="D2" s="4">
        <f>MIN(D3:D1912)</f>
        <v>0.03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8</v>
      </c>
    </row>
    <row r="5" spans="1:20" x14ac:dyDescent="0.25">
      <c r="A5" s="5">
        <v>44588</v>
      </c>
      <c r="B5">
        <v>0.40450000000000003</v>
      </c>
      <c r="C5">
        <v>0.40860000000000002</v>
      </c>
      <c r="D5">
        <v>0.39350000000000002</v>
      </c>
      <c r="E5">
        <v>0.39379999999999998</v>
      </c>
      <c r="F5">
        <v>2868257</v>
      </c>
      <c r="G5">
        <v>0.39379999999999998</v>
      </c>
      <c r="L5" t="s">
        <v>7</v>
      </c>
      <c r="M5" t="s">
        <v>7</v>
      </c>
      <c r="N5" t="s">
        <v>8</v>
      </c>
      <c r="P5">
        <f t="shared" ref="P5" si="0">IF(C5=D5,0,((E5-D5)-(C5-E5))/(C5-D5))</f>
        <v>-0.960264900662256</v>
      </c>
      <c r="Q5">
        <f t="shared" ref="Q5" si="1">F5*P5</f>
        <v>-2754286.5231788205</v>
      </c>
      <c r="R5">
        <f t="shared" ref="R5" si="2">R6+Q5</f>
        <v>2782152543.8515897</v>
      </c>
      <c r="S5">
        <f t="shared" ref="S5" si="3">R5/100000</f>
        <v>27821.525438515895</v>
      </c>
      <c r="T5">
        <f t="shared" ref="T5" si="4">S5/1000</f>
        <v>27.821525438515895</v>
      </c>
    </row>
    <row r="6" spans="1:20" x14ac:dyDescent="0.25">
      <c r="A6" s="5">
        <v>44587</v>
      </c>
      <c r="B6">
        <v>0.41439999999999999</v>
      </c>
      <c r="C6">
        <v>0.47410000000000002</v>
      </c>
      <c r="D6">
        <v>0.39610000000000001</v>
      </c>
      <c r="E6">
        <v>0.40450000000000003</v>
      </c>
      <c r="F6">
        <v>53908240</v>
      </c>
      <c r="G6">
        <v>0.40450000000000003</v>
      </c>
      <c r="L6" t="s">
        <v>8</v>
      </c>
      <c r="M6" t="s">
        <v>8</v>
      </c>
      <c r="N6" t="s">
        <v>8</v>
      </c>
      <c r="P6">
        <f t="shared" ref="P6" si="5">IF(C6=D6,0,((E6-D6)-(C6-E6))/(C6-D6))</f>
        <v>-0.78461538461538416</v>
      </c>
      <c r="Q6">
        <f t="shared" ref="Q6" si="6">F6*P6</f>
        <v>-42297234.461538434</v>
      </c>
      <c r="R6">
        <f t="shared" ref="R6" si="7">R7+Q6</f>
        <v>2784906830.3747687</v>
      </c>
      <c r="S6">
        <f t="shared" ref="S6" si="8">R6/100000</f>
        <v>27849.068303747688</v>
      </c>
      <c r="T6">
        <f t="shared" ref="T6" si="9">S6/1000</f>
        <v>27.849068303747689</v>
      </c>
    </row>
    <row r="7" spans="1:20" x14ac:dyDescent="0.25">
      <c r="A7" s="5">
        <v>44586</v>
      </c>
      <c r="B7">
        <v>0.39290000000000003</v>
      </c>
      <c r="C7">
        <v>0.42480000000000001</v>
      </c>
      <c r="D7">
        <v>0.38300000000000001</v>
      </c>
      <c r="E7">
        <v>0.41399999999999998</v>
      </c>
      <c r="F7">
        <v>36474008</v>
      </c>
      <c r="G7">
        <v>0.41399999999999998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0.48325358851674494</v>
      </c>
      <c r="Q7">
        <f t="shared" ref="Q7" si="11">F7*P7</f>
        <v>17626195.253588464</v>
      </c>
      <c r="R7">
        <f t="shared" ref="R7" si="12">R8+Q7</f>
        <v>2827204064.836307</v>
      </c>
      <c r="S7">
        <f t="shared" ref="S7" si="13">R7/100000</f>
        <v>28272.040648363072</v>
      </c>
      <c r="T7">
        <f t="shared" ref="T7" si="14">S7/1000</f>
        <v>28.272040648363074</v>
      </c>
    </row>
    <row r="8" spans="1:20" x14ac:dyDescent="0.25">
      <c r="A8" s="5">
        <v>44585</v>
      </c>
      <c r="B8">
        <v>0.4148</v>
      </c>
      <c r="C8">
        <v>0.41489999999999999</v>
      </c>
      <c r="D8">
        <v>0.34379999999999999</v>
      </c>
      <c r="E8">
        <v>0.39290000000000003</v>
      </c>
      <c r="F8">
        <v>59495266.100000001</v>
      </c>
      <c r="G8">
        <v>0.39290000000000003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0.38115330520393909</v>
      </c>
      <c r="Q8">
        <f t="shared" ref="Q8" si="16">F8*P8</f>
        <v>22676817.318002872</v>
      </c>
      <c r="R8">
        <f t="shared" ref="R8" si="17">R9+Q8</f>
        <v>2809577869.5827184</v>
      </c>
      <c r="S8">
        <f t="shared" ref="S8" si="18">R8/100000</f>
        <v>28095.778695827183</v>
      </c>
      <c r="T8">
        <f t="shared" ref="T8" si="19">S8/1000</f>
        <v>28.095778695827182</v>
      </c>
    </row>
    <row r="9" spans="1:20" x14ac:dyDescent="0.25">
      <c r="A9" s="5">
        <v>44584</v>
      </c>
      <c r="B9">
        <v>0.41570000000000001</v>
      </c>
      <c r="C9">
        <v>0.43190000000000001</v>
      </c>
      <c r="D9">
        <v>0.39190000000000003</v>
      </c>
      <c r="E9">
        <v>0.41510000000000002</v>
      </c>
      <c r="F9">
        <v>51065560</v>
      </c>
      <c r="G9">
        <v>0.41510000000000002</v>
      </c>
      <c r="L9" t="s">
        <v>8</v>
      </c>
      <c r="M9" t="s">
        <v>7</v>
      </c>
      <c r="N9" t="s">
        <v>7</v>
      </c>
      <c r="P9">
        <f t="shared" ref="P9" si="20">IF(C9=D9,0,((E9-D9)-(C9-E9))/(C9-D9))</f>
        <v>0.1600000000000005</v>
      </c>
      <c r="Q9">
        <f t="shared" ref="Q9" si="21">F9*P9</f>
        <v>8170489.6000000257</v>
      </c>
      <c r="R9">
        <f t="shared" ref="R9" si="22">R10+Q9</f>
        <v>2786901052.2647157</v>
      </c>
      <c r="S9">
        <f t="shared" ref="S9" si="23">R9/100000</f>
        <v>27869.010522647157</v>
      </c>
      <c r="T9">
        <f t="shared" ref="T9" si="24">S9/1000</f>
        <v>27.869010522647155</v>
      </c>
    </row>
    <row r="10" spans="1:20" x14ac:dyDescent="0.25">
      <c r="A10" s="5">
        <v>44583</v>
      </c>
      <c r="B10">
        <v>0.43619999999999998</v>
      </c>
      <c r="C10">
        <v>0.44419999999999998</v>
      </c>
      <c r="D10">
        <v>0.3669</v>
      </c>
      <c r="E10">
        <v>0.41570000000000001</v>
      </c>
      <c r="F10">
        <v>76098583.430000007</v>
      </c>
      <c r="G10">
        <v>0.41570000000000001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0.26261319534282079</v>
      </c>
      <c r="Q10">
        <f t="shared" ref="Q10" si="26">F10*P10</f>
        <v>19984492.155614536</v>
      </c>
      <c r="R10">
        <f t="shared" ref="R10" si="27">R11+Q10</f>
        <v>2778730562.6647158</v>
      </c>
      <c r="S10">
        <f t="shared" ref="S10" si="28">R10/100000</f>
        <v>27787.305626647158</v>
      </c>
      <c r="T10">
        <f t="shared" ref="T10" si="29">S10/1000</f>
        <v>27.787305626647157</v>
      </c>
    </row>
    <row r="11" spans="1:20" x14ac:dyDescent="0.25">
      <c r="A11" s="5">
        <v>44582</v>
      </c>
      <c r="B11">
        <v>0.50019999999999998</v>
      </c>
      <c r="C11">
        <v>0.50629999999999997</v>
      </c>
      <c r="D11">
        <v>0.41980000000000001</v>
      </c>
      <c r="E11">
        <v>0.43690000000000001</v>
      </c>
      <c r="F11">
        <v>100124550.06999999</v>
      </c>
      <c r="G11">
        <v>0.43690000000000001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-0.60462427745664715</v>
      </c>
      <c r="Q11">
        <f t="shared" ref="Q11" si="31">F11*P11</f>
        <v>-60537733.741745636</v>
      </c>
      <c r="R11">
        <f t="shared" ref="R11" si="32">R12+Q11</f>
        <v>2758746070.5091014</v>
      </c>
      <c r="S11">
        <f t="shared" ref="S11" si="33">R11/100000</f>
        <v>27587.460705091013</v>
      </c>
      <c r="T11">
        <f t="shared" ref="T11" si="34">S11/1000</f>
        <v>27.587460705091011</v>
      </c>
    </row>
    <row r="12" spans="1:20" x14ac:dyDescent="0.25">
      <c r="A12" s="5">
        <v>44581</v>
      </c>
      <c r="B12">
        <v>0.52439999999999998</v>
      </c>
      <c r="C12">
        <v>0.56159999999999999</v>
      </c>
      <c r="D12">
        <v>0.497</v>
      </c>
      <c r="E12">
        <v>0.50039999999999996</v>
      </c>
      <c r="F12">
        <v>44395756</v>
      </c>
      <c r="G12">
        <v>0.50039999999999996</v>
      </c>
      <c r="L12" t="s">
        <v>8</v>
      </c>
      <c r="M12" t="s">
        <v>7</v>
      </c>
      <c r="N12" t="s">
        <v>7</v>
      </c>
      <c r="P12">
        <f t="shared" ref="P12" si="35">IF(C12=D12,0,((E12-D12)-(C12-E12))/(C12-D12))</f>
        <v>-0.89473684210526438</v>
      </c>
      <c r="Q12">
        <f t="shared" ref="Q12" si="36">F12*P12</f>
        <v>-39722518.526315846</v>
      </c>
      <c r="R12">
        <f t="shared" ref="R12" si="37">R13+Q12</f>
        <v>2819283804.2508469</v>
      </c>
      <c r="S12">
        <f t="shared" ref="S12" si="38">R12/100000</f>
        <v>28192.838042508469</v>
      </c>
      <c r="T12">
        <f t="shared" ref="T12" si="39">S12/1000</f>
        <v>28.19283804250847</v>
      </c>
    </row>
    <row r="13" spans="1:20" x14ac:dyDescent="0.25">
      <c r="A13" s="5">
        <v>44580</v>
      </c>
      <c r="B13">
        <v>0.53100000000000003</v>
      </c>
      <c r="C13">
        <v>0.53400000000000003</v>
      </c>
      <c r="D13">
        <v>0.49880000000000002</v>
      </c>
      <c r="E13">
        <v>0.52410000000000001</v>
      </c>
      <c r="F13">
        <v>38495872.789999999</v>
      </c>
      <c r="G13">
        <v>0.52410000000000001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0.437499999999999</v>
      </c>
      <c r="Q13">
        <f t="shared" ref="Q13" si="41">F13*P13</f>
        <v>16841944.345624961</v>
      </c>
      <c r="R13">
        <f t="shared" ref="R13" si="42">R14+Q13</f>
        <v>2859006322.7771626</v>
      </c>
      <c r="S13">
        <f t="shared" ref="S13" si="43">R13/100000</f>
        <v>28590.063227771625</v>
      </c>
      <c r="T13">
        <f t="shared" ref="T13" si="44">S13/1000</f>
        <v>28.590063227771626</v>
      </c>
    </row>
    <row r="14" spans="1:20" x14ac:dyDescent="0.25">
      <c r="A14" s="5">
        <v>44579</v>
      </c>
      <c r="B14">
        <v>0.54790000000000005</v>
      </c>
      <c r="C14">
        <v>0.55900000000000005</v>
      </c>
      <c r="D14">
        <v>0.51480000000000004</v>
      </c>
      <c r="E14">
        <v>0.53090000000000004</v>
      </c>
      <c r="F14">
        <v>42400323</v>
      </c>
      <c r="G14">
        <v>0.53090000000000004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-0.2714932126696834</v>
      </c>
      <c r="Q14">
        <f t="shared" ref="Q14" si="46">F14*P14</f>
        <v>-11511399.909502268</v>
      </c>
      <c r="R14">
        <f t="shared" ref="R14" si="47">R15+Q14</f>
        <v>2842164378.4315376</v>
      </c>
      <c r="S14">
        <f t="shared" ref="S14" si="48">R14/100000</f>
        <v>28421.643784315376</v>
      </c>
      <c r="T14">
        <f t="shared" ref="T14" si="49">S14/1000</f>
        <v>28.421643784315375</v>
      </c>
    </row>
    <row r="15" spans="1:20" x14ac:dyDescent="0.25">
      <c r="A15" s="5">
        <v>44578</v>
      </c>
      <c r="B15">
        <v>0.58899999999999997</v>
      </c>
      <c r="C15">
        <v>0.59130000000000005</v>
      </c>
      <c r="D15">
        <v>0.53759999999999997</v>
      </c>
      <c r="E15">
        <v>0.54769999999999996</v>
      </c>
      <c r="F15">
        <v>30328870</v>
      </c>
      <c r="G15">
        <v>0.54769999999999996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-0.62383612662942334</v>
      </c>
      <c r="Q15">
        <f t="shared" ref="Q15" si="51">F15*P15</f>
        <v>-18920244.785847317</v>
      </c>
      <c r="R15">
        <f t="shared" ref="R15" si="52">R16+Q15</f>
        <v>2853675778.3410401</v>
      </c>
      <c r="S15">
        <f t="shared" ref="S15" si="53">R15/100000</f>
        <v>28536.757783410401</v>
      </c>
      <c r="T15">
        <f t="shared" ref="T15" si="54">S15/1000</f>
        <v>28.536757783410401</v>
      </c>
    </row>
    <row r="16" spans="1:20" x14ac:dyDescent="0.25">
      <c r="A16" s="5">
        <v>44577</v>
      </c>
      <c r="B16">
        <v>0.59460000000000002</v>
      </c>
      <c r="C16">
        <v>0.59640000000000004</v>
      </c>
      <c r="D16">
        <v>0.57310000000000005</v>
      </c>
      <c r="E16">
        <v>0.58889999999999998</v>
      </c>
      <c r="F16">
        <v>21168995</v>
      </c>
      <c r="G16">
        <v>0.58889999999999998</v>
      </c>
      <c r="L16" t="s">
        <v>8</v>
      </c>
      <c r="M16" t="s">
        <v>8</v>
      </c>
      <c r="N16" t="s">
        <v>7</v>
      </c>
      <c r="P16">
        <f t="shared" ref="P16" si="55">IF(C16=D16,0,((E16-D16)-(C16-E16))/(C16-D16))</f>
        <v>0.35622317596565956</v>
      </c>
      <c r="Q16">
        <f t="shared" ref="Q16" si="56">F16*P16</f>
        <v>7540886.6309011672</v>
      </c>
      <c r="R16">
        <f t="shared" ref="R16" si="57">R17+Q16</f>
        <v>2872596023.1268873</v>
      </c>
      <c r="S16">
        <f t="shared" ref="S16" si="58">R16/100000</f>
        <v>28725.960231268873</v>
      </c>
      <c r="T16">
        <f t="shared" ref="T16" si="59">S16/1000</f>
        <v>28.725960231268871</v>
      </c>
    </row>
    <row r="17" spans="1:20" x14ac:dyDescent="0.25">
      <c r="A17" s="5">
        <v>44576</v>
      </c>
      <c r="B17">
        <v>0.57899999999999996</v>
      </c>
      <c r="C17">
        <v>0.59989999999999999</v>
      </c>
      <c r="D17">
        <v>0.57050000000000001</v>
      </c>
      <c r="E17">
        <v>0.59489999999999998</v>
      </c>
      <c r="F17">
        <v>23267171</v>
      </c>
      <c r="G17">
        <v>0.59489999999999998</v>
      </c>
      <c r="L17" t="s">
        <v>8</v>
      </c>
      <c r="M17" t="s">
        <v>8</v>
      </c>
      <c r="N17" t="s">
        <v>7</v>
      </c>
      <c r="P17">
        <f t="shared" ref="P17" si="60">IF(C17=D17,0,((E17-D17)-(C17-E17))/(C17-D17))</f>
        <v>0.6598639455782308</v>
      </c>
      <c r="Q17">
        <f t="shared" ref="Q17" si="61">F17*P17</f>
        <v>15353167.25850339</v>
      </c>
      <c r="R17">
        <f t="shared" ref="R17" si="62">R18+Q17</f>
        <v>2865055136.495986</v>
      </c>
      <c r="S17">
        <f t="shared" ref="S17" si="63">R17/100000</f>
        <v>28650.551364959862</v>
      </c>
      <c r="T17">
        <f t="shared" ref="T17" si="64">S17/1000</f>
        <v>28.65055136495986</v>
      </c>
    </row>
    <row r="18" spans="1:20" x14ac:dyDescent="0.25">
      <c r="A18" s="5">
        <v>44575</v>
      </c>
      <c r="B18">
        <v>0.57079999999999997</v>
      </c>
      <c r="C18">
        <v>0.58630000000000004</v>
      </c>
      <c r="D18">
        <v>0.55510000000000004</v>
      </c>
      <c r="E18">
        <v>0.57930000000000004</v>
      </c>
      <c r="F18">
        <v>34220984</v>
      </c>
      <c r="G18">
        <v>0.57930000000000004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0.55128205128205099</v>
      </c>
      <c r="Q18">
        <f t="shared" ref="Q18" si="66">F18*P18</f>
        <v>18865414.256410245</v>
      </c>
      <c r="R18">
        <f t="shared" ref="R18" si="67">R19+Q18</f>
        <v>2849701969.2374825</v>
      </c>
      <c r="S18">
        <f t="shared" ref="S18" si="68">R18/100000</f>
        <v>28497.019692374826</v>
      </c>
      <c r="T18">
        <f t="shared" ref="T18" si="69">S18/1000</f>
        <v>28.497019692374828</v>
      </c>
    </row>
    <row r="19" spans="1:20" x14ac:dyDescent="0.25">
      <c r="A19" s="5">
        <v>44574</v>
      </c>
      <c r="B19">
        <v>0.59409999999999996</v>
      </c>
      <c r="C19">
        <v>0.62639999999999996</v>
      </c>
      <c r="D19">
        <v>0.56720000000000004</v>
      </c>
      <c r="E19">
        <v>0.57079999999999997</v>
      </c>
      <c r="F19">
        <v>57522417</v>
      </c>
      <c r="G19">
        <v>0.57079999999999997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-0.8783783783783804</v>
      </c>
      <c r="Q19">
        <f t="shared" ref="Q19" si="71">F19*P19</f>
        <v>-50526447.364864983</v>
      </c>
      <c r="R19">
        <f t="shared" ref="R19" si="72">R20+Q19</f>
        <v>2830836554.9810724</v>
      </c>
      <c r="S19">
        <f t="shared" ref="S19" si="73">R19/100000</f>
        <v>28308.365549810725</v>
      </c>
      <c r="T19">
        <f t="shared" ref="T19" si="74">S19/1000</f>
        <v>28.308365549810727</v>
      </c>
    </row>
    <row r="20" spans="1:20" x14ac:dyDescent="0.25">
      <c r="A20" s="5">
        <v>44573</v>
      </c>
      <c r="B20">
        <v>0.56840000000000002</v>
      </c>
      <c r="C20">
        <v>0.59760000000000002</v>
      </c>
      <c r="D20">
        <v>0.56430000000000002</v>
      </c>
      <c r="E20">
        <v>0.59409999999999996</v>
      </c>
      <c r="F20">
        <v>41247007</v>
      </c>
      <c r="G20">
        <v>0.59409999999999996</v>
      </c>
      <c r="L20" t="s">
        <v>8</v>
      </c>
      <c r="M20" t="s">
        <v>7</v>
      </c>
      <c r="N20" t="s">
        <v>7</v>
      </c>
      <c r="P20">
        <f t="shared" ref="P20" si="75">IF(C20=D20,0,((E20-D20)-(C20-E20))/(C20-D20))</f>
        <v>0.7897897897897862</v>
      </c>
      <c r="Q20">
        <f t="shared" ref="Q20" si="76">F20*P20</f>
        <v>32576464.987987839</v>
      </c>
      <c r="R20">
        <f t="shared" ref="R20" si="77">R21+Q20</f>
        <v>2881363002.3459373</v>
      </c>
      <c r="S20">
        <f t="shared" ref="S20" si="78">R20/100000</f>
        <v>28813.630023459373</v>
      </c>
      <c r="T20">
        <f t="shared" ref="T20" si="79">S20/1000</f>
        <v>28.813630023459371</v>
      </c>
    </row>
    <row r="21" spans="1:20" x14ac:dyDescent="0.25">
      <c r="A21" s="5">
        <v>44572</v>
      </c>
      <c r="B21">
        <v>0.54249999999999998</v>
      </c>
      <c r="C21">
        <v>0.57269999999999999</v>
      </c>
      <c r="D21">
        <v>0.53649999999999998</v>
      </c>
      <c r="E21">
        <v>0.56859999999999999</v>
      </c>
      <c r="F21">
        <v>38179651</v>
      </c>
      <c r="G21">
        <v>0.56859999999999999</v>
      </c>
      <c r="L21" t="s">
        <v>7</v>
      </c>
      <c r="M21" t="s">
        <v>7</v>
      </c>
      <c r="N21" t="s">
        <v>7</v>
      </c>
      <c r="P21">
        <f t="shared" ref="P21" si="80">IF(C21=D21,0,((E21-D21)-(C21-E21))/(C21-D21))</f>
        <v>0.77348066298342588</v>
      </c>
      <c r="Q21">
        <f t="shared" ref="Q21" si="81">F21*P21</f>
        <v>29531221.767955817</v>
      </c>
      <c r="R21">
        <f t="shared" ref="R21" si="82">R22+Q21</f>
        <v>2848786537.3579493</v>
      </c>
      <c r="S21">
        <f t="shared" ref="S21" si="83">R21/100000</f>
        <v>28487.865373579494</v>
      </c>
      <c r="T21">
        <f t="shared" ref="T21" si="84">S21/1000</f>
        <v>28.487865373579496</v>
      </c>
    </row>
    <row r="22" spans="1:20" x14ac:dyDescent="0.25">
      <c r="A22" s="5">
        <v>44571</v>
      </c>
      <c r="B22">
        <v>0.58379999999999999</v>
      </c>
      <c r="C22">
        <v>0.6</v>
      </c>
      <c r="D22">
        <v>0.52080000000000004</v>
      </c>
      <c r="E22">
        <v>0.54239999999999999</v>
      </c>
      <c r="F22">
        <v>58602471.479999997</v>
      </c>
      <c r="G22">
        <v>0.54239999999999999</v>
      </c>
      <c r="L22" t="s">
        <v>8</v>
      </c>
      <c r="M22" t="s">
        <v>7</v>
      </c>
      <c r="N22" t="s">
        <v>7</v>
      </c>
      <c r="P22">
        <f t="shared" ref="P22" si="85">IF(C22=D22,0,((E22-D22)-(C22-E22))/(C22-D22))</f>
        <v>-0.45454545454545531</v>
      </c>
      <c r="Q22">
        <f t="shared" ref="Q22" si="86">F22*P22</f>
        <v>-26637487.03636368</v>
      </c>
      <c r="R22">
        <f t="shared" ref="R22" si="87">R23+Q22</f>
        <v>2819255315.5899935</v>
      </c>
      <c r="S22">
        <f t="shared" ref="S22" si="88">R22/100000</f>
        <v>28192.553155899936</v>
      </c>
      <c r="T22">
        <f t="shared" ref="T22" si="89">S22/1000</f>
        <v>28.192553155899937</v>
      </c>
    </row>
    <row r="23" spans="1:20" x14ac:dyDescent="0.25">
      <c r="A23" s="5">
        <v>44570</v>
      </c>
      <c r="B23">
        <v>0.57330000000000003</v>
      </c>
      <c r="C23">
        <v>0.59630000000000005</v>
      </c>
      <c r="D23">
        <v>0.56559999999999999</v>
      </c>
      <c r="E23">
        <v>0.58350000000000002</v>
      </c>
      <c r="F23">
        <v>35011344</v>
      </c>
      <c r="G23">
        <v>0.58350000000000002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0.16612377850162813</v>
      </c>
      <c r="Q23">
        <f t="shared" ref="Q23" si="91">F23*P23</f>
        <v>5816216.755700307</v>
      </c>
      <c r="R23">
        <f t="shared" ref="R23" si="92">R24+Q23</f>
        <v>2845892802.6263571</v>
      </c>
      <c r="S23">
        <f t="shared" ref="S23" si="93">R23/100000</f>
        <v>28458.928026263569</v>
      </c>
      <c r="T23">
        <f t="shared" ref="T23" si="94">S23/1000</f>
        <v>28.458928026263571</v>
      </c>
    </row>
    <row r="24" spans="1:20" x14ac:dyDescent="0.25">
      <c r="A24" s="5">
        <v>44569</v>
      </c>
      <c r="B24">
        <v>0.59360000000000002</v>
      </c>
      <c r="C24">
        <v>0.62080000000000002</v>
      </c>
      <c r="D24">
        <v>0.54579999999999995</v>
      </c>
      <c r="E24">
        <v>0.57330000000000003</v>
      </c>
      <c r="F24">
        <v>55573290</v>
      </c>
      <c r="G24">
        <v>0.57330000000000003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-0.26666666666666516</v>
      </c>
      <c r="Q24">
        <f t="shared" ref="Q24" si="96">F24*P24</f>
        <v>-14819543.999999916</v>
      </c>
      <c r="R24">
        <f t="shared" ref="R24" si="97">R25+Q24</f>
        <v>2840076585.870657</v>
      </c>
      <c r="S24">
        <f t="shared" ref="S24" si="98">R24/100000</f>
        <v>28400.765858706571</v>
      </c>
      <c r="T24">
        <f t="shared" ref="T24" si="99">S24/1000</f>
        <v>28.400765858706571</v>
      </c>
    </row>
    <row r="25" spans="1:20" x14ac:dyDescent="0.25">
      <c r="A25" s="5">
        <v>44568</v>
      </c>
      <c r="B25">
        <v>0.63660000000000005</v>
      </c>
      <c r="C25">
        <v>0.63900000000000001</v>
      </c>
      <c r="D25">
        <v>0.58250000000000002</v>
      </c>
      <c r="E25">
        <v>0.59350000000000003</v>
      </c>
      <c r="F25">
        <v>77551497</v>
      </c>
      <c r="G25">
        <v>0.59350000000000003</v>
      </c>
      <c r="L25" t="s">
        <v>7</v>
      </c>
      <c r="M25" t="s">
        <v>7</v>
      </c>
      <c r="N25" t="s">
        <v>8</v>
      </c>
      <c r="P25">
        <f t="shared" ref="P25" si="100">IF(C25=D25,0,((E25-D25)-(C25-E25))/(C25-D25))</f>
        <v>-0.61061946902654829</v>
      </c>
      <c r="Q25">
        <f t="shared" ref="Q25" si="101">F25*P25</f>
        <v>-47354453.920353949</v>
      </c>
      <c r="R25">
        <f t="shared" ref="R25" si="102">R26+Q25</f>
        <v>2854896129.870657</v>
      </c>
      <c r="S25">
        <f t="shared" ref="S25" si="103">R25/100000</f>
        <v>28548.96129870657</v>
      </c>
      <c r="T25">
        <f t="shared" ref="T25" si="104">S25/1000</f>
        <v>28.548961298706569</v>
      </c>
    </row>
    <row r="26" spans="1:20" x14ac:dyDescent="0.25">
      <c r="A26" s="5">
        <v>44567</v>
      </c>
      <c r="B26">
        <v>0.63</v>
      </c>
      <c r="C26">
        <v>0.6452</v>
      </c>
      <c r="D26">
        <v>0.60560000000000003</v>
      </c>
      <c r="E26">
        <v>0.63639999999999997</v>
      </c>
      <c r="F26">
        <v>53457606</v>
      </c>
      <c r="G26">
        <v>0.63639999999999997</v>
      </c>
      <c r="L26" t="s">
        <v>7</v>
      </c>
      <c r="M26" t="s">
        <v>7</v>
      </c>
      <c r="N26" t="s">
        <v>8</v>
      </c>
      <c r="P26">
        <f t="shared" ref="P26" si="105">IF(C26=D26,0,((E26-D26)-(C26-E26))/(C26-D26))</f>
        <v>0.55555555555555369</v>
      </c>
      <c r="Q26">
        <f t="shared" ref="Q26" si="106">F26*P26</f>
        <v>29698669.999999899</v>
      </c>
      <c r="R26">
        <f t="shared" ref="R26" si="107">R27+Q26</f>
        <v>2902250583.7910109</v>
      </c>
      <c r="S26">
        <f t="shared" ref="S26" si="108">R26/100000</f>
        <v>29022.50583791011</v>
      </c>
      <c r="T26">
        <f t="shared" ref="T26" si="109">S26/1000</f>
        <v>29.02250583791011</v>
      </c>
    </row>
    <row r="27" spans="1:20" x14ac:dyDescent="0.25">
      <c r="A27" s="5">
        <v>44566</v>
      </c>
      <c r="B27">
        <v>0.67859999999999998</v>
      </c>
      <c r="C27">
        <v>0.73170000000000002</v>
      </c>
      <c r="D27">
        <v>0.59709999999999996</v>
      </c>
      <c r="E27">
        <v>0.63009999999999999</v>
      </c>
      <c r="F27">
        <v>86580232</v>
      </c>
      <c r="G27">
        <v>0.63009999999999999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-0.50965824665676052</v>
      </c>
      <c r="Q27">
        <f t="shared" ref="Q27" si="111">F27*P27</f>
        <v>-44126329.236255549</v>
      </c>
      <c r="R27">
        <f t="shared" ref="R27" si="112">R28+Q27</f>
        <v>2872551913.7910109</v>
      </c>
      <c r="S27">
        <f t="shared" ref="S27" si="113">R27/100000</f>
        <v>28725.519137910109</v>
      </c>
      <c r="T27">
        <f t="shared" ref="T27" si="114">S27/1000</f>
        <v>28.725519137910108</v>
      </c>
    </row>
    <row r="28" spans="1:20" x14ac:dyDescent="0.25">
      <c r="A28" s="5">
        <v>44565</v>
      </c>
      <c r="B28">
        <v>0.65820000000000001</v>
      </c>
      <c r="C28">
        <v>0.70740000000000003</v>
      </c>
      <c r="D28">
        <v>0.64029999999999998</v>
      </c>
      <c r="E28">
        <v>0.67869999999999997</v>
      </c>
      <c r="F28">
        <v>63141751</v>
      </c>
      <c r="G28">
        <v>0.67869999999999997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0.14456035767511063</v>
      </c>
      <c r="Q28">
        <f t="shared" ref="Q28" si="116">F28*P28</f>
        <v>9127794.1087927744</v>
      </c>
      <c r="R28">
        <f t="shared" ref="R28" si="117">R29+Q28</f>
        <v>2916678243.0272665</v>
      </c>
      <c r="S28">
        <f t="shared" ref="S28" si="118">R28/100000</f>
        <v>29166.782430272666</v>
      </c>
      <c r="T28">
        <f t="shared" ref="T28" si="119">S28/1000</f>
        <v>29.166782430272665</v>
      </c>
    </row>
    <row r="29" spans="1:20" x14ac:dyDescent="0.25">
      <c r="A29" s="5">
        <v>44564</v>
      </c>
      <c r="B29">
        <v>0.6764</v>
      </c>
      <c r="C29">
        <v>0.69499999999999995</v>
      </c>
      <c r="D29">
        <v>0.64380000000000004</v>
      </c>
      <c r="E29">
        <v>0.65810000000000002</v>
      </c>
      <c r="F29">
        <v>45273757</v>
      </c>
      <c r="G29">
        <v>0.65810000000000002</v>
      </c>
      <c r="L29" t="s">
        <v>7</v>
      </c>
      <c r="M29" t="s">
        <v>7</v>
      </c>
      <c r="N29" t="s">
        <v>8</v>
      </c>
      <c r="P29">
        <f t="shared" ref="P29" si="120">IF(C29=D29,0,((E29-D29)-(C29-E29))/(C29-D29))</f>
        <v>-0.44140624999999983</v>
      </c>
      <c r="Q29">
        <f t="shared" ref="Q29" si="121">F29*P29</f>
        <v>-19984119.300781243</v>
      </c>
      <c r="R29">
        <f t="shared" ref="R29" si="122">R30+Q29</f>
        <v>2907550448.9184737</v>
      </c>
      <c r="S29">
        <f t="shared" ref="S29" si="123">R29/100000</f>
        <v>29075.504489184736</v>
      </c>
      <c r="T29">
        <f t="shared" ref="T29" si="124">S29/1000</f>
        <v>29.075504489184734</v>
      </c>
    </row>
    <row r="30" spans="1:20" x14ac:dyDescent="0.25">
      <c r="A30" s="5">
        <v>44563</v>
      </c>
      <c r="B30">
        <v>0.6643</v>
      </c>
      <c r="C30">
        <v>0.69499999999999995</v>
      </c>
      <c r="D30">
        <v>0.64839999999999998</v>
      </c>
      <c r="E30">
        <v>0.67649999999999999</v>
      </c>
      <c r="F30">
        <v>33502887</v>
      </c>
      <c r="G30">
        <v>0.67649999999999999</v>
      </c>
      <c r="L30" t="s">
        <v>8</v>
      </c>
      <c r="M30" t="s">
        <v>7</v>
      </c>
      <c r="N30" t="s">
        <v>8</v>
      </c>
      <c r="P30">
        <f t="shared" ref="P30" si="125">IF(C30=D30,0,((E30-D30)-(C30-E30))/(C30-D30))</f>
        <v>0.20600858369098837</v>
      </c>
      <c r="Q30">
        <f t="shared" ref="Q30" si="126">F30*P30</f>
        <v>6901882.3004292268</v>
      </c>
      <c r="R30">
        <f t="shared" ref="R30" si="127">R31+Q30</f>
        <v>2927534568.219255</v>
      </c>
      <c r="S30">
        <f t="shared" ref="S30" si="128">R30/100000</f>
        <v>29275.34568219255</v>
      </c>
      <c r="T30">
        <f t="shared" ref="T30" si="129">S30/1000</f>
        <v>29.275345682192551</v>
      </c>
    </row>
    <row r="31" spans="1:20" x14ac:dyDescent="0.25">
      <c r="A31" s="5">
        <v>44562</v>
      </c>
      <c r="B31">
        <v>0.64249999999999996</v>
      </c>
      <c r="C31">
        <v>0.66659999999999997</v>
      </c>
      <c r="D31">
        <v>0.63770000000000004</v>
      </c>
      <c r="E31">
        <v>0.66449999999999998</v>
      </c>
      <c r="F31">
        <v>19543921</v>
      </c>
      <c r="G31">
        <v>0.66449999999999998</v>
      </c>
      <c r="L31" t="s">
        <v>8</v>
      </c>
      <c r="M31" t="s">
        <v>7</v>
      </c>
      <c r="N31" t="s">
        <v>8</v>
      </c>
      <c r="P31">
        <f t="shared" ref="P31" si="130">IF(C31=D31,0,((E31-D31)-(C31-E31))/(C31-D31))</f>
        <v>0.85467128027681682</v>
      </c>
      <c r="Q31">
        <f t="shared" ref="Q31" si="131">F31*P31</f>
        <v>16703627.982698966</v>
      </c>
      <c r="R31">
        <f t="shared" ref="R31" si="132">R32+Q31</f>
        <v>2920632685.9188256</v>
      </c>
      <c r="S31">
        <f t="shared" ref="S31" si="133">R31/100000</f>
        <v>29206.326859188255</v>
      </c>
      <c r="T31">
        <f t="shared" ref="T31" si="134">S31/1000</f>
        <v>29.206326859188255</v>
      </c>
    </row>
    <row r="32" spans="1:20" x14ac:dyDescent="0.25">
      <c r="A32" s="5">
        <v>44561</v>
      </c>
      <c r="B32">
        <v>0.64649999999999996</v>
      </c>
      <c r="C32">
        <v>0.68</v>
      </c>
      <c r="D32">
        <v>0.62109999999999999</v>
      </c>
      <c r="E32">
        <v>0.64190000000000003</v>
      </c>
      <c r="F32">
        <v>38475996</v>
      </c>
      <c r="G32">
        <v>0.64190000000000003</v>
      </c>
      <c r="L32" t="s">
        <v>8</v>
      </c>
      <c r="M32" t="s">
        <v>7</v>
      </c>
      <c r="N32" t="s">
        <v>8</v>
      </c>
      <c r="P32">
        <f t="shared" ref="P32" si="135">IF(C32=D32,0,((E32-D32)-(C32-E32))/(C32-D32))</f>
        <v>-0.29371816638370057</v>
      </c>
      <c r="Q32">
        <f t="shared" ref="Q32" si="136">F32*P32</f>
        <v>-11301098.994906597</v>
      </c>
      <c r="R32">
        <f t="shared" ref="R32" si="137">R33+Q32</f>
        <v>2903929057.9361267</v>
      </c>
      <c r="S32">
        <f t="shared" ref="S32" si="138">R32/100000</f>
        <v>29039.290579361266</v>
      </c>
      <c r="T32">
        <f t="shared" ref="T32" si="139">S32/1000</f>
        <v>29.039290579361268</v>
      </c>
    </row>
    <row r="33" spans="1:20" x14ac:dyDescent="0.25">
      <c r="A33" s="5">
        <v>44560</v>
      </c>
      <c r="B33">
        <v>0.63270000000000004</v>
      </c>
      <c r="C33">
        <v>0.66159999999999997</v>
      </c>
      <c r="D33">
        <v>0.6119</v>
      </c>
      <c r="E33">
        <v>0.64610000000000001</v>
      </c>
      <c r="F33">
        <v>32965815</v>
      </c>
      <c r="G33">
        <v>0.64610000000000001</v>
      </c>
      <c r="L33" t="s">
        <v>7</v>
      </c>
      <c r="M33" t="s">
        <v>7</v>
      </c>
      <c r="N33" t="s">
        <v>8</v>
      </c>
      <c r="P33">
        <f t="shared" ref="P33" si="140">IF(C33=D33,0,((E33-D33)-(C33-E33))/(C33-D33))</f>
        <v>0.37625754527163102</v>
      </c>
      <c r="Q33">
        <f t="shared" ref="Q33" si="141">F33*P33</f>
        <v>12403636.629778713</v>
      </c>
      <c r="R33">
        <f t="shared" ref="R33" si="142">R34+Q33</f>
        <v>2915230156.9310331</v>
      </c>
      <c r="S33">
        <f t="shared" ref="S33" si="143">R33/100000</f>
        <v>29152.30156931033</v>
      </c>
      <c r="T33">
        <f t="shared" ref="T33" si="144">S33/1000</f>
        <v>29.152301569310328</v>
      </c>
    </row>
    <row r="34" spans="1:20" x14ac:dyDescent="0.25">
      <c r="A34" s="5">
        <v>44559</v>
      </c>
      <c r="B34">
        <v>0.6653</v>
      </c>
      <c r="C34">
        <v>0.69369999999999998</v>
      </c>
      <c r="D34">
        <v>0.62339999999999995</v>
      </c>
      <c r="E34">
        <v>0.63300000000000001</v>
      </c>
      <c r="F34">
        <v>48719921</v>
      </c>
      <c r="G34">
        <v>0.63300000000000001</v>
      </c>
      <c r="L34" t="s">
        <v>7</v>
      </c>
      <c r="M34" t="s">
        <v>7</v>
      </c>
      <c r="N34" t="s">
        <v>8</v>
      </c>
      <c r="P34">
        <f t="shared" ref="P34" si="145">IF(C34=D34,0,((E34-D34)-(C34-E34))/(C34-D34))</f>
        <v>-0.7268847795163571</v>
      </c>
      <c r="Q34">
        <f t="shared" ref="Q34" si="146">F34*P34</f>
        <v>-35413769.034139335</v>
      </c>
      <c r="R34">
        <f t="shared" ref="R34" si="147">R35+Q34</f>
        <v>2902826520.3012543</v>
      </c>
      <c r="S34">
        <f t="shared" ref="S34" si="148">R34/100000</f>
        <v>29028.265203012543</v>
      </c>
      <c r="T34">
        <f t="shared" ref="T34" si="149">S34/1000</f>
        <v>29.028265203012541</v>
      </c>
    </row>
    <row r="35" spans="1:20" x14ac:dyDescent="0.25">
      <c r="A35" s="5">
        <v>44558</v>
      </c>
      <c r="B35">
        <v>0.73740000000000006</v>
      </c>
      <c r="C35">
        <v>0.73909999999999998</v>
      </c>
      <c r="D35">
        <v>0.66069999999999995</v>
      </c>
      <c r="E35">
        <v>0.66539999999999999</v>
      </c>
      <c r="F35">
        <v>50272249</v>
      </c>
      <c r="G35">
        <v>0.66539999999999999</v>
      </c>
      <c r="L35" t="s">
        <v>7</v>
      </c>
      <c r="M35" t="s">
        <v>8</v>
      </c>
      <c r="N35" t="s">
        <v>8</v>
      </c>
      <c r="P35">
        <f t="shared" ref="P35" si="150">IF(C35=D35,0,((E35-D35)-(C35-E35))/(C35-D35))</f>
        <v>-0.88010204081632559</v>
      </c>
      <c r="Q35">
        <f t="shared" ref="Q35" si="151">F35*P35</f>
        <v>-44244708.941326484</v>
      </c>
      <c r="R35">
        <f t="shared" ref="R35" si="152">R36+Q35</f>
        <v>2938240289.3353934</v>
      </c>
      <c r="S35">
        <f t="shared" ref="S35" si="153">R35/100000</f>
        <v>29382.402893353934</v>
      </c>
      <c r="T35">
        <f t="shared" ref="T35" si="154">S35/1000</f>
        <v>29.382402893353934</v>
      </c>
    </row>
    <row r="36" spans="1:20" x14ac:dyDescent="0.25">
      <c r="A36" s="5">
        <v>44557</v>
      </c>
      <c r="B36">
        <v>0.73540000000000005</v>
      </c>
      <c r="C36">
        <v>0.77700000000000002</v>
      </c>
      <c r="D36">
        <v>0.73299999999999998</v>
      </c>
      <c r="E36">
        <v>0.73740000000000006</v>
      </c>
      <c r="F36">
        <v>44182694</v>
      </c>
      <c r="G36">
        <v>0.73740000000000006</v>
      </c>
      <c r="L36" t="s">
        <v>8</v>
      </c>
      <c r="M36" t="s">
        <v>8</v>
      </c>
      <c r="N36" t="s">
        <v>8</v>
      </c>
      <c r="P36">
        <f t="shared" ref="P36" si="155">IF(C36=D36,0,((E36-D36)-(C36-E36))/(C36-D36))</f>
        <v>-0.79999999999999694</v>
      </c>
      <c r="Q36">
        <f t="shared" ref="Q36" si="156">F36*P36</f>
        <v>-35346155.199999861</v>
      </c>
      <c r="R36">
        <f t="shared" ref="R36" si="157">R37+Q36</f>
        <v>2982484998.27672</v>
      </c>
      <c r="S36">
        <f t="shared" ref="S36" si="158">R36/100000</f>
        <v>29824.849982767202</v>
      </c>
      <c r="T36">
        <f t="shared" ref="T36" si="159">S36/1000</f>
        <v>29.824849982767201</v>
      </c>
    </row>
    <row r="37" spans="1:20" x14ac:dyDescent="0.25">
      <c r="A37" s="5">
        <v>44556</v>
      </c>
      <c r="B37">
        <v>0.72009999999999996</v>
      </c>
      <c r="C37">
        <v>0.74490000000000001</v>
      </c>
      <c r="D37">
        <v>0.68510000000000004</v>
      </c>
      <c r="E37">
        <v>0.73519999999999996</v>
      </c>
      <c r="F37">
        <v>44334818</v>
      </c>
      <c r="G37">
        <v>0.73519999999999996</v>
      </c>
      <c r="L37" t="s">
        <v>8</v>
      </c>
      <c r="M37" t="s">
        <v>8</v>
      </c>
      <c r="N37" t="s">
        <v>8</v>
      </c>
      <c r="P37">
        <f t="shared" ref="P37" si="160">IF(C37=D37,0,((E37-D37)-(C37-E37))/(C37-D37))</f>
        <v>0.67558528428093489</v>
      </c>
      <c r="Q37">
        <f t="shared" ref="Q37" si="161">F37*P37</f>
        <v>29951950.622073509</v>
      </c>
      <c r="R37">
        <f t="shared" ref="R37" si="162">R38+Q37</f>
        <v>3017831153.4767199</v>
      </c>
      <c r="S37">
        <f t="shared" ref="S37" si="163">R37/100000</f>
        <v>30178.311534767199</v>
      </c>
      <c r="T37">
        <f t="shared" ref="T37" si="164">S37/1000</f>
        <v>30.1783115347672</v>
      </c>
    </row>
    <row r="38" spans="1:20" x14ac:dyDescent="0.25">
      <c r="A38" s="5">
        <v>44555</v>
      </c>
      <c r="B38">
        <v>0.6966</v>
      </c>
      <c r="C38">
        <v>0.72870000000000001</v>
      </c>
      <c r="D38">
        <v>0.69030000000000002</v>
      </c>
      <c r="E38">
        <v>0.71970000000000001</v>
      </c>
      <c r="F38">
        <v>29099098</v>
      </c>
      <c r="G38">
        <v>0.71970000000000001</v>
      </c>
      <c r="L38" t="s">
        <v>8</v>
      </c>
      <c r="M38" t="s">
        <v>8</v>
      </c>
      <c r="N38" t="s">
        <v>8</v>
      </c>
      <c r="P38">
        <f t="shared" ref="P38" si="165">IF(C38=D38,0,((E38-D38)-(C38-E38))/(C38-D38))</f>
        <v>0.53124999999999944</v>
      </c>
      <c r="Q38">
        <f t="shared" ref="Q38" si="166">F38*P38</f>
        <v>15458895.812499983</v>
      </c>
      <c r="R38">
        <f t="shared" ref="R38" si="167">R39+Q38</f>
        <v>2987879202.8546462</v>
      </c>
      <c r="S38">
        <f t="shared" ref="S38" si="168">R38/100000</f>
        <v>29878.792028546461</v>
      </c>
      <c r="T38">
        <f t="shared" ref="T38" si="169">S38/1000</f>
        <v>29.87879202854646</v>
      </c>
    </row>
    <row r="39" spans="1:20" x14ac:dyDescent="0.25">
      <c r="A39" s="5">
        <v>44554</v>
      </c>
      <c r="B39">
        <v>0.73360000000000003</v>
      </c>
      <c r="C39">
        <v>0.749</v>
      </c>
      <c r="D39">
        <v>0.6835</v>
      </c>
      <c r="E39">
        <v>0.6966</v>
      </c>
      <c r="F39">
        <v>42684674</v>
      </c>
      <c r="G39">
        <v>0.6966</v>
      </c>
      <c r="L39" t="s">
        <v>7</v>
      </c>
      <c r="M39" t="s">
        <v>8</v>
      </c>
      <c r="N39" t="s">
        <v>8</v>
      </c>
      <c r="P39">
        <f t="shared" ref="P39" si="170">IF(C39=D39,0,((E39-D39)-(C39-E39))/(C39-D39))</f>
        <v>-0.6</v>
      </c>
      <c r="Q39">
        <f t="shared" ref="Q39" si="171">F39*P39</f>
        <v>-25610804.399999999</v>
      </c>
      <c r="R39">
        <f t="shared" ref="R39" si="172">R40+Q39</f>
        <v>2972420307.0421462</v>
      </c>
      <c r="S39">
        <f t="shared" ref="S39" si="173">R39/100000</f>
        <v>29724.203070421463</v>
      </c>
      <c r="T39">
        <f t="shared" ref="T39" si="174">S39/1000</f>
        <v>29.724203070421463</v>
      </c>
    </row>
    <row r="40" spans="1:20" x14ac:dyDescent="0.25">
      <c r="A40" s="5">
        <v>44553</v>
      </c>
      <c r="B40">
        <v>0.69389999999999996</v>
      </c>
      <c r="C40">
        <v>0.75049999999999994</v>
      </c>
      <c r="D40">
        <v>0.67669999999999997</v>
      </c>
      <c r="E40">
        <v>0.73370000000000002</v>
      </c>
      <c r="F40">
        <v>48026909</v>
      </c>
      <c r="G40">
        <v>0.73370000000000002</v>
      </c>
      <c r="L40" t="s">
        <v>8</v>
      </c>
      <c r="M40" t="s">
        <v>8</v>
      </c>
      <c r="N40" t="s">
        <v>8</v>
      </c>
      <c r="P40">
        <f t="shared" ref="P40" si="175">IF(C40=D40,0,((E40-D40)-(C40-E40))/(C40-D40))</f>
        <v>0.5447154471544734</v>
      </c>
      <c r="Q40">
        <f t="shared" ref="Q40" si="176">F40*P40</f>
        <v>26160999.211382203</v>
      </c>
      <c r="R40">
        <f t="shared" ref="R40" si="177">R41+Q40</f>
        <v>2998031111.4421463</v>
      </c>
      <c r="S40">
        <f t="shared" ref="S40" si="178">R40/100000</f>
        <v>29980.311114421464</v>
      </c>
      <c r="T40">
        <f t="shared" ref="T40" si="179">S40/1000</f>
        <v>29.980311114421465</v>
      </c>
    </row>
    <row r="41" spans="1:20" x14ac:dyDescent="0.25">
      <c r="A41" s="5">
        <v>44552</v>
      </c>
      <c r="B41">
        <v>0.70940000000000003</v>
      </c>
      <c r="C41">
        <v>0.73</v>
      </c>
      <c r="D41">
        <v>0.69069999999999998</v>
      </c>
      <c r="E41">
        <v>0.69399999999999995</v>
      </c>
      <c r="F41">
        <v>53866884</v>
      </c>
      <c r="G41">
        <v>0.69399999999999995</v>
      </c>
      <c r="L41" t="s">
        <v>8</v>
      </c>
      <c r="M41" t="s">
        <v>8</v>
      </c>
      <c r="N41" t="s">
        <v>8</v>
      </c>
      <c r="P41">
        <f t="shared" ref="P41" si="180">IF(C41=D41,0,((E41-D41)-(C41-E41))/(C41-D41))</f>
        <v>-0.83206106870229168</v>
      </c>
      <c r="Q41">
        <f t="shared" ref="Q41" si="181">F41*P41</f>
        <v>-44820537.068702377</v>
      </c>
      <c r="R41">
        <f t="shared" ref="R41" si="182">R42+Q41</f>
        <v>2971870112.2307639</v>
      </c>
      <c r="S41">
        <f t="shared" ref="S41" si="183">R41/100000</f>
        <v>29718.701122307641</v>
      </c>
      <c r="T41">
        <f t="shared" ref="T41" si="184">S41/1000</f>
        <v>29.718701122307639</v>
      </c>
    </row>
    <row r="42" spans="1:20" x14ac:dyDescent="0.25">
      <c r="A42" s="5">
        <v>44551</v>
      </c>
      <c r="B42">
        <v>0.62290000000000001</v>
      </c>
      <c r="C42">
        <v>0.7157</v>
      </c>
      <c r="D42">
        <v>0.61350000000000005</v>
      </c>
      <c r="E42">
        <v>0.70960000000000001</v>
      </c>
      <c r="F42">
        <v>71408752</v>
      </c>
      <c r="G42">
        <v>0.70960000000000001</v>
      </c>
      <c r="L42" t="s">
        <v>8</v>
      </c>
      <c r="M42" t="s">
        <v>8</v>
      </c>
      <c r="N42" t="s">
        <v>8</v>
      </c>
      <c r="P42">
        <f t="shared" ref="P42" si="185">IF(C42=D42,0,((E42-D42)-(C42-E42))/(C42-D42))</f>
        <v>0.88062622309197658</v>
      </c>
      <c r="Q42">
        <f t="shared" ref="Q42" si="186">F42*P42</f>
        <v>62884419.569471627</v>
      </c>
      <c r="R42">
        <f t="shared" ref="R42" si="187">R43+Q42</f>
        <v>3016690649.2994661</v>
      </c>
      <c r="S42">
        <f t="shared" ref="S42" si="188">R42/100000</f>
        <v>30166.906492994662</v>
      </c>
      <c r="T42">
        <f t="shared" ref="T42" si="189">S42/1000</f>
        <v>30.166906492994663</v>
      </c>
    </row>
    <row r="43" spans="1:20" x14ac:dyDescent="0.25">
      <c r="A43" s="5">
        <v>44550</v>
      </c>
      <c r="B43">
        <v>0.64800000000000002</v>
      </c>
      <c r="C43">
        <v>0.66869999999999996</v>
      </c>
      <c r="D43">
        <v>0.58950000000000002</v>
      </c>
      <c r="E43">
        <v>0.62250000000000005</v>
      </c>
      <c r="F43">
        <v>65838401</v>
      </c>
      <c r="G43">
        <v>0.62250000000000005</v>
      </c>
      <c r="L43" t="s">
        <v>7</v>
      </c>
      <c r="M43" t="s">
        <v>7</v>
      </c>
      <c r="N43" t="s">
        <v>8</v>
      </c>
      <c r="P43">
        <f t="shared" ref="P43" si="190">IF(C43=D43,0,((E43-D43)-(C43-E43))/(C43-D43))</f>
        <v>-0.16666666666666527</v>
      </c>
      <c r="Q43">
        <f t="shared" ref="Q43" si="191">F43*P43</f>
        <v>-10973066.833333241</v>
      </c>
      <c r="R43">
        <f t="shared" ref="R43" si="192">R44+Q43</f>
        <v>2953806229.7299943</v>
      </c>
      <c r="S43">
        <f t="shared" ref="S43" si="193">R43/100000</f>
        <v>29538.062297299944</v>
      </c>
      <c r="T43">
        <f t="shared" ref="T43" si="194">S43/1000</f>
        <v>29.538062297299945</v>
      </c>
    </row>
    <row r="44" spans="1:20" x14ac:dyDescent="0.25">
      <c r="A44" s="5">
        <v>44549</v>
      </c>
      <c r="B44">
        <v>0.60589999999999999</v>
      </c>
      <c r="C44">
        <v>0.66800000000000004</v>
      </c>
      <c r="D44">
        <v>0.59989999999999999</v>
      </c>
      <c r="E44">
        <v>0.64770000000000005</v>
      </c>
      <c r="F44">
        <v>58464649</v>
      </c>
      <c r="G44">
        <v>0.64770000000000005</v>
      </c>
      <c r="L44" t="s">
        <v>8</v>
      </c>
      <c r="M44" t="s">
        <v>7</v>
      </c>
      <c r="N44" t="s">
        <v>8</v>
      </c>
      <c r="P44">
        <f t="shared" ref="P44" si="195">IF(C44=D44,0,((E44-D44)-(C44-E44))/(C44-D44))</f>
        <v>0.40381791483113155</v>
      </c>
      <c r="Q44">
        <f t="shared" ref="Q44" si="196">F44*P44</f>
        <v>23609072.650513999</v>
      </c>
      <c r="R44">
        <f t="shared" ref="R44" si="197">R45+Q44</f>
        <v>2964779296.5633273</v>
      </c>
      <c r="S44">
        <f t="shared" ref="S44" si="198">R44/100000</f>
        <v>29647.792965633274</v>
      </c>
      <c r="T44">
        <f t="shared" ref="T44" si="199">S44/1000</f>
        <v>29.647792965633275</v>
      </c>
    </row>
    <row r="45" spans="1:20" x14ac:dyDescent="0.25">
      <c r="A45" s="5">
        <v>44548</v>
      </c>
      <c r="B45">
        <v>0.58930000000000005</v>
      </c>
      <c r="C45">
        <v>0.61550000000000005</v>
      </c>
      <c r="D45">
        <v>0.5806</v>
      </c>
      <c r="E45">
        <v>0.60570000000000002</v>
      </c>
      <c r="F45">
        <v>35353850</v>
      </c>
      <c r="G45">
        <v>0.60570000000000002</v>
      </c>
      <c r="L45" t="s">
        <v>7</v>
      </c>
      <c r="M45" t="s">
        <v>7</v>
      </c>
      <c r="N45" t="s">
        <v>8</v>
      </c>
      <c r="P45">
        <f t="shared" ref="P45" si="200">IF(C45=D45,0,((E45-D45)-(C45-E45))/(C45-D45))</f>
        <v>0.43839541547277827</v>
      </c>
      <c r="Q45">
        <f t="shared" ref="Q45" si="201">F45*P45</f>
        <v>15498965.759312281</v>
      </c>
      <c r="R45">
        <f t="shared" ref="R45" si="202">R46+Q45</f>
        <v>2941170223.9128132</v>
      </c>
      <c r="S45">
        <f t="shared" ref="S45" si="203">R45/100000</f>
        <v>29411.702239128132</v>
      </c>
      <c r="T45">
        <f t="shared" ref="T45" si="204">S45/1000</f>
        <v>29.411702239128132</v>
      </c>
    </row>
    <row r="46" spans="1:20" x14ac:dyDescent="0.25">
      <c r="A46" s="5">
        <v>44547</v>
      </c>
      <c r="B46">
        <v>0.61429999999999996</v>
      </c>
      <c r="C46">
        <v>0.62790000000000001</v>
      </c>
      <c r="D46">
        <v>0.57830000000000004</v>
      </c>
      <c r="E46">
        <v>0.58940000000000003</v>
      </c>
      <c r="F46">
        <v>52316612</v>
      </c>
      <c r="G46">
        <v>0.58940000000000003</v>
      </c>
      <c r="L46" t="s">
        <v>7</v>
      </c>
      <c r="M46" t="s">
        <v>7</v>
      </c>
      <c r="N46" t="s">
        <v>8</v>
      </c>
      <c r="P46">
        <f t="shared" ref="P46" si="205">IF(C46=D46,0,((E46-D46)-(C46-E46))/(C46-D46))</f>
        <v>-0.55241935483870952</v>
      </c>
      <c r="Q46">
        <f t="shared" ref="Q46" si="206">F46*P46</f>
        <v>-28900709.048387088</v>
      </c>
      <c r="R46">
        <f t="shared" ref="R46" si="207">R47+Q46</f>
        <v>2925671258.153501</v>
      </c>
      <c r="S46">
        <f t="shared" ref="S46" si="208">R46/100000</f>
        <v>29256.712581535012</v>
      </c>
      <c r="T46">
        <f t="shared" ref="T46" si="209">S46/1000</f>
        <v>29.256712581535012</v>
      </c>
    </row>
    <row r="47" spans="1:20" x14ac:dyDescent="0.25">
      <c r="A47" s="5">
        <v>44546</v>
      </c>
      <c r="B47">
        <v>0.64039999999999997</v>
      </c>
      <c r="C47">
        <v>0.66759999999999997</v>
      </c>
      <c r="D47">
        <v>0.61240000000000006</v>
      </c>
      <c r="E47">
        <v>0.61450000000000005</v>
      </c>
      <c r="F47">
        <v>39533789</v>
      </c>
      <c r="G47">
        <v>0.61450000000000005</v>
      </c>
      <c r="L47" t="s">
        <v>7</v>
      </c>
      <c r="M47" t="s">
        <v>7</v>
      </c>
      <c r="N47" t="s">
        <v>8</v>
      </c>
      <c r="P47">
        <f t="shared" ref="P47" si="210">IF(C47=D47,0,((E47-D47)-(C47-E47))/(C47-D47))</f>
        <v>-0.92391304347826109</v>
      </c>
      <c r="Q47">
        <f t="shared" ref="Q47" si="211">F47*P47</f>
        <v>-36525783.315217398</v>
      </c>
      <c r="R47">
        <f t="shared" ref="R47" si="212">R48+Q47</f>
        <v>2954571967.2018881</v>
      </c>
      <c r="S47">
        <f t="shared" ref="S47" si="213">R47/100000</f>
        <v>29545.71967201888</v>
      </c>
      <c r="T47">
        <f t="shared" ref="T47" si="214">S47/1000</f>
        <v>29.54571967201888</v>
      </c>
    </row>
    <row r="48" spans="1:20" x14ac:dyDescent="0.25">
      <c r="A48" s="5">
        <v>44545</v>
      </c>
      <c r="B48">
        <v>0.63800000000000001</v>
      </c>
      <c r="C48">
        <v>0.66500000000000004</v>
      </c>
      <c r="D48">
        <v>0.58089999999999997</v>
      </c>
      <c r="E48">
        <v>0.64</v>
      </c>
      <c r="F48">
        <v>58280076</v>
      </c>
      <c r="G48">
        <v>0.64</v>
      </c>
      <c r="L48" t="s">
        <v>8</v>
      </c>
      <c r="M48" t="s">
        <v>7</v>
      </c>
      <c r="N48" t="s">
        <v>8</v>
      </c>
      <c r="P48">
        <f t="shared" ref="P48" si="215">IF(C48=D48,0,((E48-D48)-(C48-E48))/(C48-D48))</f>
        <v>0.40546967895362657</v>
      </c>
      <c r="Q48">
        <f t="shared" ref="Q48" si="216">F48*P48</f>
        <v>23630803.705112956</v>
      </c>
      <c r="R48">
        <f t="shared" ref="R48" si="217">R49+Q48</f>
        <v>2991097750.5171056</v>
      </c>
      <c r="S48">
        <f t="shared" ref="S48" si="218">R48/100000</f>
        <v>29910.977505171057</v>
      </c>
      <c r="T48">
        <f t="shared" ref="T48" si="219">S48/1000</f>
        <v>29.910977505171058</v>
      </c>
    </row>
    <row r="49" spans="1:20" x14ac:dyDescent="0.25">
      <c r="A49" s="5">
        <v>44544</v>
      </c>
      <c r="B49">
        <v>0.59789999999999999</v>
      </c>
      <c r="C49">
        <v>0.65190000000000003</v>
      </c>
      <c r="D49">
        <v>0.58909999999999996</v>
      </c>
      <c r="E49">
        <v>0.63790000000000002</v>
      </c>
      <c r="F49">
        <v>39648577</v>
      </c>
      <c r="G49">
        <v>0.63790000000000002</v>
      </c>
      <c r="L49" t="s">
        <v>8</v>
      </c>
      <c r="M49" t="s">
        <v>7</v>
      </c>
      <c r="N49" t="s">
        <v>8</v>
      </c>
      <c r="P49">
        <f t="shared" ref="P49" si="220">IF(C49=D49,0,((E49-D49)-(C49-E49))/(C49-D49))</f>
        <v>0.55414012738853524</v>
      </c>
      <c r="Q49">
        <f t="shared" ref="Q49" si="221">F49*P49</f>
        <v>21970867.509554148</v>
      </c>
      <c r="R49">
        <f t="shared" ref="R49" si="222">R50+Q49</f>
        <v>2967466946.8119926</v>
      </c>
      <c r="S49">
        <f t="shared" ref="S49" si="223">R49/100000</f>
        <v>29674.669468119926</v>
      </c>
      <c r="T49">
        <f t="shared" ref="T49" si="224">S49/1000</f>
        <v>29.674669468119927</v>
      </c>
    </row>
    <row r="50" spans="1:20" x14ac:dyDescent="0.25">
      <c r="A50" s="5">
        <v>44543</v>
      </c>
      <c r="B50">
        <v>0.6845</v>
      </c>
      <c r="C50">
        <v>0.68830000000000002</v>
      </c>
      <c r="D50">
        <v>0.58450000000000002</v>
      </c>
      <c r="E50">
        <v>0.5978</v>
      </c>
      <c r="F50">
        <v>43436127</v>
      </c>
      <c r="G50">
        <v>0.5978</v>
      </c>
      <c r="L50" t="s">
        <v>7</v>
      </c>
      <c r="M50" t="s">
        <v>7</v>
      </c>
      <c r="N50" t="s">
        <v>8</v>
      </c>
      <c r="P50">
        <f t="shared" ref="P50" si="225">IF(C50=D50,0,((E50-D50)-(C50-E50))/(C50-D50))</f>
        <v>-0.74373795761079042</v>
      </c>
      <c r="Q50">
        <f t="shared" ref="Q50" si="226">F50*P50</f>
        <v>-32305096.381502908</v>
      </c>
      <c r="R50">
        <f t="shared" ref="R50" si="227">R51+Q50</f>
        <v>2945496079.3024387</v>
      </c>
      <c r="S50">
        <f t="shared" ref="S50" si="228">R50/100000</f>
        <v>29454.960793024387</v>
      </c>
      <c r="T50">
        <f t="shared" ref="T50" si="229">S50/1000</f>
        <v>29.454960793024387</v>
      </c>
    </row>
    <row r="51" spans="1:20" x14ac:dyDescent="0.25">
      <c r="A51" s="5">
        <v>44542</v>
      </c>
      <c r="B51">
        <v>0.67069999999999996</v>
      </c>
      <c r="C51">
        <v>0.69640000000000002</v>
      </c>
      <c r="D51">
        <v>0.65539999999999998</v>
      </c>
      <c r="E51">
        <v>0.68459999999999999</v>
      </c>
      <c r="F51">
        <v>28191374</v>
      </c>
      <c r="G51">
        <v>0.68459999999999999</v>
      </c>
      <c r="L51" t="s">
        <v>8</v>
      </c>
      <c r="M51" t="s">
        <v>7</v>
      </c>
      <c r="N51" t="s">
        <v>8</v>
      </c>
      <c r="P51">
        <f t="shared" ref="P51" si="230">IF(C51=D51,0,((E51-D51)-(C51-E51))/(C51-D51))</f>
        <v>0.42439024390243796</v>
      </c>
      <c r="Q51">
        <f t="shared" ref="Q51" si="231">F51*P51</f>
        <v>11964144.087804848</v>
      </c>
      <c r="R51">
        <f t="shared" ref="R51" si="232">R52+Q51</f>
        <v>2977801175.6839418</v>
      </c>
      <c r="S51">
        <f t="shared" ref="S51" si="233">R51/100000</f>
        <v>29778.01175683942</v>
      </c>
      <c r="T51">
        <f t="shared" ref="T51" si="234">S51/1000</f>
        <v>29.778011756839419</v>
      </c>
    </row>
    <row r="52" spans="1:20" x14ac:dyDescent="0.25">
      <c r="A52" s="5">
        <v>44541</v>
      </c>
      <c r="B52">
        <v>0.63819999999999999</v>
      </c>
      <c r="C52">
        <v>0.65259999999999996</v>
      </c>
      <c r="D52">
        <v>0.62890000000000001</v>
      </c>
      <c r="E52">
        <v>0.65</v>
      </c>
      <c r="F52">
        <v>2371112</v>
      </c>
      <c r="G52">
        <v>0.65</v>
      </c>
      <c r="L52" t="s">
        <v>7</v>
      </c>
      <c r="M52" t="s">
        <v>7</v>
      </c>
      <c r="N52" t="s">
        <v>8</v>
      </c>
      <c r="P52">
        <f t="shared" ref="P52" si="235">IF(C52=D52,0,((E52-D52)-(C52-E52))/(C52-D52))</f>
        <v>0.78059071729958296</v>
      </c>
      <c r="Q52">
        <f t="shared" ref="Q52" si="236">F52*P52</f>
        <v>1850868.0168776487</v>
      </c>
      <c r="R52">
        <f t="shared" ref="R52" si="237">R53+Q52</f>
        <v>2965837031.596137</v>
      </c>
      <c r="S52">
        <f t="shared" ref="S52" si="238">R52/100000</f>
        <v>29658.370315961369</v>
      </c>
      <c r="T52">
        <f t="shared" ref="T52" si="239">S52/1000</f>
        <v>29.658370315961371</v>
      </c>
    </row>
    <row r="53" spans="1:20" x14ac:dyDescent="0.25">
      <c r="A53" s="5">
        <v>44540</v>
      </c>
      <c r="B53">
        <v>0.6845</v>
      </c>
      <c r="C53">
        <v>0.70699999999999996</v>
      </c>
      <c r="D53">
        <v>0.63670000000000004</v>
      </c>
      <c r="E53">
        <v>0.63819999999999999</v>
      </c>
      <c r="F53">
        <v>46429576</v>
      </c>
      <c r="G53">
        <v>0.63819999999999999</v>
      </c>
      <c r="L53" t="s">
        <v>7</v>
      </c>
      <c r="M53" t="s">
        <v>7</v>
      </c>
      <c r="N53" t="s">
        <v>8</v>
      </c>
      <c r="P53">
        <f t="shared" ref="P53" si="240">IF(C53=D53,0,((E53-D53)-(C53-E53))/(C53-D53))</f>
        <v>-0.9573257467994325</v>
      </c>
      <c r="Q53">
        <f t="shared" ref="Q53" si="241">F53*P53</f>
        <v>-44448228.517781004</v>
      </c>
      <c r="R53">
        <f t="shared" ref="R53" si="242">R54+Q53</f>
        <v>2963986163.5792594</v>
      </c>
      <c r="S53">
        <f t="shared" ref="S53" si="243">R53/100000</f>
        <v>29639.861635792593</v>
      </c>
      <c r="T53">
        <f t="shared" ref="T53" si="244">S53/1000</f>
        <v>29.639861635792592</v>
      </c>
    </row>
    <row r="54" spans="1:20" x14ac:dyDescent="0.25">
      <c r="A54" s="5">
        <v>44539</v>
      </c>
      <c r="B54">
        <v>0.76270000000000004</v>
      </c>
      <c r="C54">
        <v>0.76319999999999999</v>
      </c>
      <c r="D54">
        <v>0.67920000000000003</v>
      </c>
      <c r="E54">
        <v>0.68459999999999999</v>
      </c>
      <c r="F54">
        <v>62288901</v>
      </c>
      <c r="G54">
        <v>0.68459999999999999</v>
      </c>
      <c r="L54" t="s">
        <v>7</v>
      </c>
      <c r="M54" t="s">
        <v>8</v>
      </c>
      <c r="N54" t="s">
        <v>8</v>
      </c>
      <c r="P54">
        <f t="shared" ref="P54" si="245">IF(C54=D54,0,((E54-D54)-(C54-E54))/(C54-D54))</f>
        <v>-0.87142857142857233</v>
      </c>
      <c r="Q54">
        <f t="shared" ref="Q54" si="246">F54*P54</f>
        <v>-54280328.014285773</v>
      </c>
      <c r="R54">
        <f t="shared" ref="R54" si="247">R55+Q54</f>
        <v>3008434392.0970402</v>
      </c>
      <c r="S54">
        <f t="shared" ref="S54" si="248">R54/100000</f>
        <v>30084.343920970401</v>
      </c>
      <c r="T54">
        <f t="shared" ref="T54" si="249">S54/1000</f>
        <v>30.084343920970401</v>
      </c>
    </row>
    <row r="55" spans="1:20" x14ac:dyDescent="0.25">
      <c r="A55" s="5">
        <v>44538</v>
      </c>
      <c r="B55">
        <v>0.68889999999999996</v>
      </c>
      <c r="C55">
        <v>0.77839999999999998</v>
      </c>
      <c r="D55">
        <v>0.67249999999999999</v>
      </c>
      <c r="E55">
        <v>0.76239999999999997</v>
      </c>
      <c r="F55">
        <v>85905892</v>
      </c>
      <c r="G55">
        <v>0.76239999999999997</v>
      </c>
      <c r="L55" t="s">
        <v>8</v>
      </c>
      <c r="M55" t="s">
        <v>8</v>
      </c>
      <c r="N55" t="s">
        <v>8</v>
      </c>
      <c r="P55">
        <f t="shared" ref="P55" si="250">IF(C55=D55,0,((E55-D55)-(C55-E55))/(C55-D55))</f>
        <v>0.6978281397544851</v>
      </c>
      <c r="Q55">
        <f t="shared" ref="Q55" si="251">F55*P55</f>
        <v>59947548.808309704</v>
      </c>
      <c r="R55">
        <f t="shared" ref="R55" si="252">R56+Q55</f>
        <v>3062714720.1113257</v>
      </c>
      <c r="S55">
        <f t="shared" ref="S55" si="253">R55/100000</f>
        <v>30627.147201113257</v>
      </c>
      <c r="T55">
        <f t="shared" ref="T55" si="254">S55/1000</f>
        <v>30.627147201113257</v>
      </c>
    </row>
    <row r="56" spans="1:20" x14ac:dyDescent="0.25">
      <c r="A56" s="5">
        <v>44537</v>
      </c>
      <c r="B56">
        <v>0.70479999999999998</v>
      </c>
      <c r="C56">
        <v>0.72650000000000003</v>
      </c>
      <c r="D56">
        <v>0.67620000000000002</v>
      </c>
      <c r="E56">
        <v>0.68879999999999997</v>
      </c>
      <c r="F56">
        <v>44468644</v>
      </c>
      <c r="G56">
        <v>0.68879999999999997</v>
      </c>
      <c r="L56" t="s">
        <v>8</v>
      </c>
      <c r="M56" t="s">
        <v>8</v>
      </c>
      <c r="N56" t="s">
        <v>8</v>
      </c>
      <c r="P56">
        <f t="shared" ref="P56" si="255">IF(C56=D56,0,((E56-D56)-(C56-E56))/(C56-D56))</f>
        <v>-0.49900596421471405</v>
      </c>
      <c r="Q56">
        <f t="shared" ref="Q56" si="256">F56*P56</f>
        <v>-22190118.576540858</v>
      </c>
      <c r="R56">
        <f t="shared" ref="R56" si="257">R57+Q56</f>
        <v>3002767171.3030162</v>
      </c>
      <c r="S56">
        <f t="shared" ref="S56" si="258">R56/100000</f>
        <v>30027.671713030162</v>
      </c>
      <c r="T56">
        <f t="shared" ref="T56" si="259">S56/1000</f>
        <v>30.027671713030163</v>
      </c>
    </row>
    <row r="57" spans="1:20" x14ac:dyDescent="0.25">
      <c r="A57" s="5">
        <v>44536</v>
      </c>
      <c r="B57">
        <v>0.6875</v>
      </c>
      <c r="C57">
        <v>0.71260000000000001</v>
      </c>
      <c r="D57">
        <v>0.60460000000000003</v>
      </c>
      <c r="E57">
        <v>0.70509999999999995</v>
      </c>
      <c r="F57">
        <v>70812949</v>
      </c>
      <c r="G57">
        <v>0.70509999999999995</v>
      </c>
      <c r="L57" t="s">
        <v>7</v>
      </c>
      <c r="M57" t="s">
        <v>7</v>
      </c>
      <c r="N57" t="s">
        <v>8</v>
      </c>
      <c r="P57">
        <f t="shared" ref="P57" si="260">IF(C57=D57,0,((E57-D57)-(C57-E57))/(C57-D57))</f>
        <v>0.86111111111110994</v>
      </c>
      <c r="Q57">
        <f t="shared" ref="Q57" si="261">F57*P57</f>
        <v>60977817.194444358</v>
      </c>
      <c r="R57">
        <f t="shared" ref="R57" si="262">R58+Q57</f>
        <v>3024957289.8795571</v>
      </c>
      <c r="S57">
        <f t="shared" ref="S57" si="263">R57/100000</f>
        <v>30249.57289879557</v>
      </c>
      <c r="T57">
        <f t="shared" ref="T57" si="264">S57/1000</f>
        <v>30.24957289879557</v>
      </c>
    </row>
    <row r="58" spans="1:20" x14ac:dyDescent="0.25">
      <c r="A58" s="5">
        <v>44535</v>
      </c>
      <c r="B58">
        <v>0.73370000000000002</v>
      </c>
      <c r="C58">
        <v>0.75339999999999996</v>
      </c>
      <c r="D58">
        <v>0.65139999999999998</v>
      </c>
      <c r="E58">
        <v>0.68730000000000002</v>
      </c>
      <c r="F58">
        <v>51623859</v>
      </c>
      <c r="G58">
        <v>0.68730000000000002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-0.29607843137254802</v>
      </c>
      <c r="Q58">
        <f t="shared" ref="Q58" si="266">F58*P58</f>
        <v>-15284711.194117596</v>
      </c>
      <c r="R58">
        <f t="shared" ref="R58" si="267">R59+Q58</f>
        <v>2963979472.685113</v>
      </c>
      <c r="S58">
        <f t="shared" ref="S58" si="268">R58/100000</f>
        <v>29639.794726851131</v>
      </c>
      <c r="T58">
        <f t="shared" ref="T58" si="269">S58/1000</f>
        <v>29.639794726851132</v>
      </c>
    </row>
    <row r="59" spans="1:20" x14ac:dyDescent="0.25">
      <c r="A59" s="5">
        <v>44534</v>
      </c>
      <c r="B59">
        <v>0.86009999999999998</v>
      </c>
      <c r="C59">
        <v>0.86240000000000006</v>
      </c>
      <c r="D59">
        <v>0.53710000000000002</v>
      </c>
      <c r="E59">
        <v>0.73429999999999995</v>
      </c>
      <c r="F59">
        <v>126302218.98</v>
      </c>
      <c r="G59">
        <v>0.73429999999999995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0.21241930525668559</v>
      </c>
      <c r="Q59">
        <f t="shared" ref="Q59" si="271">F59*P59</f>
        <v>26829029.60810937</v>
      </c>
      <c r="R59">
        <f t="shared" ref="R59" si="272">R60+Q59</f>
        <v>2979264183.8792305</v>
      </c>
      <c r="S59">
        <f t="shared" ref="S59" si="273">R59/100000</f>
        <v>29792.641838792304</v>
      </c>
      <c r="T59">
        <f t="shared" ref="T59" si="274">S59/1000</f>
        <v>29.792641838792303</v>
      </c>
    </row>
    <row r="60" spans="1:20" x14ac:dyDescent="0.25">
      <c r="A60" s="5">
        <v>44533</v>
      </c>
      <c r="B60">
        <v>0.89870000000000005</v>
      </c>
      <c r="C60">
        <v>0.92390000000000005</v>
      </c>
      <c r="D60">
        <v>0.81679999999999997</v>
      </c>
      <c r="E60">
        <v>0.86040000000000005</v>
      </c>
      <c r="F60">
        <v>47527690</v>
      </c>
      <c r="G60">
        <v>0.86040000000000005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-0.18580765639589078</v>
      </c>
      <c r="Q60">
        <f t="shared" ref="Q60" si="276">F60*P60</f>
        <v>-8831008.6928104144</v>
      </c>
      <c r="R60">
        <f t="shared" ref="R60" si="277">R61+Q60</f>
        <v>2952435154.271121</v>
      </c>
      <c r="S60">
        <f t="shared" ref="S60" si="278">R60/100000</f>
        <v>29524.351542711211</v>
      </c>
      <c r="T60">
        <f t="shared" ref="T60" si="279">S60/1000</f>
        <v>29.524351542711212</v>
      </c>
    </row>
    <row r="61" spans="1:20" x14ac:dyDescent="0.25">
      <c r="A61" s="5">
        <v>44532</v>
      </c>
      <c r="B61">
        <v>0.92259999999999998</v>
      </c>
      <c r="C61">
        <v>0.92359999999999998</v>
      </c>
      <c r="D61">
        <v>0.87729999999999997</v>
      </c>
      <c r="E61">
        <v>0.89859999999999995</v>
      </c>
      <c r="F61">
        <v>37975419</v>
      </c>
      <c r="G61">
        <v>0.89859999999999995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-7.991360691144786E-2</v>
      </c>
      <c r="Q61">
        <f t="shared" ref="Q61" si="281">F61*P61</f>
        <v>-3034752.7062635282</v>
      </c>
      <c r="R61">
        <f t="shared" ref="R61" si="282">R62+Q61</f>
        <v>2961266162.9639316</v>
      </c>
      <c r="S61">
        <f t="shared" ref="S61" si="283">R61/100000</f>
        <v>29612.661629639315</v>
      </c>
      <c r="T61">
        <f t="shared" ref="T61" si="284">S61/1000</f>
        <v>29.612661629639316</v>
      </c>
    </row>
    <row r="62" spans="1:20" x14ac:dyDescent="0.25">
      <c r="A62" s="5">
        <v>44531</v>
      </c>
      <c r="B62">
        <v>0.92269999999999996</v>
      </c>
      <c r="C62">
        <v>0.96260000000000001</v>
      </c>
      <c r="D62">
        <v>0.90369999999999995</v>
      </c>
      <c r="E62">
        <v>0.92320000000000002</v>
      </c>
      <c r="F62">
        <v>51516784</v>
      </c>
      <c r="G62">
        <v>0.92320000000000002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-0.33786078098471811</v>
      </c>
      <c r="Q62">
        <f t="shared" ref="Q62" si="286">F62*P62</f>
        <v>-17405500.87606103</v>
      </c>
      <c r="R62">
        <f t="shared" ref="R62" si="287">R63+Q62</f>
        <v>2964300915.6701951</v>
      </c>
      <c r="S62">
        <f t="shared" ref="S62" si="288">R62/100000</f>
        <v>29643.009156701952</v>
      </c>
      <c r="T62">
        <f t="shared" ref="T62" si="289">S62/1000</f>
        <v>29.64300915670195</v>
      </c>
    </row>
    <row r="63" spans="1:20" x14ac:dyDescent="0.25">
      <c r="A63" s="5">
        <v>44530</v>
      </c>
      <c r="B63">
        <v>0.96260000000000001</v>
      </c>
      <c r="C63">
        <v>0.97370000000000001</v>
      </c>
      <c r="D63">
        <v>0.90600000000000003</v>
      </c>
      <c r="E63">
        <v>0.92269999999999996</v>
      </c>
      <c r="F63">
        <v>52766050</v>
      </c>
      <c r="G63">
        <v>0.92269999999999996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-0.50664697193500907</v>
      </c>
      <c r="Q63">
        <f t="shared" ref="Q63" si="291">F63*P63</f>
        <v>-26733759.453471284</v>
      </c>
      <c r="R63">
        <f t="shared" ref="R63" si="292">R64+Q63</f>
        <v>2981706416.5462561</v>
      </c>
      <c r="S63">
        <f t="shared" ref="S63" si="293">R63/100000</f>
        <v>29817.064165462562</v>
      </c>
      <c r="T63">
        <f t="shared" ref="T63" si="294">S63/1000</f>
        <v>29.817064165462561</v>
      </c>
    </row>
    <row r="64" spans="1:20" x14ac:dyDescent="0.25">
      <c r="A64" s="5">
        <v>44529</v>
      </c>
      <c r="B64">
        <v>1.0065999999999999</v>
      </c>
      <c r="C64">
        <v>1.0085999999999999</v>
      </c>
      <c r="D64">
        <v>0.94640000000000002</v>
      </c>
      <c r="E64">
        <v>0.9627</v>
      </c>
      <c r="F64">
        <v>52682727</v>
      </c>
      <c r="G64">
        <v>0.9627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-0.47588424437299032</v>
      </c>
      <c r="Q64">
        <f t="shared" ref="Q64" si="296">F64*P64</f>
        <v>-25070879.729903534</v>
      </c>
      <c r="R64">
        <f t="shared" ref="R64" si="297">R65+Q64</f>
        <v>3008440175.9997272</v>
      </c>
      <c r="S64">
        <f t="shared" ref="S64" si="298">R64/100000</f>
        <v>30084.401759997272</v>
      </c>
      <c r="T64">
        <f t="shared" ref="T64" si="299">S64/1000</f>
        <v>30.084401759997274</v>
      </c>
    </row>
    <row r="65" spans="1:20" x14ac:dyDescent="0.25">
      <c r="A65" s="5">
        <v>44528</v>
      </c>
      <c r="B65">
        <v>1.0355000000000001</v>
      </c>
      <c r="C65">
        <v>1.0960000000000001</v>
      </c>
      <c r="D65">
        <v>0.92500000000000004</v>
      </c>
      <c r="E65">
        <v>1.0058</v>
      </c>
      <c r="F65">
        <v>153292039</v>
      </c>
      <c r="G65">
        <v>1.0058</v>
      </c>
      <c r="L65" t="s">
        <v>7</v>
      </c>
      <c r="M65" t="s">
        <v>8</v>
      </c>
      <c r="N65" t="s">
        <v>7</v>
      </c>
      <c r="P65">
        <f t="shared" ref="P65" si="300">IF(C65=D65,0,((E65-D65)-(C65-E65))/(C65-D65))</f>
        <v>-5.4970760233918552E-2</v>
      </c>
      <c r="Q65">
        <f t="shared" ref="Q65" si="301">F65*P65</f>
        <v>-8426579.9216374923</v>
      </c>
      <c r="R65">
        <f t="shared" ref="R65" si="302">R66+Q65</f>
        <v>3033511055.7296309</v>
      </c>
      <c r="S65">
        <f t="shared" ref="S65" si="303">R65/100000</f>
        <v>30335.11055729631</v>
      </c>
      <c r="T65">
        <f t="shared" ref="T65" si="304">S65/1000</f>
        <v>30.335110557296311</v>
      </c>
    </row>
    <row r="66" spans="1:20" x14ac:dyDescent="0.25">
      <c r="A66" s="5">
        <v>44527</v>
      </c>
      <c r="B66">
        <v>0.8579</v>
      </c>
      <c r="C66">
        <v>1.0840000000000001</v>
      </c>
      <c r="D66">
        <v>0.84299999999999997</v>
      </c>
      <c r="E66">
        <v>1.0356000000000001</v>
      </c>
      <c r="F66">
        <v>212210194</v>
      </c>
      <c r="G66">
        <v>1.0356000000000001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0.59834024896265581</v>
      </c>
      <c r="Q66">
        <f t="shared" ref="Q66" si="306">F66*P66</f>
        <v>126973900.31037349</v>
      </c>
      <c r="R66">
        <f t="shared" ref="R66" si="307">R67+Q66</f>
        <v>3041937635.6512685</v>
      </c>
      <c r="S66">
        <f t="shared" ref="S66" si="308">R66/100000</f>
        <v>30419.376356512686</v>
      </c>
      <c r="T66">
        <f t="shared" ref="T66" si="309">S66/1000</f>
        <v>30.419376356512686</v>
      </c>
    </row>
    <row r="67" spans="1:20" x14ac:dyDescent="0.25">
      <c r="A67" s="5">
        <v>44526</v>
      </c>
      <c r="B67">
        <v>0.92059999999999997</v>
      </c>
      <c r="C67">
        <v>1.0462</v>
      </c>
      <c r="D67">
        <v>0.84019999999999995</v>
      </c>
      <c r="E67">
        <v>0.8589</v>
      </c>
      <c r="F67">
        <v>193867898</v>
      </c>
      <c r="G67">
        <v>0.8589</v>
      </c>
      <c r="L67" t="s">
        <v>8</v>
      </c>
      <c r="M67" t="s">
        <v>8</v>
      </c>
      <c r="N67" t="s">
        <v>7</v>
      </c>
      <c r="P67">
        <f t="shared" ref="P67" si="310">IF(C67=D67,0,((E67-D67)-(C67-E67))/(C67-D67))</f>
        <v>-0.81844660194174712</v>
      </c>
      <c r="Q67">
        <f t="shared" ref="Q67" si="311">F67*P67</f>
        <v>-158670522.34368923</v>
      </c>
      <c r="R67">
        <f t="shared" ref="R67" si="312">R68+Q67</f>
        <v>2914963735.3408952</v>
      </c>
      <c r="S67">
        <f t="shared" ref="S67" si="313">R67/100000</f>
        <v>29149.637353408951</v>
      </c>
      <c r="T67">
        <f t="shared" ref="T67" si="314">S67/1000</f>
        <v>29.149637353408952</v>
      </c>
    </row>
    <row r="68" spans="1:20" x14ac:dyDescent="0.25">
      <c r="A68" s="5">
        <v>44525</v>
      </c>
      <c r="B68">
        <v>0.86650000000000005</v>
      </c>
      <c r="C68">
        <v>0.94599999999999995</v>
      </c>
      <c r="D68">
        <v>0.85519999999999996</v>
      </c>
      <c r="E68">
        <v>0.92049999999999998</v>
      </c>
      <c r="F68">
        <v>49600118</v>
      </c>
      <c r="G68">
        <v>0.92049999999999998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0.438325991189428</v>
      </c>
      <c r="Q68">
        <f t="shared" ref="Q68" si="316">F68*P68</f>
        <v>21741020.88546259</v>
      </c>
      <c r="R68">
        <f t="shared" ref="R68" si="317">R69+Q68</f>
        <v>3073634257.6845846</v>
      </c>
      <c r="S68">
        <f t="shared" ref="S68" si="318">R68/100000</f>
        <v>30736.342576845847</v>
      </c>
      <c r="T68">
        <f t="shared" ref="T68" si="319">S68/1000</f>
        <v>30.736342576845846</v>
      </c>
    </row>
    <row r="69" spans="1:20" x14ac:dyDescent="0.25">
      <c r="A69" s="5">
        <v>44524</v>
      </c>
      <c r="B69">
        <v>0.90129999999999999</v>
      </c>
      <c r="C69">
        <v>0.90329999999999999</v>
      </c>
      <c r="D69">
        <v>0.87</v>
      </c>
      <c r="E69">
        <v>0.87980000000000003</v>
      </c>
      <c r="F69">
        <v>12394811</v>
      </c>
      <c r="G69">
        <v>0.87980000000000003</v>
      </c>
      <c r="L69" t="s">
        <v>7</v>
      </c>
      <c r="M69" t="s">
        <v>7</v>
      </c>
      <c r="N69" t="s">
        <v>7</v>
      </c>
      <c r="P69">
        <f t="shared" ref="P69" si="320">IF(C69=D69,0,((E69-D69)-(C69-E69))/(C69-D69))</f>
        <v>-0.41141141141140947</v>
      </c>
      <c r="Q69">
        <f t="shared" ref="Q69" si="321">F69*P69</f>
        <v>-5099366.6876876634</v>
      </c>
      <c r="R69">
        <f t="shared" ref="R69" si="322">R70+Q69</f>
        <v>3051893236.7991219</v>
      </c>
      <c r="S69">
        <f t="shared" ref="S69" si="323">R69/100000</f>
        <v>30518.93236799122</v>
      </c>
      <c r="T69">
        <f t="shared" ref="T69" si="324">S69/1000</f>
        <v>30.518932367991219</v>
      </c>
    </row>
    <row r="70" spans="1:20" x14ac:dyDescent="0.25">
      <c r="A70" s="5">
        <v>44523</v>
      </c>
      <c r="B70">
        <v>0.87629999999999997</v>
      </c>
      <c r="C70">
        <v>0.93</v>
      </c>
      <c r="D70">
        <v>0.85589999999999999</v>
      </c>
      <c r="E70">
        <v>0.90129999999999999</v>
      </c>
      <c r="F70">
        <v>43393538</v>
      </c>
      <c r="G70">
        <v>0.90129999999999999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0.2253711201079612</v>
      </c>
      <c r="Q70">
        <f t="shared" ref="Q70" si="326">F70*P70</f>
        <v>9779650.2645073794</v>
      </c>
      <c r="R70">
        <f t="shared" ref="R70" si="327">R71+Q70</f>
        <v>3056992603.4868097</v>
      </c>
      <c r="S70">
        <f t="shared" ref="S70" si="328">R70/100000</f>
        <v>30569.926034868098</v>
      </c>
      <c r="T70">
        <f t="shared" ref="T70" si="329">S70/1000</f>
        <v>30.569926034868097</v>
      </c>
    </row>
    <row r="71" spans="1:20" x14ac:dyDescent="0.25">
      <c r="A71" s="5">
        <v>44522</v>
      </c>
      <c r="B71">
        <v>0.92120000000000002</v>
      </c>
      <c r="C71">
        <v>0.9254</v>
      </c>
      <c r="D71">
        <v>0.85450000000000004</v>
      </c>
      <c r="E71">
        <v>0.87639999999999996</v>
      </c>
      <c r="F71">
        <v>39046696</v>
      </c>
      <c r="G71">
        <v>0.87639999999999996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-0.38222849083215993</v>
      </c>
      <c r="Q71">
        <f t="shared" ref="Q71" si="331">F71*P71</f>
        <v>-14924759.684062136</v>
      </c>
      <c r="R71">
        <f t="shared" ref="R71" si="332">R72+Q71</f>
        <v>3047212953.2223024</v>
      </c>
      <c r="S71">
        <f t="shared" ref="S71" si="333">R71/100000</f>
        <v>30472.129532223025</v>
      </c>
      <c r="T71">
        <f t="shared" ref="T71" si="334">S71/1000</f>
        <v>30.472129532223025</v>
      </c>
    </row>
    <row r="72" spans="1:20" x14ac:dyDescent="0.25">
      <c r="A72" s="5">
        <v>44521</v>
      </c>
      <c r="B72">
        <v>0.96579999999999999</v>
      </c>
      <c r="C72">
        <v>0.96819999999999995</v>
      </c>
      <c r="D72">
        <v>0.9194</v>
      </c>
      <c r="E72">
        <v>0.92069999999999996</v>
      </c>
      <c r="F72">
        <v>34961838</v>
      </c>
      <c r="G72">
        <v>0.92069999999999996</v>
      </c>
      <c r="L72" t="s">
        <v>7</v>
      </c>
      <c r="M72" t="s">
        <v>7</v>
      </c>
      <c r="N72" t="s">
        <v>7</v>
      </c>
      <c r="P72">
        <f t="shared" ref="P72" si="335">IF(C72=D72,0,((E72-D72)-(C72-E72))/(C72-D72))</f>
        <v>-0.94672131147541105</v>
      </c>
      <c r="Q72">
        <f t="shared" ref="Q72" si="336">F72*P72</f>
        <v>-33099117.122950863</v>
      </c>
      <c r="R72">
        <f t="shared" ref="R72" si="337">R73+Q72</f>
        <v>3062137712.9063644</v>
      </c>
      <c r="S72">
        <f t="shared" ref="S72" si="338">R72/100000</f>
        <v>30621.377129063643</v>
      </c>
      <c r="T72">
        <f t="shared" ref="T72" si="339">S72/1000</f>
        <v>30.621377129063642</v>
      </c>
    </row>
    <row r="73" spans="1:20" x14ac:dyDescent="0.25">
      <c r="A73" s="5">
        <v>44520</v>
      </c>
      <c r="B73">
        <v>0.95499999999999996</v>
      </c>
      <c r="C73">
        <v>0.98619999999999997</v>
      </c>
      <c r="D73">
        <v>0.91300000000000003</v>
      </c>
      <c r="E73">
        <v>0.96489999999999998</v>
      </c>
      <c r="F73">
        <v>31623432</v>
      </c>
      <c r="G73">
        <v>0.96489999999999998</v>
      </c>
      <c r="L73" t="s">
        <v>8</v>
      </c>
      <c r="M73" t="s">
        <v>7</v>
      </c>
      <c r="N73" t="s">
        <v>7</v>
      </c>
      <c r="P73">
        <f t="shared" ref="P73" si="340">IF(C73=D73,0,((E73-D73)-(C73-E73))/(C73-D73))</f>
        <v>0.41803278688524576</v>
      </c>
      <c r="Q73">
        <f t="shared" ref="Q73" si="341">F73*P73</f>
        <v>13219631.409836061</v>
      </c>
      <c r="R73">
        <f t="shared" ref="R73" si="342">R74+Q73</f>
        <v>3095236830.0293155</v>
      </c>
      <c r="S73">
        <f t="shared" ref="S73" si="343">R73/100000</f>
        <v>30952.368300293154</v>
      </c>
      <c r="T73">
        <f t="shared" ref="T73" si="344">S73/1000</f>
        <v>30.952368300293156</v>
      </c>
    </row>
    <row r="74" spans="1:20" x14ac:dyDescent="0.25">
      <c r="A74" s="5">
        <v>44519</v>
      </c>
      <c r="B74">
        <v>0.86739999999999995</v>
      </c>
      <c r="C74">
        <v>0.97119999999999995</v>
      </c>
      <c r="D74">
        <v>0.85489999999999999</v>
      </c>
      <c r="E74">
        <v>0.95499999999999996</v>
      </c>
      <c r="F74">
        <v>43069018</v>
      </c>
      <c r="G74">
        <v>0.95499999999999996</v>
      </c>
      <c r="L74" t="s">
        <v>7</v>
      </c>
      <c r="M74" t="s">
        <v>7</v>
      </c>
      <c r="N74" t="s">
        <v>7</v>
      </c>
      <c r="P74">
        <f t="shared" ref="P74" si="345">IF(C74=D74,0,((E74-D74)-(C74-E74))/(C74-D74))</f>
        <v>0.72141014617368882</v>
      </c>
      <c r="Q74">
        <f t="shared" ref="Q74" si="346">F74*P74</f>
        <v>31070426.570937235</v>
      </c>
      <c r="R74">
        <f t="shared" ref="R74" si="347">R75+Q74</f>
        <v>3082017198.6194792</v>
      </c>
      <c r="S74">
        <f t="shared" ref="S74" si="348">R74/100000</f>
        <v>30820.171986194793</v>
      </c>
      <c r="T74">
        <f t="shared" ref="T74" si="349">S74/1000</f>
        <v>30.820171986194794</v>
      </c>
    </row>
    <row r="75" spans="1:20" x14ac:dyDescent="0.25">
      <c r="A75" s="5">
        <v>44518</v>
      </c>
      <c r="B75">
        <v>0.93510000000000004</v>
      </c>
      <c r="C75">
        <v>1.0505</v>
      </c>
      <c r="D75">
        <v>0.84499999999999997</v>
      </c>
      <c r="E75">
        <v>0.86760000000000004</v>
      </c>
      <c r="F75">
        <v>84769373</v>
      </c>
      <c r="G75">
        <v>0.86760000000000004</v>
      </c>
      <c r="L75" t="s">
        <v>8</v>
      </c>
      <c r="M75" t="s">
        <v>8</v>
      </c>
      <c r="N75" t="s">
        <v>7</v>
      </c>
      <c r="P75">
        <f t="shared" ref="P75" si="350">IF(C75=D75,0,((E75-D75)-(C75-E75))/(C75-D75))</f>
        <v>-0.78004866180048604</v>
      </c>
      <c r="Q75">
        <f t="shared" ref="Q75" si="351">F75*P75</f>
        <v>-66124235.970316254</v>
      </c>
      <c r="R75">
        <f t="shared" ref="R75" si="352">R76+Q75</f>
        <v>3050946772.048542</v>
      </c>
      <c r="S75">
        <f t="shared" ref="S75" si="353">R75/100000</f>
        <v>30509.46772048542</v>
      </c>
      <c r="T75">
        <f t="shared" ref="T75" si="354">S75/1000</f>
        <v>30.509467720485421</v>
      </c>
    </row>
    <row r="76" spans="1:20" x14ac:dyDescent="0.25">
      <c r="A76" s="5">
        <v>44517</v>
      </c>
      <c r="B76">
        <v>0.92100000000000004</v>
      </c>
      <c r="C76">
        <v>0.96599999999999997</v>
      </c>
      <c r="D76">
        <v>0.88119999999999998</v>
      </c>
      <c r="E76">
        <v>0.93510000000000004</v>
      </c>
      <c r="F76">
        <v>57993948</v>
      </c>
      <c r="G76">
        <v>0.93510000000000004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0.2712264150943412</v>
      </c>
      <c r="Q76">
        <f t="shared" ref="Q76" si="356">F76*P76</f>
        <v>15729490.613207638</v>
      </c>
      <c r="R76">
        <f t="shared" ref="R76" si="357">R77+Q76</f>
        <v>3117071008.0188584</v>
      </c>
      <c r="S76">
        <f t="shared" ref="S76" si="358">R76/100000</f>
        <v>31170.710080188583</v>
      </c>
      <c r="T76">
        <f t="shared" ref="T76" si="359">S76/1000</f>
        <v>31.170710080188584</v>
      </c>
    </row>
    <row r="77" spans="1:20" x14ac:dyDescent="0.25">
      <c r="A77" s="5">
        <v>44516</v>
      </c>
      <c r="B77">
        <v>1.0185999999999999</v>
      </c>
      <c r="C77">
        <v>1.0193000000000001</v>
      </c>
      <c r="D77">
        <v>0.83499999999999996</v>
      </c>
      <c r="E77">
        <v>0.92179999999999995</v>
      </c>
      <c r="F77">
        <v>91668528</v>
      </c>
      <c r="G77">
        <v>0.92179999999999995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-5.8057514921324722E-2</v>
      </c>
      <c r="Q77">
        <f t="shared" ref="Q77" si="361">F77*P77</f>
        <v>-5322046.9321758728</v>
      </c>
      <c r="R77">
        <f t="shared" ref="R77" si="362">R78+Q77</f>
        <v>3101341517.4056506</v>
      </c>
      <c r="S77">
        <f t="shared" ref="S77" si="363">R77/100000</f>
        <v>31013.415174056507</v>
      </c>
      <c r="T77">
        <f t="shared" ref="T77" si="364">S77/1000</f>
        <v>31.013415174056508</v>
      </c>
    </row>
    <row r="78" spans="1:20" x14ac:dyDescent="0.25">
      <c r="A78" s="5">
        <v>44515</v>
      </c>
      <c r="B78">
        <v>1.0669999999999999</v>
      </c>
      <c r="C78">
        <v>1.1100000000000001</v>
      </c>
      <c r="D78">
        <v>1.0167999999999999</v>
      </c>
      <c r="E78">
        <v>1.0192000000000001</v>
      </c>
      <c r="F78">
        <v>43952820</v>
      </c>
      <c r="G78">
        <v>1.0192000000000001</v>
      </c>
      <c r="L78" t="s">
        <v>7</v>
      </c>
      <c r="M78" t="s">
        <v>8</v>
      </c>
      <c r="N78" t="s">
        <v>7</v>
      </c>
      <c r="P78">
        <f t="shared" ref="P78" si="365">IF(C78=D78,0,((E78-D78)-(C78-E78))/(C78-D78))</f>
        <v>-0.9484978540772494</v>
      </c>
      <c r="Q78">
        <f t="shared" ref="Q78" si="366">F78*P78</f>
        <v>-41689155.450643606</v>
      </c>
      <c r="R78">
        <f t="shared" ref="R78" si="367">R79+Q78</f>
        <v>3106663564.3378263</v>
      </c>
      <c r="S78">
        <f t="shared" ref="S78" si="368">R78/100000</f>
        <v>31066.635643378264</v>
      </c>
      <c r="T78">
        <f t="shared" ref="T78" si="369">S78/1000</f>
        <v>31.066635643378262</v>
      </c>
    </row>
    <row r="79" spans="1:20" x14ac:dyDescent="0.25">
      <c r="A79" s="5">
        <v>44514</v>
      </c>
      <c r="B79">
        <v>1.0969</v>
      </c>
      <c r="C79">
        <v>1.1065</v>
      </c>
      <c r="D79">
        <v>1.0443</v>
      </c>
      <c r="E79">
        <v>1.0668</v>
      </c>
      <c r="F79">
        <v>32242878</v>
      </c>
      <c r="G79">
        <v>1.0668</v>
      </c>
      <c r="L79" t="s">
        <v>8</v>
      </c>
      <c r="M79" t="s">
        <v>8</v>
      </c>
      <c r="N79" t="s">
        <v>7</v>
      </c>
      <c r="P79">
        <f t="shared" ref="P79" si="370">IF(C79=D79,0,((E79-D79)-(C79-E79))/(C79-D79))</f>
        <v>-0.27652733118971212</v>
      </c>
      <c r="Q79">
        <f t="shared" ref="Q79" si="371">F79*P79</f>
        <v>-8916037.0032154825</v>
      </c>
      <c r="R79">
        <f t="shared" ref="R79" si="372">R80+Q79</f>
        <v>3148352719.7884698</v>
      </c>
      <c r="S79">
        <f t="shared" ref="S79" si="373">R79/100000</f>
        <v>31483.527197884698</v>
      </c>
      <c r="T79">
        <f t="shared" ref="T79" si="374">S79/1000</f>
        <v>31.483527197884698</v>
      </c>
    </row>
    <row r="80" spans="1:20" x14ac:dyDescent="0.25">
      <c r="A80" s="5">
        <v>44513</v>
      </c>
      <c r="B80">
        <v>1.0745</v>
      </c>
      <c r="C80">
        <v>1.1243000000000001</v>
      </c>
      <c r="D80">
        <v>1.0721000000000001</v>
      </c>
      <c r="E80">
        <v>1.0968</v>
      </c>
      <c r="F80">
        <v>37304996</v>
      </c>
      <c r="G80">
        <v>1.0968</v>
      </c>
      <c r="L80" t="s">
        <v>8</v>
      </c>
      <c r="M80" t="s">
        <v>8</v>
      </c>
      <c r="N80" t="s">
        <v>7</v>
      </c>
      <c r="P80">
        <f t="shared" ref="P80" si="375">IF(C80=D80,0,((E80-D80)-(C80-E80))/(C80-D80))</f>
        <v>-5.3639846743297595E-2</v>
      </c>
      <c r="Q80">
        <f t="shared" ref="Q80" si="376">F80*P80</f>
        <v>-2001034.2681993297</v>
      </c>
      <c r="R80">
        <f t="shared" ref="R80" si="377">R81+Q80</f>
        <v>3157268756.7916851</v>
      </c>
      <c r="S80">
        <f t="shared" ref="S80" si="378">R80/100000</f>
        <v>31572.687567916852</v>
      </c>
      <c r="T80">
        <f t="shared" ref="T80" si="379">S80/1000</f>
        <v>31.572687567916851</v>
      </c>
    </row>
    <row r="81" spans="1:20" x14ac:dyDescent="0.25">
      <c r="A81" s="5">
        <v>44512</v>
      </c>
      <c r="B81">
        <v>1.1091</v>
      </c>
      <c r="C81">
        <v>1.1471</v>
      </c>
      <c r="D81">
        <v>1.0331999999999999</v>
      </c>
      <c r="E81">
        <v>1.0744</v>
      </c>
      <c r="F81">
        <v>57623847</v>
      </c>
      <c r="G81">
        <v>1.0744</v>
      </c>
      <c r="L81" t="s">
        <v>7</v>
      </c>
      <c r="M81" t="s">
        <v>8</v>
      </c>
      <c r="N81" t="s">
        <v>7</v>
      </c>
      <c r="P81">
        <f t="shared" ref="P81" si="380">IF(C81=D81,0,((E81-D81)-(C81-E81))/(C81-D81))</f>
        <v>-0.27655838454784748</v>
      </c>
      <c r="Q81">
        <f t="shared" ref="Q81" si="381">F81*P81</f>
        <v>-15936358.037752327</v>
      </c>
      <c r="R81">
        <f t="shared" ref="R81" si="382">R82+Q81</f>
        <v>3159269791.0598845</v>
      </c>
      <c r="S81">
        <f t="shared" ref="S81" si="383">R81/100000</f>
        <v>31592.697910598847</v>
      </c>
      <c r="T81">
        <f t="shared" ref="T81" si="384">S81/1000</f>
        <v>31.592697910598847</v>
      </c>
    </row>
    <row r="82" spans="1:20" x14ac:dyDescent="0.25">
      <c r="A82" s="5">
        <v>44511</v>
      </c>
      <c r="B82">
        <v>1.0851</v>
      </c>
      <c r="C82">
        <v>1.1603000000000001</v>
      </c>
      <c r="D82">
        <v>1.0613999999999999</v>
      </c>
      <c r="E82">
        <v>1.1092</v>
      </c>
      <c r="F82">
        <v>61020928</v>
      </c>
      <c r="G82">
        <v>1.1092</v>
      </c>
      <c r="L82" t="s">
        <v>8</v>
      </c>
      <c r="M82" t="s">
        <v>8</v>
      </c>
      <c r="N82" t="s">
        <v>7</v>
      </c>
      <c r="P82">
        <f t="shared" ref="P82" si="385">IF(C82=D82,0,((E82-D82)-(C82-E82))/(C82-D82))</f>
        <v>-3.3367037411527536E-2</v>
      </c>
      <c r="Q82">
        <f t="shared" ref="Q82" si="386">F82*P82</f>
        <v>-2036087.5874621281</v>
      </c>
      <c r="R82">
        <f t="shared" ref="R82" si="387">R83+Q82</f>
        <v>3175206149.0976367</v>
      </c>
      <c r="S82">
        <f t="shared" ref="S82" si="388">R82/100000</f>
        <v>31752.061490976368</v>
      </c>
      <c r="T82">
        <f t="shared" ref="T82" si="389">S82/1000</f>
        <v>31.752061490976367</v>
      </c>
    </row>
    <row r="83" spans="1:20" x14ac:dyDescent="0.25">
      <c r="A83" s="5">
        <v>44510</v>
      </c>
      <c r="B83">
        <v>1.2074</v>
      </c>
      <c r="C83">
        <v>1.2343999999999999</v>
      </c>
      <c r="D83">
        <v>0.98770000000000002</v>
      </c>
      <c r="E83">
        <v>1.0851999999999999</v>
      </c>
      <c r="F83">
        <v>123308671</v>
      </c>
      <c r="G83">
        <v>1.0851999999999999</v>
      </c>
      <c r="L83" t="s">
        <v>7</v>
      </c>
      <c r="M83" t="s">
        <v>7</v>
      </c>
      <c r="N83" t="s">
        <v>7</v>
      </c>
      <c r="P83">
        <f t="shared" ref="P83" si="390">IF(C83=D83,0,((E83-D83)-(C83-E83))/(C83-D83))</f>
        <v>-0.20956627482772638</v>
      </c>
      <c r="Q83">
        <f t="shared" ref="Q83" si="391">F83*P83</f>
        <v>-25841338.835427694</v>
      </c>
      <c r="R83">
        <f t="shared" ref="R83" si="392">R84+Q83</f>
        <v>3177242236.6850986</v>
      </c>
      <c r="S83">
        <f t="shared" ref="S83" si="393">R83/100000</f>
        <v>31772.422366850988</v>
      </c>
      <c r="T83">
        <f t="shared" ref="T83" si="394">S83/1000</f>
        <v>31.772422366850989</v>
      </c>
    </row>
    <row r="84" spans="1:20" x14ac:dyDescent="0.25">
      <c r="A84" s="5">
        <v>44509</v>
      </c>
      <c r="B84">
        <v>1.1354</v>
      </c>
      <c r="C84">
        <v>1.3355999999999999</v>
      </c>
      <c r="D84">
        <v>1.1254999999999999</v>
      </c>
      <c r="E84">
        <v>1.2074</v>
      </c>
      <c r="F84">
        <v>189418231.02000001</v>
      </c>
      <c r="G84">
        <v>1.2074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-0.22037125178486339</v>
      </c>
      <c r="Q84">
        <f t="shared" ref="Q84" si="396">F84*P84</f>
        <v>-41742332.680751845</v>
      </c>
      <c r="R84">
        <f t="shared" ref="R84" si="397">R85+Q84</f>
        <v>3203083575.5205264</v>
      </c>
      <c r="S84">
        <f t="shared" ref="S84" si="398">R84/100000</f>
        <v>32030.835755205266</v>
      </c>
      <c r="T84">
        <f t="shared" ref="T84" si="399">S84/1000</f>
        <v>32.030835755205267</v>
      </c>
    </row>
    <row r="85" spans="1:20" x14ac:dyDescent="0.25">
      <c r="A85" s="5">
        <v>44508</v>
      </c>
      <c r="B85">
        <v>1.1149</v>
      </c>
      <c r="C85">
        <v>1.1499999999999999</v>
      </c>
      <c r="D85">
        <v>1.0630999999999999</v>
      </c>
      <c r="E85">
        <v>1.1346000000000001</v>
      </c>
      <c r="F85">
        <v>61929590</v>
      </c>
      <c r="G85">
        <v>1.1346000000000001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0.64556962025316778</v>
      </c>
      <c r="Q85">
        <f t="shared" ref="Q85" si="401">F85*P85</f>
        <v>39979861.898734376</v>
      </c>
      <c r="R85">
        <f t="shared" ref="R85" si="402">R86+Q85</f>
        <v>3244825908.2012782</v>
      </c>
      <c r="S85">
        <f t="shared" ref="S85" si="403">R85/100000</f>
        <v>32448.259082012781</v>
      </c>
      <c r="T85">
        <f t="shared" ref="T85" si="404">S85/1000</f>
        <v>32.448259082012783</v>
      </c>
    </row>
    <row r="86" spans="1:20" x14ac:dyDescent="0.25">
      <c r="A86" s="5">
        <v>44507</v>
      </c>
      <c r="B86">
        <v>1.0621</v>
      </c>
      <c r="C86">
        <v>1.1327</v>
      </c>
      <c r="D86">
        <v>1.0444</v>
      </c>
      <c r="E86">
        <v>1.1145</v>
      </c>
      <c r="F86">
        <v>51359677</v>
      </c>
      <c r="G86">
        <v>1.1145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0.58776896942242385</v>
      </c>
      <c r="Q86">
        <f t="shared" ref="Q86" si="406">F86*P86</f>
        <v>30187624.420158565</v>
      </c>
      <c r="R86">
        <f t="shared" ref="R86" si="407">R87+Q86</f>
        <v>3204846046.3025436</v>
      </c>
      <c r="S86">
        <f t="shared" ref="S86" si="408">R86/100000</f>
        <v>32048.460463025436</v>
      </c>
      <c r="T86">
        <f t="shared" ref="T86" si="409">S86/1000</f>
        <v>32.048460463025435</v>
      </c>
    </row>
    <row r="87" spans="1:20" x14ac:dyDescent="0.25">
      <c r="A87" s="5">
        <v>44506</v>
      </c>
      <c r="B87">
        <v>1.0649</v>
      </c>
      <c r="C87">
        <v>1.0831</v>
      </c>
      <c r="D87">
        <v>1.0038</v>
      </c>
      <c r="E87">
        <v>1.0621</v>
      </c>
      <c r="F87">
        <v>50585800</v>
      </c>
      <c r="G87">
        <v>1.0621</v>
      </c>
      <c r="L87" t="s">
        <v>7</v>
      </c>
      <c r="M87" t="s">
        <v>8</v>
      </c>
      <c r="N87" t="s">
        <v>8</v>
      </c>
      <c r="P87">
        <f t="shared" ref="P87" si="410">IF(C87=D87,0,((E87-D87)-(C87-E87))/(C87-D87))</f>
        <v>0.47036569987389842</v>
      </c>
      <c r="Q87">
        <f t="shared" ref="Q87" si="411">F87*P87</f>
        <v>23793825.220681053</v>
      </c>
      <c r="R87">
        <f t="shared" ref="R87" si="412">R88+Q87</f>
        <v>3174658421.8823853</v>
      </c>
      <c r="S87">
        <f t="shared" ref="S87" si="413">R87/100000</f>
        <v>31746.584218823853</v>
      </c>
      <c r="T87">
        <f t="shared" ref="T87" si="414">S87/1000</f>
        <v>31.746584218823852</v>
      </c>
    </row>
    <row r="88" spans="1:20" x14ac:dyDescent="0.25">
      <c r="A88" s="5">
        <v>44505</v>
      </c>
      <c r="B88">
        <v>1.0522</v>
      </c>
      <c r="C88">
        <v>1.1659999999999999</v>
      </c>
      <c r="D88">
        <v>1.0176000000000001</v>
      </c>
      <c r="E88">
        <v>1.0649</v>
      </c>
      <c r="F88">
        <v>120594549</v>
      </c>
      <c r="G88">
        <v>1.0649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-0.36253369272237279</v>
      </c>
      <c r="Q88">
        <f t="shared" ref="Q88" si="416">F88*P88</f>
        <v>-43719587.171159126</v>
      </c>
      <c r="R88">
        <f t="shared" ref="R88" si="417">R89+Q88</f>
        <v>3150864596.6617041</v>
      </c>
      <c r="S88">
        <f t="shared" ref="S88" si="418">R88/100000</f>
        <v>31508.645966617041</v>
      </c>
      <c r="T88">
        <f t="shared" ref="T88" si="419">S88/1000</f>
        <v>31.508645966617042</v>
      </c>
    </row>
    <row r="89" spans="1:20" x14ac:dyDescent="0.25">
      <c r="A89" s="5">
        <v>44504</v>
      </c>
      <c r="B89">
        <v>0.98899999999999999</v>
      </c>
      <c r="C89">
        <v>1.0714999999999999</v>
      </c>
      <c r="D89">
        <v>0.97260000000000002</v>
      </c>
      <c r="E89">
        <v>1.0526</v>
      </c>
      <c r="F89">
        <v>88876133</v>
      </c>
      <c r="G89">
        <v>1.0526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0.61779575328614877</v>
      </c>
      <c r="Q89">
        <f t="shared" ref="Q89" si="421">F89*P89</f>
        <v>54907297.535894945</v>
      </c>
      <c r="R89">
        <f t="shared" ref="R89" si="422">R90+Q89</f>
        <v>3194584183.8328633</v>
      </c>
      <c r="S89">
        <f t="shared" ref="S89" si="423">R89/100000</f>
        <v>31945.841838328633</v>
      </c>
      <c r="T89">
        <f t="shared" ref="T89" si="424">S89/1000</f>
        <v>31.945841838328633</v>
      </c>
    </row>
    <row r="90" spans="1:20" x14ac:dyDescent="0.25">
      <c r="A90" s="5">
        <v>44503</v>
      </c>
      <c r="B90">
        <v>0.99350000000000005</v>
      </c>
      <c r="C90">
        <v>1.0152000000000001</v>
      </c>
      <c r="D90">
        <v>0.94169999999999998</v>
      </c>
      <c r="E90">
        <v>0.98899999999999999</v>
      </c>
      <c r="F90">
        <v>61187132</v>
      </c>
      <c r="G90">
        <v>0.98899999999999999</v>
      </c>
      <c r="L90" t="s">
        <v>7</v>
      </c>
      <c r="M90" t="s">
        <v>8</v>
      </c>
      <c r="N90" t="s">
        <v>8</v>
      </c>
      <c r="P90">
        <f t="shared" ref="P90" si="425">IF(C90=D90,0,((E90-D90)-(C90-E90))/(C90-D90))</f>
        <v>0.28707482993197092</v>
      </c>
      <c r="Q90">
        <f t="shared" ref="Q90" si="426">F90*P90</f>
        <v>17565285.512925055</v>
      </c>
      <c r="R90">
        <f t="shared" ref="R90" si="427">R91+Q90</f>
        <v>3139676886.2969685</v>
      </c>
      <c r="S90">
        <f t="shared" ref="S90" si="428">R90/100000</f>
        <v>31396.768862969686</v>
      </c>
      <c r="T90">
        <f t="shared" ref="T90" si="429">S90/1000</f>
        <v>31.396768862969687</v>
      </c>
    </row>
    <row r="91" spans="1:20" x14ac:dyDescent="0.25">
      <c r="A91" s="5">
        <v>44502</v>
      </c>
      <c r="B91">
        <v>0.99260000000000004</v>
      </c>
      <c r="C91">
        <v>1.0298</v>
      </c>
      <c r="D91">
        <v>0.98</v>
      </c>
      <c r="E91">
        <v>0.99199999999999999</v>
      </c>
      <c r="F91">
        <v>44901742</v>
      </c>
      <c r="G91">
        <v>0.99199999999999999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-0.51807228915662673</v>
      </c>
      <c r="Q91">
        <f t="shared" ref="Q91" si="431">F91*P91</f>
        <v>-23262348.26506025</v>
      </c>
      <c r="R91">
        <f t="shared" ref="R91" si="432">R92+Q91</f>
        <v>3122111600.7840433</v>
      </c>
      <c r="S91">
        <f t="shared" ref="S91" si="433">R91/100000</f>
        <v>31221.116007840432</v>
      </c>
      <c r="T91">
        <f t="shared" ref="T91" si="434">S91/1000</f>
        <v>31.221116007840433</v>
      </c>
    </row>
    <row r="92" spans="1:20" x14ac:dyDescent="0.25">
      <c r="A92" s="5">
        <v>44501</v>
      </c>
      <c r="B92">
        <v>1.0449999999999999</v>
      </c>
      <c r="C92">
        <v>1.0499000000000001</v>
      </c>
      <c r="D92">
        <v>0.93289999999999995</v>
      </c>
      <c r="E92">
        <v>0.99229999999999996</v>
      </c>
      <c r="F92">
        <v>78164243</v>
      </c>
      <c r="G92">
        <v>0.99229999999999996</v>
      </c>
      <c r="L92" t="s">
        <v>7</v>
      </c>
      <c r="M92" t="s">
        <v>8</v>
      </c>
      <c r="N92" t="s">
        <v>8</v>
      </c>
      <c r="P92">
        <f t="shared" ref="P92" si="435">IF(C92=D92,0,((E92-D92)-(C92-E92))/(C92-D92))</f>
        <v>1.5384615384614626E-2</v>
      </c>
      <c r="Q92">
        <f t="shared" ref="Q92" si="436">F92*P92</f>
        <v>1202526.8153845561</v>
      </c>
      <c r="R92">
        <f t="shared" ref="R92" si="437">R93+Q92</f>
        <v>3145373949.0491037</v>
      </c>
      <c r="S92">
        <f t="shared" ref="S92" si="438">R92/100000</f>
        <v>31453.739490491036</v>
      </c>
      <c r="T92">
        <f t="shared" ref="T92" si="439">S92/1000</f>
        <v>31.453739490491035</v>
      </c>
    </row>
    <row r="93" spans="1:20" x14ac:dyDescent="0.25">
      <c r="A93" s="5">
        <v>44500</v>
      </c>
      <c r="B93">
        <v>0.91900000000000004</v>
      </c>
      <c r="C93">
        <v>1.0983000000000001</v>
      </c>
      <c r="D93">
        <v>0.89190000000000003</v>
      </c>
      <c r="E93">
        <v>1.0449999999999999</v>
      </c>
      <c r="F93">
        <v>120124558</v>
      </c>
      <c r="G93">
        <v>1.0449999999999999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0.4835271317829446</v>
      </c>
      <c r="Q93">
        <f t="shared" ref="Q93" si="441">F93*P93</f>
        <v>58083482.986433968</v>
      </c>
      <c r="R93">
        <f t="shared" ref="R93" si="442">R94+Q93</f>
        <v>3144171422.2337193</v>
      </c>
      <c r="S93">
        <f t="shared" ref="S93" si="443">R93/100000</f>
        <v>31441.714222337192</v>
      </c>
      <c r="T93">
        <f t="shared" ref="T93" si="444">S93/1000</f>
        <v>31.441714222337193</v>
      </c>
    </row>
    <row r="94" spans="1:20" x14ac:dyDescent="0.25">
      <c r="A94" s="5">
        <v>44499</v>
      </c>
      <c r="B94">
        <v>0.9708</v>
      </c>
      <c r="C94">
        <v>0.98560000000000003</v>
      </c>
      <c r="D94">
        <v>0.89910000000000001</v>
      </c>
      <c r="E94">
        <v>0.91990000000000005</v>
      </c>
      <c r="F94">
        <v>46151742</v>
      </c>
      <c r="G94">
        <v>0.91990000000000005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-0.51907514450866965</v>
      </c>
      <c r="Q94">
        <f t="shared" ref="Q94" si="446">F94*P94</f>
        <v>-23956222.147976838</v>
      </c>
      <c r="R94">
        <f t="shared" ref="R94" si="447">R95+Q94</f>
        <v>3086087939.2472854</v>
      </c>
      <c r="S94">
        <f t="shared" ref="S94" si="448">R94/100000</f>
        <v>30860.879392472852</v>
      </c>
      <c r="T94">
        <f t="shared" ref="T94" si="449">S94/1000</f>
        <v>30.860879392472853</v>
      </c>
    </row>
    <row r="95" spans="1:20" x14ac:dyDescent="0.25">
      <c r="A95" s="5">
        <v>44498</v>
      </c>
      <c r="B95">
        <v>0.94079999999999997</v>
      </c>
      <c r="C95">
        <v>1.0249999999999999</v>
      </c>
      <c r="D95">
        <v>0.93410000000000004</v>
      </c>
      <c r="E95">
        <v>0.97009999999999996</v>
      </c>
      <c r="F95">
        <v>64354452</v>
      </c>
      <c r="G95">
        <v>0.97009999999999996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-0.20792079207920852</v>
      </c>
      <c r="Q95">
        <f t="shared" ref="Q95" si="451">F95*P95</f>
        <v>-13380628.633663405</v>
      </c>
      <c r="R95">
        <f t="shared" ref="R95" si="452">R96+Q95</f>
        <v>3110044161.3952622</v>
      </c>
      <c r="S95">
        <f t="shared" ref="S95" si="453">R95/100000</f>
        <v>31100.441613952622</v>
      </c>
      <c r="T95">
        <f t="shared" ref="T95" si="454">S95/1000</f>
        <v>31.100441613952622</v>
      </c>
    </row>
    <row r="96" spans="1:20" x14ac:dyDescent="0.25">
      <c r="A96" s="5">
        <v>44497</v>
      </c>
      <c r="B96">
        <v>0.93240000000000001</v>
      </c>
      <c r="C96">
        <v>0.99150000000000005</v>
      </c>
      <c r="D96">
        <v>0.91159999999999997</v>
      </c>
      <c r="E96">
        <v>0.94140000000000001</v>
      </c>
      <c r="F96">
        <v>77123722</v>
      </c>
      <c r="G96">
        <v>0.94140000000000001</v>
      </c>
      <c r="L96" t="s">
        <v>8</v>
      </c>
      <c r="M96" t="s">
        <v>7</v>
      </c>
      <c r="N96" t="s">
        <v>8</v>
      </c>
      <c r="P96">
        <f t="shared" ref="P96" si="455">IF(C96=D96,0,((E96-D96)-(C96-E96))/(C96-D96))</f>
        <v>-0.25406758448060029</v>
      </c>
      <c r="Q96">
        <f t="shared" ref="Q96" si="456">F96*P96</f>
        <v>-19594637.754693333</v>
      </c>
      <c r="R96">
        <f t="shared" ref="R96" si="457">R97+Q96</f>
        <v>3123424790.0289254</v>
      </c>
      <c r="S96">
        <f t="shared" ref="S96" si="458">R96/100000</f>
        <v>31234.247900289254</v>
      </c>
      <c r="T96">
        <f t="shared" ref="T96" si="459">S96/1000</f>
        <v>31.234247900289255</v>
      </c>
    </row>
    <row r="97" spans="1:20" x14ac:dyDescent="0.25">
      <c r="A97" s="5">
        <v>44496</v>
      </c>
      <c r="B97">
        <v>1.0813999999999999</v>
      </c>
      <c r="C97">
        <v>1.123</v>
      </c>
      <c r="D97">
        <v>0.87450000000000006</v>
      </c>
      <c r="E97">
        <v>0.93220000000000003</v>
      </c>
      <c r="F97">
        <v>159518241</v>
      </c>
      <c r="G97">
        <v>0.93220000000000003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-0.53561368209255544</v>
      </c>
      <c r="Q97">
        <f t="shared" ref="Q97" si="461">F97*P97</f>
        <v>-85440152.422937647</v>
      </c>
      <c r="R97">
        <f t="shared" ref="R97" si="462">R98+Q97</f>
        <v>3143019427.7836189</v>
      </c>
      <c r="S97">
        <f t="shared" ref="S97" si="463">R97/100000</f>
        <v>31430.194277836188</v>
      </c>
      <c r="T97">
        <f t="shared" ref="T97" si="464">S97/1000</f>
        <v>31.43019427783619</v>
      </c>
    </row>
    <row r="98" spans="1:20" x14ac:dyDescent="0.25">
      <c r="A98" s="5">
        <v>44495</v>
      </c>
      <c r="B98">
        <v>1.0376000000000001</v>
      </c>
      <c r="C98">
        <v>1.1923999999999999</v>
      </c>
      <c r="D98">
        <v>1.0133000000000001</v>
      </c>
      <c r="E98">
        <v>1.0812999999999999</v>
      </c>
      <c r="F98">
        <v>146739290.08000001</v>
      </c>
      <c r="G98">
        <v>1.0812999999999999</v>
      </c>
      <c r="L98" t="s">
        <v>8</v>
      </c>
      <c r="M98" t="s">
        <v>8</v>
      </c>
      <c r="N98" t="s">
        <v>8</v>
      </c>
      <c r="P98">
        <f t="shared" ref="P98" si="465">IF(C98=D98,0,((E98-D98)-(C98-E98))/(C98-D98))</f>
        <v>-0.24064768285873916</v>
      </c>
      <c r="Q98">
        <f t="shared" ref="Q98" si="466">F98*P98</f>
        <v>-35312470.142088376</v>
      </c>
      <c r="R98">
        <f t="shared" ref="R98" si="467">R99+Q98</f>
        <v>3228459580.2065568</v>
      </c>
      <c r="S98">
        <f t="shared" ref="S98" si="468">R98/100000</f>
        <v>32284.595802065567</v>
      </c>
      <c r="T98">
        <f t="shared" ref="T98" si="469">S98/1000</f>
        <v>32.284595802065567</v>
      </c>
    </row>
    <row r="99" spans="1:20" x14ac:dyDescent="0.25">
      <c r="A99" s="5">
        <v>44494</v>
      </c>
      <c r="B99">
        <v>0.94010000000000005</v>
      </c>
      <c r="C99">
        <v>1.0727</v>
      </c>
      <c r="D99">
        <v>0.94</v>
      </c>
      <c r="E99">
        <v>1.038</v>
      </c>
      <c r="F99">
        <v>155421913</v>
      </c>
      <c r="G99">
        <v>1.038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0.47701582516955626</v>
      </c>
      <c r="Q99">
        <f t="shared" ref="Q99" si="471">F99*P99</f>
        <v>74138712.079125986</v>
      </c>
      <c r="R99">
        <f t="shared" ref="R99" si="472">R100+Q99</f>
        <v>3263772050.3486452</v>
      </c>
      <c r="S99">
        <f t="shared" ref="S99" si="473">R99/100000</f>
        <v>32637.720503486453</v>
      </c>
      <c r="T99">
        <f t="shared" ref="T99" si="474">S99/1000</f>
        <v>32.637720503486456</v>
      </c>
    </row>
    <row r="100" spans="1:20" x14ac:dyDescent="0.25">
      <c r="A100" s="5">
        <v>44493</v>
      </c>
      <c r="B100">
        <v>0.88649999999999995</v>
      </c>
      <c r="C100">
        <v>0.94589999999999996</v>
      </c>
      <c r="D100">
        <v>0.87450000000000006</v>
      </c>
      <c r="E100">
        <v>0.94030000000000002</v>
      </c>
      <c r="F100">
        <v>76863069</v>
      </c>
      <c r="G100">
        <v>0.94030000000000002</v>
      </c>
      <c r="L100" t="s">
        <v>8</v>
      </c>
      <c r="M100" t="s">
        <v>8</v>
      </c>
      <c r="N100" t="s">
        <v>8</v>
      </c>
      <c r="P100">
        <f t="shared" ref="P100" si="475">IF(C100=D100,0,((E100-D100)-(C100-E100))/(C100-D100))</f>
        <v>0.84313725490196234</v>
      </c>
      <c r="Q100">
        <f t="shared" ref="Q100" si="476">F100*P100</f>
        <v>64806117.000000119</v>
      </c>
      <c r="R100">
        <f t="shared" ref="R100" si="477">R101+Q100</f>
        <v>3189633338.2695193</v>
      </c>
      <c r="S100">
        <f t="shared" ref="S100" si="478">R100/100000</f>
        <v>31896.333382695193</v>
      </c>
      <c r="T100">
        <f t="shared" ref="T100" si="479">S100/1000</f>
        <v>31.896333382695193</v>
      </c>
    </row>
    <row r="101" spans="1:20" x14ac:dyDescent="0.25">
      <c r="A101" s="5">
        <v>44492</v>
      </c>
      <c r="B101">
        <v>0.90259999999999996</v>
      </c>
      <c r="C101">
        <v>0.91290000000000004</v>
      </c>
      <c r="D101">
        <v>0.87190000000000001</v>
      </c>
      <c r="E101">
        <v>0.88670000000000004</v>
      </c>
      <c r="F101">
        <v>31174225</v>
      </c>
      <c r="G101">
        <v>0.88670000000000004</v>
      </c>
      <c r="L101" t="s">
        <v>7</v>
      </c>
      <c r="M101" t="s">
        <v>8</v>
      </c>
      <c r="N101" t="s">
        <v>8</v>
      </c>
      <c r="P101">
        <f t="shared" ref="P101" si="480">IF(C101=D101,0,((E101-D101)-(C101-E101))/(C101-D101))</f>
        <v>-0.27804878048780379</v>
      </c>
      <c r="Q101">
        <f t="shared" ref="Q101" si="481">F101*P101</f>
        <v>-8667955.2439024057</v>
      </c>
      <c r="R101">
        <f t="shared" ref="R101" si="482">R102+Q101</f>
        <v>3124827221.2695193</v>
      </c>
      <c r="S101">
        <f t="shared" ref="S101" si="483">R101/100000</f>
        <v>31248.272212695192</v>
      </c>
      <c r="T101">
        <f t="shared" ref="T101" si="484">S101/1000</f>
        <v>31.248272212695191</v>
      </c>
    </row>
    <row r="102" spans="1:20" x14ac:dyDescent="0.25">
      <c r="A102" s="5">
        <v>44491</v>
      </c>
      <c r="B102">
        <v>0.9355</v>
      </c>
      <c r="C102">
        <v>0.99</v>
      </c>
      <c r="D102">
        <v>0.87909999999999999</v>
      </c>
      <c r="E102">
        <v>0.90269999999999995</v>
      </c>
      <c r="F102">
        <v>102889025</v>
      </c>
      <c r="G102">
        <v>0.90269999999999995</v>
      </c>
      <c r="L102" t="s">
        <v>8</v>
      </c>
      <c r="M102" t="s">
        <v>8</v>
      </c>
      <c r="N102" t="s">
        <v>8</v>
      </c>
      <c r="P102">
        <f t="shared" ref="P102" si="485">IF(C102=D102,0,((E102-D102)-(C102-E102))/(C102-D102))</f>
        <v>-0.57439134355275101</v>
      </c>
      <c r="Q102">
        <f t="shared" ref="Q102" si="486">F102*P102</f>
        <v>-59098565.306582585</v>
      </c>
      <c r="R102">
        <f t="shared" ref="R102" si="487">R103+Q102</f>
        <v>3133495176.5134215</v>
      </c>
      <c r="S102">
        <f t="shared" ref="S102" si="488">R102/100000</f>
        <v>31334.951765134214</v>
      </c>
      <c r="T102">
        <f t="shared" ref="T102" si="489">S102/1000</f>
        <v>31.334951765134214</v>
      </c>
    </row>
    <row r="103" spans="1:20" x14ac:dyDescent="0.25">
      <c r="A103" s="5">
        <v>44490</v>
      </c>
      <c r="B103">
        <v>0.87470000000000003</v>
      </c>
      <c r="C103">
        <v>0.95679999999999998</v>
      </c>
      <c r="D103">
        <v>0.84189999999999998</v>
      </c>
      <c r="E103">
        <v>0.93530000000000002</v>
      </c>
      <c r="F103">
        <v>127403677</v>
      </c>
      <c r="G103">
        <v>0.93530000000000002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0.62576153176675431</v>
      </c>
      <c r="Q103">
        <f t="shared" ref="Q103" si="491">F103*P103</f>
        <v>79724320.072236806</v>
      </c>
      <c r="R103">
        <f t="shared" ref="R103" si="492">R104+Q103</f>
        <v>3192593741.820004</v>
      </c>
      <c r="S103">
        <f t="shared" ref="S103" si="493">R103/100000</f>
        <v>31925.937418200039</v>
      </c>
      <c r="T103">
        <f t="shared" ref="T103" si="494">S103/1000</f>
        <v>31.925937418200039</v>
      </c>
    </row>
    <row r="104" spans="1:20" x14ac:dyDescent="0.25">
      <c r="A104" s="5">
        <v>44489</v>
      </c>
      <c r="B104">
        <v>0.77939999999999998</v>
      </c>
      <c r="C104">
        <v>0.88</v>
      </c>
      <c r="D104">
        <v>0.77429999999999999</v>
      </c>
      <c r="E104">
        <v>0.87470000000000003</v>
      </c>
      <c r="F104">
        <v>95598110</v>
      </c>
      <c r="G104">
        <v>0.87470000000000003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0.89971617786187374</v>
      </c>
      <c r="Q104">
        <f t="shared" ref="Q104" si="496">F104*P104</f>
        <v>86011166.14001897</v>
      </c>
      <c r="R104">
        <f t="shared" ref="R104" si="497">R105+Q104</f>
        <v>3112869421.747767</v>
      </c>
      <c r="S104">
        <f t="shared" ref="S104" si="498">R104/100000</f>
        <v>31128.69421747767</v>
      </c>
      <c r="T104">
        <f t="shared" ref="T104" si="499">S104/1000</f>
        <v>31.128694217477669</v>
      </c>
    </row>
    <row r="105" spans="1:20" x14ac:dyDescent="0.25">
      <c r="A105" s="5">
        <v>44488</v>
      </c>
      <c r="B105">
        <v>0.76910000000000001</v>
      </c>
      <c r="C105">
        <v>0.78800000000000003</v>
      </c>
      <c r="D105">
        <v>0.75149999999999995</v>
      </c>
      <c r="E105">
        <v>0.77939999999999998</v>
      </c>
      <c r="F105">
        <v>28360794</v>
      </c>
      <c r="G105">
        <v>0.77939999999999998</v>
      </c>
      <c r="L105" t="s">
        <v>7</v>
      </c>
      <c r="M105" t="s">
        <v>8</v>
      </c>
      <c r="N105" t="s">
        <v>8</v>
      </c>
      <c r="P105">
        <f t="shared" ref="P105" si="500">IF(C105=D105,0,((E105-D105)-(C105-E105))/(C105-D105))</f>
        <v>0.5287671232876695</v>
      </c>
      <c r="Q105">
        <f t="shared" ref="Q105" si="501">F105*P105</f>
        <v>14996255.457534198</v>
      </c>
      <c r="R105">
        <f t="shared" ref="R105" si="502">R106+Q105</f>
        <v>3026858255.607748</v>
      </c>
      <c r="S105">
        <f t="shared" ref="S105" si="503">R105/100000</f>
        <v>30268.582556077479</v>
      </c>
      <c r="T105">
        <f t="shared" ref="T105" si="504">S105/1000</f>
        <v>30.268582556077479</v>
      </c>
    </row>
    <row r="106" spans="1:20" x14ac:dyDescent="0.25">
      <c r="A106" s="5">
        <v>44487</v>
      </c>
      <c r="B106">
        <v>0.77710000000000001</v>
      </c>
      <c r="C106">
        <v>0.8</v>
      </c>
      <c r="D106">
        <v>0.75060000000000004</v>
      </c>
      <c r="E106">
        <v>0.76910000000000001</v>
      </c>
      <c r="F106">
        <v>31878376</v>
      </c>
      <c r="G106">
        <v>0.76910000000000001</v>
      </c>
      <c r="L106" t="s">
        <v>7</v>
      </c>
      <c r="M106" t="s">
        <v>8</v>
      </c>
      <c r="N106" t="s">
        <v>8</v>
      </c>
      <c r="P106">
        <f t="shared" ref="P106" si="505">IF(C106=D106,0,((E106-D106)-(C106-E106))/(C106-D106))</f>
        <v>-0.25101214574898945</v>
      </c>
      <c r="Q106">
        <f t="shared" ref="Q106" si="506">F106*P106</f>
        <v>-8001859.5627530869</v>
      </c>
      <c r="R106">
        <f t="shared" ref="R106" si="507">R107+Q106</f>
        <v>3011862000.1502137</v>
      </c>
      <c r="S106">
        <f t="shared" ref="S106" si="508">R106/100000</f>
        <v>30118.620001502139</v>
      </c>
      <c r="T106">
        <f t="shared" ref="T106" si="509">S106/1000</f>
        <v>30.118620001502137</v>
      </c>
    </row>
    <row r="107" spans="1:20" x14ac:dyDescent="0.25">
      <c r="A107" s="5">
        <v>44486</v>
      </c>
      <c r="B107">
        <v>0.79949999999999999</v>
      </c>
      <c r="C107">
        <v>0.83</v>
      </c>
      <c r="D107">
        <v>0.752</v>
      </c>
      <c r="E107">
        <v>0.7772</v>
      </c>
      <c r="F107">
        <v>44754921</v>
      </c>
      <c r="G107">
        <v>0.7772</v>
      </c>
      <c r="L107" t="s">
        <v>7</v>
      </c>
      <c r="M107" t="s">
        <v>8</v>
      </c>
      <c r="N107" t="s">
        <v>8</v>
      </c>
      <c r="P107">
        <f t="shared" ref="P107" si="510">IF(C107=D107,0,((E107-D107)-(C107-E107))/(C107-D107))</f>
        <v>-0.35384615384615348</v>
      </c>
      <c r="Q107">
        <f t="shared" ref="Q107" si="511">F107*P107</f>
        <v>-15836356.661538444</v>
      </c>
      <c r="R107">
        <f t="shared" ref="R107" si="512">R108+Q107</f>
        <v>3019863859.7129669</v>
      </c>
      <c r="S107">
        <f t="shared" ref="S107" si="513">R107/100000</f>
        <v>30198.63859712967</v>
      </c>
      <c r="T107">
        <f t="shared" ref="T107" si="514">S107/1000</f>
        <v>30.198638597129669</v>
      </c>
    </row>
    <row r="108" spans="1:20" x14ac:dyDescent="0.25">
      <c r="A108" s="5">
        <v>44485</v>
      </c>
      <c r="B108">
        <v>0.81479999999999997</v>
      </c>
      <c r="C108">
        <v>0.88549999999999995</v>
      </c>
      <c r="D108">
        <v>0.78490000000000004</v>
      </c>
      <c r="E108">
        <v>0.79949999999999999</v>
      </c>
      <c r="F108">
        <v>104783496</v>
      </c>
      <c r="G108">
        <v>0.79949999999999999</v>
      </c>
      <c r="L108" t="s">
        <v>8</v>
      </c>
      <c r="M108" t="s">
        <v>8</v>
      </c>
      <c r="N108" t="s">
        <v>8</v>
      </c>
      <c r="P108">
        <f t="shared" ref="P108" si="515">IF(C108=D108,0,((E108-D108)-(C108-E108))/(C108-D108))</f>
        <v>-0.7097415506958259</v>
      </c>
      <c r="Q108">
        <f t="shared" ref="Q108" si="516">F108*P108</f>
        <v>-74369200.93836987</v>
      </c>
      <c r="R108">
        <f t="shared" ref="R108" si="517">R109+Q108</f>
        <v>3035700216.3745055</v>
      </c>
      <c r="S108">
        <f t="shared" ref="S108" si="518">R108/100000</f>
        <v>30357.002163745055</v>
      </c>
      <c r="T108">
        <f t="shared" ref="T108" si="519">S108/1000</f>
        <v>30.357002163745054</v>
      </c>
    </row>
    <row r="109" spans="1:20" x14ac:dyDescent="0.25">
      <c r="A109" s="5">
        <v>44484</v>
      </c>
      <c r="B109">
        <v>0.71619999999999995</v>
      </c>
      <c r="C109">
        <v>0.83499999999999996</v>
      </c>
      <c r="D109">
        <v>0.69540000000000002</v>
      </c>
      <c r="E109">
        <v>0.81530000000000002</v>
      </c>
      <c r="F109">
        <v>132785525</v>
      </c>
      <c r="G109">
        <v>0.81530000000000002</v>
      </c>
      <c r="L109" t="s">
        <v>8</v>
      </c>
      <c r="M109" t="s">
        <v>8</v>
      </c>
      <c r="N109" t="s">
        <v>8</v>
      </c>
      <c r="P109">
        <f t="shared" ref="P109" si="520">IF(C109=D109,0,((E109-D109)-(C109-E109))/(C109-D109))</f>
        <v>0.71776504297994348</v>
      </c>
      <c r="Q109">
        <f t="shared" ref="Q109" si="521">F109*P109</f>
        <v>95308808.058739364</v>
      </c>
      <c r="R109">
        <f t="shared" ref="R109" si="522">R110+Q109</f>
        <v>3110069417.3128753</v>
      </c>
      <c r="S109">
        <f t="shared" ref="S109" si="523">R109/100000</f>
        <v>31100.694173128752</v>
      </c>
      <c r="T109">
        <f t="shared" ref="T109" si="524">S109/1000</f>
        <v>31.100694173128751</v>
      </c>
    </row>
    <row r="110" spans="1:20" x14ac:dyDescent="0.25">
      <c r="A110" s="5">
        <v>44483</v>
      </c>
      <c r="B110">
        <v>0.70720000000000005</v>
      </c>
      <c r="C110">
        <v>0.74880000000000002</v>
      </c>
      <c r="D110">
        <v>0.69669999999999999</v>
      </c>
      <c r="E110">
        <v>0.71630000000000005</v>
      </c>
      <c r="F110">
        <v>38193082</v>
      </c>
      <c r="G110">
        <v>0.71630000000000005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-0.24760076775431675</v>
      </c>
      <c r="Q110">
        <f t="shared" ref="Q110" si="526">F110*P110</f>
        <v>-9456636.4261035752</v>
      </c>
      <c r="R110">
        <f t="shared" ref="R110" si="527">R111+Q110</f>
        <v>3014760609.2541361</v>
      </c>
      <c r="S110">
        <f t="shared" ref="S110" si="528">R110/100000</f>
        <v>30147.606092541362</v>
      </c>
      <c r="T110">
        <f t="shared" ref="T110" si="529">S110/1000</f>
        <v>30.147606092541363</v>
      </c>
    </row>
    <row r="111" spans="1:20" x14ac:dyDescent="0.25">
      <c r="A111" s="5">
        <v>44482</v>
      </c>
      <c r="B111">
        <v>0.67610000000000003</v>
      </c>
      <c r="C111">
        <v>0.71340000000000003</v>
      </c>
      <c r="D111">
        <v>0.66269999999999996</v>
      </c>
      <c r="E111">
        <v>0.70730000000000004</v>
      </c>
      <c r="F111">
        <v>35188872</v>
      </c>
      <c r="G111">
        <v>0.70730000000000004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0.75936883629191376</v>
      </c>
      <c r="Q111">
        <f t="shared" ref="Q111" si="531">F111*P111</f>
        <v>26721332.781065106</v>
      </c>
      <c r="R111">
        <f t="shared" ref="R111" si="532">R112+Q111</f>
        <v>3024217245.6802397</v>
      </c>
      <c r="S111">
        <f t="shared" ref="S111" si="533">R111/100000</f>
        <v>30242.172456802396</v>
      </c>
      <c r="T111">
        <f t="shared" ref="T111" si="534">S111/1000</f>
        <v>30.242172456802397</v>
      </c>
    </row>
    <row r="112" spans="1:20" x14ac:dyDescent="0.25">
      <c r="A112" s="5">
        <v>44481</v>
      </c>
      <c r="B112">
        <v>0.67979999999999996</v>
      </c>
      <c r="C112">
        <v>0.68300000000000005</v>
      </c>
      <c r="D112">
        <v>0.64639999999999997</v>
      </c>
      <c r="E112">
        <v>0.67620000000000002</v>
      </c>
      <c r="F112">
        <v>24498926</v>
      </c>
      <c r="G112">
        <v>0.67620000000000002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0.62841530054644734</v>
      </c>
      <c r="Q112">
        <f t="shared" ref="Q112" si="536">F112*P112</f>
        <v>15395499.945355173</v>
      </c>
      <c r="R112">
        <f t="shared" ref="R112" si="537">R113+Q112</f>
        <v>2997495912.8991747</v>
      </c>
      <c r="S112">
        <f t="shared" ref="S112" si="538">R112/100000</f>
        <v>29974.959128991748</v>
      </c>
      <c r="T112">
        <f t="shared" ref="T112" si="539">S112/1000</f>
        <v>29.974959128991749</v>
      </c>
    </row>
    <row r="113" spans="1:20" x14ac:dyDescent="0.25">
      <c r="A113" s="5">
        <v>44480</v>
      </c>
      <c r="B113">
        <v>0.68169999999999997</v>
      </c>
      <c r="C113">
        <v>0.71330000000000005</v>
      </c>
      <c r="D113">
        <v>0.66190000000000004</v>
      </c>
      <c r="E113">
        <v>0.67989999999999995</v>
      </c>
      <c r="F113">
        <v>22307183</v>
      </c>
      <c r="G113">
        <v>0.67989999999999995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-0.29961089494163795</v>
      </c>
      <c r="Q113">
        <f t="shared" ref="Q113" si="541">F113*P113</f>
        <v>-6683475.0622568922</v>
      </c>
      <c r="R113">
        <f t="shared" ref="R113" si="542">R114+Q113</f>
        <v>2982100412.9538198</v>
      </c>
      <c r="S113">
        <f t="shared" ref="S113" si="543">R113/100000</f>
        <v>29821.004129538196</v>
      </c>
      <c r="T113">
        <f t="shared" ref="T113" si="544">S113/1000</f>
        <v>29.821004129538196</v>
      </c>
    </row>
    <row r="114" spans="1:20" x14ac:dyDescent="0.25">
      <c r="A114" s="5">
        <v>44479</v>
      </c>
      <c r="B114">
        <v>0.74390000000000001</v>
      </c>
      <c r="C114">
        <v>0.74480000000000002</v>
      </c>
      <c r="D114">
        <v>0.67669999999999997</v>
      </c>
      <c r="E114">
        <v>0.68189999999999995</v>
      </c>
      <c r="F114">
        <v>27544155</v>
      </c>
      <c r="G114">
        <v>0.68189999999999995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-0.84728340675477298</v>
      </c>
      <c r="Q114">
        <f t="shared" ref="Q114" si="546">F114*P114</f>
        <v>-23337705.484581515</v>
      </c>
      <c r="R114">
        <f t="shared" ref="R114" si="547">R115+Q114</f>
        <v>2988783888.0160766</v>
      </c>
      <c r="S114">
        <f t="shared" ref="S114" si="548">R114/100000</f>
        <v>29887.838880160765</v>
      </c>
      <c r="T114">
        <f t="shared" ref="T114" si="549">S114/1000</f>
        <v>29.887838880160764</v>
      </c>
    </row>
    <row r="115" spans="1:20" x14ac:dyDescent="0.25">
      <c r="A115" s="5">
        <v>44478</v>
      </c>
      <c r="B115">
        <v>0.71140000000000003</v>
      </c>
      <c r="C115">
        <v>0.749</v>
      </c>
      <c r="D115">
        <v>0.69920000000000004</v>
      </c>
      <c r="E115">
        <v>0.74399999999999999</v>
      </c>
      <c r="F115">
        <v>28989923</v>
      </c>
      <c r="G115">
        <v>0.74399999999999999</v>
      </c>
      <c r="L115" t="s">
        <v>8</v>
      </c>
      <c r="M115" t="s">
        <v>8</v>
      </c>
      <c r="N115" t="s">
        <v>7</v>
      </c>
      <c r="P115">
        <f t="shared" ref="P115" si="550">IF(C115=D115,0,((E115-D115)-(C115-E115))/(C115-D115))</f>
        <v>0.79919678714859399</v>
      </c>
      <c r="Q115">
        <f t="shared" ref="Q115" si="551">F115*P115</f>
        <v>23168653.321285129</v>
      </c>
      <c r="R115">
        <f t="shared" ref="R115" si="552">R116+Q115</f>
        <v>3012121593.500658</v>
      </c>
      <c r="S115">
        <f t="shared" ref="S115" si="553">R115/100000</f>
        <v>30121.215935006581</v>
      </c>
      <c r="T115">
        <f t="shared" ref="T115" si="554">S115/1000</f>
        <v>30.121215935006582</v>
      </c>
    </row>
    <row r="116" spans="1:20" x14ac:dyDescent="0.25">
      <c r="A116" s="5">
        <v>44477</v>
      </c>
      <c r="B116">
        <v>0.72130000000000005</v>
      </c>
      <c r="C116">
        <v>0.73660000000000003</v>
      </c>
      <c r="D116">
        <v>0.70250000000000001</v>
      </c>
      <c r="E116">
        <v>0.71130000000000004</v>
      </c>
      <c r="F116">
        <v>31723247</v>
      </c>
      <c r="G116">
        <v>0.71130000000000004</v>
      </c>
      <c r="L116" t="s">
        <v>8</v>
      </c>
      <c r="M116" t="s">
        <v>8</v>
      </c>
      <c r="N116" t="s">
        <v>7</v>
      </c>
      <c r="P116">
        <f t="shared" ref="P116" si="555">IF(C116=D116,0,((E116-D116)-(C116-E116))/(C116-D116))</f>
        <v>-0.483870967741934</v>
      </c>
      <c r="Q116">
        <f t="shared" ref="Q116" si="556">F116*P116</f>
        <v>-15349958.225806404</v>
      </c>
      <c r="R116">
        <f t="shared" ref="R116" si="557">R117+Q116</f>
        <v>2988952940.1793728</v>
      </c>
      <c r="S116">
        <f t="shared" ref="S116" si="558">R116/100000</f>
        <v>29889.529401793727</v>
      </c>
      <c r="T116">
        <f t="shared" ref="T116" si="559">S116/1000</f>
        <v>29.889529401793727</v>
      </c>
    </row>
    <row r="117" spans="1:20" x14ac:dyDescent="0.25">
      <c r="A117" s="5">
        <v>44476</v>
      </c>
      <c r="B117">
        <v>0.71750000000000003</v>
      </c>
      <c r="C117">
        <v>0.74119999999999997</v>
      </c>
      <c r="D117">
        <v>0.70189999999999997</v>
      </c>
      <c r="E117">
        <v>0.72119999999999995</v>
      </c>
      <c r="F117">
        <v>30519020</v>
      </c>
      <c r="G117">
        <v>0.72119999999999995</v>
      </c>
      <c r="L117" t="s">
        <v>8</v>
      </c>
      <c r="M117" t="s">
        <v>8</v>
      </c>
      <c r="N117" t="s">
        <v>7</v>
      </c>
      <c r="P117">
        <f t="shared" ref="P117" si="560">IF(C117=D117,0,((E117-D117)-(C117-E117))/(C117-D117))</f>
        <v>-1.7811704834606461E-2</v>
      </c>
      <c r="Q117">
        <f t="shared" ref="Q117" si="561">F117*P117</f>
        <v>-543595.77608145133</v>
      </c>
      <c r="R117">
        <f t="shared" ref="R117" si="562">R118+Q117</f>
        <v>3004302898.405179</v>
      </c>
      <c r="S117">
        <f t="shared" ref="S117" si="563">R117/100000</f>
        <v>30043.028984051791</v>
      </c>
      <c r="T117">
        <f t="shared" ref="T117" si="564">S117/1000</f>
        <v>30.043028984051791</v>
      </c>
    </row>
    <row r="118" spans="1:20" x14ac:dyDescent="0.25">
      <c r="A118" s="5">
        <v>44475</v>
      </c>
      <c r="B118">
        <v>0.75660000000000005</v>
      </c>
      <c r="C118">
        <v>0.76270000000000004</v>
      </c>
      <c r="D118">
        <v>0.68340000000000001</v>
      </c>
      <c r="E118">
        <v>0.71750000000000003</v>
      </c>
      <c r="F118">
        <v>50171197</v>
      </c>
      <c r="G118">
        <v>0.71750000000000003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-0.13997477931904154</v>
      </c>
      <c r="Q118">
        <f t="shared" ref="Q118" si="566">F118*P118</f>
        <v>-7022702.2282471592</v>
      </c>
      <c r="R118">
        <f t="shared" ref="R118" si="567">R119+Q118</f>
        <v>3004846494.1812606</v>
      </c>
      <c r="S118">
        <f t="shared" ref="S118" si="568">R118/100000</f>
        <v>30048.464941812606</v>
      </c>
      <c r="T118">
        <f t="shared" ref="T118" si="569">S118/1000</f>
        <v>30.048464941812608</v>
      </c>
    </row>
    <row r="119" spans="1:20" x14ac:dyDescent="0.25">
      <c r="A119" s="5">
        <v>44474</v>
      </c>
      <c r="B119">
        <v>0.71530000000000005</v>
      </c>
      <c r="C119">
        <v>0.78959999999999997</v>
      </c>
      <c r="D119">
        <v>0.70860000000000001</v>
      </c>
      <c r="E119">
        <v>0.75700000000000001</v>
      </c>
      <c r="F119">
        <v>49241965</v>
      </c>
      <c r="G119">
        <v>0.75700000000000001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0.19506172839506228</v>
      </c>
      <c r="Q119">
        <f t="shared" ref="Q119" si="571">F119*P119</f>
        <v>9605222.8024691623</v>
      </c>
      <c r="R119">
        <f t="shared" ref="R119" si="572">R120+Q119</f>
        <v>3011869196.4095078</v>
      </c>
      <c r="S119">
        <f t="shared" ref="S119" si="573">R119/100000</f>
        <v>30118.691964095076</v>
      </c>
      <c r="T119">
        <f t="shared" ref="T119" si="574">S119/1000</f>
        <v>30.118691964095078</v>
      </c>
    </row>
    <row r="120" spans="1:20" x14ac:dyDescent="0.25">
      <c r="A120" s="5">
        <v>44473</v>
      </c>
      <c r="B120">
        <v>0.73619999999999997</v>
      </c>
      <c r="C120">
        <v>0.73629999999999995</v>
      </c>
      <c r="D120">
        <v>0.69510000000000005</v>
      </c>
      <c r="E120">
        <v>0.71350000000000002</v>
      </c>
      <c r="F120">
        <v>31446810</v>
      </c>
      <c r="G120">
        <v>0.71350000000000002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-0.10679611650485364</v>
      </c>
      <c r="Q120">
        <f t="shared" ref="Q120" si="576">F120*P120</f>
        <v>-3358397.1844659965</v>
      </c>
      <c r="R120">
        <f t="shared" ref="R120" si="577">R121+Q120</f>
        <v>3002263973.6070385</v>
      </c>
      <c r="S120">
        <f t="shared" ref="S120" si="578">R120/100000</f>
        <v>30022.639736070385</v>
      </c>
      <c r="T120">
        <f t="shared" ref="T120" si="579">S120/1000</f>
        <v>30.022639736070385</v>
      </c>
    </row>
    <row r="121" spans="1:20" x14ac:dyDescent="0.25">
      <c r="A121" s="5">
        <v>44472</v>
      </c>
      <c r="B121">
        <v>0.7258</v>
      </c>
      <c r="C121">
        <v>0.75700000000000001</v>
      </c>
      <c r="D121">
        <v>0.70720000000000005</v>
      </c>
      <c r="E121">
        <v>0.73350000000000004</v>
      </c>
      <c r="F121">
        <v>37049772</v>
      </c>
      <c r="G121">
        <v>0.73350000000000004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5.6224899598394121E-2</v>
      </c>
      <c r="Q121">
        <f t="shared" ref="Q121" si="581">F121*P121</f>
        <v>2083119.7108433938</v>
      </c>
      <c r="R121">
        <f t="shared" ref="R121" si="582">R122+Q121</f>
        <v>3005622370.7915044</v>
      </c>
      <c r="S121">
        <f t="shared" ref="S121" si="583">R121/100000</f>
        <v>30056.223707915044</v>
      </c>
      <c r="T121">
        <f t="shared" ref="T121" si="584">S121/1000</f>
        <v>30.056223707915045</v>
      </c>
    </row>
    <row r="122" spans="1:20" x14ac:dyDescent="0.25">
      <c r="A122" s="5">
        <v>44471</v>
      </c>
      <c r="B122">
        <v>0.70709999999999995</v>
      </c>
      <c r="C122">
        <v>0.75860000000000005</v>
      </c>
      <c r="D122">
        <v>0.69479999999999997</v>
      </c>
      <c r="E122">
        <v>0.7258</v>
      </c>
      <c r="F122">
        <v>37684963</v>
      </c>
      <c r="G122">
        <v>0.7258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-2.8213166144200965E-2</v>
      </c>
      <c r="Q122">
        <f t="shared" ref="Q122" si="586">F122*P122</f>
        <v>-1063212.122257066</v>
      </c>
      <c r="R122">
        <f t="shared" ref="R122" si="587">R123+Q122</f>
        <v>3003539251.0806608</v>
      </c>
      <c r="S122">
        <f t="shared" ref="S122" si="588">R122/100000</f>
        <v>30035.392510806607</v>
      </c>
      <c r="T122">
        <f t="shared" ref="T122" si="589">S122/1000</f>
        <v>30.035392510806606</v>
      </c>
    </row>
    <row r="123" spans="1:20" x14ac:dyDescent="0.25">
      <c r="A123" s="5">
        <v>44470</v>
      </c>
      <c r="B123">
        <v>0.64610000000000001</v>
      </c>
      <c r="C123">
        <v>0.72670000000000001</v>
      </c>
      <c r="D123">
        <v>0.64329999999999998</v>
      </c>
      <c r="E123">
        <v>0.70669999999999999</v>
      </c>
      <c r="F123">
        <v>50732703</v>
      </c>
      <c r="G123">
        <v>0.70669999999999999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0.52038369304556331</v>
      </c>
      <c r="Q123">
        <f t="shared" ref="Q123" si="591">F123*P123</f>
        <v>26400471.34532373</v>
      </c>
      <c r="R123">
        <f t="shared" ref="R123" si="592">R124+Q123</f>
        <v>3004602463.2029181</v>
      </c>
      <c r="S123">
        <f t="shared" ref="S123" si="593">R123/100000</f>
        <v>30046.024632029181</v>
      </c>
      <c r="T123">
        <f t="shared" ref="T123" si="594">S123/1000</f>
        <v>30.04602463202918</v>
      </c>
    </row>
    <row r="124" spans="1:20" x14ac:dyDescent="0.25">
      <c r="A124" s="5">
        <v>44469</v>
      </c>
      <c r="B124">
        <v>0.63329999999999997</v>
      </c>
      <c r="C124">
        <v>0.65800000000000003</v>
      </c>
      <c r="D124">
        <v>0.62949999999999995</v>
      </c>
      <c r="E124">
        <v>0.64590000000000003</v>
      </c>
      <c r="F124">
        <v>22528591</v>
      </c>
      <c r="G124">
        <v>0.64590000000000003</v>
      </c>
      <c r="L124" t="s">
        <v>7</v>
      </c>
      <c r="M124" t="s">
        <v>7</v>
      </c>
      <c r="N124" t="s">
        <v>7</v>
      </c>
      <c r="P124">
        <f t="shared" ref="P124" si="595">IF(C124=D124,0,((E124-D124)-(C124-E124))/(C124-D124))</f>
        <v>0.15087719298245858</v>
      </c>
      <c r="Q124">
        <f t="shared" ref="Q124" si="596">F124*P124</f>
        <v>3399050.5719298795</v>
      </c>
      <c r="R124">
        <f t="shared" ref="R124" si="597">R125+Q124</f>
        <v>2978201991.8575945</v>
      </c>
      <c r="S124">
        <f t="shared" ref="S124" si="598">R124/100000</f>
        <v>29782.019918575945</v>
      </c>
      <c r="T124">
        <f t="shared" ref="T124" si="599">S124/1000</f>
        <v>29.782019918575944</v>
      </c>
    </row>
    <row r="125" spans="1:20" x14ac:dyDescent="0.25">
      <c r="A125" s="5">
        <v>44468</v>
      </c>
      <c r="B125">
        <v>0.628</v>
      </c>
      <c r="C125">
        <v>0.66759999999999997</v>
      </c>
      <c r="D125">
        <v>0.61929999999999996</v>
      </c>
      <c r="E125">
        <v>0.63280000000000003</v>
      </c>
      <c r="F125">
        <v>25088760.969999999</v>
      </c>
      <c r="G125">
        <v>0.63280000000000003</v>
      </c>
      <c r="L125" t="s">
        <v>7</v>
      </c>
      <c r="M125" t="s">
        <v>7</v>
      </c>
      <c r="N125" t="s">
        <v>7</v>
      </c>
      <c r="P125">
        <f t="shared" ref="P125" si="600">IF(C125=D125,0,((E125-D125)-(C125-E125))/(C125-D125))</f>
        <v>-0.44099378881987311</v>
      </c>
      <c r="Q125">
        <f t="shared" ref="Q125" si="601">F125*P125</f>
        <v>-11063987.756956454</v>
      </c>
      <c r="R125">
        <f t="shared" ref="R125" si="602">R126+Q125</f>
        <v>2974802941.2856646</v>
      </c>
      <c r="S125">
        <f t="shared" ref="S125" si="603">R125/100000</f>
        <v>29748.029412856646</v>
      </c>
      <c r="T125">
        <f t="shared" ref="T125" si="604">S125/1000</f>
        <v>29.748029412856646</v>
      </c>
    </row>
    <row r="126" spans="1:20" x14ac:dyDescent="0.25">
      <c r="A126" s="5">
        <v>44467</v>
      </c>
      <c r="B126">
        <v>0.66100000000000003</v>
      </c>
      <c r="C126">
        <v>0.67869999999999997</v>
      </c>
      <c r="D126">
        <v>0.625</v>
      </c>
      <c r="E126">
        <v>0.62790000000000001</v>
      </c>
      <c r="F126">
        <v>31773359</v>
      </c>
      <c r="G126">
        <v>0.62790000000000001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-0.89199255121042775</v>
      </c>
      <c r="Q126">
        <f t="shared" ref="Q126" si="606">F126*P126</f>
        <v>-28341599.554934807</v>
      </c>
      <c r="R126">
        <f t="shared" ref="R126" si="607">R127+Q126</f>
        <v>2985866929.0426211</v>
      </c>
      <c r="S126">
        <f t="shared" ref="S126" si="608">R126/100000</f>
        <v>29858.669290426213</v>
      </c>
      <c r="T126">
        <f t="shared" ref="T126" si="609">S126/1000</f>
        <v>29.858669290426214</v>
      </c>
    </row>
    <row r="127" spans="1:20" x14ac:dyDescent="0.25">
      <c r="A127" s="5">
        <v>44466</v>
      </c>
      <c r="B127">
        <v>0.67200000000000004</v>
      </c>
      <c r="C127">
        <v>0.72</v>
      </c>
      <c r="D127">
        <v>0.65859999999999996</v>
      </c>
      <c r="E127">
        <v>0.66100000000000003</v>
      </c>
      <c r="F127">
        <v>46161444</v>
      </c>
      <c r="G127">
        <v>0.66100000000000003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-0.92182410423452543</v>
      </c>
      <c r="Q127">
        <f t="shared" ref="Q127" si="611">F127*P127</f>
        <v>-42552731.765472211</v>
      </c>
      <c r="R127">
        <f t="shared" ref="R127" si="612">R128+Q127</f>
        <v>3014208528.5975561</v>
      </c>
      <c r="S127">
        <f t="shared" ref="S127" si="613">R127/100000</f>
        <v>30142.085285975561</v>
      </c>
      <c r="T127">
        <f t="shared" ref="T127" si="614">S127/1000</f>
        <v>30.142085285975561</v>
      </c>
    </row>
    <row r="128" spans="1:20" x14ac:dyDescent="0.25">
      <c r="A128" s="5">
        <v>44465</v>
      </c>
      <c r="B128">
        <v>0.68269999999999997</v>
      </c>
      <c r="C128">
        <v>0.72</v>
      </c>
      <c r="D128">
        <v>0.62250000000000005</v>
      </c>
      <c r="E128">
        <v>0.67310000000000003</v>
      </c>
      <c r="F128">
        <v>50634374</v>
      </c>
      <c r="G128">
        <v>0.67310000000000003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3.7948717948718354E-2</v>
      </c>
      <c r="Q128">
        <f t="shared" ref="Q128" si="616">F128*P128</f>
        <v>1921509.5774359179</v>
      </c>
      <c r="R128">
        <f t="shared" ref="R128" si="617">R129+Q128</f>
        <v>3056761260.3630285</v>
      </c>
      <c r="S128">
        <f t="shared" ref="S128" si="618">R128/100000</f>
        <v>30567.612603630285</v>
      </c>
      <c r="T128">
        <f t="shared" ref="T128" si="619">S128/1000</f>
        <v>30.567612603630284</v>
      </c>
    </row>
    <row r="129" spans="1:20" x14ac:dyDescent="0.25">
      <c r="A129" s="5">
        <v>44464</v>
      </c>
      <c r="B129">
        <v>0.69210000000000005</v>
      </c>
      <c r="C129">
        <v>0.7</v>
      </c>
      <c r="D129">
        <v>0.6532</v>
      </c>
      <c r="E129">
        <v>0.6825</v>
      </c>
      <c r="F129">
        <v>35571075</v>
      </c>
      <c r="G129">
        <v>0.6825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0.25213675213675307</v>
      </c>
      <c r="Q129">
        <f t="shared" ref="Q129" si="621">F129*P129</f>
        <v>8968775.3205128536</v>
      </c>
      <c r="R129">
        <f t="shared" ref="R129" si="622">R130+Q129</f>
        <v>3054839750.7855926</v>
      </c>
      <c r="S129">
        <f t="shared" ref="S129" si="623">R129/100000</f>
        <v>30548.397507855927</v>
      </c>
      <c r="T129">
        <f t="shared" ref="T129" si="624">S129/1000</f>
        <v>30.548397507855928</v>
      </c>
    </row>
    <row r="130" spans="1:20" x14ac:dyDescent="0.25">
      <c r="A130" s="5">
        <v>44463</v>
      </c>
      <c r="B130">
        <v>0.73350000000000004</v>
      </c>
      <c r="C130">
        <v>0.79900000000000004</v>
      </c>
      <c r="D130">
        <v>0.65100000000000002</v>
      </c>
      <c r="E130">
        <v>0.69220000000000004</v>
      </c>
      <c r="F130">
        <v>68912996</v>
      </c>
      <c r="G130">
        <v>0.69220000000000004</v>
      </c>
      <c r="L130" t="s">
        <v>7</v>
      </c>
      <c r="M130" t="s">
        <v>8</v>
      </c>
      <c r="N130" t="s">
        <v>7</v>
      </c>
      <c r="P130">
        <f t="shared" ref="P130" si="625">IF(C130=D130,0,((E130-D130)-(C130-E130))/(C130-D130))</f>
        <v>-0.4432432432432431</v>
      </c>
      <c r="Q130">
        <f t="shared" ref="Q130" si="626">F130*P130</f>
        <v>-30545219.848648638</v>
      </c>
      <c r="R130">
        <f t="shared" ref="R130" si="627">R131+Q130</f>
        <v>3045870975.4650798</v>
      </c>
      <c r="S130">
        <f t="shared" ref="S130" si="628">R130/100000</f>
        <v>30458.709754650798</v>
      </c>
      <c r="T130">
        <f t="shared" ref="T130" si="629">S130/1000</f>
        <v>30.458709754650798</v>
      </c>
    </row>
    <row r="131" spans="1:20" x14ac:dyDescent="0.25">
      <c r="A131" s="5">
        <v>44462</v>
      </c>
      <c r="B131">
        <v>0.74480000000000002</v>
      </c>
      <c r="C131">
        <v>0.74770000000000003</v>
      </c>
      <c r="D131">
        <v>0.70879999999999999</v>
      </c>
      <c r="E131">
        <v>0.73370000000000002</v>
      </c>
      <c r="F131">
        <v>32244209</v>
      </c>
      <c r="G131">
        <v>0.73370000000000002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0.2802056555269925</v>
      </c>
      <c r="Q131">
        <f t="shared" ref="Q131" si="631">F131*P131</f>
        <v>9035009.7197943516</v>
      </c>
      <c r="R131">
        <f t="shared" ref="R131" si="632">R132+Q131</f>
        <v>3076416195.3137283</v>
      </c>
      <c r="S131">
        <f t="shared" ref="S131" si="633">R131/100000</f>
        <v>30764.161953137282</v>
      </c>
      <c r="T131">
        <f t="shared" ref="T131" si="634">S131/1000</f>
        <v>30.764161953137283</v>
      </c>
    </row>
    <row r="132" spans="1:20" x14ac:dyDescent="0.25">
      <c r="A132" s="5">
        <v>44461</v>
      </c>
      <c r="B132">
        <v>0.65680000000000005</v>
      </c>
      <c r="C132">
        <v>0.78</v>
      </c>
      <c r="D132">
        <v>0.65210000000000001</v>
      </c>
      <c r="E132">
        <v>0.745</v>
      </c>
      <c r="F132">
        <v>38803546</v>
      </c>
      <c r="G132">
        <v>0.745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0.45269741985926465</v>
      </c>
      <c r="Q132">
        <f t="shared" ref="Q132" si="636">F132*P132</f>
        <v>17566265.155590288</v>
      </c>
      <c r="R132">
        <f t="shared" ref="R132" si="637">R133+Q132</f>
        <v>3067381185.5939341</v>
      </c>
      <c r="S132">
        <f t="shared" ref="S132" si="638">R132/100000</f>
        <v>30673.811855939341</v>
      </c>
      <c r="T132">
        <f t="shared" ref="T132" si="639">S132/1000</f>
        <v>30.673811855939341</v>
      </c>
    </row>
    <row r="133" spans="1:20" x14ac:dyDescent="0.25">
      <c r="A133" s="5">
        <v>44460</v>
      </c>
      <c r="B133">
        <v>0.70009999999999994</v>
      </c>
      <c r="C133">
        <v>0.73680000000000001</v>
      </c>
      <c r="D133">
        <v>0.63</v>
      </c>
      <c r="E133">
        <v>0.65800000000000003</v>
      </c>
      <c r="F133">
        <v>44719849.479999997</v>
      </c>
      <c r="G133">
        <v>0.65800000000000003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-0.47565543071161004</v>
      </c>
      <c r="Q133">
        <f t="shared" ref="Q133" si="641">F133*P133</f>
        <v>-21271239.265767768</v>
      </c>
      <c r="R133">
        <f t="shared" ref="R133" si="642">R134+Q133</f>
        <v>3049814920.438344</v>
      </c>
      <c r="S133">
        <f t="shared" ref="S133" si="643">R133/100000</f>
        <v>30498.149204383441</v>
      </c>
      <c r="T133">
        <f t="shared" ref="T133" si="644">S133/1000</f>
        <v>30.498149204383441</v>
      </c>
    </row>
    <row r="134" spans="1:20" x14ac:dyDescent="0.25">
      <c r="A134" s="5">
        <v>44459</v>
      </c>
      <c r="B134">
        <v>0.81340000000000001</v>
      </c>
      <c r="C134">
        <v>0.8145</v>
      </c>
      <c r="D134">
        <v>0.72799999999999998</v>
      </c>
      <c r="E134">
        <v>0.73799999999999999</v>
      </c>
      <c r="F134">
        <v>23345472</v>
      </c>
      <c r="G134">
        <v>0.73799999999999999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-0.76878612716762995</v>
      </c>
      <c r="Q134">
        <f t="shared" ref="Q134" si="646">F134*P134</f>
        <v>-17947675.005780343</v>
      </c>
      <c r="R134">
        <f t="shared" ref="R134" si="647">R135+Q134</f>
        <v>3071086159.7041116</v>
      </c>
      <c r="S134">
        <f t="shared" ref="S134" si="648">R134/100000</f>
        <v>30710.861597041116</v>
      </c>
      <c r="T134">
        <f t="shared" ref="T134" si="649">S134/1000</f>
        <v>30.710861597041117</v>
      </c>
    </row>
    <row r="135" spans="1:20" x14ac:dyDescent="0.25">
      <c r="A135" s="5">
        <v>44458</v>
      </c>
      <c r="B135">
        <v>0.83430000000000004</v>
      </c>
      <c r="C135">
        <v>0.84030000000000005</v>
      </c>
      <c r="D135">
        <v>0.79900000000000004</v>
      </c>
      <c r="E135">
        <v>0.81410000000000005</v>
      </c>
      <c r="F135">
        <v>20607285</v>
      </c>
      <c r="G135">
        <v>0.81410000000000005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-0.26876513317191281</v>
      </c>
      <c r="Q135">
        <f t="shared" ref="Q135" si="651">F135*P135</f>
        <v>-5538519.697336561</v>
      </c>
      <c r="R135">
        <f t="shared" ref="R135" si="652">R136+Q135</f>
        <v>3089033834.7098918</v>
      </c>
      <c r="S135">
        <f t="shared" ref="S135" si="653">R135/100000</f>
        <v>30890.338347098917</v>
      </c>
      <c r="T135">
        <f t="shared" ref="T135" si="654">S135/1000</f>
        <v>30.890338347098918</v>
      </c>
    </row>
    <row r="136" spans="1:20" x14ac:dyDescent="0.25">
      <c r="A136" s="5">
        <v>44457</v>
      </c>
      <c r="B136">
        <v>0.81859999999999999</v>
      </c>
      <c r="C136">
        <v>0.84770000000000001</v>
      </c>
      <c r="D136">
        <v>0.80300000000000005</v>
      </c>
      <c r="E136">
        <v>0.83440000000000003</v>
      </c>
      <c r="F136">
        <v>24929846</v>
      </c>
      <c r="G136">
        <v>0.83440000000000003</v>
      </c>
      <c r="L136" t="s">
        <v>7</v>
      </c>
      <c r="M136" t="s">
        <v>8</v>
      </c>
      <c r="N136" t="s">
        <v>7</v>
      </c>
      <c r="P136">
        <f t="shared" ref="P136" si="655">IF(C136=D136,0,((E136-D136)-(C136-E136))/(C136-D136))</f>
        <v>0.4049217002237141</v>
      </c>
      <c r="Q136">
        <f t="shared" ref="Q136" si="656">F136*P136</f>
        <v>10094635.628635358</v>
      </c>
      <c r="R136">
        <f t="shared" ref="R136" si="657">R137+Q136</f>
        <v>3094572354.4072285</v>
      </c>
      <c r="S136">
        <f t="shared" ref="S136" si="658">R136/100000</f>
        <v>30945.723544072283</v>
      </c>
      <c r="T136">
        <f t="shared" ref="T136" si="659">S136/1000</f>
        <v>30.945723544072283</v>
      </c>
    </row>
    <row r="137" spans="1:20" x14ac:dyDescent="0.25">
      <c r="A137" s="5">
        <v>44456</v>
      </c>
      <c r="B137">
        <v>0.85609999999999997</v>
      </c>
      <c r="C137">
        <v>0.8649</v>
      </c>
      <c r="D137">
        <v>0.80549999999999999</v>
      </c>
      <c r="E137">
        <v>0.81850000000000001</v>
      </c>
      <c r="F137">
        <v>36321278</v>
      </c>
      <c r="G137">
        <v>0.81850000000000001</v>
      </c>
      <c r="L137" t="s">
        <v>7</v>
      </c>
      <c r="M137" t="s">
        <v>8</v>
      </c>
      <c r="N137" t="s">
        <v>7</v>
      </c>
      <c r="P137">
        <f t="shared" ref="P137" si="660">IF(C137=D137,0,((E137-D137)-(C137-E137))/(C137-D137))</f>
        <v>-0.56228956228956195</v>
      </c>
      <c r="Q137">
        <f t="shared" ref="Q137" si="661">F137*P137</f>
        <v>-20423075.508417495</v>
      </c>
      <c r="R137">
        <f t="shared" ref="R137" si="662">R138+Q137</f>
        <v>3084477718.7785931</v>
      </c>
      <c r="S137">
        <f t="shared" ref="S137" si="663">R137/100000</f>
        <v>30844.77718778593</v>
      </c>
      <c r="T137">
        <f t="shared" ref="T137" si="664">S137/1000</f>
        <v>30.84477718778593</v>
      </c>
    </row>
    <row r="138" spans="1:20" x14ac:dyDescent="0.25">
      <c r="A138" s="5">
        <v>44455</v>
      </c>
      <c r="B138">
        <v>0.90780000000000005</v>
      </c>
      <c r="C138">
        <v>0.92</v>
      </c>
      <c r="D138">
        <v>0.83499999999999996</v>
      </c>
      <c r="E138">
        <v>0.85629999999999995</v>
      </c>
      <c r="F138">
        <v>47498698</v>
      </c>
      <c r="G138">
        <v>0.85629999999999995</v>
      </c>
      <c r="L138" t="s">
        <v>7</v>
      </c>
      <c r="M138" t="s">
        <v>8</v>
      </c>
      <c r="N138" t="s">
        <v>7</v>
      </c>
      <c r="P138">
        <f t="shared" ref="P138" si="665">IF(C138=D138,0,((E138-D138)-(C138-E138))/(C138-D138))</f>
        <v>-0.4988235294117655</v>
      </c>
      <c r="Q138">
        <f t="shared" ref="Q138" si="666">F138*P138</f>
        <v>-23693468.178823568</v>
      </c>
      <c r="R138">
        <f t="shared" ref="R138" si="667">R139+Q138</f>
        <v>3104900794.2870107</v>
      </c>
      <c r="S138">
        <f t="shared" ref="S138" si="668">R138/100000</f>
        <v>31049.007942870106</v>
      </c>
      <c r="T138">
        <f t="shared" ref="T138" si="669">S138/1000</f>
        <v>31.049007942870105</v>
      </c>
    </row>
    <row r="139" spans="1:20" x14ac:dyDescent="0.25">
      <c r="A139" s="5">
        <v>44454</v>
      </c>
      <c r="B139">
        <v>0.85970000000000002</v>
      </c>
      <c r="C139">
        <v>0.92190000000000005</v>
      </c>
      <c r="D139">
        <v>0.84299999999999997</v>
      </c>
      <c r="E139">
        <v>0.90720000000000001</v>
      </c>
      <c r="F139">
        <v>40227624</v>
      </c>
      <c r="G139">
        <v>0.90720000000000001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0.62737642585551257</v>
      </c>
      <c r="Q139">
        <f t="shared" ref="Q139" si="671">F139*P139</f>
        <v>25237862.965779439</v>
      </c>
      <c r="R139">
        <f t="shared" ref="R139" si="672">R140+Q139</f>
        <v>3128594262.4658341</v>
      </c>
      <c r="S139">
        <f t="shared" ref="S139" si="673">R139/100000</f>
        <v>31285.942624658343</v>
      </c>
      <c r="T139">
        <f t="shared" ref="T139" si="674">S139/1000</f>
        <v>31.285942624658343</v>
      </c>
    </row>
    <row r="140" spans="1:20" x14ac:dyDescent="0.25">
      <c r="A140" s="5">
        <v>44453</v>
      </c>
      <c r="B140">
        <v>0.83989999999999998</v>
      </c>
      <c r="C140">
        <v>0.87949999999999995</v>
      </c>
      <c r="D140">
        <v>0.82630000000000003</v>
      </c>
      <c r="E140">
        <v>0.85970000000000002</v>
      </c>
      <c r="F140">
        <v>44069398</v>
      </c>
      <c r="G140">
        <v>0.85970000000000002</v>
      </c>
      <c r="L140" t="s">
        <v>8</v>
      </c>
      <c r="M140" t="s">
        <v>8</v>
      </c>
      <c r="N140" t="s">
        <v>7</v>
      </c>
      <c r="P140">
        <f t="shared" ref="P140" si="675">IF(C140=D140,0,((E140-D140)-(C140-E140))/(C140-D140))</f>
        <v>0.25563909774436239</v>
      </c>
      <c r="Q140">
        <f t="shared" ref="Q140" si="676">F140*P140</f>
        <v>11265861.142857209</v>
      </c>
      <c r="R140">
        <f t="shared" ref="R140" si="677">R141+Q140</f>
        <v>3103356399.5000548</v>
      </c>
      <c r="S140">
        <f t="shared" ref="S140" si="678">R140/100000</f>
        <v>31033.56399500055</v>
      </c>
      <c r="T140">
        <f t="shared" ref="T140" si="679">S140/1000</f>
        <v>31.033563995000549</v>
      </c>
    </row>
    <row r="141" spans="1:20" x14ac:dyDescent="0.25">
      <c r="A141" s="5">
        <v>44452</v>
      </c>
      <c r="B141">
        <v>0.92100000000000004</v>
      </c>
      <c r="C141">
        <v>0.95</v>
      </c>
      <c r="D141">
        <v>0.79249999999999998</v>
      </c>
      <c r="E141">
        <v>0.83960000000000001</v>
      </c>
      <c r="F141">
        <v>63873535</v>
      </c>
      <c r="G141">
        <v>0.83960000000000001</v>
      </c>
      <c r="L141" t="s">
        <v>7</v>
      </c>
      <c r="M141" t="s">
        <v>8</v>
      </c>
      <c r="N141" t="s">
        <v>7</v>
      </c>
      <c r="P141">
        <f t="shared" ref="P141" si="680">IF(C141=D141,0,((E141-D141)-(C141-E141))/(C141-D141))</f>
        <v>-0.40190476190476143</v>
      </c>
      <c r="Q141">
        <f t="shared" ref="Q141" si="681">F141*P141</f>
        <v>-25671077.876190446</v>
      </c>
      <c r="R141">
        <f t="shared" ref="R141" si="682">R142+Q141</f>
        <v>3092090538.3571978</v>
      </c>
      <c r="S141">
        <f t="shared" ref="S141" si="683">R141/100000</f>
        <v>30920.905383571979</v>
      </c>
      <c r="T141">
        <f t="shared" ref="T141" si="684">S141/1000</f>
        <v>30.920905383571977</v>
      </c>
    </row>
    <row r="142" spans="1:20" x14ac:dyDescent="0.25">
      <c r="A142" s="5">
        <v>44451</v>
      </c>
      <c r="B142">
        <v>0.87270000000000003</v>
      </c>
      <c r="C142">
        <v>0.93500000000000005</v>
      </c>
      <c r="D142">
        <v>0.83</v>
      </c>
      <c r="E142">
        <v>0.92159999999999997</v>
      </c>
      <c r="F142">
        <v>58185555</v>
      </c>
      <c r="G142">
        <v>0.92159999999999997</v>
      </c>
      <c r="L142" t="s">
        <v>7</v>
      </c>
      <c r="M142" t="s">
        <v>8</v>
      </c>
      <c r="N142" t="s">
        <v>7</v>
      </c>
      <c r="P142">
        <f t="shared" ref="P142" si="685">IF(C142=D142,0,((E142-D142)-(C142-E142))/(C142-D142))</f>
        <v>0.74476190476190351</v>
      </c>
      <c r="Q142">
        <f t="shared" ref="Q142" si="686">F142*P142</f>
        <v>43334384.771428496</v>
      </c>
      <c r="R142">
        <f t="shared" ref="R142" si="687">R143+Q142</f>
        <v>3117761616.2333884</v>
      </c>
      <c r="S142">
        <f t="shared" ref="S142" si="688">R142/100000</f>
        <v>31177.616162333885</v>
      </c>
      <c r="T142">
        <f t="shared" ref="T142" si="689">S142/1000</f>
        <v>31.177616162333884</v>
      </c>
    </row>
    <row r="143" spans="1:20" x14ac:dyDescent="0.25">
      <c r="A143" s="5">
        <v>44450</v>
      </c>
      <c r="B143">
        <v>0.80779999999999996</v>
      </c>
      <c r="C143">
        <v>0.94699999999999995</v>
      </c>
      <c r="D143">
        <v>0.80249999999999999</v>
      </c>
      <c r="E143">
        <v>0.87309999999999999</v>
      </c>
      <c r="F143">
        <v>77076918</v>
      </c>
      <c r="G143">
        <v>0.87309999999999999</v>
      </c>
      <c r="L143" t="s">
        <v>8</v>
      </c>
      <c r="M143" t="s">
        <v>8</v>
      </c>
      <c r="N143" t="s">
        <v>7</v>
      </c>
      <c r="P143">
        <f t="shared" ref="P143" si="690">IF(C143=D143,0,((E143-D143)-(C143-E143))/(C143-D143))</f>
        <v>-2.2837370242214328E-2</v>
      </c>
      <c r="Q143">
        <f t="shared" ref="Q143" si="691">F143*P143</f>
        <v>-1760234.1134947939</v>
      </c>
      <c r="R143">
        <f t="shared" ref="R143" si="692">R144+Q143</f>
        <v>3074427231.4619598</v>
      </c>
      <c r="S143">
        <f t="shared" ref="S143" si="693">R143/100000</f>
        <v>30744.272314619597</v>
      </c>
      <c r="T143">
        <f t="shared" ref="T143" si="694">S143/1000</f>
        <v>30.744272314619597</v>
      </c>
    </row>
    <row r="144" spans="1:20" x14ac:dyDescent="0.25">
      <c r="A144" s="5">
        <v>44449</v>
      </c>
      <c r="B144">
        <v>0.85550000000000004</v>
      </c>
      <c r="C144">
        <v>0.89490000000000003</v>
      </c>
      <c r="D144">
        <v>0.78280000000000005</v>
      </c>
      <c r="E144">
        <v>0.80820000000000003</v>
      </c>
      <c r="F144">
        <v>75938335</v>
      </c>
      <c r="G144">
        <v>0.80820000000000003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-0.54683318465655695</v>
      </c>
      <c r="Q144">
        <f t="shared" ref="Q144" si="696">F144*P144</f>
        <v>-41525601.56556648</v>
      </c>
      <c r="R144">
        <f t="shared" ref="R144" si="697">R145+Q144</f>
        <v>3076187465.5754547</v>
      </c>
      <c r="S144">
        <f t="shared" ref="S144" si="698">R144/100000</f>
        <v>30761.874655754546</v>
      </c>
      <c r="T144">
        <f t="shared" ref="T144" si="699">S144/1000</f>
        <v>30.761874655754546</v>
      </c>
    </row>
    <row r="145" spans="1:20" x14ac:dyDescent="0.25">
      <c r="A145" s="5">
        <v>44448</v>
      </c>
      <c r="B145">
        <v>0.82230000000000003</v>
      </c>
      <c r="C145">
        <v>0.91790000000000005</v>
      </c>
      <c r="D145">
        <v>0.79710000000000003</v>
      </c>
      <c r="E145">
        <v>0.85570000000000002</v>
      </c>
      <c r="F145">
        <v>82260980</v>
      </c>
      <c r="G145">
        <v>0.85570000000000002</v>
      </c>
      <c r="L145" t="s">
        <v>8</v>
      </c>
      <c r="M145" t="s">
        <v>8</v>
      </c>
      <c r="N145" t="s">
        <v>7</v>
      </c>
      <c r="P145">
        <f t="shared" ref="P145" si="700">IF(C145=D145,0,((E145-D145)-(C145-E145))/(C145-D145))</f>
        <v>-2.9801324503311646E-2</v>
      </c>
      <c r="Q145">
        <f t="shared" ref="Q145" si="701">F145*P145</f>
        <v>-2451486.1589404293</v>
      </c>
      <c r="R145">
        <f t="shared" ref="R145" si="702">R146+Q145</f>
        <v>3117713067.1410213</v>
      </c>
      <c r="S145">
        <f t="shared" ref="S145" si="703">R145/100000</f>
        <v>31177.130671410214</v>
      </c>
      <c r="T145">
        <f t="shared" ref="T145" si="704">S145/1000</f>
        <v>31.177130671410215</v>
      </c>
    </row>
    <row r="146" spans="1:20" x14ac:dyDescent="0.25">
      <c r="A146" s="5">
        <v>44447</v>
      </c>
      <c r="B146">
        <v>0.83440000000000003</v>
      </c>
      <c r="C146">
        <v>0.86280000000000001</v>
      </c>
      <c r="D146">
        <v>0.74219999999999997</v>
      </c>
      <c r="E146">
        <v>0.8226</v>
      </c>
      <c r="F146">
        <v>83337917</v>
      </c>
      <c r="G146">
        <v>0.8226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0.33333333333333331</v>
      </c>
      <c r="Q146">
        <f t="shared" ref="Q146" si="706">F146*P146</f>
        <v>27779305.666666664</v>
      </c>
      <c r="R146">
        <f t="shared" ref="R146" si="707">R147+Q146</f>
        <v>3120164553.2999616</v>
      </c>
      <c r="S146">
        <f t="shared" ref="S146" si="708">R146/100000</f>
        <v>31201.645532999617</v>
      </c>
      <c r="T146">
        <f t="shared" ref="T146" si="709">S146/1000</f>
        <v>31.201645532999617</v>
      </c>
    </row>
    <row r="147" spans="1:20" x14ac:dyDescent="0.25">
      <c r="A147" s="5">
        <v>44446</v>
      </c>
      <c r="B147">
        <v>1.0643</v>
      </c>
      <c r="C147">
        <v>1.0660000000000001</v>
      </c>
      <c r="D147">
        <v>0.71</v>
      </c>
      <c r="E147">
        <v>0.83389999999999997</v>
      </c>
      <c r="F147">
        <v>188288172.97999999</v>
      </c>
      <c r="G147">
        <v>0.83389999999999997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-0.30393258426966308</v>
      </c>
      <c r="Q147">
        <f t="shared" ref="Q147" si="711">F147*P147</f>
        <v>-57226911.001224741</v>
      </c>
      <c r="R147">
        <f t="shared" ref="R147" si="712">R148+Q147</f>
        <v>3092385247.6332951</v>
      </c>
      <c r="S147">
        <f t="shared" ref="S147" si="713">R147/100000</f>
        <v>30923.852476332951</v>
      </c>
      <c r="T147">
        <f t="shared" ref="T147" si="714">S147/1000</f>
        <v>30.92385247633295</v>
      </c>
    </row>
    <row r="148" spans="1:20" x14ac:dyDescent="0.25">
      <c r="A148" s="5">
        <v>44445</v>
      </c>
      <c r="B148">
        <v>1.0230999999999999</v>
      </c>
      <c r="C148">
        <v>1.077</v>
      </c>
      <c r="D148">
        <v>0.90410000000000001</v>
      </c>
      <c r="E148">
        <v>1.0646</v>
      </c>
      <c r="F148">
        <v>118146569.23</v>
      </c>
      <c r="G148">
        <v>1.0646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0.85656448814343589</v>
      </c>
      <c r="Q148">
        <f t="shared" ref="Q148" si="716">F148*P148</f>
        <v>101200155.59839797</v>
      </c>
      <c r="R148">
        <f t="shared" ref="R148" si="717">R149+Q148</f>
        <v>3149612158.6345196</v>
      </c>
      <c r="S148">
        <f t="shared" ref="S148" si="718">R148/100000</f>
        <v>31496.121586345194</v>
      </c>
      <c r="T148">
        <f t="shared" ref="T148" si="719">S148/1000</f>
        <v>31.496121586345193</v>
      </c>
    </row>
    <row r="149" spans="1:20" x14ac:dyDescent="0.25">
      <c r="A149" s="5">
        <v>44444</v>
      </c>
      <c r="B149">
        <v>0.95099999999999996</v>
      </c>
      <c r="C149">
        <v>1.038</v>
      </c>
      <c r="D149">
        <v>0.93410000000000004</v>
      </c>
      <c r="E149">
        <v>1.0236000000000001</v>
      </c>
      <c r="F149">
        <v>81781417.569999993</v>
      </c>
      <c r="G149">
        <v>1.0236000000000001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0.72281039461020269</v>
      </c>
      <c r="Q149">
        <f t="shared" ref="Q149" si="721">F149*P149</f>
        <v>59112458.705553457</v>
      </c>
      <c r="R149">
        <f t="shared" ref="R149" si="722">R150+Q149</f>
        <v>3048412003.0361214</v>
      </c>
      <c r="S149">
        <f t="shared" ref="S149" si="723">R149/100000</f>
        <v>30484.120030361213</v>
      </c>
      <c r="T149">
        <f t="shared" ref="T149" si="724">S149/1000</f>
        <v>30.484120030361215</v>
      </c>
    </row>
    <row r="150" spans="1:20" x14ac:dyDescent="0.25">
      <c r="A150" s="5">
        <v>44443</v>
      </c>
      <c r="B150">
        <v>0.91310000000000002</v>
      </c>
      <c r="C150">
        <v>0.97799999999999998</v>
      </c>
      <c r="D150">
        <v>0.90549999999999997</v>
      </c>
      <c r="E150">
        <v>0.9506</v>
      </c>
      <c r="F150">
        <v>51542936.299999997</v>
      </c>
      <c r="G150">
        <v>0.9506</v>
      </c>
      <c r="L150" t="s">
        <v>8</v>
      </c>
      <c r="M150" t="s">
        <v>7</v>
      </c>
      <c r="N150" t="s">
        <v>8</v>
      </c>
      <c r="P150">
        <f t="shared" ref="P150" si="725">IF(C150=D150,0,((E150-D150)-(C150-E150))/(C150-D150))</f>
        <v>0.24413793103448342</v>
      </c>
      <c r="Q150">
        <f t="shared" ref="Q150" si="726">F150*P150</f>
        <v>12583585.827724172</v>
      </c>
      <c r="R150">
        <f t="shared" ref="R150" si="727">R151+Q150</f>
        <v>2989299544.3305678</v>
      </c>
      <c r="S150">
        <f t="shared" ref="S150" si="728">R150/100000</f>
        <v>29892.995443305677</v>
      </c>
      <c r="T150">
        <f t="shared" ref="T150" si="729">S150/1000</f>
        <v>29.892995443305676</v>
      </c>
    </row>
    <row r="151" spans="1:20" x14ac:dyDescent="0.25">
      <c r="A151" s="5">
        <v>44442</v>
      </c>
      <c r="B151">
        <v>0.90700000000000003</v>
      </c>
      <c r="C151">
        <v>0.93769999999999998</v>
      </c>
      <c r="D151">
        <v>0.88119999999999998</v>
      </c>
      <c r="E151">
        <v>0.91320000000000001</v>
      </c>
      <c r="F151">
        <v>37009180</v>
      </c>
      <c r="G151">
        <v>0.91320000000000001</v>
      </c>
      <c r="L151" t="s">
        <v>7</v>
      </c>
      <c r="M151" t="s">
        <v>7</v>
      </c>
      <c r="N151" t="s">
        <v>8</v>
      </c>
      <c r="P151">
        <f t="shared" ref="P151" si="730">IF(C151=D151,0,((E151-D151)-(C151-E151))/(C151-D151))</f>
        <v>0.13274336283185953</v>
      </c>
      <c r="Q151">
        <f t="shared" ref="Q151" si="731">F151*P151</f>
        <v>4912723.0088495994</v>
      </c>
      <c r="R151">
        <f t="shared" ref="R151" si="732">R152+Q151</f>
        <v>2976715958.5028439</v>
      </c>
      <c r="S151">
        <f t="shared" ref="S151" si="733">R151/100000</f>
        <v>29767.159585028439</v>
      </c>
      <c r="T151">
        <f t="shared" ref="T151" si="734">S151/1000</f>
        <v>29.767159585028438</v>
      </c>
    </row>
    <row r="152" spans="1:20" x14ac:dyDescent="0.25">
      <c r="A152" s="5">
        <v>44441</v>
      </c>
      <c r="B152">
        <v>0.92149999999999999</v>
      </c>
      <c r="C152">
        <v>0.94620000000000004</v>
      </c>
      <c r="D152">
        <v>0.89290000000000003</v>
      </c>
      <c r="E152">
        <v>0.90669999999999995</v>
      </c>
      <c r="F152">
        <v>41891571</v>
      </c>
      <c r="G152">
        <v>0.90669999999999995</v>
      </c>
      <c r="L152" t="s">
        <v>8</v>
      </c>
      <c r="M152" t="s">
        <v>7</v>
      </c>
      <c r="N152" t="s">
        <v>8</v>
      </c>
      <c r="P152">
        <f t="shared" ref="P152" si="735">IF(C152=D152,0,((E152-D152)-(C152-E152))/(C152-D152))</f>
        <v>-0.48217636022514371</v>
      </c>
      <c r="Q152">
        <f t="shared" ref="Q152" si="736">F152*P152</f>
        <v>-20199125.228893183</v>
      </c>
      <c r="R152">
        <f t="shared" ref="R152" si="737">R153+Q152</f>
        <v>2971803235.4939942</v>
      </c>
      <c r="S152">
        <f t="shared" ref="S152" si="738">R152/100000</f>
        <v>29718.032354939944</v>
      </c>
      <c r="T152">
        <f t="shared" ref="T152" si="739">S152/1000</f>
        <v>29.718032354939943</v>
      </c>
    </row>
    <row r="153" spans="1:20" x14ac:dyDescent="0.25">
      <c r="A153" s="5">
        <v>44440</v>
      </c>
      <c r="B153">
        <v>0.85619999999999996</v>
      </c>
      <c r="C153">
        <v>0.92979999999999996</v>
      </c>
      <c r="D153">
        <v>0.82609999999999995</v>
      </c>
      <c r="E153">
        <v>0.92100000000000004</v>
      </c>
      <c r="F153">
        <v>50262326.780000001</v>
      </c>
      <c r="G153">
        <v>0.92100000000000004</v>
      </c>
      <c r="L153" t="s">
        <v>8</v>
      </c>
      <c r="M153" t="s">
        <v>7</v>
      </c>
      <c r="N153" t="s">
        <v>8</v>
      </c>
      <c r="P153">
        <f t="shared" ref="P153" si="740">IF(C153=D153,0,((E153-D153)-(C153-E153))/(C153-D153))</f>
        <v>0.83027965284474603</v>
      </c>
      <c r="Q153">
        <f t="shared" ref="Q153" si="741">F153*P153</f>
        <v>41731787.230067581</v>
      </c>
      <c r="R153">
        <f t="shared" ref="R153" si="742">R154+Q153</f>
        <v>2992002360.7228875</v>
      </c>
      <c r="S153">
        <f t="shared" ref="S153" si="743">R153/100000</f>
        <v>29920.023607228875</v>
      </c>
      <c r="T153">
        <f t="shared" ref="T153" si="744">S153/1000</f>
        <v>29.920023607228874</v>
      </c>
    </row>
    <row r="154" spans="1:20" x14ac:dyDescent="0.25">
      <c r="A154" s="5">
        <v>44439</v>
      </c>
      <c r="B154">
        <v>0.85060000000000002</v>
      </c>
      <c r="C154">
        <v>0.91</v>
      </c>
      <c r="D154">
        <v>0.84299999999999997</v>
      </c>
      <c r="E154">
        <v>0.85609999999999997</v>
      </c>
      <c r="F154">
        <v>45272315</v>
      </c>
      <c r="G154">
        <v>0.85609999999999997</v>
      </c>
      <c r="L154" t="s">
        <v>8</v>
      </c>
      <c r="M154" t="s">
        <v>7</v>
      </c>
      <c r="N154" t="s">
        <v>8</v>
      </c>
      <c r="P154">
        <f t="shared" ref="P154" si="745">IF(C154=D154,0,((E154-D154)-(C154-E154))/(C154-D154))</f>
        <v>-0.60895522388059731</v>
      </c>
      <c r="Q154">
        <f t="shared" ref="Q154" si="746">F154*P154</f>
        <v>-27568812.716417924</v>
      </c>
      <c r="R154">
        <f t="shared" ref="R154" si="747">R155+Q154</f>
        <v>2950270573.4928198</v>
      </c>
      <c r="S154">
        <f t="shared" ref="S154" si="748">R154/100000</f>
        <v>29502.705734928197</v>
      </c>
      <c r="T154">
        <f t="shared" ref="T154" si="749">S154/1000</f>
        <v>29.502705734928195</v>
      </c>
    </row>
    <row r="155" spans="1:20" x14ac:dyDescent="0.25">
      <c r="A155" s="5">
        <v>44438</v>
      </c>
      <c r="B155">
        <v>0.91520000000000001</v>
      </c>
      <c r="C155">
        <v>0.91539999999999999</v>
      </c>
      <c r="D155">
        <v>0.84350000000000003</v>
      </c>
      <c r="E155">
        <v>0.85089999999999999</v>
      </c>
      <c r="F155">
        <v>41798363</v>
      </c>
      <c r="G155">
        <v>0.85089999999999999</v>
      </c>
      <c r="L155" t="s">
        <v>7</v>
      </c>
      <c r="M155" t="s">
        <v>7</v>
      </c>
      <c r="N155" t="s">
        <v>8</v>
      </c>
      <c r="P155">
        <f t="shared" ref="P155" si="750">IF(C155=D155,0,((E155-D155)-(C155-E155))/(C155-D155))</f>
        <v>-0.79415855354659348</v>
      </c>
      <c r="Q155">
        <f t="shared" ref="Q155" si="751">F155*P155</f>
        <v>-33194527.500695452</v>
      </c>
      <c r="R155">
        <f t="shared" ref="R155" si="752">R156+Q155</f>
        <v>2977839386.2092376</v>
      </c>
      <c r="S155">
        <f t="shared" ref="S155" si="753">R155/100000</f>
        <v>29778.393862092376</v>
      </c>
      <c r="T155">
        <f t="shared" ref="T155" si="754">S155/1000</f>
        <v>29.778393862092376</v>
      </c>
    </row>
    <row r="156" spans="1:20" x14ac:dyDescent="0.25">
      <c r="A156" s="5">
        <v>44437</v>
      </c>
      <c r="B156">
        <v>0.91649999999999998</v>
      </c>
      <c r="C156">
        <v>0.93679999999999997</v>
      </c>
      <c r="D156">
        <v>0.87529999999999997</v>
      </c>
      <c r="E156">
        <v>0.91490000000000005</v>
      </c>
      <c r="F156">
        <v>40458370</v>
      </c>
      <c r="G156">
        <v>0.91490000000000005</v>
      </c>
      <c r="L156" t="s">
        <v>7</v>
      </c>
      <c r="M156" t="s">
        <v>7</v>
      </c>
      <c r="N156" t="s">
        <v>8</v>
      </c>
      <c r="P156">
        <f t="shared" ref="P156" si="755">IF(C156=D156,0,((E156-D156)-(C156-E156))/(C156-D156))</f>
        <v>0.28780487804878307</v>
      </c>
      <c r="Q156">
        <f t="shared" ref="Q156" si="756">F156*P156</f>
        <v>11644116.243902544</v>
      </c>
      <c r="R156">
        <f t="shared" ref="R156" si="757">R157+Q156</f>
        <v>3011033913.7099328</v>
      </c>
      <c r="S156">
        <f t="shared" ref="S156" si="758">R156/100000</f>
        <v>30110.339137099327</v>
      </c>
      <c r="T156">
        <f t="shared" ref="T156" si="759">S156/1000</f>
        <v>30.110339137099327</v>
      </c>
    </row>
    <row r="157" spans="1:20" x14ac:dyDescent="0.25">
      <c r="A157" s="5">
        <v>44436</v>
      </c>
      <c r="B157">
        <v>0.92359999999999998</v>
      </c>
      <c r="C157">
        <v>0.94899999999999995</v>
      </c>
      <c r="D157">
        <v>0.89690000000000003</v>
      </c>
      <c r="E157">
        <v>0.91669999999999996</v>
      </c>
      <c r="F157">
        <v>38558524.140000001</v>
      </c>
      <c r="G157">
        <v>0.91669999999999996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-0.23992322456813983</v>
      </c>
      <c r="Q157">
        <f t="shared" ref="Q157" si="761">F157*P157</f>
        <v>-9251085.4462572616</v>
      </c>
      <c r="R157">
        <f t="shared" ref="R157" si="762">R158+Q157</f>
        <v>2999389797.4660301</v>
      </c>
      <c r="S157">
        <f t="shared" ref="S157" si="763">R157/100000</f>
        <v>29993.8979746603</v>
      </c>
      <c r="T157">
        <f t="shared" ref="T157" si="764">S157/1000</f>
        <v>29.9938979746603</v>
      </c>
    </row>
    <row r="158" spans="1:20" x14ac:dyDescent="0.25">
      <c r="A158" s="5">
        <v>44435</v>
      </c>
      <c r="B158">
        <v>0.86460000000000004</v>
      </c>
      <c r="C158">
        <v>0.93940000000000001</v>
      </c>
      <c r="D158">
        <v>0.83850000000000002</v>
      </c>
      <c r="E158">
        <v>0.92430000000000001</v>
      </c>
      <c r="F158">
        <v>48093414.509999998</v>
      </c>
      <c r="G158">
        <v>0.92430000000000001</v>
      </c>
      <c r="L158" t="s">
        <v>8</v>
      </c>
      <c r="M158" t="s">
        <v>7</v>
      </c>
      <c r="N158" t="s">
        <v>8</v>
      </c>
      <c r="P158">
        <f t="shared" ref="P158" si="765">IF(C158=D158,0,((E158-D158)-(C158-E158))/(C158-D158))</f>
        <v>0.70069375619425167</v>
      </c>
      <c r="Q158">
        <f t="shared" ref="Q158" si="766">F158*P158</f>
        <v>33698755.261219025</v>
      </c>
      <c r="R158">
        <f t="shared" ref="R158" si="767">R159+Q158</f>
        <v>3008640882.9122872</v>
      </c>
      <c r="S158">
        <f t="shared" ref="S158" si="768">R158/100000</f>
        <v>30086.408829122873</v>
      </c>
      <c r="T158">
        <f t="shared" ref="T158" si="769">S158/1000</f>
        <v>30.086408829122874</v>
      </c>
    </row>
    <row r="159" spans="1:20" x14ac:dyDescent="0.25">
      <c r="A159" s="5">
        <v>44434</v>
      </c>
      <c r="B159">
        <v>0.95140000000000002</v>
      </c>
      <c r="C159">
        <v>0.97</v>
      </c>
      <c r="D159">
        <v>0.84650000000000003</v>
      </c>
      <c r="E159">
        <v>0.86499999999999999</v>
      </c>
      <c r="F159">
        <v>64600428.670000002</v>
      </c>
      <c r="G159">
        <v>0.86499999999999999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-0.70040485829959565</v>
      </c>
      <c r="Q159">
        <f t="shared" ref="Q159" si="771">F159*P159</f>
        <v>-45246454.088704489</v>
      </c>
      <c r="R159">
        <f t="shared" ref="R159" si="772">R160+Q159</f>
        <v>2974942127.6510682</v>
      </c>
      <c r="S159">
        <f t="shared" ref="S159" si="773">R159/100000</f>
        <v>29749.421276510682</v>
      </c>
      <c r="T159">
        <f t="shared" ref="T159" si="774">S159/1000</f>
        <v>29.749421276510681</v>
      </c>
    </row>
    <row r="160" spans="1:20" x14ac:dyDescent="0.25">
      <c r="A160" s="5">
        <v>44433</v>
      </c>
      <c r="B160">
        <v>0.91859999999999997</v>
      </c>
      <c r="C160">
        <v>0.97899999999999998</v>
      </c>
      <c r="D160">
        <v>0.88629999999999998</v>
      </c>
      <c r="E160">
        <v>0.95130000000000003</v>
      </c>
      <c r="F160">
        <v>63321326.710000001</v>
      </c>
      <c r="G160">
        <v>0.95130000000000003</v>
      </c>
      <c r="L160" t="s">
        <v>7</v>
      </c>
      <c r="M160" t="s">
        <v>7</v>
      </c>
      <c r="N160" t="s">
        <v>8</v>
      </c>
      <c r="P160">
        <f t="shared" ref="P160" si="775">IF(C160=D160,0,((E160-D160)-(C160-E160))/(C160-D160))</f>
        <v>0.4023732470334424</v>
      </c>
      <c r="Q160">
        <f t="shared" ref="Q160" si="776">F160*P160</f>
        <v>25478807.834768146</v>
      </c>
      <c r="R160">
        <f t="shared" ref="R160" si="777">R161+Q160</f>
        <v>3020188581.7397728</v>
      </c>
      <c r="S160">
        <f t="shared" ref="S160" si="778">R160/100000</f>
        <v>30201.885817397728</v>
      </c>
      <c r="T160">
        <f t="shared" ref="T160" si="779">S160/1000</f>
        <v>30.201885817397727</v>
      </c>
    </row>
    <row r="161" spans="1:20" x14ac:dyDescent="0.25">
      <c r="A161" s="5">
        <v>44432</v>
      </c>
      <c r="B161">
        <v>1.0246</v>
      </c>
      <c r="C161">
        <v>1.0348999999999999</v>
      </c>
      <c r="D161">
        <v>0.89119999999999999</v>
      </c>
      <c r="E161">
        <v>0.9194</v>
      </c>
      <c r="F161">
        <v>79273446.769999996</v>
      </c>
      <c r="G161">
        <v>0.9194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-0.60751565762004156</v>
      </c>
      <c r="Q161">
        <f t="shared" ref="Q161" si="781">F161*P161</f>
        <v>-48159860.14628391</v>
      </c>
      <c r="R161">
        <f t="shared" ref="R161" si="782">R162+Q161</f>
        <v>2994709773.9050045</v>
      </c>
      <c r="S161">
        <f t="shared" ref="S161" si="783">R161/100000</f>
        <v>29947.097739050045</v>
      </c>
      <c r="T161">
        <f t="shared" ref="T161" si="784">S161/1000</f>
        <v>29.947097739050044</v>
      </c>
    </row>
    <row r="162" spans="1:20" x14ac:dyDescent="0.25">
      <c r="A162" s="5">
        <v>44431</v>
      </c>
      <c r="B162">
        <v>1.0738000000000001</v>
      </c>
      <c r="C162">
        <v>1.083</v>
      </c>
      <c r="D162">
        <v>1.0023</v>
      </c>
      <c r="E162">
        <v>1.0247999999999999</v>
      </c>
      <c r="F162">
        <v>59485180.890000001</v>
      </c>
      <c r="G162">
        <v>1.0247999999999999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-0.44237918215613464</v>
      </c>
      <c r="Q162">
        <f t="shared" ref="Q162" si="786">F162*P162</f>
        <v>-26315005.672527928</v>
      </c>
      <c r="R162">
        <f t="shared" ref="R162" si="787">R163+Q162</f>
        <v>3042869634.0512886</v>
      </c>
      <c r="S162">
        <f t="shared" ref="S162" si="788">R162/100000</f>
        <v>30428.696340512884</v>
      </c>
      <c r="T162">
        <f t="shared" ref="T162" si="789">S162/1000</f>
        <v>30.428696340512886</v>
      </c>
    </row>
    <row r="163" spans="1:20" x14ac:dyDescent="0.25">
      <c r="A163" s="5">
        <v>44430</v>
      </c>
      <c r="B163">
        <v>0.98860000000000003</v>
      </c>
      <c r="C163">
        <v>1.03</v>
      </c>
      <c r="D163">
        <v>0.98509999999999998</v>
      </c>
      <c r="E163">
        <v>1.0248999999999999</v>
      </c>
      <c r="F163">
        <v>12981001.52</v>
      </c>
      <c r="G163">
        <v>1.0248999999999999</v>
      </c>
      <c r="L163" t="s">
        <v>7</v>
      </c>
      <c r="M163" t="s">
        <v>8</v>
      </c>
      <c r="N163" t="s">
        <v>8</v>
      </c>
      <c r="P163">
        <f t="shared" ref="P163" si="790">IF(C163=D163,0,((E163-D163)-(C163-E163))/(C163-D163))</f>
        <v>0.77282850779509582</v>
      </c>
      <c r="Q163">
        <f t="shared" ref="Q163" si="791">F163*P163</f>
        <v>10032088.034387471</v>
      </c>
      <c r="R163">
        <f t="shared" ref="R163" si="792">R164+Q163</f>
        <v>3069184639.7238164</v>
      </c>
      <c r="S163">
        <f t="shared" ref="S163" si="793">R163/100000</f>
        <v>30691.846397238165</v>
      </c>
      <c r="T163">
        <f t="shared" ref="T163" si="794">S163/1000</f>
        <v>30.691846397238166</v>
      </c>
    </row>
    <row r="164" spans="1:20" x14ac:dyDescent="0.25">
      <c r="A164" s="5">
        <v>44429</v>
      </c>
      <c r="B164">
        <v>1.0402</v>
      </c>
      <c r="C164">
        <v>1.0527</v>
      </c>
      <c r="D164">
        <v>0.98399999999999999</v>
      </c>
      <c r="E164">
        <v>0.98860000000000003</v>
      </c>
      <c r="F164">
        <v>81679785.480000004</v>
      </c>
      <c r="G164">
        <v>0.98860000000000003</v>
      </c>
      <c r="L164" t="s">
        <v>7</v>
      </c>
      <c r="M164" t="s">
        <v>8</v>
      </c>
      <c r="N164" t="s">
        <v>8</v>
      </c>
      <c r="P164">
        <f t="shared" ref="P164" si="795">IF(C164=D164,0,((E164-D164)-(C164-E164))/(C164-D164))</f>
        <v>-0.86608442503638861</v>
      </c>
      <c r="Q164">
        <f t="shared" ref="Q164" si="796">F164*P164</f>
        <v>-70741590.044541359</v>
      </c>
      <c r="R164">
        <f t="shared" ref="R164" si="797">R165+Q164</f>
        <v>3059152551.6894288</v>
      </c>
      <c r="S164">
        <f t="shared" ref="S164" si="798">R164/100000</f>
        <v>30591.525516894289</v>
      </c>
      <c r="T164">
        <f t="shared" ref="T164" si="799">S164/1000</f>
        <v>30.59152551689429</v>
      </c>
    </row>
    <row r="165" spans="1:20" x14ac:dyDescent="0.25">
      <c r="A165" s="5">
        <v>44428</v>
      </c>
      <c r="B165">
        <v>0.98470000000000002</v>
      </c>
      <c r="C165">
        <v>1.0932999999999999</v>
      </c>
      <c r="D165">
        <v>0.97529999999999994</v>
      </c>
      <c r="E165">
        <v>1.0408999999999999</v>
      </c>
      <c r="F165">
        <v>139118998.66999999</v>
      </c>
      <c r="G165">
        <v>1.0408999999999999</v>
      </c>
      <c r="L165" t="s">
        <v>8</v>
      </c>
      <c r="M165" t="s">
        <v>8</v>
      </c>
      <c r="N165" t="s">
        <v>8</v>
      </c>
      <c r="P165">
        <f t="shared" ref="P165" si="800">IF(C165=D165,0,((E165-D165)-(C165-E165))/(C165-D165))</f>
        <v>0.11186440677966093</v>
      </c>
      <c r="Q165">
        <f t="shared" ref="Q165" si="801">F165*P165</f>
        <v>15562464.257999986</v>
      </c>
      <c r="R165">
        <f t="shared" ref="R165" si="802">R166+Q165</f>
        <v>3129894141.7339702</v>
      </c>
      <c r="S165">
        <f t="shared" ref="S165" si="803">R165/100000</f>
        <v>31298.941417339702</v>
      </c>
      <c r="T165">
        <f t="shared" ref="T165" si="804">S165/1000</f>
        <v>31.298941417339702</v>
      </c>
    </row>
    <row r="166" spans="1:20" x14ac:dyDescent="0.25">
      <c r="A166" s="5">
        <v>44427</v>
      </c>
      <c r="B166">
        <v>0.85350000000000004</v>
      </c>
      <c r="C166">
        <v>0.98460000000000003</v>
      </c>
      <c r="D166">
        <v>0.83</v>
      </c>
      <c r="E166">
        <v>0.98329999999999995</v>
      </c>
      <c r="F166">
        <v>101890073.45</v>
      </c>
      <c r="G166">
        <v>0.98329999999999995</v>
      </c>
      <c r="L166" t="s">
        <v>8</v>
      </c>
      <c r="M166" t="s">
        <v>8</v>
      </c>
      <c r="N166" t="s">
        <v>8</v>
      </c>
      <c r="P166">
        <f t="shared" ref="P166" si="805">IF(C166=D166,0,((E166-D166)-(C166-E166))/(C166-D166))</f>
        <v>0.98318240620957209</v>
      </c>
      <c r="Q166">
        <f t="shared" ref="Q166" si="806">F166*P166</f>
        <v>100176527.58344103</v>
      </c>
      <c r="R166">
        <f t="shared" ref="R166" si="807">R167+Q166</f>
        <v>3114331677.4759703</v>
      </c>
      <c r="S166">
        <f t="shared" ref="S166" si="808">R166/100000</f>
        <v>31143.316774759704</v>
      </c>
      <c r="T166">
        <f t="shared" ref="T166" si="809">S166/1000</f>
        <v>31.143316774759704</v>
      </c>
    </row>
    <row r="167" spans="1:20" x14ac:dyDescent="0.25">
      <c r="A167" s="5">
        <v>44426</v>
      </c>
      <c r="B167">
        <v>0.86960000000000004</v>
      </c>
      <c r="C167">
        <v>0.92049999999999998</v>
      </c>
      <c r="D167">
        <v>0.81399999999999995</v>
      </c>
      <c r="E167">
        <v>0.85429999999999995</v>
      </c>
      <c r="F167">
        <v>95536712.480000004</v>
      </c>
      <c r="G167">
        <v>0.85429999999999995</v>
      </c>
      <c r="L167" t="s">
        <v>7</v>
      </c>
      <c r="M167" t="s">
        <v>7</v>
      </c>
      <c r="N167" t="s">
        <v>8</v>
      </c>
      <c r="P167">
        <f t="shared" ref="P167" si="810">IF(C167=D167,0,((E167-D167)-(C167-E167))/(C167-D167))</f>
        <v>-0.24319248826291104</v>
      </c>
      <c r="Q167">
        <f t="shared" ref="Q167" si="811">F167*P167</f>
        <v>-23233810.828469507</v>
      </c>
      <c r="R167">
        <f t="shared" ref="R167" si="812">R168+Q167</f>
        <v>3014155149.892529</v>
      </c>
      <c r="S167">
        <f t="shared" ref="S167" si="813">R167/100000</f>
        <v>30141.551498925292</v>
      </c>
      <c r="T167">
        <f t="shared" ref="T167" si="814">S167/1000</f>
        <v>30.141551498925292</v>
      </c>
    </row>
    <row r="168" spans="1:20" x14ac:dyDescent="0.25">
      <c r="A168" s="5">
        <v>44425</v>
      </c>
      <c r="B168">
        <v>0.85489999999999999</v>
      </c>
      <c r="C168">
        <v>1.0259</v>
      </c>
      <c r="D168">
        <v>0.81440000000000001</v>
      </c>
      <c r="E168">
        <v>0.86970000000000003</v>
      </c>
      <c r="F168">
        <v>143815153.66</v>
      </c>
      <c r="G168">
        <v>0.86970000000000003</v>
      </c>
      <c r="L168" t="s">
        <v>8</v>
      </c>
      <c r="M168" t="s">
        <v>8</v>
      </c>
      <c r="N168" t="s">
        <v>8</v>
      </c>
      <c r="P168">
        <f t="shared" ref="P168" si="815">IF(C168=D168,0,((E168-D168)-(C168-E168))/(C168-D168))</f>
        <v>-0.47706855791962166</v>
      </c>
      <c r="Q168">
        <f t="shared" ref="Q168" si="816">F168*P168</f>
        <v>-68609687.963564992</v>
      </c>
      <c r="R168">
        <f t="shared" ref="R168" si="817">R169+Q168</f>
        <v>3037388960.7209983</v>
      </c>
      <c r="S168">
        <f t="shared" ref="S168" si="818">R168/100000</f>
        <v>30373.889607209981</v>
      </c>
      <c r="T168">
        <f t="shared" ref="T168" si="819">S168/1000</f>
        <v>30.373889607209982</v>
      </c>
    </row>
    <row r="169" spans="1:20" x14ac:dyDescent="0.25">
      <c r="A169" s="5">
        <v>44424</v>
      </c>
      <c r="B169">
        <v>0.89710000000000001</v>
      </c>
      <c r="C169">
        <v>0.93589999999999995</v>
      </c>
      <c r="D169">
        <v>0.85099999999999998</v>
      </c>
      <c r="E169">
        <v>0.85560000000000003</v>
      </c>
      <c r="F169">
        <v>56876809.119999997</v>
      </c>
      <c r="G169">
        <v>0.85560000000000003</v>
      </c>
      <c r="L169" t="s">
        <v>8</v>
      </c>
      <c r="M169" t="s">
        <v>8</v>
      </c>
      <c r="N169" t="s">
        <v>8</v>
      </c>
      <c r="P169">
        <f t="shared" ref="P169" si="820">IF(C169=D169,0,((E169-D169)-(C169-E169))/(C169-D169))</f>
        <v>-0.89163722025912717</v>
      </c>
      <c r="Q169">
        <f t="shared" ref="Q169" si="821">F169*P169</f>
        <v>-50713479.980965771</v>
      </c>
      <c r="R169">
        <f t="shared" ref="R169" si="822">R170+Q169</f>
        <v>3105998648.6845632</v>
      </c>
      <c r="S169">
        <f t="shared" ref="S169" si="823">R169/100000</f>
        <v>31059.986486845632</v>
      </c>
      <c r="T169">
        <f t="shared" ref="T169" si="824">S169/1000</f>
        <v>31.059986486845631</v>
      </c>
    </row>
    <row r="170" spans="1:20" x14ac:dyDescent="0.25">
      <c r="A170" s="5">
        <v>44423</v>
      </c>
      <c r="B170">
        <v>0.89990000000000003</v>
      </c>
      <c r="C170">
        <v>0.91500000000000004</v>
      </c>
      <c r="D170">
        <v>0.84219999999999995</v>
      </c>
      <c r="E170">
        <v>0.89700000000000002</v>
      </c>
      <c r="F170">
        <v>49591861.619999997</v>
      </c>
      <c r="G170">
        <v>0.89700000000000002</v>
      </c>
      <c r="L170" t="s">
        <v>7</v>
      </c>
      <c r="M170" t="s">
        <v>8</v>
      </c>
      <c r="N170" t="s">
        <v>8</v>
      </c>
      <c r="P170">
        <f t="shared" ref="P170" si="825">IF(C170=D170,0,((E170-D170)-(C170-E170))/(C170-D170))</f>
        <v>0.5054945054945057</v>
      </c>
      <c r="Q170">
        <f t="shared" ref="Q170" si="826">F170*P170</f>
        <v>25068413.566153854</v>
      </c>
      <c r="R170">
        <f t="shared" ref="R170" si="827">R171+Q170</f>
        <v>3156712128.6655288</v>
      </c>
      <c r="S170">
        <f t="shared" ref="S170" si="828">R170/100000</f>
        <v>31567.121286655289</v>
      </c>
      <c r="T170">
        <f t="shared" ref="T170" si="829">S170/1000</f>
        <v>31.56712128665529</v>
      </c>
    </row>
    <row r="171" spans="1:20" x14ac:dyDescent="0.25">
      <c r="A171" s="5">
        <v>44422</v>
      </c>
      <c r="B171">
        <v>0.92869999999999997</v>
      </c>
      <c r="C171">
        <v>0.95599999999999996</v>
      </c>
      <c r="D171">
        <v>0.86809999999999998</v>
      </c>
      <c r="E171">
        <v>0.89980000000000004</v>
      </c>
      <c r="F171">
        <v>65466715.479999997</v>
      </c>
      <c r="G171">
        <v>0.89980000000000004</v>
      </c>
      <c r="L171" t="s">
        <v>7</v>
      </c>
      <c r="M171" t="s">
        <v>8</v>
      </c>
      <c r="N171" t="s">
        <v>8</v>
      </c>
      <c r="P171">
        <f t="shared" ref="P171" si="830">IF(C171=D171,0,((E171-D171)-(C171-E171))/(C171-D171))</f>
        <v>-0.27872582480090857</v>
      </c>
      <c r="Q171">
        <f t="shared" ref="Q171" si="831">F171*P171</f>
        <v>-18247264.269169409</v>
      </c>
      <c r="R171">
        <f t="shared" ref="R171" si="832">R172+Q171</f>
        <v>3131643715.0993748</v>
      </c>
      <c r="S171">
        <f t="shared" ref="S171" si="833">R171/100000</f>
        <v>31316.437150993748</v>
      </c>
      <c r="T171">
        <f t="shared" ref="T171" si="834">S171/1000</f>
        <v>31.31643715099375</v>
      </c>
    </row>
    <row r="172" spans="1:20" x14ac:dyDescent="0.25">
      <c r="A172" s="5">
        <v>44421</v>
      </c>
      <c r="B172">
        <v>0.87919999999999998</v>
      </c>
      <c r="C172">
        <v>0.94899999999999995</v>
      </c>
      <c r="D172">
        <v>0.87090000000000001</v>
      </c>
      <c r="E172">
        <v>0.92869999999999997</v>
      </c>
      <c r="F172">
        <v>88720645.049999997</v>
      </c>
      <c r="G172">
        <v>0.92869999999999997</v>
      </c>
      <c r="L172" t="s">
        <v>8</v>
      </c>
      <c r="M172" t="s">
        <v>8</v>
      </c>
      <c r="N172" t="s">
        <v>8</v>
      </c>
      <c r="P172">
        <f t="shared" ref="P172" si="835">IF(C172=D172,0,((E172-D172)-(C172-E172))/(C172-D172))</f>
        <v>0.48015364916773373</v>
      </c>
      <c r="Q172">
        <f t="shared" ref="Q172" si="836">F172*P172</f>
        <v>42599541.477272734</v>
      </c>
      <c r="R172">
        <f t="shared" ref="R172" si="837">R173+Q172</f>
        <v>3149890979.3685441</v>
      </c>
      <c r="S172">
        <f t="shared" ref="S172" si="838">R172/100000</f>
        <v>31498.909793685441</v>
      </c>
      <c r="T172">
        <f t="shared" ref="T172" si="839">S172/1000</f>
        <v>31.498909793685442</v>
      </c>
    </row>
    <row r="173" spans="1:20" x14ac:dyDescent="0.25">
      <c r="A173" s="5">
        <v>44420</v>
      </c>
      <c r="B173">
        <v>0.78959999999999997</v>
      </c>
      <c r="C173">
        <v>0.9</v>
      </c>
      <c r="D173">
        <v>0.75800000000000001</v>
      </c>
      <c r="E173">
        <v>0.87980000000000003</v>
      </c>
      <c r="F173">
        <v>117748214.59999999</v>
      </c>
      <c r="G173">
        <v>0.87980000000000003</v>
      </c>
      <c r="L173" t="s">
        <v>8</v>
      </c>
      <c r="M173" t="s">
        <v>8</v>
      </c>
      <c r="N173" t="s">
        <v>8</v>
      </c>
      <c r="P173">
        <f t="shared" ref="P173" si="840">IF(C173=D173,0,((E173-D173)-(C173-E173))/(C173-D173))</f>
        <v>0.71549295774647892</v>
      </c>
      <c r="Q173">
        <f t="shared" ref="Q173" si="841">F173*P173</f>
        <v>84248018.333521128</v>
      </c>
      <c r="R173">
        <f t="shared" ref="R173" si="842">R174+Q173</f>
        <v>3107291437.8912716</v>
      </c>
      <c r="S173">
        <f t="shared" ref="S173" si="843">R173/100000</f>
        <v>31072.914378912716</v>
      </c>
      <c r="T173">
        <f t="shared" ref="T173" si="844">S173/1000</f>
        <v>31.072914378912717</v>
      </c>
    </row>
    <row r="174" spans="1:20" x14ac:dyDescent="0.25">
      <c r="A174" s="5">
        <v>44419</v>
      </c>
      <c r="B174">
        <v>0.74909999999999999</v>
      </c>
      <c r="C174">
        <v>0.88600000000000001</v>
      </c>
      <c r="D174">
        <v>0.74419999999999997</v>
      </c>
      <c r="E174">
        <v>0.7893</v>
      </c>
      <c r="F174">
        <v>100237676.44</v>
      </c>
      <c r="G174">
        <v>0.7893</v>
      </c>
      <c r="L174" t="s">
        <v>8</v>
      </c>
      <c r="M174" t="s">
        <v>8</v>
      </c>
      <c r="N174" t="s">
        <v>8</v>
      </c>
      <c r="P174">
        <f t="shared" ref="P174" si="845">IF(C174=D174,0,((E174-D174)-(C174-E174))/(C174-D174))</f>
        <v>-0.3638928067700985</v>
      </c>
      <c r="Q174">
        <f t="shared" ref="Q174" si="846">F174*P174</f>
        <v>-36475769.423864573</v>
      </c>
      <c r="R174">
        <f t="shared" ref="R174" si="847">R175+Q174</f>
        <v>3023043419.5577502</v>
      </c>
      <c r="S174">
        <f t="shared" ref="S174" si="848">R174/100000</f>
        <v>30230.434195577502</v>
      </c>
      <c r="T174">
        <f t="shared" ref="T174" si="849">S174/1000</f>
        <v>30.230434195577502</v>
      </c>
    </row>
    <row r="175" spans="1:20" x14ac:dyDescent="0.25">
      <c r="A175" s="5">
        <v>44418</v>
      </c>
      <c r="B175">
        <v>0.70750000000000002</v>
      </c>
      <c r="C175">
        <v>0.77129999999999999</v>
      </c>
      <c r="D175">
        <v>0.69750000000000001</v>
      </c>
      <c r="E175">
        <v>0.74980000000000002</v>
      </c>
      <c r="F175">
        <v>77923902.469999999</v>
      </c>
      <c r="G175">
        <v>0.74980000000000002</v>
      </c>
      <c r="L175" t="s">
        <v>8</v>
      </c>
      <c r="M175" t="s">
        <v>8</v>
      </c>
      <c r="N175" t="s">
        <v>8</v>
      </c>
      <c r="P175">
        <f t="shared" ref="P175" si="850">IF(C175=D175,0,((E175-D175)-(C175-E175))/(C175-D175))</f>
        <v>0.41734417344173524</v>
      </c>
      <c r="Q175">
        <f t="shared" ref="Q175" si="851">F175*P175</f>
        <v>32521086.667696539</v>
      </c>
      <c r="R175">
        <f t="shared" ref="R175" si="852">R176+Q175</f>
        <v>3059519188.9816146</v>
      </c>
      <c r="S175">
        <f t="shared" ref="S175" si="853">R175/100000</f>
        <v>30595.191889816146</v>
      </c>
      <c r="T175">
        <f t="shared" ref="T175" si="854">S175/1000</f>
        <v>30.595191889816146</v>
      </c>
    </row>
    <row r="176" spans="1:20" x14ac:dyDescent="0.25">
      <c r="A176" s="5">
        <v>44417</v>
      </c>
      <c r="B176">
        <v>0.67120000000000002</v>
      </c>
      <c r="C176">
        <v>0.7399</v>
      </c>
      <c r="D176">
        <v>0.64600000000000002</v>
      </c>
      <c r="E176">
        <v>0.70760000000000001</v>
      </c>
      <c r="F176">
        <v>61296734.479999997</v>
      </c>
      <c r="G176">
        <v>0.70760000000000001</v>
      </c>
      <c r="L176" t="s">
        <v>7</v>
      </c>
      <c r="M176" t="s">
        <v>8</v>
      </c>
      <c r="N176" t="s">
        <v>8</v>
      </c>
      <c r="P176">
        <f t="shared" ref="P176" si="855">IF(C176=D176,0,((E176-D176)-(C176-E176))/(C176-D176))</f>
        <v>0.31203407880724171</v>
      </c>
      <c r="Q176">
        <f t="shared" ref="Q176" si="856">F176*P176</f>
        <v>19126670.07735889</v>
      </c>
      <c r="R176">
        <f t="shared" ref="R176" si="857">R177+Q176</f>
        <v>3026998102.3139181</v>
      </c>
      <c r="S176">
        <f t="shared" ref="S176" si="858">R176/100000</f>
        <v>30269.981023139182</v>
      </c>
      <c r="T176">
        <f t="shared" ref="T176" si="859">S176/1000</f>
        <v>30.269981023139181</v>
      </c>
    </row>
    <row r="177" spans="1:20" x14ac:dyDescent="0.25">
      <c r="A177" s="5">
        <v>44416</v>
      </c>
      <c r="B177">
        <v>0.73199999999999998</v>
      </c>
      <c r="C177">
        <v>0.73370000000000002</v>
      </c>
      <c r="D177">
        <v>0.65690000000000004</v>
      </c>
      <c r="E177">
        <v>0.67200000000000004</v>
      </c>
      <c r="F177">
        <v>44657470.810000002</v>
      </c>
      <c r="G177">
        <v>0.67200000000000004</v>
      </c>
      <c r="L177" t="s">
        <v>7</v>
      </c>
      <c r="M177" t="s">
        <v>8</v>
      </c>
      <c r="N177" t="s">
        <v>8</v>
      </c>
      <c r="P177">
        <f t="shared" ref="P177" si="860">IF(C177=D177,0,((E177-D177)-(C177-E177))/(C177-D177))</f>
        <v>-0.60677083333333315</v>
      </c>
      <c r="Q177">
        <f t="shared" ref="Q177" si="861">F177*P177</f>
        <v>-27096850.777942702</v>
      </c>
      <c r="R177">
        <f t="shared" ref="R177" si="862">R178+Q177</f>
        <v>3007871432.2365594</v>
      </c>
      <c r="S177">
        <f t="shared" ref="S177" si="863">R177/100000</f>
        <v>30078.714322365595</v>
      </c>
      <c r="T177">
        <f t="shared" ref="T177" si="864">S177/1000</f>
        <v>30.078714322365595</v>
      </c>
    </row>
    <row r="178" spans="1:20" x14ac:dyDescent="0.25">
      <c r="A178" s="5">
        <v>44415</v>
      </c>
      <c r="B178">
        <v>0.70289999999999997</v>
      </c>
      <c r="C178">
        <v>0.76</v>
      </c>
      <c r="D178">
        <v>0.69399999999999995</v>
      </c>
      <c r="E178">
        <v>0.73199999999999998</v>
      </c>
      <c r="F178">
        <v>68526176.370000005</v>
      </c>
      <c r="G178">
        <v>0.73199999999999998</v>
      </c>
      <c r="L178" t="s">
        <v>8</v>
      </c>
      <c r="M178" t="s">
        <v>8</v>
      </c>
      <c r="N178" t="s">
        <v>8</v>
      </c>
      <c r="P178">
        <f t="shared" ref="P178" si="865">IF(C178=D178,0,((E178-D178)-(C178-E178))/(C178-D178))</f>
        <v>0.15151515151515152</v>
      </c>
      <c r="Q178">
        <f t="shared" ref="Q178" si="866">F178*P178</f>
        <v>10382753.995454546</v>
      </c>
      <c r="R178">
        <f t="shared" ref="R178" si="867">R179+Q178</f>
        <v>3034968283.014502</v>
      </c>
      <c r="S178">
        <f t="shared" ref="S178" si="868">R178/100000</f>
        <v>30349.682830145019</v>
      </c>
      <c r="T178">
        <f t="shared" ref="T178" si="869">S178/1000</f>
        <v>30.349682830145017</v>
      </c>
    </row>
    <row r="179" spans="1:20" x14ac:dyDescent="0.25">
      <c r="A179" s="5">
        <v>44414</v>
      </c>
      <c r="B179">
        <v>0.7006</v>
      </c>
      <c r="C179">
        <v>0.7238</v>
      </c>
      <c r="D179">
        <v>0.67</v>
      </c>
      <c r="E179">
        <v>0.70299999999999996</v>
      </c>
      <c r="F179">
        <v>52067114.090000004</v>
      </c>
      <c r="G179">
        <v>0.70299999999999996</v>
      </c>
      <c r="L179" t="s">
        <v>7</v>
      </c>
      <c r="M179" t="s">
        <v>8</v>
      </c>
      <c r="N179" t="s">
        <v>8</v>
      </c>
      <c r="P179">
        <f t="shared" ref="P179" si="870">IF(C179=D179,0,((E179-D179)-(C179-E179))/(C179-D179))</f>
        <v>0.22676579925650348</v>
      </c>
      <c r="Q179">
        <f t="shared" ref="Q179" si="871">F179*P179</f>
        <v>11807040.741598405</v>
      </c>
      <c r="R179">
        <f t="shared" ref="R179" si="872">R180+Q179</f>
        <v>3024585529.0190477</v>
      </c>
      <c r="S179">
        <f t="shared" ref="S179" si="873">R179/100000</f>
        <v>30245.855290190477</v>
      </c>
      <c r="T179">
        <f t="shared" ref="T179" si="874">S179/1000</f>
        <v>30.245855290190477</v>
      </c>
    </row>
    <row r="180" spans="1:20" x14ac:dyDescent="0.25">
      <c r="A180" s="5">
        <v>44413</v>
      </c>
      <c r="B180">
        <v>0.66710000000000003</v>
      </c>
      <c r="C180">
        <v>0.71560000000000001</v>
      </c>
      <c r="D180">
        <v>0.63790000000000002</v>
      </c>
      <c r="E180">
        <v>0.7006</v>
      </c>
      <c r="F180">
        <v>55588820.219999999</v>
      </c>
      <c r="G180">
        <v>0.7006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0.61389961389961356</v>
      </c>
      <c r="Q180">
        <f t="shared" ref="Q180" si="876">F180*P180</f>
        <v>34125955.270193033</v>
      </c>
      <c r="R180">
        <f t="shared" ref="R180" si="877">R181+Q180</f>
        <v>3012778488.2774491</v>
      </c>
      <c r="S180">
        <f t="shared" ref="S180" si="878">R180/100000</f>
        <v>30127.784882774493</v>
      </c>
      <c r="T180">
        <f t="shared" ref="T180" si="879">S180/1000</f>
        <v>30.127784882774492</v>
      </c>
    </row>
    <row r="181" spans="1:20" x14ac:dyDescent="0.25">
      <c r="A181" s="5">
        <v>44412</v>
      </c>
      <c r="B181">
        <v>0.64629999999999999</v>
      </c>
      <c r="C181">
        <v>0.68420000000000003</v>
      </c>
      <c r="D181">
        <v>0.62270000000000003</v>
      </c>
      <c r="E181">
        <v>0.66710000000000003</v>
      </c>
      <c r="F181">
        <v>39435362.109999999</v>
      </c>
      <c r="G181">
        <v>0.66710000000000003</v>
      </c>
      <c r="L181" t="s">
        <v>7</v>
      </c>
      <c r="M181" t="s">
        <v>8</v>
      </c>
      <c r="N181" t="s">
        <v>8</v>
      </c>
      <c r="P181">
        <f t="shared" ref="P181" si="880">IF(C181=D181,0,((E181-D181)-(C181-E181))/(C181-D181))</f>
        <v>0.44390243902439008</v>
      </c>
      <c r="Q181">
        <f t="shared" ref="Q181" si="881">F181*P181</f>
        <v>17505453.424439017</v>
      </c>
      <c r="R181">
        <f t="shared" ref="R181" si="882">R182+Q181</f>
        <v>2978652533.007256</v>
      </c>
      <c r="S181">
        <f t="shared" ref="S181" si="883">R181/100000</f>
        <v>29786.52533007256</v>
      </c>
      <c r="T181">
        <f t="shared" ref="T181" si="884">S181/1000</f>
        <v>29.786525330072561</v>
      </c>
    </row>
    <row r="182" spans="1:20" x14ac:dyDescent="0.25">
      <c r="A182" s="5">
        <v>44411</v>
      </c>
      <c r="B182">
        <v>0.69189999999999996</v>
      </c>
      <c r="C182">
        <v>0.70879999999999999</v>
      </c>
      <c r="D182">
        <v>0.63690000000000002</v>
      </c>
      <c r="E182">
        <v>0.6462</v>
      </c>
      <c r="F182">
        <v>44760429.619999997</v>
      </c>
      <c r="G182">
        <v>0.6462</v>
      </c>
      <c r="L182" t="s">
        <v>8</v>
      </c>
      <c r="M182" t="s">
        <v>8</v>
      </c>
      <c r="N182" t="s">
        <v>8</v>
      </c>
      <c r="P182">
        <f t="shared" ref="P182" si="885">IF(C182=D182,0,((E182-D182)-(C182-E182))/(C182-D182))</f>
        <v>-0.74130737134909652</v>
      </c>
      <c r="Q182">
        <f t="shared" ref="Q182" si="886">F182*P182</f>
        <v>-33181236.422058437</v>
      </c>
      <c r="R182">
        <f t="shared" ref="R182" si="887">R183+Q182</f>
        <v>2961147079.5828171</v>
      </c>
      <c r="S182">
        <f t="shared" ref="S182" si="888">R182/100000</f>
        <v>29611.470795828172</v>
      </c>
      <c r="T182">
        <f t="shared" ref="T182" si="889">S182/1000</f>
        <v>29.611470795828172</v>
      </c>
    </row>
    <row r="183" spans="1:20" x14ac:dyDescent="0.25">
      <c r="A183" s="5">
        <v>44410</v>
      </c>
      <c r="B183">
        <v>0.65939999999999999</v>
      </c>
      <c r="C183">
        <v>0.7</v>
      </c>
      <c r="D183">
        <v>0.63280000000000003</v>
      </c>
      <c r="E183">
        <v>0.69220000000000004</v>
      </c>
      <c r="F183">
        <v>55853107.079999998</v>
      </c>
      <c r="G183">
        <v>0.69220000000000004</v>
      </c>
      <c r="L183" t="s">
        <v>7</v>
      </c>
      <c r="M183" t="s">
        <v>8</v>
      </c>
      <c r="N183" t="s">
        <v>8</v>
      </c>
      <c r="P183">
        <f t="shared" ref="P183" si="890">IF(C183=D183,0,((E183-D183)-(C183-E183))/(C183-D183))</f>
        <v>0.76785714285714501</v>
      </c>
      <c r="Q183">
        <f t="shared" ref="Q183" si="891">F183*P183</f>
        <v>42887207.22214298</v>
      </c>
      <c r="R183">
        <f t="shared" ref="R183" si="892">R184+Q183</f>
        <v>2994328316.0048757</v>
      </c>
      <c r="S183">
        <f t="shared" ref="S183" si="893">R183/100000</f>
        <v>29943.283160048755</v>
      </c>
      <c r="T183">
        <f t="shared" ref="T183" si="894">S183/1000</f>
        <v>29.943283160048754</v>
      </c>
    </row>
    <row r="184" spans="1:20" x14ac:dyDescent="0.25">
      <c r="A184" s="5">
        <v>44409</v>
      </c>
      <c r="B184">
        <v>0.62609999999999999</v>
      </c>
      <c r="C184">
        <v>0.72689999999999999</v>
      </c>
      <c r="D184">
        <v>0.61729999999999996</v>
      </c>
      <c r="E184">
        <v>0.65939999999999999</v>
      </c>
      <c r="F184">
        <v>98071098.5</v>
      </c>
      <c r="G184">
        <v>0.65939999999999999</v>
      </c>
      <c r="L184" t="s">
        <v>8</v>
      </c>
      <c r="M184" t="s">
        <v>8</v>
      </c>
      <c r="N184" t="s">
        <v>8</v>
      </c>
      <c r="P184">
        <f t="shared" ref="P184" si="895">IF(C184=D184,0,((E184-D184)-(C184-E184))/(C184-D184))</f>
        <v>-0.23175182481751799</v>
      </c>
      <c r="Q184">
        <f t="shared" ref="Q184" si="896">F184*P184</f>
        <v>-22728156.03923355</v>
      </c>
      <c r="R184">
        <f t="shared" ref="R184" si="897">R185+Q184</f>
        <v>2951441108.7827325</v>
      </c>
      <c r="S184">
        <f t="shared" ref="S184" si="898">R184/100000</f>
        <v>29514.411087827324</v>
      </c>
      <c r="T184">
        <f t="shared" ref="T184" si="899">S184/1000</f>
        <v>29.514411087827323</v>
      </c>
    </row>
    <row r="185" spans="1:20" x14ac:dyDescent="0.25">
      <c r="A185" s="5">
        <v>44408</v>
      </c>
      <c r="B185">
        <v>0.59470000000000001</v>
      </c>
      <c r="C185">
        <v>0.64</v>
      </c>
      <c r="D185">
        <v>0.58420000000000005</v>
      </c>
      <c r="E185">
        <v>0.62619999999999998</v>
      </c>
      <c r="F185">
        <v>50992663.380000003</v>
      </c>
      <c r="G185">
        <v>0.62619999999999998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0.50537634408601995</v>
      </c>
      <c r="Q185">
        <f t="shared" ref="Q185" si="901">F185*P185</f>
        <v>25770485.794193469</v>
      </c>
      <c r="R185">
        <f t="shared" ref="R185" si="902">R186+Q185</f>
        <v>2974169264.8219662</v>
      </c>
      <c r="S185">
        <f t="shared" ref="S185" si="903">R185/100000</f>
        <v>29741.692648219661</v>
      </c>
      <c r="T185">
        <f t="shared" ref="T185" si="904">S185/1000</f>
        <v>29.741692648219662</v>
      </c>
    </row>
    <row r="186" spans="1:20" x14ac:dyDescent="0.25">
      <c r="A186" s="5">
        <v>44407</v>
      </c>
      <c r="B186">
        <v>0.58479999999999999</v>
      </c>
      <c r="C186">
        <v>0.60270000000000001</v>
      </c>
      <c r="D186">
        <v>0.55369999999999997</v>
      </c>
      <c r="E186">
        <v>0.59509999999999996</v>
      </c>
      <c r="F186">
        <v>39754573.109999999</v>
      </c>
      <c r="G186">
        <v>0.59509999999999996</v>
      </c>
      <c r="L186" t="s">
        <v>7</v>
      </c>
      <c r="M186" t="s">
        <v>8</v>
      </c>
      <c r="N186" t="s">
        <v>7</v>
      </c>
      <c r="P186">
        <f t="shared" ref="P186" si="905">IF(C186=D186,0,((E186-D186)-(C186-E186))/(C186-D186))</f>
        <v>0.68979591836734511</v>
      </c>
      <c r="Q186">
        <f t="shared" ref="Q186" si="906">F186*P186</f>
        <v>27422542.267714214</v>
      </c>
      <c r="R186">
        <f t="shared" ref="R186" si="907">R187+Q186</f>
        <v>2948398779.0277729</v>
      </c>
      <c r="S186">
        <f t="shared" ref="S186" si="908">R186/100000</f>
        <v>29483.98779027773</v>
      </c>
      <c r="T186">
        <f t="shared" ref="T186" si="909">S186/1000</f>
        <v>29.48398779027773</v>
      </c>
    </row>
    <row r="187" spans="1:20" x14ac:dyDescent="0.25">
      <c r="A187" s="5">
        <v>44406</v>
      </c>
      <c r="B187">
        <v>0.56020000000000003</v>
      </c>
      <c r="C187">
        <v>0.63790000000000002</v>
      </c>
      <c r="D187">
        <v>0.54800000000000004</v>
      </c>
      <c r="E187">
        <v>0.5847</v>
      </c>
      <c r="F187">
        <v>65779092.810000002</v>
      </c>
      <c r="G187">
        <v>0.5847</v>
      </c>
      <c r="L187" t="s">
        <v>8</v>
      </c>
      <c r="M187" t="s">
        <v>8</v>
      </c>
      <c r="N187" t="s">
        <v>7</v>
      </c>
      <c r="P187">
        <f t="shared" ref="P187" si="910">IF(C187=D187,0,((E187-D187)-(C187-E187))/(C187-D187))</f>
        <v>-0.18353726362625222</v>
      </c>
      <c r="Q187">
        <f t="shared" ref="Q187" si="911">F187*P187</f>
        <v>-12072914.698164683</v>
      </c>
      <c r="R187">
        <f t="shared" ref="R187" si="912">R188+Q187</f>
        <v>2920976236.7600589</v>
      </c>
      <c r="S187">
        <f t="shared" ref="S187" si="913">R187/100000</f>
        <v>29209.76236760059</v>
      </c>
      <c r="T187">
        <f t="shared" ref="T187" si="914">S187/1000</f>
        <v>29.20976236760059</v>
      </c>
    </row>
    <row r="188" spans="1:20" x14ac:dyDescent="0.25">
      <c r="A188" s="5">
        <v>44405</v>
      </c>
      <c r="B188">
        <v>0.56710000000000005</v>
      </c>
      <c r="C188">
        <v>0.58199999999999996</v>
      </c>
      <c r="D188">
        <v>0.54590000000000005</v>
      </c>
      <c r="E188">
        <v>0.56040000000000001</v>
      </c>
      <c r="F188">
        <v>34250289.039999999</v>
      </c>
      <c r="G188">
        <v>0.56040000000000001</v>
      </c>
      <c r="L188" t="s">
        <v>8</v>
      </c>
      <c r="M188" t="s">
        <v>7</v>
      </c>
      <c r="N188" t="s">
        <v>7</v>
      </c>
      <c r="P188">
        <f t="shared" ref="P188" si="915">IF(C188=D188,0,((E188-D188)-(C188-E188))/(C188-D188))</f>
        <v>-0.19667590027700868</v>
      </c>
      <c r="Q188">
        <f t="shared" ref="Q188" si="916">F188*P188</f>
        <v>-6736206.4316897634</v>
      </c>
      <c r="R188">
        <f t="shared" ref="R188" si="917">R189+Q188</f>
        <v>2933049151.4582233</v>
      </c>
      <c r="S188">
        <f t="shared" ref="S188" si="918">R188/100000</f>
        <v>29330.491514582234</v>
      </c>
      <c r="T188">
        <f t="shared" ref="T188" si="919">S188/1000</f>
        <v>29.330491514582235</v>
      </c>
    </row>
    <row r="189" spans="1:20" x14ac:dyDescent="0.25">
      <c r="A189" s="5">
        <v>44404</v>
      </c>
      <c r="B189">
        <v>0.54979999999999996</v>
      </c>
      <c r="C189">
        <v>0.59189999999999998</v>
      </c>
      <c r="D189">
        <v>0.5242</v>
      </c>
      <c r="E189">
        <v>0.56720000000000004</v>
      </c>
      <c r="F189">
        <v>37680667.359999999</v>
      </c>
      <c r="G189">
        <v>0.56720000000000004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0.27031019202363515</v>
      </c>
      <c r="Q189">
        <f t="shared" ref="Q189" si="921">F189*P189</f>
        <v>10185468.429660322</v>
      </c>
      <c r="R189">
        <f t="shared" ref="R189" si="922">R190+Q189</f>
        <v>2939785357.8899131</v>
      </c>
      <c r="S189">
        <f t="shared" ref="S189" si="923">R189/100000</f>
        <v>29397.853578899132</v>
      </c>
      <c r="T189">
        <f t="shared" ref="T189" si="924">S189/1000</f>
        <v>29.397853578899131</v>
      </c>
    </row>
    <row r="190" spans="1:20" x14ac:dyDescent="0.25">
      <c r="A190" s="5">
        <v>44403</v>
      </c>
      <c r="B190">
        <v>0.54249999999999998</v>
      </c>
      <c r="C190">
        <v>0.61599999999999999</v>
      </c>
      <c r="D190">
        <v>0.53910000000000002</v>
      </c>
      <c r="E190">
        <v>0.55010000000000003</v>
      </c>
      <c r="F190">
        <v>98194058.870000005</v>
      </c>
      <c r="G190">
        <v>0.55010000000000003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-0.71391417425227532</v>
      </c>
      <c r="Q190">
        <f t="shared" ref="Q190" si="926">F190*P190</f>
        <v>-70102130.454655364</v>
      </c>
      <c r="R190">
        <f t="shared" ref="R190" si="927">R191+Q190</f>
        <v>2929599889.4602528</v>
      </c>
      <c r="S190">
        <f t="shared" ref="S190" si="928">R190/100000</f>
        <v>29295.998894602526</v>
      </c>
      <c r="T190">
        <f t="shared" ref="T190" si="929">S190/1000</f>
        <v>29.295998894602526</v>
      </c>
    </row>
    <row r="191" spans="1:20" x14ac:dyDescent="0.25">
      <c r="A191" s="5">
        <v>44402</v>
      </c>
      <c r="B191">
        <v>0.54969999999999997</v>
      </c>
      <c r="C191">
        <v>0.55659999999999998</v>
      </c>
      <c r="D191">
        <v>0.52539999999999998</v>
      </c>
      <c r="E191">
        <v>0.54249999999999998</v>
      </c>
      <c r="F191">
        <v>35903322.780000001</v>
      </c>
      <c r="G191">
        <v>0.54249999999999998</v>
      </c>
      <c r="L191" t="s">
        <v>7</v>
      </c>
      <c r="M191" t="s">
        <v>8</v>
      </c>
      <c r="N191" t="s">
        <v>7</v>
      </c>
      <c r="P191">
        <f t="shared" ref="P191" si="930">IF(C191=D191,0,((E191-D191)-(C191-E191))/(C191-D191))</f>
        <v>9.6153846153846229E-2</v>
      </c>
      <c r="Q191">
        <f t="shared" ref="Q191" si="931">F191*P191</f>
        <v>3452242.575000003</v>
      </c>
      <c r="R191">
        <f t="shared" ref="R191" si="932">R192+Q191</f>
        <v>2999702019.9149079</v>
      </c>
      <c r="S191">
        <f t="shared" ref="S191" si="933">R191/100000</f>
        <v>29997.020199149079</v>
      </c>
      <c r="T191">
        <f t="shared" ref="T191:T197" si="934">S191/1000</f>
        <v>29.99702019914908</v>
      </c>
    </row>
    <row r="192" spans="1:20" x14ac:dyDescent="0.25">
      <c r="A192" s="5">
        <v>44401</v>
      </c>
      <c r="B192">
        <v>0.55689999999999995</v>
      </c>
      <c r="C192">
        <v>0.59370000000000001</v>
      </c>
      <c r="D192">
        <v>0.53500000000000003</v>
      </c>
      <c r="E192">
        <v>0.54969999999999997</v>
      </c>
      <c r="F192">
        <v>51610243.329999998</v>
      </c>
      <c r="G192">
        <v>0.54969999999999997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-0.49914821124361358</v>
      </c>
      <c r="Q192">
        <f t="shared" ref="Q192" si="936">F192*P192</f>
        <v>-25761160.640017137</v>
      </c>
      <c r="R192">
        <f t="shared" ref="R192" si="937">R193+Q192</f>
        <v>2996249777.3399081</v>
      </c>
      <c r="S192">
        <f t="shared" ref="S192" si="938">R192/100000</f>
        <v>29962.497773399082</v>
      </c>
      <c r="T192">
        <f t="shared" si="934"/>
        <v>29.962497773399082</v>
      </c>
    </row>
    <row r="193" spans="1:20" x14ac:dyDescent="0.25">
      <c r="A193" s="5">
        <v>44400</v>
      </c>
      <c r="B193">
        <v>0.5595</v>
      </c>
      <c r="C193">
        <v>0.56850000000000001</v>
      </c>
      <c r="D193">
        <v>0.51729999999999998</v>
      </c>
      <c r="E193">
        <v>0.55669999999999997</v>
      </c>
      <c r="F193">
        <v>27498368.719999999</v>
      </c>
      <c r="G193">
        <v>0.55669999999999997</v>
      </c>
      <c r="L193" t="s">
        <v>7</v>
      </c>
      <c r="M193" t="s">
        <v>8</v>
      </c>
      <c r="N193" t="s">
        <v>7</v>
      </c>
      <c r="P193">
        <f t="shared" ref="P193" si="939">IF(C193=D193,0,((E193-D193)-(C193-E193))/(C193-D193))</f>
        <v>0.53906249999999889</v>
      </c>
      <c r="Q193">
        <f t="shared" ref="Q193" si="940">F193*P193</f>
        <v>14823339.388124969</v>
      </c>
      <c r="R193">
        <f t="shared" ref="R193" si="941">R194+Q193</f>
        <v>3022010937.9799252</v>
      </c>
      <c r="S193">
        <f t="shared" ref="S193" si="942">R193/100000</f>
        <v>30220.109379799251</v>
      </c>
      <c r="T193">
        <f t="shared" si="934"/>
        <v>30.220109379799251</v>
      </c>
    </row>
    <row r="194" spans="1:20" x14ac:dyDescent="0.25">
      <c r="A194" s="5">
        <v>44399</v>
      </c>
      <c r="B194">
        <v>0.55759999999999998</v>
      </c>
      <c r="C194">
        <v>0.56240000000000001</v>
      </c>
      <c r="D194">
        <v>0.52759999999999996</v>
      </c>
      <c r="E194">
        <v>0.55940000000000001</v>
      </c>
      <c r="F194">
        <v>22990176.379999999</v>
      </c>
      <c r="G194">
        <v>0.55940000000000001</v>
      </c>
      <c r="L194" t="s">
        <v>7</v>
      </c>
      <c r="M194" t="s">
        <v>8</v>
      </c>
      <c r="N194" t="s">
        <v>7</v>
      </c>
      <c r="P194">
        <f t="shared" ref="P194" si="943">IF(C194=D194,0,((E194-D194)-(C194-E194))/(C194-D194))</f>
        <v>0.82758620689655182</v>
      </c>
      <c r="Q194">
        <f t="shared" ref="Q194" si="944">F194*P194</f>
        <v>19026352.866206899</v>
      </c>
      <c r="R194">
        <f t="shared" ref="R194" si="945">R195+Q194</f>
        <v>3007187598.5918002</v>
      </c>
      <c r="S194">
        <f t="shared" ref="S194" si="946">R194/100000</f>
        <v>30071.875985918003</v>
      </c>
      <c r="T194">
        <f t="shared" si="934"/>
        <v>30.071875985918002</v>
      </c>
    </row>
    <row r="195" spans="1:20" x14ac:dyDescent="0.25">
      <c r="A195" s="5">
        <v>44398</v>
      </c>
      <c r="B195">
        <v>0.49220000000000003</v>
      </c>
      <c r="C195">
        <v>0.5766</v>
      </c>
      <c r="D195">
        <v>0.47399999999999998</v>
      </c>
      <c r="E195">
        <v>0.5575</v>
      </c>
      <c r="F195">
        <v>30643352.07</v>
      </c>
      <c r="G195">
        <v>0.5575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0.62768031189083817</v>
      </c>
      <c r="Q195">
        <f t="shared" ref="Q195" si="948">F195*P195</f>
        <v>19234228.784678362</v>
      </c>
      <c r="R195">
        <f t="shared" ref="R195" si="949">R196+Q195</f>
        <v>2988161245.7255931</v>
      </c>
      <c r="S195">
        <f t="shared" ref="S195" si="950">R195/100000</f>
        <v>29881.612457255931</v>
      </c>
      <c r="T195">
        <f t="shared" si="934"/>
        <v>29.88161245725593</v>
      </c>
    </row>
    <row r="196" spans="1:20" x14ac:dyDescent="0.25">
      <c r="A196" s="5">
        <v>44397</v>
      </c>
      <c r="B196">
        <v>0.50760000000000005</v>
      </c>
      <c r="C196">
        <v>0.51859999999999995</v>
      </c>
      <c r="D196">
        <v>0.47549999999999998</v>
      </c>
      <c r="E196">
        <v>0.49209999999999998</v>
      </c>
      <c r="F196">
        <v>20906421.420000002</v>
      </c>
      <c r="G196">
        <v>0.49209999999999998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-0.22969837587006894</v>
      </c>
      <c r="Q196">
        <f t="shared" ref="Q196" si="952">F196*P196</f>
        <v>-4802171.0454292214</v>
      </c>
      <c r="R196">
        <f t="shared" ref="R196" si="953">R197+Q196</f>
        <v>2968927016.9409146</v>
      </c>
      <c r="S196">
        <f t="shared" ref="S196" si="954">R196/100000</f>
        <v>29689.270169409145</v>
      </c>
      <c r="T196">
        <f t="shared" si="934"/>
        <v>29.689270169409145</v>
      </c>
    </row>
    <row r="197" spans="1:20" x14ac:dyDescent="0.25">
      <c r="A197" s="5">
        <v>44396</v>
      </c>
      <c r="B197">
        <v>0.55159999999999998</v>
      </c>
      <c r="C197">
        <v>0.55720000000000003</v>
      </c>
      <c r="D197">
        <v>0.50209999999999999</v>
      </c>
      <c r="E197">
        <v>0.50749999999999995</v>
      </c>
      <c r="F197">
        <v>20518109.289999999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-0.80399274047187086</v>
      </c>
      <c r="Q197">
        <f t="shared" ref="Q197" si="956">F197*P197</f>
        <v>-16496410.917368451</v>
      </c>
      <c r="R197">
        <f t="shared" ref="R197" si="957">R198+Q197</f>
        <v>2973729187.9863439</v>
      </c>
      <c r="S197">
        <f t="shared" ref="S197" si="958">R197/100000</f>
        <v>29737.291879863438</v>
      </c>
      <c r="T197">
        <f t="shared" si="934"/>
        <v>29.737291879863438</v>
      </c>
    </row>
    <row r="198" spans="1:20" x14ac:dyDescent="0.25">
      <c r="A198" s="5">
        <v>44395</v>
      </c>
      <c r="B198">
        <v>0.55889999999999995</v>
      </c>
      <c r="C198">
        <v>0.58640000000000003</v>
      </c>
      <c r="D198">
        <v>0.54869999999999997</v>
      </c>
      <c r="E198">
        <v>0.55159999999999998</v>
      </c>
      <c r="F198">
        <v>12680626.279999999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-0.8461538461538457</v>
      </c>
      <c r="Q198">
        <f t="shared" ref="Q198:Q261" si="960">F198*P198</f>
        <v>-10729760.698461533</v>
      </c>
      <c r="R198">
        <f t="shared" ref="R198:R261" si="961">R199+Q198</f>
        <v>2990225598.9037123</v>
      </c>
      <c r="S198">
        <f t="shared" ref="S198:S261" si="962">R198/100000</f>
        <v>29902.255989037123</v>
      </c>
      <c r="T198">
        <f t="shared" ref="T198:T261" si="963">S198/1000</f>
        <v>29.902255989037123</v>
      </c>
    </row>
    <row r="199" spans="1:20" x14ac:dyDescent="0.25">
      <c r="A199" s="5">
        <v>44394</v>
      </c>
      <c r="B199">
        <v>0.58050000000000002</v>
      </c>
      <c r="C199">
        <v>0.58940000000000003</v>
      </c>
      <c r="D199">
        <v>0.55559999999999998</v>
      </c>
      <c r="E199">
        <v>0.55869999999999997</v>
      </c>
      <c r="F199">
        <v>15902465.73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-0.81656804733727884</v>
      </c>
      <c r="Q199">
        <f t="shared" si="960"/>
        <v>-12985445.388994094</v>
      </c>
      <c r="R199">
        <f t="shared" si="961"/>
        <v>3000955359.6021738</v>
      </c>
      <c r="S199">
        <f t="shared" si="962"/>
        <v>30009.553596021738</v>
      </c>
      <c r="T199">
        <f t="shared" si="963"/>
        <v>30.009553596021739</v>
      </c>
    </row>
    <row r="200" spans="1:20" x14ac:dyDescent="0.25">
      <c r="A200" s="5">
        <v>44393</v>
      </c>
      <c r="B200">
        <v>0.60050000000000003</v>
      </c>
      <c r="C200">
        <v>0.61729999999999996</v>
      </c>
      <c r="D200">
        <v>0.57609999999999995</v>
      </c>
      <c r="E200">
        <v>0.58069999999999999</v>
      </c>
      <c r="F200">
        <v>18113424.399999999</v>
      </c>
      <c r="G200">
        <v>0</v>
      </c>
      <c r="L200" t="s">
        <v>7</v>
      </c>
      <c r="M200" t="s">
        <v>7</v>
      </c>
      <c r="N200" t="s">
        <v>8</v>
      </c>
      <c r="P200">
        <f t="shared" si="959"/>
        <v>-0.77669902912621136</v>
      </c>
      <c r="Q200">
        <f t="shared" si="960"/>
        <v>-14068679.145631026</v>
      </c>
      <c r="R200">
        <f t="shared" si="961"/>
        <v>3013940804.991168</v>
      </c>
      <c r="S200">
        <f t="shared" si="962"/>
        <v>30139.408049911679</v>
      </c>
      <c r="T200">
        <f t="shared" si="963"/>
        <v>30.13940804991168</v>
      </c>
    </row>
    <row r="201" spans="1:20" x14ac:dyDescent="0.25">
      <c r="A201" s="5">
        <v>44392</v>
      </c>
      <c r="B201">
        <v>0.63839999999999997</v>
      </c>
      <c r="C201">
        <v>0.65229999999999999</v>
      </c>
      <c r="D201">
        <v>0.59060000000000001</v>
      </c>
      <c r="E201">
        <v>0.60029999999999994</v>
      </c>
      <c r="F201">
        <v>23422613.350000001</v>
      </c>
      <c r="G201">
        <v>0</v>
      </c>
      <c r="L201" t="s">
        <v>8</v>
      </c>
      <c r="M201" t="s">
        <v>7</v>
      </c>
      <c r="N201" t="s">
        <v>8</v>
      </c>
      <c r="P201">
        <f t="shared" si="959"/>
        <v>-0.68557536466774927</v>
      </c>
      <c r="Q201">
        <f t="shared" si="960"/>
        <v>-16057966.688897943</v>
      </c>
      <c r="R201">
        <f t="shared" si="961"/>
        <v>3028009484.1367989</v>
      </c>
      <c r="S201">
        <f t="shared" si="962"/>
        <v>30280.094841367987</v>
      </c>
      <c r="T201">
        <f t="shared" si="963"/>
        <v>30.280094841367987</v>
      </c>
    </row>
    <row r="202" spans="1:20" x14ac:dyDescent="0.25">
      <c r="A202" s="5">
        <v>44391</v>
      </c>
      <c r="B202">
        <v>0.63329999999999997</v>
      </c>
      <c r="C202">
        <v>0.65090000000000003</v>
      </c>
      <c r="D202">
        <v>0.59309999999999996</v>
      </c>
      <c r="E202">
        <v>0.63839999999999997</v>
      </c>
      <c r="F202">
        <v>24086859.57</v>
      </c>
      <c r="G202">
        <v>0</v>
      </c>
      <c r="L202" t="s">
        <v>7</v>
      </c>
      <c r="M202" t="s">
        <v>7</v>
      </c>
      <c r="N202" t="s">
        <v>8</v>
      </c>
      <c r="P202">
        <f t="shared" si="959"/>
        <v>0.56747404844290483</v>
      </c>
      <c r="Q202">
        <f t="shared" si="960"/>
        <v>13668667.714463627</v>
      </c>
      <c r="R202">
        <f t="shared" si="961"/>
        <v>3044067450.8256969</v>
      </c>
      <c r="S202">
        <f t="shared" si="962"/>
        <v>30440.674508256969</v>
      </c>
      <c r="T202">
        <f t="shared" si="963"/>
        <v>30.440674508256969</v>
      </c>
    </row>
    <row r="203" spans="1:20" x14ac:dyDescent="0.25">
      <c r="A203" s="5">
        <v>44390</v>
      </c>
      <c r="B203">
        <v>0.67</v>
      </c>
      <c r="C203">
        <v>0.68389999999999995</v>
      </c>
      <c r="D203">
        <v>0.626</v>
      </c>
      <c r="E203">
        <v>0.6331</v>
      </c>
      <c r="F203">
        <v>23604887.879999999</v>
      </c>
      <c r="G203">
        <v>0</v>
      </c>
      <c r="L203" t="s">
        <v>7</v>
      </c>
      <c r="M203" t="s">
        <v>7</v>
      </c>
      <c r="N203" t="s">
        <v>8</v>
      </c>
      <c r="P203">
        <f t="shared" si="959"/>
        <v>-0.75474956822107075</v>
      </c>
      <c r="Q203">
        <f t="shared" si="960"/>
        <v>-17815778.935336787</v>
      </c>
      <c r="R203">
        <f t="shared" si="961"/>
        <v>3030398783.1112332</v>
      </c>
      <c r="S203">
        <f t="shared" si="962"/>
        <v>30303.987831112332</v>
      </c>
      <c r="T203">
        <f t="shared" si="963"/>
        <v>30.30398783111233</v>
      </c>
    </row>
    <row r="204" spans="1:20" x14ac:dyDescent="0.25">
      <c r="A204" s="5">
        <v>44389</v>
      </c>
      <c r="B204">
        <v>0.71289999999999998</v>
      </c>
      <c r="C204">
        <v>0.74180000000000001</v>
      </c>
      <c r="D204">
        <v>0.66190000000000004</v>
      </c>
      <c r="E204">
        <v>0.67</v>
      </c>
      <c r="F204">
        <v>29534992.870000001</v>
      </c>
      <c r="G204">
        <v>0</v>
      </c>
      <c r="L204" t="s">
        <v>7</v>
      </c>
      <c r="M204" t="s">
        <v>8</v>
      </c>
      <c r="N204" t="s">
        <v>8</v>
      </c>
      <c r="P204">
        <f t="shared" si="959"/>
        <v>-0.79724655819774726</v>
      </c>
      <c r="Q204">
        <f t="shared" si="960"/>
        <v>-23546671.412002508</v>
      </c>
      <c r="R204">
        <f t="shared" si="961"/>
        <v>3048214562.0465698</v>
      </c>
      <c r="S204">
        <f t="shared" si="962"/>
        <v>30482.145620465697</v>
      </c>
      <c r="T204">
        <f t="shared" si="963"/>
        <v>30.482145620465698</v>
      </c>
    </row>
    <row r="205" spans="1:20" x14ac:dyDescent="0.25">
      <c r="A205" s="5">
        <v>44388</v>
      </c>
      <c r="B205">
        <v>0.68659999999999999</v>
      </c>
      <c r="C205">
        <v>0.74980000000000002</v>
      </c>
      <c r="D205">
        <v>0.68220000000000003</v>
      </c>
      <c r="E205">
        <v>0.7127</v>
      </c>
      <c r="F205">
        <v>39506846.869999997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-9.7633136094675305E-2</v>
      </c>
      <c r="Q205">
        <f t="shared" si="960"/>
        <v>-3857177.3571302067</v>
      </c>
      <c r="R205">
        <f t="shared" si="961"/>
        <v>3071761233.4585724</v>
      </c>
      <c r="S205">
        <f t="shared" si="962"/>
        <v>30717.612334585723</v>
      </c>
      <c r="T205">
        <f t="shared" si="963"/>
        <v>30.717612334585723</v>
      </c>
    </row>
    <row r="206" spans="1:20" x14ac:dyDescent="0.25">
      <c r="A206" s="5">
        <v>44387</v>
      </c>
      <c r="B206">
        <v>0.69210000000000005</v>
      </c>
      <c r="C206">
        <v>0.7177</v>
      </c>
      <c r="D206">
        <v>0.64849999999999997</v>
      </c>
      <c r="E206">
        <v>0.6865</v>
      </c>
      <c r="F206">
        <v>26923821.030000001</v>
      </c>
      <c r="G206">
        <v>0</v>
      </c>
      <c r="L206" t="s">
        <v>8</v>
      </c>
      <c r="M206" t="s">
        <v>7</v>
      </c>
      <c r="N206" t="s">
        <v>8</v>
      </c>
      <c r="P206">
        <f t="shared" si="959"/>
        <v>9.8265895953757579E-2</v>
      </c>
      <c r="Q206">
        <f t="shared" si="960"/>
        <v>2645693.3960115705</v>
      </c>
      <c r="R206">
        <f t="shared" si="961"/>
        <v>3075618410.8157024</v>
      </c>
      <c r="S206">
        <f t="shared" si="962"/>
        <v>30756.184108157024</v>
      </c>
      <c r="T206">
        <f t="shared" si="963"/>
        <v>30.756184108157022</v>
      </c>
    </row>
    <row r="207" spans="1:20" x14ac:dyDescent="0.25">
      <c r="A207" s="5">
        <v>44386</v>
      </c>
      <c r="B207">
        <v>0.65559999999999996</v>
      </c>
      <c r="C207">
        <v>0.7036</v>
      </c>
      <c r="D207">
        <v>0.628</v>
      </c>
      <c r="E207">
        <v>0.69199999999999995</v>
      </c>
      <c r="F207">
        <v>37937754.469999999</v>
      </c>
      <c r="G207">
        <v>0</v>
      </c>
      <c r="L207" t="s">
        <v>8</v>
      </c>
      <c r="M207" t="s">
        <v>7</v>
      </c>
      <c r="N207" t="s">
        <v>8</v>
      </c>
      <c r="P207">
        <f t="shared" si="959"/>
        <v>0.6931216931216917</v>
      </c>
      <c r="Q207">
        <f t="shared" si="960"/>
        <v>26295480.611481428</v>
      </c>
      <c r="R207">
        <f t="shared" si="961"/>
        <v>3072972717.4196911</v>
      </c>
      <c r="S207">
        <f t="shared" si="962"/>
        <v>30729.727174196913</v>
      </c>
      <c r="T207">
        <f t="shared" si="963"/>
        <v>30.729727174196913</v>
      </c>
    </row>
    <row r="208" spans="1:20" x14ac:dyDescent="0.25">
      <c r="A208" s="5">
        <v>44385</v>
      </c>
      <c r="B208">
        <v>0.70660000000000001</v>
      </c>
      <c r="C208">
        <v>0.70950000000000002</v>
      </c>
      <c r="D208">
        <v>0.63260000000000005</v>
      </c>
      <c r="E208">
        <v>0.65490000000000004</v>
      </c>
      <c r="F208">
        <v>47384055.049999997</v>
      </c>
      <c r="G208">
        <v>0</v>
      </c>
      <c r="L208" t="s">
        <v>7</v>
      </c>
      <c r="M208" t="s">
        <v>7</v>
      </c>
      <c r="N208" t="s">
        <v>8</v>
      </c>
      <c r="P208">
        <f t="shared" si="959"/>
        <v>-0.42002600780234084</v>
      </c>
      <c r="Q208">
        <f t="shared" si="960"/>
        <v>-19902535.476137847</v>
      </c>
      <c r="R208">
        <f t="shared" si="961"/>
        <v>3046677236.8082094</v>
      </c>
      <c r="S208">
        <f t="shared" si="962"/>
        <v>30466.772368082093</v>
      </c>
      <c r="T208">
        <f t="shared" si="963"/>
        <v>30.466772368082093</v>
      </c>
    </row>
    <row r="209" spans="1:20" x14ac:dyDescent="0.25">
      <c r="A209" s="5">
        <v>44384</v>
      </c>
      <c r="B209">
        <v>0.70179999999999998</v>
      </c>
      <c r="C209">
        <v>0.75690000000000002</v>
      </c>
      <c r="D209">
        <v>0.68740000000000001</v>
      </c>
      <c r="E209">
        <v>0.70630000000000004</v>
      </c>
      <c r="F209">
        <v>56806397.399999999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-0.45611510791366833</v>
      </c>
      <c r="Q209">
        <f t="shared" si="960"/>
        <v>-25910256.080287728</v>
      </c>
      <c r="R209">
        <f t="shared" si="961"/>
        <v>3066579772.2843471</v>
      </c>
      <c r="S209">
        <f t="shared" si="962"/>
        <v>30665.797722843472</v>
      </c>
      <c r="T209">
        <f t="shared" si="963"/>
        <v>30.665797722843472</v>
      </c>
    </row>
    <row r="210" spans="1:20" x14ac:dyDescent="0.25">
      <c r="A210" s="5">
        <v>44383</v>
      </c>
      <c r="B210">
        <v>0.73299999999999998</v>
      </c>
      <c r="C210">
        <v>0.76800000000000002</v>
      </c>
      <c r="D210">
        <v>0.68659999999999999</v>
      </c>
      <c r="E210">
        <v>0.70199999999999996</v>
      </c>
      <c r="F210">
        <v>57398181.43</v>
      </c>
      <c r="G210">
        <v>0</v>
      </c>
      <c r="L210" t="s">
        <v>7</v>
      </c>
      <c r="M210" t="s">
        <v>8</v>
      </c>
      <c r="N210" t="s">
        <v>8</v>
      </c>
      <c r="P210">
        <f t="shared" si="959"/>
        <v>-0.62162162162162249</v>
      </c>
      <c r="Q210">
        <f t="shared" si="960"/>
        <v>-35679950.6186487</v>
      </c>
      <c r="R210">
        <f t="shared" si="961"/>
        <v>3092490028.364635</v>
      </c>
      <c r="S210">
        <f t="shared" si="962"/>
        <v>30924.900283646351</v>
      </c>
      <c r="T210">
        <f t="shared" si="963"/>
        <v>30.924900283646352</v>
      </c>
    </row>
    <row r="211" spans="1:20" x14ac:dyDescent="0.25">
      <c r="A211" s="5">
        <v>44382</v>
      </c>
      <c r="B211">
        <v>0.72509999999999997</v>
      </c>
      <c r="C211">
        <v>0.8</v>
      </c>
      <c r="D211">
        <v>0.69610000000000005</v>
      </c>
      <c r="E211">
        <v>0.73280000000000001</v>
      </c>
      <c r="F211">
        <v>103788700.61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-0.2935514918190576</v>
      </c>
      <c r="Q211">
        <f t="shared" si="960"/>
        <v>-30467327.898027033</v>
      </c>
      <c r="R211">
        <f t="shared" si="961"/>
        <v>3128169978.9832835</v>
      </c>
      <c r="S211">
        <f t="shared" si="962"/>
        <v>31281.699789832834</v>
      </c>
      <c r="T211">
        <f t="shared" si="963"/>
        <v>31.281699789832835</v>
      </c>
    </row>
    <row r="212" spans="1:20" x14ac:dyDescent="0.25">
      <c r="A212" s="5">
        <v>44381</v>
      </c>
      <c r="B212">
        <v>0.67630000000000001</v>
      </c>
      <c r="C212">
        <v>0.75849999999999995</v>
      </c>
      <c r="D212">
        <v>0.64380000000000004</v>
      </c>
      <c r="E212">
        <v>0.72529999999999994</v>
      </c>
      <c r="F212">
        <v>70367640.379999995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0.42109851787271085</v>
      </c>
      <c r="Q212">
        <f t="shared" si="960"/>
        <v>29631709.070217919</v>
      </c>
      <c r="R212">
        <f t="shared" si="961"/>
        <v>3158637306.8813105</v>
      </c>
      <c r="S212">
        <f t="shared" si="962"/>
        <v>31586.373068813104</v>
      </c>
      <c r="T212">
        <f t="shared" si="963"/>
        <v>31.586373068813103</v>
      </c>
    </row>
    <row r="213" spans="1:20" x14ac:dyDescent="0.25">
      <c r="A213" s="5">
        <v>44380</v>
      </c>
      <c r="B213">
        <v>0.60250000000000004</v>
      </c>
      <c r="C213">
        <v>0.68430000000000002</v>
      </c>
      <c r="D213">
        <v>0.5877</v>
      </c>
      <c r="E213">
        <v>0.6764</v>
      </c>
      <c r="F213">
        <v>72364628.269999996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0.83643892339544479</v>
      </c>
      <c r="Q213">
        <f t="shared" si="960"/>
        <v>60528591.762070365</v>
      </c>
      <c r="R213">
        <f t="shared" si="961"/>
        <v>3129005597.8110924</v>
      </c>
      <c r="S213">
        <f t="shared" si="962"/>
        <v>31290.055978110922</v>
      </c>
      <c r="T213">
        <f t="shared" si="963"/>
        <v>31.290055978110921</v>
      </c>
    </row>
    <row r="214" spans="1:20" x14ac:dyDescent="0.25">
      <c r="A214" s="5">
        <v>44379</v>
      </c>
      <c r="B214">
        <v>0.53610000000000002</v>
      </c>
      <c r="C214">
        <v>0.60489999999999999</v>
      </c>
      <c r="D214">
        <v>0.52</v>
      </c>
      <c r="E214">
        <v>0.60289999999999999</v>
      </c>
      <c r="F214">
        <v>27737850.550000001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0.95288574793875147</v>
      </c>
      <c r="Q214">
        <f t="shared" si="960"/>
        <v>26431002.467550058</v>
      </c>
      <c r="R214">
        <f t="shared" si="961"/>
        <v>3068477006.0490222</v>
      </c>
      <c r="S214">
        <f t="shared" si="962"/>
        <v>30684.77006049022</v>
      </c>
      <c r="T214">
        <f t="shared" si="963"/>
        <v>30.684770060490219</v>
      </c>
    </row>
    <row r="215" spans="1:20" x14ac:dyDescent="0.25">
      <c r="A215" s="5">
        <v>44378</v>
      </c>
      <c r="B215">
        <v>0.5917</v>
      </c>
      <c r="C215">
        <v>0.59240000000000004</v>
      </c>
      <c r="D215">
        <v>0.52359999999999995</v>
      </c>
      <c r="E215">
        <v>0.53610000000000002</v>
      </c>
      <c r="F215">
        <v>22007298.91</v>
      </c>
      <c r="G215">
        <v>0</v>
      </c>
      <c r="L215" t="s">
        <v>7</v>
      </c>
      <c r="M215" t="s">
        <v>7</v>
      </c>
      <c r="N215" t="s">
        <v>8</v>
      </c>
      <c r="P215">
        <f t="shared" si="959"/>
        <v>-0.63662790697674265</v>
      </c>
      <c r="Q215">
        <f t="shared" si="960"/>
        <v>-14010460.64328485</v>
      </c>
      <c r="R215">
        <f t="shared" si="961"/>
        <v>3042046003.5814719</v>
      </c>
      <c r="S215">
        <f t="shared" si="962"/>
        <v>30420.460035814718</v>
      </c>
      <c r="T215">
        <f t="shared" si="963"/>
        <v>30.420460035814717</v>
      </c>
    </row>
    <row r="216" spans="1:20" x14ac:dyDescent="0.25">
      <c r="A216" s="5">
        <v>44377</v>
      </c>
      <c r="B216">
        <v>0.5796</v>
      </c>
      <c r="C216">
        <v>0.59230000000000005</v>
      </c>
      <c r="D216">
        <v>0.54790000000000005</v>
      </c>
      <c r="E216">
        <v>0.59140000000000004</v>
      </c>
      <c r="F216">
        <v>28018285.98</v>
      </c>
      <c r="G216">
        <v>0</v>
      </c>
      <c r="L216" t="s">
        <v>7</v>
      </c>
      <c r="M216" t="s">
        <v>8</v>
      </c>
      <c r="N216" t="s">
        <v>8</v>
      </c>
      <c r="P216">
        <f t="shared" si="959"/>
        <v>0.95945945945945887</v>
      </c>
      <c r="Q216">
        <f t="shared" si="960"/>
        <v>26882409.521351334</v>
      </c>
      <c r="R216">
        <f t="shared" si="961"/>
        <v>3056056464.2247567</v>
      </c>
      <c r="S216">
        <f t="shared" si="962"/>
        <v>30560.564642247566</v>
      </c>
      <c r="T216">
        <f t="shared" si="963"/>
        <v>30.560564642247567</v>
      </c>
    </row>
    <row r="217" spans="1:20" x14ac:dyDescent="0.25">
      <c r="A217" s="5">
        <v>44376</v>
      </c>
      <c r="B217">
        <v>0.57150000000000001</v>
      </c>
      <c r="C217">
        <v>0.624</v>
      </c>
      <c r="D217">
        <v>0.5665</v>
      </c>
      <c r="E217">
        <v>0.57950000000000002</v>
      </c>
      <c r="F217">
        <v>40236078.75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-0.54782608695652135</v>
      </c>
      <c r="Q217">
        <f t="shared" si="960"/>
        <v>-22042373.576086942</v>
      </c>
      <c r="R217">
        <f t="shared" si="961"/>
        <v>3029174054.7034054</v>
      </c>
      <c r="S217">
        <f t="shared" si="962"/>
        <v>30291.740547034053</v>
      </c>
      <c r="T217">
        <f t="shared" si="963"/>
        <v>30.291740547034053</v>
      </c>
    </row>
    <row r="218" spans="1:20" x14ac:dyDescent="0.25">
      <c r="A218" s="5">
        <v>44375</v>
      </c>
      <c r="B218">
        <v>0.55840000000000001</v>
      </c>
      <c r="C218">
        <v>0.58909999999999996</v>
      </c>
      <c r="D218">
        <v>0.54220000000000002</v>
      </c>
      <c r="E218">
        <v>0.5716</v>
      </c>
      <c r="F218">
        <v>29838755.140000001</v>
      </c>
      <c r="G218">
        <v>0</v>
      </c>
      <c r="L218" t="s">
        <v>8</v>
      </c>
      <c r="M218" t="s">
        <v>8</v>
      </c>
      <c r="N218" t="s">
        <v>8</v>
      </c>
      <c r="P218">
        <f t="shared" si="959"/>
        <v>0.25373134328358288</v>
      </c>
      <c r="Q218">
        <f t="shared" si="960"/>
        <v>7571027.4235821133</v>
      </c>
      <c r="R218">
        <f t="shared" si="961"/>
        <v>3051216428.2794924</v>
      </c>
      <c r="S218">
        <f t="shared" si="962"/>
        <v>30512.164282794925</v>
      </c>
      <c r="T218">
        <f t="shared" si="963"/>
        <v>30.512164282794924</v>
      </c>
    </row>
    <row r="219" spans="1:20" x14ac:dyDescent="0.25">
      <c r="A219" s="5">
        <v>44374</v>
      </c>
      <c r="B219">
        <v>0.54300000000000004</v>
      </c>
      <c r="C219">
        <v>0.55959999999999999</v>
      </c>
      <c r="D219">
        <v>0.51700000000000002</v>
      </c>
      <c r="E219">
        <v>0.55879999999999996</v>
      </c>
      <c r="F219">
        <v>19005756.25</v>
      </c>
      <c r="G219">
        <v>0</v>
      </c>
      <c r="L219" t="s">
        <v>8</v>
      </c>
      <c r="M219" t="s">
        <v>7</v>
      </c>
      <c r="N219" t="s">
        <v>8</v>
      </c>
      <c r="P219">
        <f t="shared" si="959"/>
        <v>0.96244131455398951</v>
      </c>
      <c r="Q219">
        <f t="shared" si="960"/>
        <v>18291925.029342704</v>
      </c>
      <c r="R219">
        <f t="shared" si="961"/>
        <v>3043645400.8559103</v>
      </c>
      <c r="S219">
        <f t="shared" si="962"/>
        <v>30436.454008559103</v>
      </c>
      <c r="T219">
        <f t="shared" si="963"/>
        <v>30.436454008559103</v>
      </c>
    </row>
    <row r="220" spans="1:20" x14ac:dyDescent="0.25">
      <c r="A220" s="5">
        <v>44373</v>
      </c>
      <c r="B220">
        <v>0.52580000000000005</v>
      </c>
      <c r="C220">
        <v>0.5484</v>
      </c>
      <c r="D220">
        <v>0.50329999999999997</v>
      </c>
      <c r="E220">
        <v>0.54349999999999998</v>
      </c>
      <c r="F220">
        <v>24145810.34</v>
      </c>
      <c r="G220">
        <v>0</v>
      </c>
      <c r="L220" t="s">
        <v>7</v>
      </c>
      <c r="M220" t="s">
        <v>7</v>
      </c>
      <c r="N220" t="s">
        <v>8</v>
      </c>
      <c r="P220">
        <f t="shared" si="959"/>
        <v>0.78270509977826996</v>
      </c>
      <c r="Q220">
        <f t="shared" si="960"/>
        <v>18899048.891396884</v>
      </c>
      <c r="R220">
        <f t="shared" si="961"/>
        <v>3025353475.8265676</v>
      </c>
      <c r="S220">
        <f t="shared" si="962"/>
        <v>30253.534758265676</v>
      </c>
      <c r="T220">
        <f t="shared" si="963"/>
        <v>30.253534758265676</v>
      </c>
    </row>
    <row r="221" spans="1:20" x14ac:dyDescent="0.25">
      <c r="A221" s="5">
        <v>44372</v>
      </c>
      <c r="B221">
        <v>0.60240000000000005</v>
      </c>
      <c r="C221">
        <v>0.62270000000000003</v>
      </c>
      <c r="D221">
        <v>0.52149999999999996</v>
      </c>
      <c r="E221">
        <v>0.52539999999999998</v>
      </c>
      <c r="F221">
        <v>34092990.829999998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-0.92292490118577053</v>
      </c>
      <c r="Q221">
        <f t="shared" si="960"/>
        <v>-31465270.192905128</v>
      </c>
      <c r="R221">
        <f t="shared" si="961"/>
        <v>3006454426.9351707</v>
      </c>
      <c r="S221">
        <f t="shared" si="962"/>
        <v>30064.544269351707</v>
      </c>
      <c r="T221">
        <f t="shared" si="963"/>
        <v>30.064544269351707</v>
      </c>
    </row>
    <row r="222" spans="1:20" x14ac:dyDescent="0.25">
      <c r="A222" s="5">
        <v>44371</v>
      </c>
      <c r="B222">
        <v>0.60140000000000005</v>
      </c>
      <c r="C222">
        <v>0.62549999999999994</v>
      </c>
      <c r="D222">
        <v>0.57569999999999999</v>
      </c>
      <c r="E222">
        <v>0.6018</v>
      </c>
      <c r="F222">
        <v>35722762.539999999</v>
      </c>
      <c r="G222">
        <v>0</v>
      </c>
      <c r="L222" t="s">
        <v>8</v>
      </c>
      <c r="M222" t="s">
        <v>8</v>
      </c>
      <c r="N222" t="s">
        <v>8</v>
      </c>
      <c r="P222">
        <f t="shared" si="959"/>
        <v>4.8192771084338774E-2</v>
      </c>
      <c r="Q222">
        <f t="shared" si="960"/>
        <v>1721578.9175904123</v>
      </c>
      <c r="R222">
        <f t="shared" si="961"/>
        <v>3037919697.1280756</v>
      </c>
      <c r="S222">
        <f t="shared" si="962"/>
        <v>30379.196971280755</v>
      </c>
      <c r="T222">
        <f t="shared" si="963"/>
        <v>30.379196971280756</v>
      </c>
    </row>
    <row r="223" spans="1:20" x14ac:dyDescent="0.25">
      <c r="A223" s="5">
        <v>44370</v>
      </c>
      <c r="B223">
        <v>0.49370000000000003</v>
      </c>
      <c r="C223">
        <v>0.60870000000000002</v>
      </c>
      <c r="D223">
        <v>0.47210000000000002</v>
      </c>
      <c r="E223">
        <v>0.60199999999999998</v>
      </c>
      <c r="F223">
        <v>51869057.350000001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0.90190336749633915</v>
      </c>
      <c r="Q223">
        <f t="shared" si="960"/>
        <v>46780877.492825739</v>
      </c>
      <c r="R223">
        <f t="shared" si="961"/>
        <v>3036198118.210485</v>
      </c>
      <c r="S223">
        <f t="shared" si="962"/>
        <v>30361.98118210485</v>
      </c>
      <c r="T223">
        <f t="shared" si="963"/>
        <v>30.361981182104849</v>
      </c>
    </row>
    <row r="224" spans="1:20" x14ac:dyDescent="0.25">
      <c r="A224" s="5">
        <v>44369</v>
      </c>
      <c r="B224">
        <v>0.50480000000000003</v>
      </c>
      <c r="C224">
        <v>0.55279999999999996</v>
      </c>
      <c r="D224">
        <v>0.42870000000000003</v>
      </c>
      <c r="E224">
        <v>0.49370000000000003</v>
      </c>
      <c r="F224">
        <v>56823107.020000003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4.7542304593070711E-2</v>
      </c>
      <c r="Q224">
        <f t="shared" si="960"/>
        <v>2701501.4618694945</v>
      </c>
      <c r="R224">
        <f t="shared" si="961"/>
        <v>2989417240.7176595</v>
      </c>
      <c r="S224">
        <f t="shared" si="962"/>
        <v>29894.172407176593</v>
      </c>
      <c r="T224">
        <f t="shared" si="963"/>
        <v>29.894172407176594</v>
      </c>
    </row>
    <row r="225" spans="1:20" x14ac:dyDescent="0.25">
      <c r="A225" s="5">
        <v>44368</v>
      </c>
      <c r="B225">
        <v>0.64239999999999997</v>
      </c>
      <c r="C225">
        <v>0.6492</v>
      </c>
      <c r="D225">
        <v>0.5</v>
      </c>
      <c r="E225">
        <v>0.50419999999999998</v>
      </c>
      <c r="F225">
        <v>46794251.119999997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-0.94369973190348555</v>
      </c>
      <c r="Q225">
        <f t="shared" si="960"/>
        <v>-44159722.236568376</v>
      </c>
      <c r="R225">
        <f t="shared" si="961"/>
        <v>2986715739.2557898</v>
      </c>
      <c r="S225">
        <f t="shared" si="962"/>
        <v>29867.157392557896</v>
      </c>
      <c r="T225">
        <f t="shared" si="963"/>
        <v>29.867157392557896</v>
      </c>
    </row>
    <row r="226" spans="1:20" x14ac:dyDescent="0.25">
      <c r="A226" s="5">
        <v>44367</v>
      </c>
      <c r="B226">
        <v>0.60060000000000002</v>
      </c>
      <c r="C226">
        <v>0.65610000000000002</v>
      </c>
      <c r="D226">
        <v>0.56430000000000002</v>
      </c>
      <c r="E226">
        <v>0.64219999999999999</v>
      </c>
      <c r="F226">
        <v>32742004.16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0.69716775599128489</v>
      </c>
      <c r="Q226">
        <f t="shared" si="960"/>
        <v>22826669.566884514</v>
      </c>
      <c r="R226">
        <f t="shared" si="961"/>
        <v>3030875461.4923582</v>
      </c>
      <c r="S226">
        <f t="shared" si="962"/>
        <v>30308.754614923582</v>
      </c>
      <c r="T226">
        <f t="shared" si="963"/>
        <v>30.308754614923583</v>
      </c>
    </row>
    <row r="227" spans="1:20" x14ac:dyDescent="0.25">
      <c r="A227" s="5">
        <v>44366</v>
      </c>
      <c r="B227">
        <v>0.60950000000000004</v>
      </c>
      <c r="C227">
        <v>0.62939999999999996</v>
      </c>
      <c r="D227">
        <v>0.59009999999999996</v>
      </c>
      <c r="E227">
        <v>0.60029999999999994</v>
      </c>
      <c r="F227">
        <v>26259526.690000001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-0.48091603053435183</v>
      </c>
      <c r="Q227">
        <f t="shared" si="960"/>
        <v>-12628627.339465668</v>
      </c>
      <c r="R227">
        <f t="shared" si="961"/>
        <v>3008048791.9254737</v>
      </c>
      <c r="S227">
        <f t="shared" si="962"/>
        <v>30080.487919254738</v>
      </c>
      <c r="T227">
        <f t="shared" si="963"/>
        <v>30.080487919254736</v>
      </c>
    </row>
    <row r="228" spans="1:20" x14ac:dyDescent="0.25">
      <c r="A228" s="5">
        <v>44365</v>
      </c>
      <c r="B228">
        <v>0.68600000000000005</v>
      </c>
      <c r="C228">
        <v>0.69210000000000005</v>
      </c>
      <c r="D228">
        <v>0.59160000000000001</v>
      </c>
      <c r="E228">
        <v>0.6099</v>
      </c>
      <c r="F228">
        <v>33283185.309999999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-0.63582089552238852</v>
      </c>
      <c r="Q228">
        <f t="shared" si="960"/>
        <v>-21162144.689641807</v>
      </c>
      <c r="R228">
        <f t="shared" si="961"/>
        <v>3020677419.2649393</v>
      </c>
      <c r="S228">
        <f t="shared" si="962"/>
        <v>30206.774192649395</v>
      </c>
      <c r="T228">
        <f t="shared" si="963"/>
        <v>30.206774192649394</v>
      </c>
    </row>
    <row r="229" spans="1:20" x14ac:dyDescent="0.25">
      <c r="A229" s="5">
        <v>44364</v>
      </c>
      <c r="B229">
        <v>0.68100000000000005</v>
      </c>
      <c r="C229">
        <v>0.7208</v>
      </c>
      <c r="D229">
        <v>0.65780000000000005</v>
      </c>
      <c r="E229">
        <v>0.68610000000000004</v>
      </c>
      <c r="F229">
        <v>27114715.170000002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-0.10158730158730106</v>
      </c>
      <c r="Q229">
        <f t="shared" si="960"/>
        <v>-2754510.7474285574</v>
      </c>
      <c r="R229">
        <f t="shared" si="961"/>
        <v>3041839563.9545813</v>
      </c>
      <c r="S229">
        <f t="shared" si="962"/>
        <v>30418.395639545812</v>
      </c>
      <c r="T229">
        <f t="shared" si="963"/>
        <v>30.41839563954581</v>
      </c>
    </row>
    <row r="230" spans="1:20" x14ac:dyDescent="0.25">
      <c r="A230" s="5">
        <v>44363</v>
      </c>
      <c r="B230">
        <v>0.71640000000000004</v>
      </c>
      <c r="C230">
        <v>0.79420000000000002</v>
      </c>
      <c r="D230">
        <v>0.66849999999999998</v>
      </c>
      <c r="E230">
        <v>0.68140000000000001</v>
      </c>
      <c r="F230">
        <v>53480006.140000001</v>
      </c>
      <c r="G230">
        <v>0</v>
      </c>
      <c r="L230" t="s">
        <v>8</v>
      </c>
      <c r="M230" t="s">
        <v>8</v>
      </c>
      <c r="N230" t="s">
        <v>7</v>
      </c>
      <c r="P230">
        <f t="shared" si="959"/>
        <v>-0.79474940334128852</v>
      </c>
      <c r="Q230">
        <f t="shared" si="960"/>
        <v>-42503202.970453449</v>
      </c>
      <c r="R230">
        <f t="shared" si="961"/>
        <v>3044594074.7020097</v>
      </c>
      <c r="S230">
        <f t="shared" si="962"/>
        <v>30445.940747020097</v>
      </c>
      <c r="T230">
        <f t="shared" si="963"/>
        <v>30.445940747020096</v>
      </c>
    </row>
    <row r="231" spans="1:20" x14ac:dyDescent="0.25">
      <c r="A231" s="5">
        <v>44362</v>
      </c>
      <c r="B231">
        <v>0.68269999999999997</v>
      </c>
      <c r="C231">
        <v>0.7611</v>
      </c>
      <c r="D231">
        <v>0.67400000000000004</v>
      </c>
      <c r="E231">
        <v>0.7167</v>
      </c>
      <c r="F231">
        <v>49055899.759999998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-1.9517795637199031E-2</v>
      </c>
      <c r="Q231">
        <f t="shared" si="960"/>
        <v>-957463.02631460095</v>
      </c>
      <c r="R231">
        <f t="shared" si="961"/>
        <v>3087097277.6724629</v>
      </c>
      <c r="S231">
        <f t="shared" si="962"/>
        <v>30870.97277672463</v>
      </c>
      <c r="T231">
        <f t="shared" si="963"/>
        <v>30.870972776724628</v>
      </c>
    </row>
    <row r="232" spans="1:20" x14ac:dyDescent="0.25">
      <c r="A232" s="5">
        <v>44361</v>
      </c>
      <c r="B232">
        <v>0.68430000000000002</v>
      </c>
      <c r="C232">
        <v>0.72399999999999998</v>
      </c>
      <c r="D232">
        <v>0.66200000000000003</v>
      </c>
      <c r="E232">
        <v>0.68289999999999995</v>
      </c>
      <c r="F232">
        <v>46529457.399999999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-0.32580645161290522</v>
      </c>
      <c r="Q232">
        <f t="shared" si="960"/>
        <v>-15159597.410967834</v>
      </c>
      <c r="R232">
        <f t="shared" si="961"/>
        <v>3088054740.6987777</v>
      </c>
      <c r="S232">
        <f t="shared" si="962"/>
        <v>30880.547406987778</v>
      </c>
      <c r="T232">
        <f t="shared" si="963"/>
        <v>30.880547406987777</v>
      </c>
    </row>
    <row r="233" spans="1:20" x14ac:dyDescent="0.25">
      <c r="A233" s="5">
        <v>44360</v>
      </c>
      <c r="B233">
        <v>0.6028</v>
      </c>
      <c r="C233">
        <v>0.69410000000000005</v>
      </c>
      <c r="D233">
        <v>0.58189999999999997</v>
      </c>
      <c r="E233">
        <v>0.68479999999999996</v>
      </c>
      <c r="F233">
        <v>29618752.829999998</v>
      </c>
      <c r="G233">
        <v>0</v>
      </c>
      <c r="L233" t="s">
        <v>8</v>
      </c>
      <c r="M233" t="s">
        <v>8</v>
      </c>
      <c r="N233" t="s">
        <v>7</v>
      </c>
      <c r="P233">
        <f t="shared" si="959"/>
        <v>0.83422459893047984</v>
      </c>
      <c r="Q233">
        <f t="shared" si="960"/>
        <v>24708692.200427763</v>
      </c>
      <c r="R233">
        <f t="shared" si="961"/>
        <v>3103214338.1097455</v>
      </c>
      <c r="S233">
        <f t="shared" si="962"/>
        <v>31032.143381097456</v>
      </c>
      <c r="T233">
        <f t="shared" si="963"/>
        <v>31.032143381097455</v>
      </c>
    </row>
    <row r="234" spans="1:20" x14ac:dyDescent="0.25">
      <c r="A234" s="5">
        <v>44359</v>
      </c>
      <c r="B234">
        <v>0.61319999999999997</v>
      </c>
      <c r="C234">
        <v>0.62539999999999996</v>
      </c>
      <c r="D234">
        <v>0.56740000000000002</v>
      </c>
      <c r="E234">
        <v>0.60250000000000004</v>
      </c>
      <c r="F234">
        <v>23575551.82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0.21034482758620884</v>
      </c>
      <c r="Q234">
        <f t="shared" si="960"/>
        <v>4958995.3828276321</v>
      </c>
      <c r="R234">
        <f t="shared" si="961"/>
        <v>3078505645.909318</v>
      </c>
      <c r="S234">
        <f t="shared" si="962"/>
        <v>30785.056459093179</v>
      </c>
      <c r="T234">
        <f t="shared" si="963"/>
        <v>30.78505645909318</v>
      </c>
    </row>
    <row r="235" spans="1:20" x14ac:dyDescent="0.25">
      <c r="A235" s="5">
        <v>44358</v>
      </c>
      <c r="B235">
        <v>0.66410000000000002</v>
      </c>
      <c r="C235">
        <v>0.68149999999999999</v>
      </c>
      <c r="D235">
        <v>0.60289999999999999</v>
      </c>
      <c r="E235">
        <v>0.61360000000000003</v>
      </c>
      <c r="F235">
        <v>29068812.219999999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-0.72773536895674196</v>
      </c>
      <c r="Q235">
        <f t="shared" si="960"/>
        <v>-21154402.786055949</v>
      </c>
      <c r="R235">
        <f t="shared" si="961"/>
        <v>3073546650.5264902</v>
      </c>
      <c r="S235">
        <f t="shared" si="962"/>
        <v>30735.466505264903</v>
      </c>
      <c r="T235">
        <f t="shared" si="963"/>
        <v>30.735466505264903</v>
      </c>
    </row>
    <row r="236" spans="1:20" x14ac:dyDescent="0.25">
      <c r="A236" s="5">
        <v>44357</v>
      </c>
      <c r="B236">
        <v>0.70899999999999996</v>
      </c>
      <c r="C236">
        <v>0.71689999999999998</v>
      </c>
      <c r="D236">
        <v>0.65400000000000003</v>
      </c>
      <c r="E236">
        <v>0.66420000000000001</v>
      </c>
      <c r="F236">
        <v>30501308.210000001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-0.67567567567567588</v>
      </c>
      <c r="Q236">
        <f t="shared" si="960"/>
        <v>-20608992.03378379</v>
      </c>
      <c r="R236">
        <f t="shared" si="961"/>
        <v>3094701053.3125463</v>
      </c>
      <c r="S236">
        <f t="shared" si="962"/>
        <v>30947.010533125464</v>
      </c>
      <c r="T236">
        <f t="shared" si="963"/>
        <v>30.947010533125464</v>
      </c>
    </row>
    <row r="237" spans="1:20" x14ac:dyDescent="0.25">
      <c r="A237" s="5">
        <v>44356</v>
      </c>
      <c r="B237">
        <v>0.6925</v>
      </c>
      <c r="C237">
        <v>0.73150000000000004</v>
      </c>
      <c r="D237">
        <v>0.65600000000000003</v>
      </c>
      <c r="E237">
        <v>0.70920000000000005</v>
      </c>
      <c r="F237">
        <v>47158776.670000002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0.40927152317880838</v>
      </c>
      <c r="Q237">
        <f t="shared" si="960"/>
        <v>19300744.358980153</v>
      </c>
      <c r="R237">
        <f t="shared" si="961"/>
        <v>3115310045.3463302</v>
      </c>
      <c r="S237">
        <f t="shared" si="962"/>
        <v>31153.100453463303</v>
      </c>
      <c r="T237">
        <f t="shared" si="963"/>
        <v>31.153100453463303</v>
      </c>
    </row>
    <row r="238" spans="1:20" x14ac:dyDescent="0.25">
      <c r="A238" s="5">
        <v>44355</v>
      </c>
      <c r="B238">
        <v>0.69940000000000002</v>
      </c>
      <c r="C238">
        <v>0.71579999999999999</v>
      </c>
      <c r="D238">
        <v>0.62739999999999996</v>
      </c>
      <c r="E238">
        <v>0.69240000000000002</v>
      </c>
      <c r="F238">
        <v>45729324.840000004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0.47058823529411836</v>
      </c>
      <c r="Q238">
        <f t="shared" si="960"/>
        <v>21519682.277647093</v>
      </c>
      <c r="R238">
        <f t="shared" si="961"/>
        <v>3096009300.98735</v>
      </c>
      <c r="S238">
        <f t="shared" si="962"/>
        <v>30960.093009873501</v>
      </c>
      <c r="T238">
        <f t="shared" si="963"/>
        <v>30.9600930098735</v>
      </c>
    </row>
    <row r="239" spans="1:20" x14ac:dyDescent="0.25">
      <c r="A239" s="5">
        <v>44354</v>
      </c>
      <c r="B239">
        <v>0.78400000000000003</v>
      </c>
      <c r="C239">
        <v>0.83989999999999998</v>
      </c>
      <c r="D239">
        <v>0.68830000000000002</v>
      </c>
      <c r="E239">
        <v>0.69869999999999999</v>
      </c>
      <c r="F239">
        <v>47555207.68</v>
      </c>
      <c r="G239">
        <v>0</v>
      </c>
      <c r="L239" t="s">
        <v>8</v>
      </c>
      <c r="M239" t="s">
        <v>7</v>
      </c>
      <c r="N239" t="s">
        <v>8</v>
      </c>
      <c r="P239">
        <f t="shared" si="959"/>
        <v>-0.86279683377308747</v>
      </c>
      <c r="Q239">
        <f t="shared" si="960"/>
        <v>-41030482.615725614</v>
      </c>
      <c r="R239">
        <f t="shared" si="961"/>
        <v>3074489618.709703</v>
      </c>
      <c r="S239">
        <f t="shared" si="962"/>
        <v>30744.896187097031</v>
      </c>
      <c r="T239">
        <f t="shared" si="963"/>
        <v>30.74489618709703</v>
      </c>
    </row>
    <row r="240" spans="1:20" x14ac:dyDescent="0.25">
      <c r="A240" s="5">
        <v>44353</v>
      </c>
      <c r="B240">
        <v>0.75360000000000005</v>
      </c>
      <c r="C240">
        <v>0.81979999999999997</v>
      </c>
      <c r="D240">
        <v>0.74690000000000001</v>
      </c>
      <c r="E240">
        <v>0.78380000000000005</v>
      </c>
      <c r="F240">
        <v>25424301.329999998</v>
      </c>
      <c r="G240">
        <v>0</v>
      </c>
      <c r="L240" t="s">
        <v>8</v>
      </c>
      <c r="M240" t="s">
        <v>7</v>
      </c>
      <c r="N240" t="s">
        <v>8</v>
      </c>
      <c r="P240">
        <f t="shared" si="959"/>
        <v>1.2345679012347371E-2</v>
      </c>
      <c r="Q240">
        <f t="shared" si="960"/>
        <v>313880.26333337632</v>
      </c>
      <c r="R240">
        <f t="shared" si="961"/>
        <v>3115520101.3254285</v>
      </c>
      <c r="S240">
        <f t="shared" si="962"/>
        <v>31155.201013254285</v>
      </c>
      <c r="T240">
        <f t="shared" si="963"/>
        <v>31.155201013254285</v>
      </c>
    </row>
    <row r="241" spans="1:20" x14ac:dyDescent="0.25">
      <c r="A241" s="5">
        <v>44352</v>
      </c>
      <c r="B241">
        <v>0.80220000000000002</v>
      </c>
      <c r="C241">
        <v>0.84889999999999999</v>
      </c>
      <c r="D241">
        <v>0.72270000000000001</v>
      </c>
      <c r="E241">
        <v>0.75439999999999996</v>
      </c>
      <c r="F241">
        <v>41125906.740000002</v>
      </c>
      <c r="G241">
        <v>0</v>
      </c>
      <c r="L241" t="s">
        <v>7</v>
      </c>
      <c r="M241" t="s">
        <v>7</v>
      </c>
      <c r="N241" t="s">
        <v>8</v>
      </c>
      <c r="P241">
        <f t="shared" si="959"/>
        <v>-0.49762282091917659</v>
      </c>
      <c r="Q241">
        <f t="shared" si="960"/>
        <v>-20465189.724817779</v>
      </c>
      <c r="R241">
        <f t="shared" si="961"/>
        <v>3115206221.0620952</v>
      </c>
      <c r="S241">
        <f t="shared" si="962"/>
        <v>31152.062210620952</v>
      </c>
      <c r="T241">
        <f t="shared" si="963"/>
        <v>31.152062210620951</v>
      </c>
    </row>
    <row r="242" spans="1:20" x14ac:dyDescent="0.25">
      <c r="A242" s="5">
        <v>44351</v>
      </c>
      <c r="B242">
        <v>0.95120000000000005</v>
      </c>
      <c r="C242">
        <v>0.95630000000000004</v>
      </c>
      <c r="D242">
        <v>0.75</v>
      </c>
      <c r="E242">
        <v>0.80159999999999998</v>
      </c>
      <c r="F242">
        <v>68055940.769999996</v>
      </c>
      <c r="G242">
        <v>0</v>
      </c>
      <c r="L242" t="s">
        <v>7</v>
      </c>
      <c r="M242" t="s">
        <v>7</v>
      </c>
      <c r="N242" t="s">
        <v>8</v>
      </c>
      <c r="P242">
        <f t="shared" si="959"/>
        <v>-0.49975763451284566</v>
      </c>
      <c r="Q242">
        <f t="shared" si="960"/>
        <v>-34011475.973761529</v>
      </c>
      <c r="R242">
        <f t="shared" si="961"/>
        <v>3135671410.7869129</v>
      </c>
      <c r="S242">
        <f t="shared" si="962"/>
        <v>31356.714107869127</v>
      </c>
      <c r="T242">
        <f t="shared" si="963"/>
        <v>31.356714107869127</v>
      </c>
    </row>
    <row r="243" spans="1:20" x14ac:dyDescent="0.25">
      <c r="A243" s="5">
        <v>44350</v>
      </c>
      <c r="B243">
        <v>0.76680000000000004</v>
      </c>
      <c r="C243">
        <v>0.97</v>
      </c>
      <c r="D243">
        <v>0.75339999999999996</v>
      </c>
      <c r="E243">
        <v>0.95240000000000002</v>
      </c>
      <c r="F243">
        <v>69373601.75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0.83748845798707339</v>
      </c>
      <c r="Q243">
        <f t="shared" si="960"/>
        <v>58099590.754616834</v>
      </c>
      <c r="R243">
        <f t="shared" si="961"/>
        <v>3169682886.7606745</v>
      </c>
      <c r="S243">
        <f t="shared" si="962"/>
        <v>31696.828867606746</v>
      </c>
      <c r="T243">
        <f t="shared" si="963"/>
        <v>31.696828867606747</v>
      </c>
    </row>
    <row r="244" spans="1:20" x14ac:dyDescent="0.25">
      <c r="A244" s="5">
        <v>44349</v>
      </c>
      <c r="B244">
        <v>0.76770000000000005</v>
      </c>
      <c r="C244">
        <v>0.81379999999999997</v>
      </c>
      <c r="D244">
        <v>0.73670000000000002</v>
      </c>
      <c r="E244">
        <v>0.76639999999999997</v>
      </c>
      <c r="F244">
        <v>26715052.5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-0.22957198443579846</v>
      </c>
      <c r="Q244">
        <f t="shared" si="960"/>
        <v>-6133027.6167315384</v>
      </c>
      <c r="R244">
        <f t="shared" si="961"/>
        <v>3111583296.0060577</v>
      </c>
      <c r="S244">
        <f t="shared" si="962"/>
        <v>31115.832960060576</v>
      </c>
      <c r="T244">
        <f t="shared" si="963"/>
        <v>31.115832960060576</v>
      </c>
    </row>
    <row r="245" spans="1:20" x14ac:dyDescent="0.25">
      <c r="A245" s="5">
        <v>44348</v>
      </c>
      <c r="B245">
        <v>0.79369999999999996</v>
      </c>
      <c r="C245">
        <v>0.82940000000000003</v>
      </c>
      <c r="D245">
        <v>0.74790000000000001</v>
      </c>
      <c r="E245">
        <v>0.76839999999999997</v>
      </c>
      <c r="F245">
        <v>34925276.32</v>
      </c>
      <c r="G245">
        <v>0</v>
      </c>
      <c r="L245" t="s">
        <v>7</v>
      </c>
      <c r="M245" t="s">
        <v>8</v>
      </c>
      <c r="N245" t="s">
        <v>8</v>
      </c>
      <c r="P245">
        <f t="shared" si="959"/>
        <v>-0.49693251533742433</v>
      </c>
      <c r="Q245">
        <f t="shared" si="960"/>
        <v>-17355505.410552181</v>
      </c>
      <c r="R245">
        <f t="shared" si="961"/>
        <v>3117716323.6227894</v>
      </c>
      <c r="S245">
        <f t="shared" si="962"/>
        <v>31177.163236227894</v>
      </c>
      <c r="T245">
        <f t="shared" si="963"/>
        <v>31.177163236227894</v>
      </c>
    </row>
    <row r="246" spans="1:20" x14ac:dyDescent="0.25">
      <c r="A246" s="5">
        <v>44347</v>
      </c>
      <c r="B246">
        <v>0.73929999999999996</v>
      </c>
      <c r="C246">
        <v>0.85740000000000005</v>
      </c>
      <c r="D246">
        <v>0.69069999999999998</v>
      </c>
      <c r="E246">
        <v>0.79330000000000001</v>
      </c>
      <c r="F246">
        <v>69588340.739999995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0.23095380923815215</v>
      </c>
      <c r="Q246">
        <f t="shared" si="960"/>
        <v>16071692.372465489</v>
      </c>
      <c r="R246">
        <f t="shared" si="961"/>
        <v>3135071829.0333414</v>
      </c>
      <c r="S246">
        <f t="shared" si="962"/>
        <v>31350.718290333414</v>
      </c>
      <c r="T246">
        <f t="shared" si="963"/>
        <v>31.350718290333415</v>
      </c>
    </row>
    <row r="247" spans="1:20" x14ac:dyDescent="0.25">
      <c r="A247" s="5">
        <v>44346</v>
      </c>
      <c r="B247">
        <v>0.62870000000000004</v>
      </c>
      <c r="C247">
        <v>0.77339999999999998</v>
      </c>
      <c r="D247">
        <v>0.58779999999999999</v>
      </c>
      <c r="E247">
        <v>0.73939999999999995</v>
      </c>
      <c r="F247">
        <v>37143839.020000003</v>
      </c>
      <c r="G247">
        <v>0</v>
      </c>
      <c r="L247" t="s">
        <v>8</v>
      </c>
      <c r="M247" t="s">
        <v>8</v>
      </c>
      <c r="N247" t="s">
        <v>7</v>
      </c>
      <c r="P247">
        <f t="shared" si="959"/>
        <v>0.63362068965517204</v>
      </c>
      <c r="Q247">
        <f t="shared" si="960"/>
        <v>23535104.896293093</v>
      </c>
      <c r="R247">
        <f t="shared" si="961"/>
        <v>3119000136.6608758</v>
      </c>
      <c r="S247">
        <f t="shared" si="962"/>
        <v>31190.001366608758</v>
      </c>
      <c r="T247">
        <f t="shared" si="963"/>
        <v>31.190001366608758</v>
      </c>
    </row>
    <row r="248" spans="1:20" x14ac:dyDescent="0.25">
      <c r="A248" s="5">
        <v>44345</v>
      </c>
      <c r="B248">
        <v>0.65139999999999998</v>
      </c>
      <c r="C248">
        <v>0.7</v>
      </c>
      <c r="D248">
        <v>0.59409999999999996</v>
      </c>
      <c r="E248">
        <v>0.62829999999999997</v>
      </c>
      <c r="F248">
        <v>29935454.890000001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-0.35410764872521228</v>
      </c>
      <c r="Q248">
        <f t="shared" si="960"/>
        <v>-10600373.544617558</v>
      </c>
      <c r="R248">
        <f t="shared" si="961"/>
        <v>3095465031.7645826</v>
      </c>
      <c r="S248">
        <f t="shared" si="962"/>
        <v>30954.650317645825</v>
      </c>
      <c r="T248">
        <f t="shared" si="963"/>
        <v>30.954650317645825</v>
      </c>
    </row>
    <row r="249" spans="1:20" x14ac:dyDescent="0.25">
      <c r="A249" s="5">
        <v>44344</v>
      </c>
      <c r="B249">
        <v>0.77129999999999999</v>
      </c>
      <c r="C249">
        <v>0.79259999999999997</v>
      </c>
      <c r="D249">
        <v>0.61729999999999996</v>
      </c>
      <c r="E249">
        <v>0.65129999999999999</v>
      </c>
      <c r="F249">
        <v>54945418.68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-0.61209355390758668</v>
      </c>
      <c r="Q249">
        <f t="shared" si="960"/>
        <v>-33631736.590781502</v>
      </c>
      <c r="R249">
        <f t="shared" si="961"/>
        <v>3106065405.3092003</v>
      </c>
      <c r="S249">
        <f t="shared" si="962"/>
        <v>31060.654053092003</v>
      </c>
      <c r="T249">
        <f t="shared" si="963"/>
        <v>31.060654053092001</v>
      </c>
    </row>
    <row r="250" spans="1:20" x14ac:dyDescent="0.25">
      <c r="A250" s="5">
        <v>44343</v>
      </c>
      <c r="B250">
        <v>0.84309999999999996</v>
      </c>
      <c r="C250">
        <v>0.84399999999999997</v>
      </c>
      <c r="D250">
        <v>0.74829999999999997</v>
      </c>
      <c r="E250">
        <v>0.77110000000000001</v>
      </c>
      <c r="F250">
        <v>42473205.93</v>
      </c>
      <c r="G250">
        <v>0</v>
      </c>
      <c r="L250" t="s">
        <v>7</v>
      </c>
      <c r="M250" t="s">
        <v>8</v>
      </c>
      <c r="N250" t="s">
        <v>8</v>
      </c>
      <c r="P250">
        <f t="shared" si="959"/>
        <v>-0.52351097178683303</v>
      </c>
      <c r="Q250">
        <f t="shared" si="960"/>
        <v>-22235189.31131658</v>
      </c>
      <c r="R250">
        <f t="shared" si="961"/>
        <v>3139697141.899982</v>
      </c>
      <c r="S250">
        <f t="shared" si="962"/>
        <v>31396.971418999819</v>
      </c>
      <c r="T250">
        <f t="shared" si="963"/>
        <v>31.396971418999819</v>
      </c>
    </row>
    <row r="251" spans="1:20" x14ac:dyDescent="0.25">
      <c r="A251" s="5">
        <v>44342</v>
      </c>
      <c r="B251">
        <v>0.82279999999999998</v>
      </c>
      <c r="C251">
        <v>0.88390000000000002</v>
      </c>
      <c r="D251">
        <v>0.79659999999999997</v>
      </c>
      <c r="E251">
        <v>0.84289999999999998</v>
      </c>
      <c r="F251">
        <v>45592230.659999996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6.0710194730812926E-2</v>
      </c>
      <c r="Q251">
        <f t="shared" si="960"/>
        <v>2767913.2015807391</v>
      </c>
      <c r="R251">
        <f t="shared" si="961"/>
        <v>3161932331.2112985</v>
      </c>
      <c r="S251">
        <f t="shared" si="962"/>
        <v>31619.323312112985</v>
      </c>
      <c r="T251">
        <f t="shared" si="963"/>
        <v>31.619323312112986</v>
      </c>
    </row>
    <row r="252" spans="1:20" x14ac:dyDescent="0.25">
      <c r="A252" s="5">
        <v>44341</v>
      </c>
      <c r="B252">
        <v>0.82530000000000003</v>
      </c>
      <c r="C252">
        <v>0.86560000000000004</v>
      </c>
      <c r="D252">
        <v>0.72170000000000001</v>
      </c>
      <c r="E252">
        <v>0.82299999999999995</v>
      </c>
      <c r="F252">
        <v>43799971.109999999</v>
      </c>
      <c r="G252">
        <v>0</v>
      </c>
      <c r="L252" t="s">
        <v>7</v>
      </c>
      <c r="M252" t="s">
        <v>8</v>
      </c>
      <c r="N252" t="s">
        <v>8</v>
      </c>
      <c r="P252">
        <f t="shared" si="959"/>
        <v>0.40792216817234089</v>
      </c>
      <c r="Q252">
        <f t="shared" si="960"/>
        <v>17866979.181077093</v>
      </c>
      <c r="R252">
        <f t="shared" si="961"/>
        <v>3159164418.0097179</v>
      </c>
      <c r="S252">
        <f t="shared" si="962"/>
        <v>31591.644180097181</v>
      </c>
      <c r="T252">
        <f t="shared" si="963"/>
        <v>31.59164418009718</v>
      </c>
    </row>
    <row r="253" spans="1:20" x14ac:dyDescent="0.25">
      <c r="A253" s="5">
        <v>44340</v>
      </c>
      <c r="B253">
        <v>0.65039999999999998</v>
      </c>
      <c r="C253">
        <v>0.86009999999999998</v>
      </c>
      <c r="D253">
        <v>0.62860000000000005</v>
      </c>
      <c r="E253">
        <v>0.82540000000000002</v>
      </c>
      <c r="F253">
        <v>64921575.509999998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0.70021598272138263</v>
      </c>
      <c r="Q253">
        <f t="shared" si="960"/>
        <v>45459124.7955551</v>
      </c>
      <c r="R253">
        <f t="shared" si="961"/>
        <v>3141297438.8286409</v>
      </c>
      <c r="S253">
        <f t="shared" si="962"/>
        <v>31412.97438828641</v>
      </c>
      <c r="T253">
        <f t="shared" si="963"/>
        <v>31.412974388286411</v>
      </c>
    </row>
    <row r="254" spans="1:20" x14ac:dyDescent="0.25">
      <c r="A254" s="5">
        <v>44339</v>
      </c>
      <c r="B254">
        <v>0.78990000000000005</v>
      </c>
      <c r="C254">
        <v>0.80720000000000003</v>
      </c>
      <c r="D254">
        <v>0.5</v>
      </c>
      <c r="E254">
        <v>0.65069999999999995</v>
      </c>
      <c r="F254">
        <v>77518114.810000002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-1.8880208333333783E-2</v>
      </c>
      <c r="Q254">
        <f t="shared" si="960"/>
        <v>-1463558.157220087</v>
      </c>
      <c r="R254">
        <f t="shared" si="961"/>
        <v>3095838314.0330858</v>
      </c>
      <c r="S254">
        <f t="shared" si="962"/>
        <v>30958.383140330858</v>
      </c>
      <c r="T254">
        <f t="shared" si="963"/>
        <v>30.958383140330859</v>
      </c>
    </row>
    <row r="255" spans="1:20" x14ac:dyDescent="0.25">
      <c r="A255" s="5">
        <v>44338</v>
      </c>
      <c r="B255">
        <v>0.8518</v>
      </c>
      <c r="C255">
        <v>0.87260000000000004</v>
      </c>
      <c r="D255">
        <v>0.75900000000000001</v>
      </c>
      <c r="E255">
        <v>0.78959999999999997</v>
      </c>
      <c r="F255">
        <v>42721297.020000003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-0.4612676056338037</v>
      </c>
      <c r="Q255">
        <f t="shared" si="960"/>
        <v>-19705950.385985956</v>
      </c>
      <c r="R255">
        <f t="shared" si="961"/>
        <v>3097301872.1903057</v>
      </c>
      <c r="S255">
        <f t="shared" si="962"/>
        <v>30973.018721903056</v>
      </c>
      <c r="T255">
        <f t="shared" si="963"/>
        <v>30.973018721903056</v>
      </c>
    </row>
    <row r="256" spans="1:20" x14ac:dyDescent="0.25">
      <c r="A256" s="5">
        <v>44337</v>
      </c>
      <c r="B256">
        <v>0.90539999999999998</v>
      </c>
      <c r="C256">
        <v>0.95779999999999998</v>
      </c>
      <c r="D256">
        <v>0.74209999999999998</v>
      </c>
      <c r="E256">
        <v>0.85289999999999999</v>
      </c>
      <c r="F256">
        <v>66246652.200000003</v>
      </c>
      <c r="G256">
        <v>0</v>
      </c>
      <c r="L256" t="s">
        <v>7</v>
      </c>
      <c r="M256" t="s">
        <v>7</v>
      </c>
      <c r="N256" t="s">
        <v>8</v>
      </c>
      <c r="P256">
        <f t="shared" si="959"/>
        <v>2.7352804821511433E-2</v>
      </c>
      <c r="Q256">
        <f t="shared" si="960"/>
        <v>1812031.7477051511</v>
      </c>
      <c r="R256">
        <f t="shared" si="961"/>
        <v>3117007822.5762916</v>
      </c>
      <c r="S256">
        <f t="shared" si="962"/>
        <v>31170.078225762914</v>
      </c>
      <c r="T256">
        <f t="shared" si="963"/>
        <v>31.170078225762914</v>
      </c>
    </row>
    <row r="257" spans="1:20" x14ac:dyDescent="0.25">
      <c r="A257" s="5">
        <v>44336</v>
      </c>
      <c r="B257">
        <v>0.74580000000000002</v>
      </c>
      <c r="C257">
        <v>0.97699999999999998</v>
      </c>
      <c r="D257">
        <v>0.69</v>
      </c>
      <c r="E257">
        <v>0.9073</v>
      </c>
      <c r="F257">
        <v>70409609.489999995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0.51428571428571446</v>
      </c>
      <c r="Q257">
        <f t="shared" si="960"/>
        <v>36210656.309142865</v>
      </c>
      <c r="R257">
        <f t="shared" si="961"/>
        <v>3115195790.8285866</v>
      </c>
      <c r="S257">
        <f t="shared" si="962"/>
        <v>31151.957908285865</v>
      </c>
      <c r="T257">
        <f t="shared" si="963"/>
        <v>31.151957908285866</v>
      </c>
    </row>
    <row r="258" spans="1:20" x14ac:dyDescent="0.25">
      <c r="A258" s="5">
        <v>44335</v>
      </c>
      <c r="B258">
        <v>1.2245999999999999</v>
      </c>
      <c r="C258">
        <v>1.2458</v>
      </c>
      <c r="D258">
        <v>0.52500000000000002</v>
      </c>
      <c r="E258">
        <v>0.74580000000000002</v>
      </c>
      <c r="F258">
        <v>126942239.25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-0.38734739178690347</v>
      </c>
      <c r="Q258">
        <f t="shared" si="960"/>
        <v>-49170745.281076588</v>
      </c>
      <c r="R258">
        <f t="shared" si="961"/>
        <v>3078985134.5194435</v>
      </c>
      <c r="S258">
        <f t="shared" si="962"/>
        <v>30789.851345194435</v>
      </c>
      <c r="T258">
        <f t="shared" si="963"/>
        <v>30.789851345194435</v>
      </c>
    </row>
    <row r="259" spans="1:20" x14ac:dyDescent="0.25">
      <c r="A259" s="5">
        <v>44334</v>
      </c>
      <c r="B259">
        <v>1.1942999999999999</v>
      </c>
      <c r="C259">
        <v>1.2705</v>
      </c>
      <c r="D259">
        <v>1.1767000000000001</v>
      </c>
      <c r="E259">
        <v>1.2244999999999999</v>
      </c>
      <c r="F259">
        <v>29556670.77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1.9189765458420084E-2</v>
      </c>
      <c r="Q259">
        <f t="shared" si="960"/>
        <v>567185.57980804052</v>
      </c>
      <c r="R259">
        <f t="shared" si="961"/>
        <v>3128155879.8005199</v>
      </c>
      <c r="S259">
        <f t="shared" si="962"/>
        <v>31281.558798005201</v>
      </c>
      <c r="T259">
        <f t="shared" si="963"/>
        <v>31.2815587980052</v>
      </c>
    </row>
    <row r="260" spans="1:20" x14ac:dyDescent="0.25">
      <c r="A260" s="5">
        <v>44333</v>
      </c>
      <c r="B260">
        <v>1.2986</v>
      </c>
      <c r="C260">
        <v>1.3002</v>
      </c>
      <c r="D260">
        <v>1.167</v>
      </c>
      <c r="E260">
        <v>1.1957</v>
      </c>
      <c r="F260">
        <v>48240338.170000002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-0.56906906906906984</v>
      </c>
      <c r="Q260">
        <f t="shared" si="960"/>
        <v>-27452084.333979018</v>
      </c>
      <c r="R260">
        <f t="shared" si="961"/>
        <v>3127588694.2207117</v>
      </c>
      <c r="S260">
        <f t="shared" si="962"/>
        <v>31275.886942207118</v>
      </c>
      <c r="T260">
        <f t="shared" si="963"/>
        <v>31.275886942207119</v>
      </c>
    </row>
    <row r="261" spans="1:20" x14ac:dyDescent="0.25">
      <c r="A261" s="5">
        <v>44332</v>
      </c>
      <c r="B261">
        <v>1.3168</v>
      </c>
      <c r="C261">
        <v>1.4207000000000001</v>
      </c>
      <c r="D261">
        <v>1.2295</v>
      </c>
      <c r="E261">
        <v>1.2989999999999999</v>
      </c>
      <c r="F261">
        <v>34620678.090000004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-0.27301255230125648</v>
      </c>
      <c r="Q261">
        <f t="shared" si="960"/>
        <v>-9451879.6877510902</v>
      </c>
      <c r="R261">
        <f t="shared" si="961"/>
        <v>3155040778.5546908</v>
      </c>
      <c r="S261">
        <f t="shared" si="962"/>
        <v>31550.407785546908</v>
      </c>
      <c r="T261">
        <f t="shared" si="963"/>
        <v>31.550407785546909</v>
      </c>
    </row>
    <row r="262" spans="1:20" x14ac:dyDescent="0.25">
      <c r="A262" s="5">
        <v>44331</v>
      </c>
      <c r="B262">
        <v>1.3648</v>
      </c>
      <c r="C262">
        <v>1.5271999999999999</v>
      </c>
      <c r="D262">
        <v>1.3009999999999999</v>
      </c>
      <c r="E262">
        <v>1.3168</v>
      </c>
      <c r="F262">
        <v>56592202.850000001</v>
      </c>
      <c r="G262">
        <v>0</v>
      </c>
      <c r="L262" t="s">
        <v>8</v>
      </c>
      <c r="M262" t="s">
        <v>8</v>
      </c>
      <c r="N262" t="s">
        <v>7</v>
      </c>
      <c r="P262">
        <f t="shared" ref="P262:P325" si="964">IF(C262=D262,0,((E262-D262)-(C262-E262))/(C262-D262))</f>
        <v>-0.86030061892130827</v>
      </c>
      <c r="Q262">
        <f t="shared" ref="Q262:Q325" si="965">F262*P262</f>
        <v>-48686307.137975223</v>
      </c>
      <c r="R262">
        <f t="shared" ref="R262:R325" si="966">R263+Q262</f>
        <v>3164492658.2424421</v>
      </c>
      <c r="S262">
        <f t="shared" ref="S262:S325" si="967">R262/100000</f>
        <v>31644.926582424421</v>
      </c>
      <c r="T262">
        <f t="shared" ref="T262:T325" si="968">S262/1000</f>
        <v>31.644926582424421</v>
      </c>
    </row>
    <row r="263" spans="1:20" x14ac:dyDescent="0.25">
      <c r="A263" s="5">
        <v>44330</v>
      </c>
      <c r="B263">
        <v>1.3134999999999999</v>
      </c>
      <c r="C263">
        <v>1.3972</v>
      </c>
      <c r="D263">
        <v>1.284</v>
      </c>
      <c r="E263">
        <v>1.3647</v>
      </c>
      <c r="F263">
        <v>25878636.68</v>
      </c>
      <c r="G263">
        <v>0</v>
      </c>
      <c r="L263" t="s">
        <v>8</v>
      </c>
      <c r="M263" t="s">
        <v>7</v>
      </c>
      <c r="N263" t="s">
        <v>7</v>
      </c>
      <c r="P263">
        <f t="shared" si="964"/>
        <v>0.42579505300353387</v>
      </c>
      <c r="Q263">
        <f t="shared" si="965"/>
        <v>11018995.476819796</v>
      </c>
      <c r="R263">
        <f t="shared" si="966"/>
        <v>3213178965.3804173</v>
      </c>
      <c r="S263">
        <f t="shared" si="967"/>
        <v>32131.789653804175</v>
      </c>
      <c r="T263">
        <f t="shared" si="968"/>
        <v>32.131789653804177</v>
      </c>
    </row>
    <row r="264" spans="1:20" x14ac:dyDescent="0.25">
      <c r="A264" s="5">
        <v>44329</v>
      </c>
      <c r="B264">
        <v>1.2867</v>
      </c>
      <c r="C264">
        <v>1.3789</v>
      </c>
      <c r="D264">
        <v>1.2096</v>
      </c>
      <c r="E264">
        <v>1.3136000000000001</v>
      </c>
      <c r="F264">
        <v>40342263.880000003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0.22858830478440742</v>
      </c>
      <c r="Q264">
        <f t="shared" si="965"/>
        <v>9221769.7114944309</v>
      </c>
      <c r="R264">
        <f t="shared" si="966"/>
        <v>3202159969.9035974</v>
      </c>
      <c r="S264">
        <f t="shared" si="967"/>
        <v>32021.599699035974</v>
      </c>
      <c r="T264">
        <f t="shared" si="968"/>
        <v>32.021599699035974</v>
      </c>
    </row>
    <row r="265" spans="1:20" x14ac:dyDescent="0.25">
      <c r="A265" s="5">
        <v>44328</v>
      </c>
      <c r="B265">
        <v>1.4599</v>
      </c>
      <c r="C265">
        <v>1.54</v>
      </c>
      <c r="D265">
        <v>1.26</v>
      </c>
      <c r="E265">
        <v>1.2851999999999999</v>
      </c>
      <c r="F265">
        <v>48574255.310000002</v>
      </c>
      <c r="G265">
        <v>0</v>
      </c>
      <c r="L265" t="s">
        <v>8</v>
      </c>
      <c r="M265" t="s">
        <v>7</v>
      </c>
      <c r="N265" t="s">
        <v>8</v>
      </c>
      <c r="P265">
        <f t="shared" si="964"/>
        <v>-0.82000000000000084</v>
      </c>
      <c r="Q265">
        <f t="shared" si="965"/>
        <v>-39830889.354200043</v>
      </c>
      <c r="R265">
        <f t="shared" si="966"/>
        <v>3192938200.1921029</v>
      </c>
      <c r="S265">
        <f t="shared" si="967"/>
        <v>31929.382001921029</v>
      </c>
      <c r="T265">
        <f t="shared" si="968"/>
        <v>31.929382001921027</v>
      </c>
    </row>
    <row r="266" spans="1:20" x14ac:dyDescent="0.25">
      <c r="A266" s="5">
        <v>44327</v>
      </c>
      <c r="B266">
        <v>1.3815999999999999</v>
      </c>
      <c r="C266">
        <v>1.48</v>
      </c>
      <c r="D266">
        <v>1.3185</v>
      </c>
      <c r="E266">
        <v>1.46</v>
      </c>
      <c r="F266">
        <v>29940832.260000002</v>
      </c>
      <c r="G266">
        <v>0</v>
      </c>
      <c r="L266" t="s">
        <v>8</v>
      </c>
      <c r="M266" t="s">
        <v>8</v>
      </c>
      <c r="N266" t="s">
        <v>8</v>
      </c>
      <c r="P266">
        <f t="shared" si="964"/>
        <v>0.7523219814241483</v>
      </c>
      <c r="Q266">
        <f t="shared" si="965"/>
        <v>22525146.251331262</v>
      </c>
      <c r="R266">
        <f t="shared" si="966"/>
        <v>3232769089.5463028</v>
      </c>
      <c r="S266">
        <f t="shared" si="967"/>
        <v>32327.690895463027</v>
      </c>
      <c r="T266">
        <f t="shared" si="968"/>
        <v>32.327690895463029</v>
      </c>
    </row>
    <row r="267" spans="1:20" x14ac:dyDescent="0.25">
      <c r="A267" s="5">
        <v>44326</v>
      </c>
      <c r="B267">
        <v>1.5344</v>
      </c>
      <c r="C267">
        <v>1.5767</v>
      </c>
      <c r="D267">
        <v>1.2582</v>
      </c>
      <c r="E267">
        <v>1.3815</v>
      </c>
      <c r="F267">
        <v>47463422.509999998</v>
      </c>
      <c r="G267">
        <v>0</v>
      </c>
      <c r="L267" t="s">
        <v>7</v>
      </c>
      <c r="M267" t="s">
        <v>7</v>
      </c>
      <c r="N267" t="s">
        <v>8</v>
      </c>
      <c r="P267">
        <f t="shared" si="964"/>
        <v>-0.22574568288854027</v>
      </c>
      <c r="Q267">
        <f t="shared" si="965"/>
        <v>-10714662.726747263</v>
      </c>
      <c r="R267">
        <f t="shared" si="966"/>
        <v>3210243943.2949715</v>
      </c>
      <c r="S267">
        <f t="shared" si="967"/>
        <v>32102.439432949715</v>
      </c>
      <c r="T267">
        <f t="shared" si="968"/>
        <v>32.102439432949716</v>
      </c>
    </row>
    <row r="268" spans="1:20" x14ac:dyDescent="0.25">
      <c r="A268" s="5">
        <v>44325</v>
      </c>
      <c r="B268">
        <v>1.5871999999999999</v>
      </c>
      <c r="C268">
        <v>1.6005</v>
      </c>
      <c r="D268">
        <v>1.4756</v>
      </c>
      <c r="E268">
        <v>1.5347</v>
      </c>
      <c r="F268">
        <v>28846622.030000001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-5.3642914331466368E-2</v>
      </c>
      <c r="Q268">
        <f t="shared" si="965"/>
        <v>-1547416.8743074804</v>
      </c>
      <c r="R268">
        <f t="shared" si="966"/>
        <v>3220958606.0217185</v>
      </c>
      <c r="S268">
        <f t="shared" si="967"/>
        <v>32209.586060217185</v>
      </c>
      <c r="T268">
        <f t="shared" si="968"/>
        <v>32.209586060217184</v>
      </c>
    </row>
    <row r="269" spans="1:20" x14ac:dyDescent="0.25">
      <c r="A269" s="5">
        <v>44324</v>
      </c>
      <c r="B269">
        <v>1.6007</v>
      </c>
      <c r="C269">
        <v>1.6551</v>
      </c>
      <c r="D269">
        <v>1.5586</v>
      </c>
      <c r="E269">
        <v>1.5871</v>
      </c>
      <c r="F269">
        <v>30870846.789999999</v>
      </c>
      <c r="G269">
        <v>0</v>
      </c>
      <c r="L269" t="s">
        <v>7</v>
      </c>
      <c r="M269" t="s">
        <v>8</v>
      </c>
      <c r="N269" t="s">
        <v>8</v>
      </c>
      <c r="P269">
        <f t="shared" si="964"/>
        <v>-0.40932642487046711</v>
      </c>
      <c r="Q269">
        <f t="shared" si="965"/>
        <v>-12636253.349274635</v>
      </c>
      <c r="R269">
        <f t="shared" si="966"/>
        <v>3222506022.8960261</v>
      </c>
      <c r="S269">
        <f t="shared" si="967"/>
        <v>32225.060228960261</v>
      </c>
      <c r="T269">
        <f t="shared" si="968"/>
        <v>32.22506022896026</v>
      </c>
    </row>
    <row r="270" spans="1:20" x14ac:dyDescent="0.25">
      <c r="A270" s="5">
        <v>44323</v>
      </c>
      <c r="B270">
        <v>1.6054999999999999</v>
      </c>
      <c r="C270">
        <v>1.7246999999999999</v>
      </c>
      <c r="D270">
        <v>1.5209999999999999</v>
      </c>
      <c r="E270">
        <v>1.6011</v>
      </c>
      <c r="F270">
        <v>59687655.969999999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-0.21354933726067685</v>
      </c>
      <c r="Q270">
        <f t="shared" si="965"/>
        <v>-12746259.375036782</v>
      </c>
      <c r="R270">
        <f t="shared" si="966"/>
        <v>3235142276.2453008</v>
      </c>
      <c r="S270">
        <f t="shared" si="967"/>
        <v>32351.422762453007</v>
      </c>
      <c r="T270">
        <f t="shared" si="968"/>
        <v>32.351422762453005</v>
      </c>
    </row>
    <row r="271" spans="1:20" x14ac:dyDescent="0.25">
      <c r="A271" s="5">
        <v>44322</v>
      </c>
      <c r="B271">
        <v>1.5348999999999999</v>
      </c>
      <c r="C271">
        <v>1.6685000000000001</v>
      </c>
      <c r="D271">
        <v>1.5068999999999999</v>
      </c>
      <c r="E271">
        <v>1.6054999999999999</v>
      </c>
      <c r="F271">
        <v>58918383.600000001</v>
      </c>
      <c r="G271">
        <v>0</v>
      </c>
      <c r="L271" t="s">
        <v>8</v>
      </c>
      <c r="M271" t="s">
        <v>7</v>
      </c>
      <c r="N271" t="s">
        <v>8</v>
      </c>
      <c r="P271">
        <f t="shared" si="964"/>
        <v>0.22029702970296913</v>
      </c>
      <c r="Q271">
        <f t="shared" si="965"/>
        <v>12979544.90198013</v>
      </c>
      <c r="R271">
        <f t="shared" si="966"/>
        <v>3247888535.6203375</v>
      </c>
      <c r="S271">
        <f t="shared" si="967"/>
        <v>32478.885356203376</v>
      </c>
      <c r="T271">
        <f t="shared" si="968"/>
        <v>32.478885356203378</v>
      </c>
    </row>
    <row r="272" spans="1:20" x14ac:dyDescent="0.25">
      <c r="A272" s="5">
        <v>44321</v>
      </c>
      <c r="B272">
        <v>1.4319</v>
      </c>
      <c r="C272">
        <v>1.5542</v>
      </c>
      <c r="D272">
        <v>1.42</v>
      </c>
      <c r="E272">
        <v>1.5343</v>
      </c>
      <c r="F272">
        <v>26288602.809999999</v>
      </c>
      <c r="G272">
        <v>0</v>
      </c>
      <c r="L272" t="s">
        <v>8</v>
      </c>
      <c r="M272" t="s">
        <v>7</v>
      </c>
      <c r="N272" t="s">
        <v>8</v>
      </c>
      <c r="P272">
        <f t="shared" si="964"/>
        <v>0.70342771982116226</v>
      </c>
      <c r="Q272">
        <f t="shared" si="965"/>
        <v>18492131.931922499</v>
      </c>
      <c r="R272">
        <f t="shared" si="966"/>
        <v>3234908990.7183576</v>
      </c>
      <c r="S272">
        <f t="shared" si="967"/>
        <v>32349.089907183574</v>
      </c>
      <c r="T272">
        <f t="shared" si="968"/>
        <v>32.349089907183576</v>
      </c>
    </row>
    <row r="273" spans="1:20" x14ac:dyDescent="0.25">
      <c r="A273" s="5">
        <v>44320</v>
      </c>
      <c r="B273">
        <v>1.59</v>
      </c>
      <c r="C273">
        <v>1.5913999999999999</v>
      </c>
      <c r="D273">
        <v>1.4145000000000001</v>
      </c>
      <c r="E273">
        <v>1.4319999999999999</v>
      </c>
      <c r="F273">
        <v>34405468.189999998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-0.80214810627473299</v>
      </c>
      <c r="Q273">
        <f t="shared" si="965"/>
        <v>-27598281.154104061</v>
      </c>
      <c r="R273">
        <f t="shared" si="966"/>
        <v>3216416858.7864351</v>
      </c>
      <c r="S273">
        <f t="shared" si="967"/>
        <v>32164.168587864351</v>
      </c>
      <c r="T273">
        <f t="shared" si="968"/>
        <v>32.164168587864353</v>
      </c>
    </row>
    <row r="274" spans="1:20" x14ac:dyDescent="0.25">
      <c r="A274" s="5">
        <v>44319</v>
      </c>
      <c r="B274">
        <v>1.6103000000000001</v>
      </c>
      <c r="C274">
        <v>1.6828000000000001</v>
      </c>
      <c r="D274">
        <v>1.5705</v>
      </c>
      <c r="E274">
        <v>1.59</v>
      </c>
      <c r="F274">
        <v>28509267.899999999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-0.65271593944790629</v>
      </c>
      <c r="Q274">
        <f t="shared" si="965"/>
        <v>-18608453.580320537</v>
      </c>
      <c r="R274">
        <f t="shared" si="966"/>
        <v>3244015139.9405394</v>
      </c>
      <c r="S274">
        <f t="shared" si="967"/>
        <v>32440.151399405393</v>
      </c>
      <c r="T274">
        <f t="shared" si="968"/>
        <v>32.440151399405394</v>
      </c>
    </row>
    <row r="275" spans="1:20" x14ac:dyDescent="0.25">
      <c r="A275" s="5">
        <v>44318</v>
      </c>
      <c r="B275">
        <v>1.6752</v>
      </c>
      <c r="C275">
        <v>1.6888000000000001</v>
      </c>
      <c r="D275">
        <v>1.54</v>
      </c>
      <c r="E275">
        <v>1.6113</v>
      </c>
      <c r="F275">
        <v>28268850.59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-4.1666666666668031E-2</v>
      </c>
      <c r="Q275">
        <f t="shared" si="965"/>
        <v>-1177868.7745833718</v>
      </c>
      <c r="R275">
        <f t="shared" si="966"/>
        <v>3262623593.5208597</v>
      </c>
      <c r="S275">
        <f t="shared" si="967"/>
        <v>32626.235935208599</v>
      </c>
      <c r="T275">
        <f t="shared" si="968"/>
        <v>32.626235935208598</v>
      </c>
    </row>
    <row r="276" spans="1:20" x14ac:dyDescent="0.25">
      <c r="A276" s="5">
        <v>44317</v>
      </c>
      <c r="B276">
        <v>1.5590999999999999</v>
      </c>
      <c r="C276">
        <v>1.73</v>
      </c>
      <c r="D276">
        <v>1.5509999999999999</v>
      </c>
      <c r="E276">
        <v>1.6759999999999999</v>
      </c>
      <c r="F276">
        <v>49824244.219999999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0.39664804469273707</v>
      </c>
      <c r="Q276">
        <f t="shared" si="965"/>
        <v>19762689.048156407</v>
      </c>
      <c r="R276">
        <f t="shared" si="966"/>
        <v>3263801462.2954431</v>
      </c>
      <c r="S276">
        <f t="shared" si="967"/>
        <v>32638.01462295443</v>
      </c>
      <c r="T276">
        <f t="shared" si="968"/>
        <v>32.638014622954429</v>
      </c>
    </row>
    <row r="277" spans="1:20" x14ac:dyDescent="0.25">
      <c r="A277" s="5">
        <v>44316</v>
      </c>
      <c r="B277">
        <v>1.4977</v>
      </c>
      <c r="C277">
        <v>1.5974999999999999</v>
      </c>
      <c r="D277">
        <v>1.4708000000000001</v>
      </c>
      <c r="E277">
        <v>1.5593999999999999</v>
      </c>
      <c r="F277">
        <v>28155753.07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0.39857932123125367</v>
      </c>
      <c r="Q277">
        <f t="shared" si="965"/>
        <v>11222300.947395386</v>
      </c>
      <c r="R277">
        <f t="shared" si="966"/>
        <v>3244038773.2472868</v>
      </c>
      <c r="S277">
        <f t="shared" si="967"/>
        <v>32440.387732472867</v>
      </c>
      <c r="T277">
        <f t="shared" si="968"/>
        <v>32.440387732472864</v>
      </c>
    </row>
    <row r="278" spans="1:20" x14ac:dyDescent="0.25">
      <c r="A278" s="5">
        <v>44315</v>
      </c>
      <c r="B278">
        <v>1.534</v>
      </c>
      <c r="C278">
        <v>1.5680000000000001</v>
      </c>
      <c r="D278">
        <v>1.44</v>
      </c>
      <c r="E278">
        <v>1.4974000000000001</v>
      </c>
      <c r="F278">
        <v>25841277.16</v>
      </c>
      <c r="G278">
        <v>0</v>
      </c>
      <c r="L278" t="s">
        <v>7</v>
      </c>
      <c r="M278" t="s">
        <v>8</v>
      </c>
      <c r="N278" t="s">
        <v>8</v>
      </c>
      <c r="P278">
        <f t="shared" si="964"/>
        <v>-0.10312499999999895</v>
      </c>
      <c r="Q278">
        <f t="shared" si="965"/>
        <v>-2664881.7071249732</v>
      </c>
      <c r="R278">
        <f t="shared" si="966"/>
        <v>3232816472.2998915</v>
      </c>
      <c r="S278">
        <f t="shared" si="967"/>
        <v>32328.164722998914</v>
      </c>
      <c r="T278">
        <f t="shared" si="968"/>
        <v>32.328164722998913</v>
      </c>
    </row>
    <row r="279" spans="1:20" x14ac:dyDescent="0.25">
      <c r="A279" s="5">
        <v>44314</v>
      </c>
      <c r="B279">
        <v>1.56</v>
      </c>
      <c r="C279">
        <v>1.63</v>
      </c>
      <c r="D279">
        <v>1.47</v>
      </c>
      <c r="E279">
        <v>1.5336000000000001</v>
      </c>
      <c r="F279">
        <v>29757675.32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-0.20499999999999835</v>
      </c>
      <c r="Q279">
        <f t="shared" si="965"/>
        <v>-6100323.440599951</v>
      </c>
      <c r="R279">
        <f t="shared" si="966"/>
        <v>3235481354.0070167</v>
      </c>
      <c r="S279">
        <f t="shared" si="967"/>
        <v>32354.813540070165</v>
      </c>
      <c r="T279">
        <f t="shared" si="968"/>
        <v>32.354813540070168</v>
      </c>
    </row>
    <row r="280" spans="1:20" x14ac:dyDescent="0.25">
      <c r="A280" s="5">
        <v>44313</v>
      </c>
      <c r="B280">
        <v>1.4597</v>
      </c>
      <c r="C280">
        <v>1.5781000000000001</v>
      </c>
      <c r="D280">
        <v>1.4455</v>
      </c>
      <c r="E280">
        <v>1.5598000000000001</v>
      </c>
      <c r="F280">
        <v>25813439.489999998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0.723981900452489</v>
      </c>
      <c r="Q280">
        <f t="shared" si="965"/>
        <v>18688462.979185529</v>
      </c>
      <c r="R280">
        <f t="shared" si="966"/>
        <v>3241581677.4476166</v>
      </c>
      <c r="S280">
        <f t="shared" si="967"/>
        <v>32415.816774476167</v>
      </c>
      <c r="T280">
        <f t="shared" si="968"/>
        <v>32.41581677447617</v>
      </c>
    </row>
    <row r="281" spans="1:20" x14ac:dyDescent="0.25">
      <c r="A281" s="5">
        <v>44312</v>
      </c>
      <c r="B281">
        <v>1.2591000000000001</v>
      </c>
      <c r="C281">
        <v>1.5065999999999999</v>
      </c>
      <c r="D281">
        <v>1.2476</v>
      </c>
      <c r="E281">
        <v>1.4597</v>
      </c>
      <c r="F281">
        <v>28462702.039999999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0.6378378378378381</v>
      </c>
      <c r="Q281">
        <f t="shared" si="965"/>
        <v>18154588.328216221</v>
      </c>
      <c r="R281">
        <f t="shared" si="966"/>
        <v>3222893214.468431</v>
      </c>
      <c r="S281">
        <f t="shared" si="967"/>
        <v>32228.93214468431</v>
      </c>
      <c r="T281">
        <f t="shared" si="968"/>
        <v>32.228932144684308</v>
      </c>
    </row>
    <row r="282" spans="1:20" x14ac:dyDescent="0.25">
      <c r="A282" s="5">
        <v>44311</v>
      </c>
      <c r="B282">
        <v>1.2555099999999999</v>
      </c>
      <c r="C282">
        <v>1.3579000000000001</v>
      </c>
      <c r="D282">
        <v>1.1900999999999999</v>
      </c>
      <c r="E282">
        <v>1.26</v>
      </c>
      <c r="F282">
        <v>17039184.550000001</v>
      </c>
      <c r="G282">
        <v>0</v>
      </c>
      <c r="L282" t="s">
        <v>7</v>
      </c>
      <c r="M282" t="s">
        <v>8</v>
      </c>
      <c r="N282" t="s">
        <v>7</v>
      </c>
      <c r="P282">
        <f t="shared" si="964"/>
        <v>-0.16686531585220499</v>
      </c>
      <c r="Q282">
        <f t="shared" si="965"/>
        <v>-2843248.9117997615</v>
      </c>
      <c r="R282">
        <f t="shared" si="966"/>
        <v>3204738626.1402149</v>
      </c>
      <c r="S282">
        <f t="shared" si="967"/>
        <v>32047.386261402149</v>
      </c>
      <c r="T282">
        <f t="shared" si="968"/>
        <v>32.047386261402146</v>
      </c>
    </row>
    <row r="283" spans="1:20" x14ac:dyDescent="0.25">
      <c r="A283" s="5">
        <v>44310</v>
      </c>
      <c r="B283">
        <v>1.3955200000000001</v>
      </c>
      <c r="C283">
        <v>1.3996200000000001</v>
      </c>
      <c r="D283">
        <v>1.2455799999999999</v>
      </c>
      <c r="E283">
        <v>1.25502</v>
      </c>
      <c r="F283">
        <v>21120748.800000001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-0.87743443261490384</v>
      </c>
      <c r="Q283">
        <f t="shared" si="965"/>
        <v>-18532072.239729911</v>
      </c>
      <c r="R283">
        <f t="shared" si="966"/>
        <v>3207581875.0520148</v>
      </c>
      <c r="S283">
        <f t="shared" si="967"/>
        <v>32075.818750520149</v>
      </c>
      <c r="T283">
        <f t="shared" si="968"/>
        <v>32.075818750520149</v>
      </c>
    </row>
    <row r="284" spans="1:20" x14ac:dyDescent="0.25">
      <c r="A284" s="5">
        <v>44309</v>
      </c>
      <c r="B284">
        <v>1.4089</v>
      </c>
      <c r="C284">
        <v>1.4438899999999999</v>
      </c>
      <c r="D284">
        <v>1.1100000000000001</v>
      </c>
      <c r="E284">
        <v>1.3951199999999999</v>
      </c>
      <c r="F284">
        <v>63103448.600000001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0.7078678606726766</v>
      </c>
      <c r="Q284">
        <f t="shared" si="965"/>
        <v>44668903.161550209</v>
      </c>
      <c r="R284">
        <f t="shared" si="966"/>
        <v>3226113947.2917447</v>
      </c>
      <c r="S284">
        <f t="shared" si="967"/>
        <v>32261.139472917446</v>
      </c>
      <c r="T284">
        <f t="shared" si="968"/>
        <v>32.261139472917449</v>
      </c>
    </row>
    <row r="285" spans="1:20" x14ac:dyDescent="0.25">
      <c r="A285" s="5">
        <v>44308</v>
      </c>
      <c r="B285">
        <v>1.5251699999999999</v>
      </c>
      <c r="C285">
        <v>1.6256600000000001</v>
      </c>
      <c r="D285">
        <v>1.395</v>
      </c>
      <c r="E285">
        <v>1.4089100000000001</v>
      </c>
      <c r="F285">
        <v>47244289.700000003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-0.87938957773345983</v>
      </c>
      <c r="Q285">
        <f t="shared" si="965"/>
        <v>-41546135.969600245</v>
      </c>
      <c r="R285">
        <f t="shared" si="966"/>
        <v>3181445044.1301947</v>
      </c>
      <c r="S285">
        <f t="shared" si="967"/>
        <v>31814.450441301946</v>
      </c>
      <c r="T285">
        <f t="shared" si="968"/>
        <v>31.814450441301947</v>
      </c>
    </row>
    <row r="286" spans="1:20" x14ac:dyDescent="0.25">
      <c r="A286" s="5">
        <v>44307</v>
      </c>
      <c r="B286">
        <v>1.5890299999999999</v>
      </c>
      <c r="C286">
        <v>1.66456</v>
      </c>
      <c r="D286">
        <v>1.4866900000000001</v>
      </c>
      <c r="E286">
        <v>1.5251699999999999</v>
      </c>
      <c r="F286">
        <v>43865148.399999999</v>
      </c>
      <c r="G286">
        <v>0</v>
      </c>
      <c r="L286" t="s">
        <v>8</v>
      </c>
      <c r="M286" t="s">
        <v>7</v>
      </c>
      <c r="N286" t="s">
        <v>7</v>
      </c>
      <c r="P286">
        <f t="shared" si="964"/>
        <v>-0.56732445044133517</v>
      </c>
      <c r="Q286">
        <f t="shared" si="965"/>
        <v>-24885771.209557611</v>
      </c>
      <c r="R286">
        <f t="shared" si="966"/>
        <v>3222991180.0997949</v>
      </c>
      <c r="S286">
        <f t="shared" si="967"/>
        <v>32229.91180099795</v>
      </c>
      <c r="T286">
        <f t="shared" si="968"/>
        <v>32.229911800997954</v>
      </c>
    </row>
    <row r="287" spans="1:20" x14ac:dyDescent="0.25">
      <c r="A287" s="5">
        <v>44306</v>
      </c>
      <c r="B287">
        <v>1.5581400000000001</v>
      </c>
      <c r="C287">
        <v>1.64541</v>
      </c>
      <c r="D287">
        <v>1.4212899999999999</v>
      </c>
      <c r="E287">
        <v>1.5891999999999999</v>
      </c>
      <c r="F287">
        <v>40989831.299999997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0.49839371765125762</v>
      </c>
      <c r="Q287">
        <f t="shared" si="965"/>
        <v>20429074.407504879</v>
      </c>
      <c r="R287">
        <f t="shared" si="966"/>
        <v>3247876951.3093524</v>
      </c>
      <c r="S287">
        <f t="shared" si="967"/>
        <v>32478.769513093524</v>
      </c>
      <c r="T287">
        <f t="shared" si="968"/>
        <v>32.478769513093525</v>
      </c>
    </row>
    <row r="288" spans="1:20" x14ac:dyDescent="0.25">
      <c r="A288" s="5">
        <v>44305</v>
      </c>
      <c r="B288">
        <v>1.7020200000000001</v>
      </c>
      <c r="C288">
        <v>1.7783800000000001</v>
      </c>
      <c r="D288">
        <v>1.5257400000000001</v>
      </c>
      <c r="E288">
        <v>1.55803</v>
      </c>
      <c r="F288">
        <v>42493377.799999997</v>
      </c>
      <c r="G288">
        <v>0</v>
      </c>
      <c r="L288" t="s">
        <v>8</v>
      </c>
      <c r="M288" t="s">
        <v>8</v>
      </c>
      <c r="N288" t="s">
        <v>7</v>
      </c>
      <c r="P288">
        <f t="shared" si="964"/>
        <v>-0.7443793540215331</v>
      </c>
      <c r="Q288">
        <f t="shared" si="965"/>
        <v>-31631193.116956953</v>
      </c>
      <c r="R288">
        <f t="shared" si="966"/>
        <v>3227447876.9018474</v>
      </c>
      <c r="S288">
        <f t="shared" si="967"/>
        <v>32274.478769018475</v>
      </c>
      <c r="T288">
        <f t="shared" si="968"/>
        <v>32.274478769018472</v>
      </c>
    </row>
    <row r="289" spans="1:20" x14ac:dyDescent="0.25">
      <c r="A289" s="5">
        <v>44304</v>
      </c>
      <c r="B289">
        <v>1.9299200000000001</v>
      </c>
      <c r="C289">
        <v>1.9518599999999999</v>
      </c>
      <c r="D289">
        <v>1.45</v>
      </c>
      <c r="E289">
        <v>1.7029000000000001</v>
      </c>
      <c r="F289">
        <v>80524996.5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7.8507950424426664E-3</v>
      </c>
      <c r="Q289">
        <f t="shared" si="965"/>
        <v>632185.24331491301</v>
      </c>
      <c r="R289">
        <f t="shared" si="966"/>
        <v>3259079070.0188046</v>
      </c>
      <c r="S289">
        <f t="shared" si="967"/>
        <v>32590.790700188045</v>
      </c>
      <c r="T289">
        <f t="shared" si="968"/>
        <v>32.590790700188045</v>
      </c>
    </row>
    <row r="290" spans="1:20" x14ac:dyDescent="0.25">
      <c r="A290" s="5">
        <v>44303</v>
      </c>
      <c r="B290">
        <v>1.98813</v>
      </c>
      <c r="C290">
        <v>2.13</v>
      </c>
      <c r="D290">
        <v>1.92012</v>
      </c>
      <c r="E290">
        <v>1.9282999999999999</v>
      </c>
      <c r="F290">
        <v>34442345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-0.9220506956356026</v>
      </c>
      <c r="Q290">
        <f t="shared" si="965"/>
        <v>-31757588.16657142</v>
      </c>
      <c r="R290">
        <f t="shared" si="966"/>
        <v>3258446884.7754898</v>
      </c>
      <c r="S290">
        <f t="shared" si="967"/>
        <v>32584.468847754899</v>
      </c>
      <c r="T290">
        <f t="shared" si="968"/>
        <v>32.584468847754898</v>
      </c>
    </row>
    <row r="291" spans="1:20" x14ac:dyDescent="0.25">
      <c r="A291" s="5">
        <v>44302</v>
      </c>
      <c r="B291">
        <v>2.0968</v>
      </c>
      <c r="C291">
        <v>2.1773600000000002</v>
      </c>
      <c r="D291">
        <v>1.9063699999999999</v>
      </c>
      <c r="E291">
        <v>1.9886999999999999</v>
      </c>
      <c r="F291">
        <v>42633285.700000003</v>
      </c>
      <c r="G291">
        <v>0</v>
      </c>
      <c r="L291" t="s">
        <v>7</v>
      </c>
      <c r="M291" t="s">
        <v>8</v>
      </c>
      <c r="N291" t="s">
        <v>8</v>
      </c>
      <c r="P291">
        <f t="shared" si="964"/>
        <v>-0.39237610243920495</v>
      </c>
      <c r="Q291">
        <f t="shared" si="965"/>
        <v>-16728282.477143092</v>
      </c>
      <c r="R291">
        <f t="shared" si="966"/>
        <v>3290204472.9420614</v>
      </c>
      <c r="S291">
        <f t="shared" si="967"/>
        <v>32902.044729420617</v>
      </c>
      <c r="T291">
        <f t="shared" si="968"/>
        <v>32.902044729420616</v>
      </c>
    </row>
    <row r="292" spans="1:20" x14ac:dyDescent="0.25">
      <c r="A292" s="5">
        <v>44301</v>
      </c>
      <c r="B292">
        <v>2.0247199999999999</v>
      </c>
      <c r="C292">
        <v>2.1979899999999999</v>
      </c>
      <c r="D292">
        <v>1.9570399999999999</v>
      </c>
      <c r="E292">
        <v>2.0959099999999999</v>
      </c>
      <c r="F292">
        <v>48031605.600000001</v>
      </c>
      <c r="G292">
        <v>0</v>
      </c>
      <c r="L292" t="s">
        <v>8</v>
      </c>
      <c r="M292" t="s">
        <v>8</v>
      </c>
      <c r="N292" t="s">
        <v>8</v>
      </c>
      <c r="P292">
        <f t="shared" si="964"/>
        <v>0.15268727951857275</v>
      </c>
      <c r="Q292">
        <f t="shared" si="965"/>
        <v>7333815.1899730442</v>
      </c>
      <c r="R292">
        <f t="shared" si="966"/>
        <v>3306932755.4192047</v>
      </c>
      <c r="S292">
        <f t="shared" si="967"/>
        <v>33069.327554192045</v>
      </c>
      <c r="T292">
        <f t="shared" si="968"/>
        <v>33.069327554192043</v>
      </c>
    </row>
    <row r="293" spans="1:20" x14ac:dyDescent="0.25">
      <c r="A293" s="5">
        <v>44300</v>
      </c>
      <c r="B293">
        <v>1.9215</v>
      </c>
      <c r="C293">
        <v>2.1508799999999999</v>
      </c>
      <c r="D293">
        <v>1.81592</v>
      </c>
      <c r="E293">
        <v>2.0258699999999998</v>
      </c>
      <c r="F293">
        <v>72994879.799999997</v>
      </c>
      <c r="G293">
        <v>0</v>
      </c>
      <c r="L293" t="s">
        <v>7</v>
      </c>
      <c r="M293" t="s">
        <v>8</v>
      </c>
      <c r="N293" t="s">
        <v>8</v>
      </c>
      <c r="P293">
        <f t="shared" si="964"/>
        <v>0.2535825173154998</v>
      </c>
      <c r="Q293">
        <f t="shared" si="965"/>
        <v>18510225.370826326</v>
      </c>
      <c r="R293">
        <f t="shared" si="966"/>
        <v>3299598940.2292318</v>
      </c>
      <c r="S293">
        <f t="shared" si="967"/>
        <v>32995.989402292318</v>
      </c>
      <c r="T293">
        <f t="shared" si="968"/>
        <v>32.995989402292317</v>
      </c>
    </row>
    <row r="294" spans="1:20" x14ac:dyDescent="0.25">
      <c r="A294" s="5">
        <v>44299</v>
      </c>
      <c r="B294">
        <v>2.0141399999999998</v>
      </c>
      <c r="C294">
        <v>2.0807000000000002</v>
      </c>
      <c r="D294">
        <v>1.90086</v>
      </c>
      <c r="E294">
        <v>1.92096</v>
      </c>
      <c r="F294">
        <v>53716652.5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-0.77646797153024927</v>
      </c>
      <c r="Q294">
        <f t="shared" si="965"/>
        <v>-41709260.204070292</v>
      </c>
      <c r="R294">
        <f t="shared" si="966"/>
        <v>3281088714.8584056</v>
      </c>
      <c r="S294">
        <f t="shared" si="967"/>
        <v>32810.887148584057</v>
      </c>
      <c r="T294">
        <f t="shared" si="968"/>
        <v>32.810887148584058</v>
      </c>
    </row>
    <row r="295" spans="1:20" x14ac:dyDescent="0.25">
      <c r="A295" s="5">
        <v>44298</v>
      </c>
      <c r="B295">
        <v>1.89943</v>
      </c>
      <c r="C295">
        <v>2.15</v>
      </c>
      <c r="D295">
        <v>1.88</v>
      </c>
      <c r="E295">
        <v>2.0150999999999999</v>
      </c>
      <c r="F295">
        <v>99074373.799999997</v>
      </c>
      <c r="G295">
        <v>0</v>
      </c>
      <c r="L295" t="s">
        <v>8</v>
      </c>
      <c r="M295" t="s">
        <v>8</v>
      </c>
      <c r="N295" t="s">
        <v>8</v>
      </c>
      <c r="P295">
        <f t="shared" si="964"/>
        <v>7.4074074074065906E-4</v>
      </c>
      <c r="Q295">
        <f t="shared" si="965"/>
        <v>73388.425037028937</v>
      </c>
      <c r="R295">
        <f t="shared" si="966"/>
        <v>3322797975.0624757</v>
      </c>
      <c r="S295">
        <f t="shared" si="967"/>
        <v>33227.979750624756</v>
      </c>
      <c r="T295">
        <f t="shared" si="968"/>
        <v>33.227979750624755</v>
      </c>
    </row>
    <row r="296" spans="1:20" x14ac:dyDescent="0.25">
      <c r="A296" s="5">
        <v>44297</v>
      </c>
      <c r="B296">
        <v>1.8877200000000001</v>
      </c>
      <c r="C296">
        <v>1.9068799999999999</v>
      </c>
      <c r="D296">
        <v>1.79417</v>
      </c>
      <c r="E296">
        <v>1.8990100000000001</v>
      </c>
      <c r="F296">
        <v>33681346.299999997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0.86034956969213328</v>
      </c>
      <c r="Q296">
        <f t="shared" si="965"/>
        <v>28977731.795856722</v>
      </c>
      <c r="R296">
        <f t="shared" si="966"/>
        <v>3322724586.6374388</v>
      </c>
      <c r="S296">
        <f t="shared" si="967"/>
        <v>33227.245866374389</v>
      </c>
      <c r="T296">
        <f t="shared" si="968"/>
        <v>33.227245866374389</v>
      </c>
    </row>
    <row r="297" spans="1:20" x14ac:dyDescent="0.25">
      <c r="A297" s="5">
        <v>44296</v>
      </c>
      <c r="B297">
        <v>1.7380199999999999</v>
      </c>
      <c r="C297">
        <v>1.92</v>
      </c>
      <c r="D297">
        <v>1.7108399999999999</v>
      </c>
      <c r="E297">
        <v>1.8869400000000001</v>
      </c>
      <c r="F297">
        <v>53934832.899999999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0.68387837062535983</v>
      </c>
      <c r="Q297">
        <f t="shared" si="965"/>
        <v>36884865.643603049</v>
      </c>
      <c r="R297">
        <f t="shared" si="966"/>
        <v>3293746854.8415818</v>
      </c>
      <c r="S297">
        <f t="shared" si="967"/>
        <v>32937.468548415818</v>
      </c>
      <c r="T297">
        <f t="shared" si="968"/>
        <v>32.937468548415815</v>
      </c>
    </row>
    <row r="298" spans="1:20" x14ac:dyDescent="0.25">
      <c r="A298" s="5">
        <v>44295</v>
      </c>
      <c r="B298">
        <v>1.7498400000000001</v>
      </c>
      <c r="C298">
        <v>1.8180000000000001</v>
      </c>
      <c r="D298">
        <v>1.71475</v>
      </c>
      <c r="E298">
        <v>1.7380199999999999</v>
      </c>
      <c r="F298">
        <v>24056130.100000001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-0.54924939467312561</v>
      </c>
      <c r="Q298">
        <f t="shared" si="965"/>
        <v>-13212814.895602958</v>
      </c>
      <c r="R298">
        <f t="shared" si="966"/>
        <v>3256861989.197979</v>
      </c>
      <c r="S298">
        <f t="shared" si="967"/>
        <v>32568.61989197979</v>
      </c>
      <c r="T298">
        <f t="shared" si="968"/>
        <v>32.568619891979793</v>
      </c>
    </row>
    <row r="299" spans="1:20" x14ac:dyDescent="0.25">
      <c r="A299" s="5">
        <v>44294</v>
      </c>
      <c r="B299">
        <v>1.6560699999999999</v>
      </c>
      <c r="C299">
        <v>1.75915</v>
      </c>
      <c r="D299">
        <v>1.63931</v>
      </c>
      <c r="E299">
        <v>1.7508699999999999</v>
      </c>
      <c r="F299">
        <v>25260887.300000001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0.86181575433911772</v>
      </c>
      <c r="Q299">
        <f t="shared" si="965"/>
        <v>21770230.643724941</v>
      </c>
      <c r="R299">
        <f t="shared" si="966"/>
        <v>3270074804.0935822</v>
      </c>
      <c r="S299">
        <f t="shared" si="967"/>
        <v>32700.748040935821</v>
      </c>
      <c r="T299">
        <f t="shared" si="968"/>
        <v>32.700748040935821</v>
      </c>
    </row>
    <row r="300" spans="1:20" x14ac:dyDescent="0.25">
      <c r="A300" s="5">
        <v>44293</v>
      </c>
      <c r="B300">
        <v>1.7605999999999999</v>
      </c>
      <c r="C300">
        <v>1.7690999999999999</v>
      </c>
      <c r="D300">
        <v>1.5249999999999999</v>
      </c>
      <c r="E300">
        <v>1.6571800000000001</v>
      </c>
      <c r="F300">
        <v>44053157.799999997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8.2998770995495255E-2</v>
      </c>
      <c r="Q300">
        <f t="shared" si="965"/>
        <v>3656357.9558706153</v>
      </c>
      <c r="R300">
        <f t="shared" si="966"/>
        <v>3248304573.4498572</v>
      </c>
      <c r="S300">
        <f t="shared" si="967"/>
        <v>32483.045734498573</v>
      </c>
      <c r="T300">
        <f t="shared" si="968"/>
        <v>32.483045734498575</v>
      </c>
    </row>
    <row r="301" spans="1:20" x14ac:dyDescent="0.25">
      <c r="A301" s="5">
        <v>44292</v>
      </c>
      <c r="B301">
        <v>1.8277399999999999</v>
      </c>
      <c r="C301">
        <v>1.88228</v>
      </c>
      <c r="D301">
        <v>1.7249000000000001</v>
      </c>
      <c r="E301">
        <v>1.75983</v>
      </c>
      <c r="F301">
        <v>43423445.200000003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-0.55610623967467354</v>
      </c>
      <c r="Q301">
        <f t="shared" si="965"/>
        <v>-24148048.823891252</v>
      </c>
      <c r="R301">
        <f t="shared" si="966"/>
        <v>3244648215.4939866</v>
      </c>
      <c r="S301">
        <f t="shared" si="967"/>
        <v>32446.482154939866</v>
      </c>
      <c r="T301">
        <f t="shared" si="968"/>
        <v>32.446482154939865</v>
      </c>
    </row>
    <row r="302" spans="1:20" x14ac:dyDescent="0.25">
      <c r="A302" s="5">
        <v>44291</v>
      </c>
      <c r="B302">
        <v>1.7586999999999999</v>
      </c>
      <c r="C302">
        <v>1.8515699999999999</v>
      </c>
      <c r="D302">
        <v>1.68784</v>
      </c>
      <c r="E302">
        <v>1.8270500000000001</v>
      </c>
      <c r="F302">
        <v>47295183.200000003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0.7004825016795958</v>
      </c>
      <c r="Q302">
        <f t="shared" si="965"/>
        <v>33129448.245330792</v>
      </c>
      <c r="R302">
        <f t="shared" si="966"/>
        <v>3268796264.3178778</v>
      </c>
      <c r="S302">
        <f t="shared" si="967"/>
        <v>32687.962643178776</v>
      </c>
      <c r="T302">
        <f t="shared" si="968"/>
        <v>32.687962643178778</v>
      </c>
    </row>
    <row r="303" spans="1:20" x14ac:dyDescent="0.25">
      <c r="A303" s="5">
        <v>44290</v>
      </c>
      <c r="B303">
        <v>1.67778</v>
      </c>
      <c r="C303">
        <v>1.77199</v>
      </c>
      <c r="D303">
        <v>1.65</v>
      </c>
      <c r="E303">
        <v>1.7582800000000001</v>
      </c>
      <c r="F303">
        <v>30642632.399999999</v>
      </c>
      <c r="G303">
        <v>0</v>
      </c>
      <c r="L303" t="s">
        <v>7</v>
      </c>
      <c r="M303" t="s">
        <v>8</v>
      </c>
      <c r="N303" t="s">
        <v>8</v>
      </c>
      <c r="P303">
        <f t="shared" si="964"/>
        <v>0.77522747766210531</v>
      </c>
      <c r="Q303">
        <f t="shared" si="965"/>
        <v>23755010.624379102</v>
      </c>
      <c r="R303">
        <f t="shared" si="966"/>
        <v>3235666816.072547</v>
      </c>
      <c r="S303">
        <f t="shared" si="967"/>
        <v>32356.668160725469</v>
      </c>
      <c r="T303">
        <f t="shared" si="968"/>
        <v>32.356668160725469</v>
      </c>
    </row>
    <row r="304" spans="1:20" x14ac:dyDescent="0.25">
      <c r="A304" s="5">
        <v>44289</v>
      </c>
      <c r="B304">
        <v>1.8858999999999999</v>
      </c>
      <c r="C304">
        <v>1.97872</v>
      </c>
      <c r="D304">
        <v>1.67</v>
      </c>
      <c r="E304">
        <v>1.67777</v>
      </c>
      <c r="F304">
        <v>53163532.899999999</v>
      </c>
      <c r="G304">
        <v>0</v>
      </c>
      <c r="L304" t="s">
        <v>8</v>
      </c>
      <c r="M304" t="s">
        <v>8</v>
      </c>
      <c r="N304" t="s">
        <v>8</v>
      </c>
      <c r="P304">
        <f t="shared" si="964"/>
        <v>-0.94966312516195872</v>
      </c>
      <c r="Q304">
        <f t="shared" si="965"/>
        <v>-50487446.798464611</v>
      </c>
      <c r="R304">
        <f t="shared" si="966"/>
        <v>3211911805.4481678</v>
      </c>
      <c r="S304">
        <f t="shared" si="967"/>
        <v>32119.118054481678</v>
      </c>
      <c r="T304">
        <f t="shared" si="968"/>
        <v>32.119118054481675</v>
      </c>
    </row>
    <row r="305" spans="1:20" x14ac:dyDescent="0.25">
      <c r="A305" s="5">
        <v>44288</v>
      </c>
      <c r="B305">
        <v>1.7738499999999999</v>
      </c>
      <c r="C305">
        <v>1.9511499999999999</v>
      </c>
      <c r="D305">
        <v>1.7327600000000001</v>
      </c>
      <c r="E305">
        <v>1.88581</v>
      </c>
      <c r="F305">
        <v>66005378.799999997</v>
      </c>
      <c r="G305">
        <v>0</v>
      </c>
      <c r="L305" t="s">
        <v>8</v>
      </c>
      <c r="M305" t="s">
        <v>8</v>
      </c>
      <c r="N305" t="s">
        <v>8</v>
      </c>
      <c r="P305">
        <f t="shared" si="964"/>
        <v>0.40162095334035447</v>
      </c>
      <c r="Q305">
        <f t="shared" si="965"/>
        <v>26509143.15924722</v>
      </c>
      <c r="R305">
        <f t="shared" si="966"/>
        <v>3262399252.2466326</v>
      </c>
      <c r="S305">
        <f t="shared" si="967"/>
        <v>32623.992522466328</v>
      </c>
      <c r="T305">
        <f t="shared" si="968"/>
        <v>32.623992522466331</v>
      </c>
    </row>
    <row r="306" spans="1:20" x14ac:dyDescent="0.25">
      <c r="A306" s="5">
        <v>44287</v>
      </c>
      <c r="B306">
        <v>1.71923</v>
      </c>
      <c r="C306">
        <v>1.8499000000000001</v>
      </c>
      <c r="D306">
        <v>1.68102</v>
      </c>
      <c r="E306">
        <v>1.77315</v>
      </c>
      <c r="F306">
        <v>53962373.899999999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9.1070582662245006E-2</v>
      </c>
      <c r="Q306">
        <f t="shared" si="965"/>
        <v>4914384.8329109224</v>
      </c>
      <c r="R306">
        <f t="shared" si="966"/>
        <v>3235890109.0873852</v>
      </c>
      <c r="S306">
        <f t="shared" si="967"/>
        <v>32358.901090873853</v>
      </c>
      <c r="T306">
        <f t="shared" si="968"/>
        <v>32.35890109087385</v>
      </c>
    </row>
    <row r="307" spans="1:20" x14ac:dyDescent="0.25">
      <c r="A307" s="5">
        <v>44286</v>
      </c>
      <c r="B307">
        <v>1.7588200000000001</v>
      </c>
      <c r="C307">
        <v>1.7927299999999999</v>
      </c>
      <c r="D307">
        <v>1.6418200000000001</v>
      </c>
      <c r="E307">
        <v>1.71923</v>
      </c>
      <c r="F307">
        <v>42050036.200000003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2.5909482472997701E-2</v>
      </c>
      <c r="Q307">
        <f t="shared" si="965"/>
        <v>1089494.6759128189</v>
      </c>
      <c r="R307">
        <f t="shared" si="966"/>
        <v>3230975724.2544742</v>
      </c>
      <c r="S307">
        <f t="shared" si="967"/>
        <v>32309.757242544743</v>
      </c>
      <c r="T307">
        <f t="shared" si="968"/>
        <v>32.309757242544741</v>
      </c>
    </row>
    <row r="308" spans="1:20" x14ac:dyDescent="0.25">
      <c r="A308" s="5">
        <v>44285</v>
      </c>
      <c r="B308">
        <v>1.77213</v>
      </c>
      <c r="C308">
        <v>1.89171</v>
      </c>
      <c r="D308">
        <v>1.7278899999999999</v>
      </c>
      <c r="E308">
        <v>1.7588200000000001</v>
      </c>
      <c r="F308">
        <v>57781943.600000001</v>
      </c>
      <c r="G308">
        <v>0</v>
      </c>
      <c r="L308" t="s">
        <v>8</v>
      </c>
      <c r="M308" t="s">
        <v>8</v>
      </c>
      <c r="N308" t="s">
        <v>8</v>
      </c>
      <c r="P308">
        <f t="shared" si="964"/>
        <v>-0.62239042851910498</v>
      </c>
      <c r="Q308">
        <f t="shared" si="965"/>
        <v>-35962928.637870759</v>
      </c>
      <c r="R308">
        <f t="shared" si="966"/>
        <v>3229886229.5785613</v>
      </c>
      <c r="S308">
        <f t="shared" si="967"/>
        <v>32298.862295785613</v>
      </c>
      <c r="T308">
        <f t="shared" si="968"/>
        <v>32.298862295785611</v>
      </c>
    </row>
    <row r="309" spans="1:20" x14ac:dyDescent="0.25">
      <c r="A309" s="5">
        <v>44284</v>
      </c>
      <c r="B309">
        <v>1.8141099999999999</v>
      </c>
      <c r="C309">
        <v>1.8555299999999999</v>
      </c>
      <c r="D309">
        <v>1.6866300000000001</v>
      </c>
      <c r="E309">
        <v>1.77274</v>
      </c>
      <c r="F309">
        <v>60098040.299999997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1.9656601539372369E-2</v>
      </c>
      <c r="Q309">
        <f t="shared" si="965"/>
        <v>1181323.2314742426</v>
      </c>
      <c r="R309">
        <f t="shared" si="966"/>
        <v>3265849158.2164321</v>
      </c>
      <c r="S309">
        <f t="shared" si="967"/>
        <v>32658.491582164323</v>
      </c>
      <c r="T309">
        <f t="shared" si="968"/>
        <v>32.658491582164324</v>
      </c>
    </row>
    <row r="310" spans="1:20" x14ac:dyDescent="0.25">
      <c r="A310" s="5">
        <v>44283</v>
      </c>
      <c r="B310">
        <v>1.4681500000000001</v>
      </c>
      <c r="C310">
        <v>1.82</v>
      </c>
      <c r="D310">
        <v>1.45824</v>
      </c>
      <c r="E310">
        <v>1.81412</v>
      </c>
      <c r="F310">
        <v>87117742.599999994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0.96749226006191891</v>
      </c>
      <c r="Q310">
        <f t="shared" si="965"/>
        <v>84285741.679566503</v>
      </c>
      <c r="R310">
        <f t="shared" si="966"/>
        <v>3264667834.9849577</v>
      </c>
      <c r="S310">
        <f t="shared" si="967"/>
        <v>32646.678349849575</v>
      </c>
      <c r="T310">
        <f t="shared" si="968"/>
        <v>32.646678349849573</v>
      </c>
    </row>
    <row r="311" spans="1:20" x14ac:dyDescent="0.25">
      <c r="A311" s="5">
        <v>44282</v>
      </c>
      <c r="B311">
        <v>1.55322</v>
      </c>
      <c r="C311">
        <v>1.5841000000000001</v>
      </c>
      <c r="D311">
        <v>1.4545399999999999</v>
      </c>
      <c r="E311">
        <v>1.4689399999999999</v>
      </c>
      <c r="F311">
        <v>26855449.100000001</v>
      </c>
      <c r="G311">
        <v>0</v>
      </c>
      <c r="L311" t="s">
        <v>8</v>
      </c>
      <c r="M311" t="s">
        <v>8</v>
      </c>
      <c r="N311" t="s">
        <v>7</v>
      </c>
      <c r="P311">
        <f t="shared" si="964"/>
        <v>-0.77770916949675895</v>
      </c>
      <c r="Q311">
        <f t="shared" si="965"/>
        <v>-20885729.016023483</v>
      </c>
      <c r="R311">
        <f t="shared" si="966"/>
        <v>3180382093.3053913</v>
      </c>
      <c r="S311">
        <f t="shared" si="967"/>
        <v>31803.820933053914</v>
      </c>
      <c r="T311">
        <f t="shared" si="968"/>
        <v>31.803820933053913</v>
      </c>
    </row>
    <row r="312" spans="1:20" x14ac:dyDescent="0.25">
      <c r="A312" s="5">
        <v>44281</v>
      </c>
      <c r="B312">
        <v>1.3396600000000001</v>
      </c>
      <c r="C312">
        <v>1.5628500000000001</v>
      </c>
      <c r="D312">
        <v>1.3372599999999999</v>
      </c>
      <c r="E312">
        <v>1.5520099999999999</v>
      </c>
      <c r="F312">
        <v>32581958.100000001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0.9038964493106949</v>
      </c>
      <c r="Q312">
        <f t="shared" si="965"/>
        <v>29450716.238179836</v>
      </c>
      <c r="R312">
        <f t="shared" si="966"/>
        <v>3201267822.3214149</v>
      </c>
      <c r="S312">
        <f t="shared" si="967"/>
        <v>32012.678223214149</v>
      </c>
      <c r="T312">
        <f t="shared" si="968"/>
        <v>32.012678223214145</v>
      </c>
    </row>
    <row r="313" spans="1:20" x14ac:dyDescent="0.25">
      <c r="A313" s="5">
        <v>44280</v>
      </c>
      <c r="B313">
        <v>1.3931</v>
      </c>
      <c r="C313">
        <v>1.42</v>
      </c>
      <c r="D313">
        <v>1.31101</v>
      </c>
      <c r="E313">
        <v>1.3375300000000001</v>
      </c>
      <c r="F313">
        <v>32913026.699999999</v>
      </c>
      <c r="G313">
        <v>0</v>
      </c>
      <c r="L313" t="s">
        <v>8</v>
      </c>
      <c r="M313" t="s">
        <v>7</v>
      </c>
      <c r="N313" t="s">
        <v>7</v>
      </c>
      <c r="P313">
        <f t="shared" si="964"/>
        <v>-0.51334984860996202</v>
      </c>
      <c r="Q313">
        <f t="shared" si="965"/>
        <v>-16895897.273740638</v>
      </c>
      <c r="R313">
        <f t="shared" si="966"/>
        <v>3171817106.0832353</v>
      </c>
      <c r="S313">
        <f t="shared" si="967"/>
        <v>31718.171060832352</v>
      </c>
      <c r="T313">
        <f t="shared" si="968"/>
        <v>31.718171060832351</v>
      </c>
    </row>
    <row r="314" spans="1:20" x14ac:dyDescent="0.25">
      <c r="A314" s="5">
        <v>44279</v>
      </c>
      <c r="B314">
        <v>1.5017400000000001</v>
      </c>
      <c r="C314">
        <v>1.5921400000000001</v>
      </c>
      <c r="D314">
        <v>1.31202</v>
      </c>
      <c r="E314">
        <v>1.3930199999999999</v>
      </c>
      <c r="F314">
        <v>37309724.399999999</v>
      </c>
      <c r="G314">
        <v>0</v>
      </c>
      <c r="L314" t="s">
        <v>7</v>
      </c>
      <c r="M314" t="s">
        <v>7</v>
      </c>
      <c r="N314" t="s">
        <v>7</v>
      </c>
      <c r="P314">
        <f t="shared" si="964"/>
        <v>-0.42167642438954794</v>
      </c>
      <c r="Q314">
        <f t="shared" si="965"/>
        <v>-15732631.179951472</v>
      </c>
      <c r="R314">
        <f t="shared" si="966"/>
        <v>3188713003.356976</v>
      </c>
      <c r="S314">
        <f t="shared" si="967"/>
        <v>31887.13003356976</v>
      </c>
      <c r="T314">
        <f t="shared" si="968"/>
        <v>31.887130033569761</v>
      </c>
    </row>
    <row r="315" spans="1:20" x14ac:dyDescent="0.25">
      <c r="A315" s="5">
        <v>44278</v>
      </c>
      <c r="B315">
        <v>1.5428999999999999</v>
      </c>
      <c r="C315">
        <v>1.5957600000000001</v>
      </c>
      <c r="D315">
        <v>1.4950000000000001</v>
      </c>
      <c r="E315">
        <v>1.5014799999999999</v>
      </c>
      <c r="F315">
        <v>30662801.800000001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-0.87137753076618063</v>
      </c>
      <c r="Q315">
        <f t="shared" si="965"/>
        <v>-26718876.518856801</v>
      </c>
      <c r="R315">
        <f t="shared" si="966"/>
        <v>3204445634.5369277</v>
      </c>
      <c r="S315">
        <f t="shared" si="967"/>
        <v>32044.456345369275</v>
      </c>
      <c r="T315">
        <f t="shared" si="968"/>
        <v>32.044456345369277</v>
      </c>
    </row>
    <row r="316" spans="1:20" x14ac:dyDescent="0.25">
      <c r="A316" s="5">
        <v>44277</v>
      </c>
      <c r="B316">
        <v>1.7006699999999999</v>
      </c>
      <c r="C316">
        <v>1.7094499999999999</v>
      </c>
      <c r="D316">
        <v>1.4943500000000001</v>
      </c>
      <c r="E316">
        <v>1.5421</v>
      </c>
      <c r="F316">
        <v>40468554.899999999</v>
      </c>
      <c r="G316">
        <v>0</v>
      </c>
      <c r="L316" t="s">
        <v>7</v>
      </c>
      <c r="M316" t="s">
        <v>7</v>
      </c>
      <c r="N316" t="s">
        <v>7</v>
      </c>
      <c r="P316">
        <f t="shared" si="964"/>
        <v>-0.5560204556020456</v>
      </c>
      <c r="Q316">
        <f t="shared" si="965"/>
        <v>-22501344.333054394</v>
      </c>
      <c r="R316">
        <f t="shared" si="966"/>
        <v>3231164511.0557847</v>
      </c>
      <c r="S316">
        <f t="shared" si="967"/>
        <v>32311.645110557845</v>
      </c>
      <c r="T316">
        <f t="shared" si="968"/>
        <v>32.311645110557848</v>
      </c>
    </row>
    <row r="317" spans="1:20" x14ac:dyDescent="0.25">
      <c r="A317" s="5">
        <v>44276</v>
      </c>
      <c r="B317">
        <v>1.7180800000000001</v>
      </c>
      <c r="C317">
        <v>1.75553</v>
      </c>
      <c r="D317">
        <v>1.65</v>
      </c>
      <c r="E317">
        <v>1.69933</v>
      </c>
      <c r="F317">
        <v>34231523.600000001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-6.5099971572064097E-2</v>
      </c>
      <c r="Q317">
        <f t="shared" si="965"/>
        <v>-2228471.2132284413</v>
      </c>
      <c r="R317">
        <f t="shared" si="966"/>
        <v>3253665855.3888392</v>
      </c>
      <c r="S317">
        <f t="shared" si="967"/>
        <v>32536.658553888392</v>
      </c>
      <c r="T317">
        <f t="shared" si="968"/>
        <v>32.536658553888394</v>
      </c>
    </row>
    <row r="318" spans="1:20" x14ac:dyDescent="0.25">
      <c r="A318" s="5">
        <v>44275</v>
      </c>
      <c r="B318">
        <v>1.69278</v>
      </c>
      <c r="C318">
        <v>1.88</v>
      </c>
      <c r="D318">
        <v>1.6825399999999999</v>
      </c>
      <c r="E318">
        <v>1.7191399999999999</v>
      </c>
      <c r="F318">
        <v>46848404.700000003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-0.62929200850805256</v>
      </c>
      <c r="Q318">
        <f t="shared" si="965"/>
        <v>-29481326.68906109</v>
      </c>
      <c r="R318">
        <f t="shared" si="966"/>
        <v>3255894326.6020675</v>
      </c>
      <c r="S318">
        <f t="shared" si="967"/>
        <v>32558.943266020673</v>
      </c>
      <c r="T318">
        <f t="shared" si="968"/>
        <v>32.55894326602067</v>
      </c>
    </row>
    <row r="319" spans="1:20" x14ac:dyDescent="0.25">
      <c r="A319" s="5">
        <v>44274</v>
      </c>
      <c r="B319">
        <v>1.6923299999999999</v>
      </c>
      <c r="C319">
        <v>1.7416700000000001</v>
      </c>
      <c r="D319">
        <v>1.6531800000000001</v>
      </c>
      <c r="E319">
        <v>1.6918299999999999</v>
      </c>
      <c r="F319">
        <v>26739472.399999999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-0.12645496666290271</v>
      </c>
      <c r="Q319">
        <f t="shared" si="965"/>
        <v>-3381339.0909256069</v>
      </c>
      <c r="R319">
        <f t="shared" si="966"/>
        <v>3285375653.2911286</v>
      </c>
      <c r="S319">
        <f t="shared" si="967"/>
        <v>32853.756532911284</v>
      </c>
      <c r="T319">
        <f t="shared" si="968"/>
        <v>32.853756532911284</v>
      </c>
    </row>
    <row r="320" spans="1:20" x14ac:dyDescent="0.25">
      <c r="A320" s="5">
        <v>44273</v>
      </c>
      <c r="B320">
        <v>1.7199899999999999</v>
      </c>
      <c r="C320">
        <v>1.792</v>
      </c>
      <c r="D320">
        <v>1.67892</v>
      </c>
      <c r="E320">
        <v>1.6925300000000001</v>
      </c>
      <c r="F320">
        <v>30406037.399999999</v>
      </c>
      <c r="G320">
        <v>0</v>
      </c>
      <c r="L320" t="s">
        <v>8</v>
      </c>
      <c r="M320" t="s">
        <v>7</v>
      </c>
      <c r="N320" t="s">
        <v>7</v>
      </c>
      <c r="P320">
        <f t="shared" si="964"/>
        <v>-0.75928546162008992</v>
      </c>
      <c r="Q320">
        <f t="shared" si="965"/>
        <v>-23086862.143296719</v>
      </c>
      <c r="R320">
        <f t="shared" si="966"/>
        <v>3288756992.3820543</v>
      </c>
      <c r="S320">
        <f t="shared" si="967"/>
        <v>32887.569923820542</v>
      </c>
      <c r="T320">
        <f t="shared" si="968"/>
        <v>32.887569923820543</v>
      </c>
    </row>
    <row r="321" spans="1:20" x14ac:dyDescent="0.25">
      <c r="A321" s="5">
        <v>44272</v>
      </c>
      <c r="B321">
        <v>1.7140299999999999</v>
      </c>
      <c r="C321">
        <v>1.7549999999999999</v>
      </c>
      <c r="D321">
        <v>1.6455200000000001</v>
      </c>
      <c r="E321">
        <v>1.71868</v>
      </c>
      <c r="F321">
        <v>24876667.800000001</v>
      </c>
      <c r="G321">
        <v>0</v>
      </c>
      <c r="L321" t="s">
        <v>8</v>
      </c>
      <c r="M321" t="s">
        <v>7</v>
      </c>
      <c r="N321" t="s">
        <v>7</v>
      </c>
      <c r="P321">
        <f t="shared" si="964"/>
        <v>0.33649981731823209</v>
      </c>
      <c r="Q321">
        <f t="shared" si="965"/>
        <v>8370994.1701863464</v>
      </c>
      <c r="R321">
        <f t="shared" si="966"/>
        <v>3311843854.525351</v>
      </c>
      <c r="S321">
        <f t="shared" si="967"/>
        <v>33118.438545253513</v>
      </c>
      <c r="T321">
        <f t="shared" si="968"/>
        <v>33.118438545253511</v>
      </c>
    </row>
    <row r="322" spans="1:20" x14ac:dyDescent="0.25">
      <c r="A322" s="5">
        <v>44271</v>
      </c>
      <c r="B322">
        <v>1.7172700000000001</v>
      </c>
      <c r="C322">
        <v>1.7924100000000001</v>
      </c>
      <c r="D322">
        <v>1.5942700000000001</v>
      </c>
      <c r="E322">
        <v>1.71349</v>
      </c>
      <c r="F322">
        <v>36588013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0.20339154133440893</v>
      </c>
      <c r="Q322">
        <f t="shared" si="965"/>
        <v>7441692.358433391</v>
      </c>
      <c r="R322">
        <f t="shared" si="966"/>
        <v>3303472860.3551645</v>
      </c>
      <c r="S322">
        <f t="shared" si="967"/>
        <v>33034.728603551644</v>
      </c>
      <c r="T322">
        <f t="shared" si="968"/>
        <v>33.034728603551642</v>
      </c>
    </row>
    <row r="323" spans="1:20" x14ac:dyDescent="0.25">
      <c r="A323" s="5">
        <v>44270</v>
      </c>
      <c r="B323">
        <v>1.7303599999999999</v>
      </c>
      <c r="C323">
        <v>1.87154</v>
      </c>
      <c r="D323">
        <v>1.6802900000000001</v>
      </c>
      <c r="E323">
        <v>1.71936</v>
      </c>
      <c r="F323">
        <v>36471384.600000001</v>
      </c>
      <c r="G323">
        <v>0</v>
      </c>
      <c r="L323" t="s">
        <v>8</v>
      </c>
      <c r="M323" t="s">
        <v>7</v>
      </c>
      <c r="N323" t="s">
        <v>8</v>
      </c>
      <c r="P323">
        <f t="shared" si="964"/>
        <v>-0.59142483660130762</v>
      </c>
      <c r="Q323">
        <f t="shared" si="965"/>
        <v>-21570082.677678447</v>
      </c>
      <c r="R323">
        <f t="shared" si="966"/>
        <v>3296031167.9967313</v>
      </c>
      <c r="S323">
        <f t="shared" si="967"/>
        <v>32960.311679967315</v>
      </c>
      <c r="T323">
        <f t="shared" si="968"/>
        <v>32.960311679967319</v>
      </c>
    </row>
    <row r="324" spans="1:20" x14ac:dyDescent="0.25">
      <c r="A324" s="5">
        <v>44269</v>
      </c>
      <c r="B324">
        <v>1.79355</v>
      </c>
      <c r="C324">
        <v>1.84178</v>
      </c>
      <c r="D324">
        <v>1.7066600000000001</v>
      </c>
      <c r="E324">
        <v>1.73</v>
      </c>
      <c r="F324">
        <v>26744968.899999999</v>
      </c>
      <c r="G324">
        <v>0</v>
      </c>
      <c r="L324" t="s">
        <v>7</v>
      </c>
      <c r="M324" t="s">
        <v>7</v>
      </c>
      <c r="N324" t="s">
        <v>8</v>
      </c>
      <c r="P324">
        <f t="shared" si="964"/>
        <v>-0.65452930728241665</v>
      </c>
      <c r="Q324">
        <f t="shared" si="965"/>
        <v>-17505365.967406776</v>
      </c>
      <c r="R324">
        <f t="shared" si="966"/>
        <v>3317601250.6744099</v>
      </c>
      <c r="S324">
        <f t="shared" si="967"/>
        <v>33176.012506744097</v>
      </c>
      <c r="T324">
        <f t="shared" si="968"/>
        <v>33.176012506744094</v>
      </c>
    </row>
    <row r="325" spans="1:20" x14ac:dyDescent="0.25">
      <c r="A325" s="5">
        <v>44268</v>
      </c>
      <c r="B325">
        <v>1.7337199999999999</v>
      </c>
      <c r="C325">
        <v>1.89</v>
      </c>
      <c r="D325">
        <v>1.6407400000000001</v>
      </c>
      <c r="E325">
        <v>1.7928299999999999</v>
      </c>
      <c r="F325">
        <v>48673046.799999997</v>
      </c>
      <c r="G325">
        <v>0</v>
      </c>
      <c r="L325" t="s">
        <v>8</v>
      </c>
      <c r="M325" t="s">
        <v>7</v>
      </c>
      <c r="N325" t="s">
        <v>8</v>
      </c>
      <c r="P325">
        <f t="shared" si="964"/>
        <v>0.22033218326245646</v>
      </c>
      <c r="Q325">
        <f t="shared" si="965"/>
        <v>10724238.66747972</v>
      </c>
      <c r="R325">
        <f t="shared" si="966"/>
        <v>3335106616.6418166</v>
      </c>
      <c r="S325">
        <f t="shared" si="967"/>
        <v>33351.066166418168</v>
      </c>
      <c r="T325">
        <f t="shared" si="968"/>
        <v>33.351066166418171</v>
      </c>
    </row>
    <row r="326" spans="1:20" x14ac:dyDescent="0.25">
      <c r="A326" s="5">
        <v>44267</v>
      </c>
      <c r="B326">
        <v>1.91093</v>
      </c>
      <c r="C326">
        <v>1.9279599999999999</v>
      </c>
      <c r="D326">
        <v>1.6588499999999999</v>
      </c>
      <c r="E326">
        <v>1.7352799999999999</v>
      </c>
      <c r="F326">
        <v>54725609.600000001</v>
      </c>
      <c r="G326">
        <v>0</v>
      </c>
      <c r="L326" t="s">
        <v>7</v>
      </c>
      <c r="M326" t="s">
        <v>7</v>
      </c>
      <c r="N326" t="s">
        <v>8</v>
      </c>
      <c r="P326">
        <f t="shared" ref="P326:P389" si="969">IF(C326=D326,0,((E326-D326)-(C326-E326))/(C326-D326))</f>
        <v>-0.4319794879417338</v>
      </c>
      <c r="Q326">
        <f t="shared" ref="Q326:Q389" si="970">F326*P326</f>
        <v>-23640340.812307231</v>
      </c>
      <c r="R326">
        <f t="shared" ref="R326:R389" si="971">R327+Q326</f>
        <v>3324382377.9743371</v>
      </c>
      <c r="S326">
        <f t="shared" ref="S326:S389" si="972">R326/100000</f>
        <v>33243.823779743369</v>
      </c>
      <c r="T326">
        <f t="shared" ref="T326:T389" si="973">S326/1000</f>
        <v>33.243823779743366</v>
      </c>
    </row>
    <row r="327" spans="1:20" x14ac:dyDescent="0.25">
      <c r="A327" s="5">
        <v>44266</v>
      </c>
      <c r="B327">
        <v>2.0347400000000002</v>
      </c>
      <c r="C327">
        <v>2.1873999999999998</v>
      </c>
      <c r="D327">
        <v>1.85</v>
      </c>
      <c r="E327">
        <v>1.91001</v>
      </c>
      <c r="F327">
        <v>47753991</v>
      </c>
      <c r="G327">
        <v>0</v>
      </c>
      <c r="L327" t="s">
        <v>7</v>
      </c>
      <c r="M327" t="s">
        <v>7</v>
      </c>
      <c r="N327" t="s">
        <v>8</v>
      </c>
      <c r="P327">
        <f t="shared" si="969"/>
        <v>-0.64427978660343832</v>
      </c>
      <c r="Q327">
        <f t="shared" si="970"/>
        <v>-30766931.130942512</v>
      </c>
      <c r="R327">
        <f t="shared" si="971"/>
        <v>3348022718.7866445</v>
      </c>
      <c r="S327">
        <f t="shared" si="972"/>
        <v>33480.227187866447</v>
      </c>
      <c r="T327">
        <f t="shared" si="973"/>
        <v>33.480227187866447</v>
      </c>
    </row>
    <row r="328" spans="1:20" x14ac:dyDescent="0.25">
      <c r="A328" s="5">
        <v>44265</v>
      </c>
      <c r="B328">
        <v>2.1159599999999998</v>
      </c>
      <c r="C328">
        <v>2.1549</v>
      </c>
      <c r="D328">
        <v>1.9536</v>
      </c>
      <c r="E328">
        <v>2.0324900000000001</v>
      </c>
      <c r="F328">
        <v>50108676.700000003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-0.21619473422751997</v>
      </c>
      <c r="Q328">
        <f t="shared" si="970"/>
        <v>-10833232.041649222</v>
      </c>
      <c r="R328">
        <f t="shared" si="971"/>
        <v>3378789649.9175868</v>
      </c>
      <c r="S328">
        <f t="shared" si="972"/>
        <v>33787.896499175869</v>
      </c>
      <c r="T328">
        <f t="shared" si="973"/>
        <v>33.787896499175872</v>
      </c>
    </row>
    <row r="329" spans="1:20" x14ac:dyDescent="0.25">
      <c r="A329" s="5">
        <v>44264</v>
      </c>
      <c r="B329">
        <v>1.90265</v>
      </c>
      <c r="C329">
        <v>2.23</v>
      </c>
      <c r="D329">
        <v>1.8780699999999999</v>
      </c>
      <c r="E329">
        <v>2.1159599999999998</v>
      </c>
      <c r="F329">
        <v>64416684.399999999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0.35191657431875589</v>
      </c>
      <c r="Q329">
        <f t="shared" si="970"/>
        <v>22669298.903020442</v>
      </c>
      <c r="R329">
        <f t="shared" si="971"/>
        <v>3389622881.9592361</v>
      </c>
      <c r="S329">
        <f t="shared" si="972"/>
        <v>33896.228819592361</v>
      </c>
      <c r="T329">
        <f t="shared" si="973"/>
        <v>33.896228819592359</v>
      </c>
    </row>
    <row r="330" spans="1:20" x14ac:dyDescent="0.25">
      <c r="A330" s="5">
        <v>44263</v>
      </c>
      <c r="B330">
        <v>1.8792800000000001</v>
      </c>
      <c r="C330">
        <v>1.93</v>
      </c>
      <c r="D330">
        <v>1.7946200000000001</v>
      </c>
      <c r="E330">
        <v>1.9049</v>
      </c>
      <c r="F330">
        <v>31921961.600000001</v>
      </c>
      <c r="G330">
        <v>0</v>
      </c>
      <c r="L330" t="s">
        <v>7</v>
      </c>
      <c r="M330" t="s">
        <v>7</v>
      </c>
      <c r="N330" t="s">
        <v>8</v>
      </c>
      <c r="P330">
        <f t="shared" si="969"/>
        <v>0.6291919042694647</v>
      </c>
      <c r="Q330">
        <f t="shared" si="970"/>
        <v>20085039.807120729</v>
      </c>
      <c r="R330">
        <f t="shared" si="971"/>
        <v>3366953583.0562158</v>
      </c>
      <c r="S330">
        <f t="shared" si="972"/>
        <v>33669.535830562156</v>
      </c>
      <c r="T330">
        <f t="shared" si="973"/>
        <v>33.669535830562154</v>
      </c>
    </row>
    <row r="331" spans="1:20" x14ac:dyDescent="0.25">
      <c r="A331" s="5">
        <v>44262</v>
      </c>
      <c r="B331">
        <v>1.7946599999999999</v>
      </c>
      <c r="C331">
        <v>1.93821</v>
      </c>
      <c r="D331">
        <v>1.79365</v>
      </c>
      <c r="E331">
        <v>1.8805799999999999</v>
      </c>
      <c r="F331">
        <v>26387175.199999999</v>
      </c>
      <c r="G331">
        <v>0</v>
      </c>
      <c r="L331" t="s">
        <v>8</v>
      </c>
      <c r="M331" t="s">
        <v>7</v>
      </c>
      <c r="N331" t="s">
        <v>8</v>
      </c>
      <c r="P331">
        <f t="shared" si="969"/>
        <v>0.20268400664084033</v>
      </c>
      <c r="Q331">
        <f t="shared" si="970"/>
        <v>5348258.393469817</v>
      </c>
      <c r="R331">
        <f t="shared" si="971"/>
        <v>3346868543.249095</v>
      </c>
      <c r="S331">
        <f t="shared" si="972"/>
        <v>33468.685432490951</v>
      </c>
      <c r="T331">
        <f t="shared" si="973"/>
        <v>33.46868543249095</v>
      </c>
    </row>
    <row r="332" spans="1:20" x14ac:dyDescent="0.25">
      <c r="A332" s="5">
        <v>44261</v>
      </c>
      <c r="B332">
        <v>1.8264800000000001</v>
      </c>
      <c r="C332">
        <v>1.8649199999999999</v>
      </c>
      <c r="D332">
        <v>1.7452300000000001</v>
      </c>
      <c r="E332">
        <v>1.7932300000000001</v>
      </c>
      <c r="F332">
        <v>17096453.300000001</v>
      </c>
      <c r="G332">
        <v>0</v>
      </c>
      <c r="L332" t="s">
        <v>8</v>
      </c>
      <c r="M332" t="s">
        <v>7</v>
      </c>
      <c r="N332" t="s">
        <v>8</v>
      </c>
      <c r="P332">
        <f t="shared" si="969"/>
        <v>-0.19792798061659117</v>
      </c>
      <c r="Q332">
        <f t="shared" si="970"/>
        <v>-3383866.4773748564</v>
      </c>
      <c r="R332">
        <f t="shared" si="971"/>
        <v>3341520284.8556252</v>
      </c>
      <c r="S332">
        <f t="shared" si="972"/>
        <v>33415.202848556255</v>
      </c>
      <c r="T332">
        <f t="shared" si="973"/>
        <v>33.415202848556255</v>
      </c>
    </row>
    <row r="333" spans="1:20" x14ac:dyDescent="0.25">
      <c r="A333" s="5">
        <v>44260</v>
      </c>
      <c r="B333">
        <v>1.855</v>
      </c>
      <c r="C333">
        <v>1.889</v>
      </c>
      <c r="D333">
        <v>1.7230000000000001</v>
      </c>
      <c r="E333">
        <v>1.8262</v>
      </c>
      <c r="F333">
        <v>30065987.100000001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0.24337349397590366</v>
      </c>
      <c r="Q333">
        <f t="shared" si="970"/>
        <v>7317264.3303614473</v>
      </c>
      <c r="R333">
        <f t="shared" si="971"/>
        <v>3344904151.3330002</v>
      </c>
      <c r="S333">
        <f t="shared" si="972"/>
        <v>33449.041513330005</v>
      </c>
      <c r="T333">
        <f t="shared" si="973"/>
        <v>33.449041513330002</v>
      </c>
    </row>
    <row r="334" spans="1:20" x14ac:dyDescent="0.25">
      <c r="A334" s="5">
        <v>44259</v>
      </c>
      <c r="B334">
        <v>1.9527000000000001</v>
      </c>
      <c r="C334">
        <v>2.0449999999999999</v>
      </c>
      <c r="D334">
        <v>1.79169</v>
      </c>
      <c r="E334">
        <v>1.855</v>
      </c>
      <c r="F334">
        <v>37246529.600000001</v>
      </c>
      <c r="G334">
        <v>0</v>
      </c>
      <c r="L334" t="s">
        <v>7</v>
      </c>
      <c r="M334" t="s">
        <v>7</v>
      </c>
      <c r="N334" t="s">
        <v>8</v>
      </c>
      <c r="P334">
        <f t="shared" si="969"/>
        <v>-0.50013817062097832</v>
      </c>
      <c r="Q334">
        <f t="shared" si="970"/>
        <v>-18628411.176124118</v>
      </c>
      <c r="R334">
        <f t="shared" si="971"/>
        <v>3337586887.0026388</v>
      </c>
      <c r="S334">
        <f t="shared" si="972"/>
        <v>33375.868870026388</v>
      </c>
      <c r="T334">
        <f t="shared" si="973"/>
        <v>33.375868870026387</v>
      </c>
    </row>
    <row r="335" spans="1:20" x14ac:dyDescent="0.25">
      <c r="A335" s="5">
        <v>44258</v>
      </c>
      <c r="B335">
        <v>1.8289800000000001</v>
      </c>
      <c r="C335">
        <v>2.0844999999999998</v>
      </c>
      <c r="D335">
        <v>1.796</v>
      </c>
      <c r="E335">
        <v>1.9527000000000001</v>
      </c>
      <c r="F335">
        <v>54396781.5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8.6308492201041198E-2</v>
      </c>
      <c r="Q335">
        <f t="shared" si="970"/>
        <v>4694904.1918544918</v>
      </c>
      <c r="R335">
        <f t="shared" si="971"/>
        <v>3356215298.1787629</v>
      </c>
      <c r="S335">
        <f t="shared" si="972"/>
        <v>33562.152981787629</v>
      </c>
      <c r="T335">
        <f t="shared" si="973"/>
        <v>33.562152981787627</v>
      </c>
    </row>
    <row r="336" spans="1:20" x14ac:dyDescent="0.25">
      <c r="A336" s="5">
        <v>44257</v>
      </c>
      <c r="B336">
        <v>1.9259999999999999</v>
      </c>
      <c r="C336">
        <v>1.9826999999999999</v>
      </c>
      <c r="D336">
        <v>1.716</v>
      </c>
      <c r="E336">
        <v>1.8287899999999999</v>
      </c>
      <c r="F336">
        <v>49148020.799999997</v>
      </c>
      <c r="G336">
        <v>0</v>
      </c>
      <c r="L336" t="s">
        <v>8</v>
      </c>
      <c r="M336" t="s">
        <v>8</v>
      </c>
      <c r="N336" t="s">
        <v>8</v>
      </c>
      <c r="P336">
        <f t="shared" si="969"/>
        <v>-0.15418072740907407</v>
      </c>
      <c r="Q336">
        <f t="shared" si="970"/>
        <v>-7577677.5976603022</v>
      </c>
      <c r="R336">
        <f t="shared" si="971"/>
        <v>3351520393.9869084</v>
      </c>
      <c r="S336">
        <f t="shared" si="972"/>
        <v>33515.203939869083</v>
      </c>
      <c r="T336">
        <f t="shared" si="973"/>
        <v>33.515203939869082</v>
      </c>
    </row>
    <row r="337" spans="1:20" x14ac:dyDescent="0.25">
      <c r="A337" s="5">
        <v>44256</v>
      </c>
      <c r="B337">
        <v>1.59101</v>
      </c>
      <c r="C337">
        <v>1.9269000000000001</v>
      </c>
      <c r="D337">
        <v>1.5896699999999999</v>
      </c>
      <c r="E337">
        <v>1.92645</v>
      </c>
      <c r="F337">
        <v>46754571.200000003</v>
      </c>
      <c r="G337">
        <v>0</v>
      </c>
      <c r="L337" t="s">
        <v>8</v>
      </c>
      <c r="M337" t="s">
        <v>8</v>
      </c>
      <c r="N337" t="s">
        <v>7</v>
      </c>
      <c r="P337">
        <f t="shared" si="969"/>
        <v>0.99733119829196659</v>
      </c>
      <c r="Q337">
        <f t="shared" si="970"/>
        <v>46629792.520523071</v>
      </c>
      <c r="R337">
        <f t="shared" si="971"/>
        <v>3359098071.5845685</v>
      </c>
      <c r="S337">
        <f t="shared" si="972"/>
        <v>33590.980715845682</v>
      </c>
      <c r="T337">
        <f t="shared" si="973"/>
        <v>33.590980715845681</v>
      </c>
    </row>
    <row r="338" spans="1:20" x14ac:dyDescent="0.25">
      <c r="A338" s="5">
        <v>44255</v>
      </c>
      <c r="B338">
        <v>1.6821699999999999</v>
      </c>
      <c r="C338">
        <v>1.6914199999999999</v>
      </c>
      <c r="D338">
        <v>1.4183399999999999</v>
      </c>
      <c r="E338">
        <v>1.589</v>
      </c>
      <c r="F338">
        <v>37876939.700000003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0.24989014208290641</v>
      </c>
      <c r="Q338">
        <f t="shared" si="970"/>
        <v>9465073.8432986792</v>
      </c>
      <c r="R338">
        <f t="shared" si="971"/>
        <v>3312468279.0640454</v>
      </c>
      <c r="S338">
        <f t="shared" si="972"/>
        <v>33124.682790640458</v>
      </c>
      <c r="T338">
        <f t="shared" si="973"/>
        <v>33.124682790640456</v>
      </c>
    </row>
    <row r="339" spans="1:20" x14ac:dyDescent="0.25">
      <c r="A339" s="5">
        <v>44254</v>
      </c>
      <c r="B339">
        <v>1.7270099999999999</v>
      </c>
      <c r="C339">
        <v>1.82</v>
      </c>
      <c r="D339">
        <v>1.6303799999999999</v>
      </c>
      <c r="E339">
        <v>1.6830000000000001</v>
      </c>
      <c r="F339">
        <v>31578663.5</v>
      </c>
      <c r="G339">
        <v>0</v>
      </c>
      <c r="L339" t="s">
        <v>8</v>
      </c>
      <c r="M339" t="s">
        <v>7</v>
      </c>
      <c r="N339" t="s">
        <v>8</v>
      </c>
      <c r="P339">
        <f t="shared" si="969"/>
        <v>-0.44499525366522436</v>
      </c>
      <c r="Q339">
        <f t="shared" si="970"/>
        <v>-14052355.374591261</v>
      </c>
      <c r="R339">
        <f t="shared" si="971"/>
        <v>3303003205.2207465</v>
      </c>
      <c r="S339">
        <f t="shared" si="972"/>
        <v>33030.032052207462</v>
      </c>
      <c r="T339">
        <f t="shared" si="973"/>
        <v>33.03003205220746</v>
      </c>
    </row>
    <row r="340" spans="1:20" x14ac:dyDescent="0.25">
      <c r="A340" s="5">
        <v>44253</v>
      </c>
      <c r="B340">
        <v>1.72593</v>
      </c>
      <c r="C340">
        <v>1.87</v>
      </c>
      <c r="D340">
        <v>1.5628599999999999</v>
      </c>
      <c r="E340">
        <v>1.7262999999999999</v>
      </c>
      <c r="F340">
        <v>57242278.100000001</v>
      </c>
      <c r="G340">
        <v>0</v>
      </c>
      <c r="L340" t="s">
        <v>7</v>
      </c>
      <c r="M340" t="s">
        <v>7</v>
      </c>
      <c r="N340" t="s">
        <v>8</v>
      </c>
      <c r="P340">
        <f t="shared" si="969"/>
        <v>6.4270365305723304E-2</v>
      </c>
      <c r="Q340">
        <f t="shared" si="970"/>
        <v>3678982.1244188049</v>
      </c>
      <c r="R340">
        <f t="shared" si="971"/>
        <v>3317055560.5953379</v>
      </c>
      <c r="S340">
        <f t="shared" si="972"/>
        <v>33170.555605953377</v>
      </c>
      <c r="T340">
        <f t="shared" si="973"/>
        <v>33.170555605953375</v>
      </c>
    </row>
    <row r="341" spans="1:20" x14ac:dyDescent="0.25">
      <c r="A341" s="5">
        <v>44252</v>
      </c>
      <c r="B341">
        <v>1.8960699999999999</v>
      </c>
      <c r="C341">
        <v>1.9959899999999999</v>
      </c>
      <c r="D341">
        <v>1.6957100000000001</v>
      </c>
      <c r="E341">
        <v>1.72272</v>
      </c>
      <c r="F341">
        <v>51288310.5</v>
      </c>
      <c r="G341">
        <v>0</v>
      </c>
      <c r="L341" t="s">
        <v>7</v>
      </c>
      <c r="M341" t="s">
        <v>7</v>
      </c>
      <c r="N341" t="s">
        <v>8</v>
      </c>
      <c r="P341">
        <f t="shared" si="969"/>
        <v>-0.82010123884374586</v>
      </c>
      <c r="Q341">
        <f t="shared" si="970"/>
        <v>-42061606.979252696</v>
      </c>
      <c r="R341">
        <f t="shared" si="971"/>
        <v>3313376578.4709191</v>
      </c>
      <c r="S341">
        <f t="shared" si="972"/>
        <v>33133.76578470919</v>
      </c>
      <c r="T341">
        <f t="shared" si="973"/>
        <v>33.13376578470919</v>
      </c>
    </row>
    <row r="342" spans="1:20" x14ac:dyDescent="0.25">
      <c r="A342" s="5">
        <v>44251</v>
      </c>
      <c r="B342">
        <v>1.7036199999999999</v>
      </c>
      <c r="C342">
        <v>2.04</v>
      </c>
      <c r="D342">
        <v>1.5975299999999999</v>
      </c>
      <c r="E342">
        <v>1.8960699999999999</v>
      </c>
      <c r="F342">
        <v>68996709.099999994</v>
      </c>
      <c r="G342">
        <v>0</v>
      </c>
      <c r="L342" t="s">
        <v>8</v>
      </c>
      <c r="M342" t="s">
        <v>8</v>
      </c>
      <c r="N342" t="s">
        <v>8</v>
      </c>
      <c r="P342">
        <f t="shared" si="969"/>
        <v>0.34942481976179146</v>
      </c>
      <c r="Q342">
        <f t="shared" si="970"/>
        <v>24109162.641424254</v>
      </c>
      <c r="R342">
        <f t="shared" si="971"/>
        <v>3355438185.4501719</v>
      </c>
      <c r="S342">
        <f t="shared" si="972"/>
        <v>33554.38185450172</v>
      </c>
      <c r="T342">
        <f t="shared" si="973"/>
        <v>33.55438185450172</v>
      </c>
    </row>
    <row r="343" spans="1:20" x14ac:dyDescent="0.25">
      <c r="A343" s="5">
        <v>44250</v>
      </c>
      <c r="B343">
        <v>2.0206400000000002</v>
      </c>
      <c r="C343">
        <v>2.0299999999999998</v>
      </c>
      <c r="D343">
        <v>1.3</v>
      </c>
      <c r="E343">
        <v>1.7075400000000001</v>
      </c>
      <c r="F343">
        <v>120343806.90000001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0.11654794520547986</v>
      </c>
      <c r="Q343">
        <f t="shared" si="970"/>
        <v>14025823.41240005</v>
      </c>
      <c r="R343">
        <f t="shared" si="971"/>
        <v>3331329022.8087478</v>
      </c>
      <c r="S343">
        <f t="shared" si="972"/>
        <v>33313.290228087477</v>
      </c>
      <c r="T343">
        <f t="shared" si="973"/>
        <v>33.313290228087475</v>
      </c>
    </row>
    <row r="344" spans="1:20" x14ac:dyDescent="0.25">
      <c r="A344" s="5">
        <v>44249</v>
      </c>
      <c r="B344">
        <v>2.3036400000000001</v>
      </c>
      <c r="C344">
        <v>2.44</v>
      </c>
      <c r="D344">
        <v>1.6148499999999999</v>
      </c>
      <c r="E344">
        <v>2.0187499999999998</v>
      </c>
      <c r="F344">
        <v>99697059</v>
      </c>
      <c r="G344">
        <v>0</v>
      </c>
      <c r="L344" t="s">
        <v>8</v>
      </c>
      <c r="M344" t="s">
        <v>7</v>
      </c>
      <c r="N344" t="s">
        <v>7</v>
      </c>
      <c r="P344">
        <f t="shared" si="969"/>
        <v>-2.1026480033933464E-2</v>
      </c>
      <c r="Q344">
        <f t="shared" si="970"/>
        <v>-2096278.2205053866</v>
      </c>
      <c r="R344">
        <f t="shared" si="971"/>
        <v>3317303199.3963475</v>
      </c>
      <c r="S344">
        <f t="shared" si="972"/>
        <v>33173.031993963472</v>
      </c>
      <c r="T344">
        <f t="shared" si="973"/>
        <v>33.17303199396347</v>
      </c>
    </row>
    <row r="345" spans="1:20" x14ac:dyDescent="0.25">
      <c r="A345" s="5">
        <v>44248</v>
      </c>
      <c r="B345">
        <v>2.2841200000000002</v>
      </c>
      <c r="C345">
        <v>2.3959999999999999</v>
      </c>
      <c r="D345">
        <v>2.1815699999999998</v>
      </c>
      <c r="E345">
        <v>2.3018000000000001</v>
      </c>
      <c r="F345">
        <v>50653383.399999999</v>
      </c>
      <c r="G345">
        <v>0</v>
      </c>
      <c r="L345" t="s">
        <v>8</v>
      </c>
      <c r="M345" t="s">
        <v>7</v>
      </c>
      <c r="N345" t="s">
        <v>8</v>
      </c>
      <c r="P345">
        <f t="shared" si="969"/>
        <v>0.12139159632514307</v>
      </c>
      <c r="Q345">
        <f t="shared" si="970"/>
        <v>6148895.0701955026</v>
      </c>
      <c r="R345">
        <f t="shared" si="971"/>
        <v>3319399477.6168528</v>
      </c>
      <c r="S345">
        <f t="shared" si="972"/>
        <v>33193.994776168525</v>
      </c>
      <c r="T345">
        <f t="shared" si="973"/>
        <v>33.193994776168523</v>
      </c>
    </row>
    <row r="346" spans="1:20" x14ac:dyDescent="0.25">
      <c r="A346" s="5">
        <v>44247</v>
      </c>
      <c r="B346">
        <v>2.1649600000000002</v>
      </c>
      <c r="C346">
        <v>2.67</v>
      </c>
      <c r="D346">
        <v>2.01193</v>
      </c>
      <c r="E346">
        <v>2.2850000000000001</v>
      </c>
      <c r="F346">
        <v>110873047.09999999</v>
      </c>
      <c r="G346">
        <v>0</v>
      </c>
      <c r="L346" t="s">
        <v>7</v>
      </c>
      <c r="M346" t="s">
        <v>8</v>
      </c>
      <c r="N346" t="s">
        <v>8</v>
      </c>
      <c r="P346">
        <f t="shared" si="969"/>
        <v>-0.17008828847994842</v>
      </c>
      <c r="Q346">
        <f t="shared" si="970"/>
        <v>-18858206.819795709</v>
      </c>
      <c r="R346">
        <f t="shared" si="971"/>
        <v>3313250582.5466571</v>
      </c>
      <c r="S346">
        <f t="shared" si="972"/>
        <v>33132.505825466571</v>
      </c>
      <c r="T346">
        <f t="shared" si="973"/>
        <v>33.132505825466573</v>
      </c>
    </row>
    <row r="347" spans="1:20" x14ac:dyDescent="0.25">
      <c r="A347" s="5">
        <v>44246</v>
      </c>
      <c r="B347">
        <v>2.2938100000000001</v>
      </c>
      <c r="C347">
        <v>2.33379</v>
      </c>
      <c r="D347">
        <v>2.1</v>
      </c>
      <c r="E347">
        <v>2.16364</v>
      </c>
      <c r="F347">
        <v>48311468.700000003</v>
      </c>
      <c r="G347">
        <v>0</v>
      </c>
      <c r="L347" t="s">
        <v>7</v>
      </c>
      <c r="M347" t="s">
        <v>8</v>
      </c>
      <c r="N347" t="s">
        <v>7</v>
      </c>
      <c r="P347">
        <f t="shared" si="969"/>
        <v>-0.45557979383207209</v>
      </c>
      <c r="Q347">
        <f t="shared" si="970"/>
        <v>-22009728.950070605</v>
      </c>
      <c r="R347">
        <f t="shared" si="971"/>
        <v>3332108789.3664527</v>
      </c>
      <c r="S347">
        <f t="shared" si="972"/>
        <v>33321.087893664524</v>
      </c>
      <c r="T347">
        <f t="shared" si="973"/>
        <v>33.321087893664526</v>
      </c>
    </row>
    <row r="348" spans="1:20" x14ac:dyDescent="0.25">
      <c r="A348" s="5">
        <v>44245</v>
      </c>
      <c r="B348">
        <v>2.1798199999999999</v>
      </c>
      <c r="C348">
        <v>2.3517700000000001</v>
      </c>
      <c r="D348">
        <v>2.1233399999999998</v>
      </c>
      <c r="E348">
        <v>2.2947199999999999</v>
      </c>
      <c r="F348">
        <v>68743442.799999997</v>
      </c>
      <c r="G348">
        <v>0</v>
      </c>
      <c r="L348" t="s">
        <v>8</v>
      </c>
      <c r="M348" t="s">
        <v>8</v>
      </c>
      <c r="N348" t="s">
        <v>7</v>
      </c>
      <c r="P348">
        <f t="shared" si="969"/>
        <v>0.50050343650133367</v>
      </c>
      <c r="Q348">
        <f t="shared" si="970"/>
        <v>34406329.358332865</v>
      </c>
      <c r="R348">
        <f t="shared" si="971"/>
        <v>3354118518.3165231</v>
      </c>
      <c r="S348">
        <f t="shared" si="972"/>
        <v>33541.185183165231</v>
      </c>
      <c r="T348">
        <f t="shared" si="973"/>
        <v>33.541185183165233</v>
      </c>
    </row>
    <row r="349" spans="1:20" x14ac:dyDescent="0.25">
      <c r="A349" s="5">
        <v>44244</v>
      </c>
      <c r="B349">
        <v>2.0654599999999999</v>
      </c>
      <c r="C349">
        <v>2.2150599999999998</v>
      </c>
      <c r="D349">
        <v>1.9023000000000001</v>
      </c>
      <c r="E349">
        <v>2.1798299999999999</v>
      </c>
      <c r="F349">
        <v>70039814.599999994</v>
      </c>
      <c r="G349">
        <v>0</v>
      </c>
      <c r="L349" t="s">
        <v>7</v>
      </c>
      <c r="M349" t="s">
        <v>8</v>
      </c>
      <c r="N349" t="s">
        <v>7</v>
      </c>
      <c r="P349">
        <f t="shared" si="969"/>
        <v>0.77471543675661914</v>
      </c>
      <c r="Q349">
        <f t="shared" si="970"/>
        <v>54260925.558191627</v>
      </c>
      <c r="R349">
        <f t="shared" si="971"/>
        <v>3319712188.9581904</v>
      </c>
      <c r="S349">
        <f t="shared" si="972"/>
        <v>33197.121889581904</v>
      </c>
      <c r="T349">
        <f t="shared" si="973"/>
        <v>33.197121889581901</v>
      </c>
    </row>
    <row r="350" spans="1:20" x14ac:dyDescent="0.25">
      <c r="A350" s="5">
        <v>44243</v>
      </c>
      <c r="B350">
        <v>2.1376499999999998</v>
      </c>
      <c r="C350">
        <v>2.2799100000000001</v>
      </c>
      <c r="D350">
        <v>2.0202800000000001</v>
      </c>
      <c r="E350">
        <v>2.0654599999999999</v>
      </c>
      <c r="F350">
        <v>59415882.200000003</v>
      </c>
      <c r="G350">
        <v>0</v>
      </c>
      <c r="L350" t="s">
        <v>8</v>
      </c>
      <c r="M350" t="s">
        <v>8</v>
      </c>
      <c r="N350" t="s">
        <v>7</v>
      </c>
      <c r="P350">
        <f t="shared" si="969"/>
        <v>-0.65196625967723476</v>
      </c>
      <c r="Q350">
        <f t="shared" si="970"/>
        <v>-38737150.483357191</v>
      </c>
      <c r="R350">
        <f t="shared" si="971"/>
        <v>3265451263.3999987</v>
      </c>
      <c r="S350">
        <f t="shared" si="972"/>
        <v>32654.512633999988</v>
      </c>
      <c r="T350">
        <f t="shared" si="973"/>
        <v>32.654512633999985</v>
      </c>
    </row>
    <row r="351" spans="1:20" x14ac:dyDescent="0.25">
      <c r="A351" s="5">
        <v>44242</v>
      </c>
      <c r="B351">
        <v>2.1632500000000001</v>
      </c>
      <c r="C351">
        <v>2.44</v>
      </c>
      <c r="D351">
        <v>1.6700200000000001</v>
      </c>
      <c r="E351">
        <v>2.1369899999999999</v>
      </c>
      <c r="F351">
        <v>129236526.09999999</v>
      </c>
      <c r="G351">
        <v>0</v>
      </c>
      <c r="L351" t="s">
        <v>7</v>
      </c>
      <c r="M351" t="s">
        <v>7</v>
      </c>
      <c r="N351" t="s">
        <v>7</v>
      </c>
      <c r="P351">
        <f t="shared" si="969"/>
        <v>0.2129405958596326</v>
      </c>
      <c r="Q351">
        <f t="shared" si="970"/>
        <v>27519702.87456296</v>
      </c>
      <c r="R351">
        <f t="shared" si="971"/>
        <v>3304188413.8833556</v>
      </c>
      <c r="S351">
        <f t="shared" si="972"/>
        <v>33041.884138833557</v>
      </c>
      <c r="T351">
        <f t="shared" si="973"/>
        <v>33.041884138833559</v>
      </c>
    </row>
    <row r="352" spans="1:20" x14ac:dyDescent="0.25">
      <c r="A352" s="5">
        <v>44241</v>
      </c>
      <c r="B352">
        <v>2.3329</v>
      </c>
      <c r="C352">
        <v>2.4139699999999999</v>
      </c>
      <c r="D352">
        <v>1.9</v>
      </c>
      <c r="E352">
        <v>2.1608200000000002</v>
      </c>
      <c r="F352">
        <v>103114164.7</v>
      </c>
      <c r="G352">
        <v>0</v>
      </c>
      <c r="L352" t="s">
        <v>7</v>
      </c>
      <c r="M352" t="s">
        <v>7</v>
      </c>
      <c r="N352" t="s">
        <v>7</v>
      </c>
      <c r="P352">
        <f t="shared" si="969"/>
        <v>1.492304998346306E-2</v>
      </c>
      <c r="Q352">
        <f t="shared" si="970"/>
        <v>1538777.8338211423</v>
      </c>
      <c r="R352">
        <f t="shared" si="971"/>
        <v>3276668711.0087929</v>
      </c>
      <c r="S352">
        <f t="shared" si="972"/>
        <v>32766.687110087929</v>
      </c>
      <c r="T352">
        <f t="shared" si="973"/>
        <v>32.766687110087929</v>
      </c>
    </row>
    <row r="353" spans="1:20" x14ac:dyDescent="0.25">
      <c r="A353" s="5">
        <v>44240</v>
      </c>
      <c r="B353">
        <v>2.23448</v>
      </c>
      <c r="C353">
        <v>2.59</v>
      </c>
      <c r="D353">
        <v>2.17</v>
      </c>
      <c r="E353">
        <v>2.3329</v>
      </c>
      <c r="F353">
        <v>102164838.5</v>
      </c>
      <c r="G353">
        <v>0</v>
      </c>
      <c r="L353" t="s">
        <v>7</v>
      </c>
      <c r="M353" t="s">
        <v>7</v>
      </c>
      <c r="N353" t="s">
        <v>8</v>
      </c>
      <c r="P353">
        <f t="shared" si="969"/>
        <v>-0.22428571428571395</v>
      </c>
      <c r="Q353">
        <f t="shared" si="970"/>
        <v>-22914113.77785711</v>
      </c>
      <c r="R353">
        <f t="shared" si="971"/>
        <v>3275129933.1749716</v>
      </c>
      <c r="S353">
        <f t="shared" si="972"/>
        <v>32751.299331749717</v>
      </c>
      <c r="T353">
        <f t="shared" si="973"/>
        <v>32.751299331749713</v>
      </c>
    </row>
    <row r="354" spans="1:20" x14ac:dyDescent="0.25">
      <c r="A354" s="5">
        <v>44239</v>
      </c>
      <c r="B354">
        <v>2.03592</v>
      </c>
      <c r="C354">
        <v>2.8807299999999998</v>
      </c>
      <c r="D354">
        <v>1.8955</v>
      </c>
      <c r="E354">
        <v>2.23448</v>
      </c>
      <c r="F354">
        <v>369557880.60000002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-0.311876414644296</v>
      </c>
      <c r="Q354">
        <f t="shared" si="970"/>
        <v>-115256386.80507284</v>
      </c>
      <c r="R354">
        <f t="shared" si="971"/>
        <v>3298044046.9528289</v>
      </c>
      <c r="S354">
        <f t="shared" si="972"/>
        <v>32980.440469528286</v>
      </c>
      <c r="T354">
        <f t="shared" si="973"/>
        <v>32.98044046952829</v>
      </c>
    </row>
    <row r="355" spans="1:20" x14ac:dyDescent="0.25">
      <c r="A355" s="5">
        <v>44238</v>
      </c>
      <c r="B355">
        <v>1.26844</v>
      </c>
      <c r="C355">
        <v>2.2000000000000002</v>
      </c>
      <c r="D355">
        <v>1.19736</v>
      </c>
      <c r="E355">
        <v>2.0370900000000001</v>
      </c>
      <c r="F355">
        <v>366900822.80000001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0.67503789994414731</v>
      </c>
      <c r="Q355">
        <f t="shared" si="970"/>
        <v>247671960.91069174</v>
      </c>
      <c r="R355">
        <f t="shared" si="971"/>
        <v>3413300433.7579017</v>
      </c>
      <c r="S355">
        <f t="shared" si="972"/>
        <v>34133.004337579019</v>
      </c>
      <c r="T355">
        <f t="shared" si="973"/>
        <v>34.133004337579017</v>
      </c>
    </row>
    <row r="356" spans="1:20" x14ac:dyDescent="0.25">
      <c r="A356" s="5">
        <v>44237</v>
      </c>
      <c r="B356">
        <v>1.054</v>
      </c>
      <c r="C356">
        <v>1.2898700000000001</v>
      </c>
      <c r="D356">
        <v>0.98418000000000005</v>
      </c>
      <c r="E356">
        <v>1.26668</v>
      </c>
      <c r="F356">
        <v>169781174.5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0.84827766691746509</v>
      </c>
      <c r="Q356">
        <f t="shared" si="970"/>
        <v>144021578.59136701</v>
      </c>
      <c r="R356">
        <f t="shared" si="971"/>
        <v>3165628472.8472099</v>
      </c>
      <c r="S356">
        <f t="shared" si="972"/>
        <v>31656.284728472099</v>
      </c>
      <c r="T356">
        <f t="shared" si="973"/>
        <v>31.656284728472098</v>
      </c>
    </row>
    <row r="357" spans="1:20" x14ac:dyDescent="0.25">
      <c r="A357" s="5">
        <v>44236</v>
      </c>
      <c r="B357">
        <v>0.96923000000000004</v>
      </c>
      <c r="C357">
        <v>1.09876</v>
      </c>
      <c r="D357">
        <v>0.94055</v>
      </c>
      <c r="E357">
        <v>1.0527299999999999</v>
      </c>
      <c r="F357">
        <v>74536817.799999997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0.41811516339043009</v>
      </c>
      <c r="Q357">
        <f t="shared" si="970"/>
        <v>31164973.753049716</v>
      </c>
      <c r="R357">
        <f t="shared" si="971"/>
        <v>3021606894.2558427</v>
      </c>
      <c r="S357">
        <f t="shared" si="972"/>
        <v>30216.068942558428</v>
      </c>
      <c r="T357">
        <f t="shared" si="973"/>
        <v>30.216068942558429</v>
      </c>
    </row>
    <row r="358" spans="1:20" x14ac:dyDescent="0.25">
      <c r="A358" s="5">
        <v>44235</v>
      </c>
      <c r="B358">
        <v>0.91739000000000004</v>
      </c>
      <c r="C358">
        <v>1.04572</v>
      </c>
      <c r="D358">
        <v>0.91200000000000003</v>
      </c>
      <c r="E358">
        <v>0.96894999999999998</v>
      </c>
      <c r="F358">
        <v>113368936.40000001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-0.14822016153155898</v>
      </c>
      <c r="Q358">
        <f t="shared" si="970"/>
        <v>-16803562.065869037</v>
      </c>
      <c r="R358">
        <f t="shared" si="971"/>
        <v>2990441920.5027928</v>
      </c>
      <c r="S358">
        <f t="shared" si="972"/>
        <v>29904.419205027927</v>
      </c>
      <c r="T358">
        <f t="shared" si="973"/>
        <v>29.904419205027928</v>
      </c>
    </row>
    <row r="359" spans="1:20" x14ac:dyDescent="0.25">
      <c r="A359" s="5">
        <v>44234</v>
      </c>
      <c r="B359">
        <v>0.86606000000000005</v>
      </c>
      <c r="C359">
        <v>0.95826999999999996</v>
      </c>
      <c r="D359">
        <v>0.77676999999999996</v>
      </c>
      <c r="E359">
        <v>0.91807000000000005</v>
      </c>
      <c r="F359">
        <v>111315667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0.55702479338843081</v>
      </c>
      <c r="Q359">
        <f t="shared" si="970"/>
        <v>62005586.411570363</v>
      </c>
      <c r="R359">
        <f t="shared" si="971"/>
        <v>3007245482.5686617</v>
      </c>
      <c r="S359">
        <f t="shared" si="972"/>
        <v>30072.454825686618</v>
      </c>
      <c r="T359">
        <f t="shared" si="973"/>
        <v>30.07245482568662</v>
      </c>
    </row>
    <row r="360" spans="1:20" x14ac:dyDescent="0.25">
      <c r="A360" s="5">
        <v>44233</v>
      </c>
      <c r="B360">
        <v>0.9496</v>
      </c>
      <c r="C360">
        <v>0.95433000000000001</v>
      </c>
      <c r="D360">
        <v>0.83289999999999997</v>
      </c>
      <c r="E360">
        <v>0.86500999999999995</v>
      </c>
      <c r="F360">
        <v>94933320.700000003</v>
      </c>
      <c r="G360">
        <v>0</v>
      </c>
      <c r="L360" t="s">
        <v>7</v>
      </c>
      <c r="M360" t="s">
        <v>7</v>
      </c>
      <c r="N360" t="s">
        <v>8</v>
      </c>
      <c r="P360">
        <f t="shared" si="969"/>
        <v>-0.4711356336984277</v>
      </c>
      <c r="Q360">
        <f t="shared" si="970"/>
        <v>-44726470.207090564</v>
      </c>
      <c r="R360">
        <f t="shared" si="971"/>
        <v>2945239896.1570911</v>
      </c>
      <c r="S360">
        <f t="shared" si="972"/>
        <v>29452.398961570911</v>
      </c>
      <c r="T360">
        <f t="shared" si="973"/>
        <v>29.452398961570911</v>
      </c>
    </row>
    <row r="361" spans="1:20" x14ac:dyDescent="0.25">
      <c r="A361" s="5">
        <v>44232</v>
      </c>
      <c r="B361">
        <v>0.81476000000000004</v>
      </c>
      <c r="C361">
        <v>1.05044</v>
      </c>
      <c r="D361">
        <v>0.80062999999999995</v>
      </c>
      <c r="E361">
        <v>0.94945999999999997</v>
      </c>
      <c r="F361">
        <v>157617374.19999999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0.19154557463672364</v>
      </c>
      <c r="Q361">
        <f t="shared" si="970"/>
        <v>30190910.513870496</v>
      </c>
      <c r="R361">
        <f t="shared" si="971"/>
        <v>2989966366.3641815</v>
      </c>
      <c r="S361">
        <f t="shared" si="972"/>
        <v>29899.663663641815</v>
      </c>
      <c r="T361">
        <f t="shared" si="973"/>
        <v>29.899663663641814</v>
      </c>
    </row>
    <row r="362" spans="1:20" x14ac:dyDescent="0.25">
      <c r="A362" s="5">
        <v>44231</v>
      </c>
      <c r="B362">
        <v>0.82462000000000002</v>
      </c>
      <c r="C362">
        <v>0.86024999999999996</v>
      </c>
      <c r="D362">
        <v>0.75995999999999997</v>
      </c>
      <c r="E362">
        <v>0.81616999999999995</v>
      </c>
      <c r="F362">
        <v>118372482.2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0.12094924718316856</v>
      </c>
      <c r="Q362">
        <f t="shared" si="970"/>
        <v>14317062.609293021</v>
      </c>
      <c r="R362">
        <f t="shared" si="971"/>
        <v>2959775455.8503108</v>
      </c>
      <c r="S362">
        <f t="shared" si="972"/>
        <v>29597.754558503108</v>
      </c>
      <c r="T362">
        <f t="shared" si="973"/>
        <v>29.597754558503109</v>
      </c>
    </row>
    <row r="363" spans="1:20" x14ac:dyDescent="0.25">
      <c r="A363" s="5">
        <v>44230</v>
      </c>
      <c r="B363">
        <v>0.75205</v>
      </c>
      <c r="C363">
        <v>0.86839999999999995</v>
      </c>
      <c r="D363">
        <v>0.72499999999999998</v>
      </c>
      <c r="E363">
        <v>0.82499999999999996</v>
      </c>
      <c r="F363">
        <v>112354483.8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0.39470013947001392</v>
      </c>
      <c r="Q363">
        <f t="shared" si="970"/>
        <v>44346330.425941415</v>
      </c>
      <c r="R363">
        <f t="shared" si="971"/>
        <v>2945458393.2410178</v>
      </c>
      <c r="S363">
        <f t="shared" si="972"/>
        <v>29454.58393241018</v>
      </c>
      <c r="T363">
        <f t="shared" si="973"/>
        <v>29.454583932410181</v>
      </c>
    </row>
    <row r="364" spans="1:20" x14ac:dyDescent="0.25">
      <c r="A364" s="5">
        <v>44229</v>
      </c>
      <c r="B364">
        <v>0.78413999999999995</v>
      </c>
      <c r="C364">
        <v>0.81993000000000005</v>
      </c>
      <c r="D364">
        <v>0.72311999999999999</v>
      </c>
      <c r="E364">
        <v>0.75205</v>
      </c>
      <c r="F364">
        <v>109622872.40000001</v>
      </c>
      <c r="G364">
        <v>0</v>
      </c>
      <c r="L364" t="s">
        <v>7</v>
      </c>
      <c r="M364" t="s">
        <v>7</v>
      </c>
      <c r="N364" t="s">
        <v>8</v>
      </c>
      <c r="P364">
        <f t="shared" si="969"/>
        <v>-0.40233446957958902</v>
      </c>
      <c r="Q364">
        <f t="shared" si="970"/>
        <v>-44105060.220844969</v>
      </c>
      <c r="R364">
        <f t="shared" si="971"/>
        <v>2901112062.8150764</v>
      </c>
      <c r="S364">
        <f t="shared" si="972"/>
        <v>29011.120628150762</v>
      </c>
      <c r="T364">
        <f t="shared" si="973"/>
        <v>29.011120628150763</v>
      </c>
    </row>
    <row r="365" spans="1:20" x14ac:dyDescent="0.25">
      <c r="A365" s="5">
        <v>44228</v>
      </c>
      <c r="B365">
        <v>0.79449999999999998</v>
      </c>
      <c r="C365">
        <v>0.88390000000000002</v>
      </c>
      <c r="D365">
        <v>0.74783999999999995</v>
      </c>
      <c r="E365">
        <v>0.78310999999999997</v>
      </c>
      <c r="F365">
        <v>179927084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-0.48155225635748927</v>
      </c>
      <c r="Q365">
        <f t="shared" si="970"/>
        <v>-86644293.2800235</v>
      </c>
      <c r="R365">
        <f t="shared" si="971"/>
        <v>2945217123.0359211</v>
      </c>
      <c r="S365">
        <f t="shared" si="972"/>
        <v>29452.17123035921</v>
      </c>
      <c r="T365">
        <f t="shared" si="973"/>
        <v>29.452171230359209</v>
      </c>
    </row>
    <row r="366" spans="1:20" x14ac:dyDescent="0.25">
      <c r="A366" s="5">
        <v>44227</v>
      </c>
      <c r="B366">
        <v>0.63700000000000001</v>
      </c>
      <c r="C366">
        <v>0.86499999999999999</v>
      </c>
      <c r="D366">
        <v>0.60062000000000004</v>
      </c>
      <c r="E366">
        <v>0.79447999999999996</v>
      </c>
      <c r="F366">
        <v>281650359.10000002</v>
      </c>
      <c r="G366">
        <v>0</v>
      </c>
      <c r="L366" t="s">
        <v>8</v>
      </c>
      <c r="M366" t="s">
        <v>8</v>
      </c>
      <c r="N366" t="s">
        <v>8</v>
      </c>
      <c r="P366">
        <f t="shared" si="969"/>
        <v>0.46652545578334187</v>
      </c>
      <c r="Q366">
        <f t="shared" si="970"/>
        <v>131397062.15066943</v>
      </c>
      <c r="R366">
        <f t="shared" si="971"/>
        <v>3031861416.3159447</v>
      </c>
      <c r="S366">
        <f t="shared" si="972"/>
        <v>30318.614163159447</v>
      </c>
      <c r="T366">
        <f t="shared" si="973"/>
        <v>30.318614163159449</v>
      </c>
    </row>
    <row r="367" spans="1:20" x14ac:dyDescent="0.25">
      <c r="A367" s="5">
        <v>44226</v>
      </c>
      <c r="B367">
        <v>0.55291000000000001</v>
      </c>
      <c r="C367">
        <v>0.68400000000000005</v>
      </c>
      <c r="D367">
        <v>0.55201</v>
      </c>
      <c r="E367">
        <v>0.63734000000000002</v>
      </c>
      <c r="F367">
        <v>170787478.59999999</v>
      </c>
      <c r="G367">
        <v>0</v>
      </c>
      <c r="L367" t="s">
        <v>8</v>
      </c>
      <c r="M367" t="s">
        <v>8</v>
      </c>
      <c r="N367" t="s">
        <v>8</v>
      </c>
      <c r="P367">
        <f t="shared" si="969"/>
        <v>0.29297674066217111</v>
      </c>
      <c r="Q367">
        <f t="shared" si="970"/>
        <v>50036758.826138295</v>
      </c>
      <c r="R367">
        <f t="shared" si="971"/>
        <v>2900464354.1652751</v>
      </c>
      <c r="S367">
        <f t="shared" si="972"/>
        <v>29004.643541652749</v>
      </c>
      <c r="T367">
        <f t="shared" si="973"/>
        <v>29.004643541652751</v>
      </c>
    </row>
    <row r="368" spans="1:20" x14ac:dyDescent="0.25">
      <c r="A368" s="5">
        <v>44225</v>
      </c>
      <c r="B368">
        <v>0.55600000000000005</v>
      </c>
      <c r="C368">
        <v>0.66500000000000004</v>
      </c>
      <c r="D368">
        <v>0.5252</v>
      </c>
      <c r="E368">
        <v>0.55281999999999998</v>
      </c>
      <c r="F368">
        <v>206830617.59999999</v>
      </c>
      <c r="G368">
        <v>0</v>
      </c>
      <c r="L368" t="s">
        <v>8</v>
      </c>
      <c r="M368" t="s">
        <v>8</v>
      </c>
      <c r="N368" t="s">
        <v>8</v>
      </c>
      <c r="P368">
        <f t="shared" si="969"/>
        <v>-0.60486409155937093</v>
      </c>
      <c r="Q368">
        <f t="shared" si="970"/>
        <v>-125104413.62128763</v>
      </c>
      <c r="R368">
        <f t="shared" si="971"/>
        <v>2850427595.3391366</v>
      </c>
      <c r="S368">
        <f t="shared" si="972"/>
        <v>28504.275953391367</v>
      </c>
      <c r="T368">
        <f t="shared" si="973"/>
        <v>28.504275953391367</v>
      </c>
    </row>
    <row r="369" spans="1:20" x14ac:dyDescent="0.25">
      <c r="A369" s="5">
        <v>44224</v>
      </c>
      <c r="B369">
        <v>0.48459999999999998</v>
      </c>
      <c r="C369">
        <v>0.58379000000000003</v>
      </c>
      <c r="D369">
        <v>0.46750000000000003</v>
      </c>
      <c r="E369">
        <v>0.55600000000000005</v>
      </c>
      <c r="F369">
        <v>136166967.30000001</v>
      </c>
      <c r="G369">
        <v>0</v>
      </c>
      <c r="L369" t="s">
        <v>8</v>
      </c>
      <c r="M369" t="s">
        <v>8</v>
      </c>
      <c r="N369" t="s">
        <v>8</v>
      </c>
      <c r="P369">
        <f t="shared" si="969"/>
        <v>0.52205692664889536</v>
      </c>
      <c r="Q369">
        <f t="shared" si="970"/>
        <v>71086908.459738642</v>
      </c>
      <c r="R369">
        <f t="shared" si="971"/>
        <v>2975532008.9604244</v>
      </c>
      <c r="S369">
        <f t="shared" si="972"/>
        <v>29755.320089604244</v>
      </c>
      <c r="T369">
        <f t="shared" si="973"/>
        <v>29.755320089604243</v>
      </c>
    </row>
    <row r="370" spans="1:20" x14ac:dyDescent="0.25">
      <c r="A370" s="5">
        <v>44223</v>
      </c>
      <c r="B370">
        <v>0.53749999999999998</v>
      </c>
      <c r="C370">
        <v>0.54613999999999996</v>
      </c>
      <c r="D370">
        <v>0.45327000000000001</v>
      </c>
      <c r="E370">
        <v>0.48465000000000003</v>
      </c>
      <c r="F370">
        <v>84714099.400000006</v>
      </c>
      <c r="G370">
        <v>0</v>
      </c>
      <c r="L370" t="s">
        <v>7</v>
      </c>
      <c r="M370" t="s">
        <v>7</v>
      </c>
      <c r="N370" t="s">
        <v>8</v>
      </c>
      <c r="P370">
        <f t="shared" si="969"/>
        <v>-0.32421664692580954</v>
      </c>
      <c r="Q370">
        <f t="shared" si="970"/>
        <v>-27465721.254807737</v>
      </c>
      <c r="R370">
        <f t="shared" si="971"/>
        <v>2904445100.5006857</v>
      </c>
      <c r="S370">
        <f t="shared" si="972"/>
        <v>29044.451005006857</v>
      </c>
      <c r="T370">
        <f t="shared" si="973"/>
        <v>29.044451005006856</v>
      </c>
    </row>
    <row r="371" spans="1:20" x14ac:dyDescent="0.25">
      <c r="A371" s="5">
        <v>44222</v>
      </c>
      <c r="B371">
        <v>0.52997000000000005</v>
      </c>
      <c r="C371">
        <v>0.55076000000000003</v>
      </c>
      <c r="D371">
        <v>0.48</v>
      </c>
      <c r="E371">
        <v>0.53700999999999999</v>
      </c>
      <c r="F371">
        <v>82771056.099999994</v>
      </c>
      <c r="G371">
        <v>0</v>
      </c>
      <c r="L371" t="s">
        <v>7</v>
      </c>
      <c r="M371" t="s">
        <v>7</v>
      </c>
      <c r="N371" t="s">
        <v>8</v>
      </c>
      <c r="P371">
        <f t="shared" si="969"/>
        <v>0.61136235161107877</v>
      </c>
      <c r="Q371">
        <f t="shared" si="970"/>
        <v>50603107.50262852</v>
      </c>
      <c r="R371">
        <f t="shared" si="971"/>
        <v>2931910821.7554936</v>
      </c>
      <c r="S371">
        <f t="shared" si="972"/>
        <v>29319.108217554938</v>
      </c>
      <c r="T371">
        <f t="shared" si="973"/>
        <v>29.319108217554938</v>
      </c>
    </row>
    <row r="372" spans="1:20" x14ac:dyDescent="0.25">
      <c r="A372" s="5">
        <v>44221</v>
      </c>
      <c r="B372">
        <v>0.55606999999999995</v>
      </c>
      <c r="C372">
        <v>0.59560999999999997</v>
      </c>
      <c r="D372">
        <v>0.52500000000000002</v>
      </c>
      <c r="E372">
        <v>0.52985000000000004</v>
      </c>
      <c r="F372">
        <v>94312245</v>
      </c>
      <c r="G372">
        <v>0</v>
      </c>
      <c r="L372" t="s">
        <v>8</v>
      </c>
      <c r="M372" t="s">
        <v>8</v>
      </c>
      <c r="N372" t="s">
        <v>8</v>
      </c>
      <c r="P372">
        <f t="shared" si="969"/>
        <v>-0.86262569041212223</v>
      </c>
      <c r="Q372">
        <f t="shared" si="970"/>
        <v>-81356165.457442224</v>
      </c>
      <c r="R372">
        <f t="shared" si="971"/>
        <v>2881307714.2528653</v>
      </c>
      <c r="S372">
        <f t="shared" si="972"/>
        <v>28813.077142528655</v>
      </c>
      <c r="T372">
        <f t="shared" si="973"/>
        <v>28.813077142528655</v>
      </c>
    </row>
    <row r="373" spans="1:20" x14ac:dyDescent="0.25">
      <c r="A373" s="5">
        <v>44220</v>
      </c>
      <c r="B373">
        <v>0.58489000000000002</v>
      </c>
      <c r="C373">
        <v>0.59350000000000003</v>
      </c>
      <c r="D373">
        <v>0.51797000000000004</v>
      </c>
      <c r="E373">
        <v>0.55603999999999998</v>
      </c>
      <c r="F373">
        <v>125427784.90000001</v>
      </c>
      <c r="G373">
        <v>0</v>
      </c>
      <c r="L373" t="s">
        <v>7</v>
      </c>
      <c r="M373" t="s">
        <v>8</v>
      </c>
      <c r="N373" t="s">
        <v>8</v>
      </c>
      <c r="P373">
        <f t="shared" si="969"/>
        <v>8.076261088307805E-3</v>
      </c>
      <c r="Q373">
        <f t="shared" si="970"/>
        <v>1012987.5385805113</v>
      </c>
      <c r="R373">
        <f t="shared" si="971"/>
        <v>2962663879.7103076</v>
      </c>
      <c r="S373">
        <f t="shared" si="972"/>
        <v>29626.638797103074</v>
      </c>
      <c r="T373">
        <f t="shared" si="973"/>
        <v>29.626638797103073</v>
      </c>
    </row>
    <row r="374" spans="1:20" x14ac:dyDescent="0.25">
      <c r="A374" s="5">
        <v>44219</v>
      </c>
      <c r="B374">
        <v>0.5111</v>
      </c>
      <c r="C374">
        <v>0.59299999999999997</v>
      </c>
      <c r="D374">
        <v>0.49001</v>
      </c>
      <c r="E374">
        <v>0.58445999999999998</v>
      </c>
      <c r="F374">
        <v>158706315.19999999</v>
      </c>
      <c r="G374">
        <v>0</v>
      </c>
      <c r="L374" t="s">
        <v>8</v>
      </c>
      <c r="M374" t="s">
        <v>8</v>
      </c>
      <c r="N374" t="s">
        <v>8</v>
      </c>
      <c r="P374">
        <f t="shared" si="969"/>
        <v>0.83415865618021179</v>
      </c>
      <c r="Q374">
        <f t="shared" si="970"/>
        <v>132386246.61454511</v>
      </c>
      <c r="R374">
        <f t="shared" si="971"/>
        <v>2961650892.1717272</v>
      </c>
      <c r="S374">
        <f t="shared" si="972"/>
        <v>29616.508921717272</v>
      </c>
      <c r="T374">
        <f t="shared" si="973"/>
        <v>29.616508921717273</v>
      </c>
    </row>
    <row r="375" spans="1:20" x14ac:dyDescent="0.25">
      <c r="A375" s="5">
        <v>44218</v>
      </c>
      <c r="B375">
        <v>0.43567</v>
      </c>
      <c r="C375">
        <v>0.55547000000000002</v>
      </c>
      <c r="D375">
        <v>0.40017999999999998</v>
      </c>
      <c r="E375">
        <v>0.5111</v>
      </c>
      <c r="F375">
        <v>184350309.59999999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0.42855302981518439</v>
      </c>
      <c r="Q375">
        <f t="shared" si="970"/>
        <v>79003883.726447269</v>
      </c>
      <c r="R375">
        <f t="shared" si="971"/>
        <v>2829264645.5571818</v>
      </c>
      <c r="S375">
        <f t="shared" si="972"/>
        <v>28292.646455571819</v>
      </c>
      <c r="T375">
        <f t="shared" si="973"/>
        <v>28.29264645557182</v>
      </c>
    </row>
    <row r="376" spans="1:20" x14ac:dyDescent="0.25">
      <c r="A376" s="5">
        <v>44217</v>
      </c>
      <c r="B376">
        <v>0.52202999999999999</v>
      </c>
      <c r="C376">
        <v>0.56062000000000001</v>
      </c>
      <c r="D376">
        <v>0.43496000000000001</v>
      </c>
      <c r="E376">
        <v>0.43565999999999999</v>
      </c>
      <c r="F376">
        <v>135346783</v>
      </c>
      <c r="G376">
        <v>0</v>
      </c>
      <c r="L376" t="s">
        <v>7</v>
      </c>
      <c r="M376" t="s">
        <v>7</v>
      </c>
      <c r="N376" t="s">
        <v>7</v>
      </c>
      <c r="P376">
        <f t="shared" si="969"/>
        <v>-0.98885882540187842</v>
      </c>
      <c r="Q376">
        <f t="shared" si="970"/>
        <v>-133838860.85930292</v>
      </c>
      <c r="R376">
        <f t="shared" si="971"/>
        <v>2750260761.8307347</v>
      </c>
      <c r="S376">
        <f t="shared" si="972"/>
        <v>27502.607618307346</v>
      </c>
      <c r="T376">
        <f t="shared" si="973"/>
        <v>27.502607618307344</v>
      </c>
    </row>
    <row r="377" spans="1:20" x14ac:dyDescent="0.25">
      <c r="A377" s="5">
        <v>44216</v>
      </c>
      <c r="B377">
        <v>0.53810000000000002</v>
      </c>
      <c r="C377">
        <v>0.57518999999999998</v>
      </c>
      <c r="D377">
        <v>0.47656999999999999</v>
      </c>
      <c r="E377">
        <v>0.52202999999999999</v>
      </c>
      <c r="F377">
        <v>138096404.80000001</v>
      </c>
      <c r="G377">
        <v>0</v>
      </c>
      <c r="L377" t="s">
        <v>7</v>
      </c>
      <c r="M377" t="s">
        <v>7</v>
      </c>
      <c r="N377" t="s">
        <v>8</v>
      </c>
      <c r="P377">
        <f t="shared" si="969"/>
        <v>-7.8077469073210157E-2</v>
      </c>
      <c r="Q377">
        <f t="shared" si="970"/>
        <v>-10782217.774893511</v>
      </c>
      <c r="R377">
        <f t="shared" si="971"/>
        <v>2884099622.6900377</v>
      </c>
      <c r="S377">
        <f t="shared" si="972"/>
        <v>28840.996226900377</v>
      </c>
      <c r="T377">
        <f t="shared" si="973"/>
        <v>28.840996226900376</v>
      </c>
    </row>
    <row r="378" spans="1:20" x14ac:dyDescent="0.25">
      <c r="A378" s="5">
        <v>44215</v>
      </c>
      <c r="B378">
        <v>0.61907000000000001</v>
      </c>
      <c r="C378">
        <v>0.64749000000000001</v>
      </c>
      <c r="D378">
        <v>0.52334000000000003</v>
      </c>
      <c r="E378">
        <v>0.53827999999999998</v>
      </c>
      <c r="F378">
        <v>197832800.40000001</v>
      </c>
      <c r="G378">
        <v>0</v>
      </c>
      <c r="L378" t="s">
        <v>7</v>
      </c>
      <c r="M378" t="s">
        <v>7</v>
      </c>
      <c r="N378" t="s">
        <v>8</v>
      </c>
      <c r="P378">
        <f t="shared" si="969"/>
        <v>-0.75932339911397573</v>
      </c>
      <c r="Q378">
        <f t="shared" si="970"/>
        <v>-150219074.45596471</v>
      </c>
      <c r="R378">
        <f t="shared" si="971"/>
        <v>2894881840.464931</v>
      </c>
      <c r="S378">
        <f t="shared" si="972"/>
        <v>28948.818404649312</v>
      </c>
      <c r="T378">
        <f t="shared" si="973"/>
        <v>28.948818404649312</v>
      </c>
    </row>
    <row r="379" spans="1:20" x14ac:dyDescent="0.25">
      <c r="A379" s="5">
        <v>44214</v>
      </c>
      <c r="B379">
        <v>0.51968999999999999</v>
      </c>
      <c r="C379">
        <v>0.66930000000000001</v>
      </c>
      <c r="D379">
        <v>0.51070000000000004</v>
      </c>
      <c r="E379">
        <v>0.61907000000000001</v>
      </c>
      <c r="F379">
        <v>323369083.5</v>
      </c>
      <c r="G379">
        <v>0</v>
      </c>
      <c r="L379" t="s">
        <v>8</v>
      </c>
      <c r="M379" t="s">
        <v>8</v>
      </c>
      <c r="N379" t="s">
        <v>8</v>
      </c>
      <c r="P379">
        <f t="shared" si="969"/>
        <v>0.36658259773013863</v>
      </c>
      <c r="Q379">
        <f t="shared" si="970"/>
        <v>118541478.65504411</v>
      </c>
      <c r="R379">
        <f t="shared" si="971"/>
        <v>3045100914.9208956</v>
      </c>
      <c r="S379">
        <f t="shared" si="972"/>
        <v>30451.009149208956</v>
      </c>
      <c r="T379">
        <f t="shared" si="973"/>
        <v>30.451009149208957</v>
      </c>
    </row>
    <row r="380" spans="1:20" x14ac:dyDescent="0.25">
      <c r="A380" s="5">
        <v>44213</v>
      </c>
      <c r="B380">
        <v>0.46559</v>
      </c>
      <c r="C380">
        <v>0.57472999999999996</v>
      </c>
      <c r="D380">
        <v>0.40711000000000003</v>
      </c>
      <c r="E380">
        <v>0.51876999999999995</v>
      </c>
      <c r="F380">
        <v>306706282.39999998</v>
      </c>
      <c r="G380">
        <v>0</v>
      </c>
      <c r="L380" t="s">
        <v>8</v>
      </c>
      <c r="M380" t="s">
        <v>8</v>
      </c>
      <c r="N380" t="s">
        <v>8</v>
      </c>
      <c r="P380">
        <f t="shared" si="969"/>
        <v>0.33229924829972518</v>
      </c>
      <c r="Q380">
        <f t="shared" si="970"/>
        <v>101918267.09032322</v>
      </c>
      <c r="R380">
        <f t="shared" si="971"/>
        <v>2926559436.2658515</v>
      </c>
      <c r="S380">
        <f t="shared" si="972"/>
        <v>29265.594362658514</v>
      </c>
      <c r="T380">
        <f t="shared" si="973"/>
        <v>29.265594362658515</v>
      </c>
    </row>
    <row r="381" spans="1:20" x14ac:dyDescent="0.25">
      <c r="A381" s="5">
        <v>44212</v>
      </c>
      <c r="B381">
        <v>0.33761000000000002</v>
      </c>
      <c r="C381">
        <v>0.47643000000000002</v>
      </c>
      <c r="D381">
        <v>0.33748</v>
      </c>
      <c r="E381">
        <v>0.46600000000000003</v>
      </c>
      <c r="F381">
        <v>279114614.30000001</v>
      </c>
      <c r="G381">
        <v>0</v>
      </c>
      <c r="L381" t="s">
        <v>8</v>
      </c>
      <c r="M381" t="s">
        <v>8</v>
      </c>
      <c r="N381" t="s">
        <v>8</v>
      </c>
      <c r="P381">
        <f t="shared" si="969"/>
        <v>0.84987405541561722</v>
      </c>
      <c r="Q381">
        <f t="shared" si="970"/>
        <v>237212269.18090683</v>
      </c>
      <c r="R381">
        <f t="shared" si="971"/>
        <v>2824641169.175528</v>
      </c>
      <c r="S381">
        <f t="shared" si="972"/>
        <v>28246.411691755282</v>
      </c>
      <c r="T381">
        <f t="shared" si="973"/>
        <v>28.246411691755281</v>
      </c>
    </row>
    <row r="382" spans="1:20" x14ac:dyDescent="0.25">
      <c r="A382" s="5">
        <v>44211</v>
      </c>
      <c r="B382">
        <v>0.33355000000000001</v>
      </c>
      <c r="C382">
        <v>0.39450000000000002</v>
      </c>
      <c r="D382">
        <v>0.309</v>
      </c>
      <c r="E382">
        <v>0.33761000000000002</v>
      </c>
      <c r="F382">
        <v>178469452.40000001</v>
      </c>
      <c r="G382">
        <v>0</v>
      </c>
      <c r="L382" t="s">
        <v>8</v>
      </c>
      <c r="M382" t="s">
        <v>8</v>
      </c>
      <c r="N382" t="s">
        <v>8</v>
      </c>
      <c r="P382">
        <f t="shared" si="969"/>
        <v>-0.33076023391812825</v>
      </c>
      <c r="Q382">
        <f t="shared" si="970"/>
        <v>-59030597.82306426</v>
      </c>
      <c r="R382">
        <f t="shared" si="971"/>
        <v>2587428899.9946213</v>
      </c>
      <c r="S382">
        <f t="shared" si="972"/>
        <v>25874.288999946213</v>
      </c>
      <c r="T382">
        <f t="shared" si="973"/>
        <v>25.874288999946213</v>
      </c>
    </row>
    <row r="383" spans="1:20" x14ac:dyDescent="0.25">
      <c r="A383" s="5">
        <v>44210</v>
      </c>
      <c r="B383">
        <v>0.32500000000000001</v>
      </c>
      <c r="C383">
        <v>0.36266999999999999</v>
      </c>
      <c r="D383">
        <v>0.316</v>
      </c>
      <c r="E383">
        <v>0.33378999999999998</v>
      </c>
      <c r="F383">
        <v>110363475.59999999</v>
      </c>
      <c r="G383">
        <v>0</v>
      </c>
      <c r="L383" t="s">
        <v>8</v>
      </c>
      <c r="M383" t="s">
        <v>8</v>
      </c>
      <c r="N383" t="s">
        <v>8</v>
      </c>
      <c r="P383">
        <f t="shared" si="969"/>
        <v>-0.23762588386543917</v>
      </c>
      <c r="Q383">
        <f t="shared" si="970"/>
        <v>-26225218.435911827</v>
      </c>
      <c r="R383">
        <f t="shared" si="971"/>
        <v>2646459497.8176856</v>
      </c>
      <c r="S383">
        <f t="shared" si="972"/>
        <v>26464.594978176858</v>
      </c>
      <c r="T383">
        <f t="shared" si="973"/>
        <v>26.464594978176859</v>
      </c>
    </row>
    <row r="384" spans="1:20" x14ac:dyDescent="0.25">
      <c r="A384" s="5">
        <v>44209</v>
      </c>
      <c r="B384">
        <v>0.27726000000000001</v>
      </c>
      <c r="C384">
        <v>0.35099999999999998</v>
      </c>
      <c r="D384">
        <v>0.26682</v>
      </c>
      <c r="E384">
        <v>0.32500000000000001</v>
      </c>
      <c r="F384">
        <v>107455478.2</v>
      </c>
      <c r="G384">
        <v>0</v>
      </c>
      <c r="L384" t="s">
        <v>8</v>
      </c>
      <c r="M384" t="s">
        <v>8</v>
      </c>
      <c r="N384" t="s">
        <v>8</v>
      </c>
      <c r="P384">
        <f t="shared" si="969"/>
        <v>0.38227607507721612</v>
      </c>
      <c r="Q384">
        <f t="shared" si="970"/>
        <v>41077658.451841362</v>
      </c>
      <c r="R384">
        <f t="shared" si="971"/>
        <v>2672684716.2535973</v>
      </c>
      <c r="S384">
        <f t="shared" si="972"/>
        <v>26726.847162535974</v>
      </c>
      <c r="T384">
        <f t="shared" si="973"/>
        <v>26.726847162535975</v>
      </c>
    </row>
    <row r="385" spans="1:20" x14ac:dyDescent="0.25">
      <c r="A385" s="5">
        <v>44208</v>
      </c>
      <c r="B385">
        <v>0.29069</v>
      </c>
      <c r="C385">
        <v>0.30991000000000002</v>
      </c>
      <c r="D385">
        <v>0.26422000000000001</v>
      </c>
      <c r="E385">
        <v>0.27767999999999998</v>
      </c>
      <c r="F385">
        <v>71587105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-0.41081199387174572</v>
      </c>
      <c r="Q385">
        <f t="shared" si="970"/>
        <v>-29408841.340556018</v>
      </c>
      <c r="R385">
        <f t="shared" si="971"/>
        <v>2631607057.8017559</v>
      </c>
      <c r="S385">
        <f t="shared" si="972"/>
        <v>26316.070578017559</v>
      </c>
      <c r="T385">
        <f t="shared" si="973"/>
        <v>26.316070578017559</v>
      </c>
    </row>
    <row r="386" spans="1:20" x14ac:dyDescent="0.25">
      <c r="A386" s="5">
        <v>44207</v>
      </c>
      <c r="B386">
        <v>0.32634000000000002</v>
      </c>
      <c r="C386">
        <v>0.32736999999999999</v>
      </c>
      <c r="D386">
        <v>0.2331</v>
      </c>
      <c r="E386">
        <v>0.29053000000000001</v>
      </c>
      <c r="F386">
        <v>138074585.40000001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0.21841519041052324</v>
      </c>
      <c r="Q386">
        <f t="shared" si="970"/>
        <v>30157586.860995054</v>
      </c>
      <c r="R386">
        <f t="shared" si="971"/>
        <v>2661015899.142312</v>
      </c>
      <c r="S386">
        <f t="shared" si="972"/>
        <v>26610.158991423119</v>
      </c>
      <c r="T386">
        <f t="shared" si="973"/>
        <v>26.61015899142312</v>
      </c>
    </row>
    <row r="387" spans="1:20" x14ac:dyDescent="0.25">
      <c r="A387" s="5">
        <v>44206</v>
      </c>
      <c r="B387">
        <v>0.34849000000000002</v>
      </c>
      <c r="C387">
        <v>0.37640000000000001</v>
      </c>
      <c r="D387">
        <v>0.30815999999999999</v>
      </c>
      <c r="E387">
        <v>0.32627</v>
      </c>
      <c r="F387">
        <v>125875101.8</v>
      </c>
      <c r="G387">
        <v>0</v>
      </c>
      <c r="L387" t="s">
        <v>8</v>
      </c>
      <c r="M387" t="s">
        <v>7</v>
      </c>
      <c r="N387" t="s">
        <v>8</v>
      </c>
      <c r="P387">
        <f t="shared" si="969"/>
        <v>-0.46922626025791297</v>
      </c>
      <c r="Q387">
        <f t="shared" si="970"/>
        <v>-59063903.277198091</v>
      </c>
      <c r="R387">
        <f t="shared" si="971"/>
        <v>2630858312.2813172</v>
      </c>
      <c r="S387">
        <f t="shared" si="972"/>
        <v>26308.583122813172</v>
      </c>
      <c r="T387">
        <f t="shared" si="973"/>
        <v>26.308583122813172</v>
      </c>
    </row>
    <row r="388" spans="1:20" x14ac:dyDescent="0.25">
      <c r="A388" s="5">
        <v>44205</v>
      </c>
      <c r="B388">
        <v>0.32902999999999999</v>
      </c>
      <c r="C388">
        <v>0.36499999999999999</v>
      </c>
      <c r="D388">
        <v>0.31651000000000001</v>
      </c>
      <c r="E388">
        <v>0.34849000000000002</v>
      </c>
      <c r="F388">
        <v>115581643.7</v>
      </c>
      <c r="G388">
        <v>0</v>
      </c>
      <c r="L388" t="s">
        <v>8</v>
      </c>
      <c r="M388" t="s">
        <v>8</v>
      </c>
      <c r="N388" t="s">
        <v>8</v>
      </c>
      <c r="P388">
        <f t="shared" si="969"/>
        <v>0.31903485254691782</v>
      </c>
      <c r="Q388">
        <f t="shared" si="970"/>
        <v>36874572.654959895</v>
      </c>
      <c r="R388">
        <f t="shared" si="971"/>
        <v>2689922215.5585155</v>
      </c>
      <c r="S388">
        <f t="shared" si="972"/>
        <v>26899.222155585154</v>
      </c>
      <c r="T388">
        <f t="shared" si="973"/>
        <v>26.899222155585154</v>
      </c>
    </row>
    <row r="389" spans="1:20" x14ac:dyDescent="0.25">
      <c r="A389" s="5">
        <v>44204</v>
      </c>
      <c r="B389">
        <v>0.34625</v>
      </c>
      <c r="C389">
        <v>0.35205999999999998</v>
      </c>
      <c r="D389">
        <v>0.30499999999999999</v>
      </c>
      <c r="E389">
        <v>0.32902999999999999</v>
      </c>
      <c r="F389">
        <v>142103169.30000001</v>
      </c>
      <c r="G389">
        <v>0</v>
      </c>
      <c r="L389" t="s">
        <v>7</v>
      </c>
      <c r="M389" t="s">
        <v>7</v>
      </c>
      <c r="N389" t="s">
        <v>8</v>
      </c>
      <c r="P389">
        <f t="shared" si="969"/>
        <v>2.1249468763280942E-2</v>
      </c>
      <c r="Q389">
        <f t="shared" si="970"/>
        <v>3019616.8572035735</v>
      </c>
      <c r="R389">
        <f t="shared" si="971"/>
        <v>2653047642.9035559</v>
      </c>
      <c r="S389">
        <f t="shared" si="972"/>
        <v>26530.47642903556</v>
      </c>
      <c r="T389">
        <f t="shared" si="973"/>
        <v>26.530476429035559</v>
      </c>
    </row>
    <row r="390" spans="1:20" x14ac:dyDescent="0.25">
      <c r="A390" s="5">
        <v>44203</v>
      </c>
      <c r="B390">
        <v>0.36979000000000001</v>
      </c>
      <c r="C390">
        <v>0.42</v>
      </c>
      <c r="D390">
        <v>0.31685999999999998</v>
      </c>
      <c r="E390">
        <v>0.34633000000000003</v>
      </c>
      <c r="F390">
        <v>196776753.30000001</v>
      </c>
      <c r="G390">
        <v>0</v>
      </c>
      <c r="L390" t="s">
        <v>8</v>
      </c>
      <c r="M390" t="s">
        <v>8</v>
      </c>
      <c r="N390" t="s">
        <v>8</v>
      </c>
      <c r="P390">
        <f t="shared" ref="P390:P453" si="974">IF(C390=D390,0,((E390-D390)-(C390-E390))/(C390-D390))</f>
        <v>-0.42854372697304538</v>
      </c>
      <c r="Q390">
        <f t="shared" ref="Q390:Q453" si="975">F390*P390</f>
        <v>-84327443.240837514</v>
      </c>
      <c r="R390">
        <f t="shared" ref="R390:R453" si="976">R391+Q390</f>
        <v>2650028026.0463524</v>
      </c>
      <c r="S390">
        <f t="shared" ref="S390:S453" si="977">R390/100000</f>
        <v>26500.280260463525</v>
      </c>
      <c r="T390">
        <f t="shared" ref="T390:T453" si="978">S390/1000</f>
        <v>26.500280260463526</v>
      </c>
    </row>
    <row r="391" spans="1:20" x14ac:dyDescent="0.25">
      <c r="A391" s="5">
        <v>44202</v>
      </c>
      <c r="B391">
        <v>0.33783000000000002</v>
      </c>
      <c r="C391">
        <v>0.39684999999999998</v>
      </c>
      <c r="D391">
        <v>0.315</v>
      </c>
      <c r="E391">
        <v>0.36991000000000002</v>
      </c>
      <c r="F391">
        <v>218355039.19999999</v>
      </c>
      <c r="G391">
        <v>0</v>
      </c>
      <c r="L391" t="s">
        <v>8</v>
      </c>
      <c r="M391" t="s">
        <v>8</v>
      </c>
      <c r="N391" t="s">
        <v>8</v>
      </c>
      <c r="P391">
        <f t="shared" si="974"/>
        <v>0.34172266340867513</v>
      </c>
      <c r="Q391">
        <f t="shared" si="975"/>
        <v>74616865.564129665</v>
      </c>
      <c r="R391">
        <f t="shared" si="976"/>
        <v>2734355469.28719</v>
      </c>
      <c r="S391">
        <f t="shared" si="977"/>
        <v>27343.554692871901</v>
      </c>
      <c r="T391">
        <f t="shared" si="978"/>
        <v>27.343554692871901</v>
      </c>
    </row>
    <row r="392" spans="1:20" x14ac:dyDescent="0.25">
      <c r="A392" s="5">
        <v>44201</v>
      </c>
      <c r="B392">
        <v>0.30887999999999999</v>
      </c>
      <c r="C392">
        <v>0.34899999999999998</v>
      </c>
      <c r="D392">
        <v>0.28510999999999997</v>
      </c>
      <c r="E392">
        <v>0.33822999999999998</v>
      </c>
      <c r="F392">
        <v>139064307.90000001</v>
      </c>
      <c r="G392">
        <v>0</v>
      </c>
      <c r="L392" t="s">
        <v>7</v>
      </c>
      <c r="M392" t="s">
        <v>7</v>
      </c>
      <c r="N392" t="s">
        <v>7</v>
      </c>
      <c r="P392">
        <f t="shared" si="974"/>
        <v>0.66285803725152603</v>
      </c>
      <c r="Q392">
        <f t="shared" si="975"/>
        <v>92179894.186335891</v>
      </c>
      <c r="R392">
        <f t="shared" si="976"/>
        <v>2659738603.7230601</v>
      </c>
      <c r="S392">
        <f t="shared" si="977"/>
        <v>26597.386037230601</v>
      </c>
      <c r="T392">
        <f t="shared" si="978"/>
        <v>26.597386037230599</v>
      </c>
    </row>
    <row r="393" spans="1:20" x14ac:dyDescent="0.25">
      <c r="A393" s="5">
        <v>44200</v>
      </c>
      <c r="B393">
        <v>0.29883999999999999</v>
      </c>
      <c r="C393">
        <v>0.35</v>
      </c>
      <c r="D393">
        <v>0.29000999999999999</v>
      </c>
      <c r="E393">
        <v>0.30887999999999999</v>
      </c>
      <c r="F393">
        <v>141661225.90000001</v>
      </c>
      <c r="G393">
        <v>0</v>
      </c>
      <c r="L393" t="s">
        <v>8</v>
      </c>
      <c r="M393" t="s">
        <v>8</v>
      </c>
      <c r="N393" t="s">
        <v>7</v>
      </c>
      <c r="P393">
        <f t="shared" si="974"/>
        <v>-0.37089514919153188</v>
      </c>
      <c r="Q393">
        <f t="shared" si="975"/>
        <v>-52541461.514835805</v>
      </c>
      <c r="R393">
        <f t="shared" si="976"/>
        <v>2567558709.5367241</v>
      </c>
      <c r="S393">
        <f t="shared" si="977"/>
        <v>25675.587095367242</v>
      </c>
      <c r="T393">
        <f t="shared" si="978"/>
        <v>25.675587095367241</v>
      </c>
    </row>
    <row r="394" spans="1:20" x14ac:dyDescent="0.25">
      <c r="A394" s="5">
        <v>44199</v>
      </c>
      <c r="B394">
        <v>0.32690999999999998</v>
      </c>
      <c r="C394">
        <v>0.33733999999999997</v>
      </c>
      <c r="D394">
        <v>0.28111000000000003</v>
      </c>
      <c r="E394">
        <v>0.29857</v>
      </c>
      <c r="F394">
        <v>153423664.40000001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-0.37897919260181429</v>
      </c>
      <c r="Q394">
        <f t="shared" si="975"/>
        <v>-58144376.460323721</v>
      </c>
      <c r="R394">
        <f t="shared" si="976"/>
        <v>2620100171.0515599</v>
      </c>
      <c r="S394">
        <f t="shared" si="977"/>
        <v>26201.0017105156</v>
      </c>
      <c r="T394">
        <f t="shared" si="978"/>
        <v>26.201001710515602</v>
      </c>
    </row>
    <row r="395" spans="1:20" x14ac:dyDescent="0.25">
      <c r="A395" s="5">
        <v>44198</v>
      </c>
      <c r="B395">
        <v>0.36194999999999999</v>
      </c>
      <c r="C395">
        <v>0.36194999999999999</v>
      </c>
      <c r="D395">
        <v>0.30264999999999997</v>
      </c>
      <c r="E395">
        <v>0.32751000000000002</v>
      </c>
      <c r="F395">
        <v>84820913.700000003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-0.16155143338954331</v>
      </c>
      <c r="Q395">
        <f t="shared" si="975"/>
        <v>-13702940.189645752</v>
      </c>
      <c r="R395">
        <f t="shared" si="976"/>
        <v>2678244547.5118837</v>
      </c>
      <c r="S395">
        <f t="shared" si="977"/>
        <v>26782.445475118839</v>
      </c>
      <c r="T395">
        <f t="shared" si="978"/>
        <v>26.782445475118838</v>
      </c>
    </row>
    <row r="396" spans="1:20" x14ac:dyDescent="0.25">
      <c r="A396" s="5">
        <v>44197</v>
      </c>
      <c r="B396">
        <v>0.35045999999999999</v>
      </c>
      <c r="C396">
        <v>0.37905</v>
      </c>
      <c r="D396">
        <v>0.34505000000000002</v>
      </c>
      <c r="E396">
        <v>0.36169000000000001</v>
      </c>
      <c r="F396">
        <v>106546510.59999999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-2.1176470588235262E-2</v>
      </c>
      <c r="Q396">
        <f t="shared" si="975"/>
        <v>-2256279.0479999962</v>
      </c>
      <c r="R396">
        <f t="shared" si="976"/>
        <v>2691947487.7015295</v>
      </c>
      <c r="S396">
        <f t="shared" si="977"/>
        <v>26919.474877015295</v>
      </c>
      <c r="T396">
        <f t="shared" si="978"/>
        <v>26.919474877015293</v>
      </c>
    </row>
    <row r="397" spans="1:20" x14ac:dyDescent="0.25">
      <c r="A397" s="5">
        <v>44196</v>
      </c>
      <c r="B397">
        <v>0.37494</v>
      </c>
      <c r="C397">
        <v>0.38084000000000001</v>
      </c>
      <c r="D397">
        <v>0.34151999999999999</v>
      </c>
      <c r="E397">
        <v>0.35045999999999999</v>
      </c>
      <c r="F397">
        <v>77737307.599999994</v>
      </c>
      <c r="G397">
        <v>0</v>
      </c>
      <c r="L397" t="s">
        <v>7</v>
      </c>
      <c r="M397" t="s">
        <v>7</v>
      </c>
      <c r="N397" t="s">
        <v>7</v>
      </c>
      <c r="P397">
        <f t="shared" si="974"/>
        <v>-0.54526958290946093</v>
      </c>
      <c r="Q397">
        <f t="shared" si="975"/>
        <v>-42387789.291556463</v>
      </c>
      <c r="R397">
        <f t="shared" si="976"/>
        <v>2694203766.7495294</v>
      </c>
      <c r="S397">
        <f t="shared" si="977"/>
        <v>26942.037667495293</v>
      </c>
      <c r="T397">
        <f t="shared" si="978"/>
        <v>26.942037667495292</v>
      </c>
    </row>
    <row r="398" spans="1:20" x14ac:dyDescent="0.25">
      <c r="A398" s="5">
        <v>44195</v>
      </c>
      <c r="B398">
        <v>0.3735</v>
      </c>
      <c r="C398">
        <v>0.40349000000000002</v>
      </c>
      <c r="D398">
        <v>0.35</v>
      </c>
      <c r="E398">
        <v>0.37464999999999998</v>
      </c>
      <c r="F398">
        <v>141656718.5</v>
      </c>
      <c r="G398">
        <v>0</v>
      </c>
      <c r="L398" t="s">
        <v>8</v>
      </c>
      <c r="M398" t="s">
        <v>8</v>
      </c>
      <c r="N398" t="s">
        <v>7</v>
      </c>
      <c r="P398">
        <f t="shared" si="974"/>
        <v>-7.8332398579174123E-2</v>
      </c>
      <c r="Q398">
        <f t="shared" si="975"/>
        <v>-11096310.534959869</v>
      </c>
      <c r="R398">
        <f t="shared" si="976"/>
        <v>2736591556.0410857</v>
      </c>
      <c r="S398">
        <f t="shared" si="977"/>
        <v>27365.915560410856</v>
      </c>
      <c r="T398">
        <f t="shared" si="978"/>
        <v>27.365915560410855</v>
      </c>
    </row>
    <row r="399" spans="1:20" x14ac:dyDescent="0.25">
      <c r="A399" s="5">
        <v>44194</v>
      </c>
      <c r="B399">
        <v>0.38123000000000001</v>
      </c>
      <c r="C399">
        <v>0.38740999999999998</v>
      </c>
      <c r="D399">
        <v>0.33989999999999998</v>
      </c>
      <c r="E399">
        <v>0.37359999999999999</v>
      </c>
      <c r="F399">
        <v>158342381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0.41864870553567712</v>
      </c>
      <c r="Q399">
        <f t="shared" si="975"/>
        <v>66289832.837086998</v>
      </c>
      <c r="R399">
        <f t="shared" si="976"/>
        <v>2747687866.5760455</v>
      </c>
      <c r="S399">
        <f t="shared" si="977"/>
        <v>27476.878665760454</v>
      </c>
      <c r="T399">
        <f t="shared" si="978"/>
        <v>27.476878665760456</v>
      </c>
    </row>
    <row r="400" spans="1:20" x14ac:dyDescent="0.25">
      <c r="A400" s="5">
        <v>44193</v>
      </c>
      <c r="B400">
        <v>0.39678999999999998</v>
      </c>
      <c r="C400">
        <v>0.43887999999999999</v>
      </c>
      <c r="D400">
        <v>0.37801000000000001</v>
      </c>
      <c r="E400">
        <v>0.38084000000000001</v>
      </c>
      <c r="F400">
        <v>243597202.19999999</v>
      </c>
      <c r="G400">
        <v>0</v>
      </c>
      <c r="L400" t="s">
        <v>7</v>
      </c>
      <c r="M400" t="s">
        <v>7</v>
      </c>
      <c r="N400" t="s">
        <v>8</v>
      </c>
      <c r="P400">
        <f t="shared" si="974"/>
        <v>-0.90701494989321507</v>
      </c>
      <c r="Q400">
        <f t="shared" si="975"/>
        <v>-220946304.14756036</v>
      </c>
      <c r="R400">
        <f t="shared" si="976"/>
        <v>2681398033.7389584</v>
      </c>
      <c r="S400">
        <f t="shared" si="977"/>
        <v>26813.980337389585</v>
      </c>
      <c r="T400">
        <f t="shared" si="978"/>
        <v>26.813980337389584</v>
      </c>
    </row>
    <row r="401" spans="1:20" x14ac:dyDescent="0.25">
      <c r="A401" s="5">
        <v>44192</v>
      </c>
      <c r="B401">
        <v>0.48480000000000001</v>
      </c>
      <c r="C401">
        <v>0.49530999999999997</v>
      </c>
      <c r="D401">
        <v>0.37768000000000002</v>
      </c>
      <c r="E401">
        <v>0.39677000000000001</v>
      </c>
      <c r="F401">
        <v>362117948.19999999</v>
      </c>
      <c r="G401">
        <v>0</v>
      </c>
      <c r="L401" t="s">
        <v>8</v>
      </c>
      <c r="M401" t="s">
        <v>8</v>
      </c>
      <c r="N401" t="s">
        <v>8</v>
      </c>
      <c r="P401">
        <f t="shared" si="974"/>
        <v>-0.67542293632576722</v>
      </c>
      <c r="Q401">
        <f t="shared" si="975"/>
        <v>-244582767.86950606</v>
      </c>
      <c r="R401">
        <f t="shared" si="976"/>
        <v>2902344337.886519</v>
      </c>
      <c r="S401">
        <f t="shared" si="977"/>
        <v>29023.443378865191</v>
      </c>
      <c r="T401">
        <f t="shared" si="978"/>
        <v>29.023443378865192</v>
      </c>
    </row>
    <row r="402" spans="1:20" x14ac:dyDescent="0.25">
      <c r="A402" s="5">
        <v>44191</v>
      </c>
      <c r="B402">
        <v>0.35859000000000002</v>
      </c>
      <c r="C402">
        <v>0.499</v>
      </c>
      <c r="D402">
        <v>0.32</v>
      </c>
      <c r="E402">
        <v>0.48480000000000001</v>
      </c>
      <c r="F402">
        <v>540655436.70000005</v>
      </c>
      <c r="G402">
        <v>0</v>
      </c>
      <c r="L402" t="s">
        <v>7</v>
      </c>
      <c r="M402" t="s">
        <v>7</v>
      </c>
      <c r="N402" t="s">
        <v>8</v>
      </c>
      <c r="P402">
        <f t="shared" si="974"/>
        <v>0.84134078212290508</v>
      </c>
      <c r="Q402">
        <f t="shared" si="975"/>
        <v>454875467.97217882</v>
      </c>
      <c r="R402">
        <f t="shared" si="976"/>
        <v>3146927105.7560248</v>
      </c>
      <c r="S402">
        <f t="shared" si="977"/>
        <v>31469.271057560247</v>
      </c>
      <c r="T402">
        <f t="shared" si="978"/>
        <v>31.469271057560245</v>
      </c>
    </row>
    <row r="403" spans="1:20" x14ac:dyDescent="0.25">
      <c r="A403" s="5">
        <v>44190</v>
      </c>
      <c r="B403">
        <v>0.41044999999999998</v>
      </c>
      <c r="C403">
        <v>0.42136000000000001</v>
      </c>
      <c r="D403">
        <v>0.33551999999999998</v>
      </c>
      <c r="E403">
        <v>0.35847000000000001</v>
      </c>
      <c r="F403">
        <v>251983717.30000001</v>
      </c>
      <c r="G403">
        <v>0</v>
      </c>
      <c r="L403" t="s">
        <v>7</v>
      </c>
      <c r="M403" t="s">
        <v>7</v>
      </c>
      <c r="N403" t="s">
        <v>7</v>
      </c>
      <c r="P403">
        <f t="shared" si="974"/>
        <v>-0.46528424976700794</v>
      </c>
      <c r="Q403">
        <f t="shared" si="975"/>
        <v>-117244054.85743232</v>
      </c>
      <c r="R403">
        <f t="shared" si="976"/>
        <v>2692051637.7838459</v>
      </c>
      <c r="S403">
        <f t="shared" si="977"/>
        <v>26920.516377838459</v>
      </c>
      <c r="T403">
        <f t="shared" si="978"/>
        <v>26.92051637783846</v>
      </c>
    </row>
    <row r="404" spans="1:20" x14ac:dyDescent="0.25">
      <c r="A404" s="5">
        <v>44189</v>
      </c>
      <c r="B404">
        <v>0.41198000000000001</v>
      </c>
      <c r="C404">
        <v>0.45665</v>
      </c>
      <c r="D404">
        <v>0.35246</v>
      </c>
      <c r="E404">
        <v>0.41045999999999999</v>
      </c>
      <c r="F404">
        <v>393761571.89999998</v>
      </c>
      <c r="G404">
        <v>0</v>
      </c>
      <c r="L404" t="s">
        <v>8</v>
      </c>
      <c r="M404" t="s">
        <v>8</v>
      </c>
      <c r="N404" t="s">
        <v>7</v>
      </c>
      <c r="P404">
        <f t="shared" si="974"/>
        <v>0.11335060946348005</v>
      </c>
      <c r="Q404">
        <f t="shared" si="975"/>
        <v>44633114.158162914</v>
      </c>
      <c r="R404">
        <f t="shared" si="976"/>
        <v>2809295692.6412783</v>
      </c>
      <c r="S404">
        <f t="shared" si="977"/>
        <v>28092.956926412782</v>
      </c>
      <c r="T404">
        <f t="shared" si="978"/>
        <v>28.092956926412782</v>
      </c>
    </row>
    <row r="405" spans="1:20" x14ac:dyDescent="0.25">
      <c r="A405" s="5">
        <v>44188</v>
      </c>
      <c r="B405">
        <v>0.54571999999999998</v>
      </c>
      <c r="C405">
        <v>0.58159000000000005</v>
      </c>
      <c r="D405">
        <v>0.34599999999999997</v>
      </c>
      <c r="E405">
        <v>0.41158</v>
      </c>
      <c r="F405">
        <v>559463556.20000005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-0.44327008786451033</v>
      </c>
      <c r="Q405">
        <f t="shared" si="975"/>
        <v>-247993459.71376544</v>
      </c>
      <c r="R405">
        <f t="shared" si="976"/>
        <v>2764662578.4831152</v>
      </c>
      <c r="S405">
        <f t="shared" si="977"/>
        <v>27646.625784831151</v>
      </c>
      <c r="T405">
        <f t="shared" si="978"/>
        <v>27.646625784831151</v>
      </c>
    </row>
    <row r="406" spans="1:20" x14ac:dyDescent="0.25">
      <c r="A406" s="5">
        <v>44187</v>
      </c>
      <c r="B406">
        <v>0.47176000000000001</v>
      </c>
      <c r="C406">
        <v>0.629</v>
      </c>
      <c r="D406">
        <v>0.42444999999999999</v>
      </c>
      <c r="E406">
        <v>0.54571999999999998</v>
      </c>
      <c r="F406">
        <v>876719992.79999995</v>
      </c>
      <c r="G406">
        <v>0</v>
      </c>
      <c r="L406" t="s">
        <v>7</v>
      </c>
      <c r="M406" t="s">
        <v>7</v>
      </c>
      <c r="N406" t="s">
        <v>8</v>
      </c>
      <c r="P406">
        <f t="shared" si="974"/>
        <v>0.18572476167196267</v>
      </c>
      <c r="Q406">
        <f t="shared" si="975"/>
        <v>162828611.71582481</v>
      </c>
      <c r="R406">
        <f t="shared" si="976"/>
        <v>3012656038.1968808</v>
      </c>
      <c r="S406">
        <f t="shared" si="977"/>
        <v>30126.560381968808</v>
      </c>
      <c r="T406">
        <f t="shared" si="978"/>
        <v>30.126560381968808</v>
      </c>
    </row>
    <row r="407" spans="1:20" x14ac:dyDescent="0.25">
      <c r="A407" s="5">
        <v>44186</v>
      </c>
      <c r="B407">
        <v>0.73726000000000003</v>
      </c>
      <c r="C407">
        <v>0.77200000000000002</v>
      </c>
      <c r="D407">
        <v>0.45</v>
      </c>
      <c r="E407">
        <v>0.47194999999999998</v>
      </c>
      <c r="F407">
        <v>907018961.79999995</v>
      </c>
      <c r="G407">
        <v>0</v>
      </c>
      <c r="L407" t="s">
        <v>7</v>
      </c>
      <c r="M407" t="s">
        <v>7</v>
      </c>
      <c r="N407" t="s">
        <v>7</v>
      </c>
      <c r="P407">
        <f t="shared" si="974"/>
        <v>-0.86366459627329217</v>
      </c>
      <c r="Q407">
        <f t="shared" si="975"/>
        <v>-783360165.4552176</v>
      </c>
      <c r="R407">
        <f t="shared" si="976"/>
        <v>2849827426.4810562</v>
      </c>
      <c r="S407">
        <f t="shared" si="977"/>
        <v>28498.274264810563</v>
      </c>
      <c r="T407">
        <f t="shared" si="978"/>
        <v>28.498274264810565</v>
      </c>
    </row>
    <row r="408" spans="1:20" x14ac:dyDescent="0.25">
      <c r="A408" s="5">
        <v>44185</v>
      </c>
      <c r="B408">
        <v>0.47735</v>
      </c>
      <c r="C408">
        <v>0.78300000000000003</v>
      </c>
      <c r="D408">
        <v>0.45</v>
      </c>
      <c r="E408">
        <v>0.73826000000000003</v>
      </c>
      <c r="F408">
        <v>1865776315.5</v>
      </c>
      <c r="G408">
        <v>0</v>
      </c>
      <c r="L408" t="s">
        <v>8</v>
      </c>
      <c r="M408" t="s">
        <v>8</v>
      </c>
      <c r="N408" t="s">
        <v>8</v>
      </c>
      <c r="P408">
        <f t="shared" si="974"/>
        <v>0.73129129129129133</v>
      </c>
      <c r="Q408">
        <f t="shared" si="975"/>
        <v>1364425971.0227027</v>
      </c>
      <c r="R408">
        <f t="shared" si="976"/>
        <v>3633187591.9362741</v>
      </c>
      <c r="S408">
        <f t="shared" si="977"/>
        <v>36331.875919362741</v>
      </c>
      <c r="T408">
        <f t="shared" si="978"/>
        <v>36.331875919362744</v>
      </c>
    </row>
    <row r="409" spans="1:20" x14ac:dyDescent="0.25">
      <c r="A409" s="5">
        <v>44184</v>
      </c>
      <c r="B409">
        <v>0.26096999999999998</v>
      </c>
      <c r="C409">
        <v>0.58989999999999998</v>
      </c>
      <c r="D409">
        <v>0.25522</v>
      </c>
      <c r="E409">
        <v>0.47749000000000003</v>
      </c>
      <c r="F409">
        <v>2419429958.8000002</v>
      </c>
      <c r="G409">
        <v>0</v>
      </c>
      <c r="L409" t="s">
        <v>8</v>
      </c>
      <c r="M409" t="s">
        <v>8</v>
      </c>
      <c r="N409" t="s">
        <v>8</v>
      </c>
      <c r="P409">
        <f t="shared" si="974"/>
        <v>0.32825385442811067</v>
      </c>
      <c r="Q409">
        <f t="shared" si="975"/>
        <v>794187209.49494505</v>
      </c>
      <c r="R409">
        <f t="shared" si="976"/>
        <v>2268761620.9135714</v>
      </c>
      <c r="S409">
        <f t="shared" si="977"/>
        <v>22687.616209135715</v>
      </c>
      <c r="T409">
        <f t="shared" si="978"/>
        <v>22.687616209135715</v>
      </c>
    </row>
    <row r="410" spans="1:20" x14ac:dyDescent="0.25">
      <c r="A410" s="5">
        <v>44183</v>
      </c>
      <c r="B410">
        <v>0.12253</v>
      </c>
      <c r="C410">
        <v>0.28665000000000002</v>
      </c>
      <c r="D410">
        <v>0.12253</v>
      </c>
      <c r="E410">
        <v>0.26122000000000001</v>
      </c>
      <c r="F410">
        <v>1898014833.3</v>
      </c>
      <c r="G410">
        <v>0</v>
      </c>
      <c r="L410" t="s">
        <v>7</v>
      </c>
      <c r="M410" t="s">
        <v>7</v>
      </c>
      <c r="N410" t="s">
        <v>7</v>
      </c>
      <c r="P410">
        <f t="shared" si="974"/>
        <v>0.69010480136485497</v>
      </c>
      <c r="Q410">
        <f t="shared" si="975"/>
        <v>1309829149.5220449</v>
      </c>
      <c r="R410">
        <f t="shared" si="976"/>
        <v>1474574411.4186261</v>
      </c>
      <c r="S410">
        <f t="shared" si="977"/>
        <v>14745.74411418626</v>
      </c>
      <c r="T410">
        <f t="shared" si="978"/>
        <v>14.745744114186261</v>
      </c>
    </row>
    <row r="411" spans="1:20" x14ac:dyDescent="0.25">
      <c r="A411" s="5">
        <v>44182</v>
      </c>
      <c r="B411">
        <v>0.03</v>
      </c>
      <c r="C411">
        <v>0.14699999999999999</v>
      </c>
      <c r="D411">
        <v>0.03</v>
      </c>
      <c r="E411">
        <v>0.12275</v>
      </c>
      <c r="F411">
        <v>281389717.39999998</v>
      </c>
      <c r="G411">
        <v>0</v>
      </c>
      <c r="P411">
        <f t="shared" si="974"/>
        <v>0.5854700854700855</v>
      </c>
      <c r="Q411">
        <f t="shared" si="975"/>
        <v>164745261.8965812</v>
      </c>
      <c r="R411">
        <f t="shared" si="976"/>
        <v>164745261.8965812</v>
      </c>
      <c r="S411">
        <f t="shared" si="977"/>
        <v>1647.452618965812</v>
      </c>
      <c r="T411">
        <f t="shared" si="978"/>
        <v>1.6474526189658121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HT634" sqref="HT634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$A$633</v>
      </c>
      <c r="D111" s="1" t="str">
        <f>ADDRESS(C121-1,D121,1,1)</f>
        <v>$HT$633</v>
      </c>
      <c r="E111"/>
    </row>
    <row r="112" spans="1:5" x14ac:dyDescent="0.25">
      <c r="A112" s="7">
        <v>12164.144957890772</v>
      </c>
      <c r="C112" s="1" t="str">
        <f>ADDRESS(C121,1,1,1)</f>
        <v>$A$634</v>
      </c>
      <c r="D112" s="1" t="str">
        <f>ADDRESS(C121,D121-1,1,1)</f>
        <v>$HS$634</v>
      </c>
      <c r="E112"/>
    </row>
    <row r="113" spans="1:5" x14ac:dyDescent="0.25">
      <c r="A113" s="7">
        <v>11925.63231165762</v>
      </c>
      <c r="C113" s="1" t="str">
        <f>ADDRESS(C121+1,1,1,1)</f>
        <v>$A$635</v>
      </c>
      <c r="D113" s="1" t="str">
        <f>ADDRESS(C121-1,D121+1,1,1)</f>
        <v>$HU$633</v>
      </c>
    </row>
    <row r="114" spans="1:5" x14ac:dyDescent="0.25">
      <c r="A114" s="7">
        <v>11691.796383978059</v>
      </c>
      <c r="C114" s="1" t="str">
        <f>ADDRESS(C121,D121,1,1)</f>
        <v>$HT$634</v>
      </c>
      <c r="D114" s="1" t="str">
        <f>ADDRESS(C121+1,D121+1,1,1)</f>
        <v>$HU$635</v>
      </c>
    </row>
    <row r="115" spans="1:5" x14ac:dyDescent="0.25">
      <c r="A115" s="7">
        <v>11462.545474488292</v>
      </c>
      <c r="C115" s="1" t="str">
        <f>ADDRESS(C121+1,D121,1,1)</f>
        <v>$HT$635</v>
      </c>
    </row>
    <row r="116" spans="1:5" x14ac:dyDescent="0.25">
      <c r="A116" s="7">
        <v>11237.789680870874</v>
      </c>
      <c r="C116" s="1">
        <f>C117-1</f>
        <v>633</v>
      </c>
    </row>
    <row r="117" spans="1:5" x14ac:dyDescent="0.25">
      <c r="A117" s="7">
        <v>11017.440863598895</v>
      </c>
      <c r="C117" s="1">
        <f>C121</f>
        <v>634</v>
      </c>
      <c r="D117" s="1">
        <f>D121</f>
        <v>228</v>
      </c>
    </row>
    <row r="118" spans="1:5" x14ac:dyDescent="0.25">
      <c r="A118" s="7">
        <v>10801.412611371465</v>
      </c>
      <c r="C118" s="1">
        <f>C117+1</f>
        <v>635</v>
      </c>
      <c r="D118" s="1">
        <f>D117+1</f>
        <v>229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634</v>
      </c>
      <c r="D121" s="19">
        <v>228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R634</v>
      </c>
      <c r="D123" s="1" t="str">
        <f>"C"&amp;D121</f>
        <v>C228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0.39426836073618904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42" x14ac:dyDescent="0.25">
      <c r="A529" s="7">
        <v>3.1536243640574906</v>
      </c>
      <c r="B529"/>
      <c r="C529"/>
      <c r="D529"/>
      <c r="E529"/>
    </row>
    <row r="530" spans="1:42" x14ac:dyDescent="0.25">
      <c r="A530" s="7">
        <v>3.0917885922132262</v>
      </c>
      <c r="B530"/>
      <c r="C530"/>
      <c r="D530"/>
      <c r="E530"/>
    </row>
    <row r="531" spans="1:42" x14ac:dyDescent="0.25">
      <c r="A531" s="7">
        <v>3.0311652864835552</v>
      </c>
      <c r="B531"/>
      <c r="C531"/>
      <c r="D531"/>
      <c r="E531"/>
    </row>
    <row r="532" spans="1:42" x14ac:dyDescent="0.25">
      <c r="A532" s="7">
        <v>2.9717306730230932</v>
      </c>
      <c r="B532"/>
      <c r="C532"/>
      <c r="D532"/>
      <c r="E532"/>
    </row>
    <row r="533" spans="1:42" x14ac:dyDescent="0.25">
      <c r="A533" s="7">
        <v>2.9134614441402875</v>
      </c>
      <c r="B533"/>
      <c r="C533"/>
      <c r="D533"/>
      <c r="E533"/>
    </row>
    <row r="534" spans="1:42" x14ac:dyDescent="0.25">
      <c r="A534" s="7">
        <v>2.8563347491571447</v>
      </c>
      <c r="B534"/>
      <c r="C534"/>
      <c r="D534"/>
      <c r="E534"/>
      <c r="AI534" s="27" t="s">
        <v>8</v>
      </c>
    </row>
    <row r="535" spans="1:42" x14ac:dyDescent="0.25">
      <c r="A535" s="7">
        <v>2.8003281854481812</v>
      </c>
      <c r="B535"/>
      <c r="C535"/>
      <c r="D535"/>
      <c r="E535"/>
      <c r="AI535" s="27" t="s">
        <v>8</v>
      </c>
      <c r="AJ535" s="27" t="s">
        <v>7</v>
      </c>
    </row>
    <row r="536" spans="1:42" x14ac:dyDescent="0.25">
      <c r="A536" s="7">
        <v>2.7454197896550796</v>
      </c>
      <c r="B536"/>
      <c r="C536"/>
      <c r="D536"/>
      <c r="E536"/>
      <c r="AI536" s="27" t="s">
        <v>8</v>
      </c>
      <c r="AJ536" s="27" t="s">
        <v>7</v>
      </c>
    </row>
    <row r="537" spans="1:42" x14ac:dyDescent="0.25">
      <c r="A537" s="7">
        <v>2.6915880290736074</v>
      </c>
      <c r="B537"/>
      <c r="C537"/>
      <c r="D537"/>
      <c r="E537"/>
      <c r="AI537" s="27" t="s">
        <v>8</v>
      </c>
      <c r="AJ537" s="27" t="s">
        <v>7</v>
      </c>
    </row>
    <row r="538" spans="1:42" x14ac:dyDescent="0.25">
      <c r="A538" s="7">
        <v>2.6388117932094191</v>
      </c>
      <c r="B538"/>
      <c r="C538"/>
      <c r="D538"/>
      <c r="E538"/>
      <c r="AI538" s="27" t="s">
        <v>8</v>
      </c>
      <c r="AJ538" s="27" t="s">
        <v>7</v>
      </c>
    </row>
    <row r="539" spans="1:42" x14ac:dyDescent="0.25">
      <c r="A539" s="7">
        <v>2.5870703854994304</v>
      </c>
      <c r="B539"/>
      <c r="C539"/>
      <c r="D539"/>
      <c r="E539"/>
      <c r="AI539" s="27" t="s">
        <v>8</v>
      </c>
      <c r="AJ539" s="27" t="s">
        <v>7</v>
      </c>
    </row>
    <row r="540" spans="1:42" x14ac:dyDescent="0.25">
      <c r="A540" s="7">
        <v>2.53634351519552</v>
      </c>
      <c r="B540"/>
      <c r="C540"/>
      <c r="D540"/>
      <c r="E540"/>
      <c r="AI540" s="27" t="s">
        <v>8</v>
      </c>
      <c r="AJ540" s="27" t="s">
        <v>7</v>
      </c>
    </row>
    <row r="541" spans="1:42" x14ac:dyDescent="0.25">
      <c r="A541" s="7">
        <v>2.4866112894073726</v>
      </c>
      <c r="B541"/>
      <c r="C541"/>
      <c r="D541"/>
      <c r="E541"/>
      <c r="AI541" s="27" t="s">
        <v>8</v>
      </c>
      <c r="AJ541" s="27" t="s">
        <v>7</v>
      </c>
    </row>
    <row r="542" spans="1:42" x14ac:dyDescent="0.25">
      <c r="A542" s="7">
        <v>2.4378542053013459</v>
      </c>
      <c r="B542"/>
      <c r="C542"/>
      <c r="D542"/>
      <c r="E542"/>
      <c r="AI542" s="27" t="s">
        <v>8</v>
      </c>
      <c r="AJ542" s="27" t="s">
        <v>7</v>
      </c>
      <c r="AO542" s="27" t="s">
        <v>8</v>
      </c>
    </row>
    <row r="543" spans="1:42" x14ac:dyDescent="0.25">
      <c r="A543" s="7">
        <v>2.3900531424522997</v>
      </c>
      <c r="B543"/>
      <c r="C543"/>
      <c r="D543"/>
      <c r="E543"/>
      <c r="AI543" s="27" t="s">
        <v>8</v>
      </c>
      <c r="AJ543" s="27" t="s">
        <v>7</v>
      </c>
      <c r="AO543" s="27" t="s">
        <v>8</v>
      </c>
      <c r="AP543" s="27" t="s">
        <v>7</v>
      </c>
    </row>
    <row r="544" spans="1:42" x14ac:dyDescent="0.25">
      <c r="A544" s="7">
        <v>2.343189355345392</v>
      </c>
      <c r="B544"/>
      <c r="C544"/>
      <c r="D544"/>
      <c r="E544"/>
      <c r="AI544" s="27" t="s">
        <v>8</v>
      </c>
      <c r="AJ544" s="27" t="s">
        <v>7</v>
      </c>
      <c r="AM544" s="27" t="s">
        <v>8</v>
      </c>
      <c r="AO544" s="27" t="s">
        <v>8</v>
      </c>
      <c r="AP544" s="27" t="s">
        <v>7</v>
      </c>
    </row>
    <row r="545" spans="1:85" x14ac:dyDescent="0.25">
      <c r="A545" s="7">
        <v>2.2972444660248938</v>
      </c>
      <c r="B545"/>
      <c r="C545"/>
      <c r="D545"/>
      <c r="E545"/>
      <c r="AI545" s="27" t="s">
        <v>8</v>
      </c>
      <c r="AJ545" s="27" t="s">
        <v>7</v>
      </c>
      <c r="AM545" s="27" t="s">
        <v>8</v>
      </c>
      <c r="AN545" s="27" t="s">
        <v>7</v>
      </c>
      <c r="AO545" s="27" t="s">
        <v>8</v>
      </c>
      <c r="AP545" s="27" t="s">
        <v>7</v>
      </c>
    </row>
    <row r="546" spans="1:85" x14ac:dyDescent="0.25">
      <c r="A546" s="7">
        <v>2.252200456887151</v>
      </c>
      <c r="B546"/>
      <c r="C546"/>
      <c r="D546"/>
      <c r="E546"/>
      <c r="AI546" s="27" t="s">
        <v>8</v>
      </c>
      <c r="AJ546" s="27" t="s">
        <v>7</v>
      </c>
      <c r="AK546" s="27" t="s">
        <v>8</v>
      </c>
      <c r="AM546" s="27" t="s">
        <v>8</v>
      </c>
      <c r="AN546" s="27" t="s">
        <v>7</v>
      </c>
      <c r="AO546" s="27" t="s">
        <v>8</v>
      </c>
      <c r="AP546" s="27" t="s">
        <v>7</v>
      </c>
    </row>
    <row r="547" spans="1:85" x14ac:dyDescent="0.25">
      <c r="A547" s="7">
        <v>2.208039663614854</v>
      </c>
      <c r="B547"/>
      <c r="C547"/>
      <c r="D547"/>
      <c r="E547"/>
      <c r="AI547" s="27" t="s">
        <v>8</v>
      </c>
      <c r="AJ547" s="27" t="s">
        <v>7</v>
      </c>
      <c r="AK547" s="27" t="s">
        <v>8</v>
      </c>
      <c r="AL547" s="27" t="s">
        <v>7</v>
      </c>
      <c r="AM547" s="27" t="s">
        <v>8</v>
      </c>
      <c r="AN547" s="27" t="s">
        <v>7</v>
      </c>
      <c r="AO547" s="27" t="s">
        <v>8</v>
      </c>
      <c r="AP547" s="27" t="s">
        <v>7</v>
      </c>
      <c r="AY547" s="27" t="s">
        <v>8</v>
      </c>
    </row>
    <row r="548" spans="1:85" x14ac:dyDescent="0.25">
      <c r="A548" s="7">
        <v>2.1647447682498568</v>
      </c>
      <c r="B548"/>
      <c r="C548"/>
      <c r="D548"/>
      <c r="E548"/>
      <c r="AI548" s="27" t="s">
        <v>8</v>
      </c>
      <c r="AJ548" s="27" t="s">
        <v>7</v>
      </c>
      <c r="AK548" s="27" t="s">
        <v>8</v>
      </c>
      <c r="AL548" s="27" t="s">
        <v>7</v>
      </c>
      <c r="AM548" s="27" t="s">
        <v>8</v>
      </c>
      <c r="AN548" s="27" t="s">
        <v>7</v>
      </c>
      <c r="AO548" s="27" t="s">
        <v>8</v>
      </c>
      <c r="AP548" s="27" t="s">
        <v>7</v>
      </c>
      <c r="AY548" s="27" t="s">
        <v>8</v>
      </c>
      <c r="AZ548" s="27" t="s">
        <v>7</v>
      </c>
      <c r="BQ548" s="27" t="s">
        <v>8</v>
      </c>
    </row>
    <row r="549" spans="1:85" x14ac:dyDescent="0.25">
      <c r="A549" s="7">
        <v>2.1222987924018204</v>
      </c>
      <c r="B549"/>
      <c r="C549"/>
      <c r="D549"/>
      <c r="E549"/>
      <c r="AI549" s="27" t="s">
        <v>8</v>
      </c>
      <c r="AJ549" s="27" t="s">
        <v>7</v>
      </c>
      <c r="AK549" s="27" t="s">
        <v>8</v>
      </c>
      <c r="AL549" s="27" t="s">
        <v>7</v>
      </c>
      <c r="AM549" s="27" t="s">
        <v>8</v>
      </c>
      <c r="AN549" s="27" t="s">
        <v>7</v>
      </c>
      <c r="AO549" s="27" t="s">
        <v>8</v>
      </c>
      <c r="AP549" s="27" t="s">
        <v>7</v>
      </c>
      <c r="AY549" s="27" t="s">
        <v>8</v>
      </c>
      <c r="AZ549" s="27" t="s">
        <v>7</v>
      </c>
      <c r="BO549" s="27" t="s">
        <v>8</v>
      </c>
      <c r="BQ549" s="27" t="s">
        <v>8</v>
      </c>
      <c r="BR549" s="27" t="s">
        <v>7</v>
      </c>
      <c r="BS549" s="27" t="s">
        <v>8</v>
      </c>
    </row>
    <row r="550" spans="1:85" x14ac:dyDescent="0.25">
      <c r="A550" s="7">
        <v>2.0806850905900198</v>
      </c>
      <c r="B550"/>
      <c r="C550"/>
      <c r="D550"/>
      <c r="E550"/>
      <c r="AI550" s="27" t="s">
        <v>8</v>
      </c>
      <c r="AJ550" s="27" t="s">
        <v>7</v>
      </c>
      <c r="AK550" s="27" t="s">
        <v>8</v>
      </c>
      <c r="AL550" s="27" t="s">
        <v>7</v>
      </c>
      <c r="AM550" s="27" t="s">
        <v>8</v>
      </c>
      <c r="AN550" s="27" t="s">
        <v>7</v>
      </c>
      <c r="AO550" s="27" t="s">
        <v>8</v>
      </c>
      <c r="AP550" s="27" t="s">
        <v>7</v>
      </c>
      <c r="AU550" s="27" t="s">
        <v>8</v>
      </c>
      <c r="AY550" s="27" t="s">
        <v>8</v>
      </c>
      <c r="AZ550" s="27" t="s">
        <v>7</v>
      </c>
      <c r="BO550" s="27" t="s">
        <v>8</v>
      </c>
      <c r="BP550" s="27" t="s">
        <v>7</v>
      </c>
      <c r="BQ550" s="27" t="s">
        <v>8</v>
      </c>
      <c r="BR550" s="27" t="s">
        <v>7</v>
      </c>
      <c r="BS550" s="27" t="s">
        <v>8</v>
      </c>
      <c r="BT550" s="27" t="s">
        <v>7</v>
      </c>
    </row>
    <row r="551" spans="1:85" x14ac:dyDescent="0.25">
      <c r="A551" s="7">
        <v>2.0398873437157055</v>
      </c>
      <c r="B551"/>
      <c r="C551"/>
      <c r="D551"/>
      <c r="E551"/>
      <c r="AI551" s="27" t="s">
        <v>8</v>
      </c>
      <c r="AJ551" s="27" t="s">
        <v>7</v>
      </c>
      <c r="AK551" s="27" t="s">
        <v>8</v>
      </c>
      <c r="AL551" s="27" t="s">
        <v>7</v>
      </c>
      <c r="AM551" s="27" t="s">
        <v>8</v>
      </c>
      <c r="AN551" s="27" t="s">
        <v>7</v>
      </c>
      <c r="AP551" s="27" t="s">
        <v>7</v>
      </c>
      <c r="AQ551" s="27" t="s">
        <v>8</v>
      </c>
      <c r="AU551" s="27" t="s">
        <v>8</v>
      </c>
      <c r="AV551" s="27" t="s">
        <v>7</v>
      </c>
      <c r="AY551" s="27" t="s">
        <v>8</v>
      </c>
      <c r="AZ551" s="27" t="s">
        <v>7</v>
      </c>
      <c r="BO551" s="27" t="s">
        <v>8</v>
      </c>
      <c r="BP551" s="27" t="s">
        <v>7</v>
      </c>
      <c r="BQ551" s="27" t="s">
        <v>8</v>
      </c>
      <c r="BR551" s="27" t="s">
        <v>7</v>
      </c>
      <c r="BS551" s="27" t="s">
        <v>8</v>
      </c>
      <c r="BT551" s="27" t="s">
        <v>7</v>
      </c>
    </row>
    <row r="552" spans="1:85" x14ac:dyDescent="0.25">
      <c r="A552" s="7">
        <v>1.9998895526624565</v>
      </c>
      <c r="B552"/>
      <c r="C552"/>
      <c r="D552"/>
      <c r="E552"/>
      <c r="AI552" s="27" t="s">
        <v>8</v>
      </c>
      <c r="AJ552" s="27" t="s">
        <v>7</v>
      </c>
      <c r="AK552" s="27" t="s">
        <v>8</v>
      </c>
      <c r="AL552" s="27" t="s">
        <v>7</v>
      </c>
      <c r="AM552" s="27" t="s">
        <v>8</v>
      </c>
      <c r="AP552" s="27" t="s">
        <v>7</v>
      </c>
      <c r="AQ552" s="27" t="s">
        <v>8</v>
      </c>
      <c r="AR552" s="27" t="s">
        <v>7</v>
      </c>
      <c r="AU552" s="27" t="s">
        <v>8</v>
      </c>
      <c r="AV552" s="27" t="s">
        <v>7</v>
      </c>
      <c r="AY552" s="27" t="s">
        <v>8</v>
      </c>
      <c r="AZ552" s="27" t="s">
        <v>7</v>
      </c>
      <c r="BO552" s="27" t="s">
        <v>8</v>
      </c>
      <c r="BP552" s="27" t="s">
        <v>7</v>
      </c>
      <c r="BQ552" s="27" t="s">
        <v>8</v>
      </c>
      <c r="BR552" s="27" t="s">
        <v>7</v>
      </c>
      <c r="BS552" s="27" t="s">
        <v>8</v>
      </c>
      <c r="BT552" s="27" t="s">
        <v>7</v>
      </c>
    </row>
    <row r="553" spans="1:85" x14ac:dyDescent="0.25">
      <c r="A553" s="7">
        <v>1.9606760320220162</v>
      </c>
      <c r="B553"/>
      <c r="C553"/>
      <c r="D553"/>
      <c r="E553"/>
      <c r="AI553" s="27" t="s">
        <v>8</v>
      </c>
      <c r="AJ553" s="27" t="s">
        <v>7</v>
      </c>
      <c r="AK553" s="27" t="s">
        <v>8</v>
      </c>
      <c r="AL553" s="27" t="s">
        <v>7</v>
      </c>
      <c r="AM553" s="27" t="s">
        <v>8</v>
      </c>
      <c r="AP553" s="27" t="s">
        <v>7</v>
      </c>
      <c r="AQ553" s="27" t="s">
        <v>8</v>
      </c>
      <c r="AR553" s="27" t="s">
        <v>7</v>
      </c>
      <c r="AU553" s="27" t="s">
        <v>8</v>
      </c>
      <c r="AV553" s="27" t="s">
        <v>7</v>
      </c>
      <c r="AY553" s="27" t="s">
        <v>8</v>
      </c>
      <c r="AZ553" s="27" t="s">
        <v>7</v>
      </c>
      <c r="BK553" s="27" t="s">
        <v>8</v>
      </c>
      <c r="BO553" s="27" t="s">
        <v>8</v>
      </c>
      <c r="BP553" s="27" t="s">
        <v>7</v>
      </c>
      <c r="BQ553" s="27" t="s">
        <v>8</v>
      </c>
      <c r="BR553" s="27" t="s">
        <v>7</v>
      </c>
      <c r="BS553" s="27" t="s">
        <v>8</v>
      </c>
      <c r="BT553" s="27" t="s">
        <v>7</v>
      </c>
    </row>
    <row r="554" spans="1:85" x14ac:dyDescent="0.25">
      <c r="A554" s="7">
        <v>1.9222314039431532</v>
      </c>
      <c r="B554"/>
      <c r="C554"/>
      <c r="D554"/>
      <c r="E554"/>
      <c r="AI554" s="27" t="s">
        <v>8</v>
      </c>
      <c r="AJ554" s="27" t="s">
        <v>7</v>
      </c>
      <c r="AK554" s="27" t="s">
        <v>8</v>
      </c>
      <c r="AL554" s="27" t="s">
        <v>7</v>
      </c>
      <c r="AP554" s="27" t="s">
        <v>7</v>
      </c>
      <c r="AQ554" s="27" t="s">
        <v>8</v>
      </c>
      <c r="AR554" s="27" t="s">
        <v>7</v>
      </c>
      <c r="AU554" s="27" t="s">
        <v>8</v>
      </c>
      <c r="AV554" s="27" t="s">
        <v>7</v>
      </c>
      <c r="AW554" s="27" t="s">
        <v>8</v>
      </c>
      <c r="AY554" s="27" t="s">
        <v>8</v>
      </c>
      <c r="AZ554" s="27" t="s">
        <v>7</v>
      </c>
      <c r="BK554" s="27" t="s">
        <v>8</v>
      </c>
      <c r="BL554" s="27" t="s">
        <v>7</v>
      </c>
      <c r="BO554" s="27" t="s">
        <v>8</v>
      </c>
      <c r="BP554" s="27" t="s">
        <v>7</v>
      </c>
      <c r="BQ554" s="27" t="s">
        <v>8</v>
      </c>
      <c r="BR554" s="27" t="s">
        <v>7</v>
      </c>
      <c r="BT554" s="27" t="s">
        <v>7</v>
      </c>
    </row>
    <row r="555" spans="1:85" x14ac:dyDescent="0.25">
      <c r="A555" s="7">
        <v>1.8845405921011305</v>
      </c>
      <c r="B555"/>
      <c r="C555"/>
      <c r="D555"/>
      <c r="E555"/>
      <c r="AI555" s="27" t="s">
        <v>8</v>
      </c>
      <c r="AJ555" s="27" t="s">
        <v>7</v>
      </c>
      <c r="AK555" s="27" t="s">
        <v>8</v>
      </c>
      <c r="AP555" s="27" t="s">
        <v>7</v>
      </c>
      <c r="AQ555" s="27" t="s">
        <v>8</v>
      </c>
      <c r="AR555" s="27" t="s">
        <v>7</v>
      </c>
      <c r="AU555" s="27" t="s">
        <v>8</v>
      </c>
      <c r="AV555" s="27" t="s">
        <v>7</v>
      </c>
      <c r="AW555" s="27" t="s">
        <v>8</v>
      </c>
      <c r="AX555" s="27" t="s">
        <v>7</v>
      </c>
      <c r="AY555" s="27" t="s">
        <v>8</v>
      </c>
      <c r="AZ555" s="27" t="s">
        <v>7</v>
      </c>
      <c r="BA555" s="27" t="s">
        <v>8</v>
      </c>
      <c r="BI555" s="27" t="s">
        <v>8</v>
      </c>
      <c r="BK555" s="27" t="s">
        <v>8</v>
      </c>
      <c r="BL555" s="27" t="s">
        <v>7</v>
      </c>
      <c r="BO555" s="27" t="s">
        <v>8</v>
      </c>
      <c r="BP555" s="27" t="s">
        <v>7</v>
      </c>
      <c r="BQ555" s="27" t="s">
        <v>8</v>
      </c>
      <c r="BT555" s="27" t="s">
        <v>7</v>
      </c>
    </row>
    <row r="556" spans="1:85" x14ac:dyDescent="0.25">
      <c r="A556" s="7">
        <v>1.8475888157854219</v>
      </c>
      <c r="B556"/>
      <c r="C556"/>
      <c r="D556"/>
      <c r="E556"/>
      <c r="AI556" s="27" t="s">
        <v>8</v>
      </c>
      <c r="AJ556" s="27" t="s">
        <v>7</v>
      </c>
      <c r="AK556" s="27" t="s">
        <v>8</v>
      </c>
      <c r="AP556" s="27" t="s">
        <v>7</v>
      </c>
      <c r="AQ556" s="27" t="s">
        <v>8</v>
      </c>
      <c r="AR556" s="27" t="s">
        <v>7</v>
      </c>
      <c r="AU556" s="27" t="s">
        <v>8</v>
      </c>
      <c r="AV556" s="27" t="s">
        <v>7</v>
      </c>
      <c r="AW556" s="27" t="s">
        <v>8</v>
      </c>
      <c r="AX556" s="27" t="s">
        <v>7</v>
      </c>
      <c r="AY556" s="27" t="s">
        <v>8</v>
      </c>
      <c r="AZ556" s="27" t="s">
        <v>7</v>
      </c>
      <c r="BA556" s="27" t="s">
        <v>8</v>
      </c>
      <c r="BB556" s="27" t="s">
        <v>7</v>
      </c>
      <c r="BC556" s="27" t="s">
        <v>8</v>
      </c>
      <c r="BG556" s="27" t="s">
        <v>8</v>
      </c>
      <c r="BI556" s="27" t="s">
        <v>8</v>
      </c>
      <c r="BJ556" s="27" t="s">
        <v>7</v>
      </c>
      <c r="BK556" s="27" t="s">
        <v>8</v>
      </c>
      <c r="BL556" s="27" t="s">
        <v>7</v>
      </c>
      <c r="BM556" s="27" t="s">
        <v>8</v>
      </c>
      <c r="BO556" s="27" t="s">
        <v>8</v>
      </c>
      <c r="BP556" s="27" t="s">
        <v>7</v>
      </c>
      <c r="BT556" s="27" t="s">
        <v>7</v>
      </c>
    </row>
    <row r="557" spans="1:85" x14ac:dyDescent="0.25">
      <c r="A557" s="7">
        <v>1.8113615841033548</v>
      </c>
      <c r="B557"/>
      <c r="C557"/>
      <c r="D557"/>
      <c r="E557"/>
      <c r="AI557" s="27" t="s">
        <v>8</v>
      </c>
      <c r="AJ557" s="27" t="s">
        <v>7</v>
      </c>
      <c r="AK557" s="27" t="s">
        <v>8</v>
      </c>
      <c r="AP557" s="27" t="s">
        <v>7</v>
      </c>
      <c r="AQ557" s="27" t="s">
        <v>8</v>
      </c>
      <c r="AR557" s="27" t="s">
        <v>7</v>
      </c>
      <c r="AS557" s="27" t="s">
        <v>8</v>
      </c>
      <c r="AU557" s="27" t="s">
        <v>8</v>
      </c>
      <c r="AV557" s="27" t="s">
        <v>7</v>
      </c>
      <c r="AW557" s="27" t="s">
        <v>8</v>
      </c>
      <c r="AX557" s="27" t="s">
        <v>7</v>
      </c>
      <c r="AZ557" s="27" t="s">
        <v>7</v>
      </c>
      <c r="BA557" s="27" t="s">
        <v>8</v>
      </c>
      <c r="BB557" s="27" t="s">
        <v>7</v>
      </c>
      <c r="BC557" s="27" t="s">
        <v>8</v>
      </c>
      <c r="BD557" s="27" t="s">
        <v>7</v>
      </c>
      <c r="BG557" s="27" t="s">
        <v>8</v>
      </c>
      <c r="BH557" s="27" t="s">
        <v>7</v>
      </c>
      <c r="BI557" s="27" t="s">
        <v>8</v>
      </c>
      <c r="BJ557" s="27" t="s">
        <v>7</v>
      </c>
      <c r="BK557" s="27" t="s">
        <v>8</v>
      </c>
      <c r="BL557" s="27" t="s">
        <v>7</v>
      </c>
      <c r="BM557" s="27" t="s">
        <v>8</v>
      </c>
      <c r="BN557" s="27" t="s">
        <v>7</v>
      </c>
      <c r="BO557" s="27" t="s">
        <v>8</v>
      </c>
      <c r="BT557" s="27" t="s">
        <v>7</v>
      </c>
    </row>
    <row r="558" spans="1:85" x14ac:dyDescent="0.25">
      <c r="A558" s="7">
        <v>1.7758446902974065</v>
      </c>
      <c r="B558"/>
      <c r="C558"/>
      <c r="D558"/>
      <c r="E558"/>
      <c r="AI558" s="27" t="s">
        <v>8</v>
      </c>
      <c r="AJ558" s="27" t="s">
        <v>7</v>
      </c>
      <c r="AK558" s="27" t="s">
        <v>8</v>
      </c>
      <c r="AP558" s="27" t="s">
        <v>7</v>
      </c>
      <c r="AQ558" s="27" t="s">
        <v>8</v>
      </c>
      <c r="AR558" s="27" t="s">
        <v>7</v>
      </c>
      <c r="AS558" s="27" t="s">
        <v>8</v>
      </c>
      <c r="AT558" s="27" t="s">
        <v>7</v>
      </c>
      <c r="AU558" s="27" t="s">
        <v>8</v>
      </c>
      <c r="AV558" s="27" t="s">
        <v>7</v>
      </c>
      <c r="AW558" s="27" t="s">
        <v>8</v>
      </c>
      <c r="AZ558" s="27" t="s">
        <v>7</v>
      </c>
      <c r="BA558" s="27" t="s">
        <v>8</v>
      </c>
      <c r="BB558" s="27" t="s">
        <v>7</v>
      </c>
      <c r="BC558" s="27" t="s">
        <v>8</v>
      </c>
      <c r="BD558" s="27" t="s">
        <v>7</v>
      </c>
      <c r="BE558" s="27" t="s">
        <v>8</v>
      </c>
      <c r="BG558" s="27" t="s">
        <v>8</v>
      </c>
      <c r="BH558" s="27" t="s">
        <v>7</v>
      </c>
      <c r="BI558" s="27" t="s">
        <v>8</v>
      </c>
      <c r="BJ558" s="27" t="s">
        <v>7</v>
      </c>
      <c r="BK558" s="27" t="s">
        <v>8</v>
      </c>
      <c r="BL558" s="27" t="s">
        <v>7</v>
      </c>
      <c r="BM558" s="27" t="s">
        <v>8</v>
      </c>
      <c r="BN558" s="27" t="s">
        <v>7</v>
      </c>
      <c r="BO558" s="27" t="s">
        <v>8</v>
      </c>
      <c r="BT558" s="27" t="s">
        <v>7</v>
      </c>
      <c r="BU558" s="27" t="s">
        <v>8</v>
      </c>
    </row>
    <row r="559" spans="1:85" x14ac:dyDescent="0.25">
      <c r="A559" s="7">
        <v>1.7410242061739281</v>
      </c>
      <c r="B559"/>
      <c r="C559"/>
      <c r="D559"/>
      <c r="E559"/>
      <c r="AI559" s="27" t="s">
        <v>8</v>
      </c>
      <c r="AJ559" s="27" t="s">
        <v>7</v>
      </c>
      <c r="AK559" s="27" t="s">
        <v>8</v>
      </c>
      <c r="AP559" s="27" t="s">
        <v>7</v>
      </c>
      <c r="AQ559" s="27" t="s">
        <v>8</v>
      </c>
      <c r="AR559" s="27" t="s">
        <v>7</v>
      </c>
      <c r="AS559" s="27" t="s">
        <v>8</v>
      </c>
      <c r="AT559" s="27" t="s">
        <v>7</v>
      </c>
      <c r="AU559" s="27" t="s">
        <v>8</v>
      </c>
      <c r="AV559" s="27" t="s">
        <v>7</v>
      </c>
      <c r="AZ559" s="27" t="s">
        <v>7</v>
      </c>
      <c r="BA559" s="27" t="s">
        <v>8</v>
      </c>
      <c r="BB559" s="27" t="s">
        <v>7</v>
      </c>
      <c r="BC559" s="27" t="s">
        <v>8</v>
      </c>
      <c r="BD559" s="27" t="s">
        <v>7</v>
      </c>
      <c r="BE559" s="27" t="s">
        <v>8</v>
      </c>
      <c r="BF559" s="27" t="s">
        <v>7</v>
      </c>
      <c r="BG559" s="27" t="s">
        <v>8</v>
      </c>
      <c r="BH559" s="27" t="s">
        <v>7</v>
      </c>
      <c r="BI559" s="27" t="s">
        <v>8</v>
      </c>
      <c r="BJ559" s="27" t="s">
        <v>7</v>
      </c>
      <c r="BK559" s="27" t="s">
        <v>8</v>
      </c>
      <c r="BL559" s="27" t="s">
        <v>7</v>
      </c>
      <c r="BM559" s="27" t="s">
        <v>8</v>
      </c>
      <c r="BN559" s="27" t="s">
        <v>7</v>
      </c>
      <c r="BO559" s="27" t="s">
        <v>8</v>
      </c>
      <c r="BT559" s="27" t="s">
        <v>7</v>
      </c>
      <c r="BU559" s="27" t="s">
        <v>8</v>
      </c>
      <c r="BV559" s="27" t="s">
        <v>7</v>
      </c>
    </row>
    <row r="560" spans="1:85" x14ac:dyDescent="0.25">
      <c r="A560" s="7">
        <v>1.7068864766411058</v>
      </c>
      <c r="B560"/>
      <c r="C560"/>
      <c r="D560"/>
      <c r="E560"/>
      <c r="AI560" s="27" t="s">
        <v>8</v>
      </c>
      <c r="AJ560" s="27" t="s">
        <v>7</v>
      </c>
      <c r="AK560" s="27" t="s">
        <v>8</v>
      </c>
      <c r="AP560" s="27" t="s">
        <v>7</v>
      </c>
      <c r="AQ560" s="27" t="s">
        <v>8</v>
      </c>
      <c r="AR560" s="27" t="s">
        <v>7</v>
      </c>
      <c r="AS560" s="27" t="s">
        <v>8</v>
      </c>
      <c r="AT560" s="27" t="s">
        <v>7</v>
      </c>
      <c r="AU560" s="27" t="s">
        <v>8</v>
      </c>
      <c r="AZ560" s="27" t="s">
        <v>7</v>
      </c>
      <c r="BA560" s="27" t="s">
        <v>8</v>
      </c>
      <c r="BB560" s="27" t="s">
        <v>7</v>
      </c>
      <c r="BD560" s="27" t="s">
        <v>7</v>
      </c>
      <c r="BE560" s="27" t="s">
        <v>8</v>
      </c>
      <c r="BF560" s="27" t="s">
        <v>7</v>
      </c>
      <c r="BG560" s="27" t="s">
        <v>8</v>
      </c>
      <c r="BH560" s="27" t="s">
        <v>7</v>
      </c>
      <c r="BI560" s="27" t="s">
        <v>8</v>
      </c>
      <c r="BJ560" s="27" t="s">
        <v>7</v>
      </c>
      <c r="BK560" s="27" t="s">
        <v>8</v>
      </c>
      <c r="BL560" s="27" t="s">
        <v>7</v>
      </c>
      <c r="BM560" s="27" t="s">
        <v>8</v>
      </c>
      <c r="BN560" s="27" t="s">
        <v>7</v>
      </c>
      <c r="BO560" s="27" t="s">
        <v>8</v>
      </c>
      <c r="BT560" s="27" t="s">
        <v>7</v>
      </c>
      <c r="BU560" s="27" t="s">
        <v>8</v>
      </c>
      <c r="BV560" s="27" t="s">
        <v>7</v>
      </c>
      <c r="CC560" s="27" t="s">
        <v>8</v>
      </c>
      <c r="CG560" s="27" t="s">
        <v>8</v>
      </c>
    </row>
    <row r="561" spans="1:184" x14ac:dyDescent="0.25">
      <c r="A561" s="7">
        <v>1.6734181143540252</v>
      </c>
      <c r="B561"/>
      <c r="C561"/>
      <c r="D561"/>
      <c r="E561"/>
      <c r="AI561" s="27" t="s">
        <v>8</v>
      </c>
      <c r="AJ561" s="27" t="s">
        <v>7</v>
      </c>
      <c r="AP561" s="27" t="s">
        <v>7</v>
      </c>
      <c r="AQ561" s="27" t="s">
        <v>8</v>
      </c>
      <c r="AR561" s="27" t="s">
        <v>7</v>
      </c>
      <c r="AS561" s="27" t="s">
        <v>8</v>
      </c>
      <c r="AT561" s="27" t="s">
        <v>7</v>
      </c>
      <c r="AU561" s="27" t="s">
        <v>8</v>
      </c>
      <c r="AZ561" s="27" t="s">
        <v>7</v>
      </c>
      <c r="BD561" s="27" t="s">
        <v>7</v>
      </c>
      <c r="BE561" s="27" t="s">
        <v>8</v>
      </c>
      <c r="BF561" s="27" t="s">
        <v>7</v>
      </c>
      <c r="BH561" s="27" t="s">
        <v>7</v>
      </c>
      <c r="BI561" s="27" t="s">
        <v>8</v>
      </c>
      <c r="BJ561" s="27" t="s">
        <v>7</v>
      </c>
      <c r="BL561" s="27" t="s">
        <v>7</v>
      </c>
      <c r="BN561" s="27" t="s">
        <v>7</v>
      </c>
      <c r="BO561" s="27" t="s">
        <v>8</v>
      </c>
      <c r="BT561" s="27" t="s">
        <v>7</v>
      </c>
      <c r="BU561" s="27" t="s">
        <v>8</v>
      </c>
      <c r="BV561" s="27" t="s">
        <v>7</v>
      </c>
      <c r="CC561" s="27" t="s">
        <v>8</v>
      </c>
      <c r="CD561" s="27" t="s">
        <v>7</v>
      </c>
      <c r="CE561" s="27" t="s">
        <v>8</v>
      </c>
      <c r="CG561" s="27" t="s">
        <v>8</v>
      </c>
      <c r="CH561" s="27" t="s">
        <v>7</v>
      </c>
    </row>
    <row r="562" spans="1:184" x14ac:dyDescent="0.25">
      <c r="A562" s="7">
        <v>1.6406059944647307</v>
      </c>
      <c r="B562"/>
      <c r="C562"/>
      <c r="D562"/>
      <c r="E562"/>
      <c r="AI562" s="27" t="s">
        <v>8</v>
      </c>
      <c r="AP562" s="27" t="s">
        <v>7</v>
      </c>
      <c r="AQ562" s="27" t="s">
        <v>8</v>
      </c>
      <c r="AR562" s="27" t="s">
        <v>7</v>
      </c>
      <c r="AS562" s="27" t="s">
        <v>8</v>
      </c>
      <c r="AT562" s="27" t="s">
        <v>7</v>
      </c>
      <c r="AU562" s="27" t="s">
        <v>8</v>
      </c>
      <c r="BD562" s="27" t="s">
        <v>7</v>
      </c>
      <c r="BE562" s="27" t="s">
        <v>8</v>
      </c>
      <c r="BH562" s="27" t="s">
        <v>7</v>
      </c>
      <c r="BI562" s="27" t="s">
        <v>8</v>
      </c>
      <c r="BN562" s="27" t="s">
        <v>7</v>
      </c>
      <c r="BO562" s="27" t="s">
        <v>8</v>
      </c>
      <c r="BT562" s="27" t="s">
        <v>7</v>
      </c>
      <c r="BU562" s="27" t="s">
        <v>8</v>
      </c>
      <c r="BV562" s="27" t="s">
        <v>7</v>
      </c>
      <c r="BW562" s="27" t="s">
        <v>8</v>
      </c>
      <c r="CC562" s="27" t="s">
        <v>8</v>
      </c>
      <c r="CD562" s="27" t="s">
        <v>7</v>
      </c>
      <c r="CE562" s="27" t="s">
        <v>8</v>
      </c>
      <c r="CF562" s="27" t="s">
        <v>7</v>
      </c>
      <c r="CG562" s="27" t="s">
        <v>8</v>
      </c>
      <c r="CH562" s="27" t="s">
        <v>7</v>
      </c>
    </row>
    <row r="563" spans="1:184" x14ac:dyDescent="0.25">
      <c r="A563" s="7">
        <v>1.6084372494752261</v>
      </c>
      <c r="B563"/>
      <c r="C563"/>
      <c r="D563"/>
      <c r="E563"/>
      <c r="AI563" s="27" t="s">
        <v>8</v>
      </c>
      <c r="AP563" s="27" t="s">
        <v>7</v>
      </c>
      <c r="AQ563" s="27" t="s">
        <v>8</v>
      </c>
      <c r="AR563" s="27" t="s">
        <v>7</v>
      </c>
      <c r="AS563" s="27" t="s">
        <v>8</v>
      </c>
      <c r="AT563" s="27" t="s">
        <v>7</v>
      </c>
      <c r="AU563" s="27" t="s">
        <v>8</v>
      </c>
      <c r="BD563" s="27" t="s">
        <v>7</v>
      </c>
      <c r="BH563" s="27" t="s">
        <v>7</v>
      </c>
      <c r="BI563" s="27" t="s">
        <v>8</v>
      </c>
      <c r="BN563" s="27" t="s">
        <v>7</v>
      </c>
      <c r="BO563" s="27" t="s">
        <v>8</v>
      </c>
      <c r="BT563" s="27" t="s">
        <v>7</v>
      </c>
      <c r="BU563" s="27" t="s">
        <v>8</v>
      </c>
      <c r="BV563" s="27" t="s">
        <v>7</v>
      </c>
      <c r="BW563" s="27" t="s">
        <v>8</v>
      </c>
      <c r="BX563" s="27" t="s">
        <v>7</v>
      </c>
      <c r="CA563" s="27" t="s">
        <v>8</v>
      </c>
      <c r="CC563" s="27" t="s">
        <v>8</v>
      </c>
      <c r="CD563" s="27" t="s">
        <v>7</v>
      </c>
      <c r="CE563" s="27" t="s">
        <v>8</v>
      </c>
      <c r="CF563" s="27" t="s">
        <v>7</v>
      </c>
      <c r="CG563" s="27" t="s">
        <v>8</v>
      </c>
      <c r="CH563" s="27" t="s">
        <v>7</v>
      </c>
    </row>
    <row r="564" spans="1:184" x14ac:dyDescent="0.25">
      <c r="A564" s="7">
        <v>1.5768992641913981</v>
      </c>
      <c r="B564"/>
      <c r="C564"/>
      <c r="D564"/>
      <c r="E564"/>
      <c r="AI564" s="27" t="s">
        <v>8</v>
      </c>
      <c r="AP564" s="27" t="s">
        <v>7</v>
      </c>
      <c r="AQ564" s="27" t="s">
        <v>8</v>
      </c>
      <c r="AR564" s="27" t="s">
        <v>7</v>
      </c>
      <c r="AT564" s="27" t="s">
        <v>7</v>
      </c>
      <c r="AU564" s="27" t="s">
        <v>8</v>
      </c>
      <c r="BH564" s="27" t="s">
        <v>7</v>
      </c>
      <c r="BI564" s="27" t="s">
        <v>8</v>
      </c>
      <c r="BN564" s="27" t="s">
        <v>7</v>
      </c>
      <c r="BO564" s="27" t="s">
        <v>8</v>
      </c>
      <c r="BT564" s="27" t="s">
        <v>7</v>
      </c>
      <c r="BU564" s="27" t="s">
        <v>8</v>
      </c>
      <c r="BV564" s="27" t="s">
        <v>7</v>
      </c>
      <c r="BW564" s="27" t="s">
        <v>8</v>
      </c>
      <c r="BX564" s="27" t="s">
        <v>7</v>
      </c>
      <c r="CA564" s="27" t="s">
        <v>8</v>
      </c>
      <c r="CB564" s="27" t="s">
        <v>7</v>
      </c>
      <c r="CC564" s="27" t="s">
        <v>8</v>
      </c>
      <c r="CD564" s="27" t="s">
        <v>7</v>
      </c>
      <c r="CE564" s="27" t="s">
        <v>8</v>
      </c>
      <c r="CF564" s="27" t="s">
        <v>7</v>
      </c>
      <c r="CG564" s="27" t="s">
        <v>8</v>
      </c>
      <c r="CH564" s="27" t="s">
        <v>7</v>
      </c>
    </row>
    <row r="565" spans="1:184" x14ac:dyDescent="0.25">
      <c r="A565" s="7">
        <v>1.5459796707758806</v>
      </c>
      <c r="B565"/>
      <c r="C565"/>
      <c r="D565"/>
      <c r="E565"/>
      <c r="AI565" s="27" t="s">
        <v>8</v>
      </c>
      <c r="AP565" s="27" t="s">
        <v>7</v>
      </c>
      <c r="AQ565" s="27" t="s">
        <v>8</v>
      </c>
      <c r="AT565" s="27" t="s">
        <v>7</v>
      </c>
      <c r="AU565" s="27" t="s">
        <v>8</v>
      </c>
      <c r="BH565" s="27" t="s">
        <v>7</v>
      </c>
      <c r="BI565" s="27" t="s">
        <v>8</v>
      </c>
      <c r="BN565" s="27" t="s">
        <v>7</v>
      </c>
      <c r="BT565" s="27" t="s">
        <v>7</v>
      </c>
      <c r="BU565" s="27" t="s">
        <v>8</v>
      </c>
      <c r="BV565" s="27" t="s">
        <v>7</v>
      </c>
      <c r="BW565" s="27" t="s">
        <v>8</v>
      </c>
      <c r="BX565" s="27" t="s">
        <v>7</v>
      </c>
      <c r="CA565" s="27" t="s">
        <v>8</v>
      </c>
      <c r="CB565" s="27" t="s">
        <v>7</v>
      </c>
      <c r="CC565" s="27" t="s">
        <v>8</v>
      </c>
      <c r="CD565" s="27" t="s">
        <v>7</v>
      </c>
      <c r="CF565" s="27" t="s">
        <v>7</v>
      </c>
      <c r="CG565" s="27" t="s">
        <v>8</v>
      </c>
      <c r="CH565" s="27" t="s">
        <v>7</v>
      </c>
    </row>
    <row r="566" spans="1:184" x14ac:dyDescent="0.25">
      <c r="A566" s="7">
        <v>1.5156663438979221</v>
      </c>
      <c r="B566"/>
      <c r="C566"/>
      <c r="D566"/>
      <c r="E566"/>
      <c r="AI566" s="27" t="s">
        <v>8</v>
      </c>
      <c r="AP566" s="27" t="s">
        <v>7</v>
      </c>
      <c r="AQ566" s="27" t="s">
        <v>8</v>
      </c>
      <c r="AT566" s="27" t="s">
        <v>7</v>
      </c>
      <c r="AU566" s="27" t="s">
        <v>8</v>
      </c>
      <c r="BH566" s="27" t="s">
        <v>7</v>
      </c>
      <c r="BI566" s="27" t="s">
        <v>8</v>
      </c>
      <c r="BT566" s="27" t="s">
        <v>7</v>
      </c>
      <c r="BU566" s="27" t="s">
        <v>8</v>
      </c>
      <c r="BV566" s="27" t="s">
        <v>7</v>
      </c>
      <c r="BW566" s="27" t="s">
        <v>8</v>
      </c>
      <c r="BX566" s="27" t="s">
        <v>7</v>
      </c>
      <c r="CA566" s="27" t="s">
        <v>8</v>
      </c>
      <c r="CB566" s="27" t="s">
        <v>7</v>
      </c>
      <c r="CC566" s="27" t="s">
        <v>8</v>
      </c>
      <c r="CF566" s="27" t="s">
        <v>7</v>
      </c>
      <c r="CG566" s="27" t="s">
        <v>8</v>
      </c>
      <c r="CH566" s="27" t="s">
        <v>7</v>
      </c>
      <c r="CI566" s="27" t="s">
        <v>8</v>
      </c>
      <c r="CK566" s="27" t="s">
        <v>8</v>
      </c>
    </row>
    <row r="567" spans="1:184" x14ac:dyDescent="0.25">
      <c r="A567" s="7">
        <v>1.4859473959783549</v>
      </c>
      <c r="B567"/>
      <c r="C567"/>
      <c r="D567"/>
      <c r="E567"/>
      <c r="AI567" s="27" t="s">
        <v>8</v>
      </c>
      <c r="AP567" s="27" t="s">
        <v>7</v>
      </c>
      <c r="AQ567" s="27" t="s">
        <v>8</v>
      </c>
      <c r="AT567" s="27" t="s">
        <v>7</v>
      </c>
      <c r="AU567" s="27" t="s">
        <v>8</v>
      </c>
      <c r="BH567" s="27" t="s">
        <v>7</v>
      </c>
      <c r="BI567" s="27" t="s">
        <v>8</v>
      </c>
      <c r="BT567" s="27" t="s">
        <v>7</v>
      </c>
      <c r="BU567" s="27" t="s">
        <v>8</v>
      </c>
      <c r="BV567" s="27" t="s">
        <v>7</v>
      </c>
      <c r="BW567" s="27" t="s">
        <v>8</v>
      </c>
      <c r="BX567" s="27" t="s">
        <v>7</v>
      </c>
      <c r="CA567" s="27" t="s">
        <v>8</v>
      </c>
      <c r="CB567" s="27" t="s">
        <v>7</v>
      </c>
      <c r="CC567" s="27" t="s">
        <v>8</v>
      </c>
      <c r="CF567" s="27" t="s">
        <v>7</v>
      </c>
      <c r="CG567" s="27" t="s">
        <v>8</v>
      </c>
      <c r="CH567" s="27" t="s">
        <v>7</v>
      </c>
      <c r="CI567" s="27" t="s">
        <v>8</v>
      </c>
      <c r="CJ567" s="27" t="s">
        <v>7</v>
      </c>
      <c r="CK567" s="27" t="s">
        <v>8</v>
      </c>
      <c r="CL567" s="27" t="s">
        <v>7</v>
      </c>
    </row>
    <row r="568" spans="1:184" x14ac:dyDescent="0.25">
      <c r="A568" s="7">
        <v>1.4568111725277988</v>
      </c>
      <c r="B568"/>
      <c r="C568"/>
      <c r="D568"/>
      <c r="E568"/>
      <c r="AI568" s="27" t="s">
        <v>8</v>
      </c>
      <c r="AP568" s="27" t="s">
        <v>7</v>
      </c>
      <c r="AQ568" s="27" t="s">
        <v>8</v>
      </c>
      <c r="AT568" s="27" t="s">
        <v>7</v>
      </c>
      <c r="AU568" s="27" t="s">
        <v>8</v>
      </c>
      <c r="BH568" s="27" t="s">
        <v>7</v>
      </c>
      <c r="BI568" s="27" t="s">
        <v>8</v>
      </c>
      <c r="BT568" s="27" t="s">
        <v>7</v>
      </c>
      <c r="BV568" s="27" t="s">
        <v>7</v>
      </c>
      <c r="BW568" s="27" t="s">
        <v>8</v>
      </c>
      <c r="BX568" s="27" t="s">
        <v>7</v>
      </c>
      <c r="CA568" s="27" t="s">
        <v>8</v>
      </c>
      <c r="CB568" s="27" t="s">
        <v>7</v>
      </c>
      <c r="CF568" s="27" t="s">
        <v>7</v>
      </c>
      <c r="CG568" s="27" t="s">
        <v>8</v>
      </c>
      <c r="CH568" s="27" t="s">
        <v>7</v>
      </c>
      <c r="CI568" s="27" t="s">
        <v>8</v>
      </c>
      <c r="CJ568" s="27" t="s">
        <v>7</v>
      </c>
      <c r="CK568" s="27" t="s">
        <v>8</v>
      </c>
      <c r="CL568" s="27" t="s">
        <v>7</v>
      </c>
    </row>
    <row r="569" spans="1:184" x14ac:dyDescent="0.25">
      <c r="A569" s="7">
        <v>1.4282462475762734</v>
      </c>
      <c r="B569"/>
      <c r="C569"/>
      <c r="D569"/>
      <c r="E569"/>
      <c r="AI569" s="27" t="s">
        <v>8</v>
      </c>
      <c r="AP569" s="27" t="s">
        <v>7</v>
      </c>
      <c r="AQ569" s="27" t="s">
        <v>8</v>
      </c>
      <c r="AT569" s="27" t="s">
        <v>7</v>
      </c>
      <c r="BH569" s="27" t="s">
        <v>7</v>
      </c>
      <c r="BI569" s="27" t="s">
        <v>8</v>
      </c>
      <c r="BV569" s="27" t="s">
        <v>7</v>
      </c>
      <c r="BX569" s="27" t="s">
        <v>7</v>
      </c>
      <c r="CA569" s="27" t="s">
        <v>8</v>
      </c>
      <c r="CF569" s="27" t="s">
        <v>7</v>
      </c>
      <c r="CH569" s="27" t="s">
        <v>7</v>
      </c>
      <c r="CI569" s="27" t="s">
        <v>8</v>
      </c>
      <c r="CJ569" s="27" t="s">
        <v>7</v>
      </c>
      <c r="CK569" s="27" t="s">
        <v>8</v>
      </c>
      <c r="CL569" s="27" t="s">
        <v>7</v>
      </c>
    </row>
    <row r="570" spans="1:184" x14ac:dyDescent="0.25">
      <c r="A570" s="7">
        <v>1.4002414191924248</v>
      </c>
      <c r="B570"/>
      <c r="C570"/>
      <c r="D570"/>
      <c r="E570"/>
      <c r="AI570" s="27" t="s">
        <v>8</v>
      </c>
      <c r="AP570" s="27" t="s">
        <v>7</v>
      </c>
      <c r="AQ570" s="27" t="s">
        <v>8</v>
      </c>
      <c r="BH570" s="27" t="s">
        <v>7</v>
      </c>
      <c r="BI570" s="27" t="s">
        <v>8</v>
      </c>
      <c r="BX570" s="27" t="s">
        <v>7</v>
      </c>
      <c r="CA570" s="27" t="s">
        <v>8</v>
      </c>
      <c r="CH570" s="27" t="s">
        <v>7</v>
      </c>
      <c r="CI570" s="27" t="s">
        <v>8</v>
      </c>
      <c r="CJ570" s="27" t="s">
        <v>7</v>
      </c>
      <c r="CK570" s="27" t="s">
        <v>8</v>
      </c>
      <c r="CL570" s="27" t="s">
        <v>7</v>
      </c>
    </row>
    <row r="571" spans="1:184" x14ac:dyDescent="0.25">
      <c r="A571" s="7">
        <v>1.3727857050906125</v>
      </c>
      <c r="B571"/>
      <c r="C571"/>
      <c r="D571"/>
      <c r="E571"/>
      <c r="AI571" s="27" t="s">
        <v>8</v>
      </c>
      <c r="AP571" s="27" t="s">
        <v>7</v>
      </c>
      <c r="AQ571" s="27" t="s">
        <v>8</v>
      </c>
      <c r="BH571" s="27" t="s">
        <v>7</v>
      </c>
      <c r="BI571" s="27" t="s">
        <v>8</v>
      </c>
      <c r="BX571" s="27" t="s">
        <v>7</v>
      </c>
      <c r="BY571" s="27" t="s">
        <v>8</v>
      </c>
      <c r="CA571" s="27" t="s">
        <v>8</v>
      </c>
      <c r="CH571" s="27" t="s">
        <v>7</v>
      </c>
      <c r="CI571" s="27" t="s">
        <v>8</v>
      </c>
      <c r="CJ571" s="27" t="s">
        <v>7</v>
      </c>
      <c r="CK571" s="27" t="s">
        <v>8</v>
      </c>
      <c r="CL571" s="27" t="s">
        <v>7</v>
      </c>
    </row>
    <row r="572" spans="1:184" x14ac:dyDescent="0.25">
      <c r="A572" s="7">
        <v>1.3458683383241299</v>
      </c>
      <c r="B572"/>
      <c r="C572"/>
      <c r="D572"/>
      <c r="E572"/>
      <c r="AI572" s="27" t="s">
        <v>8</v>
      </c>
      <c r="AP572" s="27" t="s">
        <v>7</v>
      </c>
      <c r="AQ572" s="27" t="s">
        <v>8</v>
      </c>
      <c r="BH572" s="27" t="s">
        <v>7</v>
      </c>
      <c r="BI572" s="27" t="s">
        <v>8</v>
      </c>
      <c r="BX572" s="27" t="s">
        <v>7</v>
      </c>
      <c r="BY572" s="27" t="s">
        <v>8</v>
      </c>
      <c r="BZ572" s="27" t="s">
        <v>7</v>
      </c>
      <c r="CA572" s="27" t="s">
        <v>8</v>
      </c>
      <c r="CH572" s="27" t="s">
        <v>7</v>
      </c>
      <c r="CI572" s="27" t="s">
        <v>8</v>
      </c>
      <c r="CJ572" s="27" t="s">
        <v>7</v>
      </c>
      <c r="CK572" s="27" t="s">
        <v>8</v>
      </c>
      <c r="CL572" s="27" t="s">
        <v>7</v>
      </c>
    </row>
    <row r="573" spans="1:184" x14ac:dyDescent="0.25">
      <c r="A573" s="7">
        <v>1.3194787630628724</v>
      </c>
      <c r="B573"/>
      <c r="C573"/>
      <c r="D573"/>
      <c r="E573"/>
      <c r="AI573" s="27" t="s">
        <v>8</v>
      </c>
      <c r="AP573" s="27" t="s">
        <v>7</v>
      </c>
      <c r="BH573" s="27" t="s">
        <v>7</v>
      </c>
      <c r="BX573" s="27" t="s">
        <v>7</v>
      </c>
      <c r="BY573" s="27" t="s">
        <v>8</v>
      </c>
      <c r="BZ573" s="27" t="s">
        <v>7</v>
      </c>
      <c r="CA573" s="27" t="s">
        <v>8</v>
      </c>
      <c r="CH573" s="27" t="s">
        <v>7</v>
      </c>
      <c r="CI573" s="27" t="s">
        <v>8</v>
      </c>
      <c r="CJ573" s="27" t="s">
        <v>7</v>
      </c>
      <c r="CK573" s="27" t="s">
        <v>8</v>
      </c>
      <c r="CL573" s="27" t="s">
        <v>7</v>
      </c>
      <c r="GA573" s="27" t="s">
        <v>8</v>
      </c>
    </row>
    <row r="574" spans="1:184" x14ac:dyDescent="0.25">
      <c r="A574" s="7">
        <v>1.2936066304537963</v>
      </c>
      <c r="B574"/>
      <c r="C574"/>
      <c r="D574"/>
      <c r="E574"/>
      <c r="AI574" s="27" t="s">
        <v>8</v>
      </c>
      <c r="BX574" s="27" t="s">
        <v>7</v>
      </c>
      <c r="BY574" s="27" t="s">
        <v>8</v>
      </c>
      <c r="BZ574" s="27" t="s">
        <v>7</v>
      </c>
      <c r="CA574" s="27" t="s">
        <v>8</v>
      </c>
      <c r="CH574" s="27" t="s">
        <v>7</v>
      </c>
      <c r="CI574" s="27" t="s">
        <v>8</v>
      </c>
      <c r="CJ574" s="27" t="s">
        <v>7</v>
      </c>
      <c r="CK574" s="27" t="s">
        <v>8</v>
      </c>
      <c r="CL574" s="27" t="s">
        <v>7</v>
      </c>
      <c r="GA574" s="27" t="s">
        <v>8</v>
      </c>
      <c r="GB574" s="27" t="s">
        <v>7</v>
      </c>
    </row>
    <row r="575" spans="1:184" x14ac:dyDescent="0.25">
      <c r="A575" s="7">
        <v>1.2682417945625455</v>
      </c>
      <c r="B575"/>
      <c r="C575"/>
      <c r="D575"/>
      <c r="E575"/>
      <c r="AI575" s="27" t="s">
        <v>8</v>
      </c>
      <c r="BX575" s="27" t="s">
        <v>7</v>
      </c>
      <c r="BY575" s="27" t="s">
        <v>8</v>
      </c>
      <c r="BZ575" s="27" t="s">
        <v>7</v>
      </c>
      <c r="CA575" s="27" t="s">
        <v>8</v>
      </c>
      <c r="CH575" s="27" t="s">
        <v>7</v>
      </c>
      <c r="CJ575" s="27" t="s">
        <v>7</v>
      </c>
      <c r="CK575" s="27" t="s">
        <v>8</v>
      </c>
      <c r="CL575" s="27" t="s">
        <v>7</v>
      </c>
      <c r="CM575" s="27" t="s">
        <v>8</v>
      </c>
      <c r="GA575" s="27" t="s">
        <v>8</v>
      </c>
      <c r="GB575" s="27" t="s">
        <v>7</v>
      </c>
    </row>
    <row r="576" spans="1:184" x14ac:dyDescent="0.25">
      <c r="A576" s="7">
        <v>1.2433743083946525</v>
      </c>
      <c r="B576"/>
      <c r="C576"/>
      <c r="D576"/>
      <c r="E576"/>
      <c r="AI576" s="27" t="s">
        <v>8</v>
      </c>
      <c r="BX576" s="27" t="s">
        <v>7</v>
      </c>
      <c r="BY576" s="27" t="s">
        <v>8</v>
      </c>
      <c r="BZ576" s="27" t="s">
        <v>7</v>
      </c>
      <c r="CA576" s="27" t="s">
        <v>8</v>
      </c>
      <c r="CJ576" s="27" t="s">
        <v>7</v>
      </c>
      <c r="CK576" s="27" t="s">
        <v>8</v>
      </c>
      <c r="CL576" s="27" t="s">
        <v>7</v>
      </c>
      <c r="CM576" s="27" t="s">
        <v>8</v>
      </c>
      <c r="CN576" s="27" t="s">
        <v>7</v>
      </c>
      <c r="GA576" s="27" t="s">
        <v>8</v>
      </c>
      <c r="GB576" s="27" t="s">
        <v>7</v>
      </c>
    </row>
    <row r="577" spans="1:198" x14ac:dyDescent="0.25">
      <c r="A577" s="7">
        <v>1.2189944199947573</v>
      </c>
      <c r="B577"/>
      <c r="C577"/>
      <c r="D577"/>
      <c r="E577"/>
      <c r="AI577" s="27" t="s">
        <v>8</v>
      </c>
      <c r="BX577" s="27" t="s">
        <v>7</v>
      </c>
      <c r="BY577" s="27" t="s">
        <v>8</v>
      </c>
      <c r="BZ577" s="27" t="s">
        <v>7</v>
      </c>
      <c r="CA577" s="27" t="s">
        <v>8</v>
      </c>
      <c r="CJ577" s="27" t="s">
        <v>7</v>
      </c>
      <c r="CL577" s="27" t="s">
        <v>7</v>
      </c>
      <c r="CM577" s="27" t="s">
        <v>8</v>
      </c>
      <c r="CN577" s="27" t="s">
        <v>7</v>
      </c>
      <c r="GA577" s="27" t="s">
        <v>8</v>
      </c>
      <c r="GB577" s="27" t="s">
        <v>7</v>
      </c>
    </row>
    <row r="578" spans="1:198" x14ac:dyDescent="0.25">
      <c r="A578" s="7">
        <v>1.1950925686223111</v>
      </c>
      <c r="B578"/>
      <c r="C578"/>
      <c r="D578"/>
      <c r="E578"/>
      <c r="AI578" s="27" t="s">
        <v>8</v>
      </c>
      <c r="BX578" s="27" t="s">
        <v>7</v>
      </c>
      <c r="BY578" s="27" t="s">
        <v>8</v>
      </c>
      <c r="BZ578" s="27" t="s">
        <v>7</v>
      </c>
      <c r="CL578" s="27" t="s">
        <v>7</v>
      </c>
      <c r="CM578" s="27" t="s">
        <v>8</v>
      </c>
      <c r="CN578" s="27" t="s">
        <v>7</v>
      </c>
      <c r="GA578" s="27" t="s">
        <v>8</v>
      </c>
      <c r="GB578" s="27" t="s">
        <v>7</v>
      </c>
    </row>
    <row r="579" spans="1:198" x14ac:dyDescent="0.25">
      <c r="A579" s="7">
        <v>1.1716593810022657</v>
      </c>
      <c r="B579"/>
      <c r="C579"/>
      <c r="D579"/>
      <c r="E579"/>
      <c r="AI579" s="27" t="s">
        <v>8</v>
      </c>
      <c r="BX579" s="27" t="s">
        <v>7</v>
      </c>
      <c r="BY579" s="27" t="s">
        <v>8</v>
      </c>
      <c r="CL579" s="27" t="s">
        <v>7</v>
      </c>
      <c r="CN579" s="27" t="s">
        <v>7</v>
      </c>
      <c r="FQ579" s="27" t="s">
        <v>8</v>
      </c>
      <c r="GA579" s="27" t="s">
        <v>8</v>
      </c>
      <c r="GB579" s="27" t="s">
        <v>7</v>
      </c>
    </row>
    <row r="580" spans="1:198" x14ac:dyDescent="0.25">
      <c r="A580" s="7">
        <v>1.14868566764928</v>
      </c>
      <c r="B580"/>
      <c r="C580"/>
      <c r="D580"/>
      <c r="E580"/>
      <c r="AI580" s="27" t="s">
        <v>8</v>
      </c>
      <c r="BX580" s="27" t="s">
        <v>7</v>
      </c>
      <c r="BY580" s="27" t="s">
        <v>8</v>
      </c>
      <c r="CN580" s="27" t="s">
        <v>7</v>
      </c>
      <c r="FQ580" s="27" t="s">
        <v>8</v>
      </c>
      <c r="FR580" s="27" t="s">
        <v>7</v>
      </c>
      <c r="FY580" s="27" t="s">
        <v>8</v>
      </c>
      <c r="GA580" s="27" t="s">
        <v>8</v>
      </c>
      <c r="GB580" s="27" t="s">
        <v>7</v>
      </c>
      <c r="GC580" s="27" t="s">
        <v>8</v>
      </c>
    </row>
    <row r="581" spans="1:198" x14ac:dyDescent="0.25">
      <c r="A581" s="7">
        <v>1.1261624192640001</v>
      </c>
      <c r="B581"/>
      <c r="C581"/>
      <c r="D581"/>
      <c r="E581"/>
      <c r="AI581" s="27" t="s">
        <v>8</v>
      </c>
      <c r="BX581" s="27" t="s">
        <v>7</v>
      </c>
      <c r="CN581" s="27" t="s">
        <v>7</v>
      </c>
      <c r="FQ581" s="27" t="s">
        <v>8</v>
      </c>
      <c r="FR581" s="27" t="s">
        <v>7</v>
      </c>
      <c r="FY581" s="27" t="s">
        <v>8</v>
      </c>
      <c r="FZ581" s="27" t="s">
        <v>7</v>
      </c>
      <c r="GA581" s="27" t="s">
        <v>8</v>
      </c>
      <c r="GB581" s="27" t="s">
        <v>7</v>
      </c>
      <c r="GC581" s="27" t="s">
        <v>8</v>
      </c>
      <c r="GD581" s="27" t="s">
        <v>7</v>
      </c>
    </row>
    <row r="582" spans="1:198" x14ac:dyDescent="0.25">
      <c r="A582" s="7">
        <v>1.1040808032</v>
      </c>
      <c r="B582"/>
      <c r="C582"/>
      <c r="D582"/>
      <c r="E582"/>
      <c r="AI582" s="27" t="s">
        <v>8</v>
      </c>
      <c r="CN582" s="27" t="s">
        <v>7</v>
      </c>
      <c r="FQ582" s="27" t="s">
        <v>8</v>
      </c>
      <c r="FR582" s="27" t="s">
        <v>7</v>
      </c>
      <c r="FY582" s="27" t="s">
        <v>8</v>
      </c>
      <c r="FZ582" s="27" t="s">
        <v>7</v>
      </c>
      <c r="GA582" s="27" t="s">
        <v>8</v>
      </c>
      <c r="GB582" s="27" t="s">
        <v>7</v>
      </c>
      <c r="GC582" s="27" t="s">
        <v>8</v>
      </c>
      <c r="GD582" s="27" t="s">
        <v>7</v>
      </c>
      <c r="GE582" s="27" t="s">
        <v>8</v>
      </c>
    </row>
    <row r="583" spans="1:198" x14ac:dyDescent="0.25">
      <c r="A583" s="7">
        <v>1.08243216</v>
      </c>
      <c r="B583"/>
      <c r="C583"/>
      <c r="D583"/>
      <c r="E583"/>
      <c r="AI583" s="27" t="s">
        <v>8</v>
      </c>
      <c r="CN583" s="27" t="s">
        <v>7</v>
      </c>
      <c r="EM583" s="27" t="s">
        <v>8</v>
      </c>
      <c r="EO583" s="27" t="s">
        <v>8</v>
      </c>
      <c r="FQ583" s="27" t="s">
        <v>8</v>
      </c>
      <c r="FR583" s="27" t="s">
        <v>7</v>
      </c>
      <c r="FU583" s="27" t="s">
        <v>8</v>
      </c>
      <c r="FY583" s="27" t="s">
        <v>8</v>
      </c>
      <c r="FZ583" s="27" t="s">
        <v>7</v>
      </c>
      <c r="GA583" s="27" t="s">
        <v>8</v>
      </c>
      <c r="GB583" s="27" t="s">
        <v>7</v>
      </c>
      <c r="GC583" s="27" t="s">
        <v>8</v>
      </c>
      <c r="GD583" s="27" t="s">
        <v>7</v>
      </c>
      <c r="GE583" s="27" t="s">
        <v>8</v>
      </c>
      <c r="GF583" s="27" t="s">
        <v>7</v>
      </c>
      <c r="GM583" s="27" t="s">
        <v>8</v>
      </c>
    </row>
    <row r="584" spans="1:198" x14ac:dyDescent="0.25">
      <c r="A584" s="7">
        <v>1.0612079999999999</v>
      </c>
      <c r="B584"/>
      <c r="C584"/>
      <c r="D584"/>
      <c r="E584"/>
      <c r="AI584" s="27" t="s">
        <v>8</v>
      </c>
      <c r="CN584" s="27" t="s">
        <v>7</v>
      </c>
      <c r="EM584" s="27" t="s">
        <v>8</v>
      </c>
      <c r="EN584" s="27" t="s">
        <v>7</v>
      </c>
      <c r="EO584" s="27" t="s">
        <v>8</v>
      </c>
      <c r="EP584" s="27" t="s">
        <v>7</v>
      </c>
      <c r="EU584" s="27" t="s">
        <v>8</v>
      </c>
      <c r="FQ584" s="27" t="s">
        <v>8</v>
      </c>
      <c r="FR584" s="27" t="s">
        <v>7</v>
      </c>
      <c r="FU584" s="27" t="s">
        <v>8</v>
      </c>
      <c r="FV584" s="27" t="s">
        <v>7</v>
      </c>
      <c r="FY584" s="27" t="s">
        <v>8</v>
      </c>
      <c r="FZ584" s="27" t="s">
        <v>7</v>
      </c>
      <c r="GA584" s="27" t="s">
        <v>8</v>
      </c>
      <c r="GB584" s="27" t="s">
        <v>7</v>
      </c>
      <c r="GC584" s="27" t="s">
        <v>8</v>
      </c>
      <c r="GD584" s="27" t="s">
        <v>7</v>
      </c>
      <c r="GE584" s="27" t="s">
        <v>8</v>
      </c>
      <c r="GF584" s="27" t="s">
        <v>7</v>
      </c>
      <c r="GM584" s="27" t="s">
        <v>8</v>
      </c>
      <c r="GN584" s="27" t="s">
        <v>7</v>
      </c>
    </row>
    <row r="585" spans="1:198" x14ac:dyDescent="0.25">
      <c r="A585" s="7">
        <v>1.0404</v>
      </c>
      <c r="B585"/>
      <c r="C585"/>
      <c r="D585"/>
      <c r="E585"/>
      <c r="AG585" s="27" t="s">
        <v>8</v>
      </c>
      <c r="AI585" s="27" t="s">
        <v>8</v>
      </c>
      <c r="CN585" s="27" t="s">
        <v>7</v>
      </c>
      <c r="EM585" s="27" t="s">
        <v>8</v>
      </c>
      <c r="EN585" s="27" t="s">
        <v>7</v>
      </c>
      <c r="EO585" s="27" t="s">
        <v>8</v>
      </c>
      <c r="EP585" s="27" t="s">
        <v>7</v>
      </c>
      <c r="EU585" s="27" t="s">
        <v>8</v>
      </c>
      <c r="EV585" s="27" t="s">
        <v>7</v>
      </c>
      <c r="FQ585" s="27" t="s">
        <v>8</v>
      </c>
      <c r="FR585" s="27" t="s">
        <v>7</v>
      </c>
      <c r="FU585" s="27" t="s">
        <v>8</v>
      </c>
      <c r="FV585" s="27" t="s">
        <v>7</v>
      </c>
      <c r="FY585" s="27" t="s">
        <v>8</v>
      </c>
      <c r="FZ585" s="27" t="s">
        <v>7</v>
      </c>
      <c r="GA585" s="27" t="s">
        <v>8</v>
      </c>
      <c r="GB585" s="27" t="s">
        <v>7</v>
      </c>
      <c r="GC585" s="27" t="s">
        <v>8</v>
      </c>
      <c r="GD585" s="27" t="s">
        <v>7</v>
      </c>
      <c r="GF585" s="27" t="s">
        <v>7</v>
      </c>
      <c r="GG585" s="27" t="s">
        <v>8</v>
      </c>
      <c r="GM585" s="27" t="s">
        <v>8</v>
      </c>
      <c r="GN585" s="27" t="s">
        <v>7</v>
      </c>
    </row>
    <row r="586" spans="1:198" x14ac:dyDescent="0.25">
      <c r="A586" s="7">
        <v>1.02</v>
      </c>
      <c r="B586"/>
      <c r="C586"/>
      <c r="D586"/>
      <c r="E586"/>
      <c r="AG586" s="27" t="s">
        <v>8</v>
      </c>
      <c r="AH586" s="27" t="s">
        <v>7</v>
      </c>
      <c r="AI586" s="27" t="s">
        <v>8</v>
      </c>
      <c r="CN586" s="27" t="s">
        <v>7</v>
      </c>
      <c r="EK586" s="27" t="s">
        <v>8</v>
      </c>
      <c r="EM586" s="27" t="s">
        <v>8</v>
      </c>
      <c r="EN586" s="27" t="s">
        <v>7</v>
      </c>
      <c r="EO586" s="27" t="s">
        <v>8</v>
      </c>
      <c r="EP586" s="27" t="s">
        <v>7</v>
      </c>
      <c r="EU586" s="27" t="s">
        <v>8</v>
      </c>
      <c r="EV586" s="27" t="s">
        <v>7</v>
      </c>
      <c r="FQ586" s="27" t="s">
        <v>8</v>
      </c>
      <c r="FR586" s="27" t="s">
        <v>7</v>
      </c>
      <c r="FS586" s="27" t="s">
        <v>8</v>
      </c>
      <c r="FU586" s="27" t="s">
        <v>8</v>
      </c>
      <c r="FV586" s="27" t="s">
        <v>7</v>
      </c>
      <c r="FW586" s="27" t="s">
        <v>8</v>
      </c>
      <c r="FY586" s="27" t="s">
        <v>8</v>
      </c>
      <c r="FZ586" s="27" t="s">
        <v>7</v>
      </c>
      <c r="GB586" s="27" t="s">
        <v>7</v>
      </c>
      <c r="GC586" s="27" t="s">
        <v>8</v>
      </c>
      <c r="GF586" s="27" t="s">
        <v>7</v>
      </c>
      <c r="GG586" s="27" t="s">
        <v>8</v>
      </c>
      <c r="GH586" s="27" t="s">
        <v>7</v>
      </c>
      <c r="GM586" s="27" t="s">
        <v>8</v>
      </c>
      <c r="GN586" s="27" t="s">
        <v>7</v>
      </c>
    </row>
    <row r="587" spans="1:198" x14ac:dyDescent="0.25">
      <c r="A587" s="7">
        <v>1</v>
      </c>
      <c r="B587"/>
      <c r="C587"/>
      <c r="D587"/>
      <c r="E587" s="29" t="s">
        <v>8</v>
      </c>
      <c r="AG587" s="27" t="s">
        <v>8</v>
      </c>
      <c r="AH587" s="27" t="s">
        <v>7</v>
      </c>
      <c r="AI587" s="27" t="s">
        <v>8</v>
      </c>
      <c r="CN587" s="27" t="s">
        <v>7</v>
      </c>
      <c r="EK587" s="27" t="s">
        <v>8</v>
      </c>
      <c r="EL587" s="27" t="s">
        <v>7</v>
      </c>
      <c r="EM587" s="27" t="s">
        <v>8</v>
      </c>
      <c r="EN587" s="27" t="s">
        <v>7</v>
      </c>
      <c r="EP587" s="27" t="s">
        <v>7</v>
      </c>
      <c r="EU587" s="27" t="s">
        <v>8</v>
      </c>
      <c r="EV587" s="27" t="s">
        <v>7</v>
      </c>
      <c r="FQ587" s="27" t="s">
        <v>8</v>
      </c>
      <c r="FR587" s="27" t="s">
        <v>7</v>
      </c>
      <c r="FS587" s="27" t="s">
        <v>8</v>
      </c>
      <c r="FT587" s="27" t="s">
        <v>7</v>
      </c>
      <c r="FU587" s="27" t="s">
        <v>8</v>
      </c>
      <c r="FV587" s="27" t="s">
        <v>7</v>
      </c>
      <c r="FW587" s="27" t="s">
        <v>8</v>
      </c>
      <c r="FX587" s="27" t="s">
        <v>7</v>
      </c>
      <c r="FY587" s="27" t="s">
        <v>8</v>
      </c>
      <c r="GB587" s="27" t="s">
        <v>7</v>
      </c>
      <c r="GF587" s="27" t="s">
        <v>7</v>
      </c>
      <c r="GG587" s="27" t="s">
        <v>8</v>
      </c>
      <c r="GH587" s="27" t="s">
        <v>7</v>
      </c>
      <c r="GM587" s="27" t="s">
        <v>8</v>
      </c>
      <c r="GN587" s="27" t="s">
        <v>7</v>
      </c>
      <c r="GO587" s="27" t="s">
        <v>8</v>
      </c>
    </row>
    <row r="588" spans="1:198" x14ac:dyDescent="0.25">
      <c r="A588" s="7">
        <v>0.98039215686274506</v>
      </c>
      <c r="B588"/>
      <c r="C588"/>
      <c r="D588"/>
      <c r="E588"/>
      <c r="F588" s="27" t="s">
        <v>7</v>
      </c>
      <c r="AG588" s="27" t="s">
        <v>8</v>
      </c>
      <c r="AH588" s="27" t="s">
        <v>7</v>
      </c>
      <c r="AI588" s="27" t="s">
        <v>8</v>
      </c>
      <c r="CN588" s="27" t="s">
        <v>7</v>
      </c>
      <c r="EK588" s="27" t="s">
        <v>8</v>
      </c>
      <c r="EL588" s="27" t="s">
        <v>7</v>
      </c>
      <c r="EM588" s="27" t="s">
        <v>8</v>
      </c>
      <c r="EP588" s="27" t="s">
        <v>7</v>
      </c>
      <c r="EU588" s="27" t="s">
        <v>8</v>
      </c>
      <c r="EV588" s="27" t="s">
        <v>7</v>
      </c>
      <c r="FO588" s="27" t="s">
        <v>8</v>
      </c>
      <c r="FQ588" s="27" t="s">
        <v>8</v>
      </c>
      <c r="FR588" s="27" t="s">
        <v>7</v>
      </c>
      <c r="FS588" s="27" t="s">
        <v>8</v>
      </c>
      <c r="FT588" s="27" t="s">
        <v>7</v>
      </c>
      <c r="FU588" s="27" t="s">
        <v>8</v>
      </c>
      <c r="FV588" s="27" t="s">
        <v>7</v>
      </c>
      <c r="FW588" s="27" t="s">
        <v>8</v>
      </c>
      <c r="FX588" s="27" t="s">
        <v>7</v>
      </c>
      <c r="FY588" s="27" t="s">
        <v>8</v>
      </c>
      <c r="GF588" s="27" t="s">
        <v>7</v>
      </c>
      <c r="GG588" s="27" t="s">
        <v>8</v>
      </c>
      <c r="GH588" s="27" t="s">
        <v>7</v>
      </c>
      <c r="GI588" s="27" t="s">
        <v>8</v>
      </c>
      <c r="GM588" s="27" t="s">
        <v>8</v>
      </c>
      <c r="GN588" s="27" t="s">
        <v>7</v>
      </c>
      <c r="GO588" s="27" t="s">
        <v>8</v>
      </c>
      <c r="GP588" s="27" t="s">
        <v>7</v>
      </c>
    </row>
    <row r="589" spans="1:198" x14ac:dyDescent="0.25">
      <c r="A589" s="7">
        <v>0.96116878123798544</v>
      </c>
      <c r="B589"/>
      <c r="C589"/>
      <c r="D589"/>
      <c r="E589"/>
      <c r="F589" s="27" t="s">
        <v>7</v>
      </c>
      <c r="AG589" s="27" t="s">
        <v>8</v>
      </c>
      <c r="AH589" s="27" t="s">
        <v>7</v>
      </c>
      <c r="AI589" s="27" t="s">
        <v>8</v>
      </c>
      <c r="CN589" s="27" t="s">
        <v>7</v>
      </c>
      <c r="CO589" s="27" t="s">
        <v>8</v>
      </c>
      <c r="CY589" s="27" t="s">
        <v>8</v>
      </c>
      <c r="EK589" s="27" t="s">
        <v>8</v>
      </c>
      <c r="EL589" s="27" t="s">
        <v>7</v>
      </c>
      <c r="EM589" s="27" t="s">
        <v>8</v>
      </c>
      <c r="EP589" s="27" t="s">
        <v>7</v>
      </c>
      <c r="EU589" s="27" t="s">
        <v>8</v>
      </c>
      <c r="EV589" s="27" t="s">
        <v>7</v>
      </c>
      <c r="FO589" s="27" t="s">
        <v>8</v>
      </c>
      <c r="FP589" s="27" t="s">
        <v>7</v>
      </c>
      <c r="FQ589" s="27" t="s">
        <v>8</v>
      </c>
      <c r="FR589" s="27" t="s">
        <v>7</v>
      </c>
      <c r="FS589" s="27" t="s">
        <v>8</v>
      </c>
      <c r="FT589" s="27" t="s">
        <v>7</v>
      </c>
      <c r="FU589" s="27" t="s">
        <v>8</v>
      </c>
      <c r="FV589" s="27" t="s">
        <v>7</v>
      </c>
      <c r="FW589" s="27" t="s">
        <v>8</v>
      </c>
      <c r="FX589" s="27" t="s">
        <v>7</v>
      </c>
      <c r="FY589" s="27" t="s">
        <v>8</v>
      </c>
      <c r="GF589" s="27" t="s">
        <v>7</v>
      </c>
      <c r="GG589" s="27" t="s">
        <v>8</v>
      </c>
      <c r="GH589" s="27" t="s">
        <v>7</v>
      </c>
      <c r="GI589" s="27" t="s">
        <v>8</v>
      </c>
      <c r="GJ589" s="27" t="s">
        <v>7</v>
      </c>
      <c r="GM589" s="27" t="s">
        <v>8</v>
      </c>
      <c r="GN589" s="27" t="s">
        <v>7</v>
      </c>
      <c r="GO589" s="27" t="s">
        <v>8</v>
      </c>
      <c r="GP589" s="27" t="s">
        <v>7</v>
      </c>
    </row>
    <row r="590" spans="1:198" x14ac:dyDescent="0.25">
      <c r="A590" s="7">
        <v>0.94232233454704462</v>
      </c>
      <c r="B590"/>
      <c r="C590"/>
      <c r="D590"/>
      <c r="E590"/>
      <c r="F590" s="27" t="s">
        <v>7</v>
      </c>
      <c r="AG590" s="27" t="s">
        <v>8</v>
      </c>
      <c r="AH590" s="27" t="s">
        <v>7</v>
      </c>
      <c r="AI590" s="27" t="s">
        <v>8</v>
      </c>
      <c r="CN590" s="27" t="s">
        <v>7</v>
      </c>
      <c r="CO590" s="27" t="s">
        <v>8</v>
      </c>
      <c r="CP590" s="27" t="s">
        <v>7</v>
      </c>
      <c r="CY590" s="27" t="s">
        <v>8</v>
      </c>
      <c r="CZ590" s="27" t="s">
        <v>7</v>
      </c>
      <c r="EI590" s="27" t="s">
        <v>8</v>
      </c>
      <c r="EK590" s="27" t="s">
        <v>8</v>
      </c>
      <c r="EL590" s="27" t="s">
        <v>7</v>
      </c>
      <c r="EM590" s="27" t="s">
        <v>8</v>
      </c>
      <c r="EP590" s="27" t="s">
        <v>7</v>
      </c>
      <c r="EQ590" s="27" t="s">
        <v>8</v>
      </c>
      <c r="ES590" s="27" t="s">
        <v>8</v>
      </c>
      <c r="EU590" s="27" t="s">
        <v>8</v>
      </c>
      <c r="EV590" s="27" t="s">
        <v>7</v>
      </c>
      <c r="EY590" s="27" t="s">
        <v>8</v>
      </c>
      <c r="FO590" s="27" t="s">
        <v>8</v>
      </c>
      <c r="FP590" s="27" t="s">
        <v>7</v>
      </c>
      <c r="FQ590" s="27" t="s">
        <v>8</v>
      </c>
      <c r="FR590" s="27" t="s">
        <v>7</v>
      </c>
      <c r="FS590" s="27" t="s">
        <v>8</v>
      </c>
      <c r="FT590" s="27" t="s">
        <v>7</v>
      </c>
      <c r="FU590" s="27" t="s">
        <v>8</v>
      </c>
      <c r="FV590" s="27" t="s">
        <v>7</v>
      </c>
      <c r="FX590" s="27" t="s">
        <v>7</v>
      </c>
      <c r="GF590" s="27" t="s">
        <v>7</v>
      </c>
      <c r="GG590" s="27" t="s">
        <v>8</v>
      </c>
      <c r="GH590" s="27" t="s">
        <v>7</v>
      </c>
      <c r="GI590" s="27" t="s">
        <v>8</v>
      </c>
      <c r="GJ590" s="27" t="s">
        <v>7</v>
      </c>
      <c r="GM590" s="27" t="s">
        <v>8</v>
      </c>
      <c r="GN590" s="27" t="s">
        <v>7</v>
      </c>
      <c r="GP590" s="27" t="s">
        <v>7</v>
      </c>
    </row>
    <row r="591" spans="1:198" x14ac:dyDescent="0.25">
      <c r="A591" s="7">
        <v>0.92384542602651432</v>
      </c>
      <c r="B591"/>
      <c r="C591"/>
      <c r="D591"/>
      <c r="E591"/>
      <c r="F591" s="27" t="s">
        <v>7</v>
      </c>
      <c r="AG591" s="27" t="s">
        <v>8</v>
      </c>
      <c r="AH591" s="27" t="s">
        <v>7</v>
      </c>
      <c r="AI591" s="27" t="s">
        <v>8</v>
      </c>
      <c r="CN591" s="27" t="s">
        <v>7</v>
      </c>
      <c r="CO591" s="27" t="s">
        <v>8</v>
      </c>
      <c r="CP591" s="27" t="s">
        <v>7</v>
      </c>
      <c r="CY591" s="27" t="s">
        <v>8</v>
      </c>
      <c r="CZ591" s="27" t="s">
        <v>7</v>
      </c>
      <c r="EI591" s="27" t="s">
        <v>8</v>
      </c>
      <c r="EJ591" s="27" t="s">
        <v>7</v>
      </c>
      <c r="EK591" s="27" t="s">
        <v>8</v>
      </c>
      <c r="EL591" s="27" t="s">
        <v>7</v>
      </c>
      <c r="EM591" s="27" t="s">
        <v>8</v>
      </c>
      <c r="EP591" s="27" t="s">
        <v>7</v>
      </c>
      <c r="EQ591" s="27" t="s">
        <v>8</v>
      </c>
      <c r="ER591" s="27" t="s">
        <v>7</v>
      </c>
      <c r="ES591" s="27" t="s">
        <v>8</v>
      </c>
      <c r="ET591" s="27" t="s">
        <v>7</v>
      </c>
      <c r="EU591" s="27" t="s">
        <v>8</v>
      </c>
      <c r="EV591" s="27" t="s">
        <v>7</v>
      </c>
      <c r="EY591" s="27" t="s">
        <v>8</v>
      </c>
      <c r="EZ591" s="27" t="s">
        <v>7</v>
      </c>
      <c r="FO591" s="27" t="s">
        <v>8</v>
      </c>
      <c r="FP591" s="27" t="s">
        <v>7</v>
      </c>
      <c r="FQ591" s="27" t="s">
        <v>8</v>
      </c>
      <c r="FR591" s="27" t="s">
        <v>7</v>
      </c>
      <c r="FS591" s="27" t="s">
        <v>8</v>
      </c>
      <c r="FT591" s="27" t="s">
        <v>7</v>
      </c>
      <c r="FU591" s="27" t="s">
        <v>8</v>
      </c>
      <c r="GF591" s="27" t="s">
        <v>7</v>
      </c>
      <c r="GG591" s="27" t="s">
        <v>8</v>
      </c>
      <c r="GH591" s="27" t="s">
        <v>7</v>
      </c>
      <c r="GI591" s="27" t="s">
        <v>8</v>
      </c>
      <c r="GJ591" s="27" t="s">
        <v>7</v>
      </c>
      <c r="GK591" s="27" t="s">
        <v>8</v>
      </c>
      <c r="GM591" s="27" t="s">
        <v>8</v>
      </c>
      <c r="GP591" s="27" t="s">
        <v>7</v>
      </c>
    </row>
    <row r="592" spans="1:198" x14ac:dyDescent="0.25">
      <c r="A592" s="7">
        <v>0.90573080982991594</v>
      </c>
      <c r="B592"/>
      <c r="C592"/>
      <c r="D592"/>
      <c r="E592"/>
      <c r="F592" s="27" t="s">
        <v>7</v>
      </c>
      <c r="AG592" s="27" t="s">
        <v>8</v>
      </c>
      <c r="AH592" s="27" t="s">
        <v>7</v>
      </c>
      <c r="AI592" s="27" t="s">
        <v>8</v>
      </c>
      <c r="CN592" s="27" t="s">
        <v>7</v>
      </c>
      <c r="CO592" s="27" t="s">
        <v>8</v>
      </c>
      <c r="CP592" s="27" t="s">
        <v>7</v>
      </c>
      <c r="CY592" s="27" t="s">
        <v>8</v>
      </c>
      <c r="CZ592" s="27" t="s">
        <v>7</v>
      </c>
      <c r="EI592" s="27" t="s">
        <v>8</v>
      </c>
      <c r="EJ592" s="27" t="s">
        <v>7</v>
      </c>
      <c r="EK592" s="27" t="s">
        <v>8</v>
      </c>
      <c r="EL592" s="27" t="s">
        <v>7</v>
      </c>
      <c r="EM592" s="27" t="s">
        <v>8</v>
      </c>
      <c r="EP592" s="27" t="s">
        <v>7</v>
      </c>
      <c r="EQ592" s="27" t="s">
        <v>8</v>
      </c>
      <c r="ER592" s="27" t="s">
        <v>7</v>
      </c>
      <c r="ES592" s="27" t="s">
        <v>8</v>
      </c>
      <c r="ET592" s="27" t="s">
        <v>7</v>
      </c>
      <c r="EU592" s="27" t="s">
        <v>8</v>
      </c>
      <c r="EV592" s="27" t="s">
        <v>7</v>
      </c>
      <c r="EW592" s="27" t="s">
        <v>8</v>
      </c>
      <c r="EY592" s="27" t="s">
        <v>8</v>
      </c>
      <c r="EZ592" s="27" t="s">
        <v>7</v>
      </c>
      <c r="FA592" s="27" t="s">
        <v>8</v>
      </c>
      <c r="FO592" s="27" t="s">
        <v>8</v>
      </c>
      <c r="FP592" s="27" t="s">
        <v>7</v>
      </c>
      <c r="FQ592" s="27" t="s">
        <v>8</v>
      </c>
      <c r="FR592" s="27" t="s">
        <v>7</v>
      </c>
      <c r="FS592" s="27" t="s">
        <v>8</v>
      </c>
      <c r="FT592" s="27" t="s">
        <v>7</v>
      </c>
      <c r="GF592" s="27" t="s">
        <v>7</v>
      </c>
      <c r="GG592" s="27" t="s">
        <v>8</v>
      </c>
      <c r="GH592" s="27" t="s">
        <v>7</v>
      </c>
      <c r="GI592" s="27" t="s">
        <v>8</v>
      </c>
      <c r="GJ592" s="27" t="s">
        <v>7</v>
      </c>
      <c r="GK592" s="27" t="s">
        <v>8</v>
      </c>
      <c r="GL592" s="27" t="s">
        <v>7</v>
      </c>
      <c r="GM592" s="27" t="s">
        <v>8</v>
      </c>
      <c r="GP592" s="27" t="s">
        <v>7</v>
      </c>
    </row>
    <row r="593" spans="1:216" x14ac:dyDescent="0.25">
      <c r="A593" s="7">
        <v>0.8879713821861922</v>
      </c>
      <c r="B593"/>
      <c r="C593"/>
      <c r="D593"/>
      <c r="E593"/>
      <c r="F593" s="27" t="s">
        <v>7</v>
      </c>
      <c r="AG593" s="27" t="s">
        <v>8</v>
      </c>
      <c r="AH593" s="27" t="s">
        <v>7</v>
      </c>
      <c r="AI593" s="27" t="s">
        <v>8</v>
      </c>
      <c r="CN593" s="27" t="s">
        <v>7</v>
      </c>
      <c r="CO593" s="27" t="s">
        <v>8</v>
      </c>
      <c r="CP593" s="27" t="s">
        <v>7</v>
      </c>
      <c r="CY593" s="27" t="s">
        <v>8</v>
      </c>
      <c r="CZ593" s="27" t="s">
        <v>7</v>
      </c>
      <c r="EI593" s="27" t="s">
        <v>8</v>
      </c>
      <c r="EJ593" s="27" t="s">
        <v>7</v>
      </c>
      <c r="EK593" s="27" t="s">
        <v>8</v>
      </c>
      <c r="EL593" s="27" t="s">
        <v>7</v>
      </c>
      <c r="EM593" s="27" t="s">
        <v>8</v>
      </c>
      <c r="EP593" s="27" t="s">
        <v>7</v>
      </c>
      <c r="EQ593" s="27" t="s">
        <v>8</v>
      </c>
      <c r="ER593" s="27" t="s">
        <v>7</v>
      </c>
      <c r="ES593" s="27" t="s">
        <v>8</v>
      </c>
      <c r="ET593" s="27" t="s">
        <v>7</v>
      </c>
      <c r="EV593" s="27" t="s">
        <v>7</v>
      </c>
      <c r="EW593" s="27" t="s">
        <v>8</v>
      </c>
      <c r="EX593" s="27" t="s">
        <v>7</v>
      </c>
      <c r="EY593" s="27" t="s">
        <v>8</v>
      </c>
      <c r="EZ593" s="27" t="s">
        <v>7</v>
      </c>
      <c r="FA593" s="27" t="s">
        <v>8</v>
      </c>
      <c r="FB593" s="27" t="s">
        <v>7</v>
      </c>
      <c r="FO593" s="27" t="s">
        <v>8</v>
      </c>
      <c r="FP593" s="27" t="s">
        <v>7</v>
      </c>
      <c r="FR593" s="27" t="s">
        <v>7</v>
      </c>
      <c r="GF593" s="27" t="s">
        <v>7</v>
      </c>
      <c r="GG593" s="27" t="s">
        <v>8</v>
      </c>
      <c r="GH593" s="27" t="s">
        <v>7</v>
      </c>
      <c r="GI593" s="27" t="s">
        <v>8</v>
      </c>
      <c r="GJ593" s="27" t="s">
        <v>7</v>
      </c>
      <c r="GK593" s="27" t="s">
        <v>8</v>
      </c>
      <c r="GL593" s="27" t="s">
        <v>7</v>
      </c>
      <c r="GM593" s="27" t="s">
        <v>8</v>
      </c>
      <c r="GP593" s="27" t="s">
        <v>7</v>
      </c>
    </row>
    <row r="594" spans="1:216" x14ac:dyDescent="0.25">
      <c r="A594" s="7">
        <v>0.87056017861391399</v>
      </c>
      <c r="B594"/>
      <c r="C594"/>
      <c r="D594"/>
      <c r="E594"/>
      <c r="F594" s="27" t="s">
        <v>7</v>
      </c>
      <c r="AC594" s="27" t="s">
        <v>8</v>
      </c>
      <c r="AG594" s="27" t="s">
        <v>8</v>
      </c>
      <c r="AH594" s="27" t="s">
        <v>7</v>
      </c>
      <c r="AI594" s="27" t="s">
        <v>8</v>
      </c>
      <c r="CN594" s="27" t="s">
        <v>7</v>
      </c>
      <c r="CO594" s="27" t="s">
        <v>8</v>
      </c>
      <c r="CP594" s="27" t="s">
        <v>7</v>
      </c>
      <c r="CQ594" s="27" t="s">
        <v>8</v>
      </c>
      <c r="CU594" s="27" t="s">
        <v>8</v>
      </c>
      <c r="CY594" s="27" t="s">
        <v>8</v>
      </c>
      <c r="CZ594" s="27" t="s">
        <v>7</v>
      </c>
      <c r="EI594" s="27" t="s">
        <v>8</v>
      </c>
      <c r="EJ594" s="27" t="s">
        <v>7</v>
      </c>
      <c r="EK594" s="27" t="s">
        <v>8</v>
      </c>
      <c r="EL594" s="27" t="s">
        <v>7</v>
      </c>
      <c r="EM594" s="27" t="s">
        <v>8</v>
      </c>
      <c r="EP594" s="27" t="s">
        <v>7</v>
      </c>
      <c r="EQ594" s="27" t="s">
        <v>8</v>
      </c>
      <c r="ER594" s="27" t="s">
        <v>7</v>
      </c>
      <c r="ES594" s="27" t="s">
        <v>8</v>
      </c>
      <c r="EV594" s="27" t="s">
        <v>7</v>
      </c>
      <c r="EW594" s="27" t="s">
        <v>8</v>
      </c>
      <c r="EX594" s="27" t="s">
        <v>7</v>
      </c>
      <c r="EY594" s="27" t="s">
        <v>8</v>
      </c>
      <c r="EZ594" s="27" t="s">
        <v>7</v>
      </c>
      <c r="FA594" s="27" t="s">
        <v>8</v>
      </c>
      <c r="FB594" s="27" t="s">
        <v>7</v>
      </c>
      <c r="FM594" s="27" t="s">
        <v>8</v>
      </c>
      <c r="FO594" s="27" t="s">
        <v>8</v>
      </c>
      <c r="GF594" s="27" t="s">
        <v>7</v>
      </c>
      <c r="GG594" s="27" t="s">
        <v>8</v>
      </c>
      <c r="GH594" s="27" t="s">
        <v>7</v>
      </c>
      <c r="GJ594" s="27" t="s">
        <v>7</v>
      </c>
      <c r="GL594" s="27" t="s">
        <v>7</v>
      </c>
      <c r="GP594" s="27" t="s">
        <v>7</v>
      </c>
    </row>
    <row r="595" spans="1:216" x14ac:dyDescent="0.25">
      <c r="A595" s="7">
        <v>0.85349037119011173</v>
      </c>
      <c r="B595"/>
      <c r="C595"/>
      <c r="D595"/>
      <c r="E595"/>
      <c r="F595" s="27" t="s">
        <v>7</v>
      </c>
      <c r="AC595" s="27" t="s">
        <v>8</v>
      </c>
      <c r="AD595" s="27" t="s">
        <v>7</v>
      </c>
      <c r="AE595" s="27" t="s">
        <v>8</v>
      </c>
      <c r="AG595" s="27" t="s">
        <v>8</v>
      </c>
      <c r="AH595" s="27" t="s">
        <v>7</v>
      </c>
      <c r="AI595" s="27" t="s">
        <v>8</v>
      </c>
      <c r="CN595" s="27" t="s">
        <v>7</v>
      </c>
      <c r="CO595" s="27" t="s">
        <v>8</v>
      </c>
      <c r="CP595" s="27" t="s">
        <v>7</v>
      </c>
      <c r="CQ595" s="27" t="s">
        <v>8</v>
      </c>
      <c r="CR595" s="27" t="s">
        <v>7</v>
      </c>
      <c r="CS595" s="27" t="s">
        <v>8</v>
      </c>
      <c r="CU595" s="27" t="s">
        <v>8</v>
      </c>
      <c r="CV595" s="27" t="s">
        <v>7</v>
      </c>
      <c r="CW595" s="27" t="s">
        <v>8</v>
      </c>
      <c r="CY595" s="27" t="s">
        <v>8</v>
      </c>
      <c r="CZ595" s="27" t="s">
        <v>7</v>
      </c>
      <c r="EI595" s="27" t="s">
        <v>8</v>
      </c>
      <c r="EJ595" s="27" t="s">
        <v>7</v>
      </c>
      <c r="EL595" s="27" t="s">
        <v>7</v>
      </c>
      <c r="EM595" s="27" t="s">
        <v>8</v>
      </c>
      <c r="EP595" s="27" t="s">
        <v>7</v>
      </c>
      <c r="ER595" s="27" t="s">
        <v>7</v>
      </c>
      <c r="EV595" s="27" t="s">
        <v>7</v>
      </c>
      <c r="EW595" s="27" t="s">
        <v>8</v>
      </c>
      <c r="EX595" s="27" t="s">
        <v>7</v>
      </c>
      <c r="EY595" s="27" t="s">
        <v>8</v>
      </c>
      <c r="EZ595" s="27" t="s">
        <v>7</v>
      </c>
      <c r="FA595" s="27" t="s">
        <v>8</v>
      </c>
      <c r="FB595" s="27" t="s">
        <v>7</v>
      </c>
      <c r="FM595" s="27" t="s">
        <v>8</v>
      </c>
      <c r="FN595" s="27" t="s">
        <v>7</v>
      </c>
      <c r="FO595" s="27" t="s">
        <v>8</v>
      </c>
      <c r="GF595" s="27" t="s">
        <v>7</v>
      </c>
      <c r="GG595" s="27" t="s">
        <v>8</v>
      </c>
      <c r="GP595" s="27" t="s">
        <v>7</v>
      </c>
    </row>
    <row r="596" spans="1:216" x14ac:dyDescent="0.25">
      <c r="A596" s="7">
        <v>0.83675526587265858</v>
      </c>
      <c r="B596"/>
      <c r="C596"/>
      <c r="D596"/>
      <c r="E596"/>
      <c r="F596" s="27" t="s">
        <v>7</v>
      </c>
      <c r="AC596" s="27" t="s">
        <v>8</v>
      </c>
      <c r="AD596" s="27" t="s">
        <v>7</v>
      </c>
      <c r="AE596" s="27" t="s">
        <v>8</v>
      </c>
      <c r="AF596" s="27" t="s">
        <v>7</v>
      </c>
      <c r="AG596" s="27" t="s">
        <v>8</v>
      </c>
      <c r="AH596" s="27" t="s">
        <v>7</v>
      </c>
      <c r="AI596" s="27" t="s">
        <v>8</v>
      </c>
      <c r="CN596" s="27" t="s">
        <v>7</v>
      </c>
      <c r="CO596" s="27" t="s">
        <v>8</v>
      </c>
      <c r="CP596" s="27" t="s">
        <v>7</v>
      </c>
      <c r="CQ596" s="27" t="s">
        <v>8</v>
      </c>
      <c r="CR596" s="27" t="s">
        <v>7</v>
      </c>
      <c r="CS596" s="27" t="s">
        <v>8</v>
      </c>
      <c r="CT596" s="27" t="s">
        <v>7</v>
      </c>
      <c r="CU596" s="27" t="s">
        <v>8</v>
      </c>
      <c r="CV596" s="27" t="s">
        <v>7</v>
      </c>
      <c r="CW596" s="27" t="s">
        <v>8</v>
      </c>
      <c r="CX596" s="27" t="s">
        <v>7</v>
      </c>
      <c r="CY596" s="27" t="s">
        <v>8</v>
      </c>
      <c r="CZ596" s="27" t="s">
        <v>7</v>
      </c>
      <c r="DA596" s="27" t="s">
        <v>8</v>
      </c>
      <c r="EI596" s="27" t="s">
        <v>8</v>
      </c>
      <c r="EL596" s="27" t="s">
        <v>7</v>
      </c>
      <c r="EM596" s="27" t="s">
        <v>8</v>
      </c>
      <c r="EV596" s="27" t="s">
        <v>7</v>
      </c>
      <c r="EW596" s="27" t="s">
        <v>8</v>
      </c>
      <c r="EX596" s="27" t="s">
        <v>7</v>
      </c>
      <c r="EY596" s="27" t="s">
        <v>8</v>
      </c>
      <c r="EZ596" s="27" t="s">
        <v>7</v>
      </c>
      <c r="FA596" s="27" t="s">
        <v>8</v>
      </c>
      <c r="FB596" s="27" t="s">
        <v>7</v>
      </c>
      <c r="FM596" s="27" t="s">
        <v>8</v>
      </c>
      <c r="FN596" s="27" t="s">
        <v>7</v>
      </c>
      <c r="FO596" s="27" t="s">
        <v>8</v>
      </c>
      <c r="GF596" s="27" t="s">
        <v>7</v>
      </c>
      <c r="GP596" s="27" t="s">
        <v>7</v>
      </c>
    </row>
    <row r="597" spans="1:216" x14ac:dyDescent="0.25">
      <c r="A597" s="7">
        <v>0.82034829987515545</v>
      </c>
      <c r="B597"/>
      <c r="C597"/>
      <c r="D597"/>
      <c r="E597"/>
      <c r="F597" s="27" t="s">
        <v>7</v>
      </c>
      <c r="AC597" s="27" t="s">
        <v>8</v>
      </c>
      <c r="AD597" s="27" t="s">
        <v>7</v>
      </c>
      <c r="AE597" s="27" t="s">
        <v>8</v>
      </c>
      <c r="AF597" s="27" t="s">
        <v>7</v>
      </c>
      <c r="AG597" s="27" t="s">
        <v>8</v>
      </c>
      <c r="AH597" s="27" t="s">
        <v>7</v>
      </c>
      <c r="AI597" s="27" t="s">
        <v>8</v>
      </c>
      <c r="CN597" s="27" t="s">
        <v>7</v>
      </c>
      <c r="CO597" s="27" t="s">
        <v>8</v>
      </c>
      <c r="CP597" s="27" t="s">
        <v>7</v>
      </c>
      <c r="CQ597" s="27" t="s">
        <v>8</v>
      </c>
      <c r="CR597" s="27" t="s">
        <v>7</v>
      </c>
      <c r="CS597" s="27" t="s">
        <v>8</v>
      </c>
      <c r="CT597" s="27" t="s">
        <v>7</v>
      </c>
      <c r="CU597" s="27" t="s">
        <v>8</v>
      </c>
      <c r="CV597" s="27" t="s">
        <v>7</v>
      </c>
      <c r="CW597" s="27" t="s">
        <v>8</v>
      </c>
      <c r="CX597" s="27" t="s">
        <v>7</v>
      </c>
      <c r="CY597" s="27" t="s">
        <v>8</v>
      </c>
      <c r="CZ597" s="27" t="s">
        <v>7</v>
      </c>
      <c r="DA597" s="27" t="s">
        <v>8</v>
      </c>
      <c r="DB597" s="27" t="s">
        <v>7</v>
      </c>
      <c r="EI597" s="27" t="s">
        <v>8</v>
      </c>
      <c r="EL597" s="27" t="s">
        <v>7</v>
      </c>
      <c r="EV597" s="27" t="s">
        <v>7</v>
      </c>
      <c r="EW597" s="27" t="s">
        <v>8</v>
      </c>
      <c r="EX597" s="27" t="s">
        <v>7</v>
      </c>
      <c r="EY597" s="27" t="s">
        <v>8</v>
      </c>
      <c r="EZ597" s="27" t="s">
        <v>7</v>
      </c>
      <c r="FA597" s="27" t="s">
        <v>8</v>
      </c>
      <c r="FB597" s="27" t="s">
        <v>7</v>
      </c>
      <c r="FM597" s="27" t="s">
        <v>8</v>
      </c>
      <c r="FN597" s="27" t="s">
        <v>7</v>
      </c>
      <c r="FO597" s="27" t="s">
        <v>8</v>
      </c>
      <c r="GP597" s="27" t="s">
        <v>7</v>
      </c>
    </row>
    <row r="598" spans="1:216" x14ac:dyDescent="0.25">
      <c r="A598" s="7">
        <v>0.80426303909328967</v>
      </c>
      <c r="B598"/>
      <c r="C598"/>
      <c r="D598"/>
      <c r="E598"/>
      <c r="F598" s="27" t="s">
        <v>7</v>
      </c>
      <c r="AC598" s="27" t="s">
        <v>8</v>
      </c>
      <c r="AD598" s="27" t="s">
        <v>7</v>
      </c>
      <c r="AE598" s="27" t="s">
        <v>8</v>
      </c>
      <c r="AF598" s="27" t="s">
        <v>7</v>
      </c>
      <c r="AG598" s="27" t="s">
        <v>8</v>
      </c>
      <c r="AH598" s="27" t="s">
        <v>7</v>
      </c>
      <c r="AI598" s="27" t="s">
        <v>8</v>
      </c>
      <c r="CN598" s="27" t="s">
        <v>7</v>
      </c>
      <c r="CO598" s="27" t="s">
        <v>8</v>
      </c>
      <c r="CP598" s="27" t="s">
        <v>7</v>
      </c>
      <c r="CQ598" s="27" t="s">
        <v>8</v>
      </c>
      <c r="CR598" s="27" t="s">
        <v>7</v>
      </c>
      <c r="CS598" s="27" t="s">
        <v>8</v>
      </c>
      <c r="CT598" s="27" t="s">
        <v>7</v>
      </c>
      <c r="CU598" s="27" t="s">
        <v>8</v>
      </c>
      <c r="CV598" s="27" t="s">
        <v>7</v>
      </c>
      <c r="CW598" s="27" t="s">
        <v>8</v>
      </c>
      <c r="CX598" s="27" t="s">
        <v>7</v>
      </c>
      <c r="CY598" s="27" t="s">
        <v>8</v>
      </c>
      <c r="CZ598" s="27" t="s">
        <v>7</v>
      </c>
      <c r="DA598" s="27" t="s">
        <v>8</v>
      </c>
      <c r="DB598" s="27" t="s">
        <v>7</v>
      </c>
      <c r="EI598" s="27" t="s">
        <v>8</v>
      </c>
      <c r="EV598" s="27" t="s">
        <v>7</v>
      </c>
      <c r="EW598" s="27" t="s">
        <v>8</v>
      </c>
      <c r="EX598" s="27" t="s">
        <v>7</v>
      </c>
      <c r="EY598" s="27" t="s">
        <v>8</v>
      </c>
      <c r="EZ598" s="27" t="s">
        <v>7</v>
      </c>
      <c r="FB598" s="27" t="s">
        <v>7</v>
      </c>
      <c r="FM598" s="27" t="s">
        <v>8</v>
      </c>
      <c r="FN598" s="27" t="s">
        <v>7</v>
      </c>
      <c r="FO598" s="27" t="s">
        <v>8</v>
      </c>
      <c r="GP598" s="27" t="s">
        <v>7</v>
      </c>
    </row>
    <row r="599" spans="1:216" x14ac:dyDescent="0.25">
      <c r="A599" s="7">
        <v>0.78849317558165644</v>
      </c>
      <c r="B599"/>
      <c r="C599"/>
      <c r="D599"/>
      <c r="E599"/>
      <c r="F599" s="27" t="s">
        <v>7</v>
      </c>
      <c r="AC599" s="27" t="s">
        <v>8</v>
      </c>
      <c r="AD599" s="27" t="s">
        <v>7</v>
      </c>
      <c r="AE599" s="27" t="s">
        <v>8</v>
      </c>
      <c r="AF599" s="27" t="s">
        <v>7</v>
      </c>
      <c r="AG599" s="27" t="s">
        <v>8</v>
      </c>
      <c r="AH599" s="27" t="s">
        <v>7</v>
      </c>
      <c r="CN599" s="27" t="s">
        <v>7</v>
      </c>
      <c r="CO599" s="27" t="s">
        <v>8</v>
      </c>
      <c r="CP599" s="27" t="s">
        <v>7</v>
      </c>
      <c r="CQ599" s="27" t="s">
        <v>8</v>
      </c>
      <c r="CR599" s="27" t="s">
        <v>7</v>
      </c>
      <c r="CS599" s="27" t="s">
        <v>8</v>
      </c>
      <c r="CT599" s="27" t="s">
        <v>7</v>
      </c>
      <c r="CU599" s="27" t="s">
        <v>8</v>
      </c>
      <c r="CV599" s="27" t="s">
        <v>7</v>
      </c>
      <c r="CW599" s="27" t="s">
        <v>8</v>
      </c>
      <c r="CX599" s="27" t="s">
        <v>7</v>
      </c>
      <c r="CY599" s="27" t="s">
        <v>8</v>
      </c>
      <c r="CZ599" s="27" t="s">
        <v>7</v>
      </c>
      <c r="DA599" s="27" t="s">
        <v>8</v>
      </c>
      <c r="DB599" s="27" t="s">
        <v>7</v>
      </c>
      <c r="DE599" s="27" t="s">
        <v>8</v>
      </c>
      <c r="DK599" s="27" t="s">
        <v>8</v>
      </c>
      <c r="EI599" s="27" t="s">
        <v>8</v>
      </c>
      <c r="EV599" s="27" t="s">
        <v>7</v>
      </c>
      <c r="EW599" s="27" t="s">
        <v>8</v>
      </c>
      <c r="EX599" s="27" t="s">
        <v>7</v>
      </c>
      <c r="FB599" s="27" t="s">
        <v>7</v>
      </c>
      <c r="FI599" s="27" t="s">
        <v>8</v>
      </c>
      <c r="FM599" s="27" t="s">
        <v>8</v>
      </c>
      <c r="FN599" s="27" t="s">
        <v>7</v>
      </c>
      <c r="FO599" s="27" t="s">
        <v>8</v>
      </c>
      <c r="GP599" s="27" t="s">
        <v>7</v>
      </c>
    </row>
    <row r="600" spans="1:216" x14ac:dyDescent="0.25">
      <c r="A600" s="7">
        <v>0.77303252508005538</v>
      </c>
      <c r="B600"/>
      <c r="C600"/>
      <c r="D600"/>
      <c r="E600"/>
      <c r="F600" s="27" t="s">
        <v>7</v>
      </c>
      <c r="G600" s="27" t="s">
        <v>8</v>
      </c>
      <c r="AC600" s="27" t="s">
        <v>8</v>
      </c>
      <c r="AD600" s="27" t="s">
        <v>7</v>
      </c>
      <c r="AE600" s="27" t="s">
        <v>8</v>
      </c>
      <c r="AF600" s="27" t="s">
        <v>7</v>
      </c>
      <c r="CN600" s="27" t="s">
        <v>7</v>
      </c>
      <c r="CO600" s="27" t="s">
        <v>8</v>
      </c>
      <c r="CP600" s="27" t="s">
        <v>7</v>
      </c>
      <c r="CQ600" s="27" t="s">
        <v>8</v>
      </c>
      <c r="CR600" s="27" t="s">
        <v>7</v>
      </c>
      <c r="CS600" s="27" t="s">
        <v>8</v>
      </c>
      <c r="CT600" s="27" t="s">
        <v>7</v>
      </c>
      <c r="CU600" s="27" t="s">
        <v>8</v>
      </c>
      <c r="CV600" s="27" t="s">
        <v>7</v>
      </c>
      <c r="CW600" s="27" t="s">
        <v>8</v>
      </c>
      <c r="CX600" s="27" t="s">
        <v>7</v>
      </c>
      <c r="CY600" s="27" t="s">
        <v>8</v>
      </c>
      <c r="CZ600" s="27" t="s">
        <v>7</v>
      </c>
      <c r="DA600" s="27" t="s">
        <v>8</v>
      </c>
      <c r="DB600" s="27" t="s">
        <v>7</v>
      </c>
      <c r="DE600" s="27" t="s">
        <v>8</v>
      </c>
      <c r="DF600" s="27" t="s">
        <v>7</v>
      </c>
      <c r="DK600" s="27" t="s">
        <v>8</v>
      </c>
      <c r="DL600" s="27" t="s">
        <v>7</v>
      </c>
      <c r="EI600" s="27" t="s">
        <v>8</v>
      </c>
      <c r="EV600" s="27" t="s">
        <v>7</v>
      </c>
      <c r="EW600" s="27" t="s">
        <v>8</v>
      </c>
      <c r="FB600" s="27" t="s">
        <v>7</v>
      </c>
      <c r="FC600" s="27" t="s">
        <v>8</v>
      </c>
      <c r="FI600" s="27" t="s">
        <v>8</v>
      </c>
      <c r="FJ600" s="27" t="s">
        <v>7</v>
      </c>
      <c r="FM600" s="27" t="s">
        <v>8</v>
      </c>
      <c r="FN600" s="27" t="s">
        <v>7</v>
      </c>
      <c r="FO600" s="27" t="s">
        <v>8</v>
      </c>
      <c r="GP600" s="27" t="s">
        <v>7</v>
      </c>
      <c r="GS600" s="27" t="s">
        <v>8</v>
      </c>
      <c r="HC600" s="27" t="s">
        <v>8</v>
      </c>
    </row>
    <row r="601" spans="1:216" x14ac:dyDescent="0.25">
      <c r="A601" s="7">
        <v>0.75787502458828959</v>
      </c>
      <c r="B601"/>
      <c r="C601"/>
      <c r="D601"/>
      <c r="E601"/>
      <c r="F601" s="27" t="s">
        <v>7</v>
      </c>
      <c r="G601" s="27" t="s">
        <v>8</v>
      </c>
      <c r="H601" s="27" t="s">
        <v>7</v>
      </c>
      <c r="AC601" s="27" t="s">
        <v>8</v>
      </c>
      <c r="AD601" s="27" t="s">
        <v>7</v>
      </c>
      <c r="AE601" s="27" t="s">
        <v>8</v>
      </c>
      <c r="CN601" s="27" t="s">
        <v>7</v>
      </c>
      <c r="CO601" s="27" t="s">
        <v>8</v>
      </c>
      <c r="CP601" s="27" t="s">
        <v>7</v>
      </c>
      <c r="CQ601" s="27" t="s">
        <v>8</v>
      </c>
      <c r="CR601" s="27" t="s">
        <v>7</v>
      </c>
      <c r="CS601" s="27" t="s">
        <v>8</v>
      </c>
      <c r="CT601" s="27" t="s">
        <v>7</v>
      </c>
      <c r="CU601" s="27" t="s">
        <v>8</v>
      </c>
      <c r="CV601" s="27" t="s">
        <v>7</v>
      </c>
      <c r="CW601" s="27" t="s">
        <v>8</v>
      </c>
      <c r="CX601" s="27" t="s">
        <v>7</v>
      </c>
      <c r="CY601" s="27" t="s">
        <v>8</v>
      </c>
      <c r="CZ601" s="27" t="s">
        <v>7</v>
      </c>
      <c r="DA601" s="27" t="s">
        <v>8</v>
      </c>
      <c r="DB601" s="27" t="s">
        <v>7</v>
      </c>
      <c r="DE601" s="27" t="s">
        <v>8</v>
      </c>
      <c r="DF601" s="27" t="s">
        <v>7</v>
      </c>
      <c r="DK601" s="27" t="s">
        <v>8</v>
      </c>
      <c r="DL601" s="27" t="s">
        <v>7</v>
      </c>
      <c r="EG601" s="27" t="s">
        <v>8</v>
      </c>
      <c r="EI601" s="27" t="s">
        <v>8</v>
      </c>
      <c r="EV601" s="27" t="s">
        <v>7</v>
      </c>
      <c r="EW601" s="27" t="s">
        <v>8</v>
      </c>
      <c r="FB601" s="27" t="s">
        <v>7</v>
      </c>
      <c r="FC601" s="27" t="s">
        <v>8</v>
      </c>
      <c r="FD601" s="27" t="s">
        <v>7</v>
      </c>
      <c r="FG601" s="27" t="s">
        <v>8</v>
      </c>
      <c r="FI601" s="27" t="s">
        <v>8</v>
      </c>
      <c r="FJ601" s="27" t="s">
        <v>7</v>
      </c>
      <c r="FM601" s="27" t="s">
        <v>8</v>
      </c>
      <c r="FN601" s="27" t="s">
        <v>7</v>
      </c>
      <c r="GP601" s="27" t="s">
        <v>7</v>
      </c>
      <c r="GS601" s="27" t="s">
        <v>8</v>
      </c>
      <c r="GT601" s="27" t="s">
        <v>7</v>
      </c>
      <c r="HC601" s="27" t="s">
        <v>8</v>
      </c>
      <c r="HD601" s="27" t="s">
        <v>7</v>
      </c>
    </row>
    <row r="602" spans="1:216" x14ac:dyDescent="0.25">
      <c r="A602" s="7">
        <v>0.74301472998851925</v>
      </c>
      <c r="B602"/>
      <c r="C602"/>
      <c r="D602"/>
      <c r="E602"/>
      <c r="F602" s="27" t="s">
        <v>7</v>
      </c>
      <c r="G602" s="27" t="s">
        <v>8</v>
      </c>
      <c r="H602" s="27" t="s">
        <v>7</v>
      </c>
      <c r="AC602" s="27" t="s">
        <v>8</v>
      </c>
      <c r="AD602" s="27" t="s">
        <v>7</v>
      </c>
      <c r="AE602" s="27" t="s">
        <v>8</v>
      </c>
      <c r="CN602" s="27" t="s">
        <v>7</v>
      </c>
      <c r="CO602" s="27" t="s">
        <v>8</v>
      </c>
      <c r="CP602" s="27" t="s">
        <v>7</v>
      </c>
      <c r="CR602" s="27" t="s">
        <v>7</v>
      </c>
      <c r="CS602" s="27" t="s">
        <v>8</v>
      </c>
      <c r="CT602" s="27" t="s">
        <v>7</v>
      </c>
      <c r="CU602" s="27" t="s">
        <v>8</v>
      </c>
      <c r="CV602" s="27" t="s">
        <v>7</v>
      </c>
      <c r="CW602" s="27" t="s">
        <v>8</v>
      </c>
      <c r="CX602" s="27" t="s">
        <v>7</v>
      </c>
      <c r="CZ602" s="27" t="s">
        <v>7</v>
      </c>
      <c r="DA602" s="27" t="s">
        <v>8</v>
      </c>
      <c r="DB602" s="27" t="s">
        <v>7</v>
      </c>
      <c r="DE602" s="27" t="s">
        <v>8</v>
      </c>
      <c r="DF602" s="27" t="s">
        <v>7</v>
      </c>
      <c r="DK602" s="27" t="s">
        <v>8</v>
      </c>
      <c r="DL602" s="27" t="s">
        <v>7</v>
      </c>
      <c r="DM602" s="27" t="s">
        <v>8</v>
      </c>
      <c r="DO602" s="27" t="s">
        <v>8</v>
      </c>
      <c r="EG602" s="27" t="s">
        <v>8</v>
      </c>
      <c r="EH602" s="27" t="s">
        <v>7</v>
      </c>
      <c r="EI602" s="27" t="s">
        <v>8</v>
      </c>
      <c r="EV602" s="27" t="s">
        <v>7</v>
      </c>
      <c r="EW602" s="27" t="s">
        <v>8</v>
      </c>
      <c r="FB602" s="27" t="s">
        <v>7</v>
      </c>
      <c r="FC602" s="27" t="s">
        <v>8</v>
      </c>
      <c r="FD602" s="27" t="s">
        <v>7</v>
      </c>
      <c r="FG602" s="27" t="s">
        <v>8</v>
      </c>
      <c r="FH602" s="27" t="s">
        <v>7</v>
      </c>
      <c r="FI602" s="27" t="s">
        <v>8</v>
      </c>
      <c r="FJ602" s="27" t="s">
        <v>7</v>
      </c>
      <c r="FK602" s="27" t="s">
        <v>8</v>
      </c>
      <c r="FM602" s="27" t="s">
        <v>8</v>
      </c>
      <c r="GP602" s="27" t="s">
        <v>7</v>
      </c>
      <c r="GQ602" s="27" t="s">
        <v>8</v>
      </c>
      <c r="GS602" s="27" t="s">
        <v>8</v>
      </c>
      <c r="GT602" s="27" t="s">
        <v>7</v>
      </c>
      <c r="HA602" s="27" t="s">
        <v>8</v>
      </c>
      <c r="HC602" s="27" t="s">
        <v>8</v>
      </c>
      <c r="HD602" s="27" t="s">
        <v>7</v>
      </c>
    </row>
    <row r="603" spans="1:216" x14ac:dyDescent="0.25">
      <c r="A603" s="7">
        <v>0.72844581371423456</v>
      </c>
      <c r="B603"/>
      <c r="C603"/>
      <c r="D603"/>
      <c r="E603"/>
      <c r="F603" s="27" t="s">
        <v>7</v>
      </c>
      <c r="G603" s="27" t="s">
        <v>8</v>
      </c>
      <c r="H603" s="27" t="s">
        <v>7</v>
      </c>
      <c r="AC603" s="27" t="s">
        <v>8</v>
      </c>
      <c r="AD603" s="27" t="s">
        <v>7</v>
      </c>
      <c r="CN603" s="27" t="s">
        <v>7</v>
      </c>
      <c r="CO603" s="27" t="s">
        <v>8</v>
      </c>
      <c r="CR603" s="27" t="s">
        <v>7</v>
      </c>
      <c r="CS603" s="27" t="s">
        <v>8</v>
      </c>
      <c r="CT603" s="27" t="s">
        <v>7</v>
      </c>
      <c r="CV603" s="27" t="s">
        <v>7</v>
      </c>
      <c r="CW603" s="27" t="s">
        <v>8</v>
      </c>
      <c r="CZ603" s="27" t="s">
        <v>7</v>
      </c>
      <c r="DB603" s="27" t="s">
        <v>7</v>
      </c>
      <c r="DC603" s="27" t="s">
        <v>8</v>
      </c>
      <c r="DE603" s="27" t="s">
        <v>8</v>
      </c>
      <c r="DF603" s="27" t="s">
        <v>7</v>
      </c>
      <c r="DK603" s="27" t="s">
        <v>8</v>
      </c>
      <c r="DL603" s="27" t="s">
        <v>7</v>
      </c>
      <c r="DM603" s="27" t="s">
        <v>8</v>
      </c>
      <c r="DN603" s="27" t="s">
        <v>7</v>
      </c>
      <c r="DO603" s="27" t="s">
        <v>8</v>
      </c>
      <c r="DP603" s="27" t="s">
        <v>7</v>
      </c>
      <c r="EG603" s="27" t="s">
        <v>8</v>
      </c>
      <c r="EH603" s="27" t="s">
        <v>7</v>
      </c>
      <c r="EI603" s="27" t="s">
        <v>8</v>
      </c>
      <c r="EV603" s="27" t="s">
        <v>7</v>
      </c>
      <c r="EW603" s="27" t="s">
        <v>8</v>
      </c>
      <c r="FB603" s="27" t="s">
        <v>7</v>
      </c>
      <c r="FC603" s="27" t="s">
        <v>8</v>
      </c>
      <c r="FD603" s="27" t="s">
        <v>7</v>
      </c>
      <c r="FG603" s="27" t="s">
        <v>8</v>
      </c>
      <c r="FH603" s="27" t="s">
        <v>7</v>
      </c>
      <c r="FI603" s="27" t="s">
        <v>8</v>
      </c>
      <c r="FJ603" s="27" t="s">
        <v>7</v>
      </c>
      <c r="FK603" s="27" t="s">
        <v>8</v>
      </c>
      <c r="FL603" s="27" t="s">
        <v>7</v>
      </c>
      <c r="FM603" s="27" t="s">
        <v>8</v>
      </c>
      <c r="GP603" s="27" t="s">
        <v>7</v>
      </c>
      <c r="GQ603" s="27" t="s">
        <v>8</v>
      </c>
      <c r="GR603" s="27" t="s">
        <v>7</v>
      </c>
      <c r="GS603" s="27" t="s">
        <v>8</v>
      </c>
      <c r="GT603" s="27" t="s">
        <v>7</v>
      </c>
      <c r="HA603" s="27" t="s">
        <v>8</v>
      </c>
      <c r="HB603" s="27" t="s">
        <v>7</v>
      </c>
      <c r="HC603" s="27" t="s">
        <v>8</v>
      </c>
      <c r="HD603" s="27" t="s">
        <v>7</v>
      </c>
      <c r="HG603" s="27" t="s">
        <v>8</v>
      </c>
    </row>
    <row r="604" spans="1:216" x14ac:dyDescent="0.25">
      <c r="A604" s="7">
        <v>0.71416256246493581</v>
      </c>
      <c r="B604"/>
      <c r="C604"/>
      <c r="D604"/>
      <c r="E604"/>
      <c r="F604" s="27" t="s">
        <v>7</v>
      </c>
      <c r="G604" s="27" t="s">
        <v>8</v>
      </c>
      <c r="H604" s="27" t="s">
        <v>7</v>
      </c>
      <c r="AC604" s="27" t="s">
        <v>8</v>
      </c>
      <c r="CN604" s="27" t="s">
        <v>7</v>
      </c>
      <c r="CO604" s="27" t="s">
        <v>8</v>
      </c>
      <c r="CR604" s="27" t="s">
        <v>7</v>
      </c>
      <c r="CS604" s="27" t="s">
        <v>8</v>
      </c>
      <c r="CV604" s="27" t="s">
        <v>7</v>
      </c>
      <c r="CW604" s="27" t="s">
        <v>8</v>
      </c>
      <c r="DB604" s="27" t="s">
        <v>7</v>
      </c>
      <c r="DC604" s="27" t="s">
        <v>8</v>
      </c>
      <c r="DD604" s="27" t="s">
        <v>7</v>
      </c>
      <c r="DE604" s="27" t="s">
        <v>8</v>
      </c>
      <c r="DF604" s="27" t="s">
        <v>7</v>
      </c>
      <c r="DK604" s="27" t="s">
        <v>8</v>
      </c>
      <c r="DL604" s="27" t="s">
        <v>7</v>
      </c>
      <c r="DM604" s="27" t="s">
        <v>8</v>
      </c>
      <c r="DN604" s="27" t="s">
        <v>7</v>
      </c>
      <c r="DO604" s="27" t="s">
        <v>8</v>
      </c>
      <c r="DP604" s="27" t="s">
        <v>7</v>
      </c>
      <c r="EA604" s="27" t="s">
        <v>8</v>
      </c>
      <c r="EE604" s="27" t="s">
        <v>8</v>
      </c>
      <c r="EG604" s="27" t="s">
        <v>8</v>
      </c>
      <c r="EH604" s="27" t="s">
        <v>7</v>
      </c>
      <c r="EI604" s="27" t="s">
        <v>8</v>
      </c>
      <c r="EV604" s="27" t="s">
        <v>7</v>
      </c>
      <c r="FB604" s="27" t="s">
        <v>7</v>
      </c>
      <c r="FC604" s="27" t="s">
        <v>8</v>
      </c>
      <c r="FD604" s="27" t="s">
        <v>7</v>
      </c>
      <c r="FE604" s="27" t="s">
        <v>8</v>
      </c>
      <c r="FG604" s="27" t="s">
        <v>8</v>
      </c>
      <c r="FH604" s="27" t="s">
        <v>7</v>
      </c>
      <c r="FI604" s="27" t="s">
        <v>8</v>
      </c>
      <c r="FJ604" s="27" t="s">
        <v>7</v>
      </c>
      <c r="FK604" s="27" t="s">
        <v>8</v>
      </c>
      <c r="FL604" s="27" t="s">
        <v>7</v>
      </c>
      <c r="FM604" s="27" t="s">
        <v>8</v>
      </c>
      <c r="GP604" s="27" t="s">
        <v>7</v>
      </c>
      <c r="GQ604" s="27" t="s">
        <v>8</v>
      </c>
      <c r="GR604" s="27" t="s">
        <v>7</v>
      </c>
      <c r="GS604" s="27" t="s">
        <v>8</v>
      </c>
      <c r="GT604" s="27" t="s">
        <v>7</v>
      </c>
      <c r="HA604" s="27" t="s">
        <v>8</v>
      </c>
      <c r="HB604" s="27" t="s">
        <v>7</v>
      </c>
      <c r="HC604" s="27" t="s">
        <v>8</v>
      </c>
      <c r="HD604" s="27" t="s">
        <v>7</v>
      </c>
      <c r="HG604" s="27" t="s">
        <v>8</v>
      </c>
      <c r="HH604" s="27" t="s">
        <v>7</v>
      </c>
    </row>
    <row r="605" spans="1:216" x14ac:dyDescent="0.25">
      <c r="A605" s="7">
        <v>0.7001593749656233</v>
      </c>
      <c r="B605"/>
      <c r="C605"/>
      <c r="D605"/>
      <c r="E605"/>
      <c r="F605" s="27" t="s">
        <v>7</v>
      </c>
      <c r="G605" s="27" t="s">
        <v>8</v>
      </c>
      <c r="H605" s="27" t="s">
        <v>7</v>
      </c>
      <c r="AC605" s="27" t="s">
        <v>8</v>
      </c>
      <c r="CN605" s="27" t="s">
        <v>7</v>
      </c>
      <c r="CO605" s="27" t="s">
        <v>8</v>
      </c>
      <c r="CR605" s="27" t="s">
        <v>7</v>
      </c>
      <c r="CS605" s="27" t="s">
        <v>8</v>
      </c>
      <c r="CV605" s="27" t="s">
        <v>7</v>
      </c>
      <c r="CW605" s="27" t="s">
        <v>8</v>
      </c>
      <c r="DB605" s="27" t="s">
        <v>7</v>
      </c>
      <c r="DC605" s="27" t="s">
        <v>8</v>
      </c>
      <c r="DD605" s="27" t="s">
        <v>7</v>
      </c>
      <c r="DE605" s="27" t="s">
        <v>8</v>
      </c>
      <c r="DF605" s="27" t="s">
        <v>7</v>
      </c>
      <c r="DK605" s="27" t="s">
        <v>8</v>
      </c>
      <c r="DL605" s="27" t="s">
        <v>7</v>
      </c>
      <c r="DN605" s="27" t="s">
        <v>7</v>
      </c>
      <c r="DO605" s="27" t="s">
        <v>8</v>
      </c>
      <c r="DP605" s="27" t="s">
        <v>7</v>
      </c>
      <c r="EA605" s="27" t="s">
        <v>8</v>
      </c>
      <c r="EB605" s="27" t="s">
        <v>7</v>
      </c>
      <c r="EC605" s="27" t="s">
        <v>8</v>
      </c>
      <c r="EE605" s="27" t="s">
        <v>8</v>
      </c>
      <c r="EF605" s="27" t="s">
        <v>7</v>
      </c>
      <c r="EG605" s="27" t="s">
        <v>8</v>
      </c>
      <c r="EH605" s="27" t="s">
        <v>7</v>
      </c>
      <c r="EI605" s="27" t="s">
        <v>8</v>
      </c>
      <c r="FB605" s="27" t="s">
        <v>7</v>
      </c>
      <c r="FC605" s="27" t="s">
        <v>8</v>
      </c>
      <c r="FD605" s="27" t="s">
        <v>7</v>
      </c>
      <c r="FE605" s="27" t="s">
        <v>8</v>
      </c>
      <c r="FF605" s="27" t="s">
        <v>7</v>
      </c>
      <c r="FG605" s="27" t="s">
        <v>8</v>
      </c>
      <c r="FH605" s="27" t="s">
        <v>7</v>
      </c>
      <c r="FJ605" s="27" t="s">
        <v>7</v>
      </c>
      <c r="FK605" s="27" t="s">
        <v>8</v>
      </c>
      <c r="FL605" s="27" t="s">
        <v>7</v>
      </c>
      <c r="FM605" s="27" t="s">
        <v>8</v>
      </c>
      <c r="GP605" s="27" t="s">
        <v>7</v>
      </c>
      <c r="GQ605" s="27" t="s">
        <v>8</v>
      </c>
      <c r="GR605" s="27" t="s">
        <v>7</v>
      </c>
      <c r="GS605" s="27" t="s">
        <v>8</v>
      </c>
      <c r="GT605" s="27" t="s">
        <v>7</v>
      </c>
      <c r="HA605" s="27" t="s">
        <v>8</v>
      </c>
      <c r="HB605" s="27" t="s">
        <v>7</v>
      </c>
      <c r="HC605" s="27" t="s">
        <v>8</v>
      </c>
      <c r="HD605" s="27" t="s">
        <v>7</v>
      </c>
      <c r="HG605" s="27" t="s">
        <v>8</v>
      </c>
      <c r="HH605" s="27" t="s">
        <v>7</v>
      </c>
    </row>
    <row r="606" spans="1:216" x14ac:dyDescent="0.25">
      <c r="A606" s="7">
        <v>0.68643075977021883</v>
      </c>
      <c r="B606"/>
      <c r="C606"/>
      <c r="D606"/>
      <c r="E606"/>
      <c r="F606" s="27" t="s">
        <v>7</v>
      </c>
      <c r="G606" s="27" t="s">
        <v>8</v>
      </c>
      <c r="H606" s="27" t="s">
        <v>7</v>
      </c>
      <c r="AC606" s="27" t="s">
        <v>8</v>
      </c>
      <c r="CN606" s="27" t="s">
        <v>7</v>
      </c>
      <c r="CO606" s="27" t="s">
        <v>8</v>
      </c>
      <c r="CR606" s="27" t="s">
        <v>7</v>
      </c>
      <c r="CS606" s="27" t="s">
        <v>8</v>
      </c>
      <c r="CV606" s="27" t="s">
        <v>7</v>
      </c>
      <c r="CW606" s="27" t="s">
        <v>8</v>
      </c>
      <c r="DB606" s="27" t="s">
        <v>7</v>
      </c>
      <c r="DC606" s="27" t="s">
        <v>8</v>
      </c>
      <c r="DD606" s="27" t="s">
        <v>7</v>
      </c>
      <c r="DE606" s="27" t="s">
        <v>8</v>
      </c>
      <c r="DF606" s="27" t="s">
        <v>7</v>
      </c>
      <c r="DK606" s="27" t="s">
        <v>8</v>
      </c>
      <c r="DN606" s="27" t="s">
        <v>7</v>
      </c>
      <c r="DO606" s="27" t="s">
        <v>8</v>
      </c>
      <c r="DP606" s="27" t="s">
        <v>7</v>
      </c>
      <c r="EA606" s="27" t="s">
        <v>8</v>
      </c>
      <c r="EB606" s="27" t="s">
        <v>7</v>
      </c>
      <c r="EC606" s="27" t="s">
        <v>8</v>
      </c>
      <c r="ED606" s="27" t="s">
        <v>7</v>
      </c>
      <c r="EE606" s="27" t="s">
        <v>8</v>
      </c>
      <c r="EF606" s="27" t="s">
        <v>7</v>
      </c>
      <c r="EG606" s="27" t="s">
        <v>8</v>
      </c>
      <c r="EH606" s="27" t="s">
        <v>7</v>
      </c>
      <c r="EI606" s="27" t="s">
        <v>8</v>
      </c>
      <c r="FB606" s="27" t="s">
        <v>7</v>
      </c>
      <c r="FC606" s="27" t="s">
        <v>8</v>
      </c>
      <c r="FD606" s="27" t="s">
        <v>7</v>
      </c>
      <c r="FE606" s="27" t="s">
        <v>8</v>
      </c>
      <c r="FF606" s="27" t="s">
        <v>7</v>
      </c>
      <c r="FG606" s="27" t="s">
        <v>8</v>
      </c>
      <c r="FJ606" s="27" t="s">
        <v>7</v>
      </c>
      <c r="FL606" s="27" t="s">
        <v>7</v>
      </c>
      <c r="FM606" s="27" t="s">
        <v>8</v>
      </c>
      <c r="GP606" s="27" t="s">
        <v>7</v>
      </c>
      <c r="GQ606" s="27" t="s">
        <v>8</v>
      </c>
      <c r="GR606" s="27" t="s">
        <v>7</v>
      </c>
      <c r="GS606" s="27" t="s">
        <v>8</v>
      </c>
      <c r="GT606" s="27" t="s">
        <v>7</v>
      </c>
      <c r="GU606" s="27" t="s">
        <v>8</v>
      </c>
      <c r="HA606" s="27" t="s">
        <v>8</v>
      </c>
      <c r="HB606" s="27" t="s">
        <v>7</v>
      </c>
      <c r="HD606" s="27" t="s">
        <v>7</v>
      </c>
      <c r="HE606" s="27" t="s">
        <v>8</v>
      </c>
      <c r="HG606" s="27" t="s">
        <v>8</v>
      </c>
      <c r="HH606" s="27" t="s">
        <v>7</v>
      </c>
    </row>
    <row r="607" spans="1:216" x14ac:dyDescent="0.25">
      <c r="A607" s="7">
        <v>0.67297133310805768</v>
      </c>
      <c r="B607"/>
      <c r="C607"/>
      <c r="D607"/>
      <c r="E607"/>
      <c r="F607" s="27" t="s">
        <v>7</v>
      </c>
      <c r="G607" s="27" t="s">
        <v>8</v>
      </c>
      <c r="H607" s="27" t="s">
        <v>7</v>
      </c>
      <c r="AC607" s="27" t="s">
        <v>8</v>
      </c>
      <c r="CN607" s="27" t="s">
        <v>7</v>
      </c>
      <c r="CO607" s="27" t="s">
        <v>8</v>
      </c>
      <c r="CR607" s="27" t="s">
        <v>7</v>
      </c>
      <c r="CS607" s="27" t="s">
        <v>8</v>
      </c>
      <c r="CV607" s="27" t="s">
        <v>7</v>
      </c>
      <c r="CW607" s="27" t="s">
        <v>8</v>
      </c>
      <c r="DB607" s="27" t="s">
        <v>7</v>
      </c>
      <c r="DC607" s="27" t="s">
        <v>8</v>
      </c>
      <c r="DD607" s="27" t="s">
        <v>7</v>
      </c>
      <c r="DE607" s="27" t="s">
        <v>8</v>
      </c>
      <c r="DF607" s="27" t="s">
        <v>7</v>
      </c>
      <c r="DK607" s="27" t="s">
        <v>8</v>
      </c>
      <c r="DN607" s="27" t="s">
        <v>7</v>
      </c>
      <c r="DO607" s="27" t="s">
        <v>8</v>
      </c>
      <c r="DP607" s="27" t="s">
        <v>7</v>
      </c>
      <c r="EA607" s="27" t="s">
        <v>8</v>
      </c>
      <c r="EB607" s="27" t="s">
        <v>7</v>
      </c>
      <c r="EC607" s="27" t="s">
        <v>8</v>
      </c>
      <c r="ED607" s="27" t="s">
        <v>7</v>
      </c>
      <c r="EE607" s="27" t="s">
        <v>8</v>
      </c>
      <c r="EF607" s="27" t="s">
        <v>7</v>
      </c>
      <c r="EH607" s="27" t="s">
        <v>7</v>
      </c>
      <c r="EI607" s="27" t="s">
        <v>8</v>
      </c>
      <c r="FB607" s="27" t="s">
        <v>7</v>
      </c>
      <c r="FC607" s="27" t="s">
        <v>8</v>
      </c>
      <c r="FD607" s="27" t="s">
        <v>7</v>
      </c>
      <c r="FE607" s="27" t="s">
        <v>8</v>
      </c>
      <c r="FF607" s="27" t="s">
        <v>7</v>
      </c>
      <c r="FG607" s="27" t="s">
        <v>8</v>
      </c>
      <c r="FL607" s="27" t="s">
        <v>7</v>
      </c>
      <c r="FM607" s="27" t="s">
        <v>8</v>
      </c>
      <c r="GP607" s="27" t="s">
        <v>7</v>
      </c>
      <c r="GQ607" s="27" t="s">
        <v>8</v>
      </c>
      <c r="GR607" s="27" t="s">
        <v>7</v>
      </c>
      <c r="GS607" s="27" t="s">
        <v>8</v>
      </c>
      <c r="GT607" s="27" t="s">
        <v>7</v>
      </c>
      <c r="GU607" s="27" t="s">
        <v>8</v>
      </c>
      <c r="GV607" s="27" t="s">
        <v>7</v>
      </c>
      <c r="HA607" s="27" t="s">
        <v>8</v>
      </c>
      <c r="HD607" s="27" t="s">
        <v>7</v>
      </c>
      <c r="HE607" s="27" t="s">
        <v>8</v>
      </c>
      <c r="HF607" s="27" t="s">
        <v>7</v>
      </c>
      <c r="HG607" s="27" t="s">
        <v>8</v>
      </c>
      <c r="HH607" s="27" t="s">
        <v>7</v>
      </c>
    </row>
    <row r="608" spans="1:216" x14ac:dyDescent="0.25">
      <c r="A608" s="7">
        <v>0.65977581677260566</v>
      </c>
      <c r="B608"/>
      <c r="C608"/>
      <c r="D608"/>
      <c r="E608"/>
      <c r="F608" s="27" t="s">
        <v>7</v>
      </c>
      <c r="G608" s="27" t="s">
        <v>8</v>
      </c>
      <c r="H608" s="27" t="s">
        <v>7</v>
      </c>
      <c r="W608" s="27" t="s">
        <v>8</v>
      </c>
      <c r="AC608" s="27" t="s">
        <v>8</v>
      </c>
      <c r="CN608" s="27" t="s">
        <v>7</v>
      </c>
      <c r="CO608" s="27" t="s">
        <v>8</v>
      </c>
      <c r="CR608" s="27" t="s">
        <v>7</v>
      </c>
      <c r="CS608" s="27" t="s">
        <v>8</v>
      </c>
      <c r="CV608" s="27" t="s">
        <v>7</v>
      </c>
      <c r="CW608" s="27" t="s">
        <v>8</v>
      </c>
      <c r="DB608" s="27" t="s">
        <v>7</v>
      </c>
      <c r="DC608" s="27" t="s">
        <v>8</v>
      </c>
      <c r="DD608" s="27" t="s">
        <v>7</v>
      </c>
      <c r="DE608" s="27" t="s">
        <v>8</v>
      </c>
      <c r="DF608" s="27" t="s">
        <v>7</v>
      </c>
      <c r="DK608" s="27" t="s">
        <v>8</v>
      </c>
      <c r="DN608" s="27" t="s">
        <v>7</v>
      </c>
      <c r="DO608" s="27" t="s">
        <v>8</v>
      </c>
      <c r="DP608" s="27" t="s">
        <v>7</v>
      </c>
      <c r="EA608" s="27" t="s">
        <v>8</v>
      </c>
      <c r="EB608" s="27" t="s">
        <v>7</v>
      </c>
      <c r="EC608" s="27" t="s">
        <v>8</v>
      </c>
      <c r="ED608" s="27" t="s">
        <v>7</v>
      </c>
      <c r="EE608" s="27" t="s">
        <v>8</v>
      </c>
      <c r="EH608" s="27" t="s">
        <v>7</v>
      </c>
      <c r="EI608" s="27" t="s">
        <v>8</v>
      </c>
      <c r="FB608" s="27" t="s">
        <v>7</v>
      </c>
      <c r="FC608" s="27" t="s">
        <v>8</v>
      </c>
      <c r="FD608" s="27" t="s">
        <v>7</v>
      </c>
      <c r="FE608" s="27" t="s">
        <v>8</v>
      </c>
      <c r="FF608" s="27" t="s">
        <v>7</v>
      </c>
      <c r="FG608" s="27" t="s">
        <v>8</v>
      </c>
      <c r="FL608" s="27" t="s">
        <v>7</v>
      </c>
      <c r="FM608" s="27" t="s">
        <v>8</v>
      </c>
      <c r="GP608" s="27" t="s">
        <v>7</v>
      </c>
      <c r="GQ608" s="27" t="s">
        <v>8</v>
      </c>
      <c r="GR608" s="27" t="s">
        <v>7</v>
      </c>
      <c r="GS608" s="27" t="s">
        <v>8</v>
      </c>
      <c r="GT608" s="27" t="s">
        <v>7</v>
      </c>
      <c r="GU608" s="27" t="s">
        <v>8</v>
      </c>
      <c r="GV608" s="27" t="s">
        <v>7</v>
      </c>
      <c r="GW608" s="27" t="s">
        <v>8</v>
      </c>
      <c r="GY608" s="27" t="s">
        <v>8</v>
      </c>
      <c r="HA608" s="27" t="s">
        <v>8</v>
      </c>
      <c r="HD608" s="27" t="s">
        <v>7</v>
      </c>
      <c r="HE608" s="27" t="s">
        <v>8</v>
      </c>
      <c r="HF608" s="27" t="s">
        <v>7</v>
      </c>
      <c r="HG608" s="27" t="s">
        <v>8</v>
      </c>
      <c r="HH608" s="27" t="s">
        <v>7</v>
      </c>
    </row>
    <row r="609" spans="1:224" x14ac:dyDescent="0.25">
      <c r="A609" s="7">
        <v>0.64683903605157422</v>
      </c>
      <c r="B609"/>
      <c r="C609"/>
      <c r="D609"/>
      <c r="E609"/>
      <c r="F609" s="27" t="s">
        <v>7</v>
      </c>
      <c r="G609" s="27" t="s">
        <v>8</v>
      </c>
      <c r="H609" s="27" t="s">
        <v>7</v>
      </c>
      <c r="W609" s="27" t="s">
        <v>8</v>
      </c>
      <c r="X609" s="27" t="s">
        <v>7</v>
      </c>
      <c r="AC609" s="27" t="s">
        <v>8</v>
      </c>
      <c r="CN609" s="27" t="s">
        <v>7</v>
      </c>
      <c r="CO609" s="27" t="s">
        <v>8</v>
      </c>
      <c r="CR609" s="27" t="s">
        <v>7</v>
      </c>
      <c r="CS609" s="27" t="s">
        <v>8</v>
      </c>
      <c r="CV609" s="27" t="s">
        <v>7</v>
      </c>
      <c r="CW609" s="27" t="s">
        <v>8</v>
      </c>
      <c r="DB609" s="27" t="s">
        <v>7</v>
      </c>
      <c r="DC609" s="27" t="s">
        <v>8</v>
      </c>
      <c r="DD609" s="27" t="s">
        <v>7</v>
      </c>
      <c r="DE609" s="27" t="s">
        <v>8</v>
      </c>
      <c r="DF609" s="27" t="s">
        <v>7</v>
      </c>
      <c r="DK609" s="27" t="s">
        <v>8</v>
      </c>
      <c r="DN609" s="27" t="s">
        <v>7</v>
      </c>
      <c r="DO609" s="27" t="s">
        <v>8</v>
      </c>
      <c r="DP609" s="27" t="s">
        <v>7</v>
      </c>
      <c r="DQ609" s="27" t="s">
        <v>8</v>
      </c>
      <c r="EA609" s="27" t="s">
        <v>8</v>
      </c>
      <c r="EB609" s="27" t="s">
        <v>7</v>
      </c>
      <c r="EC609" s="27" t="s">
        <v>8</v>
      </c>
      <c r="ED609" s="27" t="s">
        <v>7</v>
      </c>
      <c r="EE609" s="27" t="s">
        <v>8</v>
      </c>
      <c r="EH609" s="27" t="s">
        <v>7</v>
      </c>
      <c r="FB609" s="27" t="s">
        <v>7</v>
      </c>
      <c r="FC609" s="27" t="s">
        <v>8</v>
      </c>
      <c r="FD609" s="27" t="s">
        <v>7</v>
      </c>
      <c r="FE609" s="27" t="s">
        <v>8</v>
      </c>
      <c r="FF609" s="27" t="s">
        <v>7</v>
      </c>
      <c r="FG609" s="27" t="s">
        <v>8</v>
      </c>
      <c r="FL609" s="27" t="s">
        <v>7</v>
      </c>
      <c r="GP609" s="27" t="s">
        <v>7</v>
      </c>
      <c r="GQ609" s="27" t="s">
        <v>8</v>
      </c>
      <c r="GR609" s="27" t="s">
        <v>7</v>
      </c>
      <c r="GS609" s="27" t="s">
        <v>8</v>
      </c>
      <c r="GT609" s="27" t="s">
        <v>7</v>
      </c>
      <c r="GU609" s="27" t="s">
        <v>8</v>
      </c>
      <c r="GV609" s="27" t="s">
        <v>7</v>
      </c>
      <c r="GW609" s="27" t="s">
        <v>8</v>
      </c>
      <c r="GX609" s="27" t="s">
        <v>7</v>
      </c>
      <c r="GY609" s="27" t="s">
        <v>8</v>
      </c>
      <c r="GZ609" s="27" t="s">
        <v>7</v>
      </c>
      <c r="HA609" s="27" t="s">
        <v>8</v>
      </c>
      <c r="HD609" s="27" t="s">
        <v>7</v>
      </c>
      <c r="HE609" s="27" t="s">
        <v>8</v>
      </c>
      <c r="HF609" s="27" t="s">
        <v>7</v>
      </c>
      <c r="HH609" s="27" t="s">
        <v>7</v>
      </c>
    </row>
    <row r="610" spans="1:224" x14ac:dyDescent="0.25">
      <c r="A610" s="7">
        <v>0.63415591769762181</v>
      </c>
      <c r="B610"/>
      <c r="C610"/>
      <c r="D610"/>
      <c r="E610"/>
      <c r="F610" s="27" t="s">
        <v>7</v>
      </c>
      <c r="G610" s="27" t="s">
        <v>8</v>
      </c>
      <c r="H610" s="27" t="s">
        <v>7</v>
      </c>
      <c r="W610" s="27" t="s">
        <v>8</v>
      </c>
      <c r="X610" s="27" t="s">
        <v>7</v>
      </c>
      <c r="AC610" s="27" t="s">
        <v>8</v>
      </c>
      <c r="CN610" s="27" t="s">
        <v>7</v>
      </c>
      <c r="CO610" s="27" t="s">
        <v>8</v>
      </c>
      <c r="CR610" s="27" t="s">
        <v>7</v>
      </c>
      <c r="CS610" s="27" t="s">
        <v>8</v>
      </c>
      <c r="CV610" s="27" t="s">
        <v>7</v>
      </c>
      <c r="CW610" s="27" t="s">
        <v>8</v>
      </c>
      <c r="DB610" s="27" t="s">
        <v>7</v>
      </c>
      <c r="DD610" s="27" t="s">
        <v>7</v>
      </c>
      <c r="DE610" s="27" t="s">
        <v>8</v>
      </c>
      <c r="DF610" s="27" t="s">
        <v>7</v>
      </c>
      <c r="DK610" s="27" t="s">
        <v>8</v>
      </c>
      <c r="DN610" s="27" t="s">
        <v>7</v>
      </c>
      <c r="DP610" s="27" t="s">
        <v>7</v>
      </c>
      <c r="DQ610" s="27" t="s">
        <v>8</v>
      </c>
      <c r="DR610" s="27" t="s">
        <v>7</v>
      </c>
      <c r="DY610" s="27" t="s">
        <v>8</v>
      </c>
      <c r="EA610" s="27" t="s">
        <v>8</v>
      </c>
      <c r="EB610" s="27" t="s">
        <v>7</v>
      </c>
      <c r="ED610" s="27" t="s">
        <v>7</v>
      </c>
      <c r="FB610" s="27" t="s">
        <v>7</v>
      </c>
      <c r="FD610" s="27" t="s">
        <v>7</v>
      </c>
      <c r="FF610" s="27" t="s">
        <v>7</v>
      </c>
      <c r="FG610" s="27" t="s">
        <v>8</v>
      </c>
      <c r="GP610" s="27" t="s">
        <v>7</v>
      </c>
      <c r="GQ610" s="27" t="s">
        <v>8</v>
      </c>
      <c r="GR610" s="27" t="s">
        <v>7</v>
      </c>
      <c r="GS610" s="27" t="s">
        <v>8</v>
      </c>
      <c r="GT610" s="27" t="s">
        <v>7</v>
      </c>
      <c r="GV610" s="27" t="s">
        <v>7</v>
      </c>
      <c r="GW610" s="27" t="s">
        <v>8</v>
      </c>
      <c r="GX610" s="27" t="s">
        <v>7</v>
      </c>
      <c r="GY610" s="27" t="s">
        <v>8</v>
      </c>
      <c r="GZ610" s="27" t="s">
        <v>7</v>
      </c>
      <c r="HA610" s="27" t="s">
        <v>8</v>
      </c>
      <c r="HD610" s="27" t="s">
        <v>7</v>
      </c>
      <c r="HE610" s="27" t="s">
        <v>8</v>
      </c>
      <c r="HH610" s="27" t="s">
        <v>7</v>
      </c>
    </row>
    <row r="611" spans="1:224" x14ac:dyDescent="0.25">
      <c r="A611" s="7">
        <v>0.62172148793884496</v>
      </c>
      <c r="B611"/>
      <c r="C611"/>
      <c r="D611"/>
      <c r="E611"/>
      <c r="F611" s="27" t="s">
        <v>7</v>
      </c>
      <c r="G611" s="27" t="s">
        <v>8</v>
      </c>
      <c r="H611" s="27" t="s">
        <v>7</v>
      </c>
      <c r="W611" s="27" t="s">
        <v>8</v>
      </c>
      <c r="X611" s="27" t="s">
        <v>7</v>
      </c>
      <c r="AC611" s="27" t="s">
        <v>8</v>
      </c>
      <c r="CN611" s="27" t="s">
        <v>7</v>
      </c>
      <c r="CO611" s="27" t="s">
        <v>8</v>
      </c>
      <c r="CR611" s="27" t="s">
        <v>7</v>
      </c>
      <c r="CS611" s="27" t="s">
        <v>8</v>
      </c>
      <c r="CV611" s="27" t="s">
        <v>7</v>
      </c>
      <c r="CW611" s="27" t="s">
        <v>8</v>
      </c>
      <c r="DD611" s="27" t="s">
        <v>7</v>
      </c>
      <c r="DE611" s="27" t="s">
        <v>8</v>
      </c>
      <c r="DF611" s="27" t="s">
        <v>7</v>
      </c>
      <c r="DG611" s="27" t="s">
        <v>8</v>
      </c>
      <c r="DI611" s="27" t="s">
        <v>8</v>
      </c>
      <c r="DK611" s="27" t="s">
        <v>8</v>
      </c>
      <c r="DP611" s="27" t="s">
        <v>7</v>
      </c>
      <c r="DQ611" s="27" t="s">
        <v>8</v>
      </c>
      <c r="DR611" s="27" t="s">
        <v>7</v>
      </c>
      <c r="DY611" s="27" t="s">
        <v>8</v>
      </c>
      <c r="DZ611" s="27" t="s">
        <v>7</v>
      </c>
      <c r="EA611" s="27" t="s">
        <v>8</v>
      </c>
      <c r="FF611" s="27" t="s">
        <v>7</v>
      </c>
      <c r="GP611" s="27" t="s">
        <v>7</v>
      </c>
      <c r="GQ611" s="27" t="s">
        <v>8</v>
      </c>
      <c r="GR611" s="27" t="s">
        <v>7</v>
      </c>
      <c r="GS611" s="27" t="s">
        <v>8</v>
      </c>
      <c r="GV611" s="27" t="s">
        <v>7</v>
      </c>
      <c r="GW611" s="27" t="s">
        <v>8</v>
      </c>
      <c r="GX611" s="27" t="s">
        <v>7</v>
      </c>
      <c r="GY611" s="27" t="s">
        <v>8</v>
      </c>
      <c r="GZ611" s="27" t="s">
        <v>7</v>
      </c>
      <c r="HA611" s="27" t="s">
        <v>8</v>
      </c>
      <c r="HD611" s="27" t="s">
        <v>7</v>
      </c>
      <c r="HH611" s="27" t="s">
        <v>7</v>
      </c>
      <c r="HK611" s="27" t="s">
        <v>8</v>
      </c>
    </row>
    <row r="612" spans="1:224" x14ac:dyDescent="0.25">
      <c r="A612" s="7">
        <v>0.60953087052827937</v>
      </c>
      <c r="B612"/>
      <c r="C612"/>
      <c r="D612"/>
      <c r="E612"/>
      <c r="F612" s="27" t="s">
        <v>7</v>
      </c>
      <c r="G612" s="27" t="s">
        <v>8</v>
      </c>
      <c r="H612" s="27" t="s">
        <v>7</v>
      </c>
      <c r="W612" s="27" t="s">
        <v>8</v>
      </c>
      <c r="X612" s="27" t="s">
        <v>7</v>
      </c>
      <c r="AC612" s="27" t="s">
        <v>8</v>
      </c>
      <c r="CN612" s="27" t="s">
        <v>7</v>
      </c>
      <c r="CO612" s="27" t="s">
        <v>8</v>
      </c>
      <c r="CR612" s="27" t="s">
        <v>7</v>
      </c>
      <c r="CS612" s="27" t="s">
        <v>8</v>
      </c>
      <c r="CV612" s="27" t="s">
        <v>7</v>
      </c>
      <c r="CW612" s="27" t="s">
        <v>8</v>
      </c>
      <c r="DD612" s="27" t="s">
        <v>7</v>
      </c>
      <c r="DE612" s="27" t="s">
        <v>8</v>
      </c>
      <c r="DF612" s="27" t="s">
        <v>7</v>
      </c>
      <c r="DG612" s="27" t="s">
        <v>8</v>
      </c>
      <c r="DH612" s="27" t="s">
        <v>7</v>
      </c>
      <c r="DI612" s="27" t="s">
        <v>8</v>
      </c>
      <c r="DJ612" s="27" t="s">
        <v>7</v>
      </c>
      <c r="DK612" s="27" t="s">
        <v>8</v>
      </c>
      <c r="DP612" s="27" t="s">
        <v>7</v>
      </c>
      <c r="DQ612" s="27" t="s">
        <v>8</v>
      </c>
      <c r="DR612" s="27" t="s">
        <v>7</v>
      </c>
      <c r="DW612" s="27" t="s">
        <v>8</v>
      </c>
      <c r="DY612" s="27" t="s">
        <v>8</v>
      </c>
      <c r="DZ612" s="27" t="s">
        <v>7</v>
      </c>
      <c r="EA612" s="27" t="s">
        <v>8</v>
      </c>
      <c r="GP612" s="27" t="s">
        <v>7</v>
      </c>
      <c r="GQ612" s="27" t="s">
        <v>8</v>
      </c>
      <c r="GR612" s="27" t="s">
        <v>7</v>
      </c>
      <c r="GV612" s="27" t="s">
        <v>7</v>
      </c>
      <c r="GW612" s="27" t="s">
        <v>8</v>
      </c>
      <c r="GX612" s="27" t="s">
        <v>7</v>
      </c>
      <c r="GY612" s="27" t="s">
        <v>8</v>
      </c>
      <c r="GZ612" s="27" t="s">
        <v>7</v>
      </c>
      <c r="HA612" s="27" t="s">
        <v>8</v>
      </c>
      <c r="HH612" s="27" t="s">
        <v>7</v>
      </c>
      <c r="HK612" s="27" t="s">
        <v>8</v>
      </c>
      <c r="HL612" s="27" t="s">
        <v>7</v>
      </c>
    </row>
    <row r="613" spans="1:224" x14ac:dyDescent="0.25">
      <c r="A613" s="7">
        <v>0.59757928483164646</v>
      </c>
      <c r="B613"/>
      <c r="C613"/>
      <c r="D613"/>
      <c r="E613"/>
      <c r="F613" s="27" t="s">
        <v>7</v>
      </c>
      <c r="G613" s="27" t="s">
        <v>8</v>
      </c>
      <c r="H613" s="27" t="s">
        <v>7</v>
      </c>
      <c r="W613" s="27" t="s">
        <v>8</v>
      </c>
      <c r="X613" s="27" t="s">
        <v>7</v>
      </c>
      <c r="AC613" s="27" t="s">
        <v>8</v>
      </c>
      <c r="CN613" s="27" t="s">
        <v>7</v>
      </c>
      <c r="CO613" s="27" t="s">
        <v>8</v>
      </c>
      <c r="CR613" s="27" t="s">
        <v>7</v>
      </c>
      <c r="CS613" s="27" t="s">
        <v>8</v>
      </c>
      <c r="CV613" s="27" t="s">
        <v>7</v>
      </c>
      <c r="DD613" s="27" t="s">
        <v>7</v>
      </c>
      <c r="DE613" s="27" t="s">
        <v>8</v>
      </c>
      <c r="DF613" s="27" t="s">
        <v>7</v>
      </c>
      <c r="DG613" s="27" t="s">
        <v>8</v>
      </c>
      <c r="DH613" s="27" t="s">
        <v>7</v>
      </c>
      <c r="DI613" s="27" t="s">
        <v>8</v>
      </c>
      <c r="DJ613" s="27" t="s">
        <v>7</v>
      </c>
      <c r="DK613" s="27" t="s">
        <v>8</v>
      </c>
      <c r="DP613" s="27" t="s">
        <v>7</v>
      </c>
      <c r="DR613" s="27" t="s">
        <v>7</v>
      </c>
      <c r="DW613" s="27" t="s">
        <v>8</v>
      </c>
      <c r="DX613" s="27" t="s">
        <v>7</v>
      </c>
      <c r="DY613" s="27" t="s">
        <v>8</v>
      </c>
      <c r="DZ613" s="27" t="s">
        <v>7</v>
      </c>
      <c r="EA613" s="27" t="s">
        <v>8</v>
      </c>
      <c r="GP613" s="27" t="s">
        <v>7</v>
      </c>
      <c r="GQ613" s="27" t="s">
        <v>8</v>
      </c>
      <c r="GV613" s="27" t="s">
        <v>7</v>
      </c>
      <c r="GW613" s="27" t="s">
        <v>8</v>
      </c>
      <c r="GX613" s="27" t="s">
        <v>7</v>
      </c>
      <c r="GY613" s="27" t="s">
        <v>8</v>
      </c>
      <c r="GZ613" s="27" t="s">
        <v>7</v>
      </c>
      <c r="HH613" s="27" t="s">
        <v>7</v>
      </c>
      <c r="HI613" s="27" t="s">
        <v>8</v>
      </c>
      <c r="HK613" s="27" t="s">
        <v>8</v>
      </c>
      <c r="HL613" s="27" t="s">
        <v>7</v>
      </c>
      <c r="HM613" s="27" t="s">
        <v>8</v>
      </c>
    </row>
    <row r="614" spans="1:224" x14ac:dyDescent="0.25">
      <c r="A614" s="7">
        <v>0.58586204395259456</v>
      </c>
      <c r="B614"/>
      <c r="C614"/>
      <c r="D614"/>
      <c r="E614"/>
      <c r="F614" s="27" t="s">
        <v>7</v>
      </c>
      <c r="G614" s="27" t="s">
        <v>8</v>
      </c>
      <c r="H614" s="27" t="s">
        <v>7</v>
      </c>
      <c r="W614" s="27" t="s">
        <v>8</v>
      </c>
      <c r="X614" s="27" t="s">
        <v>7</v>
      </c>
      <c r="Y614" s="27" t="s">
        <v>8</v>
      </c>
      <c r="AA614" s="27" t="s">
        <v>8</v>
      </c>
      <c r="AC614" s="27" t="s">
        <v>8</v>
      </c>
      <c r="CN614" s="27" t="s">
        <v>7</v>
      </c>
      <c r="CO614" s="27" t="s">
        <v>8</v>
      </c>
      <c r="CR614" s="27" t="s">
        <v>7</v>
      </c>
      <c r="CS614" s="27" t="s">
        <v>8</v>
      </c>
      <c r="DD614" s="27" t="s">
        <v>7</v>
      </c>
      <c r="DE614" s="27" t="s">
        <v>8</v>
      </c>
      <c r="DF614" s="27" t="s">
        <v>7</v>
      </c>
      <c r="DG614" s="27" t="s">
        <v>8</v>
      </c>
      <c r="DH614" s="27" t="s">
        <v>7</v>
      </c>
      <c r="DI614" s="27" t="s">
        <v>8</v>
      </c>
      <c r="DJ614" s="27" t="s">
        <v>7</v>
      </c>
      <c r="DK614" s="27" t="s">
        <v>8</v>
      </c>
      <c r="DR614" s="27" t="s">
        <v>7</v>
      </c>
      <c r="DU614" s="27" t="s">
        <v>8</v>
      </c>
      <c r="DW614" s="27" t="s">
        <v>8</v>
      </c>
      <c r="DX614" s="27" t="s">
        <v>7</v>
      </c>
      <c r="DY614" s="27" t="s">
        <v>8</v>
      </c>
      <c r="DZ614" s="27" t="s">
        <v>7</v>
      </c>
      <c r="EA614" s="27" t="s">
        <v>8</v>
      </c>
      <c r="GP614" s="27" t="s">
        <v>7</v>
      </c>
      <c r="GQ614" s="27" t="s">
        <v>8</v>
      </c>
      <c r="GV614" s="27" t="s">
        <v>7</v>
      </c>
      <c r="GX614" s="27" t="s">
        <v>7</v>
      </c>
      <c r="HH614" s="27" t="s">
        <v>7</v>
      </c>
      <c r="HI614" s="27" t="s">
        <v>8</v>
      </c>
      <c r="HJ614" s="27" t="s">
        <v>7</v>
      </c>
      <c r="HK614" s="27" t="s">
        <v>8</v>
      </c>
      <c r="HL614" s="27" t="s">
        <v>7</v>
      </c>
      <c r="HM614" s="27" t="s">
        <v>8</v>
      </c>
      <c r="HN614" s="27" t="s">
        <v>7</v>
      </c>
    </row>
    <row r="615" spans="1:224" x14ac:dyDescent="0.25">
      <c r="A615" s="7">
        <v>0.57437455289470052</v>
      </c>
      <c r="B615"/>
      <c r="C615"/>
      <c r="D615"/>
      <c r="E615"/>
      <c r="F615" s="27" t="s">
        <v>7</v>
      </c>
      <c r="G615" s="27" t="s">
        <v>8</v>
      </c>
      <c r="H615" s="27" t="s">
        <v>7</v>
      </c>
      <c r="W615" s="27" t="s">
        <v>8</v>
      </c>
      <c r="X615" s="27" t="s">
        <v>7</v>
      </c>
      <c r="Y615" s="27" t="s">
        <v>8</v>
      </c>
      <c r="Z615" s="27" t="s">
        <v>7</v>
      </c>
      <c r="AA615" s="27" t="s">
        <v>8</v>
      </c>
      <c r="AB615" s="27" t="s">
        <v>7</v>
      </c>
      <c r="AC615" s="27" t="s">
        <v>8</v>
      </c>
      <c r="CN615" s="27" t="s">
        <v>7</v>
      </c>
      <c r="CO615" s="27" t="s">
        <v>8</v>
      </c>
      <c r="CR615" s="27" t="s">
        <v>7</v>
      </c>
      <c r="CS615" s="27" t="s">
        <v>8</v>
      </c>
      <c r="DD615" s="27" t="s">
        <v>7</v>
      </c>
      <c r="DF615" s="27" t="s">
        <v>7</v>
      </c>
      <c r="DG615" s="27" t="s">
        <v>8</v>
      </c>
      <c r="DH615" s="27" t="s">
        <v>7</v>
      </c>
      <c r="DI615" s="27" t="s">
        <v>8</v>
      </c>
      <c r="DJ615" s="27" t="s">
        <v>7</v>
      </c>
      <c r="DK615" s="27" t="s">
        <v>8</v>
      </c>
      <c r="DR615" s="27" t="s">
        <v>7</v>
      </c>
      <c r="DS615" s="27" t="s">
        <v>8</v>
      </c>
      <c r="DU615" s="27" t="s">
        <v>8</v>
      </c>
      <c r="DV615" s="27" t="s">
        <v>7</v>
      </c>
      <c r="DW615" s="27" t="s">
        <v>8</v>
      </c>
      <c r="DX615" s="27" t="s">
        <v>7</v>
      </c>
      <c r="DY615" s="27" t="s">
        <v>8</v>
      </c>
      <c r="DZ615" s="27" t="s">
        <v>7</v>
      </c>
      <c r="EA615" s="27" t="s">
        <v>8</v>
      </c>
      <c r="GP615" s="27" t="s">
        <v>7</v>
      </c>
      <c r="GQ615" s="27" t="s">
        <v>8</v>
      </c>
      <c r="HH615" s="27" t="s">
        <v>7</v>
      </c>
      <c r="HI615" s="27" t="s">
        <v>8</v>
      </c>
      <c r="HJ615" s="27" t="s">
        <v>7</v>
      </c>
      <c r="HK615" s="27" t="s">
        <v>8</v>
      </c>
      <c r="HL615" s="27" t="s">
        <v>7</v>
      </c>
      <c r="HM615" s="27" t="s">
        <v>8</v>
      </c>
      <c r="HN615" s="27" t="s">
        <v>7</v>
      </c>
    </row>
    <row r="616" spans="1:224" x14ac:dyDescent="0.25">
      <c r="A616" s="7">
        <v>0.56311230675951029</v>
      </c>
      <c r="B616"/>
      <c r="C616"/>
      <c r="D616"/>
      <c r="E616"/>
      <c r="F616" s="27" t="s">
        <v>7</v>
      </c>
      <c r="G616" s="27" t="s">
        <v>8</v>
      </c>
      <c r="H616" s="27" t="s">
        <v>7</v>
      </c>
      <c r="W616" s="27" t="s">
        <v>8</v>
      </c>
      <c r="X616" s="27" t="s">
        <v>7</v>
      </c>
      <c r="Y616" s="27" t="s">
        <v>8</v>
      </c>
      <c r="Z616" s="27" t="s">
        <v>7</v>
      </c>
      <c r="AA616" s="27" t="s">
        <v>8</v>
      </c>
      <c r="AB616" s="27" t="s">
        <v>7</v>
      </c>
      <c r="AC616" s="27" t="s">
        <v>8</v>
      </c>
      <c r="CN616" s="27" t="s">
        <v>7</v>
      </c>
      <c r="CO616" s="27" t="s">
        <v>8</v>
      </c>
      <c r="CR616" s="27" t="s">
        <v>7</v>
      </c>
      <c r="CS616" s="27" t="s">
        <v>8</v>
      </c>
      <c r="DF616" s="27" t="s">
        <v>7</v>
      </c>
      <c r="DG616" s="27" t="s">
        <v>8</v>
      </c>
      <c r="DH616" s="27" t="s">
        <v>7</v>
      </c>
      <c r="DI616" s="27" t="s">
        <v>8</v>
      </c>
      <c r="DJ616" s="27" t="s">
        <v>7</v>
      </c>
      <c r="DK616" s="27" t="s">
        <v>8</v>
      </c>
      <c r="DR616" s="27" t="s">
        <v>7</v>
      </c>
      <c r="DS616" s="27" t="s">
        <v>8</v>
      </c>
      <c r="DT616" s="27" t="s">
        <v>7</v>
      </c>
      <c r="DU616" s="27" t="s">
        <v>8</v>
      </c>
      <c r="DV616" s="27" t="s">
        <v>7</v>
      </c>
      <c r="DW616" s="27" t="s">
        <v>8</v>
      </c>
      <c r="DX616" s="27" t="s">
        <v>7</v>
      </c>
      <c r="DY616" s="27" t="s">
        <v>8</v>
      </c>
      <c r="DZ616" s="27" t="s">
        <v>7</v>
      </c>
      <c r="GP616" s="27" t="s">
        <v>7</v>
      </c>
      <c r="GQ616" s="27" t="s">
        <v>8</v>
      </c>
      <c r="HH616" s="27" t="s">
        <v>7</v>
      </c>
      <c r="HI616" s="27" t="s">
        <v>8</v>
      </c>
      <c r="HJ616" s="27" t="s">
        <v>7</v>
      </c>
      <c r="HK616" s="27" t="s">
        <v>8</v>
      </c>
      <c r="HL616" s="27" t="s">
        <v>7</v>
      </c>
      <c r="HN616" s="27" t="s">
        <v>7</v>
      </c>
    </row>
    <row r="617" spans="1:224" x14ac:dyDescent="0.25">
      <c r="A617" s="7">
        <v>0.55207088897991208</v>
      </c>
      <c r="B617"/>
      <c r="C617"/>
      <c r="D617"/>
      <c r="E617"/>
      <c r="F617" s="27" t="s">
        <v>7</v>
      </c>
      <c r="G617" s="27" t="s">
        <v>8</v>
      </c>
      <c r="H617" s="27" t="s">
        <v>7</v>
      </c>
      <c r="W617" s="27" t="s">
        <v>8</v>
      </c>
      <c r="X617" s="27" t="s">
        <v>7</v>
      </c>
      <c r="Y617" s="27" t="s">
        <v>8</v>
      </c>
      <c r="Z617" s="27" t="s">
        <v>7</v>
      </c>
      <c r="AA617" s="27" t="s">
        <v>8</v>
      </c>
      <c r="AB617" s="27" t="s">
        <v>7</v>
      </c>
      <c r="AC617" s="27" t="s">
        <v>8</v>
      </c>
      <c r="CN617" s="27" t="s">
        <v>7</v>
      </c>
      <c r="CO617" s="27" t="s">
        <v>8</v>
      </c>
      <c r="CR617" s="27" t="s">
        <v>7</v>
      </c>
      <c r="CS617" s="27" t="s">
        <v>8</v>
      </c>
      <c r="DF617" s="27" t="s">
        <v>7</v>
      </c>
      <c r="DG617" s="27" t="s">
        <v>8</v>
      </c>
      <c r="DH617" s="27" t="s">
        <v>7</v>
      </c>
      <c r="DI617" s="27" t="s">
        <v>8</v>
      </c>
      <c r="DJ617" s="27" t="s">
        <v>7</v>
      </c>
      <c r="DK617" s="27" t="s">
        <v>8</v>
      </c>
      <c r="DR617" s="27" t="s">
        <v>7</v>
      </c>
      <c r="DS617" s="27" t="s">
        <v>8</v>
      </c>
      <c r="DT617" s="27" t="s">
        <v>7</v>
      </c>
      <c r="DU617" s="27" t="s">
        <v>8</v>
      </c>
      <c r="DV617" s="27" t="s">
        <v>7</v>
      </c>
      <c r="DW617" s="27" t="s">
        <v>8</v>
      </c>
      <c r="DX617" s="27" t="s">
        <v>7</v>
      </c>
      <c r="DY617" s="27" t="s">
        <v>8</v>
      </c>
      <c r="GP617" s="27" t="s">
        <v>7</v>
      </c>
      <c r="GQ617" s="27" t="s">
        <v>8</v>
      </c>
      <c r="HH617" s="27" t="s">
        <v>7</v>
      </c>
      <c r="HJ617" s="27" t="s">
        <v>7</v>
      </c>
      <c r="HK617" s="27" t="s">
        <v>8</v>
      </c>
      <c r="HN617" s="27" t="s">
        <v>7</v>
      </c>
      <c r="HO617" s="27" t="s">
        <v>8</v>
      </c>
    </row>
    <row r="618" spans="1:224" x14ac:dyDescent="0.25">
      <c r="A618" s="7">
        <v>0.54124596958814908</v>
      </c>
      <c r="B618"/>
      <c r="C618"/>
      <c r="D618"/>
      <c r="E618"/>
      <c r="F618" s="27" t="s">
        <v>7</v>
      </c>
      <c r="G618" s="27" t="s">
        <v>8</v>
      </c>
      <c r="H618" s="27" t="s">
        <v>7</v>
      </c>
      <c r="W618" s="27" t="s">
        <v>8</v>
      </c>
      <c r="X618" s="27" t="s">
        <v>7</v>
      </c>
      <c r="Y618" s="27" t="s">
        <v>8</v>
      </c>
      <c r="Z618" s="27" t="s">
        <v>7</v>
      </c>
      <c r="AA618" s="27" t="s">
        <v>8</v>
      </c>
      <c r="AB618" s="27" t="s">
        <v>7</v>
      </c>
      <c r="AC618" s="27" t="s">
        <v>8</v>
      </c>
      <c r="CN618" s="27" t="s">
        <v>7</v>
      </c>
      <c r="CO618" s="27" t="s">
        <v>8</v>
      </c>
      <c r="CR618" s="27" t="s">
        <v>7</v>
      </c>
      <c r="CS618" s="27" t="s">
        <v>8</v>
      </c>
      <c r="DF618" s="27" t="s">
        <v>7</v>
      </c>
      <c r="DG618" s="27" t="s">
        <v>8</v>
      </c>
      <c r="DH618" s="27" t="s">
        <v>7</v>
      </c>
      <c r="DI618" s="27" t="s">
        <v>8</v>
      </c>
      <c r="DJ618" s="27" t="s">
        <v>7</v>
      </c>
      <c r="DK618" s="27" t="s">
        <v>8</v>
      </c>
      <c r="DR618" s="27" t="s">
        <v>7</v>
      </c>
      <c r="DS618" s="27" t="s">
        <v>8</v>
      </c>
      <c r="DT618" s="27" t="s">
        <v>7</v>
      </c>
      <c r="DU618" s="27" t="s">
        <v>8</v>
      </c>
      <c r="DV618" s="27" t="s">
        <v>7</v>
      </c>
      <c r="DW618" s="27" t="s">
        <v>8</v>
      </c>
      <c r="DX618" s="27" t="s">
        <v>7</v>
      </c>
      <c r="DY618" s="27" t="s">
        <v>8</v>
      </c>
      <c r="GP618" s="27" t="s">
        <v>7</v>
      </c>
      <c r="HJ618" s="27" t="s">
        <v>7</v>
      </c>
      <c r="HN618" s="27" t="s">
        <v>7</v>
      </c>
      <c r="HO618" s="27" t="s">
        <v>8</v>
      </c>
      <c r="HP618" s="27" t="s">
        <v>7</v>
      </c>
    </row>
    <row r="619" spans="1:224" x14ac:dyDescent="0.25">
      <c r="A619" s="7">
        <v>0.53063330351779314</v>
      </c>
      <c r="B619"/>
      <c r="C619"/>
      <c r="D619"/>
      <c r="E619"/>
      <c r="F619" s="27" t="s">
        <v>7</v>
      </c>
      <c r="G619" s="27" t="s">
        <v>8</v>
      </c>
      <c r="H619" s="27" t="s">
        <v>7</v>
      </c>
      <c r="W619" s="27" t="s">
        <v>8</v>
      </c>
      <c r="X619" s="27" t="s">
        <v>7</v>
      </c>
      <c r="Y619" s="27" t="s">
        <v>8</v>
      </c>
      <c r="Z619" s="27" t="s">
        <v>7</v>
      </c>
      <c r="AA619" s="27" t="s">
        <v>8</v>
      </c>
      <c r="AB619" s="27" t="s">
        <v>7</v>
      </c>
      <c r="AC619" s="27" t="s">
        <v>8</v>
      </c>
      <c r="CN619" s="27" t="s">
        <v>7</v>
      </c>
      <c r="CR619" s="27" t="s">
        <v>7</v>
      </c>
      <c r="CS619" s="27" t="s">
        <v>8</v>
      </c>
      <c r="DF619" s="27" t="s">
        <v>7</v>
      </c>
      <c r="DG619" s="27" t="s">
        <v>8</v>
      </c>
      <c r="DH619" s="27" t="s">
        <v>7</v>
      </c>
      <c r="DI619" s="27" t="s">
        <v>8</v>
      </c>
      <c r="DJ619" s="27" t="s">
        <v>7</v>
      </c>
      <c r="DK619" s="27" t="s">
        <v>8</v>
      </c>
      <c r="DR619" s="27" t="s">
        <v>7</v>
      </c>
      <c r="DS619" s="27" t="s">
        <v>8</v>
      </c>
      <c r="DT619" s="27" t="s">
        <v>7</v>
      </c>
      <c r="DU619" s="27" t="s">
        <v>8</v>
      </c>
      <c r="DV619" s="27" t="s">
        <v>7</v>
      </c>
      <c r="DX619" s="27" t="s">
        <v>7</v>
      </c>
      <c r="HN619" s="27" t="s">
        <v>7</v>
      </c>
      <c r="HO619" s="27" t="s">
        <v>8</v>
      </c>
      <c r="HP619" s="27" t="s">
        <v>7</v>
      </c>
    </row>
    <row r="620" spans="1:224" x14ac:dyDescent="0.25">
      <c r="A620" s="7">
        <v>0.52022872893901284</v>
      </c>
      <c r="B620"/>
      <c r="C620"/>
      <c r="D620"/>
      <c r="E620"/>
      <c r="F620" s="27" t="s">
        <v>7</v>
      </c>
      <c r="G620" s="27" t="s">
        <v>8</v>
      </c>
      <c r="H620" s="27" t="s">
        <v>7</v>
      </c>
      <c r="W620" s="27" t="s">
        <v>8</v>
      </c>
      <c r="X620" s="27" t="s">
        <v>7</v>
      </c>
      <c r="Y620" s="27" t="s">
        <v>8</v>
      </c>
      <c r="Z620" s="27" t="s">
        <v>7</v>
      </c>
      <c r="AB620" s="27" t="s">
        <v>7</v>
      </c>
      <c r="AC620" s="27" t="s">
        <v>8</v>
      </c>
      <c r="CR620" s="27" t="s">
        <v>7</v>
      </c>
      <c r="CS620" s="27" t="s">
        <v>8</v>
      </c>
      <c r="DF620" s="27" t="s">
        <v>7</v>
      </c>
      <c r="DG620" s="27" t="s">
        <v>8</v>
      </c>
      <c r="DH620" s="27" t="s">
        <v>7</v>
      </c>
      <c r="DI620" s="27" t="s">
        <v>8</v>
      </c>
      <c r="DJ620" s="27" t="s">
        <v>7</v>
      </c>
      <c r="DR620" s="27" t="s">
        <v>7</v>
      </c>
      <c r="DS620" s="27" t="s">
        <v>8</v>
      </c>
      <c r="DT620" s="27" t="s">
        <v>7</v>
      </c>
      <c r="HN620" s="27" t="s">
        <v>7</v>
      </c>
      <c r="HO620" s="27" t="s">
        <v>8</v>
      </c>
      <c r="HP620" s="27" t="s">
        <v>7</v>
      </c>
    </row>
    <row r="621" spans="1:224" x14ac:dyDescent="0.25">
      <c r="A621" s="7">
        <v>0.51002816562648323</v>
      </c>
      <c r="B621"/>
      <c r="C621"/>
      <c r="D621"/>
      <c r="E621"/>
      <c r="F621" s="27" t="s">
        <v>7</v>
      </c>
      <c r="G621" s="27" t="s">
        <v>8</v>
      </c>
      <c r="H621" s="27" t="s">
        <v>7</v>
      </c>
      <c r="W621" s="27" t="s">
        <v>8</v>
      </c>
      <c r="X621" s="27" t="s">
        <v>7</v>
      </c>
      <c r="Y621" s="27" t="s">
        <v>8</v>
      </c>
      <c r="AB621" s="27" t="s">
        <v>7</v>
      </c>
      <c r="AC621" s="27" t="s">
        <v>8</v>
      </c>
      <c r="CR621" s="27" t="s">
        <v>7</v>
      </c>
      <c r="CS621" s="27" t="s">
        <v>8</v>
      </c>
      <c r="DF621" s="27" t="s">
        <v>7</v>
      </c>
      <c r="DG621" s="27" t="s">
        <v>8</v>
      </c>
      <c r="DH621" s="27" t="s">
        <v>7</v>
      </c>
      <c r="DR621" s="18" t="s">
        <v>7</v>
      </c>
      <c r="DS621" s="27" t="s">
        <v>8</v>
      </c>
      <c r="HN621" s="27" t="s">
        <v>7</v>
      </c>
      <c r="HO621" s="27" t="s">
        <v>8</v>
      </c>
      <c r="HP621" s="27" t="s">
        <v>7</v>
      </c>
    </row>
    <row r="622" spans="1:224" x14ac:dyDescent="0.25">
      <c r="A622" s="7">
        <v>0.50002761335929735</v>
      </c>
      <c r="B622"/>
      <c r="C622"/>
      <c r="D622"/>
      <c r="E622"/>
      <c r="F622" s="27" t="s">
        <v>7</v>
      </c>
      <c r="G622" s="27" t="s">
        <v>8</v>
      </c>
      <c r="H622" s="27" t="s">
        <v>7</v>
      </c>
      <c r="W622" s="27" t="s">
        <v>8</v>
      </c>
      <c r="X622" s="27" t="s">
        <v>7</v>
      </c>
      <c r="Y622" s="27" t="s">
        <v>8</v>
      </c>
      <c r="AB622" s="27" t="s">
        <v>7</v>
      </c>
      <c r="AC622" s="27" t="s">
        <v>8</v>
      </c>
      <c r="CR622" s="27" t="s">
        <v>7</v>
      </c>
      <c r="DF622" s="27" t="s">
        <v>7</v>
      </c>
      <c r="DG622" s="27" t="s">
        <v>8</v>
      </c>
      <c r="DR622" s="27" t="s">
        <v>7</v>
      </c>
      <c r="DS622" s="27" t="s">
        <v>8</v>
      </c>
      <c r="HN622" s="27" t="s">
        <v>7</v>
      </c>
      <c r="HP622" s="27" t="s">
        <v>7</v>
      </c>
    </row>
    <row r="623" spans="1:224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H623" s="27" t="s">
        <v>7</v>
      </c>
      <c r="K623" s="27" t="s">
        <v>8</v>
      </c>
      <c r="W623" s="27" t="s">
        <v>8</v>
      </c>
      <c r="X623" s="27" t="s">
        <v>7</v>
      </c>
      <c r="Y623" s="27" t="s">
        <v>8</v>
      </c>
      <c r="AB623" s="27" t="s">
        <v>7</v>
      </c>
      <c r="AC623" s="27" t="s">
        <v>8</v>
      </c>
      <c r="DF623" s="27" t="s">
        <v>7</v>
      </c>
      <c r="DG623" s="27" t="s">
        <v>8</v>
      </c>
      <c r="DR623" s="27" t="s">
        <v>7</v>
      </c>
      <c r="DS623" s="27" t="s">
        <v>8</v>
      </c>
      <c r="HP623" s="27" t="s">
        <v>7</v>
      </c>
    </row>
    <row r="624" spans="1:224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H624" s="27" t="s">
        <v>7</v>
      </c>
      <c r="K624" s="27" t="s">
        <v>8</v>
      </c>
      <c r="L624" s="27" t="s">
        <v>7</v>
      </c>
      <c r="W624" s="27" t="s">
        <v>8</v>
      </c>
      <c r="X624" s="27" t="s">
        <v>7</v>
      </c>
      <c r="Y624" s="27" t="s">
        <v>8</v>
      </c>
      <c r="AB624" s="27" t="s">
        <v>7</v>
      </c>
      <c r="AC624" s="27" t="s">
        <v>8</v>
      </c>
      <c r="DF624" s="27" t="s">
        <v>7</v>
      </c>
      <c r="DG624" s="27" t="s">
        <v>8</v>
      </c>
      <c r="DR624" s="27" t="s">
        <v>7</v>
      </c>
      <c r="HP624" s="27" t="s">
        <v>7</v>
      </c>
    </row>
    <row r="625" spans="1:228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H625" s="27" t="s">
        <v>7</v>
      </c>
      <c r="K625" s="27" t="s">
        <v>8</v>
      </c>
      <c r="L625" s="27" t="s">
        <v>7</v>
      </c>
      <c r="W625" s="27" t="s">
        <v>8</v>
      </c>
      <c r="X625" s="27" t="s">
        <v>7</v>
      </c>
      <c r="Y625" s="27" t="s">
        <v>8</v>
      </c>
      <c r="AB625" s="27" t="s">
        <v>7</v>
      </c>
      <c r="AC625" s="27" t="s">
        <v>8</v>
      </c>
      <c r="DF625" s="27" t="s">
        <v>7</v>
      </c>
      <c r="DG625" s="27" t="s">
        <v>8</v>
      </c>
      <c r="HP625" s="27" t="s">
        <v>7</v>
      </c>
      <c r="HS625" s="27" t="s">
        <v>8</v>
      </c>
    </row>
    <row r="626" spans="1:228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H626" s="27" t="s">
        <v>7</v>
      </c>
      <c r="K626" s="27" t="s">
        <v>8</v>
      </c>
      <c r="L626" s="27" t="s">
        <v>7</v>
      </c>
      <c r="W626" s="27" t="s">
        <v>8</v>
      </c>
      <c r="X626" s="27" t="s">
        <v>7</v>
      </c>
      <c r="Y626" s="27" t="s">
        <v>8</v>
      </c>
      <c r="AB626" s="27" t="s">
        <v>7</v>
      </c>
      <c r="DF626" s="27" t="s">
        <v>7</v>
      </c>
      <c r="DG626" s="27" t="s">
        <v>8</v>
      </c>
      <c r="HP626" s="27" t="s">
        <v>7</v>
      </c>
      <c r="HS626" s="27" t="s">
        <v>8</v>
      </c>
      <c r="HT626" s="27" t="s">
        <v>7</v>
      </c>
    </row>
    <row r="627" spans="1:228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H627" s="27" t="s">
        <v>7</v>
      </c>
      <c r="I627" s="27" t="s">
        <v>8</v>
      </c>
      <c r="K627" s="27" t="s">
        <v>8</v>
      </c>
      <c r="L627" s="27" t="s">
        <v>7</v>
      </c>
      <c r="W627" s="27" t="s">
        <v>8</v>
      </c>
      <c r="X627" s="27" t="s">
        <v>7</v>
      </c>
      <c r="Y627" s="27" t="s">
        <v>8</v>
      </c>
      <c r="DF627" s="27" t="s">
        <v>7</v>
      </c>
      <c r="DG627" s="27" t="s">
        <v>8</v>
      </c>
      <c r="HP627" s="27" t="s">
        <v>7</v>
      </c>
      <c r="HS627" s="27" t="s">
        <v>8</v>
      </c>
      <c r="HT627" s="27" t="s">
        <v>7</v>
      </c>
    </row>
    <row r="628" spans="1:228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H628" s="27" t="s">
        <v>7</v>
      </c>
      <c r="I628" s="27" t="s">
        <v>8</v>
      </c>
      <c r="J628" s="27" t="s">
        <v>7</v>
      </c>
      <c r="K628" s="27" t="s">
        <v>8</v>
      </c>
      <c r="L628" s="27" t="s">
        <v>7</v>
      </c>
      <c r="W628" s="27" t="s">
        <v>8</v>
      </c>
      <c r="X628" s="27" t="s">
        <v>7</v>
      </c>
      <c r="Y628" s="27" t="s">
        <v>8</v>
      </c>
      <c r="DF628" s="27" t="s">
        <v>7</v>
      </c>
      <c r="DG628" s="27" t="s">
        <v>8</v>
      </c>
      <c r="HP628" s="27" t="s">
        <v>7</v>
      </c>
      <c r="HS628" s="27" t="s">
        <v>8</v>
      </c>
      <c r="HT628" s="27" t="s">
        <v>7</v>
      </c>
    </row>
    <row r="629" spans="1:228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H629" s="27" t="s">
        <v>7</v>
      </c>
      <c r="I629" s="27" t="s">
        <v>8</v>
      </c>
      <c r="J629" s="27" t="s">
        <v>7</v>
      </c>
      <c r="K629" s="27" t="s">
        <v>8</v>
      </c>
      <c r="L629" s="27" t="s">
        <v>7</v>
      </c>
      <c r="W629" s="27" t="s">
        <v>8</v>
      </c>
      <c r="X629" s="27" t="s">
        <v>7</v>
      </c>
      <c r="Y629" s="27" t="s">
        <v>8</v>
      </c>
      <c r="DF629" s="27" t="s">
        <v>7</v>
      </c>
      <c r="HP629" s="27" t="s">
        <v>7</v>
      </c>
      <c r="HS629" s="27" t="s">
        <v>8</v>
      </c>
      <c r="HT629" s="27" t="s">
        <v>7</v>
      </c>
    </row>
    <row r="630" spans="1:228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H630" s="27" t="s">
        <v>7</v>
      </c>
      <c r="I630" s="27" t="s">
        <v>8</v>
      </c>
      <c r="J630" s="27" t="s">
        <v>7</v>
      </c>
      <c r="K630" s="27" t="s">
        <v>8</v>
      </c>
      <c r="L630" s="27" t="s">
        <v>7</v>
      </c>
      <c r="W630" s="27" t="s">
        <v>8</v>
      </c>
      <c r="X630" s="27" t="s">
        <v>7</v>
      </c>
      <c r="Y630" s="27" t="s">
        <v>8</v>
      </c>
      <c r="HP630" s="27" t="s">
        <v>7</v>
      </c>
      <c r="HQ630" s="27" t="s">
        <v>8</v>
      </c>
      <c r="HS630" s="27" t="s">
        <v>8</v>
      </c>
      <c r="HT630" s="27" t="s">
        <v>7</v>
      </c>
    </row>
    <row r="631" spans="1:228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H631" s="27" t="s">
        <v>7</v>
      </c>
      <c r="I631" s="27" t="s">
        <v>8</v>
      </c>
      <c r="J631" s="27" t="s">
        <v>7</v>
      </c>
      <c r="K631" s="27" t="s">
        <v>8</v>
      </c>
      <c r="L631" s="27" t="s">
        <v>7</v>
      </c>
      <c r="S631" s="27" t="s">
        <v>8</v>
      </c>
      <c r="W631" s="27" t="s">
        <v>8</v>
      </c>
      <c r="X631" s="27" t="s">
        <v>7</v>
      </c>
      <c r="Y631" s="27" t="s">
        <v>8</v>
      </c>
      <c r="HP631" s="27" t="s">
        <v>7</v>
      </c>
      <c r="HQ631" s="27" t="s">
        <v>8</v>
      </c>
      <c r="HR631" s="27" t="s">
        <v>7</v>
      </c>
      <c r="HS631" s="27" t="s">
        <v>8</v>
      </c>
      <c r="HT631" s="27" t="s">
        <v>7</v>
      </c>
    </row>
    <row r="632" spans="1:228" x14ac:dyDescent="0.25">
      <c r="A632" s="7">
        <v>0.41019680250993112</v>
      </c>
      <c r="B632"/>
      <c r="C632"/>
      <c r="D632"/>
      <c r="E632"/>
      <c r="F632" s="27" t="s">
        <v>7</v>
      </c>
      <c r="G632" s="27" t="s">
        <v>8</v>
      </c>
      <c r="H632" s="27" t="s">
        <v>7</v>
      </c>
      <c r="I632" s="27" t="s">
        <v>8</v>
      </c>
      <c r="J632" s="27" t="s">
        <v>7</v>
      </c>
      <c r="K632" s="27" t="s">
        <v>8</v>
      </c>
      <c r="L632" s="27" t="s">
        <v>7</v>
      </c>
      <c r="S632" s="27" t="s">
        <v>8</v>
      </c>
      <c r="T632" s="27" t="s">
        <v>7</v>
      </c>
      <c r="W632" s="27" t="s">
        <v>8</v>
      </c>
      <c r="X632" s="27" t="s">
        <v>7</v>
      </c>
      <c r="Y632" s="27" t="s">
        <v>8</v>
      </c>
      <c r="HP632" s="27" t="s">
        <v>7</v>
      </c>
      <c r="HQ632" s="27" t="s">
        <v>8</v>
      </c>
      <c r="HR632" s="27" t="s">
        <v>7</v>
      </c>
      <c r="HS632" s="27" t="s">
        <v>8</v>
      </c>
      <c r="HT632" s="27" t="s">
        <v>7</v>
      </c>
    </row>
    <row r="633" spans="1:228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H633" s="27" t="s">
        <v>7</v>
      </c>
      <c r="I633" s="27" t="s">
        <v>8</v>
      </c>
      <c r="J633" s="27" t="s">
        <v>7</v>
      </c>
      <c r="K633" s="27" t="s">
        <v>8</v>
      </c>
      <c r="L633" s="27" t="s">
        <v>7</v>
      </c>
      <c r="M633" s="27" t="s">
        <v>8</v>
      </c>
      <c r="S633" s="27" t="s">
        <v>8</v>
      </c>
      <c r="T633" s="27" t="s">
        <v>7</v>
      </c>
      <c r="W633" s="27" t="s">
        <v>8</v>
      </c>
      <c r="X633" s="27" t="s">
        <v>7</v>
      </c>
      <c r="HP633" s="27" t="s">
        <v>7</v>
      </c>
      <c r="HQ633" s="27" t="s">
        <v>8</v>
      </c>
      <c r="HR633" s="27" t="s">
        <v>7</v>
      </c>
      <c r="HS633" s="27" t="s">
        <v>8</v>
      </c>
      <c r="HT633" s="27" t="s">
        <v>7</v>
      </c>
    </row>
    <row r="634" spans="1:228" x14ac:dyDescent="0.25">
      <c r="A634" s="7">
        <v>0.39426836073618904</v>
      </c>
      <c r="B634"/>
      <c r="C634"/>
      <c r="D634"/>
      <c r="E634"/>
      <c r="F634" s="27" t="s">
        <v>7</v>
      </c>
      <c r="G634" s="27" t="s">
        <v>8</v>
      </c>
      <c r="H634" s="27" t="s">
        <v>7</v>
      </c>
      <c r="I634" s="27" t="s">
        <v>8</v>
      </c>
      <c r="J634" s="27" t="s">
        <v>7</v>
      </c>
      <c r="K634" s="27" t="s">
        <v>8</v>
      </c>
      <c r="L634" s="27" t="s">
        <v>7</v>
      </c>
      <c r="M634" s="27" t="s">
        <v>8</v>
      </c>
      <c r="N634" s="27" t="s">
        <v>7</v>
      </c>
      <c r="S634" s="27" t="s">
        <v>8</v>
      </c>
      <c r="T634" s="27" t="s">
        <v>7</v>
      </c>
      <c r="W634" s="27" t="s">
        <v>8</v>
      </c>
      <c r="HP634" s="27" t="s">
        <v>7</v>
      </c>
      <c r="HQ634" s="27" t="s">
        <v>8</v>
      </c>
      <c r="HR634" s="27" t="s">
        <v>7</v>
      </c>
      <c r="HS634" s="27" t="s">
        <v>8</v>
      </c>
      <c r="HT634" s="27" t="s">
        <v>7</v>
      </c>
    </row>
    <row r="635" spans="1:228" x14ac:dyDescent="0.25">
      <c r="A635" s="7">
        <v>0.38653760856489122</v>
      </c>
      <c r="B635"/>
      <c r="C635"/>
      <c r="D635"/>
      <c r="E635"/>
      <c r="F635" s="27" t="s">
        <v>7</v>
      </c>
      <c r="G635" s="27" t="s">
        <v>8</v>
      </c>
      <c r="H635" s="27" t="s">
        <v>7</v>
      </c>
      <c r="I635" s="27" t="s">
        <v>8</v>
      </c>
      <c r="J635" s="27" t="s">
        <v>7</v>
      </c>
      <c r="K635" s="27" t="s">
        <v>8</v>
      </c>
      <c r="L635" s="27" t="s">
        <v>7</v>
      </c>
      <c r="M635" s="27" t="s">
        <v>8</v>
      </c>
      <c r="N635" s="27" t="s">
        <v>7</v>
      </c>
      <c r="S635" s="27" t="s">
        <v>8</v>
      </c>
      <c r="T635" s="27" t="s">
        <v>7</v>
      </c>
      <c r="W635" s="27" t="s">
        <v>8</v>
      </c>
      <c r="HP635" s="27" t="s">
        <v>7</v>
      </c>
      <c r="HQ635" s="27" t="s">
        <v>8</v>
      </c>
      <c r="HR635" s="27" t="s">
        <v>7</v>
      </c>
      <c r="HS635" s="27" t="s">
        <v>8</v>
      </c>
    </row>
    <row r="636" spans="1:228" x14ac:dyDescent="0.25">
      <c r="A636" s="7">
        <v>0.37895843976950117</v>
      </c>
      <c r="B636"/>
      <c r="C636"/>
      <c r="D636"/>
      <c r="E636"/>
      <c r="F636" s="27" t="s">
        <v>7</v>
      </c>
      <c r="G636" s="27" t="s">
        <v>8</v>
      </c>
      <c r="H636" s="27" t="s">
        <v>7</v>
      </c>
      <c r="I636" s="27" t="s">
        <v>8</v>
      </c>
      <c r="J636" s="27" t="s">
        <v>7</v>
      </c>
      <c r="K636" s="27" t="s">
        <v>8</v>
      </c>
      <c r="L636" s="27" t="s">
        <v>7</v>
      </c>
      <c r="M636" s="27" t="s">
        <v>8</v>
      </c>
      <c r="N636" s="27" t="s">
        <v>7</v>
      </c>
      <c r="O636" s="27" t="s">
        <v>8</v>
      </c>
      <c r="S636" s="27" t="s">
        <v>8</v>
      </c>
      <c r="T636" s="27" t="s">
        <v>7</v>
      </c>
      <c r="W636" s="27" t="s">
        <v>8</v>
      </c>
      <c r="HP636" s="27" t="s">
        <v>7</v>
      </c>
      <c r="HQ636" s="27" t="s">
        <v>8</v>
      </c>
      <c r="HR636" s="27" t="s">
        <v>7</v>
      </c>
      <c r="HS636" s="27" t="s">
        <v>8</v>
      </c>
    </row>
    <row r="637" spans="1:228" x14ac:dyDescent="0.25">
      <c r="A637" s="7">
        <v>0.37152788212696197</v>
      </c>
      <c r="B637"/>
      <c r="C637"/>
      <c r="D637"/>
      <c r="E637"/>
      <c r="F637" s="27" t="s">
        <v>7</v>
      </c>
      <c r="G637" s="27" t="s">
        <v>8</v>
      </c>
      <c r="H637" s="27" t="s">
        <v>7</v>
      </c>
      <c r="I637" s="27" t="s">
        <v>8</v>
      </c>
      <c r="J637" s="27" t="s">
        <v>7</v>
      </c>
      <c r="K637" s="27" t="s">
        <v>8</v>
      </c>
      <c r="L637" s="27" t="s">
        <v>7</v>
      </c>
      <c r="M637" s="27" t="s">
        <v>8</v>
      </c>
      <c r="N637" s="27" t="s">
        <v>7</v>
      </c>
      <c r="O637" s="27" t="s">
        <v>8</v>
      </c>
      <c r="P637" s="27" t="s">
        <v>7</v>
      </c>
      <c r="S637" s="27" t="s">
        <v>8</v>
      </c>
      <c r="T637" s="27" t="s">
        <v>7</v>
      </c>
      <c r="U637" s="27" t="s">
        <v>8</v>
      </c>
      <c r="W637" s="27" t="s">
        <v>8</v>
      </c>
      <c r="HP637" s="27" t="s">
        <v>7</v>
      </c>
      <c r="HR637" s="27" t="s">
        <v>7</v>
      </c>
      <c r="HS637" s="27" t="s">
        <v>8</v>
      </c>
    </row>
    <row r="638" spans="1:228" x14ac:dyDescent="0.25">
      <c r="A638" s="7">
        <v>0.36424302169310002</v>
      </c>
      <c r="B638"/>
      <c r="C638"/>
      <c r="D638"/>
      <c r="E638"/>
      <c r="F638" s="27" t="s">
        <v>7</v>
      </c>
      <c r="G638" s="27" t="s">
        <v>8</v>
      </c>
      <c r="H638" s="27" t="s">
        <v>7</v>
      </c>
      <c r="I638" s="27" t="s">
        <v>8</v>
      </c>
      <c r="J638" s="27" t="s">
        <v>7</v>
      </c>
      <c r="K638" s="27" t="s">
        <v>8</v>
      </c>
      <c r="L638" s="27" t="s">
        <v>7</v>
      </c>
      <c r="M638" s="27" t="s">
        <v>8</v>
      </c>
      <c r="N638" s="27" t="s">
        <v>7</v>
      </c>
      <c r="O638" s="27" t="s">
        <v>8</v>
      </c>
      <c r="P638" s="27" t="s">
        <v>7</v>
      </c>
      <c r="S638" s="27" t="s">
        <v>8</v>
      </c>
      <c r="T638" s="27" t="s">
        <v>7</v>
      </c>
      <c r="U638" s="27" t="s">
        <v>8</v>
      </c>
      <c r="V638" s="27" t="s">
        <v>7</v>
      </c>
      <c r="W638" s="27" t="s">
        <v>8</v>
      </c>
      <c r="HR638" s="27" t="s">
        <v>7</v>
      </c>
      <c r="HS638" s="27" t="s">
        <v>8</v>
      </c>
    </row>
    <row r="639" spans="1:228" x14ac:dyDescent="0.25">
      <c r="A639" s="7">
        <v>0.35710100165990194</v>
      </c>
      <c r="B639"/>
      <c r="C639"/>
      <c r="D639"/>
      <c r="E639"/>
      <c r="F639" s="27" t="s">
        <v>7</v>
      </c>
      <c r="G639" s="27" t="s">
        <v>8</v>
      </c>
      <c r="H639" s="27" t="s">
        <v>7</v>
      </c>
      <c r="I639" s="27" t="s">
        <v>8</v>
      </c>
      <c r="J639" s="27" t="s">
        <v>7</v>
      </c>
      <c r="K639" s="27" t="s">
        <v>8</v>
      </c>
      <c r="L639" s="27" t="s">
        <v>7</v>
      </c>
      <c r="M639" s="27" t="s">
        <v>8</v>
      </c>
      <c r="N639" s="27" t="s">
        <v>7</v>
      </c>
      <c r="O639" s="27" t="s">
        <v>8</v>
      </c>
      <c r="P639" s="27" t="s">
        <v>7</v>
      </c>
      <c r="S639" s="27" t="s">
        <v>8</v>
      </c>
      <c r="T639" s="27" t="s">
        <v>7</v>
      </c>
      <c r="U639" s="27" t="s">
        <v>8</v>
      </c>
      <c r="V639" s="27" t="s">
        <v>7</v>
      </c>
      <c r="W639" s="27" t="s">
        <v>8</v>
      </c>
      <c r="HR639" s="27" t="s">
        <v>7</v>
      </c>
      <c r="HS639" s="27" t="s">
        <v>8</v>
      </c>
    </row>
    <row r="640" spans="1:228" x14ac:dyDescent="0.25">
      <c r="A640" s="7">
        <v>0.35009902123519804</v>
      </c>
      <c r="B640"/>
      <c r="C640"/>
      <c r="D640"/>
      <c r="E640"/>
      <c r="F640" s="27" t="s">
        <v>7</v>
      </c>
      <c r="G640" s="27" t="s">
        <v>8</v>
      </c>
      <c r="H640" s="27" t="s">
        <v>7</v>
      </c>
      <c r="J640" s="27" t="s">
        <v>7</v>
      </c>
      <c r="K640" s="27" t="s">
        <v>8</v>
      </c>
      <c r="L640" s="27" t="s">
        <v>7</v>
      </c>
      <c r="M640" s="27" t="s">
        <v>8</v>
      </c>
      <c r="N640" s="27" t="s">
        <v>7</v>
      </c>
      <c r="O640" s="27" t="s">
        <v>8</v>
      </c>
      <c r="P640" s="27" t="s">
        <v>7</v>
      </c>
      <c r="S640" s="27" t="s">
        <v>8</v>
      </c>
      <c r="T640" s="27" t="s">
        <v>7</v>
      </c>
      <c r="U640" s="27" t="s">
        <v>8</v>
      </c>
      <c r="V640" s="27" t="s">
        <v>7</v>
      </c>
      <c r="W640" s="27" t="s">
        <v>8</v>
      </c>
      <c r="HR640" s="27" t="s">
        <v>7</v>
      </c>
    </row>
    <row r="641" spans="1:23" x14ac:dyDescent="0.25">
      <c r="A641" s="7">
        <v>0.34323433454431179</v>
      </c>
      <c r="B641"/>
      <c r="C641"/>
      <c r="D641"/>
      <c r="E641"/>
      <c r="F641" s="27" t="s">
        <v>7</v>
      </c>
      <c r="G641" s="27" t="s">
        <v>8</v>
      </c>
      <c r="J641" s="27" t="s">
        <v>7</v>
      </c>
      <c r="K641" s="27" t="s">
        <v>8</v>
      </c>
      <c r="L641" s="27" t="s">
        <v>7</v>
      </c>
      <c r="N641" s="27" t="s">
        <v>7</v>
      </c>
      <c r="P641" s="27" t="s">
        <v>7</v>
      </c>
      <c r="Q641" s="27" t="s">
        <v>8</v>
      </c>
      <c r="S641" s="27" t="s">
        <v>8</v>
      </c>
      <c r="T641" s="27" t="s">
        <v>7</v>
      </c>
      <c r="U641" s="27" t="s">
        <v>8</v>
      </c>
      <c r="V641" s="27" t="s">
        <v>7</v>
      </c>
      <c r="W641" s="27" t="s">
        <v>8</v>
      </c>
    </row>
    <row r="642" spans="1:23" x14ac:dyDescent="0.25">
      <c r="A642" s="7">
        <v>0.33650424955324681</v>
      </c>
      <c r="B642"/>
      <c r="C642"/>
      <c r="D642"/>
      <c r="E642"/>
      <c r="F642" s="27" t="s">
        <v>7</v>
      </c>
      <c r="G642" s="27" t="s">
        <v>8</v>
      </c>
      <c r="J642" s="27" t="s">
        <v>7</v>
      </c>
      <c r="K642" s="27" t="s">
        <v>8</v>
      </c>
      <c r="P642" s="27" t="s">
        <v>7</v>
      </c>
      <c r="Q642" s="27" t="s">
        <v>8</v>
      </c>
      <c r="R642" s="27" t="s">
        <v>7</v>
      </c>
      <c r="S642" s="27" t="s">
        <v>8</v>
      </c>
      <c r="T642" s="27" t="s">
        <v>7</v>
      </c>
      <c r="U642" s="27" t="s">
        <v>8</v>
      </c>
      <c r="V642" s="27" t="s">
        <v>7</v>
      </c>
      <c r="W642" s="27" t="s">
        <v>8</v>
      </c>
    </row>
    <row r="643" spans="1:23" x14ac:dyDescent="0.25">
      <c r="A643" s="7">
        <v>0.3299061270129871</v>
      </c>
      <c r="B643"/>
      <c r="C643"/>
      <c r="D643"/>
      <c r="E643"/>
      <c r="F643" s="27" t="s">
        <v>7</v>
      </c>
      <c r="G643" s="27" t="s">
        <v>8</v>
      </c>
      <c r="J643" s="27" t="s">
        <v>7</v>
      </c>
      <c r="K643" s="27" t="s">
        <v>8</v>
      </c>
      <c r="P643" s="27" t="s">
        <v>7</v>
      </c>
      <c r="Q643" s="27" t="s">
        <v>8</v>
      </c>
      <c r="R643" s="27" t="s">
        <v>7</v>
      </c>
      <c r="S643" s="27" t="s">
        <v>8</v>
      </c>
      <c r="T643" s="27" t="s">
        <v>7</v>
      </c>
      <c r="U643" s="27" t="s">
        <v>8</v>
      </c>
      <c r="V643" s="27" t="s">
        <v>7</v>
      </c>
      <c r="W643" s="27" t="s">
        <v>8</v>
      </c>
    </row>
    <row r="644" spans="1:23" x14ac:dyDescent="0.25">
      <c r="A644" s="7">
        <v>0.32343737942449713</v>
      </c>
      <c r="B644"/>
      <c r="C644"/>
      <c r="D644"/>
      <c r="E644"/>
      <c r="F644" s="27" t="s">
        <v>7</v>
      </c>
      <c r="G644" s="27" t="s">
        <v>8</v>
      </c>
      <c r="J644" s="27" t="s">
        <v>7</v>
      </c>
      <c r="P644" s="27" t="s">
        <v>7</v>
      </c>
      <c r="Q644" s="27" t="s">
        <v>8</v>
      </c>
      <c r="R644" s="27" t="s">
        <v>7</v>
      </c>
      <c r="S644" s="27" t="s">
        <v>8</v>
      </c>
      <c r="T644" s="27" t="s">
        <v>7</v>
      </c>
      <c r="U644" s="27" t="s">
        <v>8</v>
      </c>
      <c r="V644" s="27" t="s">
        <v>7</v>
      </c>
      <c r="W644" s="27" t="s">
        <v>8</v>
      </c>
    </row>
    <row r="645" spans="1:23" x14ac:dyDescent="0.25">
      <c r="A645" s="7">
        <v>0.31709547002401678</v>
      </c>
      <c r="B645"/>
      <c r="C645"/>
      <c r="D645"/>
      <c r="E645"/>
      <c r="F645" s="27" t="s">
        <v>7</v>
      </c>
      <c r="G645" s="27" t="s">
        <v>8</v>
      </c>
      <c r="P645" s="27" t="s">
        <v>7</v>
      </c>
      <c r="Q645" s="27" t="s">
        <v>8</v>
      </c>
      <c r="R645" s="27" t="s">
        <v>7</v>
      </c>
      <c r="S645" s="27" t="s">
        <v>8</v>
      </c>
      <c r="T645" s="27" t="s">
        <v>7</v>
      </c>
      <c r="U645" s="27" t="s">
        <v>8</v>
      </c>
      <c r="V645" s="27" t="s">
        <v>7</v>
      </c>
      <c r="W645" s="27" t="s">
        <v>8</v>
      </c>
    </row>
    <row r="646" spans="1:23" x14ac:dyDescent="0.25">
      <c r="A646" s="7">
        <v>0.31087791178825175</v>
      </c>
      <c r="B646"/>
      <c r="C646"/>
      <c r="D646"/>
      <c r="E646"/>
      <c r="F646" s="27" t="s">
        <v>7</v>
      </c>
      <c r="G646" s="27" t="s">
        <v>8</v>
      </c>
      <c r="P646" s="27" t="s">
        <v>7</v>
      </c>
      <c r="Q646" s="27" t="s">
        <v>8</v>
      </c>
      <c r="R646" s="27" t="s">
        <v>7</v>
      </c>
      <c r="S646" s="27" t="s">
        <v>8</v>
      </c>
      <c r="T646" s="27" t="s">
        <v>7</v>
      </c>
      <c r="V646" s="27" t="s">
        <v>7</v>
      </c>
      <c r="W646" s="27" t="s">
        <v>8</v>
      </c>
    </row>
    <row r="647" spans="1:23" x14ac:dyDescent="0.25">
      <c r="A647" s="7">
        <v>0.30478226645907036</v>
      </c>
      <c r="B647"/>
      <c r="C647"/>
      <c r="D647"/>
      <c r="E647"/>
      <c r="F647" s="27" t="s">
        <v>7</v>
      </c>
      <c r="G647" s="27" t="s">
        <v>8</v>
      </c>
      <c r="P647" s="27" t="s">
        <v>7</v>
      </c>
      <c r="Q647" s="27" t="s">
        <v>8</v>
      </c>
      <c r="R647" s="27" t="s">
        <v>7</v>
      </c>
      <c r="S647" s="27" t="s">
        <v>8</v>
      </c>
      <c r="V647" s="27" t="s">
        <v>7</v>
      </c>
      <c r="W647" s="27" t="s">
        <v>8</v>
      </c>
    </row>
    <row r="648" spans="1:23" x14ac:dyDescent="0.25">
      <c r="A648" s="7">
        <v>0.29880614358732388</v>
      </c>
      <c r="B648"/>
      <c r="C648"/>
      <c r="D648"/>
      <c r="E648"/>
      <c r="F648" s="27" t="s">
        <v>7</v>
      </c>
      <c r="G648" s="27" t="s">
        <v>8</v>
      </c>
      <c r="P648" s="27" t="s">
        <v>7</v>
      </c>
      <c r="Q648" s="27" t="s">
        <v>8</v>
      </c>
      <c r="R648" s="27" t="s">
        <v>7</v>
      </c>
      <c r="S648" s="27" t="s">
        <v>8</v>
      </c>
      <c r="V648" s="27" t="s">
        <v>7</v>
      </c>
      <c r="W648" s="27" t="s">
        <v>8</v>
      </c>
    </row>
    <row r="649" spans="1:23" x14ac:dyDescent="0.25">
      <c r="A649" s="7">
        <v>0.2929471995954156</v>
      </c>
      <c r="B649"/>
      <c r="C649"/>
      <c r="D649"/>
      <c r="E649"/>
      <c r="F649" s="27" t="s">
        <v>7</v>
      </c>
      <c r="G649" s="27" t="s">
        <v>8</v>
      </c>
      <c r="P649" s="27" t="s">
        <v>7</v>
      </c>
      <c r="Q649" s="27" t="s">
        <v>8</v>
      </c>
      <c r="R649" s="27" t="s">
        <v>7</v>
      </c>
      <c r="S649" s="27" t="s">
        <v>8</v>
      </c>
      <c r="V649" s="27" t="s">
        <v>7</v>
      </c>
      <c r="W649" s="27" t="s">
        <v>8</v>
      </c>
    </row>
    <row r="650" spans="1:23" x14ac:dyDescent="0.25">
      <c r="A650" s="7">
        <v>0.28720313685825055</v>
      </c>
      <c r="B650"/>
      <c r="C650"/>
      <c r="D650"/>
      <c r="E650"/>
      <c r="F650" s="27" t="s">
        <v>7</v>
      </c>
      <c r="G650" s="27" t="s">
        <v>8</v>
      </c>
      <c r="P650" s="27" t="s">
        <v>7</v>
      </c>
      <c r="Q650" s="27" t="s">
        <v>8</v>
      </c>
      <c r="R650" s="27" t="s">
        <v>7</v>
      </c>
      <c r="V650" s="27" t="s">
        <v>7</v>
      </c>
      <c r="W650" s="27" t="s">
        <v>8</v>
      </c>
    </row>
    <row r="651" spans="1:23" x14ac:dyDescent="0.25">
      <c r="A651" s="7">
        <v>0.28157170280220645</v>
      </c>
      <c r="B651"/>
      <c r="C651"/>
      <c r="D651"/>
      <c r="E651"/>
      <c r="F651" s="27" t="s">
        <v>7</v>
      </c>
      <c r="G651" s="27" t="s">
        <v>8</v>
      </c>
      <c r="P651" s="27" t="s">
        <v>7</v>
      </c>
      <c r="V651" s="27" t="s">
        <v>7</v>
      </c>
      <c r="W651" s="27" t="s">
        <v>8</v>
      </c>
    </row>
    <row r="652" spans="1:23" x14ac:dyDescent="0.25">
      <c r="A652" s="7">
        <v>0.27605068902177105</v>
      </c>
      <c r="B652"/>
      <c r="C652"/>
      <c r="D652"/>
      <c r="E652"/>
      <c r="F652" s="27" t="s">
        <v>7</v>
      </c>
      <c r="G652" s="27" t="s">
        <v>8</v>
      </c>
      <c r="V652" s="27" t="s">
        <v>7</v>
      </c>
      <c r="W652" s="27" t="s">
        <v>8</v>
      </c>
    </row>
    <row r="653" spans="1:23" x14ac:dyDescent="0.25">
      <c r="A653" s="7">
        <v>0.27063793041350104</v>
      </c>
      <c r="B653"/>
      <c r="C653"/>
      <c r="D653"/>
      <c r="E653"/>
      <c r="F653" s="27" t="s">
        <v>7</v>
      </c>
      <c r="G653" s="27" t="s">
        <v>8</v>
      </c>
      <c r="V653" s="27" t="s">
        <v>7</v>
      </c>
      <c r="W653" s="27" t="s">
        <v>8</v>
      </c>
    </row>
    <row r="654" spans="1:23" x14ac:dyDescent="0.25">
      <c r="A654" s="7">
        <v>0.26533130432696184</v>
      </c>
      <c r="B654"/>
      <c r="C654"/>
      <c r="D654"/>
      <c r="E654"/>
      <c r="F654" s="27" t="s">
        <v>7</v>
      </c>
      <c r="G654" s="27" t="s">
        <v>8</v>
      </c>
      <c r="V654" s="27" t="s">
        <v>7</v>
      </c>
      <c r="W654" s="27" t="s">
        <v>8</v>
      </c>
    </row>
    <row r="655" spans="1:23" x14ac:dyDescent="0.25">
      <c r="A655" s="7">
        <v>0.26012872973231554</v>
      </c>
      <c r="B655"/>
      <c r="C655"/>
      <c r="D655"/>
      <c r="E655"/>
      <c r="F655" s="27" t="s">
        <v>7</v>
      </c>
      <c r="G655" s="27" t="s">
        <v>8</v>
      </c>
      <c r="V655" s="27" t="s">
        <v>7</v>
      </c>
      <c r="W655" s="27" t="s">
        <v>8</v>
      </c>
    </row>
    <row r="656" spans="1:23" x14ac:dyDescent="0.25">
      <c r="A656" s="7">
        <v>0.25502816640423093</v>
      </c>
      <c r="B656"/>
      <c r="C656"/>
      <c r="D656"/>
      <c r="E656"/>
      <c r="F656" s="27" t="s">
        <v>7</v>
      </c>
      <c r="G656" s="27" t="s">
        <v>8</v>
      </c>
      <c r="V656" s="27" t="s">
        <v>7</v>
      </c>
      <c r="W656" s="27" t="s">
        <v>8</v>
      </c>
    </row>
    <row r="657" spans="1:23" x14ac:dyDescent="0.25">
      <c r="A657" s="7">
        <v>0.25002761412179503</v>
      </c>
      <c r="B657"/>
      <c r="C657"/>
      <c r="D657"/>
      <c r="E657"/>
      <c r="F657" s="27" t="s">
        <v>7</v>
      </c>
      <c r="G657" s="27" t="s">
        <v>8</v>
      </c>
      <c r="V657" s="27" t="s">
        <v>7</v>
      </c>
      <c r="W657" s="27" t="s">
        <v>8</v>
      </c>
    </row>
    <row r="658" spans="1:23" x14ac:dyDescent="0.25">
      <c r="A658" s="7">
        <v>0.24512511188411276</v>
      </c>
      <c r="B658"/>
      <c r="C658"/>
      <c r="D658"/>
      <c r="E658"/>
      <c r="F658" s="27" t="s">
        <v>7</v>
      </c>
      <c r="G658" s="27" t="s">
        <v>8</v>
      </c>
      <c r="V658" s="27" t="s">
        <v>7</v>
      </c>
      <c r="W658" s="27" t="s">
        <v>8</v>
      </c>
    </row>
    <row r="659" spans="1:23" x14ac:dyDescent="0.25">
      <c r="A659" s="7">
        <v>0.24031873714128701</v>
      </c>
      <c r="B659"/>
      <c r="C659"/>
      <c r="D659"/>
      <c r="E659"/>
      <c r="F659" s="27" t="s">
        <v>7</v>
      </c>
      <c r="G659" s="27" t="s">
        <v>8</v>
      </c>
      <c r="V659" s="27" t="s">
        <v>7</v>
      </c>
      <c r="W659" s="27" t="s">
        <v>8</v>
      </c>
    </row>
    <row r="660" spans="1:23" x14ac:dyDescent="0.25">
      <c r="A660" s="7">
        <v>0.23560660504047748</v>
      </c>
      <c r="B660"/>
      <c r="C660"/>
      <c r="D660"/>
      <c r="E660"/>
      <c r="F660" s="27" t="s">
        <v>7</v>
      </c>
      <c r="G660" s="27" t="s">
        <v>8</v>
      </c>
      <c r="V660" s="27" t="s">
        <v>7</v>
      </c>
    </row>
    <row r="661" spans="1:23" x14ac:dyDescent="0.25">
      <c r="A661" s="7">
        <v>0.23098686768674265</v>
      </c>
      <c r="B661"/>
      <c r="C661"/>
      <c r="D661"/>
      <c r="E661"/>
      <c r="F661" s="27" t="s">
        <v>7</v>
      </c>
      <c r="G661" s="27" t="s">
        <v>8</v>
      </c>
    </row>
    <row r="662" spans="1:23" x14ac:dyDescent="0.25">
      <c r="A662" s="7">
        <v>0.22645771341837515</v>
      </c>
      <c r="B662"/>
      <c r="C662"/>
      <c r="D662"/>
      <c r="E662"/>
      <c r="F662" s="27" t="s">
        <v>7</v>
      </c>
      <c r="G662" s="27" t="s">
        <v>8</v>
      </c>
    </row>
    <row r="663" spans="1:23" x14ac:dyDescent="0.25">
      <c r="A663" s="7">
        <v>0.22201736609644623</v>
      </c>
      <c r="B663"/>
      <c r="C663"/>
      <c r="D663"/>
      <c r="E663"/>
      <c r="F663" s="27" t="s">
        <v>7</v>
      </c>
      <c r="G663" s="27" t="s">
        <v>8</v>
      </c>
    </row>
    <row r="664" spans="1:23" x14ac:dyDescent="0.25">
      <c r="A664" s="7">
        <v>0.21766408440828061</v>
      </c>
      <c r="B664"/>
      <c r="C664"/>
      <c r="D664"/>
      <c r="E664"/>
      <c r="F664" s="27" t="s">
        <v>7</v>
      </c>
      <c r="G664" s="27" t="s">
        <v>8</v>
      </c>
    </row>
    <row r="665" spans="1:23" x14ac:dyDescent="0.25">
      <c r="A665" s="7">
        <v>0.21339616118458882</v>
      </c>
      <c r="B665"/>
      <c r="C665"/>
      <c r="D665"/>
      <c r="E665"/>
      <c r="F665" s="27" t="s">
        <v>7</v>
      </c>
      <c r="G665" s="27" t="s">
        <v>8</v>
      </c>
    </row>
    <row r="666" spans="1:23" x14ac:dyDescent="0.25">
      <c r="A666" s="7">
        <v>0.20921192272998904</v>
      </c>
      <c r="B666"/>
      <c r="C666"/>
      <c r="D666"/>
      <c r="E666"/>
      <c r="F666" s="27" t="s">
        <v>7</v>
      </c>
      <c r="G666" s="27" t="s">
        <v>8</v>
      </c>
    </row>
    <row r="667" spans="1:23" x14ac:dyDescent="0.25">
      <c r="A667" s="7">
        <v>0.20510972816665593</v>
      </c>
      <c r="B667"/>
      <c r="C667"/>
      <c r="D667"/>
      <c r="E667"/>
      <c r="F667" s="27" t="s">
        <v>7</v>
      </c>
      <c r="G667" s="27" t="s">
        <v>8</v>
      </c>
    </row>
    <row r="668" spans="1:23" x14ac:dyDescent="0.25">
      <c r="A668" s="7">
        <v>0.20108796879083912</v>
      </c>
      <c r="B668"/>
      <c r="C668"/>
      <c r="D668"/>
      <c r="E668"/>
      <c r="F668" s="27" t="s">
        <v>7</v>
      </c>
      <c r="G668" s="27" t="s">
        <v>8</v>
      </c>
    </row>
    <row r="669" spans="1:23" x14ac:dyDescent="0.25">
      <c r="A669" s="7">
        <v>0.19714506744199917</v>
      </c>
      <c r="B669"/>
      <c r="C669"/>
      <c r="D669"/>
      <c r="E669"/>
      <c r="F669" s="27" t="s">
        <v>7</v>
      </c>
      <c r="G669" s="27" t="s">
        <v>8</v>
      </c>
    </row>
    <row r="670" spans="1:23" x14ac:dyDescent="0.25">
      <c r="A670" s="7">
        <v>0.19327947788431293</v>
      </c>
      <c r="B670"/>
      <c r="C670"/>
      <c r="D670"/>
      <c r="E670"/>
      <c r="F670" s="27" t="s">
        <v>7</v>
      </c>
      <c r="G670" s="27" t="s">
        <v>8</v>
      </c>
    </row>
    <row r="671" spans="1:23" x14ac:dyDescent="0.25">
      <c r="A671" s="7">
        <v>0.18948968420030682</v>
      </c>
      <c r="B671"/>
      <c r="C671"/>
      <c r="D671"/>
      <c r="E671"/>
      <c r="F671" s="27" t="s">
        <v>7</v>
      </c>
      <c r="G671" s="27" t="s">
        <v>8</v>
      </c>
    </row>
    <row r="672" spans="1:23" x14ac:dyDescent="0.25">
      <c r="A672" s="7">
        <v>0.18577420019637925</v>
      </c>
      <c r="B672"/>
      <c r="C672"/>
      <c r="D672"/>
      <c r="E672"/>
      <c r="F672" s="27" t="s">
        <v>7</v>
      </c>
      <c r="G672" s="27" t="s">
        <v>8</v>
      </c>
    </row>
    <row r="673" spans="1:7" x14ac:dyDescent="0.25">
      <c r="A673" s="7">
        <v>0.18213156881997963</v>
      </c>
      <c r="B673"/>
      <c r="C673"/>
      <c r="D673"/>
      <c r="E673"/>
      <c r="F673" s="27" t="s">
        <v>7</v>
      </c>
      <c r="G673" s="27" t="s">
        <v>8</v>
      </c>
    </row>
    <row r="674" spans="1:7" x14ac:dyDescent="0.25">
      <c r="A674" s="7">
        <v>0.17856036158821534</v>
      </c>
      <c r="B674"/>
      <c r="C674"/>
      <c r="D674"/>
      <c r="E674"/>
      <c r="F674" s="27" t="s">
        <v>7</v>
      </c>
      <c r="G674" s="27" t="s">
        <v>8</v>
      </c>
    </row>
    <row r="675" spans="1:7" x14ac:dyDescent="0.25">
      <c r="A675" s="7">
        <v>0.17505917802766208</v>
      </c>
      <c r="B675"/>
      <c r="C675"/>
      <c r="D675"/>
      <c r="E675"/>
      <c r="F675" s="27" t="s">
        <v>7</v>
      </c>
      <c r="G675" s="27" t="s">
        <v>8</v>
      </c>
    </row>
    <row r="676" spans="1:7" x14ac:dyDescent="0.25">
      <c r="A676" s="7">
        <v>0.17162664512515888</v>
      </c>
      <c r="B676"/>
      <c r="C676"/>
      <c r="D676"/>
      <c r="E676"/>
      <c r="F676" s="27" t="s">
        <v>7</v>
      </c>
      <c r="G676" s="27" t="s">
        <v>8</v>
      </c>
    </row>
    <row r="677" spans="1:7" x14ac:dyDescent="0.25">
      <c r="A677" s="7">
        <v>0.16826141678937145</v>
      </c>
      <c r="B677"/>
      <c r="C677"/>
      <c r="D677"/>
      <c r="E677"/>
      <c r="F677" s="27" t="s">
        <v>7</v>
      </c>
      <c r="G677" s="27" t="s">
        <v>8</v>
      </c>
    </row>
    <row r="678" spans="1:7" x14ac:dyDescent="0.25">
      <c r="A678" s="7">
        <v>0.16496217332291319</v>
      </c>
      <c r="B678"/>
      <c r="C678"/>
      <c r="D678"/>
      <c r="E678"/>
      <c r="F678" s="27" t="s">
        <v>7</v>
      </c>
      <c r="G678" s="27" t="s">
        <v>8</v>
      </c>
    </row>
    <row r="679" spans="1:7" x14ac:dyDescent="0.25">
      <c r="A679" s="7">
        <v>0.16172762090481685</v>
      </c>
      <c r="B679"/>
      <c r="C679"/>
      <c r="D679"/>
      <c r="E679"/>
      <c r="F679" s="27" t="s">
        <v>7</v>
      </c>
      <c r="G679" s="27" t="s">
        <v>8</v>
      </c>
    </row>
    <row r="680" spans="1:7" x14ac:dyDescent="0.25">
      <c r="A680" s="7">
        <v>0.15855649108315376</v>
      </c>
      <c r="B680"/>
      <c r="C680"/>
      <c r="D680"/>
      <c r="E680"/>
      <c r="F680" s="27" t="s">
        <v>7</v>
      </c>
      <c r="G680" s="27" t="s">
        <v>8</v>
      </c>
    </row>
    <row r="681" spans="1:7" x14ac:dyDescent="0.25">
      <c r="A681" s="7">
        <v>0.15544754027760171</v>
      </c>
      <c r="B681"/>
      <c r="C681"/>
      <c r="D681"/>
      <c r="E681"/>
      <c r="F681" s="27" t="s">
        <v>7</v>
      </c>
      <c r="G681" s="27" t="s">
        <v>8</v>
      </c>
    </row>
    <row r="682" spans="1:7" x14ac:dyDescent="0.25">
      <c r="A682" s="7">
        <v>0.15239954929176638</v>
      </c>
      <c r="B682"/>
      <c r="C682"/>
      <c r="D682"/>
      <c r="E682"/>
      <c r="F682" s="27" t="s">
        <v>7</v>
      </c>
      <c r="G682" s="27" t="s">
        <v>8</v>
      </c>
    </row>
    <row r="683" spans="1:7" x14ac:dyDescent="0.25">
      <c r="A683" s="7">
        <v>0.14941132283506509</v>
      </c>
      <c r="B683"/>
      <c r="C683"/>
      <c r="D683"/>
      <c r="E683"/>
      <c r="F683" s="27" t="s">
        <v>7</v>
      </c>
      <c r="G683" s="27" t="s">
        <v>8</v>
      </c>
    </row>
    <row r="684" spans="1:7" x14ac:dyDescent="0.25">
      <c r="A684" s="7">
        <v>0.14648168905398537</v>
      </c>
      <c r="B684"/>
      <c r="C684"/>
      <c r="D684"/>
      <c r="E684"/>
      <c r="F684" s="27" t="s">
        <v>7</v>
      </c>
      <c r="G684" s="27" t="s">
        <v>8</v>
      </c>
    </row>
    <row r="685" spans="1:7" x14ac:dyDescent="0.25">
      <c r="A685" s="7">
        <v>0.14360949907253467</v>
      </c>
      <c r="B685"/>
      <c r="C685"/>
      <c r="D685"/>
      <c r="E685"/>
      <c r="F685" s="27" t="s">
        <v>7</v>
      </c>
      <c r="G685" s="27" t="s">
        <v>8</v>
      </c>
    </row>
    <row r="686" spans="1:7" x14ac:dyDescent="0.25">
      <c r="A686" s="7">
        <v>0.14079362654170066</v>
      </c>
      <c r="B686"/>
      <c r="C686"/>
      <c r="D686"/>
      <c r="E686"/>
      <c r="F686" s="27" t="s">
        <v>7</v>
      </c>
      <c r="G686" s="27" t="s">
        <v>8</v>
      </c>
    </row>
    <row r="687" spans="1:7" x14ac:dyDescent="0.25">
      <c r="A687" s="7">
        <v>0.13803296719774574</v>
      </c>
      <c r="B687"/>
      <c r="C687"/>
      <c r="D687"/>
      <c r="E687"/>
      <c r="F687" s="27" t="s">
        <v>7</v>
      </c>
      <c r="G687" s="27" t="s">
        <v>8</v>
      </c>
    </row>
    <row r="688" spans="1:7" x14ac:dyDescent="0.25">
      <c r="A688" s="7">
        <v>0.1353264384291625</v>
      </c>
      <c r="B688"/>
      <c r="C688"/>
      <c r="D688"/>
      <c r="E688"/>
      <c r="F688" s="27" t="s">
        <v>7</v>
      </c>
      <c r="G688" s="27" t="s">
        <v>8</v>
      </c>
    </row>
    <row r="689" spans="1:7" x14ac:dyDescent="0.25">
      <c r="A689" s="7">
        <v>0.13267297885212009</v>
      </c>
      <c r="B689"/>
      <c r="C689"/>
      <c r="D689"/>
      <c r="E689"/>
      <c r="F689" s="27" t="s">
        <v>7</v>
      </c>
      <c r="G689" s="27" t="s">
        <v>8</v>
      </c>
    </row>
    <row r="690" spans="1:7" x14ac:dyDescent="0.25">
      <c r="A690" s="7">
        <v>0.13007154789423539</v>
      </c>
      <c r="B690"/>
      <c r="C690"/>
      <c r="D690"/>
      <c r="E690"/>
      <c r="F690" s="27" t="s">
        <v>7</v>
      </c>
      <c r="G690" s="27" t="s">
        <v>8</v>
      </c>
    </row>
    <row r="691" spans="1:7" x14ac:dyDescent="0.25">
      <c r="A691" s="7">
        <v>0.12752112538650529</v>
      </c>
      <c r="B691"/>
      <c r="C691"/>
      <c r="D691"/>
      <c r="E691"/>
      <c r="F691" s="27" t="s">
        <v>7</v>
      </c>
      <c r="G691" s="27" t="s">
        <v>8</v>
      </c>
    </row>
    <row r="692" spans="1:7" x14ac:dyDescent="0.25">
      <c r="A692" s="7">
        <v>0.12502071116324048</v>
      </c>
      <c r="B692"/>
      <c r="C692"/>
      <c r="D692"/>
      <c r="E692"/>
      <c r="F692" s="27" t="s">
        <v>7</v>
      </c>
      <c r="G692" s="27" t="s">
        <v>8</v>
      </c>
    </row>
    <row r="693" spans="1:7" x14ac:dyDescent="0.25">
      <c r="A693" s="7">
        <v>0.1225693246698436</v>
      </c>
      <c r="B693"/>
      <c r="C693"/>
      <c r="D693"/>
      <c r="E693"/>
      <c r="F693" s="27" t="s">
        <v>7</v>
      </c>
    </row>
    <row r="694" spans="1:7" x14ac:dyDescent="0.25">
      <c r="A694" s="7">
        <v>0.12016600457827803</v>
      </c>
      <c r="B694"/>
      <c r="C694"/>
      <c r="D694"/>
      <c r="E694"/>
    </row>
    <row r="695" spans="1:7" x14ac:dyDescent="0.25">
      <c r="A695" s="7">
        <v>0.1178098084100765</v>
      </c>
      <c r="B695"/>
      <c r="C695"/>
      <c r="D695"/>
      <c r="E695"/>
    </row>
    <row r="696" spans="1:7" x14ac:dyDescent="0.25">
      <c r="A696" s="7">
        <v>0.11549981216674166</v>
      </c>
      <c r="B696"/>
      <c r="C696"/>
      <c r="D696"/>
      <c r="E696"/>
    </row>
    <row r="697" spans="1:7" x14ac:dyDescent="0.25">
      <c r="A697" s="7">
        <v>0.11323510996739378</v>
      </c>
      <c r="B697"/>
      <c r="C697"/>
      <c r="D697"/>
      <c r="E697"/>
    </row>
    <row r="698" spans="1:7" x14ac:dyDescent="0.25">
      <c r="A698" s="7">
        <v>0.11101481369352331</v>
      </c>
      <c r="B698"/>
      <c r="C698"/>
      <c r="D698"/>
      <c r="E698"/>
    </row>
    <row r="699" spans="1:7" x14ac:dyDescent="0.25">
      <c r="A699" s="7">
        <v>0.10883805264070913</v>
      </c>
      <c r="B699"/>
      <c r="C699"/>
      <c r="D699"/>
      <c r="E699"/>
    </row>
    <row r="700" spans="1:7" x14ac:dyDescent="0.25">
      <c r="A700" s="7">
        <v>0.10670397317716582</v>
      </c>
      <c r="B700"/>
      <c r="C700"/>
      <c r="D700"/>
      <c r="E700"/>
    </row>
    <row r="701" spans="1:7" x14ac:dyDescent="0.25">
      <c r="A701" s="7">
        <v>0.1046117384089861</v>
      </c>
      <c r="B701"/>
      <c r="C701"/>
      <c r="D701"/>
      <c r="E701"/>
    </row>
    <row r="702" spans="1:7" x14ac:dyDescent="0.25">
      <c r="A702" s="7">
        <v>0.10256052785194716</v>
      </c>
      <c r="B702"/>
      <c r="C702"/>
      <c r="D702"/>
      <c r="E702"/>
    </row>
    <row r="703" spans="1:7" x14ac:dyDescent="0.25">
      <c r="A703" s="7">
        <v>0.10054953710975212</v>
      </c>
      <c r="B703"/>
      <c r="C703"/>
      <c r="D703"/>
      <c r="E703"/>
    </row>
    <row r="704" spans="1:7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812" operator="equal">
      <formula>$U$1</formula>
    </cfRule>
    <cfRule type="cellIs" dxfId="89" priority="813" operator="equal">
      <formula>$S$1</formula>
    </cfRule>
  </conditionalFormatting>
  <conditionalFormatting sqref="D27">
    <cfRule type="cellIs" dxfId="88" priority="810" operator="equal">
      <formula>$S$1</formula>
    </cfRule>
    <cfRule type="cellIs" dxfId="87" priority="811" operator="equal">
      <formula>$U$1</formula>
    </cfRule>
  </conditionalFormatting>
  <conditionalFormatting sqref="C164">
    <cfRule type="cellIs" dxfId="86" priority="808" operator="equal">
      <formula>$U$1</formula>
    </cfRule>
    <cfRule type="cellIs" dxfId="85" priority="809" operator="equal">
      <formula>$S$1</formula>
    </cfRule>
  </conditionalFormatting>
  <conditionalFormatting sqref="D164">
    <cfRule type="cellIs" dxfId="84" priority="806" operator="equal">
      <formula>$S$1</formula>
    </cfRule>
    <cfRule type="cellIs" dxfId="83" priority="807" operator="equal">
      <formula>$U$1</formula>
    </cfRule>
  </conditionalFormatting>
  <conditionalFormatting sqref="C55">
    <cfRule type="cellIs" dxfId="82" priority="804" operator="equal">
      <formula>$U$1</formula>
    </cfRule>
    <cfRule type="cellIs" dxfId="81" priority="805" operator="equal">
      <formula>$S$1</formula>
    </cfRule>
  </conditionalFormatting>
  <conditionalFormatting sqref="D55">
    <cfRule type="cellIs" dxfId="80" priority="802" operator="equal">
      <formula>$S$1</formula>
    </cfRule>
    <cfRule type="cellIs" dxfId="79" priority="803" operator="equal">
      <formula>$U$1</formula>
    </cfRule>
  </conditionalFormatting>
  <conditionalFormatting sqref="C89">
    <cfRule type="cellIs" dxfId="78" priority="800" operator="equal">
      <formula>$U$1</formula>
    </cfRule>
    <cfRule type="cellIs" dxfId="77" priority="801" operator="equal">
      <formula>$S$1</formula>
    </cfRule>
  </conditionalFormatting>
  <conditionalFormatting sqref="D89">
    <cfRule type="cellIs" dxfId="76" priority="798" operator="equal">
      <formula>$S$1</formula>
    </cfRule>
    <cfRule type="cellIs" dxfId="75" priority="799" operator="equal">
      <formula>$U$1</formula>
    </cfRule>
  </conditionalFormatting>
  <conditionalFormatting sqref="C136">
    <cfRule type="cellIs" dxfId="74" priority="796" operator="equal">
      <formula>$U$1</formula>
    </cfRule>
    <cfRule type="cellIs" dxfId="73" priority="797" operator="equal">
      <formula>$S$1</formula>
    </cfRule>
  </conditionalFormatting>
  <conditionalFormatting sqref="D136">
    <cfRule type="cellIs" dxfId="72" priority="794" operator="equal">
      <formula>$S$1</formula>
    </cfRule>
    <cfRule type="cellIs" dxfId="71" priority="795" operator="equal">
      <formula>$U$1</formula>
    </cfRule>
  </conditionalFormatting>
  <conditionalFormatting sqref="C1">
    <cfRule type="cellIs" dxfId="70" priority="793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228" zoomScale="90" zoomScaleNormal="90" workbookViewId="0">
      <pane xSplit="4" topLeftCell="AM1" activePane="topRight" state="frozen"/>
      <selection activeCell="A109" sqref="A109"/>
      <selection pane="topRight" activeCell="DD259" sqref="DD259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$A$258</v>
      </c>
      <c r="D111" s="1" t="str">
        <f>ADDRESS(C121-1,D121,1,1)</f>
        <v>$DD$258</v>
      </c>
      <c r="E111"/>
    </row>
    <row r="112" spans="1:5" x14ac:dyDescent="0.25">
      <c r="A112" s="30">
        <v>515.50191262726139</v>
      </c>
      <c r="C112" s="1" t="str">
        <f>ADDRESS(C121,1,1,1)</f>
        <v>$A$259</v>
      </c>
      <c r="D112" s="1" t="str">
        <f>ADDRESS(C121,D121-1,1,1)</f>
        <v>$DC$259</v>
      </c>
      <c r="E112"/>
    </row>
    <row r="113" spans="1:5" x14ac:dyDescent="0.25">
      <c r="A113" s="30">
        <v>490.95420250215363</v>
      </c>
      <c r="C113" s="1" t="str">
        <f>ADDRESS(C121+1,1,1,1)</f>
        <v>$A$260</v>
      </c>
      <c r="D113" s="1" t="str">
        <f>ADDRESS(C121-1,D121+1,1,1)</f>
        <v>$DE$258</v>
      </c>
    </row>
    <row r="114" spans="1:5" x14ac:dyDescent="0.25">
      <c r="A114" s="30">
        <v>467.57543095443202</v>
      </c>
      <c r="C114" s="1" t="str">
        <f>ADDRESS(C121,D121,1,1)</f>
        <v>$DD$259</v>
      </c>
      <c r="D114" s="1" t="str">
        <f>ADDRESS(C121+1,D121+1,1,1)</f>
        <v>$DE$260</v>
      </c>
    </row>
    <row r="115" spans="1:5" x14ac:dyDescent="0.25">
      <c r="A115" s="30">
        <v>445.30993424231622</v>
      </c>
      <c r="C115" s="1" t="str">
        <f>ADDRESS(C121+1,D121,1,1)</f>
        <v>$DD$260</v>
      </c>
    </row>
    <row r="116" spans="1:5" x14ac:dyDescent="0.25">
      <c r="A116" s="30">
        <v>424.10469927839637</v>
      </c>
      <c r="C116" s="1">
        <f>C117-1</f>
        <v>258</v>
      </c>
    </row>
    <row r="117" spans="1:5" x14ac:dyDescent="0.25">
      <c r="A117" s="30">
        <v>403.9092374079965</v>
      </c>
      <c r="C117" s="1">
        <f>C121</f>
        <v>259</v>
      </c>
      <c r="D117" s="1">
        <f>D121</f>
        <v>108</v>
      </c>
    </row>
    <row r="118" spans="1:5" x14ac:dyDescent="0.25">
      <c r="A118" s="30">
        <v>384.6754641980919</v>
      </c>
      <c r="C118" s="1">
        <f>C117+1</f>
        <v>260</v>
      </c>
      <c r="D118" s="1">
        <f>D117+1</f>
        <v>109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259</v>
      </c>
      <c r="D121" s="19">
        <v>108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R259</v>
      </c>
      <c r="D123" s="1" t="str">
        <f>"C"&amp;D121</f>
        <v>C108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0.39573395701664765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41" x14ac:dyDescent="0.25">
      <c r="A209" s="30">
        <v>4.5380394939082018</v>
      </c>
      <c r="E209"/>
    </row>
    <row r="210" spans="1:41" x14ac:dyDescent="0.25">
      <c r="A210" s="30">
        <v>4.3219423751506678</v>
      </c>
      <c r="C210"/>
      <c r="E210"/>
    </row>
    <row r="211" spans="1:41" x14ac:dyDescent="0.25">
      <c r="A211" s="30">
        <v>4.1161355953815884</v>
      </c>
      <c r="E211"/>
    </row>
    <row r="212" spans="1:41" x14ac:dyDescent="0.25">
      <c r="A212" s="30">
        <v>3.9201291384586554</v>
      </c>
      <c r="E212"/>
    </row>
    <row r="213" spans="1:41" x14ac:dyDescent="0.25">
      <c r="A213" s="30">
        <v>3.7334563223415764</v>
      </c>
      <c r="E213"/>
    </row>
    <row r="214" spans="1:41" x14ac:dyDescent="0.25">
      <c r="A214" s="30">
        <v>3.5556726879443583</v>
      </c>
      <c r="E214"/>
    </row>
    <row r="215" spans="1:41" x14ac:dyDescent="0.25">
      <c r="A215" s="30">
        <v>3.3863549408993889</v>
      </c>
      <c r="E215"/>
    </row>
    <row r="216" spans="1:41" x14ac:dyDescent="0.25">
      <c r="A216" s="30">
        <v>3.2250999437137038</v>
      </c>
      <c r="E216"/>
    </row>
    <row r="217" spans="1:41" x14ac:dyDescent="0.25">
      <c r="A217" s="30">
        <v>3.0715237559178128</v>
      </c>
      <c r="E217"/>
    </row>
    <row r="218" spans="1:41" x14ac:dyDescent="0.25">
      <c r="A218" s="30">
        <v>2.9252607199217264</v>
      </c>
      <c r="E218"/>
    </row>
    <row r="219" spans="1:41" x14ac:dyDescent="0.25">
      <c r="A219" s="30">
        <v>2.7859625904016441</v>
      </c>
      <c r="E219"/>
      <c r="AC219" s="27" t="s">
        <v>8</v>
      </c>
    </row>
    <row r="220" spans="1:41" x14ac:dyDescent="0.25">
      <c r="A220" s="30">
        <v>2.6532977051444226</v>
      </c>
      <c r="E220"/>
      <c r="AC220" s="27" t="s">
        <v>8</v>
      </c>
      <c r="AD220" s="27" t="s">
        <v>7</v>
      </c>
      <c r="AE220" s="27" t="s">
        <v>8</v>
      </c>
    </row>
    <row r="221" spans="1:41" x14ac:dyDescent="0.25">
      <c r="A221" s="30">
        <v>2.5269501953756404</v>
      </c>
      <c r="E221"/>
      <c r="AC221" s="27" t="s">
        <v>8</v>
      </c>
      <c r="AD221" s="27" t="s">
        <v>7</v>
      </c>
      <c r="AE221" s="27" t="s">
        <v>8</v>
      </c>
      <c r="AF221" s="27" t="s">
        <v>7</v>
      </c>
    </row>
    <row r="222" spans="1:41" x14ac:dyDescent="0.25">
      <c r="A222" s="30">
        <v>2.4066192336910861</v>
      </c>
      <c r="E222"/>
      <c r="AC222" s="27" t="s">
        <v>8</v>
      </c>
      <c r="AD222" s="27" t="s">
        <v>7</v>
      </c>
      <c r="AE222" s="27" t="s">
        <v>8</v>
      </c>
      <c r="AF222" s="27" t="s">
        <v>7</v>
      </c>
    </row>
    <row r="223" spans="1:41" x14ac:dyDescent="0.25">
      <c r="A223" s="30">
        <v>2.2920183178010345</v>
      </c>
      <c r="E223"/>
      <c r="AC223" s="27" t="s">
        <v>8</v>
      </c>
      <c r="AD223" s="27" t="s">
        <v>7</v>
      </c>
      <c r="AE223" s="27" t="s">
        <v>8</v>
      </c>
      <c r="AF223" s="27" t="s">
        <v>7</v>
      </c>
    </row>
    <row r="224" spans="1:41" x14ac:dyDescent="0.25">
      <c r="A224" s="30">
        <v>2.1828745883819374</v>
      </c>
      <c r="E224"/>
      <c r="AC224" s="27" t="s">
        <v>8</v>
      </c>
      <c r="AD224" s="27" t="s">
        <v>7</v>
      </c>
      <c r="AE224" s="27" t="s">
        <v>8</v>
      </c>
      <c r="AF224" s="27" t="s">
        <v>7</v>
      </c>
      <c r="AK224" s="27" t="s">
        <v>8</v>
      </c>
      <c r="AO224" s="27" t="s">
        <v>8</v>
      </c>
    </row>
    <row r="225" spans="1:96" x14ac:dyDescent="0.25">
      <c r="A225" s="30">
        <v>2.0789281794113688</v>
      </c>
      <c r="E225"/>
      <c r="AC225" s="27" t="s">
        <v>8</v>
      </c>
      <c r="AD225" s="27" t="s">
        <v>7</v>
      </c>
      <c r="AE225" s="27" t="s">
        <v>8</v>
      </c>
      <c r="AF225" s="27" t="s">
        <v>7</v>
      </c>
      <c r="AI225" s="27" t="s">
        <v>8</v>
      </c>
      <c r="AK225" s="27" t="s">
        <v>8</v>
      </c>
      <c r="AL225" s="27" t="s">
        <v>7</v>
      </c>
      <c r="AO225" s="27" t="s">
        <v>8</v>
      </c>
      <c r="AP225" s="27" t="s">
        <v>7</v>
      </c>
    </row>
    <row r="226" spans="1:96" x14ac:dyDescent="0.25">
      <c r="A226" s="30">
        <v>1.9799315994393987</v>
      </c>
      <c r="E226"/>
      <c r="AC226" s="27" t="s">
        <v>8</v>
      </c>
      <c r="AD226" s="27" t="s">
        <v>7</v>
      </c>
      <c r="AE226" s="27" t="s">
        <v>8</v>
      </c>
      <c r="AF226" s="27" t="s">
        <v>7</v>
      </c>
      <c r="AG226" s="27" t="s">
        <v>8</v>
      </c>
      <c r="AI226" s="27" t="s">
        <v>8</v>
      </c>
      <c r="AJ226" s="27" t="s">
        <v>7</v>
      </c>
      <c r="AK226" s="27" t="s">
        <v>8</v>
      </c>
      <c r="AL226" s="27" t="s">
        <v>7</v>
      </c>
      <c r="AO226" s="27" t="s">
        <v>8</v>
      </c>
      <c r="AP226" s="27" t="s">
        <v>7</v>
      </c>
    </row>
    <row r="227" spans="1:96" x14ac:dyDescent="0.25">
      <c r="A227" s="30">
        <v>1.8856491423232367</v>
      </c>
      <c r="E227"/>
      <c r="AC227" s="27" t="s">
        <v>8</v>
      </c>
      <c r="AD227" s="27" t="s">
        <v>7</v>
      </c>
      <c r="AE227" s="27" t="s">
        <v>8</v>
      </c>
      <c r="AF227" s="27" t="s">
        <v>7</v>
      </c>
      <c r="AG227" s="27" t="s">
        <v>8</v>
      </c>
      <c r="AH227" s="27" t="s">
        <v>7</v>
      </c>
      <c r="AI227" s="27" t="s">
        <v>8</v>
      </c>
      <c r="AJ227" s="27" t="s">
        <v>7</v>
      </c>
      <c r="AK227" s="27" t="s">
        <v>8</v>
      </c>
      <c r="AL227" s="27" t="s">
        <v>7</v>
      </c>
      <c r="AM227" s="27" t="s">
        <v>8</v>
      </c>
      <c r="AO227" s="27" t="s">
        <v>8</v>
      </c>
      <c r="AP227" s="27" t="s">
        <v>7</v>
      </c>
    </row>
    <row r="228" spans="1:96" x14ac:dyDescent="0.25">
      <c r="A228" s="30">
        <v>1.7958563260221301</v>
      </c>
      <c r="C228" s="7"/>
      <c r="D228"/>
      <c r="E228"/>
      <c r="AC228" s="27" t="s">
        <v>8</v>
      </c>
      <c r="AD228" s="27" t="s">
        <v>7</v>
      </c>
      <c r="AE228" s="27" t="s">
        <v>8</v>
      </c>
      <c r="AF228" s="27" t="s">
        <v>7</v>
      </c>
      <c r="AG228" s="27" t="s">
        <v>8</v>
      </c>
      <c r="AH228" s="27" t="s">
        <v>7</v>
      </c>
      <c r="AI228" s="27" t="s">
        <v>8</v>
      </c>
      <c r="AJ228" s="27" t="s">
        <v>7</v>
      </c>
      <c r="AL228" s="27" t="s">
        <v>7</v>
      </c>
      <c r="AM228" s="27" t="s">
        <v>8</v>
      </c>
      <c r="AN228" s="27" t="s">
        <v>7</v>
      </c>
      <c r="AO228" s="27" t="s">
        <v>8</v>
      </c>
      <c r="AP228" s="27" t="s">
        <v>7</v>
      </c>
    </row>
    <row r="229" spans="1:96" x14ac:dyDescent="0.25">
      <c r="A229" s="30">
        <v>1.7103393581163142</v>
      </c>
      <c r="E229"/>
      <c r="AC229" s="27" t="s">
        <v>8</v>
      </c>
      <c r="AD229" s="27" t="s">
        <v>7</v>
      </c>
      <c r="AF229" s="27" t="s">
        <v>7</v>
      </c>
      <c r="AG229" s="27" t="s">
        <v>8</v>
      </c>
      <c r="AH229" s="27" t="s">
        <v>7</v>
      </c>
      <c r="AI229" s="27" t="s">
        <v>8</v>
      </c>
      <c r="AL229" s="27" t="s">
        <v>7</v>
      </c>
      <c r="AM229" s="27" t="s">
        <v>8</v>
      </c>
      <c r="AN229" s="27" t="s">
        <v>7</v>
      </c>
      <c r="AO229" s="27" t="s">
        <v>8</v>
      </c>
      <c r="AP229" s="27" t="s">
        <v>7</v>
      </c>
      <c r="AQ229" s="27" t="s">
        <v>8</v>
      </c>
      <c r="AS229" s="27" t="s">
        <v>8</v>
      </c>
      <c r="AU229" s="31" t="s">
        <v>8</v>
      </c>
    </row>
    <row r="230" spans="1:96" x14ac:dyDescent="0.25">
      <c r="A230" s="30">
        <v>1.628894626777442</v>
      </c>
      <c r="E230"/>
      <c r="AC230" s="27" t="s">
        <v>8</v>
      </c>
      <c r="AF230" s="27" t="s">
        <v>7</v>
      </c>
      <c r="AG230" s="27" t="s">
        <v>8</v>
      </c>
      <c r="AH230" s="27" t="s">
        <v>7</v>
      </c>
      <c r="AI230" s="27" t="s">
        <v>8</v>
      </c>
      <c r="AL230" s="27" t="s">
        <v>7</v>
      </c>
      <c r="AM230" s="27" t="s">
        <v>8</v>
      </c>
      <c r="AN230" s="27" t="s">
        <v>7</v>
      </c>
      <c r="AO230" s="27" t="s">
        <v>8</v>
      </c>
      <c r="AP230" s="27" t="s">
        <v>7</v>
      </c>
      <c r="AQ230" s="27" t="s">
        <v>8</v>
      </c>
      <c r="AR230" s="27" t="s">
        <v>7</v>
      </c>
      <c r="AS230" s="27" t="s">
        <v>8</v>
      </c>
      <c r="AT230" s="27" t="s">
        <v>7</v>
      </c>
      <c r="AU230" s="27" t="s">
        <v>8</v>
      </c>
      <c r="AV230" s="31" t="s">
        <v>7</v>
      </c>
    </row>
    <row r="231" spans="1:96" x14ac:dyDescent="0.25">
      <c r="A231" s="30">
        <v>1.5513282159785162</v>
      </c>
      <c r="C231"/>
      <c r="D231"/>
      <c r="E231"/>
      <c r="AC231" s="27" t="s">
        <v>8</v>
      </c>
      <c r="AF231" s="27" t="s">
        <v>7</v>
      </c>
      <c r="AG231" s="27" t="s">
        <v>8</v>
      </c>
      <c r="AH231" s="27" t="s">
        <v>7</v>
      </c>
      <c r="AI231" s="27" t="s">
        <v>8</v>
      </c>
      <c r="AL231" s="27" t="s">
        <v>7</v>
      </c>
      <c r="AM231" s="27" t="s">
        <v>8</v>
      </c>
      <c r="AN231" s="27" t="s">
        <v>7</v>
      </c>
      <c r="AP231" s="27" t="s">
        <v>7</v>
      </c>
      <c r="AQ231" s="27" t="s">
        <v>8</v>
      </c>
      <c r="AR231" s="27" t="s">
        <v>7</v>
      </c>
      <c r="AS231" s="27" t="s">
        <v>8</v>
      </c>
      <c r="AT231" s="27" t="s">
        <v>7</v>
      </c>
      <c r="AU231" s="27" t="s">
        <v>8</v>
      </c>
      <c r="AV231" s="27" t="s">
        <v>7</v>
      </c>
      <c r="AW231" s="31"/>
    </row>
    <row r="232" spans="1:96" x14ac:dyDescent="0.25">
      <c r="A232" s="30">
        <v>1.477455443789063</v>
      </c>
      <c r="E232"/>
      <c r="AC232" s="27" t="s">
        <v>8</v>
      </c>
      <c r="AF232" s="27" t="s">
        <v>7</v>
      </c>
      <c r="AG232" s="27" t="s">
        <v>8</v>
      </c>
      <c r="AH232" s="27" t="s">
        <v>7</v>
      </c>
      <c r="AL232" s="27" t="s">
        <v>7</v>
      </c>
      <c r="AM232" s="27" t="s">
        <v>8</v>
      </c>
      <c r="AP232" s="27" t="s">
        <v>7</v>
      </c>
      <c r="AR232" s="27" t="s">
        <v>7</v>
      </c>
      <c r="AS232" s="27" t="s">
        <v>8</v>
      </c>
      <c r="AT232" s="27" t="s">
        <v>7</v>
      </c>
      <c r="AV232" s="27" t="s">
        <v>7</v>
      </c>
      <c r="AW232" s="27" t="s">
        <v>8</v>
      </c>
      <c r="AX232" s="31"/>
      <c r="AY232" s="27" t="s">
        <v>8</v>
      </c>
    </row>
    <row r="233" spans="1:96" x14ac:dyDescent="0.25">
      <c r="A233" s="30">
        <v>1.4071004226562505</v>
      </c>
      <c r="E233"/>
      <c r="AC233" s="27" t="s">
        <v>8</v>
      </c>
      <c r="AF233" s="27" t="s">
        <v>7</v>
      </c>
      <c r="AG233" s="27" t="s">
        <v>8</v>
      </c>
      <c r="AL233" s="27" t="s">
        <v>7</v>
      </c>
      <c r="AM233" s="27" t="s">
        <v>8</v>
      </c>
      <c r="AR233" s="27" t="s">
        <v>7</v>
      </c>
      <c r="AS233" s="27" t="s">
        <v>8</v>
      </c>
      <c r="AV233" s="27" t="s">
        <v>7</v>
      </c>
      <c r="AW233" s="27" t="s">
        <v>8</v>
      </c>
      <c r="AX233" s="27" t="s">
        <v>7</v>
      </c>
      <c r="AY233" s="31" t="s">
        <v>8</v>
      </c>
      <c r="AZ233" s="31" t="s">
        <v>7</v>
      </c>
    </row>
    <row r="234" spans="1:96" x14ac:dyDescent="0.25">
      <c r="A234" s="30">
        <v>1.3400956406250004</v>
      </c>
      <c r="E234"/>
      <c r="AC234" s="27" t="s">
        <v>8</v>
      </c>
      <c r="AF234" s="27" t="s">
        <v>7</v>
      </c>
      <c r="AL234" s="27" t="s">
        <v>7</v>
      </c>
      <c r="AR234" s="27" t="s">
        <v>7</v>
      </c>
      <c r="AS234" s="27" t="s">
        <v>8</v>
      </c>
      <c r="AV234" s="27" t="s">
        <v>7</v>
      </c>
      <c r="AW234" s="27" t="s">
        <v>8</v>
      </c>
      <c r="AX234" s="27" t="s">
        <v>7</v>
      </c>
      <c r="AY234" s="27" t="s">
        <v>8</v>
      </c>
      <c r="AZ234" s="27" t="s">
        <v>7</v>
      </c>
      <c r="BA234" s="31"/>
    </row>
    <row r="235" spans="1:96" x14ac:dyDescent="0.25">
      <c r="A235" s="30">
        <v>1.2762815625000004</v>
      </c>
      <c r="C235"/>
      <c r="E235"/>
      <c r="AC235" s="27" t="s">
        <v>8</v>
      </c>
      <c r="AR235" s="27" t="s">
        <v>7</v>
      </c>
      <c r="AS235" s="27" t="s">
        <v>8</v>
      </c>
      <c r="AV235" s="27" t="s">
        <v>7</v>
      </c>
      <c r="AX235" s="27" t="s">
        <v>7</v>
      </c>
      <c r="AY235" s="27" t="s">
        <v>8</v>
      </c>
      <c r="AZ235" s="27" t="s">
        <v>7</v>
      </c>
      <c r="BB235" s="31"/>
      <c r="CK235" s="31" t="s">
        <v>8</v>
      </c>
    </row>
    <row r="236" spans="1:96" x14ac:dyDescent="0.25">
      <c r="A236" s="30">
        <v>1.2155062500000002</v>
      </c>
      <c r="E236"/>
      <c r="AC236" s="27" t="s">
        <v>8</v>
      </c>
      <c r="AR236" s="27" t="s">
        <v>7</v>
      </c>
      <c r="AS236" s="27" t="s">
        <v>8</v>
      </c>
      <c r="AX236" s="27" t="s">
        <v>7</v>
      </c>
      <c r="AZ236" s="27" t="s">
        <v>7</v>
      </c>
      <c r="BC236" s="31"/>
      <c r="CK236" s="27" t="s">
        <v>8</v>
      </c>
      <c r="CL236" s="31" t="s">
        <v>7</v>
      </c>
    </row>
    <row r="237" spans="1:96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AC237" s="27" t="s">
        <v>8</v>
      </c>
      <c r="AR237" s="27" t="s">
        <v>7</v>
      </c>
      <c r="AZ237" s="27" t="s">
        <v>7</v>
      </c>
      <c r="BD237" s="31"/>
      <c r="CI237" s="27" t="s">
        <v>8</v>
      </c>
      <c r="CK237" s="27" t="s">
        <v>8</v>
      </c>
      <c r="CL237" s="27" t="s">
        <v>7</v>
      </c>
      <c r="CM237" s="31" t="s">
        <v>8</v>
      </c>
    </row>
    <row r="238" spans="1:96" x14ac:dyDescent="0.25">
      <c r="A238" s="30">
        <v>1.1025</v>
      </c>
      <c r="E238"/>
      <c r="AC238" s="27" t="s">
        <v>8</v>
      </c>
      <c r="AZ238" s="27" t="s">
        <v>7</v>
      </c>
      <c r="BE238" s="31"/>
      <c r="CI238" s="27" t="s">
        <v>8</v>
      </c>
      <c r="CJ238" s="27" t="s">
        <v>7</v>
      </c>
      <c r="CK238" s="27" t="s">
        <v>8</v>
      </c>
      <c r="CL238" s="27" t="s">
        <v>7</v>
      </c>
      <c r="CM238" s="27" t="s">
        <v>8</v>
      </c>
      <c r="CN238" s="31" t="s">
        <v>7</v>
      </c>
    </row>
    <row r="239" spans="1:96" x14ac:dyDescent="0.25">
      <c r="A239" s="30">
        <v>1.05</v>
      </c>
      <c r="E239"/>
      <c r="AA239" s="27" t="s">
        <v>8</v>
      </c>
      <c r="AC239" s="27" t="s">
        <v>8</v>
      </c>
      <c r="AZ239" s="27" t="s">
        <v>7</v>
      </c>
      <c r="BF239" s="31"/>
      <c r="BW239" s="34" t="s">
        <v>8</v>
      </c>
      <c r="BY239" s="34" t="s">
        <v>8</v>
      </c>
      <c r="CI239" s="27" t="s">
        <v>8</v>
      </c>
      <c r="CJ239" s="27" t="s">
        <v>7</v>
      </c>
      <c r="CK239" s="27" t="s">
        <v>8</v>
      </c>
      <c r="CL239" s="27" t="s">
        <v>7</v>
      </c>
      <c r="CM239" s="27" t="s">
        <v>8</v>
      </c>
      <c r="CN239" s="27" t="s">
        <v>7</v>
      </c>
      <c r="CO239" s="34" t="s">
        <v>8</v>
      </c>
      <c r="CQ239" s="34" t="s">
        <v>8</v>
      </c>
    </row>
    <row r="240" spans="1:96" x14ac:dyDescent="0.25">
      <c r="A240" s="30">
        <v>1</v>
      </c>
      <c r="E240" s="29" t="s">
        <v>8</v>
      </c>
      <c r="AA240" s="27" t="s">
        <v>8</v>
      </c>
      <c r="AB240" s="27" t="s">
        <v>7</v>
      </c>
      <c r="AC240" s="27" t="s">
        <v>8</v>
      </c>
      <c r="AZ240" s="27" t="s">
        <v>7</v>
      </c>
      <c r="BG240" s="31"/>
      <c r="BU240" s="27" t="s">
        <v>8</v>
      </c>
      <c r="BW240" s="27" t="s">
        <v>8</v>
      </c>
      <c r="BX240" s="27" t="s">
        <v>7</v>
      </c>
      <c r="BY240" s="27" t="s">
        <v>8</v>
      </c>
      <c r="BZ240" s="27" t="s">
        <v>7</v>
      </c>
      <c r="CI240" s="27" t="s">
        <v>8</v>
      </c>
      <c r="CJ240" s="27" t="s">
        <v>7</v>
      </c>
      <c r="CK240" s="27" t="s">
        <v>8</v>
      </c>
      <c r="CL240" s="27" t="s">
        <v>7</v>
      </c>
      <c r="CN240" s="27" t="s">
        <v>7</v>
      </c>
      <c r="CO240" s="27" t="s">
        <v>8</v>
      </c>
      <c r="CP240" s="31" t="s">
        <v>7</v>
      </c>
      <c r="CQ240" s="27" t="s">
        <v>8</v>
      </c>
      <c r="CR240" s="31" t="s">
        <v>7</v>
      </c>
    </row>
    <row r="241" spans="1:107" x14ac:dyDescent="0.25">
      <c r="A241" s="30">
        <v>0.952380952380952</v>
      </c>
      <c r="B241"/>
      <c r="C241"/>
      <c r="D241"/>
      <c r="E241"/>
      <c r="F241" s="27" t="s">
        <v>7</v>
      </c>
      <c r="AA241" s="27" t="s">
        <v>8</v>
      </c>
      <c r="AB241" s="27" t="s">
        <v>7</v>
      </c>
      <c r="AC241" s="27" t="s">
        <v>8</v>
      </c>
      <c r="AZ241" s="27" t="s">
        <v>7</v>
      </c>
      <c r="BA241" s="27" t="s">
        <v>8</v>
      </c>
      <c r="BG241" s="27" t="s">
        <v>8</v>
      </c>
      <c r="BH241" s="31"/>
      <c r="BU241" s="27" t="s">
        <v>8</v>
      </c>
      <c r="BV241" s="27" t="s">
        <v>7</v>
      </c>
      <c r="BW241" s="27" t="s">
        <v>8</v>
      </c>
      <c r="BX241" s="27" t="s">
        <v>7</v>
      </c>
      <c r="BY241" s="27" t="s">
        <v>8</v>
      </c>
      <c r="BZ241" s="27" t="s">
        <v>7</v>
      </c>
      <c r="CI241" s="27" t="s">
        <v>8</v>
      </c>
      <c r="CJ241" s="27" t="s">
        <v>7</v>
      </c>
      <c r="CK241" s="27" t="s">
        <v>8</v>
      </c>
      <c r="CN241" s="32" t="s">
        <v>7</v>
      </c>
      <c r="CO241" s="27" t="s">
        <v>8</v>
      </c>
      <c r="CP241" s="27" t="s">
        <v>7</v>
      </c>
      <c r="CQ241" s="27" t="s">
        <v>8</v>
      </c>
      <c r="CR241" s="27" t="s">
        <v>7</v>
      </c>
      <c r="CS241" s="31"/>
    </row>
    <row r="242" spans="1:107" x14ac:dyDescent="0.25">
      <c r="A242" s="30">
        <v>0.90702947845804915</v>
      </c>
      <c r="B242"/>
      <c r="C242"/>
      <c r="D242"/>
      <c r="E242"/>
      <c r="F242" s="27" t="s">
        <v>7</v>
      </c>
      <c r="AA242" s="27" t="s">
        <v>8</v>
      </c>
      <c r="AB242" s="27" t="s">
        <v>7</v>
      </c>
      <c r="AC242" s="27" t="s">
        <v>8</v>
      </c>
      <c r="AZ242" s="27" t="s">
        <v>7</v>
      </c>
      <c r="BA242" s="27" t="s">
        <v>8</v>
      </c>
      <c r="BB242" s="27" t="s">
        <v>7</v>
      </c>
      <c r="BG242" s="27" t="s">
        <v>8</v>
      </c>
      <c r="BH242" s="27" t="s">
        <v>7</v>
      </c>
      <c r="BI242" s="31"/>
      <c r="BU242" s="27" t="s">
        <v>8</v>
      </c>
      <c r="BV242" s="27" t="s">
        <v>7</v>
      </c>
      <c r="BW242" s="27" t="s">
        <v>8</v>
      </c>
      <c r="BX242" s="27" t="s">
        <v>7</v>
      </c>
      <c r="BY242" s="27" t="s">
        <v>8</v>
      </c>
      <c r="BZ242" s="27" t="s">
        <v>7</v>
      </c>
      <c r="CA242" s="34" t="s">
        <v>8</v>
      </c>
      <c r="CC242" s="34" t="s">
        <v>8</v>
      </c>
      <c r="CI242" s="27" t="s">
        <v>8</v>
      </c>
      <c r="CJ242" s="27" t="s">
        <v>7</v>
      </c>
      <c r="CN242" s="31" t="s">
        <v>7</v>
      </c>
      <c r="CO242" s="27" t="s">
        <v>8</v>
      </c>
      <c r="CP242" s="27" t="s">
        <v>7</v>
      </c>
      <c r="CQ242" s="27" t="s">
        <v>8</v>
      </c>
      <c r="CR242" s="27" t="s">
        <v>7</v>
      </c>
      <c r="CT242" s="31"/>
    </row>
    <row r="243" spans="1:107" x14ac:dyDescent="0.25">
      <c r="A243" s="30">
        <v>0.86383759853147501</v>
      </c>
      <c r="B243"/>
      <c r="C243"/>
      <c r="D243"/>
      <c r="E243"/>
      <c r="F243" s="27" t="s">
        <v>7</v>
      </c>
      <c r="Y243" s="27" t="s">
        <v>8</v>
      </c>
      <c r="AA243" s="27" t="s">
        <v>8</v>
      </c>
      <c r="AB243" s="27" t="s">
        <v>7</v>
      </c>
      <c r="AC243" s="27" t="s">
        <v>8</v>
      </c>
      <c r="AZ243" s="27" t="s">
        <v>7</v>
      </c>
      <c r="BA243" s="27" t="s">
        <v>8</v>
      </c>
      <c r="BB243" s="27" t="s">
        <v>7</v>
      </c>
      <c r="BC243" s="27" t="s">
        <v>8</v>
      </c>
      <c r="BE243" s="27" t="s">
        <v>8</v>
      </c>
      <c r="BG243" s="27" t="s">
        <v>8</v>
      </c>
      <c r="BH243" s="27" t="s">
        <v>7</v>
      </c>
      <c r="BJ243" s="31"/>
      <c r="BU243" s="27" t="s">
        <v>8</v>
      </c>
      <c r="BV243" s="27" t="s">
        <v>7</v>
      </c>
      <c r="BW243" s="27" t="s">
        <v>8</v>
      </c>
      <c r="BX243" s="27" t="s">
        <v>7</v>
      </c>
      <c r="BZ243" s="27" t="s">
        <v>7</v>
      </c>
      <c r="CA243" s="27" t="s">
        <v>8</v>
      </c>
      <c r="CB243" s="27" t="s">
        <v>7</v>
      </c>
      <c r="CC243" s="27" t="s">
        <v>8</v>
      </c>
      <c r="CD243" s="27" t="s">
        <v>7</v>
      </c>
      <c r="CI243" s="27" t="s">
        <v>8</v>
      </c>
      <c r="CM243" s="31"/>
      <c r="CN243" s="34" t="s">
        <v>7</v>
      </c>
      <c r="CP243" s="34" t="s">
        <v>7</v>
      </c>
      <c r="CR243" s="27" t="s">
        <v>7</v>
      </c>
      <c r="CU243" s="31"/>
    </row>
    <row r="244" spans="1:107" x14ac:dyDescent="0.25">
      <c r="A244" s="30">
        <v>0.82270247479188063</v>
      </c>
      <c r="B244"/>
      <c r="C244"/>
      <c r="D244"/>
      <c r="E244"/>
      <c r="F244" s="27" t="s">
        <v>7</v>
      </c>
      <c r="Y244" s="27" t="s">
        <v>8</v>
      </c>
      <c r="Z244" s="27" t="s">
        <v>7</v>
      </c>
      <c r="AA244" s="27" t="s">
        <v>8</v>
      </c>
      <c r="AB244" s="27" t="s">
        <v>7</v>
      </c>
      <c r="AC244" s="27" t="s">
        <v>8</v>
      </c>
      <c r="AZ244" s="27" t="s">
        <v>7</v>
      </c>
      <c r="BA244" s="27" t="s">
        <v>8</v>
      </c>
      <c r="BB244" s="27" t="s">
        <v>7</v>
      </c>
      <c r="BC244" s="27" t="s">
        <v>8</v>
      </c>
      <c r="BD244" s="27" t="s">
        <v>7</v>
      </c>
      <c r="BE244" s="27" t="s">
        <v>8</v>
      </c>
      <c r="BF244" s="27" t="s">
        <v>7</v>
      </c>
      <c r="BG244" s="27" t="s">
        <v>8</v>
      </c>
      <c r="BH244" s="27" t="s">
        <v>7</v>
      </c>
      <c r="BK244" s="31"/>
      <c r="BU244" s="27" t="s">
        <v>8</v>
      </c>
      <c r="BV244" s="27" t="s">
        <v>7</v>
      </c>
      <c r="BZ244" s="32" t="s">
        <v>7</v>
      </c>
      <c r="CA244" s="27" t="s">
        <v>8</v>
      </c>
      <c r="CB244" s="27" t="s">
        <v>7</v>
      </c>
      <c r="CC244" s="27" t="s">
        <v>8</v>
      </c>
      <c r="CD244" s="27" t="s">
        <v>7</v>
      </c>
      <c r="CI244" s="33" t="s">
        <v>8</v>
      </c>
      <c r="CL244" s="31"/>
      <c r="CR244" s="27" t="s">
        <v>7</v>
      </c>
      <c r="CV244" s="31"/>
    </row>
    <row r="245" spans="1:107" x14ac:dyDescent="0.25">
      <c r="A245" s="30">
        <v>0.78352616646845741</v>
      </c>
      <c r="B245"/>
      <c r="C245"/>
      <c r="D245"/>
      <c r="E245"/>
      <c r="F245" s="27" t="s">
        <v>7</v>
      </c>
      <c r="Y245" s="27" t="s">
        <v>8</v>
      </c>
      <c r="Z245" s="27" t="s">
        <v>7</v>
      </c>
      <c r="AA245" s="27" t="s">
        <v>8</v>
      </c>
      <c r="AB245" s="27" t="s">
        <v>7</v>
      </c>
      <c r="AZ245" s="27" t="s">
        <v>7</v>
      </c>
      <c r="BA245" s="27" t="s">
        <v>8</v>
      </c>
      <c r="BB245" s="27" t="s">
        <v>7</v>
      </c>
      <c r="BC245" s="27" t="s">
        <v>8</v>
      </c>
      <c r="BD245" s="27" t="s">
        <v>7</v>
      </c>
      <c r="BE245" s="27" t="s">
        <v>8</v>
      </c>
      <c r="BF245" s="27" t="s">
        <v>7</v>
      </c>
      <c r="BG245" s="27" t="s">
        <v>8</v>
      </c>
      <c r="BH245" s="27" t="s">
        <v>7</v>
      </c>
      <c r="BI245" s="27" t="s">
        <v>8</v>
      </c>
      <c r="BL245" s="31"/>
      <c r="BO245" s="27" t="s">
        <v>8</v>
      </c>
      <c r="BU245" s="27" t="s">
        <v>8</v>
      </c>
      <c r="BZ245" s="27" t="s">
        <v>7</v>
      </c>
      <c r="CA245" s="27" t="s">
        <v>8</v>
      </c>
      <c r="CB245" s="27" t="s">
        <v>7</v>
      </c>
      <c r="CD245" s="27" t="s">
        <v>7</v>
      </c>
      <c r="CE245" s="34" t="s">
        <v>8</v>
      </c>
      <c r="CG245" s="34" t="s">
        <v>8</v>
      </c>
      <c r="CI245" s="27" t="s">
        <v>8</v>
      </c>
      <c r="CK245" s="31"/>
      <c r="CR245" s="27" t="s">
        <v>7</v>
      </c>
      <c r="CW245" s="31"/>
    </row>
    <row r="246" spans="1:107" x14ac:dyDescent="0.25">
      <c r="A246" s="30">
        <v>0.74621539663662584</v>
      </c>
      <c r="B246"/>
      <c r="C246"/>
      <c r="D246"/>
      <c r="E246"/>
      <c r="F246" s="27" t="s">
        <v>7</v>
      </c>
      <c r="G246" s="27" t="s">
        <v>8</v>
      </c>
      <c r="Y246" s="27" t="s">
        <v>8</v>
      </c>
      <c r="Z246" s="27" t="s">
        <v>7</v>
      </c>
      <c r="AZ246" s="27" t="s">
        <v>7</v>
      </c>
      <c r="BA246" s="27" t="s">
        <v>8</v>
      </c>
      <c r="BB246" s="27" t="s">
        <v>7</v>
      </c>
      <c r="BD246" s="27" t="s">
        <v>7</v>
      </c>
      <c r="BE246" s="27" t="s">
        <v>8</v>
      </c>
      <c r="BF246" s="27" t="s">
        <v>7</v>
      </c>
      <c r="BG246" s="27" t="s">
        <v>8</v>
      </c>
      <c r="BH246" s="27" t="s">
        <v>7</v>
      </c>
      <c r="BI246" s="27" t="s">
        <v>8</v>
      </c>
      <c r="BJ246" s="27" t="s">
        <v>7</v>
      </c>
      <c r="BM246" s="31"/>
      <c r="BO246" s="27" t="s">
        <v>8</v>
      </c>
      <c r="BP246" s="27" t="s">
        <v>7</v>
      </c>
      <c r="BQ246" s="27" t="s">
        <v>8</v>
      </c>
      <c r="BU246" s="27" t="s">
        <v>8</v>
      </c>
      <c r="BZ246" s="27" t="s">
        <v>7</v>
      </c>
      <c r="CA246" s="27" t="s">
        <v>8</v>
      </c>
      <c r="CD246" s="27" t="s">
        <v>7</v>
      </c>
      <c r="CE246" s="27" t="s">
        <v>8</v>
      </c>
      <c r="CF246" s="27" t="s">
        <v>7</v>
      </c>
      <c r="CG246" s="27" t="s">
        <v>8</v>
      </c>
      <c r="CH246" s="27" t="s">
        <v>7</v>
      </c>
      <c r="CI246" s="27" t="s">
        <v>8</v>
      </c>
      <c r="CJ246" s="31"/>
      <c r="CR246" s="27" t="s">
        <v>7</v>
      </c>
      <c r="CS246" s="34" t="s">
        <v>8</v>
      </c>
      <c r="CU246" s="34" t="s">
        <v>8</v>
      </c>
      <c r="CW246" s="34" t="s">
        <v>8</v>
      </c>
      <c r="CX246" s="31"/>
    </row>
    <row r="247" spans="1:107" x14ac:dyDescent="0.25">
      <c r="A247" s="30">
        <v>0.71068133013011958</v>
      </c>
      <c r="B247"/>
      <c r="C247"/>
      <c r="D247"/>
      <c r="E247"/>
      <c r="F247" s="27" t="s">
        <v>7</v>
      </c>
      <c r="G247" s="27" t="s">
        <v>8</v>
      </c>
      <c r="H247" s="27" t="s">
        <v>7</v>
      </c>
      <c r="Y247" s="27" t="s">
        <v>8</v>
      </c>
      <c r="AZ247" s="27" t="s">
        <v>7</v>
      </c>
      <c r="BA247" s="27" t="s">
        <v>8</v>
      </c>
      <c r="BD247" s="27" t="s">
        <v>7</v>
      </c>
      <c r="BE247" s="27" t="s">
        <v>8</v>
      </c>
      <c r="BF247" s="27" t="s">
        <v>7</v>
      </c>
      <c r="BG247" s="27" t="s">
        <v>8</v>
      </c>
      <c r="BH247" s="27" t="s">
        <v>7</v>
      </c>
      <c r="BI247" s="27" t="s">
        <v>8</v>
      </c>
      <c r="BJ247" s="27" t="s">
        <v>7</v>
      </c>
      <c r="BN247" s="31"/>
      <c r="BO247" s="27" t="s">
        <v>8</v>
      </c>
      <c r="BP247" s="27" t="s">
        <v>7</v>
      </c>
      <c r="BQ247" s="27" t="s">
        <v>8</v>
      </c>
      <c r="BR247" s="27" t="s">
        <v>7</v>
      </c>
      <c r="BU247" s="27" t="s">
        <v>8</v>
      </c>
      <c r="BZ247" s="31" t="s">
        <v>7</v>
      </c>
      <c r="CD247" s="27" t="s">
        <v>7</v>
      </c>
      <c r="CE247" s="27" t="s">
        <v>8</v>
      </c>
      <c r="CF247" s="27" t="s">
        <v>7</v>
      </c>
      <c r="CG247" s="27" t="s">
        <v>8</v>
      </c>
      <c r="CH247" s="27" t="s">
        <v>7</v>
      </c>
      <c r="CI247" s="31" t="s">
        <v>8</v>
      </c>
      <c r="CR247" s="27" t="s">
        <v>7</v>
      </c>
      <c r="CS247" s="27" t="s">
        <v>8</v>
      </c>
      <c r="CT247" s="27" t="s">
        <v>7</v>
      </c>
      <c r="CU247" s="27" t="s">
        <v>8</v>
      </c>
      <c r="CV247" s="27" t="s">
        <v>7</v>
      </c>
      <c r="CW247" s="27" t="s">
        <v>8</v>
      </c>
      <c r="CX247" s="27" t="s">
        <v>7</v>
      </c>
      <c r="CY247" s="31" t="s">
        <v>8</v>
      </c>
    </row>
    <row r="248" spans="1:107" x14ac:dyDescent="0.25">
      <c r="A248" s="30">
        <v>0.676839362028685</v>
      </c>
      <c r="B248"/>
      <c r="C248"/>
      <c r="D248"/>
      <c r="E248"/>
      <c r="F248" s="27" t="s">
        <v>7</v>
      </c>
      <c r="G248" s="27" t="s">
        <v>8</v>
      </c>
      <c r="H248" s="27" t="s">
        <v>7</v>
      </c>
      <c r="Y248" s="27" t="s">
        <v>8</v>
      </c>
      <c r="AZ248" s="27" t="s">
        <v>7</v>
      </c>
      <c r="BA248" s="27" t="s">
        <v>8</v>
      </c>
      <c r="BD248" s="27" t="s">
        <v>7</v>
      </c>
      <c r="BE248" s="27" t="s">
        <v>8</v>
      </c>
      <c r="BF248" s="27" t="s">
        <v>7</v>
      </c>
      <c r="BG248" s="27" t="s">
        <v>8</v>
      </c>
      <c r="BH248" s="27" t="s">
        <v>7</v>
      </c>
      <c r="BI248" s="27" t="s">
        <v>8</v>
      </c>
      <c r="BJ248" s="27" t="s">
        <v>7</v>
      </c>
      <c r="BO248" s="31" t="s">
        <v>8</v>
      </c>
      <c r="BP248" s="27" t="s">
        <v>7</v>
      </c>
      <c r="BQ248" s="27" t="s">
        <v>8</v>
      </c>
      <c r="BR248" s="27" t="s">
        <v>7</v>
      </c>
      <c r="BU248" s="27" t="s">
        <v>8</v>
      </c>
      <c r="BY248" s="31"/>
      <c r="CD248" s="27" t="s">
        <v>7</v>
      </c>
      <c r="CE248" s="27" t="s">
        <v>8</v>
      </c>
      <c r="CF248" s="27" t="s">
        <v>7</v>
      </c>
      <c r="CG248" s="27" t="s">
        <v>8</v>
      </c>
      <c r="CH248" s="31" t="s">
        <v>7</v>
      </c>
      <c r="CR248" s="27" t="s">
        <v>7</v>
      </c>
      <c r="CS248" s="27" t="s">
        <v>8</v>
      </c>
      <c r="CT248" s="27" t="s">
        <v>7</v>
      </c>
      <c r="CU248" s="27" t="s">
        <v>8</v>
      </c>
      <c r="CV248" s="27" t="s">
        <v>7</v>
      </c>
      <c r="CW248" s="27" t="s">
        <v>8</v>
      </c>
      <c r="CX248" s="27" t="s">
        <v>7</v>
      </c>
      <c r="CY248" s="27" t="s">
        <v>8</v>
      </c>
      <c r="CZ248" s="31" t="s">
        <v>7</v>
      </c>
    </row>
    <row r="249" spans="1:107" x14ac:dyDescent="0.25">
      <c r="A249" s="30">
        <v>0.64460891621779492</v>
      </c>
      <c r="B249"/>
      <c r="C249"/>
      <c r="D249"/>
      <c r="E249"/>
      <c r="F249" s="27" t="s">
        <v>7</v>
      </c>
      <c r="G249" s="27" t="s">
        <v>8</v>
      </c>
      <c r="H249" s="27" t="s">
        <v>7</v>
      </c>
      <c r="U249" s="27" t="s">
        <v>8</v>
      </c>
      <c r="Y249" s="27" t="s">
        <v>8</v>
      </c>
      <c r="AZ249" s="27" t="s">
        <v>7</v>
      </c>
      <c r="BA249" s="27" t="s">
        <v>8</v>
      </c>
      <c r="BD249" s="27" t="s">
        <v>7</v>
      </c>
      <c r="BE249" s="27" t="s">
        <v>8</v>
      </c>
      <c r="BF249" s="27" t="s">
        <v>7</v>
      </c>
      <c r="BG249" s="27" t="s">
        <v>8</v>
      </c>
      <c r="BH249" s="27" t="s">
        <v>7</v>
      </c>
      <c r="BI249" s="27" t="s">
        <v>8</v>
      </c>
      <c r="BJ249" s="27" t="s">
        <v>7</v>
      </c>
      <c r="BO249" s="33" t="s">
        <v>8</v>
      </c>
      <c r="BP249" s="27" t="s">
        <v>7</v>
      </c>
      <c r="BR249" s="27" t="s">
        <v>7</v>
      </c>
      <c r="BU249" s="33" t="s">
        <v>8</v>
      </c>
      <c r="BX249" s="31"/>
      <c r="CD249" s="34" t="s">
        <v>7</v>
      </c>
      <c r="CF249" s="34" t="s">
        <v>7</v>
      </c>
      <c r="CR249" s="27" t="s">
        <v>7</v>
      </c>
      <c r="CS249" s="27" t="s">
        <v>8</v>
      </c>
      <c r="CT249" s="27" t="s">
        <v>7</v>
      </c>
      <c r="CU249" s="31" t="s">
        <v>8</v>
      </c>
      <c r="CV249" s="27" t="s">
        <v>7</v>
      </c>
      <c r="CW249" s="27" t="s">
        <v>8</v>
      </c>
      <c r="CX249" s="27" t="s">
        <v>7</v>
      </c>
      <c r="CY249" s="27" t="s">
        <v>8</v>
      </c>
      <c r="CZ249" s="27" t="s">
        <v>7</v>
      </c>
    </row>
    <row r="250" spans="1:107" x14ac:dyDescent="0.25">
      <c r="A250" s="30">
        <v>0.61391325354075688</v>
      </c>
      <c r="B250"/>
      <c r="C250"/>
      <c r="D250"/>
      <c r="E250"/>
      <c r="F250" s="27" t="s">
        <v>7</v>
      </c>
      <c r="G250" s="27" t="s">
        <v>8</v>
      </c>
      <c r="H250" s="27" t="s">
        <v>7</v>
      </c>
      <c r="U250" s="27" t="s">
        <v>8</v>
      </c>
      <c r="V250" s="27" t="s">
        <v>7</v>
      </c>
      <c r="Y250" s="27" t="s">
        <v>8</v>
      </c>
      <c r="AZ250" s="27" t="s">
        <v>7</v>
      </c>
      <c r="BA250" s="27" t="s">
        <v>8</v>
      </c>
      <c r="BD250" s="27" t="s">
        <v>7</v>
      </c>
      <c r="BE250" s="27" t="s">
        <v>8</v>
      </c>
      <c r="BF250" s="27" t="s">
        <v>7</v>
      </c>
      <c r="BH250" s="27" t="s">
        <v>7</v>
      </c>
      <c r="BI250" s="27" t="s">
        <v>8</v>
      </c>
      <c r="BJ250" s="27" t="s">
        <v>7</v>
      </c>
      <c r="BK250" s="27" t="s">
        <v>8</v>
      </c>
      <c r="BM250" s="27" t="s">
        <v>8</v>
      </c>
      <c r="BO250" s="27" t="s">
        <v>8</v>
      </c>
      <c r="BR250" s="32" t="s">
        <v>7</v>
      </c>
      <c r="BS250" s="27" t="s">
        <v>8</v>
      </c>
      <c r="BU250" s="27" t="s">
        <v>8</v>
      </c>
      <c r="BW250" s="31"/>
      <c r="CR250" s="27" t="s">
        <v>7</v>
      </c>
      <c r="CS250" s="27" t="s">
        <v>8</v>
      </c>
      <c r="CT250" s="31" t="s">
        <v>7</v>
      </c>
      <c r="CV250" s="27" t="s">
        <v>7</v>
      </c>
      <c r="CW250" s="27" t="s">
        <v>8</v>
      </c>
      <c r="CX250" s="27" t="s">
        <v>7</v>
      </c>
      <c r="CZ250" s="27" t="s">
        <v>7</v>
      </c>
      <c r="DA250" s="27" t="s">
        <v>8</v>
      </c>
    </row>
    <row r="251" spans="1:107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H251" s="27" t="s">
        <v>7</v>
      </c>
      <c r="U251" s="27" t="s">
        <v>8</v>
      </c>
      <c r="V251" s="27" t="s">
        <v>7</v>
      </c>
      <c r="W251" s="27" t="s">
        <v>8</v>
      </c>
      <c r="Y251" s="27" t="s">
        <v>8</v>
      </c>
      <c r="AZ251" s="27" t="s">
        <v>7</v>
      </c>
      <c r="BA251" s="27" t="s">
        <v>8</v>
      </c>
      <c r="BD251" s="27" t="s">
        <v>7</v>
      </c>
      <c r="BE251" s="27" t="s">
        <v>8</v>
      </c>
      <c r="BH251" s="32" t="s">
        <v>7</v>
      </c>
      <c r="BJ251" s="27" t="s">
        <v>7</v>
      </c>
      <c r="BK251" s="27" t="s">
        <v>8</v>
      </c>
      <c r="BL251" s="27" t="s">
        <v>7</v>
      </c>
      <c r="BM251" s="27" t="s">
        <v>8</v>
      </c>
      <c r="BN251" s="27" t="s">
        <v>7</v>
      </c>
      <c r="BO251" s="27" t="s">
        <v>8</v>
      </c>
      <c r="BR251" s="27" t="s">
        <v>7</v>
      </c>
      <c r="BS251" s="27" t="s">
        <v>8</v>
      </c>
      <c r="BT251" s="27" t="s">
        <v>7</v>
      </c>
      <c r="BU251" s="27" t="s">
        <v>8</v>
      </c>
      <c r="BV251" s="31"/>
      <c r="CR251" s="27" t="s">
        <v>7</v>
      </c>
      <c r="CS251" s="31" t="s">
        <v>8</v>
      </c>
      <c r="CV251" s="27" t="s">
        <v>7</v>
      </c>
      <c r="CZ251" s="27" t="s">
        <v>7</v>
      </c>
      <c r="DA251" s="27" t="s">
        <v>8</v>
      </c>
      <c r="DB251" s="27" t="s">
        <v>7</v>
      </c>
    </row>
    <row r="252" spans="1:107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H252" s="27" t="s">
        <v>7</v>
      </c>
      <c r="U252" s="27" t="s">
        <v>8</v>
      </c>
      <c r="V252" s="27" t="s">
        <v>7</v>
      </c>
      <c r="W252" s="27" t="s">
        <v>8</v>
      </c>
      <c r="X252" s="27" t="s">
        <v>7</v>
      </c>
      <c r="Y252" s="27" t="s">
        <v>8</v>
      </c>
      <c r="AZ252" s="27" t="s">
        <v>7</v>
      </c>
      <c r="BA252" s="27" t="s">
        <v>8</v>
      </c>
      <c r="BD252" s="27" t="s">
        <v>7</v>
      </c>
      <c r="BE252" s="27" t="s">
        <v>8</v>
      </c>
      <c r="BJ252" s="27" t="s">
        <v>7</v>
      </c>
      <c r="BK252" s="27" t="s">
        <v>8</v>
      </c>
      <c r="BL252" s="27" t="s">
        <v>7</v>
      </c>
      <c r="BM252" s="27" t="s">
        <v>8</v>
      </c>
      <c r="BN252" s="27" t="s">
        <v>7</v>
      </c>
      <c r="BO252" s="27" t="s">
        <v>8</v>
      </c>
      <c r="BR252" s="27" t="s">
        <v>7</v>
      </c>
      <c r="BS252" s="27" t="s">
        <v>8</v>
      </c>
      <c r="BT252" s="27" t="s">
        <v>7</v>
      </c>
      <c r="BU252" s="31" t="s">
        <v>8</v>
      </c>
      <c r="CR252" s="31" t="s">
        <v>7</v>
      </c>
      <c r="CZ252" s="27" t="s">
        <v>7</v>
      </c>
      <c r="DA252" s="27" t="s">
        <v>8</v>
      </c>
      <c r="DB252" s="27" t="s">
        <v>7</v>
      </c>
    </row>
    <row r="253" spans="1:107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U253" s="27" t="s">
        <v>8</v>
      </c>
      <c r="V253" s="27" t="s">
        <v>7</v>
      </c>
      <c r="W253" s="27" t="s">
        <v>8</v>
      </c>
      <c r="X253" s="27" t="s">
        <v>7</v>
      </c>
      <c r="Y253" s="27" t="s">
        <v>8</v>
      </c>
      <c r="AZ253" s="27" t="s">
        <v>7</v>
      </c>
      <c r="BD253" s="27" t="s">
        <v>7</v>
      </c>
      <c r="BE253" s="27" t="s">
        <v>8</v>
      </c>
      <c r="BJ253" s="27" t="s">
        <v>7</v>
      </c>
      <c r="BK253" s="27" t="s">
        <v>8</v>
      </c>
      <c r="BL253" s="27" t="s">
        <v>7</v>
      </c>
      <c r="BM253" s="27" t="s">
        <v>8</v>
      </c>
      <c r="BN253" s="27" t="s">
        <v>7</v>
      </c>
      <c r="BR253" s="27" t="s">
        <v>7</v>
      </c>
      <c r="BS253" s="27" t="s">
        <v>8</v>
      </c>
      <c r="BT253" s="31" t="s">
        <v>7</v>
      </c>
      <c r="CZ253" s="27" t="s">
        <v>7</v>
      </c>
      <c r="DB253" s="27" t="s">
        <v>7</v>
      </c>
    </row>
    <row r="254" spans="1:107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H254" s="27" t="s">
        <v>7</v>
      </c>
      <c r="U254" s="27" t="s">
        <v>8</v>
      </c>
      <c r="V254" s="27" t="s">
        <v>7</v>
      </c>
      <c r="W254" s="27" t="s">
        <v>8</v>
      </c>
      <c r="X254" s="27" t="s">
        <v>7</v>
      </c>
      <c r="Y254" s="27" t="s">
        <v>8</v>
      </c>
      <c r="BD254" s="27" t="s">
        <v>7</v>
      </c>
      <c r="BJ254" s="27" t="s">
        <v>7</v>
      </c>
      <c r="BK254" s="27" t="s">
        <v>8</v>
      </c>
      <c r="BL254" s="27" t="s">
        <v>7</v>
      </c>
      <c r="BR254" s="18" t="s">
        <v>7</v>
      </c>
      <c r="BS254" s="31" t="s">
        <v>8</v>
      </c>
      <c r="DB254" s="27" t="s">
        <v>7</v>
      </c>
    </row>
    <row r="255" spans="1:107" x14ac:dyDescent="0.25">
      <c r="A255" s="30">
        <v>0.48101709809096732</v>
      </c>
      <c r="E255"/>
      <c r="F255" s="27" t="s">
        <v>7</v>
      </c>
      <c r="G255" s="27" t="s">
        <v>8</v>
      </c>
      <c r="H255" s="27" t="s">
        <v>7</v>
      </c>
      <c r="K255" s="27" t="s">
        <v>8</v>
      </c>
      <c r="U255" s="27" t="s">
        <v>8</v>
      </c>
      <c r="V255" s="27" t="s">
        <v>7</v>
      </c>
      <c r="W255" s="27" t="s">
        <v>8</v>
      </c>
      <c r="X255" s="27" t="s">
        <v>7</v>
      </c>
      <c r="Y255" s="27" t="s">
        <v>8</v>
      </c>
      <c r="BJ255" s="27" t="s">
        <v>7</v>
      </c>
      <c r="BK255" s="27" t="s">
        <v>8</v>
      </c>
      <c r="BR255" s="31" t="s">
        <v>7</v>
      </c>
      <c r="DB255" s="27" t="s">
        <v>7</v>
      </c>
    </row>
    <row r="256" spans="1:107" x14ac:dyDescent="0.25">
      <c r="A256" s="30">
        <v>0.45811152199139726</v>
      </c>
      <c r="E256"/>
      <c r="F256" s="27" t="s">
        <v>7</v>
      </c>
      <c r="G256" s="27" t="s">
        <v>8</v>
      </c>
      <c r="H256" s="27" t="s">
        <v>7</v>
      </c>
      <c r="K256" s="27" t="s">
        <v>8</v>
      </c>
      <c r="L256" s="27" t="s">
        <v>7</v>
      </c>
      <c r="U256" s="27" t="s">
        <v>8</v>
      </c>
      <c r="V256" s="27" t="s">
        <v>7</v>
      </c>
      <c r="W256" s="27" t="s">
        <v>8</v>
      </c>
      <c r="X256" s="27" t="s">
        <v>7</v>
      </c>
      <c r="BJ256" s="27" t="s">
        <v>7</v>
      </c>
      <c r="BK256" s="27" t="s">
        <v>8</v>
      </c>
      <c r="DB256" s="27" t="s">
        <v>7</v>
      </c>
      <c r="DC256" s="27" t="s">
        <v>8</v>
      </c>
    </row>
    <row r="257" spans="1:108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H257" s="27" t="s">
        <v>7</v>
      </c>
      <c r="I257" s="27" t="s">
        <v>8</v>
      </c>
      <c r="K257" s="27" t="s">
        <v>8</v>
      </c>
      <c r="L257" s="27" t="s">
        <v>7</v>
      </c>
      <c r="U257" s="27" t="s">
        <v>8</v>
      </c>
      <c r="V257" s="27" t="s">
        <v>7</v>
      </c>
      <c r="W257" s="27" t="s">
        <v>8</v>
      </c>
      <c r="BJ257" s="27" t="s">
        <v>7</v>
      </c>
      <c r="DB257" s="27" t="s">
        <v>7</v>
      </c>
      <c r="DC257" s="27" t="s">
        <v>8</v>
      </c>
      <c r="DD257" s="27" t="s">
        <v>7</v>
      </c>
    </row>
    <row r="258" spans="1:108" x14ac:dyDescent="0.25">
      <c r="A258" s="30">
        <v>0.41552065486748019</v>
      </c>
      <c r="B258"/>
      <c r="C258"/>
      <c r="D258"/>
      <c r="E258"/>
      <c r="F258" s="27" t="s">
        <v>7</v>
      </c>
      <c r="G258" s="27" t="s">
        <v>8</v>
      </c>
      <c r="H258" s="27" t="s">
        <v>7</v>
      </c>
      <c r="I258" s="27" t="s">
        <v>8</v>
      </c>
      <c r="J258" s="27" t="s">
        <v>7</v>
      </c>
      <c r="K258" s="27" t="s">
        <v>8</v>
      </c>
      <c r="L258" s="27" t="s">
        <v>7</v>
      </c>
      <c r="Q258" s="27" t="s">
        <v>8</v>
      </c>
      <c r="U258" s="27" t="s">
        <v>8</v>
      </c>
      <c r="V258" s="27" t="s">
        <v>7</v>
      </c>
      <c r="DB258" s="27" t="s">
        <v>7</v>
      </c>
      <c r="DC258" s="27" t="s">
        <v>8</v>
      </c>
      <c r="DD258" s="27" t="s">
        <v>7</v>
      </c>
    </row>
    <row r="259" spans="1:108" x14ac:dyDescent="0.25">
      <c r="A259" s="30">
        <v>0.39573395701664765</v>
      </c>
      <c r="B259"/>
      <c r="C259"/>
      <c r="D259"/>
      <c r="E259"/>
      <c r="F259" s="27" t="s">
        <v>7</v>
      </c>
      <c r="G259" s="27" t="s">
        <v>8</v>
      </c>
      <c r="H259" s="27" t="s">
        <v>7</v>
      </c>
      <c r="I259" s="27" t="s">
        <v>8</v>
      </c>
      <c r="J259" s="27" t="s">
        <v>7</v>
      </c>
      <c r="K259" s="27" t="s">
        <v>8</v>
      </c>
      <c r="L259" s="27" t="s">
        <v>7</v>
      </c>
      <c r="M259" s="27" t="s">
        <v>8</v>
      </c>
      <c r="Q259" s="27" t="s">
        <v>8</v>
      </c>
      <c r="R259" s="27" t="s">
        <v>7</v>
      </c>
      <c r="U259" s="27" t="s">
        <v>8</v>
      </c>
      <c r="DB259" s="27" t="s">
        <v>7</v>
      </c>
      <c r="DC259" s="27" t="s">
        <v>8</v>
      </c>
      <c r="DD259" s="27" t="s">
        <v>7</v>
      </c>
    </row>
    <row r="260" spans="1:108" x14ac:dyDescent="0.25">
      <c r="A260" s="30">
        <v>0.37688948287299762</v>
      </c>
      <c r="B260"/>
      <c r="C260"/>
      <c r="D260"/>
      <c r="E260"/>
      <c r="F260" s="27" t="s">
        <v>7</v>
      </c>
      <c r="G260" s="27" t="s">
        <v>8</v>
      </c>
      <c r="H260" s="27" t="s">
        <v>7</v>
      </c>
      <c r="I260" s="27" t="s">
        <v>8</v>
      </c>
      <c r="J260" s="27" t="s">
        <v>7</v>
      </c>
      <c r="K260" s="27" t="s">
        <v>8</v>
      </c>
      <c r="L260" s="27" t="s">
        <v>7</v>
      </c>
      <c r="M260" s="27" t="s">
        <v>8</v>
      </c>
      <c r="N260" s="27" t="s">
        <v>7</v>
      </c>
      <c r="Q260" s="27" t="s">
        <v>8</v>
      </c>
      <c r="R260" s="27" t="s">
        <v>7</v>
      </c>
      <c r="U260" s="27" t="s">
        <v>8</v>
      </c>
      <c r="DB260" s="27" t="s">
        <v>7</v>
      </c>
      <c r="DC260" s="27" t="s">
        <v>8</v>
      </c>
    </row>
    <row r="261" spans="1:108" x14ac:dyDescent="0.25">
      <c r="A261" s="30">
        <v>0.35894236464094997</v>
      </c>
      <c r="B261"/>
      <c r="C261"/>
      <c r="D261"/>
      <c r="E261"/>
      <c r="F261" s="27" t="s">
        <v>7</v>
      </c>
      <c r="G261" s="27" t="s">
        <v>8</v>
      </c>
      <c r="H261" s="27" t="s">
        <v>7</v>
      </c>
      <c r="J261" s="27" t="s">
        <v>7</v>
      </c>
      <c r="K261" s="27" t="s">
        <v>8</v>
      </c>
      <c r="L261" s="27" t="s">
        <v>7</v>
      </c>
      <c r="M261" s="27" t="s">
        <v>8</v>
      </c>
      <c r="N261" s="27" t="s">
        <v>7</v>
      </c>
      <c r="Q261" s="27" t="s">
        <v>8</v>
      </c>
      <c r="R261" s="27" t="s">
        <v>7</v>
      </c>
      <c r="S261" s="27" t="s">
        <v>8</v>
      </c>
      <c r="U261" s="27" t="s">
        <v>8</v>
      </c>
      <c r="DB261" s="27" t="s">
        <v>7</v>
      </c>
    </row>
    <row r="262" spans="1:108" x14ac:dyDescent="0.25">
      <c r="A262" s="30">
        <v>0.34184987108661891</v>
      </c>
      <c r="B262"/>
      <c r="C262"/>
      <c r="D262"/>
      <c r="E262"/>
      <c r="F262" s="27" t="s">
        <v>7</v>
      </c>
      <c r="G262" s="27" t="s">
        <v>8</v>
      </c>
      <c r="J262" s="27" t="s">
        <v>7</v>
      </c>
      <c r="K262" s="27" t="s">
        <v>8</v>
      </c>
      <c r="L262" s="27" t="s">
        <v>7</v>
      </c>
      <c r="N262" s="27" t="s">
        <v>7</v>
      </c>
      <c r="O262" s="27" t="s">
        <v>8</v>
      </c>
      <c r="Q262" s="27" t="s">
        <v>8</v>
      </c>
      <c r="R262" s="27" t="s">
        <v>7</v>
      </c>
      <c r="S262" s="27" t="s">
        <v>8</v>
      </c>
      <c r="T262" s="27" t="s">
        <v>7</v>
      </c>
      <c r="U262" s="27" t="s">
        <v>8</v>
      </c>
    </row>
    <row r="263" spans="1:108" x14ac:dyDescent="0.25">
      <c r="A263" s="30">
        <v>0.32557130579677979</v>
      </c>
      <c r="B263"/>
      <c r="C263"/>
      <c r="D263"/>
      <c r="E263"/>
      <c r="F263" s="27" t="s">
        <v>7</v>
      </c>
      <c r="G263" s="27" t="s">
        <v>8</v>
      </c>
      <c r="J263" s="27" t="s">
        <v>7</v>
      </c>
      <c r="N263" s="27" t="s">
        <v>7</v>
      </c>
      <c r="O263" s="27" t="s">
        <v>8</v>
      </c>
      <c r="P263" s="27" t="s">
        <v>7</v>
      </c>
      <c r="Q263" s="27" t="s">
        <v>8</v>
      </c>
      <c r="R263" s="27" t="s">
        <v>7</v>
      </c>
      <c r="S263" s="27" t="s">
        <v>8</v>
      </c>
      <c r="T263" s="27" t="s">
        <v>7</v>
      </c>
      <c r="U263" s="27" t="s">
        <v>8</v>
      </c>
    </row>
    <row r="264" spans="1:108" x14ac:dyDescent="0.25">
      <c r="A264" s="30">
        <v>0.3100679102826473</v>
      </c>
      <c r="B264"/>
      <c r="C264"/>
      <c r="D264"/>
      <c r="E264"/>
      <c r="F264" s="27" t="s">
        <v>7</v>
      </c>
      <c r="G264" s="27" t="s">
        <v>8</v>
      </c>
      <c r="N264" s="27" t="s">
        <v>7</v>
      </c>
      <c r="O264" s="27" t="s">
        <v>8</v>
      </c>
      <c r="P264" s="27" t="s">
        <v>7</v>
      </c>
      <c r="Q264" s="27" t="s">
        <v>8</v>
      </c>
      <c r="R264" s="27" t="s">
        <v>7</v>
      </c>
      <c r="T264" s="27" t="s">
        <v>7</v>
      </c>
      <c r="U264" s="27" t="s">
        <v>8</v>
      </c>
    </row>
    <row r="265" spans="1:108" x14ac:dyDescent="0.25">
      <c r="A265" s="30">
        <v>0.2953027716977592</v>
      </c>
      <c r="B265"/>
      <c r="C265"/>
      <c r="D265"/>
      <c r="E265"/>
      <c r="F265" s="27" t="s">
        <v>7</v>
      </c>
      <c r="G265" s="27" t="s">
        <v>8</v>
      </c>
      <c r="N265" s="27" t="s">
        <v>7</v>
      </c>
      <c r="O265" s="27" t="s">
        <v>8</v>
      </c>
      <c r="P265" s="27" t="s">
        <v>7</v>
      </c>
      <c r="T265" s="27" t="s">
        <v>7</v>
      </c>
      <c r="U265" s="27" t="s">
        <v>8</v>
      </c>
    </row>
    <row r="266" spans="1:108" x14ac:dyDescent="0.25">
      <c r="A266" s="30">
        <v>0.28124073495024676</v>
      </c>
      <c r="B266"/>
      <c r="C266"/>
      <c r="D266"/>
      <c r="E266"/>
      <c r="F266" s="27" t="s">
        <v>7</v>
      </c>
      <c r="G266" s="27" t="s">
        <v>8</v>
      </c>
      <c r="N266" s="27" t="s">
        <v>7</v>
      </c>
      <c r="T266" s="27" t="s">
        <v>7</v>
      </c>
      <c r="U266" s="27" t="s">
        <v>8</v>
      </c>
    </row>
    <row r="267" spans="1:108" x14ac:dyDescent="0.25">
      <c r="A267" s="30">
        <v>0.26784831900023492</v>
      </c>
      <c r="B267"/>
      <c r="C267"/>
      <c r="D267"/>
      <c r="E267"/>
      <c r="F267" s="27" t="s">
        <v>7</v>
      </c>
      <c r="G267" s="27" t="s">
        <v>8</v>
      </c>
      <c r="T267" s="27" t="s">
        <v>7</v>
      </c>
      <c r="U267" s="27" t="s">
        <v>8</v>
      </c>
    </row>
    <row r="268" spans="1:108" x14ac:dyDescent="0.25">
      <c r="A268" s="30">
        <v>0.25509363714308075</v>
      </c>
      <c r="B268"/>
      <c r="C268"/>
      <c r="D268"/>
      <c r="E268"/>
      <c r="F268" s="27" t="s">
        <v>7</v>
      </c>
      <c r="G268" s="27" t="s">
        <v>8</v>
      </c>
      <c r="T268" s="27" t="s">
        <v>7</v>
      </c>
      <c r="U268" s="27" t="s">
        <v>8</v>
      </c>
    </row>
    <row r="269" spans="1:108" x14ac:dyDescent="0.25">
      <c r="A269" s="30">
        <v>0.24294632108864825</v>
      </c>
      <c r="B269"/>
      <c r="C269"/>
      <c r="D269"/>
      <c r="E269"/>
      <c r="F269" s="27" t="s">
        <v>7</v>
      </c>
      <c r="G269" s="27" t="s">
        <v>8</v>
      </c>
      <c r="T269" s="27" t="s">
        <v>7</v>
      </c>
    </row>
    <row r="270" spans="1:108" x14ac:dyDescent="0.25">
      <c r="A270" s="30">
        <v>0.23137744865585538</v>
      </c>
      <c r="B270"/>
      <c r="C270"/>
      <c r="D270"/>
      <c r="E270"/>
      <c r="F270" s="27" t="s">
        <v>7</v>
      </c>
      <c r="G270" s="27" t="s">
        <v>8</v>
      </c>
    </row>
    <row r="271" spans="1:108" x14ac:dyDescent="0.25">
      <c r="A271" s="30">
        <v>0.22035947491033836</v>
      </c>
      <c r="B271"/>
      <c r="C271"/>
      <c r="D271"/>
      <c r="E271"/>
      <c r="F271" s="27" t="s">
        <v>7</v>
      </c>
      <c r="G271" s="27" t="s">
        <v>8</v>
      </c>
    </row>
    <row r="272" spans="1:108" x14ac:dyDescent="0.25">
      <c r="A272" s="30">
        <v>0.20986616658127455</v>
      </c>
      <c r="B272"/>
      <c r="C272"/>
      <c r="D272"/>
      <c r="E272"/>
      <c r="F272" s="27" t="s">
        <v>7</v>
      </c>
      <c r="G272" s="27" t="s">
        <v>8</v>
      </c>
    </row>
    <row r="273" spans="1:7" x14ac:dyDescent="0.25">
      <c r="A273" s="30">
        <v>0.19987253960121379</v>
      </c>
      <c r="B273"/>
      <c r="C273"/>
      <c r="D273"/>
      <c r="E273"/>
      <c r="F273" s="27" t="s">
        <v>7</v>
      </c>
      <c r="G273" s="27" t="s">
        <v>8</v>
      </c>
    </row>
    <row r="274" spans="1:7" x14ac:dyDescent="0.25">
      <c r="A274" s="30">
        <v>0.19035479962020352</v>
      </c>
      <c r="B274"/>
      <c r="C274"/>
      <c r="D274"/>
      <c r="E274"/>
      <c r="F274" s="27" t="s">
        <v>7</v>
      </c>
      <c r="G274" s="27" t="s">
        <v>8</v>
      </c>
    </row>
    <row r="275" spans="1:7" x14ac:dyDescent="0.25">
      <c r="A275" s="30">
        <v>0.18129028535257471</v>
      </c>
      <c r="B275"/>
      <c r="C275"/>
      <c r="D275"/>
      <c r="E275"/>
      <c r="F275" s="27" t="s">
        <v>7</v>
      </c>
      <c r="G275" s="27" t="s">
        <v>8</v>
      </c>
    </row>
    <row r="276" spans="1:7" x14ac:dyDescent="0.25">
      <c r="A276" s="30">
        <v>0.17265741462149967</v>
      </c>
      <c r="B276"/>
      <c r="C276"/>
      <c r="D276"/>
      <c r="E276"/>
      <c r="F276" s="27" t="s">
        <v>7</v>
      </c>
      <c r="G276" s="27" t="s">
        <v>8</v>
      </c>
    </row>
    <row r="277" spans="1:7" x14ac:dyDescent="0.25">
      <c r="A277" s="30">
        <v>0.16443563297285677</v>
      </c>
      <c r="B277"/>
      <c r="C277"/>
      <c r="D277"/>
      <c r="E277"/>
      <c r="F277" s="27" t="s">
        <v>7</v>
      </c>
      <c r="G277" s="27" t="s">
        <v>8</v>
      </c>
    </row>
    <row r="278" spans="1:7" x14ac:dyDescent="0.25">
      <c r="A278" s="30">
        <v>0.15660536473605399</v>
      </c>
      <c r="B278"/>
      <c r="C278"/>
      <c r="D278"/>
      <c r="E278"/>
      <c r="F278" s="27" t="s">
        <v>7</v>
      </c>
      <c r="G278" s="27" t="s">
        <v>8</v>
      </c>
    </row>
    <row r="279" spans="1:7" x14ac:dyDescent="0.25">
      <c r="A279" s="30">
        <v>0.14914796641528946</v>
      </c>
      <c r="B279"/>
      <c r="C279"/>
      <c r="D279"/>
      <c r="E279"/>
      <c r="F279" s="27" t="s">
        <v>7</v>
      </c>
      <c r="G279" s="27" t="s">
        <v>8</v>
      </c>
    </row>
    <row r="280" spans="1:7" x14ac:dyDescent="0.25">
      <c r="A280" s="30">
        <v>0.14204568230027562</v>
      </c>
      <c r="B280"/>
      <c r="C280"/>
      <c r="D280"/>
      <c r="E280"/>
      <c r="F280" s="27" t="s">
        <v>7</v>
      </c>
      <c r="G280" s="27" t="s">
        <v>8</v>
      </c>
    </row>
    <row r="281" spans="1:7" x14ac:dyDescent="0.25">
      <c r="A281" s="30">
        <v>0.13528160219073862</v>
      </c>
      <c r="B281"/>
      <c r="C281"/>
      <c r="D281"/>
      <c r="E281"/>
      <c r="F281" s="27" t="s">
        <v>7</v>
      </c>
      <c r="G281" s="27" t="s">
        <v>8</v>
      </c>
    </row>
    <row r="282" spans="1:7" x14ac:dyDescent="0.25">
      <c r="A282" s="30">
        <v>0.12883962113403674</v>
      </c>
      <c r="B282"/>
      <c r="C282"/>
      <c r="D282"/>
      <c r="E282"/>
      <c r="F282" s="27" t="s">
        <v>7</v>
      </c>
      <c r="G282" s="27" t="s">
        <v>8</v>
      </c>
    </row>
    <row r="283" spans="1:7" x14ac:dyDescent="0.25">
      <c r="A283" s="30">
        <v>0.12270440108003494</v>
      </c>
      <c r="B283"/>
      <c r="C283"/>
      <c r="D283"/>
      <c r="E283"/>
      <c r="F283" s="27" t="s">
        <v>7</v>
      </c>
    </row>
    <row r="284" spans="1:7" x14ac:dyDescent="0.25">
      <c r="A284" s="30">
        <v>0.11686133436193799</v>
      </c>
      <c r="B284"/>
      <c r="C284"/>
      <c r="D284"/>
      <c r="E284"/>
    </row>
    <row r="285" spans="1:7" x14ac:dyDescent="0.25">
      <c r="A285" s="30">
        <v>0.11129650891613138</v>
      </c>
      <c r="B285"/>
      <c r="C285"/>
      <c r="D285"/>
      <c r="E285"/>
    </row>
    <row r="286" spans="1:7" x14ac:dyDescent="0.25">
      <c r="A286" s="30">
        <v>0.10599667515822032</v>
      </c>
      <c r="B286"/>
      <c r="C286"/>
      <c r="D286"/>
      <c r="E286"/>
    </row>
    <row r="287" spans="1:7" x14ac:dyDescent="0.25">
      <c r="A287" s="30">
        <v>0.10094921443640027</v>
      </c>
      <c r="B287"/>
      <c r="C287"/>
      <c r="D287"/>
      <c r="E287"/>
    </row>
    <row r="288" spans="1:7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827" operator="equal">
      <formula>$U$1</formula>
    </cfRule>
    <cfRule type="cellIs" dxfId="67" priority="828" operator="equal">
      <formula>$S$1</formula>
    </cfRule>
  </conditionalFormatting>
  <conditionalFormatting sqref="D136">
    <cfRule type="cellIs" dxfId="66" priority="825" operator="equal">
      <formula>$S$1</formula>
    </cfRule>
    <cfRule type="cellIs" dxfId="65" priority="826" operator="equal">
      <formula>$U$1</formula>
    </cfRule>
  </conditionalFormatting>
  <conditionalFormatting sqref="C162">
    <cfRule type="cellIs" dxfId="64" priority="823" operator="equal">
      <formula>$U$1</formula>
    </cfRule>
    <cfRule type="cellIs" dxfId="63" priority="824" operator="equal">
      <formula>$S$1</formula>
    </cfRule>
  </conditionalFormatting>
  <conditionalFormatting sqref="D162">
    <cfRule type="cellIs" dxfId="62" priority="821" operator="equal">
      <formula>$S$1</formula>
    </cfRule>
    <cfRule type="cellIs" dxfId="61" priority="822" operator="equal">
      <formula>$U$1</formula>
    </cfRule>
  </conditionalFormatting>
  <conditionalFormatting sqref="C187">
    <cfRule type="cellIs" dxfId="60" priority="819" operator="equal">
      <formula>$U$1</formula>
    </cfRule>
    <cfRule type="cellIs" dxfId="59" priority="820" operator="equal">
      <formula>$S$1</formula>
    </cfRule>
  </conditionalFormatting>
  <conditionalFormatting sqref="D187">
    <cfRule type="cellIs" dxfId="58" priority="817" operator="equal">
      <formula>$S$1</formula>
    </cfRule>
    <cfRule type="cellIs" dxfId="57" priority="818" operator="equal">
      <formula>$U$1</formula>
    </cfRule>
  </conditionalFormatting>
  <conditionalFormatting sqref="C212">
    <cfRule type="cellIs" dxfId="56" priority="815" operator="equal">
      <formula>$U$1</formula>
    </cfRule>
    <cfRule type="cellIs" dxfId="55" priority="816" operator="equal">
      <formula>$S$1</formula>
    </cfRule>
  </conditionalFormatting>
  <conditionalFormatting sqref="D212">
    <cfRule type="cellIs" dxfId="54" priority="813" operator="equal">
      <formula>$S$1</formula>
    </cfRule>
    <cfRule type="cellIs" dxfId="53" priority="814" operator="equal">
      <formula>$U$1</formula>
    </cfRule>
  </conditionalFormatting>
  <conditionalFormatting sqref="C237">
    <cfRule type="cellIs" dxfId="52" priority="811" operator="equal">
      <formula>$U$1</formula>
    </cfRule>
    <cfRule type="cellIs" dxfId="51" priority="812" operator="equal">
      <formula>$S$1</formula>
    </cfRule>
  </conditionalFormatting>
  <conditionalFormatting sqref="D237">
    <cfRule type="cellIs" dxfId="50" priority="809" operator="equal">
      <formula>$S$1</formula>
    </cfRule>
    <cfRule type="cellIs" dxfId="49" priority="810" operator="equal">
      <formula>$U$1</formula>
    </cfRule>
  </conditionalFormatting>
  <conditionalFormatting sqref="C106">
    <cfRule type="cellIs" dxfId="48" priority="807" operator="equal">
      <formula>$U$1</formula>
    </cfRule>
    <cfRule type="cellIs" dxfId="47" priority="808" operator="equal">
      <formula>$S$1</formula>
    </cfRule>
  </conditionalFormatting>
  <conditionalFormatting sqref="D106">
    <cfRule type="cellIs" dxfId="46" priority="805" operator="equal">
      <formula>$S$1</formula>
    </cfRule>
    <cfRule type="cellIs" dxfId="45" priority="806" operator="equal">
      <formula>$U$1</formula>
    </cfRule>
  </conditionalFormatting>
  <conditionalFormatting sqref="C81">
    <cfRule type="cellIs" dxfId="44" priority="803" operator="equal">
      <formula>$U$1</formula>
    </cfRule>
    <cfRule type="cellIs" dxfId="43" priority="804" operator="equal">
      <formula>$S$1</formula>
    </cfRule>
  </conditionalFormatting>
  <conditionalFormatting sqref="D81">
    <cfRule type="cellIs" dxfId="42" priority="801" operator="equal">
      <formula>$S$1</formula>
    </cfRule>
    <cfRule type="cellIs" dxfId="41" priority="802" operator="equal">
      <formula>$U$1</formula>
    </cfRule>
  </conditionalFormatting>
  <conditionalFormatting sqref="C56">
    <cfRule type="cellIs" dxfId="40" priority="799" operator="equal">
      <formula>$U$1</formula>
    </cfRule>
    <cfRule type="cellIs" dxfId="39" priority="800" operator="equal">
      <formula>$S$1</formula>
    </cfRule>
  </conditionalFormatting>
  <conditionalFormatting sqref="D56">
    <cfRule type="cellIs" dxfId="38" priority="797" operator="equal">
      <formula>$S$1</formula>
    </cfRule>
    <cfRule type="cellIs" dxfId="37" priority="798" operator="equal">
      <formula>$U$1</formula>
    </cfRule>
  </conditionalFormatting>
  <conditionalFormatting sqref="C31">
    <cfRule type="cellIs" dxfId="36" priority="795" operator="equal">
      <formula>$U$1</formula>
    </cfRule>
    <cfRule type="cellIs" dxfId="35" priority="796" operator="equal">
      <formula>$S$1</formula>
    </cfRule>
  </conditionalFormatting>
  <conditionalFormatting sqref="D31">
    <cfRule type="cellIs" dxfId="34" priority="793" operator="equal">
      <formula>$S$1</formula>
    </cfRule>
    <cfRule type="cellIs" dxfId="33" priority="794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03" zoomScale="90" zoomScaleNormal="90" workbookViewId="0">
      <pane xSplit="4" topLeftCell="G1" activePane="topRight" state="frozen"/>
      <selection activeCell="A109" sqref="A109"/>
      <selection pane="topRight" activeCell="AQ129" sqref="AQ12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20" x14ac:dyDescent="0.25">
      <c r="A97" s="30">
        <v>9.849732675807628</v>
      </c>
      <c r="E97"/>
    </row>
    <row r="98" spans="1:20" x14ac:dyDescent="0.25">
      <c r="A98" s="30">
        <v>8.9543024325523888</v>
      </c>
      <c r="C98" s="1" t="s">
        <v>13</v>
      </c>
      <c r="E98"/>
    </row>
    <row r="99" spans="1:20" x14ac:dyDescent="0.25">
      <c r="A99" s="30">
        <v>8.140274938683989</v>
      </c>
      <c r="C99" s="1">
        <f>C88</f>
        <v>0</v>
      </c>
      <c r="E99"/>
    </row>
    <row r="100" spans="1:20" x14ac:dyDescent="0.25">
      <c r="A100" s="30">
        <v>7.4002499442581717</v>
      </c>
      <c r="C100"/>
      <c r="D100"/>
      <c r="E100"/>
    </row>
    <row r="101" spans="1:20" x14ac:dyDescent="0.25">
      <c r="A101" s="30">
        <v>6.72749994932561</v>
      </c>
      <c r="C101" s="1" t="s">
        <v>14</v>
      </c>
      <c r="E101"/>
    </row>
    <row r="102" spans="1:20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20" x14ac:dyDescent="0.25">
      <c r="A103" s="30">
        <v>5.5599173134922388</v>
      </c>
      <c r="E103"/>
    </row>
    <row r="104" spans="1:20" x14ac:dyDescent="0.25">
      <c r="A104" s="30">
        <v>5.0544702849929442</v>
      </c>
      <c r="E104"/>
    </row>
    <row r="105" spans="1:20" x14ac:dyDescent="0.25">
      <c r="A105" s="30">
        <v>4.594972986357222</v>
      </c>
      <c r="E105"/>
    </row>
    <row r="106" spans="1:20" x14ac:dyDescent="0.25">
      <c r="A106" s="30">
        <v>4.1772481694156562</v>
      </c>
      <c r="E106"/>
    </row>
    <row r="107" spans="1:20" x14ac:dyDescent="0.25">
      <c r="A107" s="30">
        <v>3.7974983358324148</v>
      </c>
      <c r="E107"/>
    </row>
    <row r="108" spans="1:20" x14ac:dyDescent="0.25">
      <c r="A108" s="30">
        <v>3.4522712143931042</v>
      </c>
      <c r="E108"/>
    </row>
    <row r="109" spans="1:20" x14ac:dyDescent="0.25">
      <c r="A109" s="30">
        <v>3.1384283767210035</v>
      </c>
      <c r="E109"/>
    </row>
    <row r="110" spans="1:20" x14ac:dyDescent="0.25">
      <c r="A110" s="30">
        <v>2.8531167061100029</v>
      </c>
      <c r="E110"/>
      <c r="Q110" s="27" t="s">
        <v>8</v>
      </c>
    </row>
    <row r="111" spans="1:20" x14ac:dyDescent="0.25">
      <c r="A111" s="30">
        <v>2.5937424601000023</v>
      </c>
      <c r="C111" s="1" t="str">
        <f>ADDRESS(C121-1,1,1,1)</f>
        <v>$A$128</v>
      </c>
      <c r="D111" s="1" t="str">
        <f>ADDRESS(C121-1,D121,1,1)</f>
        <v>$AQ$128</v>
      </c>
      <c r="E111"/>
      <c r="Q111" s="27" t="s">
        <v>8</v>
      </c>
      <c r="R111" s="27" t="s">
        <v>7</v>
      </c>
      <c r="S111" s="27" t="s">
        <v>8</v>
      </c>
    </row>
    <row r="112" spans="1:20" x14ac:dyDescent="0.25">
      <c r="A112" s="30">
        <v>2.3579476910000019</v>
      </c>
      <c r="C112" s="1" t="str">
        <f>ADDRESS(C121,1,1,1)</f>
        <v>$A$129</v>
      </c>
      <c r="D112" s="1" t="str">
        <f>ADDRESS(C121,D121-1,1,1)</f>
        <v>$AP$129</v>
      </c>
      <c r="E112"/>
      <c r="Q112" s="27" t="s">
        <v>8</v>
      </c>
      <c r="R112" s="27" t="s">
        <v>7</v>
      </c>
      <c r="S112" s="27" t="s">
        <v>8</v>
      </c>
      <c r="T112" s="27" t="s">
        <v>7</v>
      </c>
    </row>
    <row r="113" spans="1:42" x14ac:dyDescent="0.25">
      <c r="A113" s="30">
        <v>2.1435888100000016</v>
      </c>
      <c r="C113" s="1" t="str">
        <f>ADDRESS(C121+1,1,1,1)</f>
        <v>$A$130</v>
      </c>
      <c r="D113" s="1" t="str">
        <f>ADDRESS(C121-1,D121+1,1,1)</f>
        <v>$AR$128</v>
      </c>
      <c r="Q113" s="27" t="s">
        <v>8</v>
      </c>
      <c r="R113" s="27" t="s">
        <v>7</v>
      </c>
      <c r="S113" s="27" t="s">
        <v>8</v>
      </c>
      <c r="T113" s="27" t="s">
        <v>7</v>
      </c>
      <c r="W113" s="34" t="s">
        <v>8</v>
      </c>
      <c r="Y113" s="34" t="s">
        <v>8</v>
      </c>
    </row>
    <row r="114" spans="1:42" x14ac:dyDescent="0.25">
      <c r="A114" s="30">
        <v>1.9487171000000014</v>
      </c>
      <c r="C114" s="1" t="str">
        <f>ADDRESS(C121,D121,1,1)</f>
        <v>$AQ$129</v>
      </c>
      <c r="D114" s="1" t="str">
        <f>ADDRESS(C121+1,D121+1,1,1)</f>
        <v>$AR$130</v>
      </c>
      <c r="Q114" s="27" t="s">
        <v>8</v>
      </c>
      <c r="R114" s="27" t="s">
        <v>7</v>
      </c>
      <c r="S114" s="27" t="s">
        <v>8</v>
      </c>
      <c r="T114" s="27" t="s">
        <v>7</v>
      </c>
      <c r="U114" s="27" t="s">
        <v>8</v>
      </c>
      <c r="W114" s="27" t="s">
        <v>8</v>
      </c>
      <c r="X114" s="27" t="s">
        <v>7</v>
      </c>
      <c r="Y114" s="27" t="s">
        <v>8</v>
      </c>
      <c r="Z114" s="31" t="s">
        <v>7</v>
      </c>
    </row>
    <row r="115" spans="1:42" x14ac:dyDescent="0.25">
      <c r="A115" s="30">
        <v>1.7715610000000011</v>
      </c>
      <c r="C115" s="1" t="str">
        <f>ADDRESS(C121+1,D121,1,1)</f>
        <v>$AQ$130</v>
      </c>
      <c r="Q115" s="27" t="s">
        <v>8</v>
      </c>
      <c r="R115" s="27" t="s">
        <v>7</v>
      </c>
      <c r="T115" s="27" t="s">
        <v>7</v>
      </c>
      <c r="U115" s="27" t="s">
        <v>8</v>
      </c>
      <c r="V115" s="27" t="s">
        <v>7</v>
      </c>
      <c r="W115" s="27" t="s">
        <v>8</v>
      </c>
      <c r="X115" s="27" t="s">
        <v>7</v>
      </c>
      <c r="Y115" s="27" t="s">
        <v>8</v>
      </c>
      <c r="Z115" s="27" t="s">
        <v>7</v>
      </c>
      <c r="AA115" s="31"/>
    </row>
    <row r="116" spans="1:42" x14ac:dyDescent="0.25">
      <c r="A116" s="30">
        <v>1.6105100000000008</v>
      </c>
      <c r="C116" s="1">
        <f>C117-1</f>
        <v>128</v>
      </c>
      <c r="Q116" s="27" t="s">
        <v>8</v>
      </c>
      <c r="T116" s="27" t="s">
        <v>7</v>
      </c>
      <c r="U116" s="27" t="s">
        <v>8</v>
      </c>
      <c r="V116" s="27" t="s">
        <v>7</v>
      </c>
      <c r="W116" s="27" t="s">
        <v>8</v>
      </c>
      <c r="X116" s="27" t="s">
        <v>7</v>
      </c>
      <c r="Y116" s="27" t="s">
        <v>8</v>
      </c>
      <c r="Z116" s="27" t="s">
        <v>7</v>
      </c>
      <c r="AA116" s="27" t="s">
        <v>8</v>
      </c>
      <c r="AB116" s="31"/>
    </row>
    <row r="117" spans="1:42" x14ac:dyDescent="0.25">
      <c r="A117" s="30">
        <v>1.4641000000000006</v>
      </c>
      <c r="C117" s="1">
        <f>C121</f>
        <v>129</v>
      </c>
      <c r="D117" s="1">
        <f>D121</f>
        <v>43</v>
      </c>
      <c r="Q117" s="27" t="s">
        <v>8</v>
      </c>
      <c r="T117" s="27" t="s">
        <v>7</v>
      </c>
      <c r="U117" s="27" t="s">
        <v>8</v>
      </c>
      <c r="V117" s="27" t="s">
        <v>7</v>
      </c>
      <c r="X117" s="27" t="s">
        <v>7</v>
      </c>
      <c r="Y117" s="27" t="s">
        <v>8</v>
      </c>
      <c r="Z117" s="27" t="s">
        <v>7</v>
      </c>
      <c r="AA117" s="27" t="s">
        <v>8</v>
      </c>
      <c r="AB117" s="27" t="s">
        <v>7</v>
      </c>
      <c r="AC117" s="31"/>
    </row>
    <row r="118" spans="1:42" x14ac:dyDescent="0.25">
      <c r="A118" s="30">
        <v>1.3310000000000004</v>
      </c>
      <c r="C118" s="1">
        <f>C117+1</f>
        <v>130</v>
      </c>
      <c r="D118" s="1">
        <f>D117+1</f>
        <v>44</v>
      </c>
      <c r="Q118" s="27" t="s">
        <v>8</v>
      </c>
      <c r="T118" s="27" t="s">
        <v>7</v>
      </c>
      <c r="X118" s="27" t="s">
        <v>7</v>
      </c>
      <c r="Z118" s="27" t="s">
        <v>7</v>
      </c>
      <c r="AA118" s="27" t="s">
        <v>8</v>
      </c>
      <c r="AB118" s="27" t="s">
        <v>7</v>
      </c>
      <c r="AD118" s="31"/>
      <c r="AM118" s="27" t="s">
        <v>8</v>
      </c>
    </row>
    <row r="119" spans="1:42" x14ac:dyDescent="0.25">
      <c r="A119" s="30">
        <v>1.2100000000000002</v>
      </c>
      <c r="Q119" s="27" t="s">
        <v>8</v>
      </c>
      <c r="Z119" s="27" t="s">
        <v>7</v>
      </c>
      <c r="AB119" s="27" t="s">
        <v>7</v>
      </c>
      <c r="AE119" s="31"/>
      <c r="AM119" s="27" t="s">
        <v>8</v>
      </c>
      <c r="AN119" s="27" t="s">
        <v>7</v>
      </c>
    </row>
    <row r="120" spans="1:42" x14ac:dyDescent="0.25">
      <c r="A120" s="30">
        <v>1.1000000000000001</v>
      </c>
      <c r="C120" s="1" t="s">
        <v>9</v>
      </c>
      <c r="Q120" s="27" t="s">
        <v>8</v>
      </c>
      <c r="AB120" s="27" t="s">
        <v>7</v>
      </c>
      <c r="AF120" s="31"/>
      <c r="AM120" s="27" t="s">
        <v>8</v>
      </c>
      <c r="AN120" s="27" t="s">
        <v>7</v>
      </c>
    </row>
    <row r="121" spans="1:42" x14ac:dyDescent="0.25">
      <c r="A121" s="30">
        <v>1</v>
      </c>
      <c r="C121" s="18">
        <v>129</v>
      </c>
      <c r="D121" s="19">
        <v>43</v>
      </c>
      <c r="E121" s="18" t="s">
        <v>8</v>
      </c>
      <c r="Q121" s="27" t="s">
        <v>8</v>
      </c>
      <c r="AB121" s="27" t="s">
        <v>7</v>
      </c>
      <c r="AG121" s="31"/>
      <c r="AK121" s="27" t="s">
        <v>8</v>
      </c>
      <c r="AM121" s="27" t="s">
        <v>8</v>
      </c>
      <c r="AN121" s="27" t="s">
        <v>7</v>
      </c>
    </row>
    <row r="122" spans="1:42" x14ac:dyDescent="0.25">
      <c r="A122" s="30">
        <v>0.90909090909090895</v>
      </c>
      <c r="C122" s="1" t="str">
        <f>INDEX(1:1048576,C117,D117)</f>
        <v>X</v>
      </c>
      <c r="F122" s="27" t="s">
        <v>7</v>
      </c>
      <c r="Q122" s="27" t="s">
        <v>8</v>
      </c>
      <c r="AB122" s="31" t="s">
        <v>7</v>
      </c>
      <c r="AC122" s="27" t="s">
        <v>8</v>
      </c>
      <c r="AG122" s="27" t="s">
        <v>8</v>
      </c>
      <c r="AH122" s="31"/>
      <c r="AK122" s="27" t="s">
        <v>8</v>
      </c>
      <c r="AL122" s="27" t="s">
        <v>7</v>
      </c>
      <c r="AM122" s="27" t="s">
        <v>8</v>
      </c>
      <c r="AN122" s="27" t="s">
        <v>7</v>
      </c>
    </row>
    <row r="123" spans="1:42" x14ac:dyDescent="0.25">
      <c r="A123" s="30">
        <v>0.82644628099173523</v>
      </c>
      <c r="C123" s="1" t="str">
        <f>"R"&amp;C121</f>
        <v>R129</v>
      </c>
      <c r="D123" s="1" t="str">
        <f>"C"&amp;D121</f>
        <v>C43</v>
      </c>
      <c r="F123" s="27" t="s">
        <v>7</v>
      </c>
      <c r="Q123" s="27" t="s">
        <v>8</v>
      </c>
      <c r="AA123" s="31"/>
      <c r="AB123" s="27" t="s">
        <v>7</v>
      </c>
      <c r="AC123" s="27" t="s">
        <v>8</v>
      </c>
      <c r="AD123" s="27" t="s">
        <v>7</v>
      </c>
      <c r="AE123" s="27" t="s">
        <v>8</v>
      </c>
      <c r="AG123" s="27" t="s">
        <v>8</v>
      </c>
      <c r="AH123" s="27" t="s">
        <v>7</v>
      </c>
      <c r="AI123" s="31"/>
      <c r="AK123" s="27" t="s">
        <v>8</v>
      </c>
      <c r="AL123" s="27" t="s">
        <v>7</v>
      </c>
      <c r="AM123" s="27" t="s">
        <v>8</v>
      </c>
      <c r="AN123" s="27" t="s">
        <v>7</v>
      </c>
      <c r="AO123" s="19"/>
    </row>
    <row r="124" spans="1:42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31" t="s">
        <v>8</v>
      </c>
      <c r="Q124" s="27" t="s">
        <v>8</v>
      </c>
      <c r="Z124" s="31"/>
      <c r="AB124" s="27" t="s">
        <v>7</v>
      </c>
      <c r="AC124" s="27" t="s">
        <v>8</v>
      </c>
      <c r="AD124" s="27" t="s">
        <v>7</v>
      </c>
      <c r="AE124" s="27" t="s">
        <v>8</v>
      </c>
      <c r="AF124" s="27" t="s">
        <v>7</v>
      </c>
      <c r="AG124" s="27" t="s">
        <v>8</v>
      </c>
      <c r="AH124" s="27" t="s">
        <v>7</v>
      </c>
      <c r="AI124" s="27" t="s">
        <v>8</v>
      </c>
      <c r="AJ124" s="31"/>
      <c r="AK124" s="27" t="s">
        <v>8</v>
      </c>
      <c r="AL124" s="27" t="s">
        <v>7</v>
      </c>
      <c r="AM124" s="27" t="s">
        <v>8</v>
      </c>
      <c r="AN124" s="31" t="s">
        <v>7</v>
      </c>
      <c r="AO124" s="27" t="s">
        <v>8</v>
      </c>
    </row>
    <row r="125" spans="1:42" x14ac:dyDescent="0.25">
      <c r="A125" s="30">
        <v>0.68301345536507019</v>
      </c>
      <c r="F125" s="27" t="s">
        <v>7</v>
      </c>
      <c r="G125" s="27" t="s">
        <v>8</v>
      </c>
      <c r="H125" s="31" t="s">
        <v>7</v>
      </c>
      <c r="Q125" s="27" t="s">
        <v>8</v>
      </c>
      <c r="Y125" s="31"/>
      <c r="AB125" s="27" t="s">
        <v>7</v>
      </c>
      <c r="AC125" s="27" t="s">
        <v>8</v>
      </c>
      <c r="AD125" s="27" t="s">
        <v>7</v>
      </c>
      <c r="AE125" s="27" t="s">
        <v>8</v>
      </c>
      <c r="AF125" s="27" t="s">
        <v>7</v>
      </c>
      <c r="AG125" s="27" t="s">
        <v>8</v>
      </c>
      <c r="AH125" s="27" t="s">
        <v>7</v>
      </c>
      <c r="AI125" s="27" t="s">
        <v>8</v>
      </c>
      <c r="AJ125" s="27" t="s">
        <v>7</v>
      </c>
      <c r="AK125" s="31" t="s">
        <v>8</v>
      </c>
      <c r="AL125" s="27" t="s">
        <v>7</v>
      </c>
      <c r="AM125" s="31" t="s">
        <v>8</v>
      </c>
      <c r="AN125" s="27" t="s">
        <v>7</v>
      </c>
      <c r="AO125" s="27" t="s">
        <v>8</v>
      </c>
      <c r="AP125" s="27" t="s">
        <v>7</v>
      </c>
    </row>
    <row r="126" spans="1:42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I126" s="31" t="s">
        <v>8</v>
      </c>
      <c r="O126" s="27" t="s">
        <v>8</v>
      </c>
      <c r="Q126" s="27" t="s">
        <v>8</v>
      </c>
      <c r="X126" s="31"/>
      <c r="AB126" s="27" t="s">
        <v>7</v>
      </c>
      <c r="AC126" s="27" t="s">
        <v>8</v>
      </c>
      <c r="AD126" s="27" t="s">
        <v>7</v>
      </c>
      <c r="AE126" s="27" t="s">
        <v>8</v>
      </c>
      <c r="AF126" s="27" t="s">
        <v>7</v>
      </c>
      <c r="AH126" s="27" t="s">
        <v>7</v>
      </c>
      <c r="AI126" s="27" t="s">
        <v>8</v>
      </c>
      <c r="AJ126" s="27" t="s">
        <v>7</v>
      </c>
      <c r="AK126" s="27" t="s">
        <v>8</v>
      </c>
      <c r="AL126" s="31" t="s">
        <v>7</v>
      </c>
      <c r="AN126" s="27" t="s">
        <v>7</v>
      </c>
      <c r="AO126" s="27" t="s">
        <v>8</v>
      </c>
      <c r="AP126" s="27" t="s">
        <v>7</v>
      </c>
    </row>
    <row r="127" spans="1:42" x14ac:dyDescent="0.25">
      <c r="A127" s="30">
        <v>0.56447393005377677</v>
      </c>
      <c r="C127" s="30">
        <v>0.46650738020973276</v>
      </c>
      <c r="D127"/>
      <c r="F127" s="27" t="s">
        <v>7</v>
      </c>
      <c r="G127" s="27" t="s">
        <v>8</v>
      </c>
      <c r="H127" s="27" t="s">
        <v>7</v>
      </c>
      <c r="I127" s="27" t="s">
        <v>8</v>
      </c>
      <c r="J127" s="31" t="s">
        <v>7</v>
      </c>
      <c r="O127" s="27" t="s">
        <v>8</v>
      </c>
      <c r="P127" s="27" t="s">
        <v>7</v>
      </c>
      <c r="Q127" s="27" t="s">
        <v>8</v>
      </c>
      <c r="W127" s="31"/>
      <c r="AB127" s="27" t="s">
        <v>7</v>
      </c>
      <c r="AD127" s="27" t="s">
        <v>7</v>
      </c>
      <c r="AE127" s="27" t="s">
        <v>8</v>
      </c>
      <c r="AH127" s="27" t="s">
        <v>7</v>
      </c>
      <c r="AI127" s="27" t="s">
        <v>8</v>
      </c>
      <c r="AJ127" s="27" t="s">
        <v>7</v>
      </c>
      <c r="AK127" s="31" t="s">
        <v>8</v>
      </c>
      <c r="AN127" s="32" t="s">
        <v>7</v>
      </c>
      <c r="AP127" s="27" t="s">
        <v>7</v>
      </c>
    </row>
    <row r="128" spans="1:42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I128" s="27" t="s">
        <v>8</v>
      </c>
      <c r="J128" s="27" t="s">
        <v>7</v>
      </c>
      <c r="K128" s="31"/>
      <c r="O128" s="27" t="s">
        <v>8</v>
      </c>
      <c r="P128" s="27" t="s">
        <v>7</v>
      </c>
      <c r="Q128" s="27" t="s">
        <v>8</v>
      </c>
      <c r="V128" s="31"/>
      <c r="AD128" s="27" t="s">
        <v>7</v>
      </c>
      <c r="AH128" s="27" t="s">
        <v>7</v>
      </c>
      <c r="AI128" s="27" t="s">
        <v>8</v>
      </c>
      <c r="AJ128" s="31" t="s">
        <v>7</v>
      </c>
      <c r="AP128" s="27" t="s">
        <v>7</v>
      </c>
    </row>
    <row r="129" spans="1:43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J129" s="27" t="s">
        <v>7</v>
      </c>
      <c r="K129" s="27" t="s">
        <v>8</v>
      </c>
      <c r="L129" s="31"/>
      <c r="O129" s="27" t="s">
        <v>8</v>
      </c>
      <c r="P129" s="27" t="s">
        <v>7</v>
      </c>
      <c r="Q129" s="27" t="s">
        <v>8</v>
      </c>
      <c r="U129" s="31"/>
      <c r="AH129" s="27" t="s">
        <v>7</v>
      </c>
      <c r="AP129" s="27" t="s">
        <v>7</v>
      </c>
      <c r="AQ129" s="27" t="s">
        <v>8</v>
      </c>
    </row>
    <row r="130" spans="1:43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J130" s="27" t="s">
        <v>7</v>
      </c>
      <c r="K130" s="27" t="s">
        <v>8</v>
      </c>
      <c r="L130" s="27" t="s">
        <v>7</v>
      </c>
      <c r="M130" s="31"/>
      <c r="O130" s="27" t="s">
        <v>8</v>
      </c>
      <c r="P130" s="27" t="s">
        <v>7</v>
      </c>
      <c r="T130" s="31"/>
      <c r="AP130" s="27" t="s">
        <v>7</v>
      </c>
      <c r="AQ130" s="27" t="s">
        <v>8</v>
      </c>
    </row>
    <row r="131" spans="1:43" x14ac:dyDescent="0.25">
      <c r="A131" s="30">
        <v>0.38554328942953109</v>
      </c>
      <c r="E131"/>
      <c r="F131" s="27" t="s">
        <v>7</v>
      </c>
      <c r="G131" s="27" t="s">
        <v>8</v>
      </c>
      <c r="J131" s="27" t="s">
        <v>7</v>
      </c>
      <c r="K131" s="27" t="s">
        <v>8</v>
      </c>
      <c r="L131" s="27" t="s">
        <v>7</v>
      </c>
      <c r="M131" s="27" t="s">
        <v>8</v>
      </c>
      <c r="N131" s="31"/>
      <c r="O131" s="27" t="s">
        <v>8</v>
      </c>
      <c r="S131" s="31"/>
      <c r="AP131" s="27" t="s">
        <v>7</v>
      </c>
      <c r="AQ131" s="27" t="s">
        <v>8</v>
      </c>
    </row>
    <row r="132" spans="1:43" x14ac:dyDescent="0.25">
      <c r="A132" s="30">
        <v>0.35049389948139187</v>
      </c>
      <c r="C132" s="1" t="s">
        <v>13</v>
      </c>
      <c r="E132"/>
      <c r="F132" s="27" t="s">
        <v>7</v>
      </c>
      <c r="G132" s="27" t="s">
        <v>8</v>
      </c>
      <c r="J132" s="27" t="s">
        <v>7</v>
      </c>
      <c r="L132" s="27" t="s">
        <v>7</v>
      </c>
      <c r="M132" s="27" t="s">
        <v>8</v>
      </c>
      <c r="N132" s="27" t="s">
        <v>7</v>
      </c>
      <c r="O132" s="31" t="s">
        <v>8</v>
      </c>
      <c r="R132" s="31"/>
      <c r="AP132" s="27" t="s">
        <v>7</v>
      </c>
    </row>
    <row r="133" spans="1:43" x14ac:dyDescent="0.25">
      <c r="A133" s="30">
        <v>0.31863081771035617</v>
      </c>
      <c r="C133" s="1" t="str">
        <f>C122</f>
        <v>X</v>
      </c>
      <c r="E133"/>
      <c r="F133" s="27" t="s">
        <v>7</v>
      </c>
      <c r="G133" s="27" t="s">
        <v>8</v>
      </c>
      <c r="L133" s="27" t="s">
        <v>7</v>
      </c>
      <c r="M133" s="27" t="s">
        <v>8</v>
      </c>
      <c r="N133" s="27" t="s">
        <v>7</v>
      </c>
      <c r="O133" s="27" t="s">
        <v>8</v>
      </c>
      <c r="Q133" s="31"/>
    </row>
    <row r="134" spans="1:43" x14ac:dyDescent="0.25">
      <c r="A134" s="30">
        <v>0.28966437973668741</v>
      </c>
      <c r="C134"/>
      <c r="D134"/>
      <c r="E134"/>
      <c r="F134" s="27" t="s">
        <v>7</v>
      </c>
      <c r="G134" s="27" t="s">
        <v>8</v>
      </c>
      <c r="L134" s="27" t="s">
        <v>7</v>
      </c>
      <c r="N134" s="27" t="s">
        <v>7</v>
      </c>
      <c r="O134" s="27" t="s">
        <v>8</v>
      </c>
      <c r="P134" s="31"/>
    </row>
    <row r="135" spans="1:43" x14ac:dyDescent="0.25">
      <c r="A135" s="30">
        <v>0.2633312543060794</v>
      </c>
      <c r="C135" s="1" t="s">
        <v>14</v>
      </c>
      <c r="E135"/>
      <c r="F135" s="27" t="s">
        <v>7</v>
      </c>
      <c r="G135" s="27" t="s">
        <v>8</v>
      </c>
      <c r="N135" s="27" t="s">
        <v>7</v>
      </c>
      <c r="O135" s="31" t="s">
        <v>8</v>
      </c>
    </row>
    <row r="136" spans="1:43" x14ac:dyDescent="0.25">
      <c r="A136" s="30">
        <v>0.23939204936916306</v>
      </c>
      <c r="C136" s="1" t="str">
        <f>IF(C133=$S$1,IF(D130&lt;(C127*0.909090909090909),$S$1,IF(C130&gt;(C127*1.331),$U$1,"")),"")</f>
        <v/>
      </c>
      <c r="D136" s="1" t="str">
        <f>IF(C133=$U$1,IF(C130&gt;(C127*1.1),$U$1,IF(D130&lt;(C127*0.751314800901578),$S$1,"")),"")</f>
        <v>O</v>
      </c>
      <c r="E136"/>
      <c r="F136" s="27" t="s">
        <v>7</v>
      </c>
      <c r="G136" s="27" t="s">
        <v>8</v>
      </c>
      <c r="N136" s="31" t="s">
        <v>7</v>
      </c>
    </row>
    <row r="137" spans="1:43" x14ac:dyDescent="0.25">
      <c r="A137" s="30">
        <v>0.2176291357901482</v>
      </c>
      <c r="E137"/>
      <c r="F137" s="27" t="s">
        <v>7</v>
      </c>
      <c r="G137" s="27" t="s">
        <v>8</v>
      </c>
    </row>
    <row r="138" spans="1:43" x14ac:dyDescent="0.25">
      <c r="A138" s="30">
        <v>0.19784466890013469</v>
      </c>
      <c r="C138" s="1">
        <f>IF(AND(C136="",D136=""),0,IF(AND(C133="X",D136="X"),1,IF(AND(C133="O",C136="O"),2,(IF(AND(C133="X",D136="O"),3,4)))))</f>
        <v>3</v>
      </c>
      <c r="E138"/>
      <c r="F138" s="27" t="s">
        <v>7</v>
      </c>
      <c r="G138" s="27" t="s">
        <v>8</v>
      </c>
    </row>
    <row r="139" spans="1:43" x14ac:dyDescent="0.25">
      <c r="A139" s="30">
        <v>0.17985878990921333</v>
      </c>
      <c r="E139"/>
      <c r="F139" s="27" t="s">
        <v>7</v>
      </c>
      <c r="G139" s="27" t="s">
        <v>8</v>
      </c>
    </row>
    <row r="140" spans="1:43" x14ac:dyDescent="0.25">
      <c r="A140" s="30">
        <v>0.16350799082655756</v>
      </c>
      <c r="C140" s="1">
        <v>0</v>
      </c>
      <c r="E140"/>
      <c r="F140" s="27" t="s">
        <v>7</v>
      </c>
      <c r="G140" s="27" t="s">
        <v>8</v>
      </c>
    </row>
    <row r="141" spans="1:43" x14ac:dyDescent="0.25">
      <c r="A141" s="30">
        <v>0.14864362802414322</v>
      </c>
      <c r="C141" s="1">
        <v>1</v>
      </c>
      <c r="E141"/>
      <c r="F141" s="27" t="s">
        <v>7</v>
      </c>
      <c r="G141" s="27" t="s">
        <v>8</v>
      </c>
    </row>
    <row r="142" spans="1:43" x14ac:dyDescent="0.25">
      <c r="A142" s="30">
        <v>0.13513057093103928</v>
      </c>
      <c r="C142" s="1">
        <v>2</v>
      </c>
      <c r="E142"/>
      <c r="F142" s="27" t="s">
        <v>7</v>
      </c>
      <c r="G142" s="27" t="s">
        <v>8</v>
      </c>
    </row>
    <row r="143" spans="1:43" x14ac:dyDescent="0.25">
      <c r="A143" s="30">
        <v>0.12284597357367205</v>
      </c>
      <c r="C143" s="1">
        <v>3</v>
      </c>
      <c r="E143"/>
      <c r="F143" s="27" t="s">
        <v>7</v>
      </c>
    </row>
    <row r="144" spans="1:43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811" operator="equal">
      <formula>$U$1</formula>
    </cfRule>
    <cfRule type="cellIs" dxfId="30" priority="812" operator="equal">
      <formula>$S$1</formula>
    </cfRule>
  </conditionalFormatting>
  <conditionalFormatting sqref="D136">
    <cfRule type="cellIs" dxfId="29" priority="809" operator="equal">
      <formula>$S$1</formula>
    </cfRule>
    <cfRule type="cellIs" dxfId="28" priority="810" operator="equal">
      <formula>$U$1</formula>
    </cfRule>
  </conditionalFormatting>
  <conditionalFormatting sqref="C102">
    <cfRule type="cellIs" dxfId="27" priority="807" operator="equal">
      <formula>$U$1</formula>
    </cfRule>
    <cfRule type="cellIs" dxfId="26" priority="808" operator="equal">
      <formula>$S$1</formula>
    </cfRule>
  </conditionalFormatting>
  <conditionalFormatting sqref="D102">
    <cfRule type="cellIs" dxfId="25" priority="805" operator="equal">
      <formula>$S$1</formula>
    </cfRule>
    <cfRule type="cellIs" dxfId="24" priority="806" operator="equal">
      <formula>$U$1</formula>
    </cfRule>
  </conditionalFormatting>
  <conditionalFormatting sqref="C77">
    <cfRule type="cellIs" dxfId="23" priority="803" operator="equal">
      <formula>$U$1</formula>
    </cfRule>
    <cfRule type="cellIs" dxfId="22" priority="804" operator="equal">
      <formula>$S$1</formula>
    </cfRule>
  </conditionalFormatting>
  <conditionalFormatting sqref="D77">
    <cfRule type="cellIs" dxfId="21" priority="801" operator="equal">
      <formula>$S$1</formula>
    </cfRule>
    <cfRule type="cellIs" dxfId="20" priority="802" operator="equal">
      <formula>$U$1</formula>
    </cfRule>
  </conditionalFormatting>
  <conditionalFormatting sqref="C52">
    <cfRule type="cellIs" dxfId="19" priority="799" operator="equal">
      <formula>$U$1</formula>
    </cfRule>
    <cfRule type="cellIs" dxfId="18" priority="800" operator="equal">
      <formula>$S$1</formula>
    </cfRule>
  </conditionalFormatting>
  <conditionalFormatting sqref="D52">
    <cfRule type="cellIs" dxfId="17" priority="797" operator="equal">
      <formula>$S$1</formula>
    </cfRule>
    <cfRule type="cellIs" dxfId="16" priority="798" operator="equal">
      <formula>$U$1</formula>
    </cfRule>
  </conditionalFormatting>
  <conditionalFormatting sqref="C26">
    <cfRule type="cellIs" dxfId="15" priority="795" operator="equal">
      <formula>$U$1</formula>
    </cfRule>
    <cfRule type="cellIs" dxfId="14" priority="796" operator="equal">
      <formula>$S$1</formula>
    </cfRule>
  </conditionalFormatting>
  <conditionalFormatting sqref="D26">
    <cfRule type="cellIs" dxfId="13" priority="793" operator="equal">
      <formula>$S$1</formula>
    </cfRule>
    <cfRule type="cellIs" dxfId="12" priority="794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G5" sqref="G5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5" t="s">
        <v>17</v>
      </c>
      <c r="C1" s="35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30">
        <v>0.48101709809096732</v>
      </c>
      <c r="F3" s="30">
        <v>0.55683741817755672</v>
      </c>
      <c r="G3" s="30">
        <v>0.74621539663662584</v>
      </c>
      <c r="H3" s="25">
        <f>IF(G3="","",(3*(G3-F3))+E3)</f>
        <v>1.0491510334681746</v>
      </c>
      <c r="I3" s="7"/>
      <c r="J3" s="7">
        <f>(E3+G3)/2</f>
        <v>0.61361624736379661</v>
      </c>
      <c r="K3" s="7">
        <f>H3/2</f>
        <v>0.52457551673408731</v>
      </c>
      <c r="M3" s="26">
        <f>IF(OR(J3="",H3=""),"",H3/J3)</f>
        <v>1.7097836603504424</v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30">
        <v>0.43629668761085438</v>
      </c>
      <c r="F4" s="30">
        <v>0.55683741817755672</v>
      </c>
      <c r="G4" s="30">
        <v>1</v>
      </c>
      <c r="H4" s="25">
        <f t="shared" ref="H4:H25" si="0">IF(G4="","",(3*(G4-F4))+E4)</f>
        <v>1.7657844330781844</v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30">
        <v>0.64460891621779492</v>
      </c>
      <c r="F5" s="30">
        <v>0.71068133013011958</v>
      </c>
      <c r="G5" s="30">
        <v>1.1576249999999999</v>
      </c>
      <c r="H5" s="25">
        <f t="shared" si="0"/>
        <v>1.985439925827436</v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2022-01-28T01:17:08Z</dcterms:modified>
</cp:coreProperties>
</file>