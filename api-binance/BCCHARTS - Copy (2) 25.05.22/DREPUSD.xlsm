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8D3047F-FAE6-4B32-AFF8-C6173526736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D118" i="4"/>
  <c r="C2" i="1" l="1"/>
  <c r="D2" i="1"/>
  <c r="C122" i="5"/>
  <c r="C133" i="5" s="1"/>
  <c r="D136" i="5" s="1"/>
  <c r="C118" i="5"/>
  <c r="C116" i="4"/>
  <c r="C122" i="4"/>
  <c r="C133" i="4" s="1"/>
  <c r="C136" i="4" s="1"/>
  <c r="C122" i="3"/>
  <c r="C133" i="3" s="1"/>
  <c r="C136" i="3" s="1"/>
  <c r="C118" i="3"/>
  <c r="R765" i="1"/>
  <c r="C136" i="5" l="1"/>
  <c r="C138" i="5" s="1"/>
  <c r="D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S252" i="1" l="1"/>
  <c r="T252" i="1" s="1"/>
  <c r="R251" i="1"/>
  <c r="S251" i="1" l="1"/>
  <c r="T251" i="1" s="1"/>
  <c r="R250" i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R187" i="1" l="1"/>
  <c r="S188" i="1"/>
  <c r="T188" i="1" s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S84" i="1" l="1"/>
  <c r="T84" i="1" s="1"/>
  <c r="R83" i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S60" i="1" l="1"/>
  <c r="T60" i="1" s="1"/>
  <c r="R59" i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<sst xmlns="http://schemas.openxmlformats.org/spreadsheetml/2006/main" count="9452" uniqueCount="34">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</sst>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44284</c:v>
                </c:pt>
                <c:pt idx="302">
                  <c:v>44283</c:v>
                </c:pt>
                <c:pt idx="303">
                  <c:v>44282</c:v>
                </c:pt>
                <c:pt idx="304">
                  <c:v>44281</c:v>
                </c:pt>
                <c:pt idx="305">
                  <c:v>44280</c:v>
                </c:pt>
                <c:pt idx="306">
                  <c:v>44279</c:v>
                </c:pt>
                <c:pt idx="307">
                  <c:v>44278</c:v>
                </c:pt>
                <c:pt idx="308">
                  <c:v>44277</c:v>
                </c:pt>
                <c:pt idx="309">
                  <c:v>44276</c:v>
                </c:pt>
                <c:pt idx="310">
                  <c:v>44275</c:v>
                </c:pt>
                <c:pt idx="311">
                  <c:v>44274</c:v>
                </c:pt>
                <c:pt idx="312">
                  <c:v>44273</c:v>
                </c:pt>
                <c:pt idx="313">
                  <c:v>44272</c:v>
                </c:pt>
                <c:pt idx="314">
                  <c:v>44271</c:v>
                </c:pt>
                <c:pt idx="315">
                  <c:v>44270</c:v>
                </c:pt>
                <c:pt idx="316">
                  <c:v>44269</c:v>
                </c:pt>
                <c:pt idx="317">
                  <c:v>44268</c:v>
                </c:pt>
                <c:pt idx="318">
                  <c:v>44267</c:v>
                </c:pt>
                <c:pt idx="319">
                  <c:v>44266</c:v>
                </c:pt>
                <c:pt idx="320">
                  <c:v>44265</c:v>
                </c:pt>
                <c:pt idx="321">
                  <c:v>44264</c:v>
                </c:pt>
                <c:pt idx="322">
                  <c:v>44263</c:v>
                </c:pt>
                <c:pt idx="323">
                  <c:v>44262</c:v>
                </c:pt>
                <c:pt idx="324">
                  <c:v>44261</c:v>
                </c:pt>
                <c:pt idx="325">
                  <c:v>44260</c:v>
                </c:pt>
                <c:pt idx="326">
                  <c:v>44259</c:v>
                </c:pt>
                <c:pt idx="327">
                  <c:v>44258</c:v>
                </c:pt>
                <c:pt idx="328">
                  <c:v>44257</c:v>
                </c:pt>
                <c:pt idx="329">
                  <c:v>44256</c:v>
                </c:pt>
                <c:pt idx="330">
                  <c:v>44255</c:v>
                </c:pt>
                <c:pt idx="331">
                  <c:v>44254</c:v>
                </c:pt>
                <c:pt idx="332">
                  <c:v>44253</c:v>
                </c:pt>
                <c:pt idx="333">
                  <c:v>44252</c:v>
                </c:pt>
                <c:pt idx="334">
                  <c:v>44251</c:v>
                </c:pt>
                <c:pt idx="335">
                  <c:v>44250</c:v>
                </c:pt>
                <c:pt idx="336">
                  <c:v>44249</c:v>
                </c:pt>
                <c:pt idx="337">
                  <c:v>44248</c:v>
                </c:pt>
                <c:pt idx="338">
                  <c:v>44247</c:v>
                </c:pt>
                <c:pt idx="339">
                  <c:v>44246</c:v>
                </c:pt>
                <c:pt idx="340">
                  <c:v>44245</c:v>
                </c:pt>
                <c:pt idx="341">
                  <c:v>44244</c:v>
                </c:pt>
                <c:pt idx="342">
                  <c:v>44243</c:v>
                </c:pt>
                <c:pt idx="343">
                  <c:v>44242</c:v>
                </c:pt>
                <c:pt idx="344">
                  <c:v>44241</c:v>
                </c:pt>
                <c:pt idx="345">
                  <c:v>44240</c:v>
                </c:pt>
                <c:pt idx="346">
                  <c:v>44239</c:v>
                </c:pt>
                <c:pt idx="347">
                  <c:v>44238</c:v>
                </c:pt>
                <c:pt idx="348">
                  <c:v>44237</c:v>
                </c:pt>
                <c:pt idx="349">
                  <c:v>44236</c:v>
                </c:pt>
                <c:pt idx="350">
                  <c:v>44235</c:v>
                </c:pt>
                <c:pt idx="351">
                  <c:v>44234</c:v>
                </c:pt>
                <c:pt idx="352">
                  <c:v>44233</c:v>
                </c:pt>
                <c:pt idx="353">
                  <c:v>44232</c:v>
                </c:pt>
                <c:pt idx="354">
                  <c:v>44231</c:v>
                </c:pt>
                <c:pt idx="355">
                  <c:v>44230</c:v>
                </c:pt>
                <c:pt idx="356">
                  <c:v>44229</c:v>
                </c:pt>
                <c:pt idx="357">
                  <c:v>44228</c:v>
                </c:pt>
                <c:pt idx="358">
                  <c:v>44227</c:v>
                </c:pt>
                <c:pt idx="359">
                  <c:v>44226</c:v>
                </c:pt>
                <c:pt idx="360">
                  <c:v>44225</c:v>
                </c:pt>
                <c:pt idx="361">
                  <c:v>44224</c:v>
                </c:pt>
                <c:pt idx="362">
                  <c:v>44223</c:v>
                </c:pt>
                <c:pt idx="363">
                  <c:v>44222</c:v>
                </c:pt>
                <c:pt idx="364">
                  <c:v>44221</c:v>
                </c:pt>
                <c:pt idx="365">
                  <c:v>44220</c:v>
                </c:pt>
                <c:pt idx="366">
                  <c:v>44219</c:v>
                </c:pt>
                <c:pt idx="367">
                  <c:v>44218</c:v>
                </c:pt>
                <c:pt idx="368">
                  <c:v>44217</c:v>
                </c:pt>
                <c:pt idx="369">
                  <c:v>44216</c:v>
                </c:pt>
                <c:pt idx="370">
                  <c:v>44215</c:v>
                </c:pt>
                <c:pt idx="371">
                  <c:v>44214</c:v>
                </c:pt>
                <c:pt idx="372">
                  <c:v>44213</c:v>
                </c:pt>
                <c:pt idx="373">
                  <c:v>44212</c:v>
                </c:pt>
                <c:pt idx="374">
                  <c:v>44211</c:v>
                </c:pt>
                <c:pt idx="375">
                  <c:v>44210</c:v>
                </c:pt>
                <c:pt idx="376">
                  <c:v>44209</c:v>
                </c:pt>
                <c:pt idx="377">
                  <c:v>44208</c:v>
                </c:pt>
                <c:pt idx="378">
                  <c:v>44207</c:v>
                </c:pt>
                <c:pt idx="379">
                  <c:v>44206</c:v>
                </c:pt>
                <c:pt idx="380">
                  <c:v>44205</c:v>
                </c:pt>
                <c:pt idx="381">
                  <c:v>44204</c:v>
                </c:pt>
                <c:pt idx="382">
                  <c:v>44203</c:v>
                </c:pt>
                <c:pt idx="383">
                  <c:v>44202</c:v>
                </c:pt>
                <c:pt idx="384">
                  <c:v>44201</c:v>
                </c:pt>
                <c:pt idx="385">
                  <c:v>44200</c:v>
                </c:pt>
                <c:pt idx="386">
                  <c:v>44199</c:v>
                </c:pt>
                <c:pt idx="387">
                  <c:v>44198</c:v>
                </c:pt>
                <c:pt idx="388">
                  <c:v>44197</c:v>
                </c:pt>
                <c:pt idx="389">
                  <c:v>44196</c:v>
                </c:pt>
                <c:pt idx="390">
                  <c:v>44195</c:v>
                </c:pt>
                <c:pt idx="391">
                  <c:v>44194</c:v>
                </c:pt>
                <c:pt idx="392">
                  <c:v>44193</c:v>
                </c:pt>
                <c:pt idx="393">
                  <c:v>44192</c:v>
                </c:pt>
                <c:pt idx="394">
                  <c:v>44191</c:v>
                </c:pt>
                <c:pt idx="395">
                  <c:v>44190</c:v>
                </c:pt>
                <c:pt idx="396">
                  <c:v>44189</c:v>
                </c:pt>
                <c:pt idx="397">
                  <c:v>44188</c:v>
                </c:pt>
                <c:pt idx="398">
                  <c:v>44187</c:v>
                </c:pt>
                <c:pt idx="399">
                  <c:v>44186</c:v>
                </c:pt>
                <c:pt idx="400">
                  <c:v>44185</c:v>
                </c:pt>
                <c:pt idx="401">
                  <c:v>44184</c:v>
                </c:pt>
                <c:pt idx="402">
                  <c:v>44183</c:v>
                </c:pt>
                <c:pt idx="403">
                  <c:v>44182</c:v>
                </c:pt>
                <c:pt idx="404">
                  <c:v>44181</c:v>
                </c:pt>
                <c:pt idx="405">
                  <c:v>44180</c:v>
                </c:pt>
                <c:pt idx="406">
                  <c:v>44179</c:v>
                </c:pt>
                <c:pt idx="407">
                  <c:v>44178</c:v>
                </c:pt>
                <c:pt idx="408">
                  <c:v>44177</c:v>
                </c:pt>
                <c:pt idx="409">
                  <c:v>44176</c:v>
                </c:pt>
                <c:pt idx="410">
                  <c:v>44175</c:v>
                </c:pt>
                <c:pt idx="411">
                  <c:v>44174</c:v>
                </c:pt>
                <c:pt idx="412">
                  <c:v>44173</c:v>
                </c:pt>
                <c:pt idx="413">
                  <c:v>44172</c:v>
                </c:pt>
                <c:pt idx="414">
                  <c:v>44171</c:v>
                </c:pt>
                <c:pt idx="415">
                  <c:v>44170</c:v>
                </c:pt>
                <c:pt idx="416">
                  <c:v>44169</c:v>
                </c:pt>
                <c:pt idx="417">
                  <c:v>44168</c:v>
                </c:pt>
                <c:pt idx="418">
                  <c:v>44167</c:v>
                </c:pt>
                <c:pt idx="419">
                  <c:v>44166</c:v>
                </c:pt>
                <c:pt idx="420">
                  <c:v>44165</c:v>
                </c:pt>
                <c:pt idx="421">
                  <c:v>44164</c:v>
                </c:pt>
                <c:pt idx="422">
                  <c:v>44163</c:v>
                </c:pt>
                <c:pt idx="423">
                  <c:v>44162</c:v>
                </c:pt>
                <c:pt idx="424">
                  <c:v>44161</c:v>
                </c:pt>
                <c:pt idx="425">
                  <c:v>44160</c:v>
                </c:pt>
                <c:pt idx="426">
                  <c:v>44159</c:v>
                </c:pt>
                <c:pt idx="427">
                  <c:v>44158</c:v>
                </c:pt>
                <c:pt idx="428">
                  <c:v>44157</c:v>
                </c:pt>
                <c:pt idx="429">
                  <c:v>44156</c:v>
                </c:pt>
                <c:pt idx="430">
                  <c:v>44155</c:v>
                </c:pt>
                <c:pt idx="431">
                  <c:v>44154</c:v>
                </c:pt>
                <c:pt idx="432">
                  <c:v>44153</c:v>
                </c:pt>
                <c:pt idx="433">
                  <c:v>44152</c:v>
                </c:pt>
                <c:pt idx="434">
                  <c:v>44151</c:v>
                </c:pt>
                <c:pt idx="435">
                  <c:v>44150</c:v>
                </c:pt>
                <c:pt idx="436">
                  <c:v>44149</c:v>
                </c:pt>
                <c:pt idx="437">
                  <c:v>44148</c:v>
                </c:pt>
                <c:pt idx="438">
                  <c:v>44147</c:v>
                </c:pt>
                <c:pt idx="439">
                  <c:v>44146</c:v>
                </c:pt>
                <c:pt idx="440">
                  <c:v>44145</c:v>
                </c:pt>
                <c:pt idx="441">
                  <c:v>44144</c:v>
                </c:pt>
                <c:pt idx="442">
                  <c:v>44143</c:v>
                </c:pt>
                <c:pt idx="443">
                  <c:v>44142</c:v>
                </c:pt>
                <c:pt idx="444">
                  <c:v>44141</c:v>
                </c:pt>
                <c:pt idx="445">
                  <c:v>44140</c:v>
                </c:pt>
                <c:pt idx="446">
                  <c:v>44139</c:v>
                </c:pt>
                <c:pt idx="447">
                  <c:v>44138</c:v>
                </c:pt>
                <c:pt idx="448">
                  <c:v>44137</c:v>
                </c:pt>
                <c:pt idx="449">
                  <c:v>44136</c:v>
                </c:pt>
                <c:pt idx="450">
                  <c:v>44135</c:v>
                </c:pt>
                <c:pt idx="451">
                  <c:v>44134</c:v>
                </c:pt>
                <c:pt idx="452">
                  <c:v>44133</c:v>
                </c:pt>
                <c:pt idx="453">
                  <c:v>44132</c:v>
                </c:pt>
                <c:pt idx="454">
                  <c:v>44131</c:v>
                </c:pt>
                <c:pt idx="455">
                  <c:v>44130</c:v>
                </c:pt>
                <c:pt idx="456">
                  <c:v>44129</c:v>
                </c:pt>
                <c:pt idx="457">
                  <c:v>44128</c:v>
                </c:pt>
                <c:pt idx="458">
                  <c:v>44127</c:v>
                </c:pt>
                <c:pt idx="459">
                  <c:v>44126</c:v>
                </c:pt>
                <c:pt idx="460">
                  <c:v>44125</c:v>
                </c:pt>
                <c:pt idx="461">
                  <c:v>44124</c:v>
                </c:pt>
                <c:pt idx="462">
                  <c:v>44123</c:v>
                </c:pt>
                <c:pt idx="463">
                  <c:v>44122</c:v>
                </c:pt>
                <c:pt idx="464">
                  <c:v>44121</c:v>
                </c:pt>
                <c:pt idx="465">
                  <c:v>44120</c:v>
                </c:pt>
                <c:pt idx="466">
                  <c:v>44119</c:v>
                </c:pt>
                <c:pt idx="467">
                  <c:v>44118</c:v>
                </c:pt>
                <c:pt idx="468">
                  <c:v>44117</c:v>
                </c:pt>
                <c:pt idx="469">
                  <c:v>44116</c:v>
                </c:pt>
                <c:pt idx="470">
                  <c:v>44115</c:v>
                </c:pt>
                <c:pt idx="471">
                  <c:v>44114</c:v>
                </c:pt>
                <c:pt idx="472">
                  <c:v>44113</c:v>
                </c:pt>
                <c:pt idx="473">
                  <c:v>44112</c:v>
                </c:pt>
                <c:pt idx="474">
                  <c:v>44111</c:v>
                </c:pt>
                <c:pt idx="475">
                  <c:v>44110</c:v>
                </c:pt>
                <c:pt idx="476">
                  <c:v>44109</c:v>
                </c:pt>
                <c:pt idx="477">
                  <c:v>44108</c:v>
                </c:pt>
                <c:pt idx="478">
                  <c:v>44107</c:v>
                </c:pt>
                <c:pt idx="479">
                  <c:v>44106</c:v>
                </c:pt>
                <c:pt idx="480">
                  <c:v>44105</c:v>
                </c:pt>
                <c:pt idx="481">
                  <c:v>44104</c:v>
                </c:pt>
                <c:pt idx="482">
                  <c:v>44103</c:v>
                </c:pt>
                <c:pt idx="483">
                  <c:v>44102</c:v>
                </c:pt>
                <c:pt idx="484">
                  <c:v>44101</c:v>
                </c:pt>
                <c:pt idx="485">
                  <c:v>44100</c:v>
                </c:pt>
                <c:pt idx="486">
                  <c:v>44099</c:v>
                </c:pt>
                <c:pt idx="487">
                  <c:v>44098</c:v>
                </c:pt>
                <c:pt idx="488">
                  <c:v>44097</c:v>
                </c:pt>
                <c:pt idx="489">
                  <c:v>44096</c:v>
                </c:pt>
                <c:pt idx="490">
                  <c:v>44095</c:v>
                </c:pt>
                <c:pt idx="491">
                  <c:v>44094</c:v>
                </c:pt>
                <c:pt idx="492">
                  <c:v>44093</c:v>
                </c:pt>
                <c:pt idx="493">
                  <c:v>44092</c:v>
                </c:pt>
                <c:pt idx="494">
                  <c:v>44091</c:v>
                </c:pt>
                <c:pt idx="495">
                  <c:v>44090</c:v>
                </c:pt>
                <c:pt idx="496">
                  <c:v>44089</c:v>
                </c:pt>
                <c:pt idx="497">
                  <c:v>44088</c:v>
                </c:pt>
                <c:pt idx="498">
                  <c:v>44087</c:v>
                </c:pt>
                <c:pt idx="499">
                  <c:v>44086</c:v>
                </c:pt>
                <c:pt idx="500">
                  <c:v>44085</c:v>
                </c:pt>
                <c:pt idx="501">
                  <c:v>44084</c:v>
                </c:pt>
                <c:pt idx="502">
                  <c:v>44083</c:v>
                </c:pt>
                <c:pt idx="503">
                  <c:v>44082</c:v>
                </c:pt>
                <c:pt idx="504">
                  <c:v>44081</c:v>
                </c:pt>
                <c:pt idx="505">
                  <c:v>44080</c:v>
                </c:pt>
                <c:pt idx="506">
                  <c:v>44079</c:v>
                </c:pt>
                <c:pt idx="507">
                  <c:v>44078</c:v>
                </c:pt>
                <c:pt idx="508">
                  <c:v>44077</c:v>
                </c:pt>
                <c:pt idx="509">
                  <c:v>44076</c:v>
                </c:pt>
                <c:pt idx="510">
                  <c:v>44075</c:v>
                </c:pt>
                <c:pt idx="511">
                  <c:v>44074</c:v>
                </c:pt>
                <c:pt idx="512">
                  <c:v>44073</c:v>
                </c:pt>
                <c:pt idx="513">
                  <c:v>44072</c:v>
                </c:pt>
                <c:pt idx="514">
                  <c:v>44071</c:v>
                </c:pt>
                <c:pt idx="515">
                  <c:v>44070</c:v>
                </c:pt>
                <c:pt idx="516">
                  <c:v>44069</c:v>
                </c:pt>
                <c:pt idx="517">
                  <c:v>44068</c:v>
                </c:pt>
                <c:pt idx="518">
                  <c:v>44067</c:v>
                </c:pt>
                <c:pt idx="519">
                  <c:v>44066</c:v>
                </c:pt>
                <c:pt idx="520">
                  <c:v>44065</c:v>
                </c:pt>
                <c:pt idx="521">
                  <c:v>44064</c:v>
                </c:pt>
                <c:pt idx="522">
                  <c:v>44063</c:v>
                </c:pt>
                <c:pt idx="523">
                  <c:v>44062</c:v>
                </c:pt>
                <c:pt idx="524">
                  <c:v>44061</c:v>
                </c:pt>
                <c:pt idx="525">
                  <c:v>44060</c:v>
                </c:pt>
                <c:pt idx="526">
                  <c:v>44059</c:v>
                </c:pt>
                <c:pt idx="527">
                  <c:v>44058</c:v>
                </c:pt>
                <c:pt idx="528">
                  <c:v>44057</c:v>
                </c:pt>
                <c:pt idx="529">
                  <c:v>44056</c:v>
                </c:pt>
                <c:pt idx="530">
                  <c:v>44055</c:v>
                </c:pt>
                <c:pt idx="531">
                  <c:v>44054</c:v>
                </c:pt>
                <c:pt idx="532">
                  <c:v>44053</c:v>
                </c:pt>
                <c:pt idx="533">
                  <c:v>44052</c:v>
                </c:pt>
                <c:pt idx="534">
                  <c:v>44051</c:v>
                </c:pt>
                <c:pt idx="535">
                  <c:v>44050</c:v>
                </c:pt>
                <c:pt idx="536">
                  <c:v>44049</c:v>
                </c:pt>
                <c:pt idx="537">
                  <c:v>44048</c:v>
                </c:pt>
                <c:pt idx="538">
                  <c:v>44047</c:v>
                </c:pt>
                <c:pt idx="539">
                  <c:v>44046</c:v>
                </c:pt>
                <c:pt idx="540">
                  <c:v>44045</c:v>
                </c:pt>
                <c:pt idx="541">
                  <c:v>44044</c:v>
                </c:pt>
                <c:pt idx="542">
                  <c:v>44043</c:v>
                </c:pt>
                <c:pt idx="543">
                  <c:v>44042</c:v>
                </c:pt>
                <c:pt idx="544">
                  <c:v>44041</c:v>
                </c:pt>
                <c:pt idx="545">
                  <c:v>44040</c:v>
                </c:pt>
                <c:pt idx="546">
                  <c:v>44039</c:v>
                </c:pt>
                <c:pt idx="547">
                  <c:v>44038</c:v>
                </c:pt>
                <c:pt idx="548">
                  <c:v>44037</c:v>
                </c:pt>
                <c:pt idx="549">
                  <c:v>44036</c:v>
                </c:pt>
                <c:pt idx="550">
                  <c:v>44035</c:v>
                </c:pt>
                <c:pt idx="551">
                  <c:v>44034</c:v>
                </c:pt>
                <c:pt idx="552">
                  <c:v>44033</c:v>
                </c:pt>
                <c:pt idx="553">
                  <c:v>44032</c:v>
                </c:pt>
                <c:pt idx="554">
                  <c:v>44031</c:v>
                </c:pt>
                <c:pt idx="555">
                  <c:v>44030</c:v>
                </c:pt>
                <c:pt idx="556">
                  <c:v>44029</c:v>
                </c:pt>
                <c:pt idx="557">
                  <c:v>44028</c:v>
                </c:pt>
                <c:pt idx="558">
                  <c:v>44027</c:v>
                </c:pt>
                <c:pt idx="559">
                  <c:v>44026</c:v>
                </c:pt>
                <c:pt idx="560">
                  <c:v>44025</c:v>
                </c:pt>
                <c:pt idx="561">
                  <c:v>44024</c:v>
                </c:pt>
                <c:pt idx="562">
                  <c:v>44023</c:v>
                </c:pt>
                <c:pt idx="563">
                  <c:v>44022</c:v>
                </c:pt>
                <c:pt idx="564">
                  <c:v>44021</c:v>
                </c:pt>
                <c:pt idx="565">
                  <c:v>44020</c:v>
                </c:pt>
                <c:pt idx="566">
                  <c:v>44019</c:v>
                </c:pt>
                <c:pt idx="567">
                  <c:v>44018</c:v>
                </c:pt>
                <c:pt idx="568">
                  <c:v>44017</c:v>
                </c:pt>
                <c:pt idx="569">
                  <c:v>44016</c:v>
                </c:pt>
                <c:pt idx="570">
                  <c:v>44015</c:v>
                </c:pt>
                <c:pt idx="571">
                  <c:v>44014</c:v>
                </c:pt>
                <c:pt idx="572">
                  <c:v>44013</c:v>
                </c:pt>
                <c:pt idx="573">
                  <c:v>44012</c:v>
                </c:pt>
                <c:pt idx="574">
                  <c:v>44011</c:v>
                </c:pt>
                <c:pt idx="575">
                  <c:v>44010</c:v>
                </c:pt>
                <c:pt idx="576">
                  <c:v>44009</c:v>
                </c:pt>
                <c:pt idx="577">
                  <c:v>44008</c:v>
                </c:pt>
                <c:pt idx="578">
                  <c:v>44007</c:v>
                </c:pt>
                <c:pt idx="579">
                  <c:v>44006</c:v>
                </c:pt>
                <c:pt idx="580">
                  <c:v>44005</c:v>
                </c:pt>
                <c:pt idx="581">
                  <c:v>44004</c:v>
                </c:pt>
                <c:pt idx="582">
                  <c:v>44003</c:v>
                </c:pt>
                <c:pt idx="583">
                  <c:v>44002</c:v>
                </c:pt>
                <c:pt idx="584">
                  <c:v>44001</c:v>
                </c:pt>
                <c:pt idx="585">
                  <c:v>44000</c:v>
                </c:pt>
                <c:pt idx="586">
                  <c:v>43999</c:v>
                </c:pt>
                <c:pt idx="587">
                  <c:v>43998</c:v>
                </c:pt>
                <c:pt idx="588">
                  <c:v>43997</c:v>
                </c:pt>
                <c:pt idx="589">
                  <c:v>43996</c:v>
                </c:pt>
                <c:pt idx="590">
                  <c:v>43995</c:v>
                </c:pt>
                <c:pt idx="591">
                  <c:v>43994</c:v>
                </c:pt>
                <c:pt idx="592">
                  <c:v>43993</c:v>
                </c:pt>
                <c:pt idx="593">
                  <c:v>43992</c:v>
                </c:pt>
                <c:pt idx="594">
                  <c:v>43991</c:v>
                </c:pt>
                <c:pt idx="595">
                  <c:v>43990</c:v>
                </c:pt>
                <c:pt idx="596">
                  <c:v>43989</c:v>
                </c:pt>
                <c:pt idx="597">
                  <c:v>43988</c:v>
                </c:pt>
                <c:pt idx="598">
                  <c:v>43987</c:v>
                </c:pt>
                <c:pt idx="599">
                  <c:v>43986</c:v>
                </c:pt>
                <c:pt idx="600">
                  <c:v>43985</c:v>
                </c:pt>
                <c:pt idx="601">
                  <c:v>43984</c:v>
                </c:pt>
                <c:pt idx="602">
                  <c:v>43983</c:v>
                </c:pt>
                <c:pt idx="603">
                  <c:v>43982</c:v>
                </c:pt>
                <c:pt idx="604">
                  <c:v>43981</c:v>
                </c:pt>
                <c:pt idx="605">
                  <c:v>43980</c:v>
                </c:pt>
                <c:pt idx="606">
                  <c:v>43979</c:v>
                </c:pt>
                <c:pt idx="607">
                  <c:v>43978</c:v>
                </c:pt>
                <c:pt idx="608">
                  <c:v>43977</c:v>
                </c:pt>
                <c:pt idx="609">
                  <c:v>43976</c:v>
                </c:pt>
                <c:pt idx="610">
                  <c:v>43975</c:v>
                </c:pt>
                <c:pt idx="611">
                  <c:v>43974</c:v>
                </c:pt>
                <c:pt idx="612">
                  <c:v>43973</c:v>
                </c:pt>
                <c:pt idx="613">
                  <c:v>43972</c:v>
                </c:pt>
                <c:pt idx="614">
                  <c:v>43971</c:v>
                </c:pt>
                <c:pt idx="615">
                  <c:v>43970</c:v>
                </c:pt>
                <c:pt idx="616">
                  <c:v>43969</c:v>
                </c:pt>
                <c:pt idx="617">
                  <c:v>43968</c:v>
                </c:pt>
                <c:pt idx="618">
                  <c:v>43967</c:v>
                </c:pt>
                <c:pt idx="619">
                  <c:v>43966</c:v>
                </c:pt>
                <c:pt idx="620">
                  <c:v>43965</c:v>
                </c:pt>
                <c:pt idx="621">
                  <c:v>43964</c:v>
                </c:pt>
                <c:pt idx="622">
                  <c:v>43963</c:v>
                </c:pt>
                <c:pt idx="623">
                  <c:v>43962</c:v>
                </c:pt>
                <c:pt idx="624">
                  <c:v>43961</c:v>
                </c:pt>
                <c:pt idx="625">
                  <c:v>43960</c:v>
                </c:pt>
                <c:pt idx="626">
                  <c:v>43959</c:v>
                </c:pt>
                <c:pt idx="627">
                  <c:v>43958</c:v>
                </c:pt>
                <c:pt idx="628">
                  <c:v>43957</c:v>
                </c:pt>
                <c:pt idx="629">
                  <c:v>43956</c:v>
                </c:pt>
                <c:pt idx="630">
                  <c:v>43955</c:v>
                </c:pt>
                <c:pt idx="631">
                  <c:v>43954</c:v>
                </c:pt>
                <c:pt idx="632">
                  <c:v>43953</c:v>
                </c:pt>
                <c:pt idx="633">
                  <c:v>43952</c:v>
                </c:pt>
                <c:pt idx="634">
                  <c:v>43951</c:v>
                </c:pt>
                <c:pt idx="635">
                  <c:v>43950</c:v>
                </c:pt>
                <c:pt idx="636">
                  <c:v>43949</c:v>
                </c:pt>
                <c:pt idx="637">
                  <c:v>43948</c:v>
                </c:pt>
                <c:pt idx="638">
                  <c:v>43947</c:v>
                </c:pt>
                <c:pt idx="639">
                  <c:v>43946</c:v>
                </c:pt>
                <c:pt idx="640">
                  <c:v>43945</c:v>
                </c:pt>
                <c:pt idx="641">
                  <c:v>43944</c:v>
                </c:pt>
                <c:pt idx="642">
                  <c:v>43943</c:v>
                </c:pt>
                <c:pt idx="643">
                  <c:v>43942</c:v>
                </c:pt>
                <c:pt idx="644">
                  <c:v>43941</c:v>
                </c:pt>
                <c:pt idx="645">
                  <c:v>43940</c:v>
                </c:pt>
                <c:pt idx="646">
                  <c:v>43939</c:v>
                </c:pt>
                <c:pt idx="647">
                  <c:v>43938</c:v>
                </c:pt>
                <c:pt idx="648">
                  <c:v>43937</c:v>
                </c:pt>
                <c:pt idx="649">
                  <c:v>43936</c:v>
                </c:pt>
                <c:pt idx="650">
                  <c:v>43935</c:v>
                </c:pt>
                <c:pt idx="651">
                  <c:v>43934</c:v>
                </c:pt>
                <c:pt idx="652">
                  <c:v>43933</c:v>
                </c:pt>
                <c:pt idx="653">
                  <c:v>43932</c:v>
                </c:pt>
                <c:pt idx="654">
                  <c:v>43931</c:v>
                </c:pt>
                <c:pt idx="655">
                  <c:v>43930</c:v>
                </c:pt>
                <c:pt idx="656">
                  <c:v>43929</c:v>
                </c:pt>
                <c:pt idx="657">
                  <c:v>43928</c:v>
                </c:pt>
                <c:pt idx="658">
                  <c:v>43927</c:v>
                </c:pt>
                <c:pt idx="659">
                  <c:v>43926</c:v>
                </c:pt>
                <c:pt idx="660">
                  <c:v>43925</c:v>
                </c:pt>
                <c:pt idx="661">
                  <c:v>43924</c:v>
                </c:pt>
                <c:pt idx="662">
                  <c:v>43923</c:v>
                </c:pt>
                <c:pt idx="663">
                  <c:v>43922</c:v>
                </c:pt>
                <c:pt idx="664">
                  <c:v>43921</c:v>
                </c:pt>
                <c:pt idx="665">
                  <c:v>43920</c:v>
                </c:pt>
                <c:pt idx="666">
                  <c:v>43919</c:v>
                </c:pt>
                <c:pt idx="667">
                  <c:v>43918</c:v>
                </c:pt>
                <c:pt idx="668">
                  <c:v>43917</c:v>
                </c:pt>
                <c:pt idx="669">
                  <c:v>43916</c:v>
                </c:pt>
                <c:pt idx="670">
                  <c:v>43915</c:v>
                </c:pt>
                <c:pt idx="671">
                  <c:v>43914</c:v>
                </c:pt>
                <c:pt idx="672">
                  <c:v>43913</c:v>
                </c:pt>
                <c:pt idx="673">
                  <c:v>43912</c:v>
                </c:pt>
                <c:pt idx="674">
                  <c:v>43911</c:v>
                </c:pt>
                <c:pt idx="675">
                  <c:v>43910</c:v>
                </c:pt>
                <c:pt idx="676">
                  <c:v>43909</c:v>
                </c:pt>
                <c:pt idx="677">
                  <c:v>43908</c:v>
                </c:pt>
                <c:pt idx="678">
                  <c:v>43907</c:v>
                </c:pt>
                <c:pt idx="679">
                  <c:v>43906</c:v>
                </c:pt>
                <c:pt idx="680">
                  <c:v>43905</c:v>
                </c:pt>
                <c:pt idx="681">
                  <c:v>43904</c:v>
                </c:pt>
                <c:pt idx="682">
                  <c:v>43903</c:v>
                </c:pt>
                <c:pt idx="683">
                  <c:v>43902</c:v>
                </c:pt>
                <c:pt idx="684">
                  <c:v>43901</c:v>
                </c:pt>
                <c:pt idx="685">
                  <c:v>43900</c:v>
                </c:pt>
                <c:pt idx="686">
                  <c:v>43899</c:v>
                </c:pt>
                <c:pt idx="687">
                  <c:v>43898</c:v>
                </c:pt>
                <c:pt idx="688">
                  <c:v>43897</c:v>
                </c:pt>
                <c:pt idx="689">
                  <c:v>43896</c:v>
                </c:pt>
                <c:pt idx="690">
                  <c:v>43895</c:v>
                </c:pt>
                <c:pt idx="691">
                  <c:v>43894</c:v>
                </c:pt>
                <c:pt idx="692">
                  <c:v>43893</c:v>
                </c:pt>
                <c:pt idx="693">
                  <c:v>43892</c:v>
                </c:pt>
                <c:pt idx="694">
                  <c:v>43891</c:v>
                </c:pt>
                <c:pt idx="695">
                  <c:v>43890</c:v>
                </c:pt>
                <c:pt idx="696">
                  <c:v>43889</c:v>
                </c:pt>
                <c:pt idx="697">
                  <c:v>43888</c:v>
                </c:pt>
                <c:pt idx="698">
                  <c:v>43887</c:v>
                </c:pt>
                <c:pt idx="699">
                  <c:v>43886</c:v>
                </c:pt>
                <c:pt idx="700">
                  <c:v>43885</c:v>
                </c:pt>
                <c:pt idx="701">
                  <c:v>43884</c:v>
                </c:pt>
                <c:pt idx="702">
                  <c:v>43883</c:v>
                </c:pt>
                <c:pt idx="703">
                  <c:v>43882</c:v>
                </c:pt>
                <c:pt idx="704">
                  <c:v>43881</c:v>
                </c:pt>
                <c:pt idx="705">
                  <c:v>43880</c:v>
                </c:pt>
                <c:pt idx="706">
                  <c:v>43879</c:v>
                </c:pt>
                <c:pt idx="707">
                  <c:v>43878</c:v>
                </c:pt>
                <c:pt idx="708">
                  <c:v>43877</c:v>
                </c:pt>
                <c:pt idx="709">
                  <c:v>43876</c:v>
                </c:pt>
                <c:pt idx="710">
                  <c:v>43875</c:v>
                </c:pt>
                <c:pt idx="711">
                  <c:v>43874</c:v>
                </c:pt>
                <c:pt idx="712">
                  <c:v>43873</c:v>
                </c:pt>
                <c:pt idx="713">
                  <c:v>43872</c:v>
                </c:pt>
                <c:pt idx="714">
                  <c:v>43871</c:v>
                </c:pt>
                <c:pt idx="715">
                  <c:v>43870</c:v>
                </c:pt>
                <c:pt idx="716">
                  <c:v>43869</c:v>
                </c:pt>
                <c:pt idx="717">
                  <c:v>43868</c:v>
                </c:pt>
                <c:pt idx="718">
                  <c:v>43867</c:v>
                </c:pt>
                <c:pt idx="719">
                  <c:v>43866</c:v>
                </c:pt>
                <c:pt idx="720">
                  <c:v>43865</c:v>
                </c:pt>
                <c:pt idx="721">
                  <c:v>43864</c:v>
                </c:pt>
                <c:pt idx="722">
                  <c:v>43863</c:v>
                </c:pt>
                <c:pt idx="723">
                  <c:v>43862</c:v>
                </c:pt>
                <c:pt idx="724">
                  <c:v>43861</c:v>
                </c:pt>
                <c:pt idx="725">
                  <c:v>43860</c:v>
                </c:pt>
                <c:pt idx="726">
                  <c:v>43859</c:v>
                </c:pt>
                <c:pt idx="727">
                  <c:v>43858</c:v>
                </c:pt>
                <c:pt idx="728">
                  <c:v>43857</c:v>
                </c:pt>
                <c:pt idx="729">
                  <c:v>43856</c:v>
                </c:pt>
                <c:pt idx="730">
                  <c:v>43855</c:v>
                </c:pt>
                <c:pt idx="731">
                  <c:v>43854</c:v>
                </c:pt>
                <c:pt idx="732">
                  <c:v>43853</c:v>
                </c:pt>
                <c:pt idx="733">
                  <c:v>43852</c:v>
                </c:pt>
                <c:pt idx="734">
                  <c:v>43851</c:v>
                </c:pt>
                <c:pt idx="735">
                  <c:v>43850</c:v>
                </c:pt>
                <c:pt idx="736">
                  <c:v>43849</c:v>
                </c:pt>
                <c:pt idx="737">
                  <c:v>43848</c:v>
                </c:pt>
                <c:pt idx="738">
                  <c:v>43847</c:v>
                </c:pt>
                <c:pt idx="739">
                  <c:v>43846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0.71850000000000003</c:v>
                </c:pt>
                <c:pt idx="1">
                  <c:v>0.73150000000000004</c:v>
                </c:pt>
                <c:pt idx="2">
                  <c:v>0.73839999999999995</c:v>
                </c:pt>
                <c:pt idx="3">
                  <c:v>0.74770000000000003</c:v>
                </c:pt>
                <c:pt idx="4">
                  <c:v>0.80500000000000005</c:v>
                </c:pt>
                <c:pt idx="5">
                  <c:v>0.72160000000000002</c:v>
                </c:pt>
                <c:pt idx="6">
                  <c:v>0.75380000000000003</c:v>
                </c:pt>
                <c:pt idx="7">
                  <c:v>0.86829999999999996</c:v>
                </c:pt>
                <c:pt idx="8">
                  <c:v>0.92810000000000004</c:v>
                </c:pt>
                <c:pt idx="9">
                  <c:v>1.0166999999999999</c:v>
                </c:pt>
                <c:pt idx="10">
                  <c:v>1.008</c:v>
                </c:pt>
                <c:pt idx="11">
                  <c:v>1.0719000000000001</c:v>
                </c:pt>
                <c:pt idx="12">
                  <c:v>0.99539999999999995</c:v>
                </c:pt>
                <c:pt idx="13">
                  <c:v>0.99660000000000004</c:v>
                </c:pt>
                <c:pt idx="14">
                  <c:v>1.0092000000000001</c:v>
                </c:pt>
                <c:pt idx="15">
                  <c:v>1.0783</c:v>
                </c:pt>
                <c:pt idx="16">
                  <c:v>1.0262</c:v>
                </c:pt>
                <c:pt idx="17">
                  <c:v>1.0024</c:v>
                </c:pt>
                <c:pt idx="18">
                  <c:v>1.0802</c:v>
                </c:pt>
                <c:pt idx="19">
                  <c:v>1.0887</c:v>
                </c:pt>
                <c:pt idx="20">
                  <c:v>1.1277999999999999</c:v>
                </c:pt>
                <c:pt idx="21">
                  <c:v>1.2292000000000001</c:v>
                </c:pt>
                <c:pt idx="22">
                  <c:v>1.1173</c:v>
                </c:pt>
                <c:pt idx="23">
                  <c:v>1.3801000000000001</c:v>
                </c:pt>
                <c:pt idx="24">
                  <c:v>1.51</c:v>
                </c:pt>
                <c:pt idx="25">
                  <c:v>1.1726000000000001</c:v>
                </c:pt>
                <c:pt idx="26">
                  <c:v>1.2905</c:v>
                </c:pt>
                <c:pt idx="27">
                  <c:v>1.1047</c:v>
                </c:pt>
                <c:pt idx="28">
                  <c:v>1.0953999999999999</c:v>
                </c:pt>
                <c:pt idx="29">
                  <c:v>1.042</c:v>
                </c:pt>
                <c:pt idx="30">
                  <c:v>0.89129999999999998</c:v>
                </c:pt>
                <c:pt idx="31">
                  <c:v>1.0004999999999999</c:v>
                </c:pt>
                <c:pt idx="32">
                  <c:v>0.86480000000000001</c:v>
                </c:pt>
                <c:pt idx="33">
                  <c:v>0.85209999999999997</c:v>
                </c:pt>
                <c:pt idx="34">
                  <c:v>0.85029999999999994</c:v>
                </c:pt>
                <c:pt idx="35">
                  <c:v>0.84160000000000001</c:v>
                </c:pt>
                <c:pt idx="36">
                  <c:v>0.80579999999999996</c:v>
                </c:pt>
                <c:pt idx="37">
                  <c:v>0.81979999999999997</c:v>
                </c:pt>
                <c:pt idx="38">
                  <c:v>0.79349999999999998</c:v>
                </c:pt>
                <c:pt idx="39">
                  <c:v>0.81140000000000001</c:v>
                </c:pt>
                <c:pt idx="40">
                  <c:v>0.84230000000000005</c:v>
                </c:pt>
                <c:pt idx="41">
                  <c:v>0.85640000000000005</c:v>
                </c:pt>
                <c:pt idx="42">
                  <c:v>0.81879999999999997</c:v>
                </c:pt>
                <c:pt idx="43">
                  <c:v>0.73980000000000001</c:v>
                </c:pt>
                <c:pt idx="44">
                  <c:v>0.7319</c:v>
                </c:pt>
                <c:pt idx="45">
                  <c:v>0.73550000000000004</c:v>
                </c:pt>
                <c:pt idx="46">
                  <c:v>0.86019999999999996</c:v>
                </c:pt>
                <c:pt idx="47">
                  <c:v>0.80569999999999997</c:v>
                </c:pt>
                <c:pt idx="48">
                  <c:v>0.80010000000000003</c:v>
                </c:pt>
                <c:pt idx="49">
                  <c:v>0.82499999999999996</c:v>
                </c:pt>
                <c:pt idx="50">
                  <c:v>0.94799999999999995</c:v>
                </c:pt>
                <c:pt idx="51">
                  <c:v>0.95760000000000001</c:v>
                </c:pt>
                <c:pt idx="52">
                  <c:v>0.99039999999999995</c:v>
                </c:pt>
                <c:pt idx="53">
                  <c:v>0.95830000000000004</c:v>
                </c:pt>
                <c:pt idx="54">
                  <c:v>0.88370000000000004</c:v>
                </c:pt>
                <c:pt idx="55">
                  <c:v>1.1653</c:v>
                </c:pt>
                <c:pt idx="56">
                  <c:v>1.0122</c:v>
                </c:pt>
                <c:pt idx="57">
                  <c:v>1.0494000000000001</c:v>
                </c:pt>
                <c:pt idx="58">
                  <c:v>1.0627</c:v>
                </c:pt>
                <c:pt idx="59">
                  <c:v>1.1132</c:v>
                </c:pt>
                <c:pt idx="60">
                  <c:v>1.1791</c:v>
                </c:pt>
                <c:pt idx="61">
                  <c:v>1.0467</c:v>
                </c:pt>
                <c:pt idx="62">
                  <c:v>0.94899999999999995</c:v>
                </c:pt>
                <c:pt idx="63">
                  <c:v>1.093</c:v>
                </c:pt>
                <c:pt idx="64">
                  <c:v>1.3227</c:v>
                </c:pt>
                <c:pt idx="65">
                  <c:v>1.0967</c:v>
                </c:pt>
                <c:pt idx="66">
                  <c:v>1.0158</c:v>
                </c:pt>
                <c:pt idx="67">
                  <c:v>1.0102</c:v>
                </c:pt>
                <c:pt idx="68">
                  <c:v>1.3170999999999999</c:v>
                </c:pt>
                <c:pt idx="69">
                  <c:v>0.71150000000000002</c:v>
                </c:pt>
                <c:pt idx="70">
                  <c:v>0.63829999999999998</c:v>
                </c:pt>
                <c:pt idx="71">
                  <c:v>0.68889999999999996</c:v>
                </c:pt>
                <c:pt idx="72">
                  <c:v>0.66739999999999999</c:v>
                </c:pt>
                <c:pt idx="73">
                  <c:v>0.70609999999999995</c:v>
                </c:pt>
                <c:pt idx="74">
                  <c:v>0.73750000000000004</c:v>
                </c:pt>
                <c:pt idx="75">
                  <c:v>0.76190000000000002</c:v>
                </c:pt>
                <c:pt idx="76">
                  <c:v>0.77629999999999999</c:v>
                </c:pt>
                <c:pt idx="77">
                  <c:v>0.72860000000000003</c:v>
                </c:pt>
                <c:pt idx="78">
                  <c:v>0.70850000000000002</c:v>
                </c:pt>
                <c:pt idx="79">
                  <c:v>0.75339999999999996</c:v>
                </c:pt>
                <c:pt idx="80">
                  <c:v>0.71519999999999995</c:v>
                </c:pt>
                <c:pt idx="81">
                  <c:v>0.69389999999999996</c:v>
                </c:pt>
                <c:pt idx="82">
                  <c:v>0.66249999999999998</c:v>
                </c:pt>
                <c:pt idx="83">
                  <c:v>0.67410000000000003</c:v>
                </c:pt>
                <c:pt idx="84">
                  <c:v>0.7087</c:v>
                </c:pt>
                <c:pt idx="85">
                  <c:v>0.66639999999999999</c:v>
                </c:pt>
                <c:pt idx="86">
                  <c:v>0.66949999999999998</c:v>
                </c:pt>
                <c:pt idx="87">
                  <c:v>0.65549999999999997</c:v>
                </c:pt>
                <c:pt idx="88">
                  <c:v>0.64990000000000003</c:v>
                </c:pt>
                <c:pt idx="89">
                  <c:v>0.63970000000000005</c:v>
                </c:pt>
                <c:pt idx="90">
                  <c:v>0.66859999999999997</c:v>
                </c:pt>
                <c:pt idx="91">
                  <c:v>0.63500000000000001</c:v>
                </c:pt>
                <c:pt idx="92">
                  <c:v>0.61890000000000001</c:v>
                </c:pt>
                <c:pt idx="93">
                  <c:v>0.6613</c:v>
                </c:pt>
                <c:pt idx="94">
                  <c:v>0.6804</c:v>
                </c:pt>
                <c:pt idx="95">
                  <c:v>0.66539999999999999</c:v>
                </c:pt>
                <c:pt idx="96">
                  <c:v>0.70069999999999999</c:v>
                </c:pt>
                <c:pt idx="97">
                  <c:v>0.69840000000000002</c:v>
                </c:pt>
                <c:pt idx="98">
                  <c:v>0.68020000000000003</c:v>
                </c:pt>
                <c:pt idx="99">
                  <c:v>0.69120000000000004</c:v>
                </c:pt>
                <c:pt idx="100">
                  <c:v>0.64119999999999999</c:v>
                </c:pt>
                <c:pt idx="101">
                  <c:v>0.66190000000000004</c:v>
                </c:pt>
                <c:pt idx="102">
                  <c:v>0.68410000000000004</c:v>
                </c:pt>
                <c:pt idx="103">
                  <c:v>0.67749999999999999</c:v>
                </c:pt>
                <c:pt idx="104">
                  <c:v>0.69030000000000002</c:v>
                </c:pt>
                <c:pt idx="105">
                  <c:v>0.65329999999999999</c:v>
                </c:pt>
                <c:pt idx="106">
                  <c:v>0.64959999999999996</c:v>
                </c:pt>
                <c:pt idx="107">
                  <c:v>0.63019999999999998</c:v>
                </c:pt>
                <c:pt idx="108">
                  <c:v>0.62329999999999997</c:v>
                </c:pt>
                <c:pt idx="109">
                  <c:v>0.63460000000000005</c:v>
                </c:pt>
                <c:pt idx="110">
                  <c:v>0.66220000000000001</c:v>
                </c:pt>
                <c:pt idx="111">
                  <c:v>0.69899999999999995</c:v>
                </c:pt>
                <c:pt idx="112">
                  <c:v>0.65639999999999998</c:v>
                </c:pt>
                <c:pt idx="113">
                  <c:v>0.61950000000000005</c:v>
                </c:pt>
                <c:pt idx="114">
                  <c:v>0.57999999999999996</c:v>
                </c:pt>
                <c:pt idx="115">
                  <c:v>0.56369999999999998</c:v>
                </c:pt>
                <c:pt idx="116">
                  <c:v>0.5575</c:v>
                </c:pt>
                <c:pt idx="117">
                  <c:v>0.56499999999999995</c:v>
                </c:pt>
                <c:pt idx="118">
                  <c:v>0.56840000000000002</c:v>
                </c:pt>
                <c:pt idx="119">
                  <c:v>0.54559999999999997</c:v>
                </c:pt>
                <c:pt idx="120">
                  <c:v>0.50980000000000003</c:v>
                </c:pt>
                <c:pt idx="121">
                  <c:v>0.51770000000000005</c:v>
                </c:pt>
                <c:pt idx="122">
                  <c:v>0.5222</c:v>
                </c:pt>
                <c:pt idx="123">
                  <c:v>0.54700000000000004</c:v>
                </c:pt>
                <c:pt idx="124">
                  <c:v>0.62270000000000003</c:v>
                </c:pt>
                <c:pt idx="125">
                  <c:v>0.55289999999999995</c:v>
                </c:pt>
                <c:pt idx="126">
                  <c:v>0.59489999999999998</c:v>
                </c:pt>
                <c:pt idx="127">
                  <c:v>0.58260000000000001</c:v>
                </c:pt>
                <c:pt idx="128">
                  <c:v>0.52939999999999998</c:v>
                </c:pt>
                <c:pt idx="129">
                  <c:v>0.63490000000000002</c:v>
                </c:pt>
                <c:pt idx="130">
                  <c:v>0.6825</c:v>
                </c:pt>
                <c:pt idx="131">
                  <c:v>0.73570000000000002</c:v>
                </c:pt>
                <c:pt idx="132">
                  <c:v>0.72950000000000004</c:v>
                </c:pt>
                <c:pt idx="133">
                  <c:v>0.7016</c:v>
                </c:pt>
                <c:pt idx="134">
                  <c:v>0.68659999999999999</c:v>
                </c:pt>
                <c:pt idx="135">
                  <c:v>0.65820000000000001</c:v>
                </c:pt>
                <c:pt idx="136">
                  <c:v>0.64159999999999995</c:v>
                </c:pt>
                <c:pt idx="137">
                  <c:v>0.67</c:v>
                </c:pt>
                <c:pt idx="138">
                  <c:v>0.67130000000000001</c:v>
                </c:pt>
                <c:pt idx="139">
                  <c:v>0.63</c:v>
                </c:pt>
                <c:pt idx="140">
                  <c:v>0.68359999999999999</c:v>
                </c:pt>
                <c:pt idx="141">
                  <c:v>0.67949999999999999</c:v>
                </c:pt>
                <c:pt idx="142">
                  <c:v>0.69189999999999996</c:v>
                </c:pt>
                <c:pt idx="143">
                  <c:v>0.89459999999999995</c:v>
                </c:pt>
                <c:pt idx="144">
                  <c:v>0.84399999999999997</c:v>
                </c:pt>
                <c:pt idx="145">
                  <c:v>0.79890000000000005</c:v>
                </c:pt>
                <c:pt idx="146">
                  <c:v>0.82179999999999997</c:v>
                </c:pt>
                <c:pt idx="147">
                  <c:v>0.81779999999999997</c:v>
                </c:pt>
                <c:pt idx="148">
                  <c:v>0.80110000000000003</c:v>
                </c:pt>
                <c:pt idx="149">
                  <c:v>0.73939999999999995</c:v>
                </c:pt>
                <c:pt idx="150">
                  <c:v>0.74760000000000004</c:v>
                </c:pt>
                <c:pt idx="151">
                  <c:v>0.81899999999999995</c:v>
                </c:pt>
                <c:pt idx="152">
                  <c:v>0.89280000000000004</c:v>
                </c:pt>
                <c:pt idx="153">
                  <c:v>0.82569999999999999</c:v>
                </c:pt>
                <c:pt idx="154">
                  <c:v>0.75660000000000005</c:v>
                </c:pt>
                <c:pt idx="155">
                  <c:v>0.72399999999999998</c:v>
                </c:pt>
                <c:pt idx="156">
                  <c:v>0.68799999999999994</c:v>
                </c:pt>
                <c:pt idx="157">
                  <c:v>0.75800000000000001</c:v>
                </c:pt>
                <c:pt idx="158">
                  <c:v>0.80100000000000005</c:v>
                </c:pt>
                <c:pt idx="159">
                  <c:v>0.74399999999999999</c:v>
                </c:pt>
                <c:pt idx="160">
                  <c:v>0.72699999999999998</c:v>
                </c:pt>
                <c:pt idx="161">
                  <c:v>0.72199999999999998</c:v>
                </c:pt>
                <c:pt idx="162">
                  <c:v>0.67400000000000004</c:v>
                </c:pt>
                <c:pt idx="163">
                  <c:v>0.68100000000000005</c:v>
                </c:pt>
                <c:pt idx="164">
                  <c:v>0.72099999999999997</c:v>
                </c:pt>
                <c:pt idx="165">
                  <c:v>0.748</c:v>
                </c:pt>
                <c:pt idx="166">
                  <c:v>0.76800000000000002</c:v>
                </c:pt>
                <c:pt idx="167">
                  <c:v>0.80500000000000005</c:v>
                </c:pt>
                <c:pt idx="168">
                  <c:v>0.753</c:v>
                </c:pt>
                <c:pt idx="169">
                  <c:v>0.71099999999999997</c:v>
                </c:pt>
                <c:pt idx="170">
                  <c:v>0.68600000000000005</c:v>
                </c:pt>
                <c:pt idx="171">
                  <c:v>0.65500000000000003</c:v>
                </c:pt>
                <c:pt idx="172">
                  <c:v>0.627</c:v>
                </c:pt>
                <c:pt idx="173">
                  <c:v>0.61299999999999999</c:v>
                </c:pt>
                <c:pt idx="174">
                  <c:v>0.61299999999999999</c:v>
                </c:pt>
                <c:pt idx="175">
                  <c:v>0.59299999999999997</c:v>
                </c:pt>
                <c:pt idx="176">
                  <c:v>0.52900000000000003</c:v>
                </c:pt>
                <c:pt idx="177">
                  <c:v>0.48799999999999999</c:v>
                </c:pt>
                <c:pt idx="178">
                  <c:v>0.51200000000000001</c:v>
                </c:pt>
                <c:pt idx="179">
                  <c:v>0.505</c:v>
                </c:pt>
                <c:pt idx="180">
                  <c:v>0.52300000000000002</c:v>
                </c:pt>
                <c:pt idx="181">
                  <c:v>0.499</c:v>
                </c:pt>
                <c:pt idx="182">
                  <c:v>0.51600000000000001</c:v>
                </c:pt>
                <c:pt idx="183">
                  <c:v>0.51100000000000001</c:v>
                </c:pt>
                <c:pt idx="184">
                  <c:v>0.52900000000000003</c:v>
                </c:pt>
                <c:pt idx="185">
                  <c:v>0.54700000000000004</c:v>
                </c:pt>
                <c:pt idx="186">
                  <c:v>0.6</c:v>
                </c:pt>
                <c:pt idx="187">
                  <c:v>0.61899999999999999</c:v>
                </c:pt>
                <c:pt idx="188">
                  <c:v>0.58799999999999997</c:v>
                </c:pt>
                <c:pt idx="189">
                  <c:v>0.53</c:v>
                </c:pt>
                <c:pt idx="190">
                  <c:v>0.48599999999999999</c:v>
                </c:pt>
                <c:pt idx="191">
                  <c:v>0.434</c:v>
                </c:pt>
                <c:pt idx="192">
                  <c:v>0.46100000000000002</c:v>
                </c:pt>
                <c:pt idx="193">
                  <c:v>0.44400000000000001</c:v>
                </c:pt>
                <c:pt idx="194">
                  <c:v>0.44500000000000001</c:v>
                </c:pt>
                <c:pt idx="195">
                  <c:v>0.443</c:v>
                </c:pt>
                <c:pt idx="196">
                  <c:v>0.52900000000000003</c:v>
                </c:pt>
                <c:pt idx="197">
                  <c:v>0.44900000000000001</c:v>
                </c:pt>
                <c:pt idx="198">
                  <c:v>0.42399999999999999</c:v>
                </c:pt>
                <c:pt idx="199">
                  <c:v>0.41699999999999998</c:v>
                </c:pt>
                <c:pt idx="200">
                  <c:v>0.42899999999999999</c:v>
                </c:pt>
                <c:pt idx="201">
                  <c:v>0.41299999999999998</c:v>
                </c:pt>
                <c:pt idx="202">
                  <c:v>0.42399999999999999</c:v>
                </c:pt>
                <c:pt idx="203">
                  <c:v>0.42199999999999999</c:v>
                </c:pt>
                <c:pt idx="204">
                  <c:v>0.439</c:v>
                </c:pt>
                <c:pt idx="205">
                  <c:v>0.436</c:v>
                </c:pt>
                <c:pt idx="206">
                  <c:v>0.41599999999999998</c:v>
                </c:pt>
                <c:pt idx="207">
                  <c:v>0.45</c:v>
                </c:pt>
                <c:pt idx="208">
                  <c:v>0.46600000000000003</c:v>
                </c:pt>
                <c:pt idx="209">
                  <c:v>0.4</c:v>
                </c:pt>
                <c:pt idx="210">
                  <c:v>0.374</c:v>
                </c:pt>
                <c:pt idx="211">
                  <c:v>0.39100000000000001</c:v>
                </c:pt>
                <c:pt idx="212">
                  <c:v>0.4</c:v>
                </c:pt>
                <c:pt idx="213">
                  <c:v>0.375</c:v>
                </c:pt>
                <c:pt idx="214">
                  <c:v>0.37</c:v>
                </c:pt>
                <c:pt idx="215">
                  <c:v>0.34799999999999998</c:v>
                </c:pt>
                <c:pt idx="216">
                  <c:v>0.35899999999999999</c:v>
                </c:pt>
                <c:pt idx="217">
                  <c:v>0.39900000000000002</c:v>
                </c:pt>
                <c:pt idx="218">
                  <c:v>0.39700000000000002</c:v>
                </c:pt>
                <c:pt idx="219">
                  <c:v>0.38</c:v>
                </c:pt>
                <c:pt idx="220">
                  <c:v>0.38500000000000001</c:v>
                </c:pt>
                <c:pt idx="221">
                  <c:v>0.51500000000000001</c:v>
                </c:pt>
                <c:pt idx="222">
                  <c:v>0.51300000000000001</c:v>
                </c:pt>
                <c:pt idx="223">
                  <c:v>0.52100000000000002</c:v>
                </c:pt>
                <c:pt idx="224">
                  <c:v>0.56799999999999995</c:v>
                </c:pt>
                <c:pt idx="225">
                  <c:v>0.60599999999999998</c:v>
                </c:pt>
                <c:pt idx="226">
                  <c:v>0.57599999999999996</c:v>
                </c:pt>
                <c:pt idx="227">
                  <c:v>0.58199999999999996</c:v>
                </c:pt>
                <c:pt idx="228">
                  <c:v>0.56899999999999995</c:v>
                </c:pt>
                <c:pt idx="229">
                  <c:v>0.53500000000000003</c:v>
                </c:pt>
                <c:pt idx="230">
                  <c:v>0.55000000000000004</c:v>
                </c:pt>
                <c:pt idx="231">
                  <c:v>0.60099999999999998</c:v>
                </c:pt>
                <c:pt idx="232">
                  <c:v>0.66600000000000004</c:v>
                </c:pt>
                <c:pt idx="233">
                  <c:v>0.55100000000000005</c:v>
                </c:pt>
                <c:pt idx="234">
                  <c:v>0.55400000000000005</c:v>
                </c:pt>
                <c:pt idx="235">
                  <c:v>0.59199999999999997</c:v>
                </c:pt>
                <c:pt idx="236">
                  <c:v>0.56299999999999994</c:v>
                </c:pt>
                <c:pt idx="237">
                  <c:v>0.60399999999999998</c:v>
                </c:pt>
                <c:pt idx="238">
                  <c:v>0.71199999999999997</c:v>
                </c:pt>
                <c:pt idx="239">
                  <c:v>0.627</c:v>
                </c:pt>
                <c:pt idx="240">
                  <c:v>0.622</c:v>
                </c:pt>
                <c:pt idx="241">
                  <c:v>0.65600000000000003</c:v>
                </c:pt>
                <c:pt idx="242">
                  <c:v>0.629</c:v>
                </c:pt>
                <c:pt idx="243">
                  <c:v>0.66400000000000003</c:v>
                </c:pt>
                <c:pt idx="244">
                  <c:v>0.53600000000000003</c:v>
                </c:pt>
                <c:pt idx="245">
                  <c:v>0.57399999999999995</c:v>
                </c:pt>
                <c:pt idx="246">
                  <c:v>0.627</c:v>
                </c:pt>
                <c:pt idx="247">
                  <c:v>0.53100000000000003</c:v>
                </c:pt>
                <c:pt idx="248">
                  <c:v>0.53300000000000003</c:v>
                </c:pt>
                <c:pt idx="249">
                  <c:v>0.44500000000000001</c:v>
                </c:pt>
                <c:pt idx="250">
                  <c:v>0.56000000000000005</c:v>
                </c:pt>
                <c:pt idx="251">
                  <c:v>0.60699999999999998</c:v>
                </c:pt>
                <c:pt idx="252">
                  <c:v>0.71</c:v>
                </c:pt>
                <c:pt idx="253">
                  <c:v>0.59199999999999997</c:v>
                </c:pt>
                <c:pt idx="254">
                  <c:v>0.97899999999999998</c:v>
                </c:pt>
                <c:pt idx="255">
                  <c:v>0.95099999999999996</c:v>
                </c:pt>
                <c:pt idx="256">
                  <c:v>1.0589999999999999</c:v>
                </c:pt>
                <c:pt idx="257">
                  <c:v>1.028</c:v>
                </c:pt>
                <c:pt idx="258">
                  <c:v>1.1419999999999999</c:v>
                </c:pt>
                <c:pt idx="259">
                  <c:v>1.0669999999999999</c:v>
                </c:pt>
                <c:pt idx="260">
                  <c:v>1.1299999999999999</c:v>
                </c:pt>
                <c:pt idx="261">
                  <c:v>1.379</c:v>
                </c:pt>
                <c:pt idx="262">
                  <c:v>1.3089999999999999</c:v>
                </c:pt>
                <c:pt idx="263">
                  <c:v>1.502</c:v>
                </c:pt>
                <c:pt idx="264">
                  <c:v>1.5549999999999999</c:v>
                </c:pt>
                <c:pt idx="265">
                  <c:v>1.579</c:v>
                </c:pt>
                <c:pt idx="266">
                  <c:v>1.4179999999999999</c:v>
                </c:pt>
                <c:pt idx="267">
                  <c:v>1.4930000000000001</c:v>
                </c:pt>
                <c:pt idx="268">
                  <c:v>1.395</c:v>
                </c:pt>
                <c:pt idx="269">
                  <c:v>1.63</c:v>
                </c:pt>
                <c:pt idx="270">
                  <c:v>1.6639999999999999</c:v>
                </c:pt>
                <c:pt idx="271">
                  <c:v>1.714</c:v>
                </c:pt>
                <c:pt idx="272">
                  <c:v>1.627</c:v>
                </c:pt>
                <c:pt idx="273">
                  <c:v>1.496</c:v>
                </c:pt>
                <c:pt idx="274">
                  <c:v>1.45</c:v>
                </c:pt>
                <c:pt idx="275">
                  <c:v>1.5469999999999999</c:v>
                </c:pt>
                <c:pt idx="276">
                  <c:v>1.363</c:v>
                </c:pt>
                <c:pt idx="277">
                  <c:v>1.196</c:v>
                </c:pt>
                <c:pt idx="278">
                  <c:v>1.1379999999999999</c:v>
                </c:pt>
                <c:pt idx="279">
                  <c:v>1.3</c:v>
                </c:pt>
                <c:pt idx="280">
                  <c:v>1.381</c:v>
                </c:pt>
                <c:pt idx="281">
                  <c:v>1.633</c:v>
                </c:pt>
                <c:pt idx="282">
                  <c:v>1.7689999999999999</c:v>
                </c:pt>
                <c:pt idx="283">
                  <c:v>1.7250000000000001</c:v>
                </c:pt>
                <c:pt idx="284">
                  <c:v>1.718</c:v>
                </c:pt>
                <c:pt idx="285">
                  <c:v>1.9610000000000001</c:v>
                </c:pt>
                <c:pt idx="286">
                  <c:v>1.956</c:v>
                </c:pt>
                <c:pt idx="287">
                  <c:v>2.1120000000000001</c:v>
                </c:pt>
                <c:pt idx="288">
                  <c:v>2.04</c:v>
                </c:pt>
                <c:pt idx="289">
                  <c:v>2.177</c:v>
                </c:pt>
                <c:pt idx="290">
                  <c:v>2.1739999999999999</c:v>
                </c:pt>
                <c:pt idx="291">
                  <c:v>2.48</c:v>
                </c:pt>
                <c:pt idx="292">
                  <c:v>2.2810000000000001</c:v>
                </c:pt>
                <c:pt idx="293">
                  <c:v>2.6230000000000002</c:v>
                </c:pt>
                <c:pt idx="294">
                  <c:v>2.8889999999999998</c:v>
                </c:pt>
                <c:pt idx="295">
                  <c:v>1.702</c:v>
                </c:pt>
                <c:pt idx="296">
                  <c:v>1.974</c:v>
                </c:pt>
                <c:pt idx="297">
                  <c:v>2.4249999999999998</c:v>
                </c:pt>
                <c:pt idx="298">
                  <c:v>2.6440000000000001</c:v>
                </c:pt>
                <c:pt idx="299">
                  <c:v>2.5720000000000001</c:v>
                </c:pt>
                <c:pt idx="300">
                  <c:v>2.8279999999999998</c:v>
                </c:pt>
                <c:pt idx="301">
                  <c:v>2.6287999999999999E-2</c:v>
                </c:pt>
                <c:pt idx="302">
                  <c:v>2.6203000000000001E-2</c:v>
                </c:pt>
                <c:pt idx="303">
                  <c:v>2.3337E-2</c:v>
                </c:pt>
                <c:pt idx="304">
                  <c:v>2.2818999999999999E-2</c:v>
                </c:pt>
                <c:pt idx="305">
                  <c:v>2.0996999999999998E-2</c:v>
                </c:pt>
                <c:pt idx="306">
                  <c:v>2.1011999999999999E-2</c:v>
                </c:pt>
                <c:pt idx="307">
                  <c:v>2.1600000000000001E-2</c:v>
                </c:pt>
                <c:pt idx="308">
                  <c:v>2.3970000000000002E-2</c:v>
                </c:pt>
                <c:pt idx="309">
                  <c:v>2.7827999999999999E-2</c:v>
                </c:pt>
                <c:pt idx="310">
                  <c:v>2.6738999999999999E-2</c:v>
                </c:pt>
                <c:pt idx="311">
                  <c:v>2.7975E-2</c:v>
                </c:pt>
                <c:pt idx="312">
                  <c:v>1.9005999999999999E-2</c:v>
                </c:pt>
                <c:pt idx="313">
                  <c:v>2.0469999999999999E-2</c:v>
                </c:pt>
                <c:pt idx="314">
                  <c:v>1.6237999999999999E-2</c:v>
                </c:pt>
                <c:pt idx="315">
                  <c:v>1.7514999999999999E-2</c:v>
                </c:pt>
                <c:pt idx="316">
                  <c:v>1.4651000000000001E-2</c:v>
                </c:pt>
                <c:pt idx="317">
                  <c:v>1.5238E-2</c:v>
                </c:pt>
                <c:pt idx="318">
                  <c:v>1.2251E-2</c:v>
                </c:pt>
                <c:pt idx="319">
                  <c:v>1.1564E-2</c:v>
                </c:pt>
                <c:pt idx="320">
                  <c:v>1.2359999999999999E-2</c:v>
                </c:pt>
                <c:pt idx="321">
                  <c:v>1.2984000000000001E-2</c:v>
                </c:pt>
                <c:pt idx="322">
                  <c:v>1.0338E-2</c:v>
                </c:pt>
                <c:pt idx="323">
                  <c:v>9.9509999999999998E-3</c:v>
                </c:pt>
                <c:pt idx="324">
                  <c:v>9.6489999999999996E-3</c:v>
                </c:pt>
                <c:pt idx="325">
                  <c:v>9.2899999999999996E-3</c:v>
                </c:pt>
                <c:pt idx="326">
                  <c:v>7.143E-3</c:v>
                </c:pt>
                <c:pt idx="327">
                  <c:v>7.319E-3</c:v>
                </c:pt>
                <c:pt idx="328">
                  <c:v>6.7879999999999998E-3</c:v>
                </c:pt>
                <c:pt idx="329">
                  <c:v>6.8300000000000001E-3</c:v>
                </c:pt>
                <c:pt idx="330">
                  <c:v>6.1399999999999996E-3</c:v>
                </c:pt>
                <c:pt idx="331">
                  <c:v>6.6059999999999999E-3</c:v>
                </c:pt>
                <c:pt idx="332">
                  <c:v>6.4359999999999999E-3</c:v>
                </c:pt>
                <c:pt idx="333">
                  <c:v>6.6189999999999999E-3</c:v>
                </c:pt>
                <c:pt idx="334">
                  <c:v>6.7470000000000004E-3</c:v>
                </c:pt>
                <c:pt idx="335">
                  <c:v>6.4120000000000002E-3</c:v>
                </c:pt>
                <c:pt idx="336">
                  <c:v>7.718E-3</c:v>
                </c:pt>
                <c:pt idx="337">
                  <c:v>8.8509999999999995E-3</c:v>
                </c:pt>
                <c:pt idx="338">
                  <c:v>8.9610000000000002E-3</c:v>
                </c:pt>
                <c:pt idx="339">
                  <c:v>8.0230000000000006E-3</c:v>
                </c:pt>
                <c:pt idx="340">
                  <c:v>8.2400000000000008E-3</c:v>
                </c:pt>
                <c:pt idx="341">
                  <c:v>7.4089999999999998E-3</c:v>
                </c:pt>
                <c:pt idx="342">
                  <c:v>8.0499999999999999E-3</c:v>
                </c:pt>
                <c:pt idx="343">
                  <c:v>7.8379999999999995E-3</c:v>
                </c:pt>
                <c:pt idx="344">
                  <c:v>8.5800000000000008E-3</c:v>
                </c:pt>
                <c:pt idx="345">
                  <c:v>8.1499999999999993E-3</c:v>
                </c:pt>
                <c:pt idx="346">
                  <c:v>7.5449999999999996E-3</c:v>
                </c:pt>
                <c:pt idx="347">
                  <c:v>6.9129999999999999E-3</c:v>
                </c:pt>
                <c:pt idx="348">
                  <c:v>6.202E-3</c:v>
                </c:pt>
                <c:pt idx="349">
                  <c:v>6.051E-3</c:v>
                </c:pt>
                <c:pt idx="350">
                  <c:v>5.6379999999999998E-3</c:v>
                </c:pt>
                <c:pt idx="351">
                  <c:v>5.189E-3</c:v>
                </c:pt>
                <c:pt idx="352">
                  <c:v>5.2750000000000002E-3</c:v>
                </c:pt>
                <c:pt idx="353">
                  <c:v>5.6160000000000003E-3</c:v>
                </c:pt>
                <c:pt idx="354">
                  <c:v>5.4790000000000004E-3</c:v>
                </c:pt>
                <c:pt idx="355">
                  <c:v>5.7190000000000001E-3</c:v>
                </c:pt>
                <c:pt idx="356">
                  <c:v>5.0720000000000001E-3</c:v>
                </c:pt>
                <c:pt idx="357">
                  <c:v>4.1159999999999999E-3</c:v>
                </c:pt>
                <c:pt idx="358">
                  <c:v>4.0010000000000002E-3</c:v>
                </c:pt>
                <c:pt idx="359">
                  <c:v>4.1399999999999996E-3</c:v>
                </c:pt>
                <c:pt idx="360">
                  <c:v>4.13E-3</c:v>
                </c:pt>
                <c:pt idx="361">
                  <c:v>4.0280000000000003E-3</c:v>
                </c:pt>
                <c:pt idx="362">
                  <c:v>3.7460000000000002E-3</c:v>
                </c:pt>
                <c:pt idx="363">
                  <c:v>3.79E-3</c:v>
                </c:pt>
                <c:pt idx="364">
                  <c:v>3.8660000000000001E-3</c:v>
                </c:pt>
                <c:pt idx="365">
                  <c:v>4.0159999999999996E-3</c:v>
                </c:pt>
                <c:pt idx="366">
                  <c:v>3.973E-3</c:v>
                </c:pt>
                <c:pt idx="367">
                  <c:v>3.8010000000000001E-3</c:v>
                </c:pt>
                <c:pt idx="368">
                  <c:v>3.764E-3</c:v>
                </c:pt>
                <c:pt idx="369">
                  <c:v>4.0749999999999996E-3</c:v>
                </c:pt>
                <c:pt idx="370">
                  <c:v>4.0920000000000002E-3</c:v>
                </c:pt>
                <c:pt idx="371">
                  <c:v>4.1099999999999999E-3</c:v>
                </c:pt>
                <c:pt idx="372">
                  <c:v>3.999E-3</c:v>
                </c:pt>
                <c:pt idx="373">
                  <c:v>4.143E-3</c:v>
                </c:pt>
                <c:pt idx="374">
                  <c:v>4.0740000000000004E-3</c:v>
                </c:pt>
                <c:pt idx="375">
                  <c:v>3.973E-3</c:v>
                </c:pt>
                <c:pt idx="376">
                  <c:v>3.9639999999999996E-3</c:v>
                </c:pt>
                <c:pt idx="377">
                  <c:v>3.7659999999999998E-3</c:v>
                </c:pt>
                <c:pt idx="378">
                  <c:v>3.9069999999999999E-3</c:v>
                </c:pt>
                <c:pt idx="379">
                  <c:v>4.1999999999999997E-3</c:v>
                </c:pt>
                <c:pt idx="380">
                  <c:v>4.5729999999999998E-3</c:v>
                </c:pt>
                <c:pt idx="381">
                  <c:v>4.496E-3</c:v>
                </c:pt>
                <c:pt idx="382">
                  <c:v>4.8770000000000003E-3</c:v>
                </c:pt>
                <c:pt idx="383">
                  <c:v>4.8079999999999998E-3</c:v>
                </c:pt>
                <c:pt idx="384">
                  <c:v>4.823E-3</c:v>
                </c:pt>
                <c:pt idx="385">
                  <c:v>4.875E-3</c:v>
                </c:pt>
                <c:pt idx="386">
                  <c:v>5.1149999999999998E-3</c:v>
                </c:pt>
                <c:pt idx="387">
                  <c:v>4.7990000000000003E-3</c:v>
                </c:pt>
                <c:pt idx="388">
                  <c:v>3.8969999999999999E-3</c:v>
                </c:pt>
                <c:pt idx="389">
                  <c:v>3.9620000000000002E-3</c:v>
                </c:pt>
                <c:pt idx="390">
                  <c:v>4.0179999999999999E-3</c:v>
                </c:pt>
                <c:pt idx="391">
                  <c:v>3.8790000000000001E-3</c:v>
                </c:pt>
                <c:pt idx="392">
                  <c:v>4.1209999999999997E-3</c:v>
                </c:pt>
                <c:pt idx="393">
                  <c:v>4.2050000000000004E-3</c:v>
                </c:pt>
                <c:pt idx="394">
                  <c:v>4.0330000000000001E-3</c:v>
                </c:pt>
                <c:pt idx="395">
                  <c:v>4.2110000000000003E-3</c:v>
                </c:pt>
                <c:pt idx="396">
                  <c:v>4.1250000000000002E-3</c:v>
                </c:pt>
                <c:pt idx="397">
                  <c:v>3.571E-3</c:v>
                </c:pt>
                <c:pt idx="398">
                  <c:v>3.48E-3</c:v>
                </c:pt>
                <c:pt idx="399">
                  <c:v>3.4420000000000002E-3</c:v>
                </c:pt>
                <c:pt idx="400">
                  <c:v>3.3119999999999998E-3</c:v>
                </c:pt>
                <c:pt idx="401">
                  <c:v>3.4120000000000001E-3</c:v>
                </c:pt>
                <c:pt idx="402">
                  <c:v>3.4859999999999999E-3</c:v>
                </c:pt>
                <c:pt idx="403">
                  <c:v>3.2469999999999999E-3</c:v>
                </c:pt>
                <c:pt idx="404">
                  <c:v>3.4399999999999999E-3</c:v>
                </c:pt>
                <c:pt idx="405">
                  <c:v>3.3170000000000001E-3</c:v>
                </c:pt>
                <c:pt idx="406">
                  <c:v>3.6389999999999999E-3</c:v>
                </c:pt>
                <c:pt idx="407">
                  <c:v>3.7360000000000002E-3</c:v>
                </c:pt>
                <c:pt idx="408">
                  <c:v>3.4710000000000001E-3</c:v>
                </c:pt>
                <c:pt idx="409">
                  <c:v>3.1480000000000002E-3</c:v>
                </c:pt>
                <c:pt idx="410">
                  <c:v>3.0040000000000002E-3</c:v>
                </c:pt>
                <c:pt idx="411">
                  <c:v>3.1150000000000001E-3</c:v>
                </c:pt>
                <c:pt idx="412">
                  <c:v>3.0699999999999998E-3</c:v>
                </c:pt>
                <c:pt idx="413">
                  <c:v>3.15E-3</c:v>
                </c:pt>
                <c:pt idx="414">
                  <c:v>3.104E-3</c:v>
                </c:pt>
                <c:pt idx="415">
                  <c:v>3.0969999999999999E-3</c:v>
                </c:pt>
                <c:pt idx="416">
                  <c:v>3.1419999999999998E-3</c:v>
                </c:pt>
                <c:pt idx="417">
                  <c:v>3.2520000000000001E-3</c:v>
                </c:pt>
                <c:pt idx="418">
                  <c:v>3.2799999999999999E-3</c:v>
                </c:pt>
                <c:pt idx="419">
                  <c:v>3.114E-3</c:v>
                </c:pt>
                <c:pt idx="420">
                  <c:v>3.2109999999999999E-3</c:v>
                </c:pt>
                <c:pt idx="421">
                  <c:v>3.1129999999999999E-3</c:v>
                </c:pt>
                <c:pt idx="422">
                  <c:v>3.0330000000000001E-3</c:v>
                </c:pt>
                <c:pt idx="423">
                  <c:v>3.0620000000000001E-3</c:v>
                </c:pt>
                <c:pt idx="424">
                  <c:v>3.0590000000000001E-3</c:v>
                </c:pt>
                <c:pt idx="425">
                  <c:v>3.4259999999999998E-3</c:v>
                </c:pt>
                <c:pt idx="426">
                  <c:v>3.5200000000000001E-3</c:v>
                </c:pt>
                <c:pt idx="427">
                  <c:v>3.5539999999999999E-3</c:v>
                </c:pt>
                <c:pt idx="428">
                  <c:v>3.441E-3</c:v>
                </c:pt>
                <c:pt idx="429">
                  <c:v>3.3089999999999999E-3</c:v>
                </c:pt>
                <c:pt idx="430">
                  <c:v>3.235E-3</c:v>
                </c:pt>
                <c:pt idx="431">
                  <c:v>3.0209999999999998E-3</c:v>
                </c:pt>
                <c:pt idx="432">
                  <c:v>3.0530000000000002E-3</c:v>
                </c:pt>
                <c:pt idx="433">
                  <c:v>3.1870000000000002E-3</c:v>
                </c:pt>
                <c:pt idx="434">
                  <c:v>2.9350000000000001E-3</c:v>
                </c:pt>
                <c:pt idx="435">
                  <c:v>2.9499999999999999E-3</c:v>
                </c:pt>
                <c:pt idx="436">
                  <c:v>3.088E-3</c:v>
                </c:pt>
                <c:pt idx="437">
                  <c:v>3.1310000000000001E-3</c:v>
                </c:pt>
                <c:pt idx="438">
                  <c:v>3.1220000000000002E-3</c:v>
                </c:pt>
                <c:pt idx="439">
                  <c:v>3.1389999999999999E-3</c:v>
                </c:pt>
                <c:pt idx="440">
                  <c:v>3.209E-3</c:v>
                </c:pt>
                <c:pt idx="441">
                  <c:v>3.137E-3</c:v>
                </c:pt>
                <c:pt idx="442">
                  <c:v>3.1800000000000001E-3</c:v>
                </c:pt>
                <c:pt idx="443">
                  <c:v>2.9780000000000002E-3</c:v>
                </c:pt>
                <c:pt idx="444">
                  <c:v>3.29E-3</c:v>
                </c:pt>
                <c:pt idx="445">
                  <c:v>2.9640000000000001E-3</c:v>
                </c:pt>
                <c:pt idx="446">
                  <c:v>2.9450000000000001E-3</c:v>
                </c:pt>
                <c:pt idx="447">
                  <c:v>2.9320000000000001E-3</c:v>
                </c:pt>
                <c:pt idx="448">
                  <c:v>3.1640000000000001E-3</c:v>
                </c:pt>
                <c:pt idx="449">
                  <c:v>3.258E-3</c:v>
                </c:pt>
                <c:pt idx="450">
                  <c:v>3.251E-3</c:v>
                </c:pt>
                <c:pt idx="451">
                  <c:v>3.1700000000000001E-3</c:v>
                </c:pt>
                <c:pt idx="452">
                  <c:v>2.9680000000000002E-3</c:v>
                </c:pt>
                <c:pt idx="453">
                  <c:v>3.2750000000000001E-3</c:v>
                </c:pt>
                <c:pt idx="454">
                  <c:v>3.6939999999999998E-3</c:v>
                </c:pt>
                <c:pt idx="455">
                  <c:v>3.4139999999999999E-3</c:v>
                </c:pt>
                <c:pt idx="456">
                  <c:v>4.0619999999999996E-3</c:v>
                </c:pt>
                <c:pt idx="457">
                  <c:v>4.2560000000000002E-3</c:v>
                </c:pt>
                <c:pt idx="458">
                  <c:v>4.3600000000000002E-3</c:v>
                </c:pt>
                <c:pt idx="459">
                  <c:v>3.9090000000000001E-3</c:v>
                </c:pt>
                <c:pt idx="460">
                  <c:v>4.1130000000000003E-3</c:v>
                </c:pt>
                <c:pt idx="461">
                  <c:v>3.8549999999999999E-3</c:v>
                </c:pt>
                <c:pt idx="462">
                  <c:v>3.784E-3</c:v>
                </c:pt>
                <c:pt idx="463">
                  <c:v>3.7940000000000001E-3</c:v>
                </c:pt>
                <c:pt idx="464">
                  <c:v>3.862E-3</c:v>
                </c:pt>
                <c:pt idx="465">
                  <c:v>3.8609999999999998E-3</c:v>
                </c:pt>
                <c:pt idx="466">
                  <c:v>4.1330000000000004E-3</c:v>
                </c:pt>
                <c:pt idx="467">
                  <c:v>4.0410000000000003E-3</c:v>
                </c:pt>
                <c:pt idx="468">
                  <c:v>4.0899999999999999E-3</c:v>
                </c:pt>
                <c:pt idx="469">
                  <c:v>3.6930000000000001E-3</c:v>
                </c:pt>
                <c:pt idx="470">
                  <c:v>3.552E-3</c:v>
                </c:pt>
                <c:pt idx="471">
                  <c:v>3.7139999999999999E-3</c:v>
                </c:pt>
                <c:pt idx="472">
                  <c:v>3.748E-3</c:v>
                </c:pt>
                <c:pt idx="473">
                  <c:v>3.7759999999999998E-3</c:v>
                </c:pt>
                <c:pt idx="474">
                  <c:v>3.5300000000000002E-3</c:v>
                </c:pt>
                <c:pt idx="475">
                  <c:v>3.421E-3</c:v>
                </c:pt>
                <c:pt idx="476">
                  <c:v>3.7320000000000001E-3</c:v>
                </c:pt>
                <c:pt idx="477">
                  <c:v>3.8049999999999998E-3</c:v>
                </c:pt>
                <c:pt idx="478">
                  <c:v>3.5279999999999999E-3</c:v>
                </c:pt>
                <c:pt idx="479">
                  <c:v>3.3400000000000001E-3</c:v>
                </c:pt>
                <c:pt idx="480">
                  <c:v>3.4199999999999999E-3</c:v>
                </c:pt>
                <c:pt idx="481">
                  <c:v>3.7360000000000002E-3</c:v>
                </c:pt>
                <c:pt idx="482">
                  <c:v>3.6259999999999999E-3</c:v>
                </c:pt>
                <c:pt idx="483">
                  <c:v>3.5490000000000001E-3</c:v>
                </c:pt>
                <c:pt idx="484">
                  <c:v>3.3890000000000001E-3</c:v>
                </c:pt>
                <c:pt idx="485">
                  <c:v>3.2169999999999998E-3</c:v>
                </c:pt>
                <c:pt idx="486">
                  <c:v>3.3400000000000001E-3</c:v>
                </c:pt>
                <c:pt idx="487">
                  <c:v>3.4420000000000002E-3</c:v>
                </c:pt>
                <c:pt idx="488">
                  <c:v>3.065E-3</c:v>
                </c:pt>
                <c:pt idx="489">
                  <c:v>3.1770000000000001E-3</c:v>
                </c:pt>
                <c:pt idx="490">
                  <c:v>2.8400000000000001E-3</c:v>
                </c:pt>
                <c:pt idx="491">
                  <c:v>2.9499999999999999E-3</c:v>
                </c:pt>
                <c:pt idx="492">
                  <c:v>2.8760000000000001E-3</c:v>
                </c:pt>
                <c:pt idx="493">
                  <c:v>2.7499999999999998E-3</c:v>
                </c:pt>
                <c:pt idx="494">
                  <c:v>2.617E-3</c:v>
                </c:pt>
                <c:pt idx="495">
                  <c:v>2.6580000000000002E-3</c:v>
                </c:pt>
                <c:pt idx="496">
                  <c:v>2.748E-3</c:v>
                </c:pt>
                <c:pt idx="497">
                  <c:v>2.6129999999999999E-3</c:v>
                </c:pt>
                <c:pt idx="498">
                  <c:v>2.4810000000000001E-3</c:v>
                </c:pt>
                <c:pt idx="499">
                  <c:v>2.637E-3</c:v>
                </c:pt>
                <c:pt idx="500">
                  <c:v>2.6679999999999998E-3</c:v>
                </c:pt>
                <c:pt idx="501">
                  <c:v>2.5999999999999999E-3</c:v>
                </c:pt>
                <c:pt idx="502">
                  <c:v>2.5000000000000001E-3</c:v>
                </c:pt>
                <c:pt idx="503">
                  <c:v>2.5240000000000002E-3</c:v>
                </c:pt>
                <c:pt idx="504">
                  <c:v>2.565E-3</c:v>
                </c:pt>
                <c:pt idx="505">
                  <c:v>2.4729999999999999E-3</c:v>
                </c:pt>
                <c:pt idx="506">
                  <c:v>2.3400000000000001E-3</c:v>
                </c:pt>
                <c:pt idx="507">
                  <c:v>2.6319999999999998E-3</c:v>
                </c:pt>
                <c:pt idx="508">
                  <c:v>2.6150000000000001E-3</c:v>
                </c:pt>
                <c:pt idx="509">
                  <c:v>3.1350000000000002E-3</c:v>
                </c:pt>
                <c:pt idx="510">
                  <c:v>3.2160000000000001E-3</c:v>
                </c:pt>
                <c:pt idx="511">
                  <c:v>2.9759999999999999E-3</c:v>
                </c:pt>
                <c:pt idx="512">
                  <c:v>2.9220000000000001E-3</c:v>
                </c:pt>
                <c:pt idx="513">
                  <c:v>2.8860000000000001E-3</c:v>
                </c:pt>
                <c:pt idx="514">
                  <c:v>2.9139999999999999E-3</c:v>
                </c:pt>
                <c:pt idx="515">
                  <c:v>2.8449999999999999E-3</c:v>
                </c:pt>
                <c:pt idx="516">
                  <c:v>3.1059999999999998E-3</c:v>
                </c:pt>
                <c:pt idx="517">
                  <c:v>2.8960000000000001E-3</c:v>
                </c:pt>
                <c:pt idx="518">
                  <c:v>3.0179999999999998E-3</c:v>
                </c:pt>
                <c:pt idx="519">
                  <c:v>2.7460000000000002E-3</c:v>
                </c:pt>
                <c:pt idx="520">
                  <c:v>2.8289999999999999E-3</c:v>
                </c:pt>
                <c:pt idx="521">
                  <c:v>2.8029999999999999E-3</c:v>
                </c:pt>
                <c:pt idx="522">
                  <c:v>3.058E-3</c:v>
                </c:pt>
                <c:pt idx="523">
                  <c:v>2.9589999999999998E-3</c:v>
                </c:pt>
                <c:pt idx="524">
                  <c:v>3.0660000000000001E-3</c:v>
                </c:pt>
                <c:pt idx="525">
                  <c:v>3.1710000000000002E-3</c:v>
                </c:pt>
                <c:pt idx="526">
                  <c:v>3.1089999999999998E-3</c:v>
                </c:pt>
                <c:pt idx="527">
                  <c:v>3.0010000000000002E-3</c:v>
                </c:pt>
                <c:pt idx="528">
                  <c:v>3.0950000000000001E-3</c:v>
                </c:pt>
                <c:pt idx="529">
                  <c:v>3.1089999999999998E-3</c:v>
                </c:pt>
                <c:pt idx="530">
                  <c:v>3.5070000000000001E-3</c:v>
                </c:pt>
                <c:pt idx="531">
                  <c:v>3.627E-3</c:v>
                </c:pt>
                <c:pt idx="532">
                  <c:v>3.0639999999999999E-3</c:v>
                </c:pt>
                <c:pt idx="533">
                  <c:v>2.6870000000000002E-3</c:v>
                </c:pt>
                <c:pt idx="534">
                  <c:v>2.686E-3</c:v>
                </c:pt>
                <c:pt idx="535">
                  <c:v>2.6389999999999999E-3</c:v>
                </c:pt>
                <c:pt idx="536">
                  <c:v>2.7780000000000001E-3</c:v>
                </c:pt>
                <c:pt idx="537">
                  <c:v>2.467E-3</c:v>
                </c:pt>
                <c:pt idx="538">
                  <c:v>2.4719999999999998E-3</c:v>
                </c:pt>
                <c:pt idx="539">
                  <c:v>2.5019999999999999E-3</c:v>
                </c:pt>
                <c:pt idx="540">
                  <c:v>2.3600000000000001E-3</c:v>
                </c:pt>
                <c:pt idx="541">
                  <c:v>2.6189999999999998E-3</c:v>
                </c:pt>
                <c:pt idx="542">
                  <c:v>2.4719999999999998E-3</c:v>
                </c:pt>
                <c:pt idx="543">
                  <c:v>2.5769999999999999E-3</c:v>
                </c:pt>
                <c:pt idx="544">
                  <c:v>2.699E-3</c:v>
                </c:pt>
                <c:pt idx="545">
                  <c:v>2.4870000000000001E-3</c:v>
                </c:pt>
                <c:pt idx="546">
                  <c:v>2.4109999999999999E-3</c:v>
                </c:pt>
                <c:pt idx="547">
                  <c:v>2.6900000000000001E-3</c:v>
                </c:pt>
                <c:pt idx="548">
                  <c:v>2.813E-3</c:v>
                </c:pt>
                <c:pt idx="549">
                  <c:v>2.8700000000000002E-3</c:v>
                </c:pt>
                <c:pt idx="550">
                  <c:v>2.8630000000000001E-3</c:v>
                </c:pt>
                <c:pt idx="551">
                  <c:v>2.784E-3</c:v>
                </c:pt>
                <c:pt idx="552">
                  <c:v>2.7620000000000001E-3</c:v>
                </c:pt>
                <c:pt idx="553">
                  <c:v>2.8400000000000001E-3</c:v>
                </c:pt>
                <c:pt idx="554">
                  <c:v>2.8700000000000002E-3</c:v>
                </c:pt>
                <c:pt idx="555">
                  <c:v>2.9320000000000001E-3</c:v>
                </c:pt>
                <c:pt idx="556">
                  <c:v>2.843E-3</c:v>
                </c:pt>
                <c:pt idx="557">
                  <c:v>2.833E-3</c:v>
                </c:pt>
                <c:pt idx="558">
                  <c:v>2.8630000000000001E-3</c:v>
                </c:pt>
                <c:pt idx="559">
                  <c:v>2.9740000000000001E-3</c:v>
                </c:pt>
                <c:pt idx="560">
                  <c:v>2.9780000000000002E-3</c:v>
                </c:pt>
                <c:pt idx="561">
                  <c:v>3.15E-3</c:v>
                </c:pt>
                <c:pt idx="562">
                  <c:v>2.9970000000000001E-3</c:v>
                </c:pt>
                <c:pt idx="563">
                  <c:v>2.8930000000000002E-3</c:v>
                </c:pt>
                <c:pt idx="564">
                  <c:v>2.8890000000000001E-3</c:v>
                </c:pt>
                <c:pt idx="565">
                  <c:v>2.8930000000000002E-3</c:v>
                </c:pt>
                <c:pt idx="566">
                  <c:v>2.8540000000000002E-3</c:v>
                </c:pt>
                <c:pt idx="567">
                  <c:v>2.9030000000000002E-3</c:v>
                </c:pt>
                <c:pt idx="568">
                  <c:v>2.8770000000000002E-3</c:v>
                </c:pt>
                <c:pt idx="569">
                  <c:v>3.0509999999999999E-3</c:v>
                </c:pt>
                <c:pt idx="570">
                  <c:v>2.7659999999999998E-3</c:v>
                </c:pt>
                <c:pt idx="571">
                  <c:v>2.7520000000000001E-3</c:v>
                </c:pt>
                <c:pt idx="572">
                  <c:v>2.7200000000000002E-3</c:v>
                </c:pt>
                <c:pt idx="573">
                  <c:v>2.758E-3</c:v>
                </c:pt>
                <c:pt idx="574">
                  <c:v>2.8519999999999999E-3</c:v>
                </c:pt>
                <c:pt idx="575">
                  <c:v>3.0739999999999999E-3</c:v>
                </c:pt>
                <c:pt idx="576">
                  <c:v>2.8500000000000001E-3</c:v>
                </c:pt>
                <c:pt idx="577">
                  <c:v>3.101E-3</c:v>
                </c:pt>
                <c:pt idx="578">
                  <c:v>3.4269999999999999E-3</c:v>
                </c:pt>
                <c:pt idx="579">
                  <c:v>3.6029999999999999E-3</c:v>
                </c:pt>
                <c:pt idx="580">
                  <c:v>3.5980000000000001E-3</c:v>
                </c:pt>
                <c:pt idx="581">
                  <c:v>3.8779999999999999E-3</c:v>
                </c:pt>
                <c:pt idx="582">
                  <c:v>3.973E-3</c:v>
                </c:pt>
                <c:pt idx="583">
                  <c:v>4.5240000000000002E-3</c:v>
                </c:pt>
                <c:pt idx="584">
                  <c:v>4.3899999999999998E-3</c:v>
                </c:pt>
                <c:pt idx="585">
                  <c:v>4.6100000000000004E-3</c:v>
                </c:pt>
                <c:pt idx="586">
                  <c:v>4.3470000000000002E-3</c:v>
                </c:pt>
                <c:pt idx="587">
                  <c:v>4.3629999999999997E-3</c:v>
                </c:pt>
                <c:pt idx="588">
                  <c:v>4.248E-3</c:v>
                </c:pt>
                <c:pt idx="589">
                  <c:v>4.3039999999999997E-3</c:v>
                </c:pt>
                <c:pt idx="590">
                  <c:v>4.1609999999999998E-3</c:v>
                </c:pt>
                <c:pt idx="591">
                  <c:v>4.0400000000000002E-3</c:v>
                </c:pt>
                <c:pt idx="592">
                  <c:v>3.6310000000000001E-3</c:v>
                </c:pt>
                <c:pt idx="593">
                  <c:v>4.0889999999999998E-3</c:v>
                </c:pt>
                <c:pt idx="594">
                  <c:v>4.1180000000000001E-3</c:v>
                </c:pt>
                <c:pt idx="595">
                  <c:v>4.1479999999999998E-3</c:v>
                </c:pt>
                <c:pt idx="596">
                  <c:v>3.7940000000000001E-3</c:v>
                </c:pt>
                <c:pt idx="597">
                  <c:v>3.846E-3</c:v>
                </c:pt>
                <c:pt idx="598">
                  <c:v>3.5739999999999999E-3</c:v>
                </c:pt>
                <c:pt idx="599">
                  <c:v>3.666E-3</c:v>
                </c:pt>
                <c:pt idx="600">
                  <c:v>3.6619999999999999E-3</c:v>
                </c:pt>
                <c:pt idx="601">
                  <c:v>3.3800000000000002E-3</c:v>
                </c:pt>
                <c:pt idx="602">
                  <c:v>3.0990000000000002E-3</c:v>
                </c:pt>
                <c:pt idx="603">
                  <c:v>2.7690000000000002E-3</c:v>
                </c:pt>
                <c:pt idx="604">
                  <c:v>2.8630000000000001E-3</c:v>
                </c:pt>
                <c:pt idx="605">
                  <c:v>3.2079999999999999E-3</c:v>
                </c:pt>
                <c:pt idx="606">
                  <c:v>3.3219999999999999E-3</c:v>
                </c:pt>
                <c:pt idx="607">
                  <c:v>3.2269999999999998E-3</c:v>
                </c:pt>
                <c:pt idx="608">
                  <c:v>3.4659999999999999E-3</c:v>
                </c:pt>
                <c:pt idx="609">
                  <c:v>4.2620000000000002E-3</c:v>
                </c:pt>
                <c:pt idx="610">
                  <c:v>2.2030000000000001E-3</c:v>
                </c:pt>
                <c:pt idx="611">
                  <c:v>2.039E-3</c:v>
                </c:pt>
                <c:pt idx="612">
                  <c:v>2.0470000000000002E-3</c:v>
                </c:pt>
                <c:pt idx="613">
                  <c:v>2.0500000000000002E-3</c:v>
                </c:pt>
                <c:pt idx="614">
                  <c:v>2.062E-3</c:v>
                </c:pt>
                <c:pt idx="615">
                  <c:v>2.0430000000000001E-3</c:v>
                </c:pt>
                <c:pt idx="616">
                  <c:v>2.104E-3</c:v>
                </c:pt>
                <c:pt idx="617">
                  <c:v>1.884E-3</c:v>
                </c:pt>
                <c:pt idx="618">
                  <c:v>1.843E-3</c:v>
                </c:pt>
                <c:pt idx="619">
                  <c:v>1.8389999999999999E-3</c:v>
                </c:pt>
                <c:pt idx="620">
                  <c:v>1.9220000000000001E-3</c:v>
                </c:pt>
                <c:pt idx="621">
                  <c:v>1.794E-3</c:v>
                </c:pt>
                <c:pt idx="622">
                  <c:v>1.7260000000000001E-3</c:v>
                </c:pt>
                <c:pt idx="623">
                  <c:v>1.4859999999999999E-3</c:v>
                </c:pt>
                <c:pt idx="624">
                  <c:v>1.5399999999999999E-3</c:v>
                </c:pt>
                <c:pt idx="625">
                  <c:v>1.6509999999999999E-3</c:v>
                </c:pt>
                <c:pt idx="626">
                  <c:v>1.6440000000000001E-3</c:v>
                </c:pt>
                <c:pt idx="627">
                  <c:v>1.712E-3</c:v>
                </c:pt>
                <c:pt idx="628">
                  <c:v>1.505E-3</c:v>
                </c:pt>
                <c:pt idx="629">
                  <c:v>1.3979999999999999E-3</c:v>
                </c:pt>
                <c:pt idx="630">
                  <c:v>1.42E-3</c:v>
                </c:pt>
                <c:pt idx="631">
                  <c:v>1.4400000000000001E-3</c:v>
                </c:pt>
                <c:pt idx="632">
                  <c:v>1.4400000000000001E-3</c:v>
                </c:pt>
                <c:pt idx="633">
                  <c:v>1.4610000000000001E-3</c:v>
                </c:pt>
                <c:pt idx="634">
                  <c:v>1.4419999999999999E-3</c:v>
                </c:pt>
                <c:pt idx="635">
                  <c:v>1.4040000000000001E-3</c:v>
                </c:pt>
                <c:pt idx="636">
                  <c:v>1.2979999999999999E-3</c:v>
                </c:pt>
                <c:pt idx="637">
                  <c:v>1.289E-3</c:v>
                </c:pt>
                <c:pt idx="638">
                  <c:v>1.304E-3</c:v>
                </c:pt>
                <c:pt idx="639">
                  <c:v>1.3060000000000001E-3</c:v>
                </c:pt>
                <c:pt idx="640">
                  <c:v>1.284E-3</c:v>
                </c:pt>
                <c:pt idx="641">
                  <c:v>1.2520000000000001E-3</c:v>
                </c:pt>
                <c:pt idx="642">
                  <c:v>1.258E-3</c:v>
                </c:pt>
                <c:pt idx="643">
                  <c:v>1.1800000000000001E-3</c:v>
                </c:pt>
                <c:pt idx="644">
                  <c:v>1.163E-3</c:v>
                </c:pt>
                <c:pt idx="645">
                  <c:v>1.2830000000000001E-3</c:v>
                </c:pt>
                <c:pt idx="646">
                  <c:v>1.2849999999999999E-3</c:v>
                </c:pt>
                <c:pt idx="647">
                  <c:v>1.1820000000000001E-3</c:v>
                </c:pt>
                <c:pt idx="648">
                  <c:v>1.1329999999999999E-3</c:v>
                </c:pt>
                <c:pt idx="649">
                  <c:v>1.126E-3</c:v>
                </c:pt>
                <c:pt idx="650">
                  <c:v>1.1670000000000001E-3</c:v>
                </c:pt>
                <c:pt idx="651">
                  <c:v>1.163E-3</c:v>
                </c:pt>
                <c:pt idx="652">
                  <c:v>1.2110000000000001E-3</c:v>
                </c:pt>
                <c:pt idx="653">
                  <c:v>1.1739999999999999E-3</c:v>
                </c:pt>
                <c:pt idx="654">
                  <c:v>1.1869999999999999E-3</c:v>
                </c:pt>
                <c:pt idx="655">
                  <c:v>1.2899999999999999E-3</c:v>
                </c:pt>
                <c:pt idx="656">
                  <c:v>1.372E-3</c:v>
                </c:pt>
                <c:pt idx="657">
                  <c:v>1.3079999999999999E-3</c:v>
                </c:pt>
                <c:pt idx="658">
                  <c:v>1.3630000000000001E-3</c:v>
                </c:pt>
                <c:pt idx="659">
                  <c:v>1.168E-3</c:v>
                </c:pt>
                <c:pt idx="660">
                  <c:v>1.1980000000000001E-3</c:v>
                </c:pt>
                <c:pt idx="661">
                  <c:v>1.191E-3</c:v>
                </c:pt>
                <c:pt idx="662">
                  <c:v>1.124E-3</c:v>
                </c:pt>
                <c:pt idx="663">
                  <c:v>1.1050000000000001E-3</c:v>
                </c:pt>
                <c:pt idx="664">
                  <c:v>1.098E-3</c:v>
                </c:pt>
                <c:pt idx="665">
                  <c:v>1.108E-3</c:v>
                </c:pt>
                <c:pt idx="666">
                  <c:v>9.7900000000000005E-4</c:v>
                </c:pt>
                <c:pt idx="667">
                  <c:v>1.1119999999999999E-3</c:v>
                </c:pt>
                <c:pt idx="668">
                  <c:v>1.088E-3</c:v>
                </c:pt>
                <c:pt idx="669">
                  <c:v>1.1720000000000001E-3</c:v>
                </c:pt>
                <c:pt idx="670">
                  <c:v>1.1559999999999999E-3</c:v>
                </c:pt>
                <c:pt idx="671">
                  <c:v>1.152E-3</c:v>
                </c:pt>
                <c:pt idx="672">
                  <c:v>1.212E-3</c:v>
                </c:pt>
                <c:pt idx="673">
                  <c:v>9.8499999999999998E-4</c:v>
                </c:pt>
                <c:pt idx="674">
                  <c:v>1.114E-3</c:v>
                </c:pt>
                <c:pt idx="675">
                  <c:v>1.109E-3</c:v>
                </c:pt>
                <c:pt idx="676">
                  <c:v>1.2229999999999999E-3</c:v>
                </c:pt>
                <c:pt idx="677">
                  <c:v>1.0529999999999999E-3</c:v>
                </c:pt>
                <c:pt idx="678">
                  <c:v>1.0690000000000001E-3</c:v>
                </c:pt>
                <c:pt idx="679">
                  <c:v>9.6299999999999999E-4</c:v>
                </c:pt>
                <c:pt idx="680">
                  <c:v>1.178E-3</c:v>
                </c:pt>
                <c:pt idx="681">
                  <c:v>1.1100000000000001E-3</c:v>
                </c:pt>
                <c:pt idx="682">
                  <c:v>1.158E-3</c:v>
                </c:pt>
                <c:pt idx="683">
                  <c:v>8.9899999999999995E-4</c:v>
                </c:pt>
                <c:pt idx="684">
                  <c:v>1.895E-3</c:v>
                </c:pt>
                <c:pt idx="685">
                  <c:v>2.0070000000000001E-3</c:v>
                </c:pt>
                <c:pt idx="686">
                  <c:v>1.913E-3</c:v>
                </c:pt>
                <c:pt idx="687">
                  <c:v>2.0270000000000002E-3</c:v>
                </c:pt>
                <c:pt idx="688">
                  <c:v>2.4390000000000002E-3</c:v>
                </c:pt>
                <c:pt idx="689">
                  <c:v>2.7060000000000001E-3</c:v>
                </c:pt>
                <c:pt idx="690">
                  <c:v>2.5790000000000001E-3</c:v>
                </c:pt>
                <c:pt idx="691">
                  <c:v>2.2820000000000002E-3</c:v>
                </c:pt>
                <c:pt idx="692">
                  <c:v>2.2000000000000001E-3</c:v>
                </c:pt>
                <c:pt idx="693">
                  <c:v>2.2539999999999999E-3</c:v>
                </c:pt>
                <c:pt idx="694">
                  <c:v>1.9689999999999998E-3</c:v>
                </c:pt>
                <c:pt idx="695">
                  <c:v>2.0179999999999998E-3</c:v>
                </c:pt>
                <c:pt idx="696">
                  <c:v>2.1059999999999998E-3</c:v>
                </c:pt>
                <c:pt idx="697">
                  <c:v>2.0430000000000001E-3</c:v>
                </c:pt>
                <c:pt idx="698">
                  <c:v>1.913E-3</c:v>
                </c:pt>
                <c:pt idx="699">
                  <c:v>2.1770000000000001E-3</c:v>
                </c:pt>
                <c:pt idx="700">
                  <c:v>2.5400000000000002E-3</c:v>
                </c:pt>
                <c:pt idx="701">
                  <c:v>2.5669999999999998E-3</c:v>
                </c:pt>
                <c:pt idx="702">
                  <c:v>2.33E-3</c:v>
                </c:pt>
                <c:pt idx="703">
                  <c:v>2.323E-3</c:v>
                </c:pt>
                <c:pt idx="704">
                  <c:v>2.3349999999999998E-3</c:v>
                </c:pt>
                <c:pt idx="705">
                  <c:v>2.3249999999999998E-3</c:v>
                </c:pt>
                <c:pt idx="706">
                  <c:v>2.826E-3</c:v>
                </c:pt>
                <c:pt idx="707">
                  <c:v>2.47E-3</c:v>
                </c:pt>
                <c:pt idx="708">
                  <c:v>2.4870000000000001E-3</c:v>
                </c:pt>
                <c:pt idx="709">
                  <c:v>2.3999999999999998E-3</c:v>
                </c:pt>
                <c:pt idx="710">
                  <c:v>2.627E-3</c:v>
                </c:pt>
                <c:pt idx="711">
                  <c:v>2.4610000000000001E-3</c:v>
                </c:pt>
                <c:pt idx="712">
                  <c:v>2.5920000000000001E-3</c:v>
                </c:pt>
                <c:pt idx="713">
                  <c:v>2.3280000000000002E-3</c:v>
                </c:pt>
                <c:pt idx="714">
                  <c:v>2.225E-3</c:v>
                </c:pt>
                <c:pt idx="715">
                  <c:v>2.3440000000000002E-3</c:v>
                </c:pt>
                <c:pt idx="716">
                  <c:v>2.2950000000000002E-3</c:v>
                </c:pt>
                <c:pt idx="717">
                  <c:v>2.2750000000000001E-3</c:v>
                </c:pt>
                <c:pt idx="718">
                  <c:v>2.343E-3</c:v>
                </c:pt>
                <c:pt idx="719">
                  <c:v>1.9530000000000001E-3</c:v>
                </c:pt>
                <c:pt idx="720">
                  <c:v>1.941E-3</c:v>
                </c:pt>
                <c:pt idx="721">
                  <c:v>1.9269999999999999E-3</c:v>
                </c:pt>
                <c:pt idx="722">
                  <c:v>1.908E-3</c:v>
                </c:pt>
                <c:pt idx="723">
                  <c:v>1.97E-3</c:v>
                </c:pt>
                <c:pt idx="724">
                  <c:v>1.9859999999999999E-3</c:v>
                </c:pt>
                <c:pt idx="725">
                  <c:v>1.8799999999999999E-3</c:v>
                </c:pt>
                <c:pt idx="726">
                  <c:v>1.9220000000000001E-3</c:v>
                </c:pt>
                <c:pt idx="727">
                  <c:v>1.9400000000000001E-3</c:v>
                </c:pt>
                <c:pt idx="728">
                  <c:v>2.0270000000000002E-3</c:v>
                </c:pt>
                <c:pt idx="729">
                  <c:v>2.1740000000000002E-3</c:v>
                </c:pt>
                <c:pt idx="730">
                  <c:v>2.189E-3</c:v>
                </c:pt>
                <c:pt idx="731">
                  <c:v>2.2100000000000002E-3</c:v>
                </c:pt>
                <c:pt idx="732">
                  <c:v>2.2209999999999999E-3</c:v>
                </c:pt>
                <c:pt idx="733">
                  <c:v>2.4399999999999999E-3</c:v>
                </c:pt>
                <c:pt idx="734">
                  <c:v>2.4450000000000001E-3</c:v>
                </c:pt>
                <c:pt idx="735">
                  <c:v>2.467E-3</c:v>
                </c:pt>
                <c:pt idx="736">
                  <c:v>2.5460000000000001E-3</c:v>
                </c:pt>
                <c:pt idx="737">
                  <c:v>2.8809999999999999E-3</c:v>
                </c:pt>
                <c:pt idx="738">
                  <c:v>3.2169999999999998E-3</c:v>
                </c:pt>
                <c:pt idx="739">
                  <c:v>4.1489999999999999E-3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D-49A9-99D1-C413BA99734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44284</c:v>
                </c:pt>
                <c:pt idx="302">
                  <c:v>44283</c:v>
                </c:pt>
                <c:pt idx="303">
                  <c:v>44282</c:v>
                </c:pt>
                <c:pt idx="304">
                  <c:v>44281</c:v>
                </c:pt>
                <c:pt idx="305">
                  <c:v>44280</c:v>
                </c:pt>
                <c:pt idx="306">
                  <c:v>44279</c:v>
                </c:pt>
                <c:pt idx="307">
                  <c:v>44278</c:v>
                </c:pt>
                <c:pt idx="308">
                  <c:v>44277</c:v>
                </c:pt>
                <c:pt idx="309">
                  <c:v>44276</c:v>
                </c:pt>
                <c:pt idx="310">
                  <c:v>44275</c:v>
                </c:pt>
                <c:pt idx="311">
                  <c:v>44274</c:v>
                </c:pt>
                <c:pt idx="312">
                  <c:v>44273</c:v>
                </c:pt>
                <c:pt idx="313">
                  <c:v>44272</c:v>
                </c:pt>
                <c:pt idx="314">
                  <c:v>44271</c:v>
                </c:pt>
                <c:pt idx="315">
                  <c:v>44270</c:v>
                </c:pt>
                <c:pt idx="316">
                  <c:v>44269</c:v>
                </c:pt>
                <c:pt idx="317">
                  <c:v>44268</c:v>
                </c:pt>
                <c:pt idx="318">
                  <c:v>44267</c:v>
                </c:pt>
                <c:pt idx="319">
                  <c:v>44266</c:v>
                </c:pt>
                <c:pt idx="320">
                  <c:v>44265</c:v>
                </c:pt>
                <c:pt idx="321">
                  <c:v>44264</c:v>
                </c:pt>
                <c:pt idx="322">
                  <c:v>44263</c:v>
                </c:pt>
                <c:pt idx="323">
                  <c:v>44262</c:v>
                </c:pt>
                <c:pt idx="324">
                  <c:v>44261</c:v>
                </c:pt>
                <c:pt idx="325">
                  <c:v>44260</c:v>
                </c:pt>
                <c:pt idx="326">
                  <c:v>44259</c:v>
                </c:pt>
                <c:pt idx="327">
                  <c:v>44258</c:v>
                </c:pt>
                <c:pt idx="328">
                  <c:v>44257</c:v>
                </c:pt>
                <c:pt idx="329">
                  <c:v>44256</c:v>
                </c:pt>
                <c:pt idx="330">
                  <c:v>44255</c:v>
                </c:pt>
                <c:pt idx="331">
                  <c:v>44254</c:v>
                </c:pt>
                <c:pt idx="332">
                  <c:v>44253</c:v>
                </c:pt>
                <c:pt idx="333">
                  <c:v>44252</c:v>
                </c:pt>
                <c:pt idx="334">
                  <c:v>44251</c:v>
                </c:pt>
                <c:pt idx="335">
                  <c:v>44250</c:v>
                </c:pt>
                <c:pt idx="336">
                  <c:v>44249</c:v>
                </c:pt>
                <c:pt idx="337">
                  <c:v>44248</c:v>
                </c:pt>
                <c:pt idx="338">
                  <c:v>44247</c:v>
                </c:pt>
                <c:pt idx="339">
                  <c:v>44246</c:v>
                </c:pt>
                <c:pt idx="340">
                  <c:v>44245</c:v>
                </c:pt>
                <c:pt idx="341">
                  <c:v>44244</c:v>
                </c:pt>
                <c:pt idx="342">
                  <c:v>44243</c:v>
                </c:pt>
                <c:pt idx="343">
                  <c:v>44242</c:v>
                </c:pt>
                <c:pt idx="344">
                  <c:v>44241</c:v>
                </c:pt>
                <c:pt idx="345">
                  <c:v>44240</c:v>
                </c:pt>
                <c:pt idx="346">
                  <c:v>44239</c:v>
                </c:pt>
                <c:pt idx="347">
                  <c:v>44238</c:v>
                </c:pt>
                <c:pt idx="348">
                  <c:v>44237</c:v>
                </c:pt>
                <c:pt idx="349">
                  <c:v>44236</c:v>
                </c:pt>
                <c:pt idx="350">
                  <c:v>44235</c:v>
                </c:pt>
                <c:pt idx="351">
                  <c:v>44234</c:v>
                </c:pt>
                <c:pt idx="352">
                  <c:v>44233</c:v>
                </c:pt>
                <c:pt idx="353">
                  <c:v>44232</c:v>
                </c:pt>
                <c:pt idx="354">
                  <c:v>44231</c:v>
                </c:pt>
                <c:pt idx="355">
                  <c:v>44230</c:v>
                </c:pt>
                <c:pt idx="356">
                  <c:v>44229</c:v>
                </c:pt>
                <c:pt idx="357">
                  <c:v>44228</c:v>
                </c:pt>
                <c:pt idx="358">
                  <c:v>44227</c:v>
                </c:pt>
                <c:pt idx="359">
                  <c:v>44226</c:v>
                </c:pt>
                <c:pt idx="360">
                  <c:v>44225</c:v>
                </c:pt>
                <c:pt idx="361">
                  <c:v>44224</c:v>
                </c:pt>
                <c:pt idx="362">
                  <c:v>44223</c:v>
                </c:pt>
                <c:pt idx="363">
                  <c:v>44222</c:v>
                </c:pt>
                <c:pt idx="364">
                  <c:v>44221</c:v>
                </c:pt>
                <c:pt idx="365">
                  <c:v>44220</c:v>
                </c:pt>
                <c:pt idx="366">
                  <c:v>44219</c:v>
                </c:pt>
                <c:pt idx="367">
                  <c:v>44218</c:v>
                </c:pt>
                <c:pt idx="368">
                  <c:v>44217</c:v>
                </c:pt>
                <c:pt idx="369">
                  <c:v>44216</c:v>
                </c:pt>
                <c:pt idx="370">
                  <c:v>44215</c:v>
                </c:pt>
                <c:pt idx="371">
                  <c:v>44214</c:v>
                </c:pt>
                <c:pt idx="372">
                  <c:v>44213</c:v>
                </c:pt>
                <c:pt idx="373">
                  <c:v>44212</c:v>
                </c:pt>
                <c:pt idx="374">
                  <c:v>44211</c:v>
                </c:pt>
                <c:pt idx="375">
                  <c:v>44210</c:v>
                </c:pt>
                <c:pt idx="376">
                  <c:v>44209</c:v>
                </c:pt>
                <c:pt idx="377">
                  <c:v>44208</c:v>
                </c:pt>
                <c:pt idx="378">
                  <c:v>44207</c:v>
                </c:pt>
                <c:pt idx="379">
                  <c:v>44206</c:v>
                </c:pt>
                <c:pt idx="380">
                  <c:v>44205</c:v>
                </c:pt>
                <c:pt idx="381">
                  <c:v>44204</c:v>
                </c:pt>
                <c:pt idx="382">
                  <c:v>44203</c:v>
                </c:pt>
                <c:pt idx="383">
                  <c:v>44202</c:v>
                </c:pt>
                <c:pt idx="384">
                  <c:v>44201</c:v>
                </c:pt>
                <c:pt idx="385">
                  <c:v>44200</c:v>
                </c:pt>
                <c:pt idx="386">
                  <c:v>44199</c:v>
                </c:pt>
                <c:pt idx="387">
                  <c:v>44198</c:v>
                </c:pt>
                <c:pt idx="388">
                  <c:v>44197</c:v>
                </c:pt>
                <c:pt idx="389">
                  <c:v>44196</c:v>
                </c:pt>
                <c:pt idx="390">
                  <c:v>44195</c:v>
                </c:pt>
                <c:pt idx="391">
                  <c:v>44194</c:v>
                </c:pt>
                <c:pt idx="392">
                  <c:v>44193</c:v>
                </c:pt>
                <c:pt idx="393">
                  <c:v>44192</c:v>
                </c:pt>
                <c:pt idx="394">
                  <c:v>44191</c:v>
                </c:pt>
                <c:pt idx="395">
                  <c:v>44190</c:v>
                </c:pt>
                <c:pt idx="396">
                  <c:v>44189</c:v>
                </c:pt>
                <c:pt idx="397">
                  <c:v>44188</c:v>
                </c:pt>
                <c:pt idx="398">
                  <c:v>44187</c:v>
                </c:pt>
                <c:pt idx="399">
                  <c:v>44186</c:v>
                </c:pt>
                <c:pt idx="400">
                  <c:v>44185</c:v>
                </c:pt>
                <c:pt idx="401">
                  <c:v>44184</c:v>
                </c:pt>
                <c:pt idx="402">
                  <c:v>44183</c:v>
                </c:pt>
                <c:pt idx="403">
                  <c:v>44182</c:v>
                </c:pt>
                <c:pt idx="404">
                  <c:v>44181</c:v>
                </c:pt>
                <c:pt idx="405">
                  <c:v>44180</c:v>
                </c:pt>
                <c:pt idx="406">
                  <c:v>44179</c:v>
                </c:pt>
                <c:pt idx="407">
                  <c:v>44178</c:v>
                </c:pt>
                <c:pt idx="408">
                  <c:v>44177</c:v>
                </c:pt>
                <c:pt idx="409">
                  <c:v>44176</c:v>
                </c:pt>
                <c:pt idx="410">
                  <c:v>44175</c:v>
                </c:pt>
                <c:pt idx="411">
                  <c:v>44174</c:v>
                </c:pt>
                <c:pt idx="412">
                  <c:v>44173</c:v>
                </c:pt>
                <c:pt idx="413">
                  <c:v>44172</c:v>
                </c:pt>
                <c:pt idx="414">
                  <c:v>44171</c:v>
                </c:pt>
                <c:pt idx="415">
                  <c:v>44170</c:v>
                </c:pt>
                <c:pt idx="416">
                  <c:v>44169</c:v>
                </c:pt>
                <c:pt idx="417">
                  <c:v>44168</c:v>
                </c:pt>
                <c:pt idx="418">
                  <c:v>44167</c:v>
                </c:pt>
                <c:pt idx="419">
                  <c:v>44166</c:v>
                </c:pt>
                <c:pt idx="420">
                  <c:v>44165</c:v>
                </c:pt>
                <c:pt idx="421">
                  <c:v>44164</c:v>
                </c:pt>
                <c:pt idx="422">
                  <c:v>44163</c:v>
                </c:pt>
                <c:pt idx="423">
                  <c:v>44162</c:v>
                </c:pt>
                <c:pt idx="424">
                  <c:v>44161</c:v>
                </c:pt>
                <c:pt idx="425">
                  <c:v>44160</c:v>
                </c:pt>
                <c:pt idx="426">
                  <c:v>44159</c:v>
                </c:pt>
                <c:pt idx="427">
                  <c:v>44158</c:v>
                </c:pt>
                <c:pt idx="428">
                  <c:v>44157</c:v>
                </c:pt>
                <c:pt idx="429">
                  <c:v>44156</c:v>
                </c:pt>
                <c:pt idx="430">
                  <c:v>44155</c:v>
                </c:pt>
                <c:pt idx="431">
                  <c:v>44154</c:v>
                </c:pt>
                <c:pt idx="432">
                  <c:v>44153</c:v>
                </c:pt>
                <c:pt idx="433">
                  <c:v>44152</c:v>
                </c:pt>
                <c:pt idx="434">
                  <c:v>44151</c:v>
                </c:pt>
                <c:pt idx="435">
                  <c:v>44150</c:v>
                </c:pt>
                <c:pt idx="436">
                  <c:v>44149</c:v>
                </c:pt>
                <c:pt idx="437">
                  <c:v>44148</c:v>
                </c:pt>
                <c:pt idx="438">
                  <c:v>44147</c:v>
                </c:pt>
                <c:pt idx="439">
                  <c:v>44146</c:v>
                </c:pt>
                <c:pt idx="440">
                  <c:v>44145</c:v>
                </c:pt>
                <c:pt idx="441">
                  <c:v>44144</c:v>
                </c:pt>
                <c:pt idx="442">
                  <c:v>44143</c:v>
                </c:pt>
                <c:pt idx="443">
                  <c:v>44142</c:v>
                </c:pt>
                <c:pt idx="444">
                  <c:v>44141</c:v>
                </c:pt>
                <c:pt idx="445">
                  <c:v>44140</c:v>
                </c:pt>
                <c:pt idx="446">
                  <c:v>44139</c:v>
                </c:pt>
                <c:pt idx="447">
                  <c:v>44138</c:v>
                </c:pt>
                <c:pt idx="448">
                  <c:v>44137</c:v>
                </c:pt>
                <c:pt idx="449">
                  <c:v>44136</c:v>
                </c:pt>
                <c:pt idx="450">
                  <c:v>44135</c:v>
                </c:pt>
                <c:pt idx="451">
                  <c:v>44134</c:v>
                </c:pt>
                <c:pt idx="452">
                  <c:v>44133</c:v>
                </c:pt>
                <c:pt idx="453">
                  <c:v>44132</c:v>
                </c:pt>
                <c:pt idx="454">
                  <c:v>44131</c:v>
                </c:pt>
                <c:pt idx="455">
                  <c:v>44130</c:v>
                </c:pt>
                <c:pt idx="456">
                  <c:v>44129</c:v>
                </c:pt>
                <c:pt idx="457">
                  <c:v>44128</c:v>
                </c:pt>
                <c:pt idx="458">
                  <c:v>44127</c:v>
                </c:pt>
                <c:pt idx="459">
                  <c:v>44126</c:v>
                </c:pt>
                <c:pt idx="460">
                  <c:v>44125</c:v>
                </c:pt>
                <c:pt idx="461">
                  <c:v>44124</c:v>
                </c:pt>
                <c:pt idx="462">
                  <c:v>44123</c:v>
                </c:pt>
                <c:pt idx="463">
                  <c:v>44122</c:v>
                </c:pt>
                <c:pt idx="464">
                  <c:v>44121</c:v>
                </c:pt>
                <c:pt idx="465">
                  <c:v>44120</c:v>
                </c:pt>
                <c:pt idx="466">
                  <c:v>44119</c:v>
                </c:pt>
                <c:pt idx="467">
                  <c:v>44118</c:v>
                </c:pt>
                <c:pt idx="468">
                  <c:v>44117</c:v>
                </c:pt>
                <c:pt idx="469">
                  <c:v>44116</c:v>
                </c:pt>
                <c:pt idx="470">
                  <c:v>44115</c:v>
                </c:pt>
                <c:pt idx="471">
                  <c:v>44114</c:v>
                </c:pt>
                <c:pt idx="472">
                  <c:v>44113</c:v>
                </c:pt>
                <c:pt idx="473">
                  <c:v>44112</c:v>
                </c:pt>
                <c:pt idx="474">
                  <c:v>44111</c:v>
                </c:pt>
                <c:pt idx="475">
                  <c:v>44110</c:v>
                </c:pt>
                <c:pt idx="476">
                  <c:v>44109</c:v>
                </c:pt>
                <c:pt idx="477">
                  <c:v>44108</c:v>
                </c:pt>
                <c:pt idx="478">
                  <c:v>44107</c:v>
                </c:pt>
                <c:pt idx="479">
                  <c:v>44106</c:v>
                </c:pt>
                <c:pt idx="480">
                  <c:v>44105</c:v>
                </c:pt>
                <c:pt idx="481">
                  <c:v>44104</c:v>
                </c:pt>
                <c:pt idx="482">
                  <c:v>44103</c:v>
                </c:pt>
                <c:pt idx="483">
                  <c:v>44102</c:v>
                </c:pt>
                <c:pt idx="484">
                  <c:v>44101</c:v>
                </c:pt>
                <c:pt idx="485">
                  <c:v>44100</c:v>
                </c:pt>
                <c:pt idx="486">
                  <c:v>44099</c:v>
                </c:pt>
                <c:pt idx="487">
                  <c:v>44098</c:v>
                </c:pt>
                <c:pt idx="488">
                  <c:v>44097</c:v>
                </c:pt>
                <c:pt idx="489">
                  <c:v>44096</c:v>
                </c:pt>
                <c:pt idx="490">
                  <c:v>44095</c:v>
                </c:pt>
                <c:pt idx="491">
                  <c:v>44094</c:v>
                </c:pt>
                <c:pt idx="492">
                  <c:v>44093</c:v>
                </c:pt>
                <c:pt idx="493">
                  <c:v>44092</c:v>
                </c:pt>
                <c:pt idx="494">
                  <c:v>44091</c:v>
                </c:pt>
                <c:pt idx="495">
                  <c:v>44090</c:v>
                </c:pt>
                <c:pt idx="496">
                  <c:v>44089</c:v>
                </c:pt>
                <c:pt idx="497">
                  <c:v>44088</c:v>
                </c:pt>
                <c:pt idx="498">
                  <c:v>44087</c:v>
                </c:pt>
                <c:pt idx="499">
                  <c:v>44086</c:v>
                </c:pt>
                <c:pt idx="500">
                  <c:v>44085</c:v>
                </c:pt>
                <c:pt idx="501">
                  <c:v>44084</c:v>
                </c:pt>
                <c:pt idx="502">
                  <c:v>44083</c:v>
                </c:pt>
                <c:pt idx="503">
                  <c:v>44082</c:v>
                </c:pt>
                <c:pt idx="504">
                  <c:v>44081</c:v>
                </c:pt>
                <c:pt idx="505">
                  <c:v>44080</c:v>
                </c:pt>
                <c:pt idx="506">
                  <c:v>44079</c:v>
                </c:pt>
                <c:pt idx="507">
                  <c:v>44078</c:v>
                </c:pt>
                <c:pt idx="508">
                  <c:v>44077</c:v>
                </c:pt>
                <c:pt idx="509">
                  <c:v>44076</c:v>
                </c:pt>
                <c:pt idx="510">
                  <c:v>44075</c:v>
                </c:pt>
                <c:pt idx="511">
                  <c:v>44074</c:v>
                </c:pt>
                <c:pt idx="512">
                  <c:v>44073</c:v>
                </c:pt>
                <c:pt idx="513">
                  <c:v>44072</c:v>
                </c:pt>
                <c:pt idx="514">
                  <c:v>44071</c:v>
                </c:pt>
                <c:pt idx="515">
                  <c:v>44070</c:v>
                </c:pt>
                <c:pt idx="516">
                  <c:v>44069</c:v>
                </c:pt>
                <c:pt idx="517">
                  <c:v>44068</c:v>
                </c:pt>
                <c:pt idx="518">
                  <c:v>44067</c:v>
                </c:pt>
                <c:pt idx="519">
                  <c:v>44066</c:v>
                </c:pt>
                <c:pt idx="520">
                  <c:v>44065</c:v>
                </c:pt>
                <c:pt idx="521">
                  <c:v>44064</c:v>
                </c:pt>
                <c:pt idx="522">
                  <c:v>44063</c:v>
                </c:pt>
                <c:pt idx="523">
                  <c:v>44062</c:v>
                </c:pt>
                <c:pt idx="524">
                  <c:v>44061</c:v>
                </c:pt>
                <c:pt idx="525">
                  <c:v>44060</c:v>
                </c:pt>
                <c:pt idx="526">
                  <c:v>44059</c:v>
                </c:pt>
                <c:pt idx="527">
                  <c:v>44058</c:v>
                </c:pt>
                <c:pt idx="528">
                  <c:v>44057</c:v>
                </c:pt>
                <c:pt idx="529">
                  <c:v>44056</c:v>
                </c:pt>
                <c:pt idx="530">
                  <c:v>44055</c:v>
                </c:pt>
                <c:pt idx="531">
                  <c:v>44054</c:v>
                </c:pt>
                <c:pt idx="532">
                  <c:v>44053</c:v>
                </c:pt>
                <c:pt idx="533">
                  <c:v>44052</c:v>
                </c:pt>
                <c:pt idx="534">
                  <c:v>44051</c:v>
                </c:pt>
                <c:pt idx="535">
                  <c:v>44050</c:v>
                </c:pt>
                <c:pt idx="536">
                  <c:v>44049</c:v>
                </c:pt>
                <c:pt idx="537">
                  <c:v>44048</c:v>
                </c:pt>
                <c:pt idx="538">
                  <c:v>44047</c:v>
                </c:pt>
                <c:pt idx="539">
                  <c:v>44046</c:v>
                </c:pt>
                <c:pt idx="540">
                  <c:v>44045</c:v>
                </c:pt>
                <c:pt idx="541">
                  <c:v>44044</c:v>
                </c:pt>
                <c:pt idx="542">
                  <c:v>44043</c:v>
                </c:pt>
                <c:pt idx="543">
                  <c:v>44042</c:v>
                </c:pt>
                <c:pt idx="544">
                  <c:v>44041</c:v>
                </c:pt>
                <c:pt idx="545">
                  <c:v>44040</c:v>
                </c:pt>
                <c:pt idx="546">
                  <c:v>44039</c:v>
                </c:pt>
                <c:pt idx="547">
                  <c:v>44038</c:v>
                </c:pt>
                <c:pt idx="548">
                  <c:v>44037</c:v>
                </c:pt>
                <c:pt idx="549">
                  <c:v>44036</c:v>
                </c:pt>
                <c:pt idx="550">
                  <c:v>44035</c:v>
                </c:pt>
                <c:pt idx="551">
                  <c:v>44034</c:v>
                </c:pt>
                <c:pt idx="552">
                  <c:v>44033</c:v>
                </c:pt>
                <c:pt idx="553">
                  <c:v>44032</c:v>
                </c:pt>
                <c:pt idx="554">
                  <c:v>44031</c:v>
                </c:pt>
                <c:pt idx="555">
                  <c:v>44030</c:v>
                </c:pt>
                <c:pt idx="556">
                  <c:v>44029</c:v>
                </c:pt>
                <c:pt idx="557">
                  <c:v>44028</c:v>
                </c:pt>
                <c:pt idx="558">
                  <c:v>44027</c:v>
                </c:pt>
                <c:pt idx="559">
                  <c:v>44026</c:v>
                </c:pt>
                <c:pt idx="560">
                  <c:v>44025</c:v>
                </c:pt>
                <c:pt idx="561">
                  <c:v>44024</c:v>
                </c:pt>
                <c:pt idx="562">
                  <c:v>44023</c:v>
                </c:pt>
                <c:pt idx="563">
                  <c:v>44022</c:v>
                </c:pt>
                <c:pt idx="564">
                  <c:v>44021</c:v>
                </c:pt>
                <c:pt idx="565">
                  <c:v>44020</c:v>
                </c:pt>
                <c:pt idx="566">
                  <c:v>44019</c:v>
                </c:pt>
                <c:pt idx="567">
                  <c:v>44018</c:v>
                </c:pt>
                <c:pt idx="568">
                  <c:v>44017</c:v>
                </c:pt>
                <c:pt idx="569">
                  <c:v>44016</c:v>
                </c:pt>
                <c:pt idx="570">
                  <c:v>44015</c:v>
                </c:pt>
                <c:pt idx="571">
                  <c:v>44014</c:v>
                </c:pt>
                <c:pt idx="572">
                  <c:v>44013</c:v>
                </c:pt>
                <c:pt idx="573">
                  <c:v>44012</c:v>
                </c:pt>
                <c:pt idx="574">
                  <c:v>44011</c:v>
                </c:pt>
                <c:pt idx="575">
                  <c:v>44010</c:v>
                </c:pt>
                <c:pt idx="576">
                  <c:v>44009</c:v>
                </c:pt>
                <c:pt idx="577">
                  <c:v>44008</c:v>
                </c:pt>
                <c:pt idx="578">
                  <c:v>44007</c:v>
                </c:pt>
                <c:pt idx="579">
                  <c:v>44006</c:v>
                </c:pt>
                <c:pt idx="580">
                  <c:v>44005</c:v>
                </c:pt>
                <c:pt idx="581">
                  <c:v>44004</c:v>
                </c:pt>
                <c:pt idx="582">
                  <c:v>44003</c:v>
                </c:pt>
                <c:pt idx="583">
                  <c:v>44002</c:v>
                </c:pt>
                <c:pt idx="584">
                  <c:v>44001</c:v>
                </c:pt>
                <c:pt idx="585">
                  <c:v>44000</c:v>
                </c:pt>
                <c:pt idx="586">
                  <c:v>43999</c:v>
                </c:pt>
                <c:pt idx="587">
                  <c:v>43998</c:v>
                </c:pt>
                <c:pt idx="588">
                  <c:v>43997</c:v>
                </c:pt>
                <c:pt idx="589">
                  <c:v>43996</c:v>
                </c:pt>
                <c:pt idx="590">
                  <c:v>43995</c:v>
                </c:pt>
                <c:pt idx="591">
                  <c:v>43994</c:v>
                </c:pt>
                <c:pt idx="592">
                  <c:v>43993</c:v>
                </c:pt>
                <c:pt idx="593">
                  <c:v>43992</c:v>
                </c:pt>
                <c:pt idx="594">
                  <c:v>43991</c:v>
                </c:pt>
                <c:pt idx="595">
                  <c:v>43990</c:v>
                </c:pt>
                <c:pt idx="596">
                  <c:v>43989</c:v>
                </c:pt>
                <c:pt idx="597">
                  <c:v>43988</c:v>
                </c:pt>
                <c:pt idx="598">
                  <c:v>43987</c:v>
                </c:pt>
                <c:pt idx="599">
                  <c:v>43986</c:v>
                </c:pt>
                <c:pt idx="600">
                  <c:v>43985</c:v>
                </c:pt>
                <c:pt idx="601">
                  <c:v>43984</c:v>
                </c:pt>
                <c:pt idx="602">
                  <c:v>43983</c:v>
                </c:pt>
                <c:pt idx="603">
                  <c:v>43982</c:v>
                </c:pt>
                <c:pt idx="604">
                  <c:v>43981</c:v>
                </c:pt>
                <c:pt idx="605">
                  <c:v>43980</c:v>
                </c:pt>
                <c:pt idx="606">
                  <c:v>43979</c:v>
                </c:pt>
                <c:pt idx="607">
                  <c:v>43978</c:v>
                </c:pt>
                <c:pt idx="608">
                  <c:v>43977</c:v>
                </c:pt>
                <c:pt idx="609">
                  <c:v>43976</c:v>
                </c:pt>
                <c:pt idx="610">
                  <c:v>43975</c:v>
                </c:pt>
                <c:pt idx="611">
                  <c:v>43974</c:v>
                </c:pt>
                <c:pt idx="612">
                  <c:v>43973</c:v>
                </c:pt>
                <c:pt idx="613">
                  <c:v>43972</c:v>
                </c:pt>
                <c:pt idx="614">
                  <c:v>43971</c:v>
                </c:pt>
                <c:pt idx="615">
                  <c:v>43970</c:v>
                </c:pt>
                <c:pt idx="616">
                  <c:v>43969</c:v>
                </c:pt>
                <c:pt idx="617">
                  <c:v>43968</c:v>
                </c:pt>
                <c:pt idx="618">
                  <c:v>43967</c:v>
                </c:pt>
                <c:pt idx="619">
                  <c:v>43966</c:v>
                </c:pt>
                <c:pt idx="620">
                  <c:v>43965</c:v>
                </c:pt>
                <c:pt idx="621">
                  <c:v>43964</c:v>
                </c:pt>
                <c:pt idx="622">
                  <c:v>43963</c:v>
                </c:pt>
                <c:pt idx="623">
                  <c:v>43962</c:v>
                </c:pt>
                <c:pt idx="624">
                  <c:v>43961</c:v>
                </c:pt>
                <c:pt idx="625">
                  <c:v>43960</c:v>
                </c:pt>
                <c:pt idx="626">
                  <c:v>43959</c:v>
                </c:pt>
                <c:pt idx="627">
                  <c:v>43958</c:v>
                </c:pt>
                <c:pt idx="628">
                  <c:v>43957</c:v>
                </c:pt>
                <c:pt idx="629">
                  <c:v>43956</c:v>
                </c:pt>
                <c:pt idx="630">
                  <c:v>43955</c:v>
                </c:pt>
                <c:pt idx="631">
                  <c:v>43954</c:v>
                </c:pt>
                <c:pt idx="632">
                  <c:v>43953</c:v>
                </c:pt>
                <c:pt idx="633">
                  <c:v>43952</c:v>
                </c:pt>
                <c:pt idx="634">
                  <c:v>43951</c:v>
                </c:pt>
                <c:pt idx="635">
                  <c:v>43950</c:v>
                </c:pt>
                <c:pt idx="636">
                  <c:v>43949</c:v>
                </c:pt>
                <c:pt idx="637">
                  <c:v>43948</c:v>
                </c:pt>
                <c:pt idx="638">
                  <c:v>43947</c:v>
                </c:pt>
                <c:pt idx="639">
                  <c:v>43946</c:v>
                </c:pt>
                <c:pt idx="640">
                  <c:v>43945</c:v>
                </c:pt>
                <c:pt idx="641">
                  <c:v>43944</c:v>
                </c:pt>
                <c:pt idx="642">
                  <c:v>43943</c:v>
                </c:pt>
                <c:pt idx="643">
                  <c:v>43942</c:v>
                </c:pt>
                <c:pt idx="644">
                  <c:v>43941</c:v>
                </c:pt>
                <c:pt idx="645">
                  <c:v>43940</c:v>
                </c:pt>
                <c:pt idx="646">
                  <c:v>43939</c:v>
                </c:pt>
                <c:pt idx="647">
                  <c:v>43938</c:v>
                </c:pt>
                <c:pt idx="648">
                  <c:v>43937</c:v>
                </c:pt>
                <c:pt idx="649">
                  <c:v>43936</c:v>
                </c:pt>
                <c:pt idx="650">
                  <c:v>43935</c:v>
                </c:pt>
                <c:pt idx="651">
                  <c:v>43934</c:v>
                </c:pt>
                <c:pt idx="652">
                  <c:v>43933</c:v>
                </c:pt>
                <c:pt idx="653">
                  <c:v>43932</c:v>
                </c:pt>
                <c:pt idx="654">
                  <c:v>43931</c:v>
                </c:pt>
                <c:pt idx="655">
                  <c:v>43930</c:v>
                </c:pt>
                <c:pt idx="656">
                  <c:v>43929</c:v>
                </c:pt>
                <c:pt idx="657">
                  <c:v>43928</c:v>
                </c:pt>
                <c:pt idx="658">
                  <c:v>43927</c:v>
                </c:pt>
                <c:pt idx="659">
                  <c:v>43926</c:v>
                </c:pt>
                <c:pt idx="660">
                  <c:v>43925</c:v>
                </c:pt>
                <c:pt idx="661">
                  <c:v>43924</c:v>
                </c:pt>
                <c:pt idx="662">
                  <c:v>43923</c:v>
                </c:pt>
                <c:pt idx="663">
                  <c:v>43922</c:v>
                </c:pt>
                <c:pt idx="664">
                  <c:v>43921</c:v>
                </c:pt>
                <c:pt idx="665">
                  <c:v>43920</c:v>
                </c:pt>
                <c:pt idx="666">
                  <c:v>43919</c:v>
                </c:pt>
                <c:pt idx="667">
                  <c:v>43918</c:v>
                </c:pt>
                <c:pt idx="668">
                  <c:v>43917</c:v>
                </c:pt>
                <c:pt idx="669">
                  <c:v>43916</c:v>
                </c:pt>
                <c:pt idx="670">
                  <c:v>43915</c:v>
                </c:pt>
                <c:pt idx="671">
                  <c:v>43914</c:v>
                </c:pt>
                <c:pt idx="672">
                  <c:v>43913</c:v>
                </c:pt>
                <c:pt idx="673">
                  <c:v>43912</c:v>
                </c:pt>
                <c:pt idx="674">
                  <c:v>43911</c:v>
                </c:pt>
                <c:pt idx="675">
                  <c:v>43910</c:v>
                </c:pt>
                <c:pt idx="676">
                  <c:v>43909</c:v>
                </c:pt>
                <c:pt idx="677">
                  <c:v>43908</c:v>
                </c:pt>
                <c:pt idx="678">
                  <c:v>43907</c:v>
                </c:pt>
                <c:pt idx="679">
                  <c:v>43906</c:v>
                </c:pt>
                <c:pt idx="680">
                  <c:v>43905</c:v>
                </c:pt>
                <c:pt idx="681">
                  <c:v>43904</c:v>
                </c:pt>
                <c:pt idx="682">
                  <c:v>43903</c:v>
                </c:pt>
                <c:pt idx="683">
                  <c:v>43902</c:v>
                </c:pt>
                <c:pt idx="684">
                  <c:v>43901</c:v>
                </c:pt>
                <c:pt idx="685">
                  <c:v>43900</c:v>
                </c:pt>
                <c:pt idx="686">
                  <c:v>43899</c:v>
                </c:pt>
                <c:pt idx="687">
                  <c:v>43898</c:v>
                </c:pt>
                <c:pt idx="688">
                  <c:v>43897</c:v>
                </c:pt>
                <c:pt idx="689">
                  <c:v>43896</c:v>
                </c:pt>
                <c:pt idx="690">
                  <c:v>43895</c:v>
                </c:pt>
                <c:pt idx="691">
                  <c:v>43894</c:v>
                </c:pt>
                <c:pt idx="692">
                  <c:v>43893</c:v>
                </c:pt>
                <c:pt idx="693">
                  <c:v>43892</c:v>
                </c:pt>
                <c:pt idx="694">
                  <c:v>43891</c:v>
                </c:pt>
                <c:pt idx="695">
                  <c:v>43890</c:v>
                </c:pt>
                <c:pt idx="696">
                  <c:v>43889</c:v>
                </c:pt>
                <c:pt idx="697">
                  <c:v>43888</c:v>
                </c:pt>
                <c:pt idx="698">
                  <c:v>43887</c:v>
                </c:pt>
                <c:pt idx="699">
                  <c:v>43886</c:v>
                </c:pt>
                <c:pt idx="700">
                  <c:v>43885</c:v>
                </c:pt>
                <c:pt idx="701">
                  <c:v>43884</c:v>
                </c:pt>
                <c:pt idx="702">
                  <c:v>43883</c:v>
                </c:pt>
                <c:pt idx="703">
                  <c:v>43882</c:v>
                </c:pt>
                <c:pt idx="704">
                  <c:v>43881</c:v>
                </c:pt>
                <c:pt idx="705">
                  <c:v>43880</c:v>
                </c:pt>
                <c:pt idx="706">
                  <c:v>43879</c:v>
                </c:pt>
                <c:pt idx="707">
                  <c:v>43878</c:v>
                </c:pt>
                <c:pt idx="708">
                  <c:v>43877</c:v>
                </c:pt>
                <c:pt idx="709">
                  <c:v>43876</c:v>
                </c:pt>
                <c:pt idx="710">
                  <c:v>43875</c:v>
                </c:pt>
                <c:pt idx="711">
                  <c:v>43874</c:v>
                </c:pt>
                <c:pt idx="712">
                  <c:v>43873</c:v>
                </c:pt>
                <c:pt idx="713">
                  <c:v>43872</c:v>
                </c:pt>
                <c:pt idx="714">
                  <c:v>43871</c:v>
                </c:pt>
                <c:pt idx="715">
                  <c:v>43870</c:v>
                </c:pt>
                <c:pt idx="716">
                  <c:v>43869</c:v>
                </c:pt>
                <c:pt idx="717">
                  <c:v>43868</c:v>
                </c:pt>
                <c:pt idx="718">
                  <c:v>43867</c:v>
                </c:pt>
                <c:pt idx="719">
                  <c:v>43866</c:v>
                </c:pt>
                <c:pt idx="720">
                  <c:v>43865</c:v>
                </c:pt>
                <c:pt idx="721">
                  <c:v>43864</c:v>
                </c:pt>
                <c:pt idx="722">
                  <c:v>43863</c:v>
                </c:pt>
                <c:pt idx="723">
                  <c:v>43862</c:v>
                </c:pt>
                <c:pt idx="724">
                  <c:v>43861</c:v>
                </c:pt>
                <c:pt idx="725">
                  <c:v>43860</c:v>
                </c:pt>
                <c:pt idx="726">
                  <c:v>43859</c:v>
                </c:pt>
                <c:pt idx="727">
                  <c:v>43858</c:v>
                </c:pt>
                <c:pt idx="728">
                  <c:v>43857</c:v>
                </c:pt>
                <c:pt idx="729">
                  <c:v>43856</c:v>
                </c:pt>
                <c:pt idx="730">
                  <c:v>43855</c:v>
                </c:pt>
                <c:pt idx="731">
                  <c:v>43854</c:v>
                </c:pt>
                <c:pt idx="732">
                  <c:v>43853</c:v>
                </c:pt>
                <c:pt idx="733">
                  <c:v>43852</c:v>
                </c:pt>
                <c:pt idx="734">
                  <c:v>43851</c:v>
                </c:pt>
                <c:pt idx="735">
                  <c:v>43850</c:v>
                </c:pt>
                <c:pt idx="736">
                  <c:v>43849</c:v>
                </c:pt>
                <c:pt idx="737">
                  <c:v>43848</c:v>
                </c:pt>
                <c:pt idx="738">
                  <c:v>43847</c:v>
                </c:pt>
                <c:pt idx="739">
                  <c:v>43846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-42.968428508312165</c:v>
                </c:pt>
                <c:pt idx="1">
                  <c:v>-42.96770038756118</c:v>
                </c:pt>
                <c:pt idx="2">
                  <c:v>-42.952760694833906</c:v>
                </c:pt>
                <c:pt idx="3">
                  <c:v>-42.942669779119619</c:v>
                </c:pt>
                <c:pt idx="4">
                  <c:v>-42.932120294938613</c:v>
                </c:pt>
                <c:pt idx="5">
                  <c:v>-42.942957036163108</c:v>
                </c:pt>
                <c:pt idx="6">
                  <c:v>-42.913892675226165</c:v>
                </c:pt>
                <c:pt idx="7">
                  <c:v>-42.877665494196357</c:v>
                </c:pt>
                <c:pt idx="8">
                  <c:v>-42.850790687569329</c:v>
                </c:pt>
                <c:pt idx="9">
                  <c:v>-42.828271516900699</c:v>
                </c:pt>
                <c:pt idx="10">
                  <c:v>-42.84982664953418</c:v>
                </c:pt>
                <c:pt idx="11">
                  <c:v>-42.831955347460458</c:v>
                </c:pt>
                <c:pt idx="12">
                  <c:v>-42.79060145487928</c:v>
                </c:pt>
                <c:pt idx="13">
                  <c:v>-42.788609171723635</c:v>
                </c:pt>
                <c:pt idx="14">
                  <c:v>-42.789471728574945</c:v>
                </c:pt>
                <c:pt idx="15">
                  <c:v>-42.774589925643454</c:v>
                </c:pt>
                <c:pt idx="16">
                  <c:v>-42.785452756123455</c:v>
                </c:pt>
                <c:pt idx="17">
                  <c:v>-42.795030519277816</c:v>
                </c:pt>
                <c:pt idx="18">
                  <c:v>-42.774600724482781</c:v>
                </c:pt>
                <c:pt idx="19">
                  <c:v>-42.777523181643126</c:v>
                </c:pt>
                <c:pt idx="20">
                  <c:v>-42.765788470284384</c:v>
                </c:pt>
                <c:pt idx="21">
                  <c:v>-42.749793201554567</c:v>
                </c:pt>
                <c:pt idx="22">
                  <c:v>-42.79111215225678</c:v>
                </c:pt>
                <c:pt idx="23">
                  <c:v>-42.739165418901038</c:v>
                </c:pt>
                <c:pt idx="24">
                  <c:v>-42.656391319971029</c:v>
                </c:pt>
                <c:pt idx="25">
                  <c:v>-42.830236725497343</c:v>
                </c:pt>
                <c:pt idx="26">
                  <c:v>-42.804243612972705</c:v>
                </c:pt>
                <c:pt idx="27">
                  <c:v>-42.874853814025336</c:v>
                </c:pt>
                <c:pt idx="28">
                  <c:v>-42.866430646292955</c:v>
                </c:pt>
                <c:pt idx="29">
                  <c:v>-42.870241800122962</c:v>
                </c:pt>
                <c:pt idx="30">
                  <c:v>-42.887111816499619</c:v>
                </c:pt>
                <c:pt idx="31">
                  <c:v>-42.827691338337161</c:v>
                </c:pt>
                <c:pt idx="32">
                  <c:v>-42.694120707470091</c:v>
                </c:pt>
                <c:pt idx="33">
                  <c:v>-42.699895823431639</c:v>
                </c:pt>
                <c:pt idx="34">
                  <c:v>-42.687556570291143</c:v>
                </c:pt>
                <c:pt idx="35">
                  <c:v>-42.656329907546038</c:v>
                </c:pt>
                <c:pt idx="36">
                  <c:v>-42.668052089760693</c:v>
                </c:pt>
                <c:pt idx="37">
                  <c:v>-42.658723683963586</c:v>
                </c:pt>
                <c:pt idx="38">
                  <c:v>-42.66220597702717</c:v>
                </c:pt>
                <c:pt idx="39">
                  <c:v>-42.662959977599165</c:v>
                </c:pt>
                <c:pt idx="40">
                  <c:v>-42.644678113669755</c:v>
                </c:pt>
                <c:pt idx="41">
                  <c:v>-42.621331352272193</c:v>
                </c:pt>
                <c:pt idx="42">
                  <c:v>-42.66554639636108</c:v>
                </c:pt>
                <c:pt idx="43">
                  <c:v>-42.67402432882448</c:v>
                </c:pt>
                <c:pt idx="44">
                  <c:v>-42.682438260975509</c:v>
                </c:pt>
                <c:pt idx="45">
                  <c:v>-42.678020065372863</c:v>
                </c:pt>
                <c:pt idx="46">
                  <c:v>-42.652115655038735</c:v>
                </c:pt>
                <c:pt idx="47">
                  <c:v>-42.617211646285526</c:v>
                </c:pt>
                <c:pt idx="48">
                  <c:v>-42.617802507768786</c:v>
                </c:pt>
                <c:pt idx="49">
                  <c:v>-42.594473723603684</c:v>
                </c:pt>
                <c:pt idx="50">
                  <c:v>-42.564277080290616</c:v>
                </c:pt>
                <c:pt idx="51">
                  <c:v>-42.580107203703946</c:v>
                </c:pt>
                <c:pt idx="52">
                  <c:v>-42.531281282445605</c:v>
                </c:pt>
                <c:pt idx="53">
                  <c:v>-42.492906366826659</c:v>
                </c:pt>
                <c:pt idx="54">
                  <c:v>-42.439474061975972</c:v>
                </c:pt>
                <c:pt idx="55">
                  <c:v>-42.412251092515845</c:v>
                </c:pt>
                <c:pt idx="56">
                  <c:v>-42.392306515989027</c:v>
                </c:pt>
                <c:pt idx="57">
                  <c:v>-42.375067479136959</c:v>
                </c:pt>
                <c:pt idx="58">
                  <c:v>-42.348761955765042</c:v>
                </c:pt>
                <c:pt idx="59">
                  <c:v>-42.266148852343207</c:v>
                </c:pt>
                <c:pt idx="60">
                  <c:v>-42.134243263770344</c:v>
                </c:pt>
                <c:pt idx="61">
                  <c:v>-41.994203147086253</c:v>
                </c:pt>
                <c:pt idx="62">
                  <c:v>-41.957623091365065</c:v>
                </c:pt>
                <c:pt idx="63">
                  <c:v>-41.915482428833421</c:v>
                </c:pt>
                <c:pt idx="64">
                  <c:v>-41.837579356437708</c:v>
                </c:pt>
                <c:pt idx="65">
                  <c:v>-41.835771576953995</c:v>
                </c:pt>
                <c:pt idx="66">
                  <c:v>-41.831037129920453</c:v>
                </c:pt>
                <c:pt idx="67">
                  <c:v>-41.529400724730841</c:v>
                </c:pt>
                <c:pt idx="68">
                  <c:v>-39.812717298645211</c:v>
                </c:pt>
                <c:pt idx="69">
                  <c:v>-39.925731736027693</c:v>
                </c:pt>
                <c:pt idx="70">
                  <c:v>-39.92348501357155</c:v>
                </c:pt>
                <c:pt idx="71">
                  <c:v>-39.913663855636521</c:v>
                </c:pt>
                <c:pt idx="72">
                  <c:v>-39.922087299355113</c:v>
                </c:pt>
                <c:pt idx="73">
                  <c:v>-39.909617999556318</c:v>
                </c:pt>
                <c:pt idx="74">
                  <c:v>-39.898868799556318</c:v>
                </c:pt>
                <c:pt idx="75">
                  <c:v>-39.895981426924735</c:v>
                </c:pt>
                <c:pt idx="76">
                  <c:v>-39.894315017015444</c:v>
                </c:pt>
                <c:pt idx="77">
                  <c:v>-39.888386649595056</c:v>
                </c:pt>
                <c:pt idx="78">
                  <c:v>-39.893358186711943</c:v>
                </c:pt>
                <c:pt idx="79">
                  <c:v>-39.868268622296362</c:v>
                </c:pt>
                <c:pt idx="80">
                  <c:v>-39.826018500335579</c:v>
                </c:pt>
                <c:pt idx="81">
                  <c:v>-39.854115140382419</c:v>
                </c:pt>
                <c:pt idx="82">
                  <c:v>-39.867993863917306</c:v>
                </c:pt>
                <c:pt idx="83">
                  <c:v>-39.866217928917301</c:v>
                </c:pt>
                <c:pt idx="84">
                  <c:v>-39.852234096664276</c:v>
                </c:pt>
                <c:pt idx="85">
                  <c:v>-39.876958056406757</c:v>
                </c:pt>
                <c:pt idx="86">
                  <c:v>-39.888130831872751</c:v>
                </c:pt>
                <c:pt idx="87">
                  <c:v>-39.899657826527921</c:v>
                </c:pt>
                <c:pt idx="88">
                  <c:v>-39.875810595390199</c:v>
                </c:pt>
                <c:pt idx="89">
                  <c:v>-39.880413145197892</c:v>
                </c:pt>
                <c:pt idx="90">
                  <c:v>-39.874285435285991</c:v>
                </c:pt>
                <c:pt idx="91">
                  <c:v>-39.888221749093098</c:v>
                </c:pt>
                <c:pt idx="92">
                  <c:v>-39.897141069547651</c:v>
                </c:pt>
                <c:pt idx="93">
                  <c:v>-39.860647042253532</c:v>
                </c:pt>
                <c:pt idx="94">
                  <c:v>-39.841024625491627</c:v>
                </c:pt>
                <c:pt idx="95">
                  <c:v>-39.841024625491627</c:v>
                </c:pt>
                <c:pt idx="96">
                  <c:v>-39.832140332493459</c:v>
                </c:pt>
                <c:pt idx="97">
                  <c:v>-39.821594750766344</c:v>
                </c:pt>
                <c:pt idx="98">
                  <c:v>-39.805804707622194</c:v>
                </c:pt>
                <c:pt idx="99">
                  <c:v>-39.752809147822191</c:v>
                </c:pt>
                <c:pt idx="100">
                  <c:v>-39.736612233015471</c:v>
                </c:pt>
                <c:pt idx="101">
                  <c:v>-39.743470823015464</c:v>
                </c:pt>
                <c:pt idx="102">
                  <c:v>-39.721739917854869</c:v>
                </c:pt>
                <c:pt idx="103">
                  <c:v>-39.516810217282448</c:v>
                </c:pt>
                <c:pt idx="104">
                  <c:v>-39.508751234810546</c:v>
                </c:pt>
                <c:pt idx="105">
                  <c:v>-39.467458109625362</c:v>
                </c:pt>
                <c:pt idx="106">
                  <c:v>-39.463172876676211</c:v>
                </c:pt>
                <c:pt idx="107">
                  <c:v>-39.469055598904781</c:v>
                </c:pt>
                <c:pt idx="108">
                  <c:v>-39.446560121272377</c:v>
                </c:pt>
                <c:pt idx="109">
                  <c:v>-39.437101869237637</c:v>
                </c:pt>
                <c:pt idx="110">
                  <c:v>-39.429269118697682</c:v>
                </c:pt>
                <c:pt idx="111">
                  <c:v>-39.414224719527311</c:v>
                </c:pt>
                <c:pt idx="112">
                  <c:v>-39.395140259185922</c:v>
                </c:pt>
                <c:pt idx="113">
                  <c:v>-39.400658319088834</c:v>
                </c:pt>
                <c:pt idx="114">
                  <c:v>-39.393883736203755</c:v>
                </c:pt>
                <c:pt idx="115">
                  <c:v>-39.398084690173597</c:v>
                </c:pt>
                <c:pt idx="116">
                  <c:v>-39.405946798836219</c:v>
                </c:pt>
                <c:pt idx="117">
                  <c:v>-39.400262877257269</c:v>
                </c:pt>
                <c:pt idx="118">
                  <c:v>-39.394301974544341</c:v>
                </c:pt>
                <c:pt idx="119">
                  <c:v>-39.380099048090763</c:v>
                </c:pt>
                <c:pt idx="120">
                  <c:v>-39.391952426511814</c:v>
                </c:pt>
                <c:pt idx="121">
                  <c:v>-39.388722501311818</c:v>
                </c:pt>
                <c:pt idx="122">
                  <c:v>-39.381350846498734</c:v>
                </c:pt>
                <c:pt idx="123">
                  <c:v>-39.359769503272922</c:v>
                </c:pt>
                <c:pt idx="124">
                  <c:v>-39.281479486277959</c:v>
                </c:pt>
                <c:pt idx="125">
                  <c:v>-39.316335840509581</c:v>
                </c:pt>
                <c:pt idx="126">
                  <c:v>-39.318615971853383</c:v>
                </c:pt>
                <c:pt idx="127">
                  <c:v>-39.301002982992003</c:v>
                </c:pt>
                <c:pt idx="128">
                  <c:v>-39.318221928007105</c:v>
                </c:pt>
                <c:pt idx="129">
                  <c:v>-39.288331873493846</c:v>
                </c:pt>
                <c:pt idx="130">
                  <c:v>-39.285121836625159</c:v>
                </c:pt>
                <c:pt idx="131">
                  <c:v>-39.271704833313898</c:v>
                </c:pt>
                <c:pt idx="132">
                  <c:v>-39.263538903898692</c:v>
                </c:pt>
                <c:pt idx="133">
                  <c:v>-39.265725165347462</c:v>
                </c:pt>
                <c:pt idx="134">
                  <c:v>-39.254404335032994</c:v>
                </c:pt>
                <c:pt idx="135">
                  <c:v>-39.264740947532992</c:v>
                </c:pt>
                <c:pt idx="136">
                  <c:v>-39.26235816168213</c:v>
                </c:pt>
                <c:pt idx="137">
                  <c:v>-39.263000004455854</c:v>
                </c:pt>
                <c:pt idx="138">
                  <c:v>-39.264355029185879</c:v>
                </c:pt>
                <c:pt idx="139">
                  <c:v>-39.269935653450759</c:v>
                </c:pt>
                <c:pt idx="140">
                  <c:v>-39.260631104979936</c:v>
                </c:pt>
                <c:pt idx="141">
                  <c:v>-39.246950497556902</c:v>
                </c:pt>
                <c:pt idx="142">
                  <c:v>-39.255013338593429</c:v>
                </c:pt>
                <c:pt idx="143">
                  <c:v>-39.228236631639284</c:v>
                </c:pt>
                <c:pt idx="144">
                  <c:v>-39.258177132175334</c:v>
                </c:pt>
                <c:pt idx="145">
                  <c:v>-39.278119013833361</c:v>
                </c:pt>
                <c:pt idx="146">
                  <c:v>-39.264025241605985</c:v>
                </c:pt>
                <c:pt idx="147">
                  <c:v>-39.257381743970519</c:v>
                </c:pt>
                <c:pt idx="148">
                  <c:v>-39.262794165433931</c:v>
                </c:pt>
                <c:pt idx="149">
                  <c:v>-39.263426813796428</c:v>
                </c:pt>
                <c:pt idx="150">
                  <c:v>-39.25166695112037</c:v>
                </c:pt>
                <c:pt idx="151">
                  <c:v>-39.229855782381406</c:v>
                </c:pt>
                <c:pt idx="152">
                  <c:v>-39.20618242881384</c:v>
                </c:pt>
                <c:pt idx="153">
                  <c:v>-39.216815453774601</c:v>
                </c:pt>
                <c:pt idx="154">
                  <c:v>-39.175216630804442</c:v>
                </c:pt>
                <c:pt idx="155">
                  <c:v>-39.196398748255994</c:v>
                </c:pt>
                <c:pt idx="156">
                  <c:v>-39.204401656344885</c:v>
                </c:pt>
                <c:pt idx="157">
                  <c:v>-39.193420668025652</c:v>
                </c:pt>
                <c:pt idx="158">
                  <c:v>-39.184157773208511</c:v>
                </c:pt>
                <c:pt idx="159">
                  <c:v>-39.189772137529594</c:v>
                </c:pt>
                <c:pt idx="160">
                  <c:v>-39.195174977335171</c:v>
                </c:pt>
                <c:pt idx="161">
                  <c:v>-39.192509851716935</c:v>
                </c:pt>
                <c:pt idx="162">
                  <c:v>-39.200361858060006</c:v>
                </c:pt>
                <c:pt idx="163">
                  <c:v>-39.200000150204275</c:v>
                </c:pt>
                <c:pt idx="164">
                  <c:v>-39.18344950785427</c:v>
                </c:pt>
                <c:pt idx="165">
                  <c:v>-39.161171594123424</c:v>
                </c:pt>
                <c:pt idx="166">
                  <c:v>-39.166785258215903</c:v>
                </c:pt>
                <c:pt idx="167">
                  <c:v>-39.158092242218508</c:v>
                </c:pt>
                <c:pt idx="168">
                  <c:v>-39.166917862837138</c:v>
                </c:pt>
                <c:pt idx="169">
                  <c:v>-39.199351120714496</c:v>
                </c:pt>
                <c:pt idx="170">
                  <c:v>-39.203041817171723</c:v>
                </c:pt>
                <c:pt idx="171">
                  <c:v>-39.203041817171723</c:v>
                </c:pt>
                <c:pt idx="172">
                  <c:v>-39.219745171107441</c:v>
                </c:pt>
                <c:pt idx="173">
                  <c:v>-39.184279824033482</c:v>
                </c:pt>
                <c:pt idx="174">
                  <c:v>-39.182517819513976</c:v>
                </c:pt>
                <c:pt idx="175">
                  <c:v>-39.190036409322175</c:v>
                </c:pt>
                <c:pt idx="176">
                  <c:v>-39.216995716175646</c:v>
                </c:pt>
                <c:pt idx="177">
                  <c:v>-39.220018647148983</c:v>
                </c:pt>
                <c:pt idx="178">
                  <c:v>-39.208780397728979</c:v>
                </c:pt>
                <c:pt idx="179">
                  <c:v>-39.213523421308977</c:v>
                </c:pt>
                <c:pt idx="180">
                  <c:v>-39.196074191366193</c:v>
                </c:pt>
                <c:pt idx="181">
                  <c:v>-39.198473043009415</c:v>
                </c:pt>
                <c:pt idx="182">
                  <c:v>-39.181433745222428</c:v>
                </c:pt>
                <c:pt idx="183">
                  <c:v>-39.178397672939575</c:v>
                </c:pt>
                <c:pt idx="184">
                  <c:v>-39.170506553399576</c:v>
                </c:pt>
                <c:pt idx="185">
                  <c:v>-39.175788238163726</c:v>
                </c:pt>
                <c:pt idx="186">
                  <c:v>-39.105482440300811</c:v>
                </c:pt>
                <c:pt idx="187">
                  <c:v>-38.90959580391339</c:v>
                </c:pt>
                <c:pt idx="188">
                  <c:v>-38.913119154500151</c:v>
                </c:pt>
                <c:pt idx="189">
                  <c:v>-38.946291887202214</c:v>
                </c:pt>
                <c:pt idx="190">
                  <c:v>-38.962644909997927</c:v>
                </c:pt>
                <c:pt idx="191">
                  <c:v>-38.974535124084447</c:v>
                </c:pt>
                <c:pt idx="192">
                  <c:v>-38.891011106050996</c:v>
                </c:pt>
                <c:pt idx="193">
                  <c:v>-38.892588885654725</c:v>
                </c:pt>
                <c:pt idx="194">
                  <c:v>-38.883058985800275</c:v>
                </c:pt>
                <c:pt idx="195">
                  <c:v>-38.896430210061482</c:v>
                </c:pt>
                <c:pt idx="196">
                  <c:v>-38.837101916551404</c:v>
                </c:pt>
                <c:pt idx="197">
                  <c:v>-38.851423934325936</c:v>
                </c:pt>
                <c:pt idx="198">
                  <c:v>-38.864389904865007</c:v>
                </c:pt>
                <c:pt idx="199">
                  <c:v>-38.872978834085004</c:v>
                </c:pt>
                <c:pt idx="200">
                  <c:v>-38.852186642393974</c:v>
                </c:pt>
                <c:pt idx="201">
                  <c:v>-38.850325701703262</c:v>
                </c:pt>
                <c:pt idx="202">
                  <c:v>-38.848938867293604</c:v>
                </c:pt>
                <c:pt idx="203">
                  <c:v>-38.852553853305722</c:v>
                </c:pt>
                <c:pt idx="204">
                  <c:v>-38.835584998168748</c:v>
                </c:pt>
                <c:pt idx="205">
                  <c:v>-38.826023943346748</c:v>
                </c:pt>
                <c:pt idx="206">
                  <c:v>-38.831048153284335</c:v>
                </c:pt>
                <c:pt idx="207">
                  <c:v>-38.821880534214095</c:v>
                </c:pt>
                <c:pt idx="208">
                  <c:v>-38.809446303593134</c:v>
                </c:pt>
                <c:pt idx="209">
                  <c:v>-38.826934408893628</c:v>
                </c:pt>
                <c:pt idx="210">
                  <c:v>-38.82848734951363</c:v>
                </c:pt>
                <c:pt idx="211">
                  <c:v>-38.822148988236187</c:v>
                </c:pt>
                <c:pt idx="212">
                  <c:v>-38.824932047069872</c:v>
                </c:pt>
                <c:pt idx="213">
                  <c:v>-38.826471089009104</c:v>
                </c:pt>
                <c:pt idx="214">
                  <c:v>-38.814845105628343</c:v>
                </c:pt>
                <c:pt idx="215">
                  <c:v>-38.739686144290317</c:v>
                </c:pt>
                <c:pt idx="216">
                  <c:v>-38.741206707052903</c:v>
                </c:pt>
                <c:pt idx="217">
                  <c:v>-38.732953378101264</c:v>
                </c:pt>
                <c:pt idx="218">
                  <c:v>-38.738745637985879</c:v>
                </c:pt>
                <c:pt idx="219">
                  <c:v>-38.731336889385879</c:v>
                </c:pt>
                <c:pt idx="220">
                  <c:v>-38.733783240024174</c:v>
                </c:pt>
                <c:pt idx="221">
                  <c:v>-38.710979021270219</c:v>
                </c:pt>
                <c:pt idx="222">
                  <c:v>-38.719368036023553</c:v>
                </c:pt>
                <c:pt idx="223">
                  <c:v>-38.716023287010216</c:v>
                </c:pt>
                <c:pt idx="224">
                  <c:v>-38.70967013172622</c:v>
                </c:pt>
                <c:pt idx="225">
                  <c:v>-38.682595617689799</c:v>
                </c:pt>
                <c:pt idx="226">
                  <c:v>-38.662476704292565</c:v>
                </c:pt>
                <c:pt idx="227">
                  <c:v>-38.664667440747408</c:v>
                </c:pt>
                <c:pt idx="228">
                  <c:v>-38.675032035261694</c:v>
                </c:pt>
                <c:pt idx="229">
                  <c:v>-38.684324745612912</c:v>
                </c:pt>
                <c:pt idx="230">
                  <c:v>-38.681808394247291</c:v>
                </c:pt>
                <c:pt idx="231">
                  <c:v>-38.648812499647583</c:v>
                </c:pt>
                <c:pt idx="232">
                  <c:v>-38.622797407424251</c:v>
                </c:pt>
                <c:pt idx="233">
                  <c:v>-38.654548864825607</c:v>
                </c:pt>
                <c:pt idx="234">
                  <c:v>-38.668591577036132</c:v>
                </c:pt>
                <c:pt idx="235">
                  <c:v>-38.649834421820579</c:v>
                </c:pt>
                <c:pt idx="236">
                  <c:v>-38.642079397040149</c:v>
                </c:pt>
                <c:pt idx="237">
                  <c:v>-38.629845045586407</c:v>
                </c:pt>
                <c:pt idx="238">
                  <c:v>-38.612548589666403</c:v>
                </c:pt>
                <c:pt idx="239">
                  <c:v>-38.622570884320005</c:v>
                </c:pt>
                <c:pt idx="240">
                  <c:v>-38.632088773951523</c:v>
                </c:pt>
                <c:pt idx="241">
                  <c:v>-38.61263545393134</c:v>
                </c:pt>
                <c:pt idx="242">
                  <c:v>-38.645380278135534</c:v>
                </c:pt>
                <c:pt idx="243">
                  <c:v>-38.608545917473997</c:v>
                </c:pt>
                <c:pt idx="244">
                  <c:v>-38.545825982274685</c:v>
                </c:pt>
                <c:pt idx="245">
                  <c:v>-38.546422637549377</c:v>
                </c:pt>
                <c:pt idx="246">
                  <c:v>-38.535389043713558</c:v>
                </c:pt>
                <c:pt idx="247">
                  <c:v>-38.562666790401153</c:v>
                </c:pt>
                <c:pt idx="248">
                  <c:v>-38.576266394776155</c:v>
                </c:pt>
                <c:pt idx="249">
                  <c:v>-38.607721405314564</c:v>
                </c:pt>
                <c:pt idx="250">
                  <c:v>-38.596852065398686</c:v>
                </c:pt>
                <c:pt idx="251">
                  <c:v>-38.590176102780376</c:v>
                </c:pt>
                <c:pt idx="252">
                  <c:v>-38.584882554802306</c:v>
                </c:pt>
                <c:pt idx="253">
                  <c:v>-38.611348276537619</c:v>
                </c:pt>
                <c:pt idx="254">
                  <c:v>-38.576760213054555</c:v>
                </c:pt>
                <c:pt idx="255">
                  <c:v>-38.562914865892061</c:v>
                </c:pt>
                <c:pt idx="256">
                  <c:v>-38.545677328863484</c:v>
                </c:pt>
                <c:pt idx="257">
                  <c:v>-38.54205773122078</c:v>
                </c:pt>
                <c:pt idx="258">
                  <c:v>-38.518451942461631</c:v>
                </c:pt>
                <c:pt idx="259">
                  <c:v>-38.525124184976825</c:v>
                </c:pt>
                <c:pt idx="260">
                  <c:v>-38.486839576070416</c:v>
                </c:pt>
                <c:pt idx="261">
                  <c:v>-38.458611682877979</c:v>
                </c:pt>
                <c:pt idx="262">
                  <c:v>-38.474984494860138</c:v>
                </c:pt>
                <c:pt idx="263">
                  <c:v>-38.460075784755759</c:v>
                </c:pt>
                <c:pt idx="264">
                  <c:v>-38.461666743663919</c:v>
                </c:pt>
                <c:pt idx="265">
                  <c:v>-38.437457462986274</c:v>
                </c:pt>
                <c:pt idx="266">
                  <c:v>-38.453283354002409</c:v>
                </c:pt>
                <c:pt idx="267">
                  <c:v>-38.423846956964688</c:v>
                </c:pt>
                <c:pt idx="268">
                  <c:v>-38.433437687754321</c:v>
                </c:pt>
                <c:pt idx="269">
                  <c:v>-38.395013853927111</c:v>
                </c:pt>
                <c:pt idx="270">
                  <c:v>-38.3760738515589</c:v>
                </c:pt>
                <c:pt idx="271">
                  <c:v>-38.365927259487492</c:v>
                </c:pt>
                <c:pt idx="272">
                  <c:v>-38.363505856310752</c:v>
                </c:pt>
                <c:pt idx="273">
                  <c:v>-38.358676436079627</c:v>
                </c:pt>
                <c:pt idx="274">
                  <c:v>-38.374884385602634</c:v>
                </c:pt>
                <c:pt idx="275">
                  <c:v>-38.376952037558603</c:v>
                </c:pt>
                <c:pt idx="276">
                  <c:v>-38.394016070291165</c:v>
                </c:pt>
                <c:pt idx="277">
                  <c:v>-38.414117664725417</c:v>
                </c:pt>
                <c:pt idx="278">
                  <c:v>-38.416991494595692</c:v>
                </c:pt>
                <c:pt idx="279">
                  <c:v>-38.389638805666245</c:v>
                </c:pt>
                <c:pt idx="280">
                  <c:v>-38.399777124714412</c:v>
                </c:pt>
                <c:pt idx="281">
                  <c:v>-38.373714759710353</c:v>
                </c:pt>
                <c:pt idx="282">
                  <c:v>-38.348877770980067</c:v>
                </c:pt>
                <c:pt idx="283">
                  <c:v>-38.359069994397295</c:v>
                </c:pt>
                <c:pt idx="284">
                  <c:v>-38.287324886804186</c:v>
                </c:pt>
                <c:pt idx="285">
                  <c:v>-38.280629787133059</c:v>
                </c:pt>
                <c:pt idx="286">
                  <c:v>-38.258137482799398</c:v>
                </c:pt>
                <c:pt idx="287">
                  <c:v>-38.247433595353314</c:v>
                </c:pt>
                <c:pt idx="288">
                  <c:v>-38.234028099980186</c:v>
                </c:pt>
                <c:pt idx="289">
                  <c:v>-38.224083407207644</c:v>
                </c:pt>
                <c:pt idx="290">
                  <c:v>-38.238712326832022</c:v>
                </c:pt>
                <c:pt idx="291">
                  <c:v>-38.214047629583114</c:v>
                </c:pt>
                <c:pt idx="292">
                  <c:v>-38.243426839403675</c:v>
                </c:pt>
                <c:pt idx="293">
                  <c:v>-38.196475247896501</c:v>
                </c:pt>
                <c:pt idx="294">
                  <c:v>-38.037471777200324</c:v>
                </c:pt>
                <c:pt idx="295">
                  <c:v>-38.175099644934392</c:v>
                </c:pt>
                <c:pt idx="296">
                  <c:v>-38.134829177765745</c:v>
                </c:pt>
                <c:pt idx="297">
                  <c:v>-38.068701795983131</c:v>
                </c:pt>
                <c:pt idx="298">
                  <c:v>-37.995720510803856</c:v>
                </c:pt>
                <c:pt idx="299">
                  <c:v>-37.965543464202838</c:v>
                </c:pt>
                <c:pt idx="300">
                  <c:v>-37.86154106461376</c:v>
                </c:pt>
                <c:pt idx="301">
                  <c:v>-37.671102531411492</c:v>
                </c:pt>
                <c:pt idx="302">
                  <c:v>-38.079074850182337</c:v>
                </c:pt>
                <c:pt idx="303">
                  <c:v>-41.055543930329861</c:v>
                </c:pt>
                <c:pt idx="304">
                  <c:v>-41.789777613055143</c:v>
                </c:pt>
                <c:pt idx="305">
                  <c:v>-43.603348978995172</c:v>
                </c:pt>
                <c:pt idx="306">
                  <c:v>-42.266844527766608</c:v>
                </c:pt>
                <c:pt idx="307">
                  <c:v>-40.04759941985381</c:v>
                </c:pt>
                <c:pt idx="308">
                  <c:v>-37.819368124475254</c:v>
                </c:pt>
                <c:pt idx="309">
                  <c:v>-31.770044518313021</c:v>
                </c:pt>
                <c:pt idx="310">
                  <c:v>-32.894967854857235</c:v>
                </c:pt>
                <c:pt idx="311">
                  <c:v>-19.121358297573575</c:v>
                </c:pt>
                <c:pt idx="312">
                  <c:v>-29.847973271037212</c:v>
                </c:pt>
                <c:pt idx="313">
                  <c:v>-26.130957628453025</c:v>
                </c:pt>
                <c:pt idx="314">
                  <c:v>-30.019665226570858</c:v>
                </c:pt>
                <c:pt idx="315">
                  <c:v>-25.532681560027648</c:v>
                </c:pt>
                <c:pt idx="316">
                  <c:v>-29.430839631753432</c:v>
                </c:pt>
                <c:pt idx="317">
                  <c:v>-25.784887812533572</c:v>
                </c:pt>
                <c:pt idx="318">
                  <c:v>-29.008687935054169</c:v>
                </c:pt>
                <c:pt idx="319">
                  <c:v>-31.096241274525958</c:v>
                </c:pt>
                <c:pt idx="320">
                  <c:v>-29.99198615297361</c:v>
                </c:pt>
                <c:pt idx="321">
                  <c:v>-27.648546918194679</c:v>
                </c:pt>
                <c:pt idx="322">
                  <c:v>-33.516783323861247</c:v>
                </c:pt>
                <c:pt idx="323">
                  <c:v>-33.841611779300457</c:v>
                </c:pt>
                <c:pt idx="324">
                  <c:v>-34.335016179774009</c:v>
                </c:pt>
                <c:pt idx="325">
                  <c:v>-29.32781302512355</c:v>
                </c:pt>
                <c:pt idx="326">
                  <c:v>-42.509137622374716</c:v>
                </c:pt>
                <c:pt idx="327">
                  <c:v>-42.60338782612471</c:v>
                </c:pt>
                <c:pt idx="328">
                  <c:v>-42.835592464512594</c:v>
                </c:pt>
                <c:pt idx="329">
                  <c:v>-42.567181503047514</c:v>
                </c:pt>
                <c:pt idx="330">
                  <c:v>-42.938482750942249</c:v>
                </c:pt>
                <c:pt idx="331">
                  <c:v>-42.761190773482788</c:v>
                </c:pt>
                <c:pt idx="332">
                  <c:v>-42.188422405084061</c:v>
                </c:pt>
                <c:pt idx="333">
                  <c:v>-41.772976925764688</c:v>
                </c:pt>
                <c:pt idx="334">
                  <c:v>-40.815848705764694</c:v>
                </c:pt>
                <c:pt idx="335">
                  <c:v>-40.192592451767766</c:v>
                </c:pt>
                <c:pt idx="336">
                  <c:v>-39.874405232708597</c:v>
                </c:pt>
                <c:pt idx="337">
                  <c:v>-39.752233287430194</c:v>
                </c:pt>
                <c:pt idx="338">
                  <c:v>-39.453675826050876</c:v>
                </c:pt>
                <c:pt idx="339">
                  <c:v>-40.622835513619393</c:v>
                </c:pt>
                <c:pt idx="340">
                  <c:v>-40.766348837850167</c:v>
                </c:pt>
                <c:pt idx="341">
                  <c:v>-41.858327594242951</c:v>
                </c:pt>
                <c:pt idx="342">
                  <c:v>-39.964706481860283</c:v>
                </c:pt>
                <c:pt idx="343">
                  <c:v>-40.164582472378122</c:v>
                </c:pt>
                <c:pt idx="344">
                  <c:v>-39.452098430428343</c:v>
                </c:pt>
                <c:pt idx="345">
                  <c:v>-40.501206902428343</c:v>
                </c:pt>
                <c:pt idx="346">
                  <c:v>-42.050343863185255</c:v>
                </c:pt>
                <c:pt idx="347">
                  <c:v>-42.835561299548893</c:v>
                </c:pt>
                <c:pt idx="348">
                  <c:v>-44.548895106805901</c:v>
                </c:pt>
                <c:pt idx="349">
                  <c:v>-43.23126210577982</c:v>
                </c:pt>
                <c:pt idx="350">
                  <c:v>-43.735367617547261</c:v>
                </c:pt>
                <c:pt idx="351">
                  <c:v>-45.792280261634495</c:v>
                </c:pt>
                <c:pt idx="352">
                  <c:v>-46.693688059535042</c:v>
                </c:pt>
                <c:pt idx="353">
                  <c:v>-45.740094468091748</c:v>
                </c:pt>
                <c:pt idx="354">
                  <c:v>-45.277262880891747</c:v>
                </c:pt>
                <c:pt idx="355">
                  <c:v>-39.784799436834184</c:v>
                </c:pt>
                <c:pt idx="356">
                  <c:v>-24.591575249978874</c:v>
                </c:pt>
                <c:pt idx="357">
                  <c:v>-25.95344694083089</c:v>
                </c:pt>
                <c:pt idx="358">
                  <c:v>-26.375778687372446</c:v>
                </c:pt>
                <c:pt idx="359">
                  <c:v>-26.234229814331901</c:v>
                </c:pt>
                <c:pt idx="360">
                  <c:v>-25.954411541880543</c:v>
                </c:pt>
                <c:pt idx="361">
                  <c:v>-25.465373393640011</c:v>
                </c:pt>
                <c:pt idx="362">
                  <c:v>-25.446325238184059</c:v>
                </c:pt>
                <c:pt idx="363">
                  <c:v>-25.587497349987771</c:v>
                </c:pt>
                <c:pt idx="364">
                  <c:v>-25.662057032020556</c:v>
                </c:pt>
                <c:pt idx="365">
                  <c:v>-25.400808183491144</c:v>
                </c:pt>
                <c:pt idx="366">
                  <c:v>-25.400808183491144</c:v>
                </c:pt>
                <c:pt idx="367">
                  <c:v>-25.635977729752273</c:v>
                </c:pt>
                <c:pt idx="368">
                  <c:v>-25.454259974804177</c:v>
                </c:pt>
                <c:pt idx="369">
                  <c:v>-25.016863933836436</c:v>
                </c:pt>
                <c:pt idx="370">
                  <c:v>-25.08358942541442</c:v>
                </c:pt>
                <c:pt idx="371">
                  <c:v>-24.662423389456972</c:v>
                </c:pt>
                <c:pt idx="372">
                  <c:v>-24.997081853788185</c:v>
                </c:pt>
                <c:pt idx="373">
                  <c:v>-25.111334278965849</c:v>
                </c:pt>
                <c:pt idx="374">
                  <c:v>-25.29670715372313</c:v>
                </c:pt>
                <c:pt idx="375">
                  <c:v>-25.288763895313092</c:v>
                </c:pt>
                <c:pt idx="376">
                  <c:v>-25.330710968930109</c:v>
                </c:pt>
                <c:pt idx="377">
                  <c:v>-25.896371722344746</c:v>
                </c:pt>
                <c:pt idx="378">
                  <c:v>-25.738886715933788</c:v>
                </c:pt>
                <c:pt idx="379">
                  <c:v>-25.901648386132461</c:v>
                </c:pt>
                <c:pt idx="380">
                  <c:v>-25.598413529491832</c:v>
                </c:pt>
                <c:pt idx="381">
                  <c:v>-25.694091879011836</c:v>
                </c:pt>
                <c:pt idx="382">
                  <c:v>-25.327617786096173</c:v>
                </c:pt>
                <c:pt idx="383">
                  <c:v>-25.205410611716008</c:v>
                </c:pt>
                <c:pt idx="384">
                  <c:v>-25.089413055328915</c:v>
                </c:pt>
                <c:pt idx="385">
                  <c:v>-25.484439436489627</c:v>
                </c:pt>
                <c:pt idx="386">
                  <c:v>-25.762922214469128</c:v>
                </c:pt>
                <c:pt idx="387">
                  <c:v>-25.747798394494705</c:v>
                </c:pt>
                <c:pt idx="388">
                  <c:v>-27.797644099559253</c:v>
                </c:pt>
                <c:pt idx="389">
                  <c:v>-27.367728057431592</c:v>
                </c:pt>
                <c:pt idx="390">
                  <c:v>-27.429495839784536</c:v>
                </c:pt>
                <c:pt idx="391">
                  <c:v>-28.579209724444958</c:v>
                </c:pt>
                <c:pt idx="392">
                  <c:v>-27.055231053294271</c:v>
                </c:pt>
                <c:pt idx="393">
                  <c:v>-22.671311729255805</c:v>
                </c:pt>
                <c:pt idx="394">
                  <c:v>-21.862244590286188</c:v>
                </c:pt>
                <c:pt idx="395">
                  <c:v>-20.855808383448977</c:v>
                </c:pt>
                <c:pt idx="396">
                  <c:v>-20.668949095213684</c:v>
                </c:pt>
                <c:pt idx="397">
                  <c:v>-22.245127516528072</c:v>
                </c:pt>
                <c:pt idx="398">
                  <c:v>-22.405509851214418</c:v>
                </c:pt>
                <c:pt idx="399">
                  <c:v>-22.37951978083467</c:v>
                </c:pt>
                <c:pt idx="400">
                  <c:v>-22.217703508160437</c:v>
                </c:pt>
                <c:pt idx="401">
                  <c:v>-20.335720198966577</c:v>
                </c:pt>
                <c:pt idx="402">
                  <c:v>-20.081483033573321</c:v>
                </c:pt>
                <c:pt idx="403">
                  <c:v>-20.864487187783844</c:v>
                </c:pt>
                <c:pt idx="404">
                  <c:v>-20.224436087719532</c:v>
                </c:pt>
                <c:pt idx="405">
                  <c:v>-20.662045239647242</c:v>
                </c:pt>
                <c:pt idx="406">
                  <c:v>-19.792534939387505</c:v>
                </c:pt>
                <c:pt idx="407">
                  <c:v>-19.104952455420559</c:v>
                </c:pt>
                <c:pt idx="408">
                  <c:v>-20.927741526623571</c:v>
                </c:pt>
                <c:pt idx="409">
                  <c:v>-22.653040095898934</c:v>
                </c:pt>
                <c:pt idx="410">
                  <c:v>-23.435757611110201</c:v>
                </c:pt>
                <c:pt idx="411">
                  <c:v>-23.413176509330096</c:v>
                </c:pt>
                <c:pt idx="412">
                  <c:v>-23.500719637530686</c:v>
                </c:pt>
                <c:pt idx="413">
                  <c:v>-23.32391265136047</c:v>
                </c:pt>
                <c:pt idx="414">
                  <c:v>-23.460918423099599</c:v>
                </c:pt>
                <c:pt idx="415">
                  <c:v>-23.702810996022677</c:v>
                </c:pt>
                <c:pt idx="416">
                  <c:v>-23.433777518465075</c:v>
                </c:pt>
                <c:pt idx="417">
                  <c:v>-23.337386252916687</c:v>
                </c:pt>
                <c:pt idx="418">
                  <c:v>-23.311623496316688</c:v>
                </c:pt>
                <c:pt idx="419">
                  <c:v>-24.000416932354426</c:v>
                </c:pt>
                <c:pt idx="420">
                  <c:v>-23.965191064815965</c:v>
                </c:pt>
                <c:pt idx="421">
                  <c:v>-23.933679925418371</c:v>
                </c:pt>
                <c:pt idx="422">
                  <c:v>-24.148218805555359</c:v>
                </c:pt>
                <c:pt idx="423">
                  <c:v>-24.140770338313981</c:v>
                </c:pt>
                <c:pt idx="424">
                  <c:v>-24.376979744445364</c:v>
                </c:pt>
                <c:pt idx="425">
                  <c:v>-24.181760368223141</c:v>
                </c:pt>
                <c:pt idx="426">
                  <c:v>-23.905173364908855</c:v>
                </c:pt>
                <c:pt idx="427">
                  <c:v>-24.184932073905991</c:v>
                </c:pt>
                <c:pt idx="428">
                  <c:v>-24.310394538141288</c:v>
                </c:pt>
                <c:pt idx="429">
                  <c:v>-24.481039885878129</c:v>
                </c:pt>
                <c:pt idx="430">
                  <c:v>-24.64709996587813</c:v>
                </c:pt>
                <c:pt idx="431">
                  <c:v>-24.798792264930263</c:v>
                </c:pt>
                <c:pt idx="432">
                  <c:v>-24.818856200753046</c:v>
                </c:pt>
                <c:pt idx="433">
                  <c:v>-24.819738817464007</c:v>
                </c:pt>
                <c:pt idx="434">
                  <c:v>-25.120406650634742</c:v>
                </c:pt>
                <c:pt idx="435">
                  <c:v>-24.980737705634745</c:v>
                </c:pt>
                <c:pt idx="436">
                  <c:v>-24.909038372256965</c:v>
                </c:pt>
                <c:pt idx="437">
                  <c:v>-24.896288201446158</c:v>
                </c:pt>
                <c:pt idx="438">
                  <c:v>-24.830671251610092</c:v>
                </c:pt>
                <c:pt idx="439">
                  <c:v>-24.829419374997194</c:v>
                </c:pt>
                <c:pt idx="440">
                  <c:v>-24.715033533364537</c:v>
                </c:pt>
                <c:pt idx="441">
                  <c:v>-24.689512829058319</c:v>
                </c:pt>
                <c:pt idx="442">
                  <c:v>-24.685338684530016</c:v>
                </c:pt>
                <c:pt idx="443">
                  <c:v>-24.664559868850404</c:v>
                </c:pt>
                <c:pt idx="444">
                  <c:v>-24.203989649343676</c:v>
                </c:pt>
                <c:pt idx="445">
                  <c:v>-24.68423203191351</c:v>
                </c:pt>
                <c:pt idx="446">
                  <c:v>-24.68423203191351</c:v>
                </c:pt>
                <c:pt idx="447">
                  <c:v>-24.776462116458962</c:v>
                </c:pt>
                <c:pt idx="448">
                  <c:v>-24.122663087238188</c:v>
                </c:pt>
                <c:pt idx="449">
                  <c:v>-24.117742413904853</c:v>
                </c:pt>
                <c:pt idx="450">
                  <c:v>-24.081595484712306</c:v>
                </c:pt>
                <c:pt idx="451">
                  <c:v>-24.106908711452231</c:v>
                </c:pt>
                <c:pt idx="452">
                  <c:v>-24.192346006007202</c:v>
                </c:pt>
                <c:pt idx="453">
                  <c:v>-23.606718044975622</c:v>
                </c:pt>
                <c:pt idx="454">
                  <c:v>-21.791776208197732</c:v>
                </c:pt>
                <c:pt idx="455">
                  <c:v>-22.636007119656959</c:v>
                </c:pt>
                <c:pt idx="456">
                  <c:v>-21.275797878190104</c:v>
                </c:pt>
                <c:pt idx="457">
                  <c:v>-20.729663725594165</c:v>
                </c:pt>
                <c:pt idx="458">
                  <c:v>-20.26814933907804</c:v>
                </c:pt>
                <c:pt idx="459">
                  <c:v>-21.69707743800598</c:v>
                </c:pt>
                <c:pt idx="460">
                  <c:v>-21.362261701761849</c:v>
                </c:pt>
                <c:pt idx="461">
                  <c:v>-22.002903222185743</c:v>
                </c:pt>
                <c:pt idx="462">
                  <c:v>-21.960444453764691</c:v>
                </c:pt>
                <c:pt idx="463">
                  <c:v>-22.025257858964689</c:v>
                </c:pt>
                <c:pt idx="464">
                  <c:v>-21.624909830075801</c:v>
                </c:pt>
                <c:pt idx="465">
                  <c:v>-21.378376511135407</c:v>
                </c:pt>
                <c:pt idx="466">
                  <c:v>-20.919495895638718</c:v>
                </c:pt>
                <c:pt idx="467">
                  <c:v>-21.070447545160253</c:v>
                </c:pt>
                <c:pt idx="468">
                  <c:v>-21.113774249807314</c:v>
                </c:pt>
                <c:pt idx="469">
                  <c:v>-21.348259128587152</c:v>
                </c:pt>
                <c:pt idx="470">
                  <c:v>-21.54240330914271</c:v>
                </c:pt>
                <c:pt idx="471">
                  <c:v>-21.067771277142707</c:v>
                </c:pt>
                <c:pt idx="472">
                  <c:v>-20.539074291618899</c:v>
                </c:pt>
                <c:pt idx="473">
                  <c:v>-20.661257714097033</c:v>
                </c:pt>
                <c:pt idx="474">
                  <c:v>-21.869880560560798</c:v>
                </c:pt>
                <c:pt idx="475">
                  <c:v>-22.242174613207858</c:v>
                </c:pt>
                <c:pt idx="476">
                  <c:v>-21.543685908609525</c:v>
                </c:pt>
                <c:pt idx="477">
                  <c:v>-20.329989698609523</c:v>
                </c:pt>
                <c:pt idx="478">
                  <c:v>-20.693627855023514</c:v>
                </c:pt>
                <c:pt idx="479">
                  <c:v>-21.039035232523513</c:v>
                </c:pt>
                <c:pt idx="480">
                  <c:v>-21.186741722015039</c:v>
                </c:pt>
                <c:pt idx="481">
                  <c:v>-20.401361190953093</c:v>
                </c:pt>
                <c:pt idx="482">
                  <c:v>-20.646848169078094</c:v>
                </c:pt>
                <c:pt idx="483">
                  <c:v>-20.558717453530388</c:v>
                </c:pt>
                <c:pt idx="484">
                  <c:v>-21.158479112530387</c:v>
                </c:pt>
                <c:pt idx="485">
                  <c:v>-21.576865244916352</c:v>
                </c:pt>
                <c:pt idx="486">
                  <c:v>-20.928554663296243</c:v>
                </c:pt>
                <c:pt idx="487">
                  <c:v>-20.521174990423315</c:v>
                </c:pt>
                <c:pt idx="488">
                  <c:v>-21.108448222007471</c:v>
                </c:pt>
                <c:pt idx="489">
                  <c:v>-19.287702485963027</c:v>
                </c:pt>
                <c:pt idx="490">
                  <c:v>-20.129077378142803</c:v>
                </c:pt>
                <c:pt idx="491">
                  <c:v>-20.153464712243522</c:v>
                </c:pt>
                <c:pt idx="492">
                  <c:v>-20.503211152243523</c:v>
                </c:pt>
                <c:pt idx="493">
                  <c:v>-20.698946417243523</c:v>
                </c:pt>
                <c:pt idx="494">
                  <c:v>-20.82228183569541</c:v>
                </c:pt>
                <c:pt idx="495">
                  <c:v>-20.40996660555842</c:v>
                </c:pt>
                <c:pt idx="496">
                  <c:v>-20.34590248270128</c:v>
                </c:pt>
                <c:pt idx="497">
                  <c:v>-20.631462019805351</c:v>
                </c:pt>
                <c:pt idx="498">
                  <c:v>-20.797923698439714</c:v>
                </c:pt>
                <c:pt idx="499">
                  <c:v>-20.451543452953604</c:v>
                </c:pt>
                <c:pt idx="500">
                  <c:v>-20.473838286560159</c:v>
                </c:pt>
                <c:pt idx="501">
                  <c:v>-20.665614504882743</c:v>
                </c:pt>
                <c:pt idx="502">
                  <c:v>-20.690554679268704</c:v>
                </c:pt>
                <c:pt idx="503">
                  <c:v>-20.647618666514216</c:v>
                </c:pt>
                <c:pt idx="504">
                  <c:v>-20.351833649371361</c:v>
                </c:pt>
                <c:pt idx="505">
                  <c:v>-20.807283472312537</c:v>
                </c:pt>
                <c:pt idx="506">
                  <c:v>-21.126040516430184</c:v>
                </c:pt>
                <c:pt idx="507">
                  <c:v>-20.281798504251967</c:v>
                </c:pt>
                <c:pt idx="508">
                  <c:v>-20.815626315192134</c:v>
                </c:pt>
                <c:pt idx="509">
                  <c:v>-19.925902710209439</c:v>
                </c:pt>
                <c:pt idx="510">
                  <c:v>-20.363749531876103</c:v>
                </c:pt>
                <c:pt idx="511">
                  <c:v>-21.684949025856202</c:v>
                </c:pt>
                <c:pt idx="512">
                  <c:v>-21.471415484092979</c:v>
                </c:pt>
                <c:pt idx="513">
                  <c:v>-21.524626790549675</c:v>
                </c:pt>
                <c:pt idx="514">
                  <c:v>-21.420719070957841</c:v>
                </c:pt>
                <c:pt idx="515">
                  <c:v>-21.843302499073783</c:v>
                </c:pt>
                <c:pt idx="516">
                  <c:v>-20.941491168905007</c:v>
                </c:pt>
                <c:pt idx="517">
                  <c:v>-20.851188676838582</c:v>
                </c:pt>
                <c:pt idx="518">
                  <c:v>-20.752758817276831</c:v>
                </c:pt>
                <c:pt idx="519">
                  <c:v>-21.603033664528294</c:v>
                </c:pt>
                <c:pt idx="520">
                  <c:v>-21.4115853969124</c:v>
                </c:pt>
                <c:pt idx="521">
                  <c:v>-22.153345833276035</c:v>
                </c:pt>
                <c:pt idx="522">
                  <c:v>-21.124269590418891</c:v>
                </c:pt>
                <c:pt idx="523">
                  <c:v>-21.629459389413302</c:v>
                </c:pt>
                <c:pt idx="524">
                  <c:v>-21.653079160515965</c:v>
                </c:pt>
                <c:pt idx="525">
                  <c:v>-21.190025046450391</c:v>
                </c:pt>
                <c:pt idx="526">
                  <c:v>-20.694546844450397</c:v>
                </c:pt>
                <c:pt idx="527">
                  <c:v>-21.126003422395595</c:v>
                </c:pt>
                <c:pt idx="528">
                  <c:v>-20.344829812395599</c:v>
                </c:pt>
                <c:pt idx="529">
                  <c:v>-19.073817657940154</c:v>
                </c:pt>
                <c:pt idx="530">
                  <c:v>-17.344658027444027</c:v>
                </c:pt>
                <c:pt idx="531">
                  <c:v>-19.524344626220323</c:v>
                </c:pt>
                <c:pt idx="532">
                  <c:v>-23.727157766962307</c:v>
                </c:pt>
                <c:pt idx="533">
                  <c:v>-27.352044397488623</c:v>
                </c:pt>
                <c:pt idx="534">
                  <c:v>-27.615443856166312</c:v>
                </c:pt>
                <c:pt idx="535">
                  <c:v>-27.971678216002381</c:v>
                </c:pt>
                <c:pt idx="536">
                  <c:v>-27.419132873039416</c:v>
                </c:pt>
                <c:pt idx="537">
                  <c:v>-29.806953429123755</c:v>
                </c:pt>
                <c:pt idx="538">
                  <c:v>-29.754631947123755</c:v>
                </c:pt>
                <c:pt idx="539">
                  <c:v>-29.570852192762853</c:v>
                </c:pt>
                <c:pt idx="540">
                  <c:v>-30.511348389429518</c:v>
                </c:pt>
                <c:pt idx="541">
                  <c:v>-29.152784743715234</c:v>
                </c:pt>
                <c:pt idx="542">
                  <c:v>-30.301926003715234</c:v>
                </c:pt>
                <c:pt idx="543">
                  <c:v>-27.487939915842887</c:v>
                </c:pt>
                <c:pt idx="544">
                  <c:v>-26.165892266226273</c:v>
                </c:pt>
                <c:pt idx="545">
                  <c:v>-27.139131613974023</c:v>
                </c:pt>
                <c:pt idx="546">
                  <c:v>-27.53347062143671</c:v>
                </c:pt>
                <c:pt idx="547">
                  <c:v>-26.770679991036712</c:v>
                </c:pt>
                <c:pt idx="548">
                  <c:v>-26.057117913830005</c:v>
                </c:pt>
                <c:pt idx="549">
                  <c:v>-25.162943803105371</c:v>
                </c:pt>
                <c:pt idx="550">
                  <c:v>-25.122593334718275</c:v>
                </c:pt>
                <c:pt idx="551">
                  <c:v>-25.195751490177734</c:v>
                </c:pt>
                <c:pt idx="552">
                  <c:v>-24.915607251995919</c:v>
                </c:pt>
                <c:pt idx="553">
                  <c:v>-24.641179012710211</c:v>
                </c:pt>
                <c:pt idx="554">
                  <c:v>-24.201229457482935</c:v>
                </c:pt>
                <c:pt idx="555">
                  <c:v>-23.920212416409111</c:v>
                </c:pt>
                <c:pt idx="556">
                  <c:v>-24.144921055551968</c:v>
                </c:pt>
                <c:pt idx="557">
                  <c:v>-24.318771751416634</c:v>
                </c:pt>
                <c:pt idx="558">
                  <c:v>-23.901681787309489</c:v>
                </c:pt>
                <c:pt idx="559">
                  <c:v>-23.246351841449616</c:v>
                </c:pt>
                <c:pt idx="560">
                  <c:v>-23.145756086329623</c:v>
                </c:pt>
                <c:pt idx="561">
                  <c:v>-21.934801524314125</c:v>
                </c:pt>
                <c:pt idx="562">
                  <c:v>-23.592501535581725</c:v>
                </c:pt>
                <c:pt idx="563">
                  <c:v>-24.450274957059989</c:v>
                </c:pt>
                <c:pt idx="564">
                  <c:v>-25.299439071266889</c:v>
                </c:pt>
                <c:pt idx="565">
                  <c:v>-24.748277587933554</c:v>
                </c:pt>
                <c:pt idx="566">
                  <c:v>-25.139772400002528</c:v>
                </c:pt>
                <c:pt idx="567">
                  <c:v>-24.843382880706756</c:v>
                </c:pt>
                <c:pt idx="568">
                  <c:v>-24.457666634255148</c:v>
                </c:pt>
                <c:pt idx="569">
                  <c:v>-23.892743363578457</c:v>
                </c:pt>
                <c:pt idx="570">
                  <c:v>-25.406854178065633</c:v>
                </c:pt>
                <c:pt idx="571">
                  <c:v>-25.749608809340799</c:v>
                </c:pt>
                <c:pt idx="572">
                  <c:v>-26.732897815443955</c:v>
                </c:pt>
                <c:pt idx="573">
                  <c:v>-25.970203442741251</c:v>
                </c:pt>
                <c:pt idx="574">
                  <c:v>-23.328231273707306</c:v>
                </c:pt>
                <c:pt idx="575">
                  <c:v>-22.057739163057491</c:v>
                </c:pt>
                <c:pt idx="576">
                  <c:v>-22.292003370113449</c:v>
                </c:pt>
                <c:pt idx="577">
                  <c:v>-21.127451587705586</c:v>
                </c:pt>
                <c:pt idx="578">
                  <c:v>-19.533156516806113</c:v>
                </c:pt>
                <c:pt idx="579">
                  <c:v>-17.843558814995529</c:v>
                </c:pt>
                <c:pt idx="580">
                  <c:v>-20.018418532687836</c:v>
                </c:pt>
                <c:pt idx="581">
                  <c:v>-18.513522542687834</c:v>
                </c:pt>
                <c:pt idx="582">
                  <c:v>-19.261389922272738</c:v>
                </c:pt>
                <c:pt idx="583">
                  <c:v>-17.956433152116485</c:v>
                </c:pt>
                <c:pt idx="584">
                  <c:v>-17.951385884459345</c:v>
                </c:pt>
                <c:pt idx="585">
                  <c:v>-17.418354197924693</c:v>
                </c:pt>
                <c:pt idx="586">
                  <c:v>-17.775381666984103</c:v>
                </c:pt>
                <c:pt idx="587">
                  <c:v>-18.795643024773049</c:v>
                </c:pt>
                <c:pt idx="588">
                  <c:v>-19.788942201829123</c:v>
                </c:pt>
                <c:pt idx="589">
                  <c:v>-21.353409957933252</c:v>
                </c:pt>
                <c:pt idx="590">
                  <c:v>-21.019669159628162</c:v>
                </c:pt>
                <c:pt idx="591">
                  <c:v>-20.794081119502373</c:v>
                </c:pt>
                <c:pt idx="592">
                  <c:v>-21.561781295922128</c:v>
                </c:pt>
                <c:pt idx="593">
                  <c:v>-19.652689110058255</c:v>
                </c:pt>
                <c:pt idx="594">
                  <c:v>-19.236833950419701</c:v>
                </c:pt>
                <c:pt idx="595">
                  <c:v>-18.297546867086371</c:v>
                </c:pt>
                <c:pt idx="596">
                  <c:v>-18.796507687054113</c:v>
                </c:pt>
                <c:pt idx="597">
                  <c:v>-19.4261224752657</c:v>
                </c:pt>
                <c:pt idx="598">
                  <c:v>-20.169950329026893</c:v>
                </c:pt>
                <c:pt idx="599">
                  <c:v>-19.477766468574401</c:v>
                </c:pt>
                <c:pt idx="600">
                  <c:v>-18.084055962847529</c:v>
                </c:pt>
                <c:pt idx="601">
                  <c:v>-18.912484942652974</c:v>
                </c:pt>
                <c:pt idx="602">
                  <c:v>-20.833988760249539</c:v>
                </c:pt>
                <c:pt idx="603">
                  <c:v>-20.782017010048971</c:v>
                </c:pt>
                <c:pt idx="604">
                  <c:v>-20.169445144848972</c:v>
                </c:pt>
                <c:pt idx="605">
                  <c:v>-18.212965575017041</c:v>
                </c:pt>
                <c:pt idx="606">
                  <c:v>-17.473136196644951</c:v>
                </c:pt>
                <c:pt idx="607">
                  <c:v>-17.79168746914495</c:v>
                </c:pt>
                <c:pt idx="608">
                  <c:v>-15.502679093205691</c:v>
                </c:pt>
                <c:pt idx="609">
                  <c:v>-7.7995390121366981</c:v>
                </c:pt>
                <c:pt idx="610">
                  <c:v>-18.001548861173628</c:v>
                </c:pt>
                <c:pt idx="611">
                  <c:v>-18.252965023579126</c:v>
                </c:pt>
                <c:pt idx="612">
                  <c:v>-18.066852216146696</c:v>
                </c:pt>
                <c:pt idx="613">
                  <c:v>-17.831889205012679</c:v>
                </c:pt>
                <c:pt idx="614">
                  <c:v>-18.170144845274688</c:v>
                </c:pt>
                <c:pt idx="615">
                  <c:v>-18.1131420090428</c:v>
                </c:pt>
                <c:pt idx="616">
                  <c:v>-18.202594474427421</c:v>
                </c:pt>
                <c:pt idx="617">
                  <c:v>-18.957378113557855</c:v>
                </c:pt>
                <c:pt idx="618">
                  <c:v>-18.9474829076755</c:v>
                </c:pt>
                <c:pt idx="619">
                  <c:v>-18.936620380175501</c:v>
                </c:pt>
                <c:pt idx="620">
                  <c:v>-18.867297144082787</c:v>
                </c:pt>
                <c:pt idx="621">
                  <c:v>-18.970990748921494</c:v>
                </c:pt>
                <c:pt idx="622">
                  <c:v>-19.283680486289914</c:v>
                </c:pt>
                <c:pt idx="623">
                  <c:v>-19.478693232596534</c:v>
                </c:pt>
                <c:pt idx="624">
                  <c:v>-19.532300894389639</c:v>
                </c:pt>
                <c:pt idx="625">
                  <c:v>-19.655781329863323</c:v>
                </c:pt>
                <c:pt idx="626">
                  <c:v>-19.465766722906803</c:v>
                </c:pt>
                <c:pt idx="627">
                  <c:v>-18.126290165331042</c:v>
                </c:pt>
                <c:pt idx="628">
                  <c:v>-18.843589729331043</c:v>
                </c:pt>
                <c:pt idx="629">
                  <c:v>-19.070882501980055</c:v>
                </c:pt>
                <c:pt idx="630">
                  <c:v>-18.715229161980051</c:v>
                </c:pt>
                <c:pt idx="631">
                  <c:v>-18.751620128036389</c:v>
                </c:pt>
                <c:pt idx="632">
                  <c:v>-18.748287889574851</c:v>
                </c:pt>
                <c:pt idx="633">
                  <c:v>-18.925392105493216</c:v>
                </c:pt>
                <c:pt idx="634">
                  <c:v>-18.834688719348641</c:v>
                </c:pt>
                <c:pt idx="635">
                  <c:v>-18.711517028132423</c:v>
                </c:pt>
                <c:pt idx="636">
                  <c:v>-18.849825481816634</c:v>
                </c:pt>
                <c:pt idx="637">
                  <c:v>-18.910497773003076</c:v>
                </c:pt>
                <c:pt idx="638">
                  <c:v>-18.83548811133641</c:v>
                </c:pt>
                <c:pt idx="639">
                  <c:v>-18.646807393488309</c:v>
                </c:pt>
                <c:pt idx="640">
                  <c:v>-18.749151913488308</c:v>
                </c:pt>
                <c:pt idx="641">
                  <c:v>-18.961561523488307</c:v>
                </c:pt>
                <c:pt idx="642">
                  <c:v>-18.828576721978877</c:v>
                </c:pt>
                <c:pt idx="643">
                  <c:v>-18.182216515002132</c:v>
                </c:pt>
                <c:pt idx="644">
                  <c:v>-18.276228875514953</c:v>
                </c:pt>
                <c:pt idx="645">
                  <c:v>-17.773017418305653</c:v>
                </c:pt>
                <c:pt idx="646">
                  <c:v>-17.649022302305649</c:v>
                </c:pt>
                <c:pt idx="647">
                  <c:v>-17.764873275996127</c:v>
                </c:pt>
                <c:pt idx="648">
                  <c:v>-17.859567685996129</c:v>
                </c:pt>
                <c:pt idx="649">
                  <c:v>-17.876307385996125</c:v>
                </c:pt>
                <c:pt idx="650">
                  <c:v>-17.713458675996126</c:v>
                </c:pt>
                <c:pt idx="651">
                  <c:v>-17.751465510396127</c:v>
                </c:pt>
                <c:pt idx="652">
                  <c:v>-17.773268253069396</c:v>
                </c:pt>
                <c:pt idx="653">
                  <c:v>-17.803922261251213</c:v>
                </c:pt>
                <c:pt idx="654">
                  <c:v>-17.826001672303843</c:v>
                </c:pt>
                <c:pt idx="655">
                  <c:v>-17.682809546289857</c:v>
                </c:pt>
                <c:pt idx="656">
                  <c:v>-17.429833076289857</c:v>
                </c:pt>
                <c:pt idx="657">
                  <c:v>-17.517846929359163</c:v>
                </c:pt>
                <c:pt idx="658">
                  <c:v>-17.272527584843036</c:v>
                </c:pt>
                <c:pt idx="659">
                  <c:v>-17.707926706055154</c:v>
                </c:pt>
                <c:pt idx="660">
                  <c:v>-17.679604104406803</c:v>
                </c:pt>
                <c:pt idx="661">
                  <c:v>-17.640209559406802</c:v>
                </c:pt>
                <c:pt idx="662">
                  <c:v>-17.362182320369371</c:v>
                </c:pt>
                <c:pt idx="663">
                  <c:v>-17.321741182531532</c:v>
                </c:pt>
                <c:pt idx="664">
                  <c:v>-17.353264484144439</c:v>
                </c:pt>
                <c:pt idx="665">
                  <c:v>-17.347786898634233</c:v>
                </c:pt>
                <c:pt idx="666">
                  <c:v>-17.406669773769369</c:v>
                </c:pt>
                <c:pt idx="667">
                  <c:v>-17.324625163769369</c:v>
                </c:pt>
                <c:pt idx="668">
                  <c:v>-17.575420183769371</c:v>
                </c:pt>
                <c:pt idx="669">
                  <c:v>-17.399059743769367</c:v>
                </c:pt>
                <c:pt idx="670">
                  <c:v>-17.285504424866932</c:v>
                </c:pt>
                <c:pt idx="671">
                  <c:v>-17.247205077366932</c:v>
                </c:pt>
                <c:pt idx="672">
                  <c:v>-17.077031807630089</c:v>
                </c:pt>
                <c:pt idx="673">
                  <c:v>-17.401161615407865</c:v>
                </c:pt>
                <c:pt idx="674">
                  <c:v>-17.246521872696754</c:v>
                </c:pt>
                <c:pt idx="675">
                  <c:v>-17.194190524012544</c:v>
                </c:pt>
                <c:pt idx="676">
                  <c:v>-16.803254318261743</c:v>
                </c:pt>
                <c:pt idx="677">
                  <c:v>-17.644884931126608</c:v>
                </c:pt>
                <c:pt idx="678">
                  <c:v>-17.627273018705555</c:v>
                </c:pt>
                <c:pt idx="679">
                  <c:v>-17.669784963503243</c:v>
                </c:pt>
                <c:pt idx="680">
                  <c:v>-17.582686081216742</c:v>
                </c:pt>
                <c:pt idx="681">
                  <c:v>-17.636714280006551</c:v>
                </c:pt>
                <c:pt idx="682">
                  <c:v>-17.601307875813003</c:v>
                </c:pt>
                <c:pt idx="683">
                  <c:v>-18.158776087753299</c:v>
                </c:pt>
                <c:pt idx="684">
                  <c:v>-17.840676901190999</c:v>
                </c:pt>
                <c:pt idx="685">
                  <c:v>-17.718464323066001</c:v>
                </c:pt>
                <c:pt idx="686">
                  <c:v>-17.787258558260348</c:v>
                </c:pt>
                <c:pt idx="687">
                  <c:v>-17.635491491646928</c:v>
                </c:pt>
                <c:pt idx="688">
                  <c:v>-16.295055516764702</c:v>
                </c:pt>
                <c:pt idx="689">
                  <c:v>-11.582549407495474</c:v>
                </c:pt>
                <c:pt idx="690">
                  <c:v>-11.862288781326891</c:v>
                </c:pt>
                <c:pt idx="691">
                  <c:v>-12.056846167791782</c:v>
                </c:pt>
                <c:pt idx="692">
                  <c:v>-12.004010558040537</c:v>
                </c:pt>
                <c:pt idx="693">
                  <c:v>-11.966477896750217</c:v>
                </c:pt>
                <c:pt idx="694">
                  <c:v>-12.084965889136921</c:v>
                </c:pt>
                <c:pt idx="695">
                  <c:v>-11.948625887871097</c:v>
                </c:pt>
                <c:pt idx="696">
                  <c:v>-11.890702983083864</c:v>
                </c:pt>
                <c:pt idx="697">
                  <c:v>-12.038182422668925</c:v>
                </c:pt>
                <c:pt idx="698">
                  <c:v>-12.174510772298555</c:v>
                </c:pt>
                <c:pt idx="699">
                  <c:v>-12.093501910857878</c:v>
                </c:pt>
                <c:pt idx="700">
                  <c:v>-11.666307060484046</c:v>
                </c:pt>
                <c:pt idx="701">
                  <c:v>-11.745353680884048</c:v>
                </c:pt>
                <c:pt idx="702">
                  <c:v>-12.014969844568258</c:v>
                </c:pt>
                <c:pt idx="703">
                  <c:v>-11.970722708414412</c:v>
                </c:pt>
                <c:pt idx="704">
                  <c:v>-11.663193352785671</c:v>
                </c:pt>
                <c:pt idx="705">
                  <c:v>-11.689543567331125</c:v>
                </c:pt>
                <c:pt idx="706">
                  <c:v>-10.667132924059064</c:v>
                </c:pt>
                <c:pt idx="707">
                  <c:v>-11.71177998120192</c:v>
                </c:pt>
                <c:pt idx="708">
                  <c:v>-9.476642805431057</c:v>
                </c:pt>
                <c:pt idx="709">
                  <c:v>-9.7382075767811731</c:v>
                </c:pt>
                <c:pt idx="710">
                  <c:v>-8.6223936496056002</c:v>
                </c:pt>
                <c:pt idx="711">
                  <c:v>-9.1571876050272856</c:v>
                </c:pt>
                <c:pt idx="712">
                  <c:v>-8.4244384909547918</c:v>
                </c:pt>
                <c:pt idx="713">
                  <c:v>-8.7844780415216839</c:v>
                </c:pt>
                <c:pt idx="714">
                  <c:v>-8.203661063126626</c:v>
                </c:pt>
                <c:pt idx="715">
                  <c:v>-8.1435703942894175</c:v>
                </c:pt>
                <c:pt idx="716">
                  <c:v>-8.2417357109560854</c:v>
                </c:pt>
                <c:pt idx="717">
                  <c:v>-8.4737422703900478</c:v>
                </c:pt>
                <c:pt idx="718">
                  <c:v>-6.6623909648488562</c:v>
                </c:pt>
                <c:pt idx="719">
                  <c:v>-7.294562655933194</c:v>
                </c:pt>
                <c:pt idx="720">
                  <c:v>-7.1474827118471733</c:v>
                </c:pt>
                <c:pt idx="721">
                  <c:v>-7.2721910724854713</c:v>
                </c:pt>
                <c:pt idx="722">
                  <c:v>-7.2847288637354719</c:v>
                </c:pt>
                <c:pt idx="723">
                  <c:v>-6.9960167078768842</c:v>
                </c:pt>
                <c:pt idx="724">
                  <c:v>-6.944344816073607</c:v>
                </c:pt>
                <c:pt idx="725">
                  <c:v>-6.9791861354013385</c:v>
                </c:pt>
                <c:pt idx="726">
                  <c:v>-6.8681194904013383</c:v>
                </c:pt>
                <c:pt idx="727">
                  <c:v>-6.7281364454013382</c:v>
                </c:pt>
                <c:pt idx="728">
                  <c:v>-7.4569747933902173</c:v>
                </c:pt>
                <c:pt idx="729">
                  <c:v>-7.1990414129272544</c:v>
                </c:pt>
                <c:pt idx="730">
                  <c:v>-7.1273243846663847</c:v>
                </c:pt>
                <c:pt idx="731">
                  <c:v>-7.1877963096663837</c:v>
                </c:pt>
                <c:pt idx="732">
                  <c:v>-7.2625569750184971</c:v>
                </c:pt>
                <c:pt idx="733">
                  <c:v>-7.071433855255183</c:v>
                </c:pt>
                <c:pt idx="734">
                  <c:v>-6.6739783636361345</c:v>
                </c:pt>
                <c:pt idx="735">
                  <c:v>-6.742518282674598</c:v>
                </c:pt>
                <c:pt idx="736">
                  <c:v>-6.5408170541031696</c:v>
                </c:pt>
                <c:pt idx="737">
                  <c:v>-5.702906058707633</c:v>
                </c:pt>
                <c:pt idx="738">
                  <c:v>-4.7069321559169346</c:v>
                </c:pt>
                <c:pt idx="739">
                  <c:v>-2.6476532868686857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7D-49A9-99D1-C413BA997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3088735"/>
        <c:axId val="803089567"/>
      </c:lineChart>
      <c:dateAx>
        <c:axId val="8030887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089567"/>
        <c:crosses val="autoZero"/>
        <c:auto val="1"/>
        <c:lblOffset val="100"/>
        <c:baseTimeUnit val="days"/>
      </c:dateAx>
      <c:valAx>
        <c:axId val="80308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3088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81D4DCB-CBA9-4DAA-9873-C71467B8DBAB}">
  <sheetPr codeName="Chart1"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4564" cy="60915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A0B97E-0178-4CAD-A170-FEB032FAAEF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4.8170000000000002</v>
      </c>
      <c r="D2" s="4">
        <f>MIN(D3:D1912)</f>
        <v>3.5E-4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0.73360000000000003</v>
      </c>
      <c r="C5">
        <v>0.74219999999999997</v>
      </c>
      <c r="D5">
        <v>0.71689999999999998</v>
      </c>
      <c r="E5">
        <v>0.71850000000000003</v>
      </c>
      <c r="F5">
        <v>83355</v>
      </c>
      <c r="G5">
        <v>0.71850000000000003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-0.87351778656126111</v>
      </c>
      <c r="Q5">
        <f t="shared" ref="Q5" si="1">F5*P5</f>
        <v>-72812.075098813919</v>
      </c>
      <c r="R5">
        <f t="shared" ref="R5" si="2">R6+Q5</f>
        <v>-4296842850.8312168</v>
      </c>
      <c r="S5">
        <f t="shared" ref="S5" si="3">R5/100000</f>
        <v>-42968.428508312165</v>
      </c>
      <c r="T5">
        <f t="shared" ref="T5" si="4">S5/1000</f>
        <v>-42.968428508312165</v>
      </c>
    </row>
    <row r="6" spans="1:20" x14ac:dyDescent="0.25">
      <c r="A6" s="5">
        <v>44587</v>
      </c>
      <c r="B6">
        <v>0.73939999999999995</v>
      </c>
      <c r="C6">
        <v>0.79900000000000004</v>
      </c>
      <c r="D6">
        <v>0.71650000000000003</v>
      </c>
      <c r="E6">
        <v>0.73150000000000004</v>
      </c>
      <c r="F6">
        <v>2347666</v>
      </c>
      <c r="G6">
        <v>0.73150000000000004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-0.63636363636363613</v>
      </c>
      <c r="Q6">
        <f t="shared" ref="Q6" si="6">F6*P6</f>
        <v>-1493969.2727272722</v>
      </c>
      <c r="R6">
        <f t="shared" ref="R6" si="7">R7+Q6</f>
        <v>-4296770038.7561178</v>
      </c>
      <c r="S6">
        <f t="shared" ref="S6" si="8">R6/100000</f>
        <v>-42967.700387561177</v>
      </c>
      <c r="T6">
        <f t="shared" ref="T6" si="9">S6/1000</f>
        <v>-42.96770038756118</v>
      </c>
    </row>
    <row r="7" spans="1:20" x14ac:dyDescent="0.25">
      <c r="A7" s="5">
        <v>44586</v>
      </c>
      <c r="B7">
        <v>0.74919999999999998</v>
      </c>
      <c r="C7">
        <v>0.77900000000000003</v>
      </c>
      <c r="D7">
        <v>0.72509999999999997</v>
      </c>
      <c r="E7">
        <v>0.73839999999999995</v>
      </c>
      <c r="F7">
        <v>1992309</v>
      </c>
      <c r="G7">
        <v>0.73839999999999995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-0.50649350649350788</v>
      </c>
      <c r="Q7">
        <f t="shared" ref="Q7" si="11">F7*P7</f>
        <v>-1009091.5714285742</v>
      </c>
      <c r="R7">
        <f t="shared" ref="R7" si="12">R8+Q7</f>
        <v>-4295276069.4833908</v>
      </c>
      <c r="S7">
        <f t="shared" ref="S7" si="13">R7/100000</f>
        <v>-42952.760694833909</v>
      </c>
      <c r="T7">
        <f t="shared" ref="T7" si="14">S7/1000</f>
        <v>-42.952760694833906</v>
      </c>
    </row>
    <row r="8" spans="1:20" x14ac:dyDescent="0.25">
      <c r="A8" s="5">
        <v>44585</v>
      </c>
      <c r="B8">
        <v>0.80430000000000001</v>
      </c>
      <c r="C8">
        <v>0.83</v>
      </c>
      <c r="D8">
        <v>0.69630000000000003</v>
      </c>
      <c r="E8">
        <v>0.74770000000000003</v>
      </c>
      <c r="F8">
        <v>4564615</v>
      </c>
      <c r="G8">
        <v>0.74770000000000003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-0.23111443530291656</v>
      </c>
      <c r="Q8">
        <f t="shared" ref="Q8" si="16">F8*P8</f>
        <v>-1054948.4181002225</v>
      </c>
      <c r="R8">
        <f t="shared" ref="R8" si="17">R9+Q8</f>
        <v>-4294266977.911962</v>
      </c>
      <c r="S8">
        <f t="shared" ref="S8" si="18">R8/100000</f>
        <v>-42942.66977911962</v>
      </c>
      <c r="T8">
        <f t="shared" ref="T8" si="19">S8/1000</f>
        <v>-42.942669779119619</v>
      </c>
    </row>
    <row r="9" spans="1:20" x14ac:dyDescent="0.25">
      <c r="A9" s="5">
        <v>44584</v>
      </c>
      <c r="B9">
        <v>0.72370000000000001</v>
      </c>
      <c r="C9">
        <v>0.86</v>
      </c>
      <c r="D9">
        <v>0.71299999999999997</v>
      </c>
      <c r="E9">
        <v>0.80500000000000005</v>
      </c>
      <c r="F9">
        <v>4305408</v>
      </c>
      <c r="G9">
        <v>0.80500000000000005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0.25170068027210979</v>
      </c>
      <c r="Q9">
        <f t="shared" ref="Q9" si="21">F9*P9</f>
        <v>1083674.1224489836</v>
      </c>
      <c r="R9">
        <f t="shared" ref="R9" si="22">R10+Q9</f>
        <v>-4293212029.4938617</v>
      </c>
      <c r="S9">
        <f t="shared" ref="S9" si="23">R9/100000</f>
        <v>-42932.120294938613</v>
      </c>
      <c r="T9">
        <f t="shared" ref="T9" si="24">S9/1000</f>
        <v>-42.932120294938613</v>
      </c>
    </row>
    <row r="10" spans="1:20" x14ac:dyDescent="0.25">
      <c r="A10" s="5">
        <v>44583</v>
      </c>
      <c r="B10">
        <v>0.75249999999999995</v>
      </c>
      <c r="C10">
        <v>0.88200000000000001</v>
      </c>
      <c r="D10">
        <v>0.66</v>
      </c>
      <c r="E10">
        <v>0.72160000000000002</v>
      </c>
      <c r="F10">
        <v>6530656</v>
      </c>
      <c r="G10">
        <v>0.72160000000000002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-0.44504504504504511</v>
      </c>
      <c r="Q10">
        <f t="shared" ref="Q10" si="26">F10*P10</f>
        <v>-2906436.0936936941</v>
      </c>
      <c r="R10">
        <f t="shared" ref="R10" si="27">R11+Q10</f>
        <v>-4294295703.6163106</v>
      </c>
      <c r="S10">
        <f t="shared" ref="S10" si="28">R10/100000</f>
        <v>-42942.957036163105</v>
      </c>
      <c r="T10">
        <f t="shared" ref="T10" si="29">S10/1000</f>
        <v>-42.942957036163108</v>
      </c>
    </row>
    <row r="11" spans="1:20" x14ac:dyDescent="0.25">
      <c r="A11" s="5">
        <v>44582</v>
      </c>
      <c r="B11">
        <v>0.86880000000000002</v>
      </c>
      <c r="C11">
        <v>0.88239999999999996</v>
      </c>
      <c r="D11">
        <v>0.73480000000000001</v>
      </c>
      <c r="E11">
        <v>0.75380000000000003</v>
      </c>
      <c r="F11">
        <v>4878770</v>
      </c>
      <c r="G11">
        <v>0.75380000000000003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-0.74254742547425445</v>
      </c>
      <c r="Q11">
        <f t="shared" ref="Q11" si="31">F11*P11</f>
        <v>-3622718.1029810286</v>
      </c>
      <c r="R11">
        <f t="shared" ref="R11" si="32">R12+Q11</f>
        <v>-4291389267.5226169</v>
      </c>
      <c r="S11">
        <f t="shared" ref="S11" si="33">R11/100000</f>
        <v>-42913.892675226169</v>
      </c>
      <c r="T11">
        <f t="shared" ref="T11" si="34">S11/1000</f>
        <v>-42.913892675226165</v>
      </c>
    </row>
    <row r="12" spans="1:20" x14ac:dyDescent="0.25">
      <c r="A12" s="5">
        <v>44581</v>
      </c>
      <c r="B12">
        <v>0.92849999999999999</v>
      </c>
      <c r="C12">
        <v>0.9587</v>
      </c>
      <c r="D12">
        <v>0.86619999999999997</v>
      </c>
      <c r="E12">
        <v>0.86829999999999996</v>
      </c>
      <c r="F12">
        <v>2815311</v>
      </c>
      <c r="G12">
        <v>0.86829999999999996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-0.95459459459459484</v>
      </c>
      <c r="Q12">
        <f t="shared" ref="Q12" si="36">F12*P12</f>
        <v>-2687480.6627027034</v>
      </c>
      <c r="R12">
        <f t="shared" ref="R12" si="37">R13+Q12</f>
        <v>-4287766549.4196358</v>
      </c>
      <c r="S12">
        <f t="shared" ref="S12" si="38">R12/100000</f>
        <v>-42877.665494196357</v>
      </c>
      <c r="T12">
        <f t="shared" ref="T12" si="39">S12/1000</f>
        <v>-42.877665494196357</v>
      </c>
    </row>
    <row r="13" spans="1:20" x14ac:dyDescent="0.25">
      <c r="A13" s="5">
        <v>44580</v>
      </c>
      <c r="B13">
        <v>1.0168999999999999</v>
      </c>
      <c r="C13">
        <v>1.0219</v>
      </c>
      <c r="D13">
        <v>0.92020000000000002</v>
      </c>
      <c r="E13">
        <v>0.92810000000000004</v>
      </c>
      <c r="F13">
        <v>2666123</v>
      </c>
      <c r="G13">
        <v>0.92810000000000004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-0.84464110127826908</v>
      </c>
      <c r="Q13">
        <f t="shared" ref="Q13" si="41">F13*P13</f>
        <v>-2251917.0668633226</v>
      </c>
      <c r="R13">
        <f t="shared" ref="R13" si="42">R14+Q13</f>
        <v>-4285079068.7569332</v>
      </c>
      <c r="S13">
        <f t="shared" ref="S13" si="43">R13/100000</f>
        <v>-42850.79068756933</v>
      </c>
      <c r="T13">
        <f t="shared" ref="T13" si="44">S13/1000</f>
        <v>-42.850790687569329</v>
      </c>
    </row>
    <row r="14" spans="1:20" x14ac:dyDescent="0.25">
      <c r="A14" s="5">
        <v>44579</v>
      </c>
      <c r="B14">
        <v>1.0062</v>
      </c>
      <c r="C14">
        <v>1.0335000000000001</v>
      </c>
      <c r="D14">
        <v>0.92300000000000004</v>
      </c>
      <c r="E14">
        <v>1.0166999999999999</v>
      </c>
      <c r="F14">
        <v>3097324</v>
      </c>
      <c r="G14">
        <v>1.0166999999999999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0.69592760180995217</v>
      </c>
      <c r="Q14">
        <f t="shared" ref="Q14" si="46">F14*P14</f>
        <v>2155513.2633484085</v>
      </c>
      <c r="R14">
        <f t="shared" ref="R14" si="47">R15+Q14</f>
        <v>-4282827151.6900697</v>
      </c>
      <c r="S14">
        <f t="shared" ref="S14" si="48">R14/100000</f>
        <v>-42828.271516900699</v>
      </c>
      <c r="T14">
        <f t="shared" ref="T14" si="49">S14/1000</f>
        <v>-42.828271516900699</v>
      </c>
    </row>
    <row r="15" spans="1:20" x14ac:dyDescent="0.25">
      <c r="A15" s="5">
        <v>44578</v>
      </c>
      <c r="B15">
        <v>1.0725</v>
      </c>
      <c r="C15">
        <v>1.0767</v>
      </c>
      <c r="D15">
        <v>0.9899</v>
      </c>
      <c r="E15">
        <v>1.008</v>
      </c>
      <c r="F15">
        <v>3065670</v>
      </c>
      <c r="G15">
        <v>1.008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-0.58294930875576023</v>
      </c>
      <c r="Q15">
        <f t="shared" ref="Q15" si="51">F15*P15</f>
        <v>-1787130.2073732715</v>
      </c>
      <c r="R15">
        <f t="shared" ref="R15" si="52">R16+Q15</f>
        <v>-4284982664.9534183</v>
      </c>
      <c r="S15">
        <f t="shared" ref="S15" si="53">R15/100000</f>
        <v>-42849.826649534181</v>
      </c>
      <c r="T15">
        <f t="shared" ref="T15" si="54">S15/1000</f>
        <v>-42.84982664953418</v>
      </c>
    </row>
    <row r="16" spans="1:20" x14ac:dyDescent="0.25">
      <c r="A16" s="5">
        <v>44577</v>
      </c>
      <c r="B16">
        <v>0.99490000000000001</v>
      </c>
      <c r="C16">
        <v>1.2362</v>
      </c>
      <c r="D16">
        <v>0.98980000000000001</v>
      </c>
      <c r="E16">
        <v>1.0719000000000001</v>
      </c>
      <c r="F16">
        <v>12396106</v>
      </c>
      <c r="G16">
        <v>1.0719000000000001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-0.33360389610389546</v>
      </c>
      <c r="Q16">
        <f t="shared" ref="Q16" si="56">F16*P16</f>
        <v>-4135389.2581168753</v>
      </c>
      <c r="R16">
        <f t="shared" ref="R16" si="57">R17+Q16</f>
        <v>-4283195534.7460451</v>
      </c>
      <c r="S16">
        <f t="shared" ref="S16" si="58">R16/100000</f>
        <v>-42831.955347460455</v>
      </c>
      <c r="T16">
        <f t="shared" ref="T16" si="59">S16/1000</f>
        <v>-42.831955347460458</v>
      </c>
    </row>
    <row r="17" spans="1:20" x14ac:dyDescent="0.25">
      <c r="A17" s="5">
        <v>44576</v>
      </c>
      <c r="B17">
        <v>0.997</v>
      </c>
      <c r="C17">
        <v>1.0229999999999999</v>
      </c>
      <c r="D17">
        <v>0.97609999999999997</v>
      </c>
      <c r="E17">
        <v>0.99539999999999995</v>
      </c>
      <c r="F17">
        <v>1125760</v>
      </c>
      <c r="G17">
        <v>0.99539999999999995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-0.17697228144989305</v>
      </c>
      <c r="Q17">
        <f t="shared" ref="Q17" si="61">F17*P17</f>
        <v>-199228.3155650316</v>
      </c>
      <c r="R17">
        <f t="shared" ref="R17" si="62">R18+Q17</f>
        <v>-4279060145.4879284</v>
      </c>
      <c r="S17">
        <f t="shared" ref="S17" si="63">R17/100000</f>
        <v>-42790.601454879281</v>
      </c>
      <c r="T17">
        <f t="shared" ref="T17" si="64">S17/1000</f>
        <v>-42.79060145487928</v>
      </c>
    </row>
    <row r="18" spans="1:20" x14ac:dyDescent="0.25">
      <c r="A18" s="5">
        <v>44575</v>
      </c>
      <c r="B18">
        <v>1.0073000000000001</v>
      </c>
      <c r="C18">
        <v>1.0290999999999999</v>
      </c>
      <c r="D18">
        <v>0.96050000000000002</v>
      </c>
      <c r="E18">
        <v>0.99660000000000004</v>
      </c>
      <c r="F18">
        <v>1643650</v>
      </c>
      <c r="G18">
        <v>0.99660000000000004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5.2478134110789575E-2</v>
      </c>
      <c r="Q18">
        <f t="shared" ref="Q18" si="66">F18*P18</f>
        <v>86255.68513119928</v>
      </c>
      <c r="R18">
        <f t="shared" ref="R18" si="67">R19+Q18</f>
        <v>-4278860917.1723633</v>
      </c>
      <c r="S18">
        <f t="shared" ref="S18" si="68">R18/100000</f>
        <v>-42788.609171723634</v>
      </c>
      <c r="T18">
        <f t="shared" ref="T18" si="69">S18/1000</f>
        <v>-42.788609171723635</v>
      </c>
    </row>
    <row r="19" spans="1:20" x14ac:dyDescent="0.25">
      <c r="A19" s="5">
        <v>44574</v>
      </c>
      <c r="B19">
        <v>1.0784</v>
      </c>
      <c r="C19">
        <v>1.1154999999999999</v>
      </c>
      <c r="D19">
        <v>1.0002</v>
      </c>
      <c r="E19">
        <v>1.0092000000000001</v>
      </c>
      <c r="F19">
        <v>1763486</v>
      </c>
      <c r="G19">
        <v>1.0092000000000001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-0.84388551604509765</v>
      </c>
      <c r="Q19">
        <f t="shared" ref="Q19" si="71">F19*P19</f>
        <v>-1488180.293148305</v>
      </c>
      <c r="R19">
        <f t="shared" ref="R19" si="72">R20+Q19</f>
        <v>-4278947172.8574944</v>
      </c>
      <c r="S19">
        <f t="shared" ref="S19" si="73">R19/100000</f>
        <v>-42789.471728574943</v>
      </c>
      <c r="T19">
        <f t="shared" ref="T19" si="74">S19/1000</f>
        <v>-42.789471728574945</v>
      </c>
    </row>
    <row r="20" spans="1:20" x14ac:dyDescent="0.25">
      <c r="A20" s="5">
        <v>44573</v>
      </c>
      <c r="B20">
        <v>1.0249999999999999</v>
      </c>
      <c r="C20">
        <v>1.1000000000000001</v>
      </c>
      <c r="D20">
        <v>1</v>
      </c>
      <c r="E20">
        <v>1.0783</v>
      </c>
      <c r="F20">
        <v>1919228</v>
      </c>
      <c r="G20">
        <v>1.0783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0.56599999999999928</v>
      </c>
      <c r="Q20">
        <f t="shared" ref="Q20" si="76">F20*P20</f>
        <v>1086283.0479999986</v>
      </c>
      <c r="R20">
        <f t="shared" ref="R20" si="77">R21+Q20</f>
        <v>-4277458992.5643458</v>
      </c>
      <c r="S20">
        <f t="shared" ref="S20" si="78">R20/100000</f>
        <v>-42774.589925643457</v>
      </c>
      <c r="T20">
        <f t="shared" ref="T20" si="79">S20/1000</f>
        <v>-42.774589925643454</v>
      </c>
    </row>
    <row r="21" spans="1:20" x14ac:dyDescent="0.25">
      <c r="A21" s="5">
        <v>44572</v>
      </c>
      <c r="B21">
        <v>1.0023</v>
      </c>
      <c r="C21">
        <v>1.052</v>
      </c>
      <c r="D21">
        <v>0.96260000000000001</v>
      </c>
      <c r="E21">
        <v>1.0262</v>
      </c>
      <c r="F21">
        <v>2265217</v>
      </c>
      <c r="G21">
        <v>1.0262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0.42281879194630795</v>
      </c>
      <c r="Q21">
        <f t="shared" ref="Q21" si="81">F21*P21</f>
        <v>957776.31543623982</v>
      </c>
      <c r="R21">
        <f t="shared" ref="R21" si="82">R22+Q21</f>
        <v>-4278545275.6123457</v>
      </c>
      <c r="S21">
        <f t="shared" ref="S21" si="83">R21/100000</f>
        <v>-42785.452756123457</v>
      </c>
      <c r="T21">
        <f t="shared" ref="T21" si="84">S21/1000</f>
        <v>-42.785452756123455</v>
      </c>
    </row>
    <row r="22" spans="1:20" x14ac:dyDescent="0.25">
      <c r="A22" s="5">
        <v>44571</v>
      </c>
      <c r="B22">
        <v>1.0786</v>
      </c>
      <c r="C22">
        <v>1.175</v>
      </c>
      <c r="D22">
        <v>0.96519999999999995</v>
      </c>
      <c r="E22">
        <v>1.0024</v>
      </c>
      <c r="F22">
        <v>3165562</v>
      </c>
      <c r="G22">
        <v>1.0024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-0.6453765490943757</v>
      </c>
      <c r="Q22">
        <f t="shared" ref="Q22" si="86">F22*P22</f>
        <v>-2042979.47950429</v>
      </c>
      <c r="R22">
        <f t="shared" ref="R22" si="87">R23+Q22</f>
        <v>-4279503051.9277821</v>
      </c>
      <c r="S22">
        <f t="shared" ref="S22" si="88">R22/100000</f>
        <v>-42795.030519277818</v>
      </c>
      <c r="T22">
        <f t="shared" ref="T22" si="89">S22/1000</f>
        <v>-42.795030519277816</v>
      </c>
    </row>
    <row r="23" spans="1:20" x14ac:dyDescent="0.25">
      <c r="A23" s="5">
        <v>44570</v>
      </c>
      <c r="B23">
        <v>1.0874999999999999</v>
      </c>
      <c r="C23">
        <v>1.1148</v>
      </c>
      <c r="D23">
        <v>1.0330999999999999</v>
      </c>
      <c r="E23">
        <v>1.0802</v>
      </c>
      <c r="F23">
        <v>1910118</v>
      </c>
      <c r="G23">
        <v>1.0802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0.15299877600979389</v>
      </c>
      <c r="Q23">
        <f t="shared" ref="Q23" si="91">F23*P23</f>
        <v>292245.71603427548</v>
      </c>
      <c r="R23">
        <f t="shared" ref="R23" si="92">R24+Q23</f>
        <v>-4277460072.448278</v>
      </c>
      <c r="S23">
        <f t="shared" ref="S23" si="93">R23/100000</f>
        <v>-42774.600724482778</v>
      </c>
      <c r="T23">
        <f t="shared" ref="T23" si="94">S23/1000</f>
        <v>-42.774600724482781</v>
      </c>
    </row>
    <row r="24" spans="1:20" x14ac:dyDescent="0.25">
      <c r="A24" s="5">
        <v>44569</v>
      </c>
      <c r="B24">
        <v>1.1299999999999999</v>
      </c>
      <c r="C24">
        <v>1.1944999999999999</v>
      </c>
      <c r="D24">
        <v>1.0553999999999999</v>
      </c>
      <c r="E24">
        <v>1.0887</v>
      </c>
      <c r="F24">
        <v>2251446</v>
      </c>
      <c r="G24">
        <v>1.0887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-0.52120776419841686</v>
      </c>
      <c r="Q24">
        <f t="shared" ref="Q24" si="96">F24*P24</f>
        <v>-1173471.1358734688</v>
      </c>
      <c r="R24">
        <f t="shared" ref="R24" si="97">R25+Q24</f>
        <v>-4277752318.1643124</v>
      </c>
      <c r="S24">
        <f t="shared" ref="S24" si="98">R24/100000</f>
        <v>-42777.523181643126</v>
      </c>
      <c r="T24">
        <f t="shared" ref="T24" si="99">S24/1000</f>
        <v>-42.777523181643126</v>
      </c>
    </row>
    <row r="25" spans="1:20" x14ac:dyDescent="0.25">
      <c r="A25" s="5">
        <v>44568</v>
      </c>
      <c r="B25">
        <v>1.2276</v>
      </c>
      <c r="C25">
        <v>1.2276</v>
      </c>
      <c r="D25">
        <v>1.0851</v>
      </c>
      <c r="E25">
        <v>1.1277999999999999</v>
      </c>
      <c r="F25">
        <v>3991814</v>
      </c>
      <c r="G25">
        <v>1.1277999999999999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-0.40070175438596578</v>
      </c>
      <c r="Q25">
        <f t="shared" ref="Q25" si="101">F25*P25</f>
        <v>-1599526.8729824596</v>
      </c>
      <c r="R25">
        <f t="shared" ref="R25" si="102">R26+Q25</f>
        <v>-4276578847.028439</v>
      </c>
      <c r="S25">
        <f t="shared" ref="S25" si="103">R25/100000</f>
        <v>-42765.788470284388</v>
      </c>
      <c r="T25">
        <f t="shared" ref="T25" si="104">S25/1000</f>
        <v>-42.765788470284384</v>
      </c>
    </row>
    <row r="26" spans="1:20" x14ac:dyDescent="0.25">
      <c r="A26" s="5">
        <v>44567</v>
      </c>
      <c r="B26">
        <v>1.1175999999999999</v>
      </c>
      <c r="C26">
        <v>1.29</v>
      </c>
      <c r="D26">
        <v>1.0592999999999999</v>
      </c>
      <c r="E26">
        <v>1.2292000000000001</v>
      </c>
      <c r="F26">
        <v>8737197</v>
      </c>
      <c r="G26">
        <v>1.2292000000000001</v>
      </c>
      <c r="L26" t="s">
        <v>7</v>
      </c>
      <c r="M26" t="s">
        <v>8</v>
      </c>
      <c r="N26" t="s">
        <v>7</v>
      </c>
      <c r="P26">
        <f t="shared" ref="P26" si="105">IF(C26=D26,0,((E26-D26)-(C26-E26))/(C26-D26))</f>
        <v>0.47290853922843579</v>
      </c>
      <c r="Q26">
        <f t="shared" ref="Q26" si="106">F26*P26</f>
        <v>4131895.0702210716</v>
      </c>
      <c r="R26">
        <f t="shared" ref="R26" si="107">R27+Q26</f>
        <v>-4274979320.1554565</v>
      </c>
      <c r="S26">
        <f t="shared" ref="S26" si="108">R26/100000</f>
        <v>-42749.793201554567</v>
      </c>
      <c r="T26">
        <f t="shared" ref="T26" si="109">S26/1000</f>
        <v>-42.749793201554567</v>
      </c>
    </row>
    <row r="27" spans="1:20" x14ac:dyDescent="0.25">
      <c r="A27" s="5">
        <v>44566</v>
      </c>
      <c r="B27">
        <v>1.3792</v>
      </c>
      <c r="C27">
        <v>1.431</v>
      </c>
      <c r="D27">
        <v>1.0740000000000001</v>
      </c>
      <c r="E27">
        <v>1.1173</v>
      </c>
      <c r="F27">
        <v>6858352</v>
      </c>
      <c r="G27">
        <v>1.1173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-0.7574229691876756</v>
      </c>
      <c r="Q27">
        <f t="shared" ref="Q27" si="111">F27*P27</f>
        <v>-5194673.335574233</v>
      </c>
      <c r="R27">
        <f t="shared" ref="R27" si="112">R28+Q27</f>
        <v>-4279111215.2256775</v>
      </c>
      <c r="S27">
        <f t="shared" ref="S27" si="113">R27/100000</f>
        <v>-42791.112152256777</v>
      </c>
      <c r="T27">
        <f t="shared" ref="T27" si="114">S27/1000</f>
        <v>-42.79111215225678</v>
      </c>
    </row>
    <row r="28" spans="1:20" x14ac:dyDescent="0.25">
      <c r="A28" s="5">
        <v>44565</v>
      </c>
      <c r="B28">
        <v>1.51</v>
      </c>
      <c r="C28">
        <v>1.57</v>
      </c>
      <c r="D28">
        <v>1.3456999999999999</v>
      </c>
      <c r="E28">
        <v>1.3801000000000001</v>
      </c>
      <c r="F28">
        <v>11939698</v>
      </c>
      <c r="G28">
        <v>1.3801000000000001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-0.69326794471689535</v>
      </c>
      <c r="Q28">
        <f t="shared" ref="Q28" si="116">F28*P28</f>
        <v>-8277409.8930004258</v>
      </c>
      <c r="R28">
        <f t="shared" ref="R28" si="117">R29+Q28</f>
        <v>-4273916541.8901033</v>
      </c>
      <c r="S28">
        <f t="shared" ref="S28" si="118">R28/100000</f>
        <v>-42739.165418901037</v>
      </c>
      <c r="T28">
        <f t="shared" ref="T28" si="119">S28/1000</f>
        <v>-42.739165418901038</v>
      </c>
    </row>
    <row r="29" spans="1:20" x14ac:dyDescent="0.25">
      <c r="A29" s="5">
        <v>44564</v>
      </c>
      <c r="B29">
        <v>1.1724000000000001</v>
      </c>
      <c r="C29">
        <v>1.585</v>
      </c>
      <c r="D29">
        <v>1.1442000000000001</v>
      </c>
      <c r="E29">
        <v>1.51</v>
      </c>
      <c r="F29">
        <v>26351807</v>
      </c>
      <c r="G29">
        <v>1.51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0.6597096188747732</v>
      </c>
      <c r="Q29">
        <f t="shared" ref="Q29" si="121">F29*P29</f>
        <v>17384540.552631579</v>
      </c>
      <c r="R29">
        <f t="shared" ref="R29" si="122">R30+Q29</f>
        <v>-4265639131.9971027</v>
      </c>
      <c r="S29">
        <f t="shared" ref="S29" si="123">R29/100000</f>
        <v>-42656.39131997103</v>
      </c>
      <c r="T29">
        <f t="shared" ref="T29" si="124">S29/1000</f>
        <v>-42.656391319971029</v>
      </c>
    </row>
    <row r="30" spans="1:20" x14ac:dyDescent="0.25">
      <c r="A30" s="5">
        <v>44563</v>
      </c>
      <c r="B30">
        <v>1.2878000000000001</v>
      </c>
      <c r="C30">
        <v>1.2908999999999999</v>
      </c>
      <c r="D30">
        <v>1.159</v>
      </c>
      <c r="E30">
        <v>1.1726000000000001</v>
      </c>
      <c r="F30">
        <v>3274586</v>
      </c>
      <c r="G30">
        <v>1.1726000000000001</v>
      </c>
      <c r="L30" t="s">
        <v>7</v>
      </c>
      <c r="M30" t="s">
        <v>8</v>
      </c>
      <c r="N30" t="s">
        <v>8</v>
      </c>
      <c r="P30">
        <f t="shared" ref="P30" si="125">IF(C30=D30,0,((E30-D30)-(C30-E30))/(C30-D30))</f>
        <v>-0.79378316906747437</v>
      </c>
      <c r="Q30">
        <f t="shared" ref="Q30" si="126">F30*P30</f>
        <v>-2599311.2524639848</v>
      </c>
      <c r="R30">
        <f t="shared" ref="R30" si="127">R31+Q30</f>
        <v>-4283023672.5497341</v>
      </c>
      <c r="S30">
        <f t="shared" ref="S30" si="128">R30/100000</f>
        <v>-42830.236725497343</v>
      </c>
      <c r="T30">
        <f t="shared" ref="T30" si="129">S30/1000</f>
        <v>-42.830236725497343</v>
      </c>
    </row>
    <row r="31" spans="1:20" x14ac:dyDescent="0.25">
      <c r="A31" s="5">
        <v>44562</v>
      </c>
      <c r="B31">
        <v>1.1047</v>
      </c>
      <c r="C31">
        <v>1.35</v>
      </c>
      <c r="D31">
        <v>1.0840000000000001</v>
      </c>
      <c r="E31">
        <v>1.2905</v>
      </c>
      <c r="F31">
        <v>12777084</v>
      </c>
      <c r="G31">
        <v>1.2905</v>
      </c>
      <c r="L31" t="s">
        <v>8</v>
      </c>
      <c r="M31" t="s">
        <v>8</v>
      </c>
      <c r="N31" t="s">
        <v>8</v>
      </c>
      <c r="P31">
        <f t="shared" ref="P31" si="130">IF(C31=D31,0,((E31-D31)-(C31-E31))/(C31-D31))</f>
        <v>0.55263157894736759</v>
      </c>
      <c r="Q31">
        <f t="shared" ref="Q31" si="131">F31*P31</f>
        <v>7061020.1052631475</v>
      </c>
      <c r="R31">
        <f t="shared" ref="R31" si="132">R32+Q31</f>
        <v>-4280424361.2972703</v>
      </c>
      <c r="S31">
        <f t="shared" ref="S31" si="133">R31/100000</f>
        <v>-42804.243612972707</v>
      </c>
      <c r="T31">
        <f t="shared" ref="T31" si="134">S31/1000</f>
        <v>-42.804243612972705</v>
      </c>
    </row>
    <row r="32" spans="1:20" x14ac:dyDescent="0.25">
      <c r="A32" s="5">
        <v>44561</v>
      </c>
      <c r="B32">
        <v>1.0980000000000001</v>
      </c>
      <c r="C32">
        <v>1.165</v>
      </c>
      <c r="D32">
        <v>1.0670999999999999</v>
      </c>
      <c r="E32">
        <v>1.1047</v>
      </c>
      <c r="F32">
        <v>3632723</v>
      </c>
      <c r="G32">
        <v>1.1047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-0.23186925434116362</v>
      </c>
      <c r="Q32">
        <f t="shared" ref="Q32" si="136">F32*P32</f>
        <v>-842316.77323799499</v>
      </c>
      <c r="R32">
        <f t="shared" ref="R32" si="137">R33+Q32</f>
        <v>-4287485381.4025335</v>
      </c>
      <c r="S32">
        <f t="shared" ref="S32" si="138">R32/100000</f>
        <v>-42874.853814025337</v>
      </c>
      <c r="T32">
        <f t="shared" ref="T32" si="139">S32/1000</f>
        <v>-42.874853814025336</v>
      </c>
    </row>
    <row r="33" spans="1:20" x14ac:dyDescent="0.25">
      <c r="A33" s="5">
        <v>44560</v>
      </c>
      <c r="B33">
        <v>1.0436000000000001</v>
      </c>
      <c r="C33">
        <v>1.1867000000000001</v>
      </c>
      <c r="D33">
        <v>0.99609999999999999</v>
      </c>
      <c r="E33">
        <v>1.0953999999999999</v>
      </c>
      <c r="F33">
        <v>9080074</v>
      </c>
      <c r="G33">
        <v>1.0953999999999999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4.1972717733472095E-2</v>
      </c>
      <c r="Q33">
        <f t="shared" ref="Q33" si="141">F33*P33</f>
        <v>381115.38300103892</v>
      </c>
      <c r="R33">
        <f t="shared" ref="R33" si="142">R34+Q33</f>
        <v>-4286643064.6292953</v>
      </c>
      <c r="S33">
        <f t="shared" ref="S33" si="143">R33/100000</f>
        <v>-42866.430646292953</v>
      </c>
      <c r="T33">
        <f t="shared" ref="T33" si="144">S33/1000</f>
        <v>-42.866430646292955</v>
      </c>
    </row>
    <row r="34" spans="1:20" x14ac:dyDescent="0.25">
      <c r="A34" s="5">
        <v>44559</v>
      </c>
      <c r="B34">
        <v>0.8931</v>
      </c>
      <c r="C34">
        <v>1.18</v>
      </c>
      <c r="D34">
        <v>0.88690000000000002</v>
      </c>
      <c r="E34">
        <v>1.042</v>
      </c>
      <c r="F34">
        <v>28915800</v>
      </c>
      <c r="G34">
        <v>1.042</v>
      </c>
      <c r="L34" t="s">
        <v>8</v>
      </c>
      <c r="M34" t="s">
        <v>8</v>
      </c>
      <c r="N34" t="s">
        <v>7</v>
      </c>
      <c r="P34">
        <f t="shared" ref="P34" si="145">IF(C34=D34,0,((E34-D34)-(C34-E34))/(C34-D34))</f>
        <v>5.8341862845445652E-2</v>
      </c>
      <c r="Q34">
        <f t="shared" ref="Q34" si="146">F34*P34</f>
        <v>1687001.6376663374</v>
      </c>
      <c r="R34">
        <f t="shared" ref="R34" si="147">R35+Q34</f>
        <v>-4287024180.0122962</v>
      </c>
      <c r="S34">
        <f t="shared" ref="S34" si="148">R34/100000</f>
        <v>-42870.24180012296</v>
      </c>
      <c r="T34">
        <f t="shared" ref="T34" si="149">S34/1000</f>
        <v>-42.870241800122962</v>
      </c>
    </row>
    <row r="35" spans="1:20" x14ac:dyDescent="0.25">
      <c r="A35" s="5">
        <v>44558</v>
      </c>
      <c r="B35">
        <v>1.0004999999999999</v>
      </c>
      <c r="C35">
        <v>1.04</v>
      </c>
      <c r="D35">
        <v>0.86150000000000004</v>
      </c>
      <c r="E35">
        <v>0.89129999999999998</v>
      </c>
      <c r="F35">
        <v>8920568</v>
      </c>
      <c r="G35">
        <v>0.89129999999999998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-0.66610644257703144</v>
      </c>
      <c r="Q35">
        <f t="shared" ref="Q35" si="151">F35*P35</f>
        <v>-5942047.816246504</v>
      </c>
      <c r="R35">
        <f t="shared" ref="R35" si="152">R36+Q35</f>
        <v>-4288711181.6499624</v>
      </c>
      <c r="S35">
        <f t="shared" ref="S35" si="153">R35/100000</f>
        <v>-42887.111816499622</v>
      </c>
      <c r="T35">
        <f t="shared" ref="T35" si="154">S35/1000</f>
        <v>-42.887111816499619</v>
      </c>
    </row>
    <row r="36" spans="1:20" x14ac:dyDescent="0.25">
      <c r="A36" s="5">
        <v>44557</v>
      </c>
      <c r="B36">
        <v>0.86499999999999999</v>
      </c>
      <c r="C36">
        <v>1.3499000000000001</v>
      </c>
      <c r="D36">
        <v>0.86319999999999997</v>
      </c>
      <c r="E36">
        <v>1.0004999999999999</v>
      </c>
      <c r="F36">
        <v>30650083</v>
      </c>
      <c r="G36">
        <v>1.0004999999999999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-0.43579206903636764</v>
      </c>
      <c r="Q36">
        <f t="shared" ref="Q36" si="156">F36*P36</f>
        <v>-13357063.086706398</v>
      </c>
      <c r="R36">
        <f t="shared" ref="R36" si="157">R37+Q36</f>
        <v>-4282769133.8337159</v>
      </c>
      <c r="S36">
        <f t="shared" ref="S36" si="158">R36/100000</f>
        <v>-42827.691338337158</v>
      </c>
      <c r="T36">
        <f t="shared" ref="T36" si="159">S36/1000</f>
        <v>-42.827691338337161</v>
      </c>
    </row>
    <row r="37" spans="1:20" x14ac:dyDescent="0.25">
      <c r="A37" s="5">
        <v>44556</v>
      </c>
      <c r="B37">
        <v>0.85209999999999997</v>
      </c>
      <c r="C37">
        <v>0.87619999999999998</v>
      </c>
      <c r="D37">
        <v>0.83460000000000001</v>
      </c>
      <c r="E37">
        <v>0.86480000000000001</v>
      </c>
      <c r="F37">
        <v>1277898</v>
      </c>
      <c r="G37">
        <v>0.86480000000000001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0.4519230769230782</v>
      </c>
      <c r="Q37">
        <f t="shared" ref="Q37" si="161">F37*P37</f>
        <v>577511.59615384776</v>
      </c>
      <c r="R37">
        <f t="shared" ref="R37" si="162">R38+Q37</f>
        <v>-4269412070.7470098</v>
      </c>
      <c r="S37">
        <f t="shared" ref="S37" si="163">R37/100000</f>
        <v>-42694.120707470094</v>
      </c>
      <c r="T37">
        <f t="shared" ref="T37" si="164">S37/1000</f>
        <v>-42.694120707470091</v>
      </c>
    </row>
    <row r="38" spans="1:20" x14ac:dyDescent="0.25">
      <c r="A38" s="5">
        <v>44555</v>
      </c>
      <c r="B38">
        <v>0.85070000000000001</v>
      </c>
      <c r="C38">
        <v>0.88329999999999997</v>
      </c>
      <c r="D38">
        <v>0.84699999999999998</v>
      </c>
      <c r="E38">
        <v>0.85209999999999997</v>
      </c>
      <c r="F38">
        <v>1716149</v>
      </c>
      <c r="G38">
        <v>0.85209999999999997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-0.7190082644628103</v>
      </c>
      <c r="Q38">
        <f t="shared" ref="Q38" si="166">F38*P38</f>
        <v>-1233925.3140495874</v>
      </c>
      <c r="R38">
        <f t="shared" ref="R38" si="167">R39+Q38</f>
        <v>-4269989582.3431635</v>
      </c>
      <c r="S38">
        <f t="shared" ref="S38" si="168">R38/100000</f>
        <v>-42699.895823431638</v>
      </c>
      <c r="T38">
        <f t="shared" ref="T38" si="169">S38/1000</f>
        <v>-42.699895823431639</v>
      </c>
    </row>
    <row r="39" spans="1:20" x14ac:dyDescent="0.25">
      <c r="A39" s="5">
        <v>44554</v>
      </c>
      <c r="B39">
        <v>0.84140000000000004</v>
      </c>
      <c r="C39">
        <v>0.93799999999999994</v>
      </c>
      <c r="D39">
        <v>0.83599999999999997</v>
      </c>
      <c r="E39">
        <v>0.85029999999999994</v>
      </c>
      <c r="F39">
        <v>4339400</v>
      </c>
      <c r="G39">
        <v>0.85029999999999994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-0.71960784313725523</v>
      </c>
      <c r="Q39">
        <f t="shared" ref="Q39" si="171">F39*P39</f>
        <v>-3122666.2745098053</v>
      </c>
      <c r="R39">
        <f t="shared" ref="R39" si="172">R40+Q39</f>
        <v>-4268755657.0291138</v>
      </c>
      <c r="S39">
        <f t="shared" ref="S39" si="173">R39/100000</f>
        <v>-42687.556570291141</v>
      </c>
      <c r="T39">
        <f t="shared" ref="T39" si="174">S39/1000</f>
        <v>-42.687556570291143</v>
      </c>
    </row>
    <row r="40" spans="1:20" x14ac:dyDescent="0.25">
      <c r="A40" s="5">
        <v>44553</v>
      </c>
      <c r="B40">
        <v>0.80579999999999996</v>
      </c>
      <c r="C40">
        <v>0.85189999999999999</v>
      </c>
      <c r="D40">
        <v>0.79320000000000002</v>
      </c>
      <c r="E40">
        <v>0.84160000000000001</v>
      </c>
      <c r="F40">
        <v>1806016</v>
      </c>
      <c r="G40">
        <v>0.84160000000000001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0.64906303236797336</v>
      </c>
      <c r="Q40">
        <f t="shared" ref="Q40" si="176">F40*P40</f>
        <v>1172218.2214650777</v>
      </c>
      <c r="R40">
        <f t="shared" ref="R40" si="177">R41+Q40</f>
        <v>-4265632990.7546039</v>
      </c>
      <c r="S40">
        <f t="shared" ref="S40" si="178">R40/100000</f>
        <v>-42656.329907546038</v>
      </c>
      <c r="T40">
        <f t="shared" ref="T40" si="179">S40/1000</f>
        <v>-42.656329907546038</v>
      </c>
    </row>
    <row r="41" spans="1:20" x14ac:dyDescent="0.25">
      <c r="A41" s="5">
        <v>44552</v>
      </c>
      <c r="B41">
        <v>0.8196</v>
      </c>
      <c r="C41">
        <v>0.8296</v>
      </c>
      <c r="D41">
        <v>0.80200000000000005</v>
      </c>
      <c r="E41">
        <v>0.80579999999999996</v>
      </c>
      <c r="F41">
        <v>1287320</v>
      </c>
      <c r="G41">
        <v>0.80579999999999996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-0.72463768115942606</v>
      </c>
      <c r="Q41">
        <f t="shared" ref="Q41" si="181">F41*P41</f>
        <v>-932840.57971015235</v>
      </c>
      <c r="R41">
        <f t="shared" ref="R41" si="182">R42+Q41</f>
        <v>-4266805208.976069</v>
      </c>
      <c r="S41">
        <f t="shared" ref="S41" si="183">R41/100000</f>
        <v>-42668.052089760691</v>
      </c>
      <c r="T41">
        <f t="shared" ref="T41" si="184">S41/1000</f>
        <v>-42.668052089760693</v>
      </c>
    </row>
    <row r="42" spans="1:20" x14ac:dyDescent="0.25">
      <c r="A42" s="5">
        <v>44551</v>
      </c>
      <c r="B42">
        <v>0.79769999999999996</v>
      </c>
      <c r="C42">
        <v>0.84</v>
      </c>
      <c r="D42">
        <v>0.78810000000000002</v>
      </c>
      <c r="E42">
        <v>0.81979999999999997</v>
      </c>
      <c r="F42">
        <v>1571574</v>
      </c>
      <c r="G42">
        <v>0.81979999999999997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0.22157996146435388</v>
      </c>
      <c r="Q42">
        <f t="shared" ref="Q42" si="186">F42*P42</f>
        <v>348229.30635838048</v>
      </c>
      <c r="R42">
        <f t="shared" ref="R42" si="187">R43+Q42</f>
        <v>-4265872368.396359</v>
      </c>
      <c r="S42">
        <f t="shared" ref="S42" si="188">R42/100000</f>
        <v>-42658.723683963588</v>
      </c>
      <c r="T42">
        <f t="shared" ref="T42" si="189">S42/1000</f>
        <v>-42.658723683963586</v>
      </c>
    </row>
    <row r="43" spans="1:20" x14ac:dyDescent="0.25">
      <c r="A43" s="5">
        <v>44550</v>
      </c>
      <c r="B43">
        <v>0.81159999999999999</v>
      </c>
      <c r="C43">
        <v>0.81740000000000002</v>
      </c>
      <c r="D43">
        <v>0.76670000000000005</v>
      </c>
      <c r="E43">
        <v>0.79349999999999998</v>
      </c>
      <c r="F43">
        <v>1318201</v>
      </c>
      <c r="G43">
        <v>0.79349999999999998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5.7199211045363012E-2</v>
      </c>
      <c r="Q43">
        <f t="shared" ref="Q43" si="191">F43*P43</f>
        <v>75400.057199208561</v>
      </c>
      <c r="R43">
        <f t="shared" ref="R43" si="192">R44+Q43</f>
        <v>-4266220597.7027173</v>
      </c>
      <c r="S43">
        <f t="shared" ref="S43" si="193">R43/100000</f>
        <v>-42662.205977027174</v>
      </c>
      <c r="T43">
        <f t="shared" ref="T43" si="194">S43/1000</f>
        <v>-42.66220597702717</v>
      </c>
    </row>
    <row r="44" spans="1:20" x14ac:dyDescent="0.25">
      <c r="A44" s="5">
        <v>44549</v>
      </c>
      <c r="B44">
        <v>0.84289999999999998</v>
      </c>
      <c r="C44">
        <v>0.89</v>
      </c>
      <c r="D44">
        <v>0.80500000000000005</v>
      </c>
      <c r="E44">
        <v>0.81140000000000001</v>
      </c>
      <c r="F44">
        <v>2152297</v>
      </c>
      <c r="G44">
        <v>0.81140000000000001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-0.8494117647058832</v>
      </c>
      <c r="Q44">
        <f t="shared" ref="Q44" si="196">F44*P44</f>
        <v>-1828186.3929411783</v>
      </c>
      <c r="R44">
        <f t="shared" ref="R44" si="197">R45+Q44</f>
        <v>-4266295997.7599163</v>
      </c>
      <c r="S44">
        <f t="shared" ref="S44" si="198">R44/100000</f>
        <v>-42662.959977599166</v>
      </c>
      <c r="T44">
        <f t="shared" ref="T44" si="199">S44/1000</f>
        <v>-42.662959977599165</v>
      </c>
    </row>
    <row r="45" spans="1:20" x14ac:dyDescent="0.25">
      <c r="A45" s="5">
        <v>44548</v>
      </c>
      <c r="B45">
        <v>0.85670000000000002</v>
      </c>
      <c r="C45">
        <v>0.94750000000000001</v>
      </c>
      <c r="D45">
        <v>0.80010000000000003</v>
      </c>
      <c r="E45">
        <v>0.84230000000000005</v>
      </c>
      <c r="F45">
        <v>5462401</v>
      </c>
      <c r="G45">
        <v>0.84230000000000005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-0.42740841248303907</v>
      </c>
      <c r="Q45">
        <f t="shared" ref="Q45" si="201">F45*P45</f>
        <v>-2334676.139755765</v>
      </c>
      <c r="R45">
        <f t="shared" ref="R45" si="202">R46+Q45</f>
        <v>-4264467811.3669753</v>
      </c>
      <c r="S45">
        <f t="shared" ref="S45" si="203">R45/100000</f>
        <v>-42644.678113669754</v>
      </c>
      <c r="T45">
        <f t="shared" ref="T45" si="204">S45/1000</f>
        <v>-42.644678113669755</v>
      </c>
    </row>
    <row r="46" spans="1:20" x14ac:dyDescent="0.25">
      <c r="A46" s="5">
        <v>44547</v>
      </c>
      <c r="B46">
        <v>0.81769999999999998</v>
      </c>
      <c r="C46">
        <v>0.88</v>
      </c>
      <c r="D46">
        <v>0.79</v>
      </c>
      <c r="E46">
        <v>0.85640000000000005</v>
      </c>
      <c r="F46">
        <v>9297556</v>
      </c>
      <c r="G46">
        <v>0.85640000000000005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0.4755555555555564</v>
      </c>
      <c r="Q46">
        <f t="shared" ref="Q46" si="206">F46*P46</f>
        <v>4421504.4088888969</v>
      </c>
      <c r="R46">
        <f t="shared" ref="R46" si="207">R47+Q46</f>
        <v>-4262133135.2272196</v>
      </c>
      <c r="S46">
        <f t="shared" ref="S46" si="208">R46/100000</f>
        <v>-42621.331352272195</v>
      </c>
      <c r="T46">
        <f t="shared" ref="T46" si="209">S46/1000</f>
        <v>-42.621331352272193</v>
      </c>
    </row>
    <row r="47" spans="1:20" x14ac:dyDescent="0.25">
      <c r="A47" s="5">
        <v>44546</v>
      </c>
      <c r="B47">
        <v>0.74</v>
      </c>
      <c r="C47">
        <v>0.88800000000000001</v>
      </c>
      <c r="D47">
        <v>0.73089999999999999</v>
      </c>
      <c r="E47">
        <v>0.81879999999999997</v>
      </c>
      <c r="F47">
        <v>7122370</v>
      </c>
      <c r="G47">
        <v>0.81879999999999997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0.11903246339910845</v>
      </c>
      <c r="Q47">
        <f t="shared" ref="Q47" si="211">F47*P47</f>
        <v>847793.24633990799</v>
      </c>
      <c r="R47">
        <f t="shared" ref="R47" si="212">R48+Q47</f>
        <v>-4266554639.6361084</v>
      </c>
      <c r="S47">
        <f t="shared" ref="S47" si="213">R47/100000</f>
        <v>-42665.546396361082</v>
      </c>
      <c r="T47">
        <f t="shared" ref="T47" si="214">S47/1000</f>
        <v>-42.66554639636108</v>
      </c>
    </row>
    <row r="48" spans="1:20" x14ac:dyDescent="0.25">
      <c r="A48" s="5">
        <v>44545</v>
      </c>
      <c r="B48">
        <v>0.73109999999999997</v>
      </c>
      <c r="C48">
        <v>0.77</v>
      </c>
      <c r="D48">
        <v>0.68259999999999998</v>
      </c>
      <c r="E48">
        <v>0.73980000000000001</v>
      </c>
      <c r="F48">
        <v>2723621</v>
      </c>
      <c r="G48">
        <v>0.73980000000000001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0.30892448512585829</v>
      </c>
      <c r="Q48">
        <f t="shared" ref="Q48" si="216">F48*P48</f>
        <v>841393.21510297526</v>
      </c>
      <c r="R48">
        <f t="shared" ref="R48" si="217">R49+Q48</f>
        <v>-4267402432.8824482</v>
      </c>
      <c r="S48">
        <f t="shared" ref="S48" si="218">R48/100000</f>
        <v>-42674.024328824482</v>
      </c>
      <c r="T48">
        <f t="shared" ref="T48" si="219">S48/1000</f>
        <v>-42.67402432882448</v>
      </c>
    </row>
    <row r="49" spans="1:20" x14ac:dyDescent="0.25">
      <c r="A49" s="5">
        <v>44544</v>
      </c>
      <c r="B49">
        <v>0.73699999999999999</v>
      </c>
      <c r="C49">
        <v>0.77459999999999996</v>
      </c>
      <c r="D49">
        <v>0.69910000000000005</v>
      </c>
      <c r="E49">
        <v>0.7319</v>
      </c>
      <c r="F49">
        <v>3369432</v>
      </c>
      <c r="G49">
        <v>0.7319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-0.13112582781456997</v>
      </c>
      <c r="Q49">
        <f t="shared" ref="Q49" si="221">F49*P49</f>
        <v>-441819.56026490213</v>
      </c>
      <c r="R49">
        <f t="shared" ref="R49" si="222">R50+Q49</f>
        <v>-4268243826.0975513</v>
      </c>
      <c r="S49">
        <f t="shared" ref="S49" si="223">R49/100000</f>
        <v>-42682.438260975512</v>
      </c>
      <c r="T49">
        <f t="shared" ref="T49" si="224">S49/1000</f>
        <v>-42.682438260975509</v>
      </c>
    </row>
    <row r="50" spans="1:20" x14ac:dyDescent="0.25">
      <c r="A50" s="5">
        <v>44543</v>
      </c>
      <c r="B50">
        <v>0.85929999999999995</v>
      </c>
      <c r="C50">
        <v>0.85970000000000002</v>
      </c>
      <c r="D50">
        <v>0.73399999999999999</v>
      </c>
      <c r="E50">
        <v>0.73550000000000004</v>
      </c>
      <c r="F50">
        <v>2653777</v>
      </c>
      <c r="G50">
        <v>0.73550000000000004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-0.97613365155131171</v>
      </c>
      <c r="Q50">
        <f t="shared" ref="Q50" si="226">F50*P50</f>
        <v>-2590441.0334128854</v>
      </c>
      <c r="R50">
        <f t="shared" ref="R50" si="227">R51+Q50</f>
        <v>-4267802006.5372863</v>
      </c>
      <c r="S50">
        <f t="shared" ref="S50" si="228">R50/100000</f>
        <v>-42678.020065372861</v>
      </c>
      <c r="T50">
        <f t="shared" ref="T50" si="229">S50/1000</f>
        <v>-42.678020065372863</v>
      </c>
    </row>
    <row r="51" spans="1:20" x14ac:dyDescent="0.25">
      <c r="A51" s="5">
        <v>44542</v>
      </c>
      <c r="B51">
        <v>0.84809999999999997</v>
      </c>
      <c r="C51">
        <v>0.94</v>
      </c>
      <c r="D51">
        <v>0.82289999999999996</v>
      </c>
      <c r="E51">
        <v>0.86019999999999996</v>
      </c>
      <c r="F51">
        <v>9617081</v>
      </c>
      <c r="G51">
        <v>0.86019999999999996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-0.36293766011955586</v>
      </c>
      <c r="Q51">
        <f t="shared" ref="Q51" si="231">F51*P51</f>
        <v>-3490400.8753202385</v>
      </c>
      <c r="R51">
        <f t="shared" ref="R51" si="232">R52+Q51</f>
        <v>-4265211565.5038733</v>
      </c>
      <c r="S51">
        <f t="shared" ref="S51" si="233">R51/100000</f>
        <v>-42652.115655038731</v>
      </c>
      <c r="T51">
        <f t="shared" ref="T51" si="234">S51/1000</f>
        <v>-42.652115655038735</v>
      </c>
    </row>
    <row r="52" spans="1:20" x14ac:dyDescent="0.25">
      <c r="A52" s="5">
        <v>44541</v>
      </c>
      <c r="B52">
        <v>0.79790000000000005</v>
      </c>
      <c r="C52">
        <v>0.80840000000000001</v>
      </c>
      <c r="D52">
        <v>0.78749999999999998</v>
      </c>
      <c r="E52">
        <v>0.80569999999999997</v>
      </c>
      <c r="F52">
        <v>79671</v>
      </c>
      <c r="G52">
        <v>0.80569999999999997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0.74162679425837019</v>
      </c>
      <c r="Q52">
        <f t="shared" ref="Q52" si="236">F52*P52</f>
        <v>59086.148325358612</v>
      </c>
      <c r="R52">
        <f t="shared" ref="R52" si="237">R53+Q52</f>
        <v>-4261721164.6285529</v>
      </c>
      <c r="S52">
        <f t="shared" ref="S52" si="238">R52/100000</f>
        <v>-42617.211646285527</v>
      </c>
      <c r="T52">
        <f t="shared" ref="T52" si="239">S52/1000</f>
        <v>-42.617211646285526</v>
      </c>
    </row>
    <row r="53" spans="1:20" x14ac:dyDescent="0.25">
      <c r="A53" s="5">
        <v>44540</v>
      </c>
      <c r="B53">
        <v>0.82379999999999998</v>
      </c>
      <c r="C53">
        <v>0.89119999999999999</v>
      </c>
      <c r="D53">
        <v>0.78459999999999996</v>
      </c>
      <c r="E53">
        <v>0.80010000000000003</v>
      </c>
      <c r="F53">
        <v>3289482</v>
      </c>
      <c r="G53">
        <v>0.80010000000000003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-0.70919324577861043</v>
      </c>
      <c r="Q53">
        <f t="shared" ref="Q53" si="241">F53*P53</f>
        <v>-2332878.4165103151</v>
      </c>
      <c r="R53">
        <f t="shared" ref="R53" si="242">R54+Q53</f>
        <v>-4261780250.7768784</v>
      </c>
      <c r="S53">
        <f t="shared" ref="S53" si="243">R53/100000</f>
        <v>-42617.802507768785</v>
      </c>
      <c r="T53">
        <f t="shared" ref="T53" si="244">S53/1000</f>
        <v>-42.617802507768786</v>
      </c>
    </row>
    <row r="54" spans="1:20" x14ac:dyDescent="0.25">
      <c r="A54" s="5">
        <v>44539</v>
      </c>
      <c r="B54">
        <v>0.94810000000000005</v>
      </c>
      <c r="C54">
        <v>0.95430000000000004</v>
      </c>
      <c r="D54">
        <v>0.82269999999999999</v>
      </c>
      <c r="E54">
        <v>0.82499999999999996</v>
      </c>
      <c r="F54">
        <v>3129038</v>
      </c>
      <c r="G54">
        <v>0.82499999999999996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-0.96504559270516765</v>
      </c>
      <c r="Q54">
        <f t="shared" ref="Q54" si="246">F54*P54</f>
        <v>-3019664.3313069926</v>
      </c>
      <c r="R54">
        <f t="shared" ref="R54" si="247">R55+Q54</f>
        <v>-4259447372.3603683</v>
      </c>
      <c r="S54">
        <f t="shared" ref="S54" si="248">R54/100000</f>
        <v>-42594.473723603682</v>
      </c>
      <c r="T54">
        <f t="shared" ref="T54" si="249">S54/1000</f>
        <v>-42.594473723603684</v>
      </c>
    </row>
    <row r="55" spans="1:20" x14ac:dyDescent="0.25">
      <c r="A55" s="5">
        <v>44538</v>
      </c>
      <c r="B55">
        <v>0.95779999999999998</v>
      </c>
      <c r="C55">
        <v>0.97070000000000001</v>
      </c>
      <c r="D55">
        <v>0.89570000000000005</v>
      </c>
      <c r="E55">
        <v>0.94799999999999995</v>
      </c>
      <c r="F55">
        <v>4011011</v>
      </c>
      <c r="G55">
        <v>0.94799999999999995</v>
      </c>
      <c r="L55" t="s">
        <v>7</v>
      </c>
      <c r="M55" t="s">
        <v>7</v>
      </c>
      <c r="N55" t="s">
        <v>8</v>
      </c>
      <c r="P55">
        <f t="shared" ref="P55" si="250">IF(C55=D55,0,((E55-D55)-(C55-E55))/(C55-D55))</f>
        <v>0.39466666666666489</v>
      </c>
      <c r="Q55">
        <f t="shared" ref="Q55" si="251">F55*P55</f>
        <v>1583012.3413333262</v>
      </c>
      <c r="R55">
        <f t="shared" ref="R55" si="252">R56+Q55</f>
        <v>-4256427708.0290613</v>
      </c>
      <c r="S55">
        <f t="shared" ref="S55" si="253">R55/100000</f>
        <v>-42564.277080290616</v>
      </c>
      <c r="T55">
        <f t="shared" ref="T55" si="254">S55/1000</f>
        <v>-42.564277080290616</v>
      </c>
    </row>
    <row r="56" spans="1:20" x14ac:dyDescent="0.25">
      <c r="A56" s="5">
        <v>44537</v>
      </c>
      <c r="B56">
        <v>0.98850000000000005</v>
      </c>
      <c r="C56">
        <v>1.0502</v>
      </c>
      <c r="D56">
        <v>0.94530000000000003</v>
      </c>
      <c r="E56">
        <v>0.95760000000000001</v>
      </c>
      <c r="F56">
        <v>6378380</v>
      </c>
      <c r="G56">
        <v>0.95760000000000001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-0.7654909437559585</v>
      </c>
      <c r="Q56">
        <f t="shared" ref="Q56" si="256">F56*P56</f>
        <v>-4882592.1258341307</v>
      </c>
      <c r="R56">
        <f t="shared" ref="R56" si="257">R57+Q56</f>
        <v>-4258010720.3703947</v>
      </c>
      <c r="S56">
        <f t="shared" ref="S56" si="258">R56/100000</f>
        <v>-42580.107203703948</v>
      </c>
      <c r="T56">
        <f t="shared" ref="T56" si="259">S56/1000</f>
        <v>-42.580107203703946</v>
      </c>
    </row>
    <row r="57" spans="1:20" x14ac:dyDescent="0.25">
      <c r="A57" s="5">
        <v>44536</v>
      </c>
      <c r="B57">
        <v>0.95940000000000003</v>
      </c>
      <c r="C57">
        <v>1.1000000000000001</v>
      </c>
      <c r="D57">
        <v>0.91420000000000001</v>
      </c>
      <c r="E57">
        <v>0.99039999999999995</v>
      </c>
      <c r="F57">
        <v>21347483</v>
      </c>
      <c r="G57">
        <v>0.99039999999999995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-0.17976318622174486</v>
      </c>
      <c r="Q57">
        <f t="shared" ref="Q57" si="261">F57*P57</f>
        <v>-3837491.5618945328</v>
      </c>
      <c r="R57">
        <f t="shared" ref="R57" si="262">R58+Q57</f>
        <v>-4253128128.2445607</v>
      </c>
      <c r="S57">
        <f t="shared" ref="S57" si="263">R57/100000</f>
        <v>-42531.281282445605</v>
      </c>
      <c r="T57">
        <f t="shared" ref="T57" si="264">S57/1000</f>
        <v>-42.531281282445605</v>
      </c>
    </row>
    <row r="58" spans="1:20" x14ac:dyDescent="0.25">
      <c r="A58" s="5">
        <v>44535</v>
      </c>
      <c r="B58">
        <v>0.88490000000000002</v>
      </c>
      <c r="C58">
        <v>1.1299999999999999</v>
      </c>
      <c r="D58">
        <v>0.85540000000000005</v>
      </c>
      <c r="E58">
        <v>0.95830000000000004</v>
      </c>
      <c r="F58">
        <v>21326324</v>
      </c>
      <c r="G58">
        <v>0.95830000000000004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-0.25054624908958451</v>
      </c>
      <c r="Q58">
        <f t="shared" ref="Q58" si="266">F58*P58</f>
        <v>-5343230.4850691846</v>
      </c>
      <c r="R58">
        <f t="shared" ref="R58" si="267">R59+Q58</f>
        <v>-4249290636.6826663</v>
      </c>
      <c r="S58">
        <f t="shared" ref="S58" si="268">R58/100000</f>
        <v>-42492.906366826661</v>
      </c>
      <c r="T58">
        <f t="shared" ref="T58" si="269">S58/1000</f>
        <v>-42.492906366826659</v>
      </c>
    </row>
    <row r="59" spans="1:20" x14ac:dyDescent="0.25">
      <c r="A59" s="5">
        <v>44534</v>
      </c>
      <c r="B59">
        <v>1.167</v>
      </c>
      <c r="C59">
        <v>1.1676</v>
      </c>
      <c r="D59">
        <v>0.72489999999999999</v>
      </c>
      <c r="E59">
        <v>0.88370000000000004</v>
      </c>
      <c r="F59">
        <v>9633580</v>
      </c>
      <c r="G59">
        <v>0.88370000000000004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-0.28258414276033406</v>
      </c>
      <c r="Q59">
        <f t="shared" ref="Q59" si="271">F59*P59</f>
        <v>-2722296.946013099</v>
      </c>
      <c r="R59">
        <f t="shared" ref="R59" si="272">R60+Q59</f>
        <v>-4243947406.197597</v>
      </c>
      <c r="S59">
        <f t="shared" ref="S59" si="273">R59/100000</f>
        <v>-42439.474061975969</v>
      </c>
      <c r="T59">
        <f t="shared" ref="T59" si="274">S59/1000</f>
        <v>-42.439474061975972</v>
      </c>
    </row>
    <row r="60" spans="1:20" x14ac:dyDescent="0.25">
      <c r="A60" s="5">
        <v>44533</v>
      </c>
      <c r="B60">
        <v>1.0153000000000001</v>
      </c>
      <c r="C60">
        <v>1.3666</v>
      </c>
      <c r="D60">
        <v>0.99</v>
      </c>
      <c r="E60">
        <v>1.1653</v>
      </c>
      <c r="F60">
        <v>28888952</v>
      </c>
      <c r="G60">
        <v>1.1653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-6.903876792352634E-2</v>
      </c>
      <c r="Q60">
        <f t="shared" ref="Q60" si="276">F60*P60</f>
        <v>-1994457.652681892</v>
      </c>
      <c r="R60">
        <f t="shared" ref="R60" si="277">R61+Q60</f>
        <v>-4241225109.2515841</v>
      </c>
      <c r="S60">
        <f t="shared" ref="S60" si="278">R60/100000</f>
        <v>-42412.251092515842</v>
      </c>
      <c r="T60">
        <f t="shared" ref="T60" si="279">S60/1000</f>
        <v>-42.412251092515845</v>
      </c>
    </row>
    <row r="61" spans="1:20" x14ac:dyDescent="0.25">
      <c r="A61" s="5">
        <v>44532</v>
      </c>
      <c r="B61">
        <v>1.05</v>
      </c>
      <c r="C61">
        <v>1.07</v>
      </c>
      <c r="D61">
        <v>0.98009999999999997</v>
      </c>
      <c r="E61">
        <v>1.0122</v>
      </c>
      <c r="F61">
        <v>6030309</v>
      </c>
      <c r="G61">
        <v>1.0122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-0.28587319243604037</v>
      </c>
      <c r="Q61">
        <f t="shared" ref="Q61" si="281">F61*P61</f>
        <v>-1723903.6852057863</v>
      </c>
      <c r="R61">
        <f t="shared" ref="R61" si="282">R62+Q61</f>
        <v>-4239230651.5989022</v>
      </c>
      <c r="S61">
        <f t="shared" ref="S61" si="283">R61/100000</f>
        <v>-42392.306515989025</v>
      </c>
      <c r="T61">
        <f t="shared" ref="T61" si="284">S61/1000</f>
        <v>-42.392306515989027</v>
      </c>
    </row>
    <row r="62" spans="1:20" x14ac:dyDescent="0.25">
      <c r="A62" s="5">
        <v>44531</v>
      </c>
      <c r="B62">
        <v>1.0640000000000001</v>
      </c>
      <c r="C62">
        <v>1.1032</v>
      </c>
      <c r="D62">
        <v>1.0341</v>
      </c>
      <c r="E62">
        <v>1.0494000000000001</v>
      </c>
      <c r="F62">
        <v>4721329</v>
      </c>
      <c r="G62">
        <v>1.0494000000000001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-0.55716353111432404</v>
      </c>
      <c r="Q62">
        <f t="shared" ref="Q62" si="286">F62*P62</f>
        <v>-2630552.3371924604</v>
      </c>
      <c r="R62">
        <f t="shared" ref="R62" si="287">R63+Q62</f>
        <v>-4237506747.9136963</v>
      </c>
      <c r="S62">
        <f t="shared" ref="S62" si="288">R62/100000</f>
        <v>-42375.06747913696</v>
      </c>
      <c r="T62">
        <f t="shared" ref="T62" si="289">S62/1000</f>
        <v>-42.375067479136959</v>
      </c>
    </row>
    <row r="63" spans="1:20" x14ac:dyDescent="0.25">
      <c r="A63" s="5">
        <v>44530</v>
      </c>
      <c r="B63">
        <v>1.1132</v>
      </c>
      <c r="C63">
        <v>1.1738999999999999</v>
      </c>
      <c r="D63">
        <v>1.0383</v>
      </c>
      <c r="E63">
        <v>1.0627</v>
      </c>
      <c r="F63">
        <v>12905918</v>
      </c>
      <c r="G63">
        <v>1.0627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-0.64011799410029513</v>
      </c>
      <c r="Q63">
        <f t="shared" ref="Q63" si="291">F63*P63</f>
        <v>-8261310.3421828924</v>
      </c>
      <c r="R63">
        <f t="shared" ref="R63" si="292">R64+Q63</f>
        <v>-4234876195.5765038</v>
      </c>
      <c r="S63">
        <f t="shared" ref="S63" si="293">R63/100000</f>
        <v>-42348.76195576504</v>
      </c>
      <c r="T63">
        <f t="shared" ref="T63" si="294">S63/1000</f>
        <v>-42.348761955765042</v>
      </c>
    </row>
    <row r="64" spans="1:20" x14ac:dyDescent="0.25">
      <c r="A64" s="5">
        <v>44529</v>
      </c>
      <c r="B64">
        <v>1.1772</v>
      </c>
      <c r="C64">
        <v>1.2975000000000001</v>
      </c>
      <c r="D64">
        <v>1.0978000000000001</v>
      </c>
      <c r="E64">
        <v>1.1132</v>
      </c>
      <c r="F64">
        <v>15595942</v>
      </c>
      <c r="G64">
        <v>1.1132</v>
      </c>
      <c r="L64" t="s">
        <v>7</v>
      </c>
      <c r="M64" t="s">
        <v>7</v>
      </c>
      <c r="N64" t="s">
        <v>7</v>
      </c>
      <c r="P64">
        <f t="shared" ref="P64" si="295">IF(C64=D64,0,((E64-D64)-(C64-E64))/(C64-D64))</f>
        <v>-0.84576865297947057</v>
      </c>
      <c r="Q64">
        <f t="shared" ref="Q64" si="296">F64*P64</f>
        <v>-13190558.85728595</v>
      </c>
      <c r="R64">
        <f t="shared" ref="R64" si="297">R65+Q64</f>
        <v>-4226614885.2343206</v>
      </c>
      <c r="S64">
        <f t="shared" ref="S64" si="298">R64/100000</f>
        <v>-42266.148852343205</v>
      </c>
      <c r="T64">
        <f t="shared" ref="T64" si="299">S64/1000</f>
        <v>-42.266148852343207</v>
      </c>
    </row>
    <row r="65" spans="1:20" x14ac:dyDescent="0.25">
      <c r="A65" s="5">
        <v>44528</v>
      </c>
      <c r="B65">
        <v>1.0467</v>
      </c>
      <c r="C65">
        <v>1.5153000000000001</v>
      </c>
      <c r="D65">
        <v>0.97970000000000002</v>
      </c>
      <c r="E65">
        <v>1.1791</v>
      </c>
      <c r="F65">
        <v>54828572</v>
      </c>
      <c r="G65">
        <v>1.1791</v>
      </c>
      <c r="L65" t="s">
        <v>8</v>
      </c>
      <c r="M65" t="s">
        <v>8</v>
      </c>
      <c r="N65" t="s">
        <v>8</v>
      </c>
      <c r="P65">
        <f t="shared" ref="P65" si="300">IF(C65=D65,0,((E65-D65)-(C65-E65))/(C65-D65))</f>
        <v>-0.25541448842419717</v>
      </c>
      <c r="Q65">
        <f t="shared" ref="Q65" si="301">F65*P65</f>
        <v>-14004011.668409262</v>
      </c>
      <c r="R65">
        <f t="shared" ref="R65" si="302">R66+Q65</f>
        <v>-4213424326.3770347</v>
      </c>
      <c r="S65">
        <f t="shared" ref="S65" si="303">R65/100000</f>
        <v>-42134.243263770346</v>
      </c>
      <c r="T65">
        <f t="shared" ref="T65" si="304">S65/1000</f>
        <v>-42.134243263770344</v>
      </c>
    </row>
    <row r="66" spans="1:20" x14ac:dyDescent="0.25">
      <c r="A66" s="5">
        <v>44527</v>
      </c>
      <c r="B66">
        <v>0.95020000000000004</v>
      </c>
      <c r="C66">
        <v>1.2250000000000001</v>
      </c>
      <c r="D66">
        <v>0.93520000000000003</v>
      </c>
      <c r="E66">
        <v>1.0467</v>
      </c>
      <c r="F66">
        <v>15869611</v>
      </c>
      <c r="G66">
        <v>1.0467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-0.23050379572118765</v>
      </c>
      <c r="Q66">
        <f t="shared" ref="Q66" si="306">F66*P66</f>
        <v>-3658005.5721187126</v>
      </c>
      <c r="R66">
        <f t="shared" ref="R66" si="307">R67+Q66</f>
        <v>-4199420314.7086253</v>
      </c>
      <c r="S66">
        <f t="shared" ref="S66" si="308">R66/100000</f>
        <v>-41994.203147086257</v>
      </c>
      <c r="T66">
        <f t="shared" ref="T66" si="309">S66/1000</f>
        <v>-41.994203147086253</v>
      </c>
    </row>
    <row r="67" spans="1:20" x14ac:dyDescent="0.25">
      <c r="A67" s="5">
        <v>44526</v>
      </c>
      <c r="B67">
        <v>1.0916999999999999</v>
      </c>
      <c r="C67">
        <v>1.0963000000000001</v>
      </c>
      <c r="D67">
        <v>0.89880000000000004</v>
      </c>
      <c r="E67">
        <v>0.94899999999999995</v>
      </c>
      <c r="F67">
        <v>8571350</v>
      </c>
      <c r="G67">
        <v>0.94899999999999995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-0.49164556962025407</v>
      </c>
      <c r="Q67">
        <f t="shared" ref="Q67" si="311">F67*P67</f>
        <v>-4214066.2531645652</v>
      </c>
      <c r="R67">
        <f t="shared" ref="R67" si="312">R68+Q67</f>
        <v>-4195762309.1365066</v>
      </c>
      <c r="S67">
        <f t="shared" ref="S67" si="313">R67/100000</f>
        <v>-41957.623091365065</v>
      </c>
      <c r="T67">
        <f t="shared" ref="T67" si="314">S67/1000</f>
        <v>-41.957623091365065</v>
      </c>
    </row>
    <row r="68" spans="1:20" x14ac:dyDescent="0.25">
      <c r="A68" s="5">
        <v>44525</v>
      </c>
      <c r="B68">
        <v>1.179</v>
      </c>
      <c r="C68">
        <v>1.2351000000000001</v>
      </c>
      <c r="D68">
        <v>1.0672999999999999</v>
      </c>
      <c r="E68">
        <v>1.093</v>
      </c>
      <c r="F68">
        <v>11230357</v>
      </c>
      <c r="G68">
        <v>1.093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-0.69368295589988049</v>
      </c>
      <c r="Q68">
        <f t="shared" ref="Q68" si="316">F68*P68</f>
        <v>-7790307.2395709138</v>
      </c>
      <c r="R68">
        <f t="shared" ref="R68" si="317">R69+Q68</f>
        <v>-4191548242.8833418</v>
      </c>
      <c r="S68">
        <f t="shared" ref="S68" si="318">R68/100000</f>
        <v>-41915.48242883342</v>
      </c>
      <c r="T68">
        <f t="shared" ref="T68" si="319">S68/1000</f>
        <v>-41.915482428833421</v>
      </c>
    </row>
    <row r="69" spans="1:20" x14ac:dyDescent="0.25">
      <c r="A69" s="5">
        <v>44524</v>
      </c>
      <c r="B69">
        <v>1.0952</v>
      </c>
      <c r="C69">
        <v>1.5684</v>
      </c>
      <c r="D69">
        <v>1.0803</v>
      </c>
      <c r="E69">
        <v>1.3227</v>
      </c>
      <c r="F69">
        <v>26738702</v>
      </c>
      <c r="G69">
        <v>1.3227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-6.7609096496621199E-3</v>
      </c>
      <c r="Q69">
        <f t="shared" ref="Q69" si="321">F69*P69</f>
        <v>-180777.94837123982</v>
      </c>
      <c r="R69">
        <f t="shared" ref="R69" si="322">R70+Q69</f>
        <v>-4183757935.6437707</v>
      </c>
      <c r="S69">
        <f t="shared" ref="S69" si="323">R69/100000</f>
        <v>-41837.579356437709</v>
      </c>
      <c r="T69">
        <f t="shared" ref="T69" si="324">S69/1000</f>
        <v>-41.837579356437708</v>
      </c>
    </row>
    <row r="70" spans="1:20" x14ac:dyDescent="0.25">
      <c r="A70" s="5">
        <v>44523</v>
      </c>
      <c r="B70">
        <v>1.016</v>
      </c>
      <c r="C70">
        <v>1.216</v>
      </c>
      <c r="D70">
        <v>0.98340000000000005</v>
      </c>
      <c r="E70">
        <v>1.0967</v>
      </c>
      <c r="F70">
        <v>18353873</v>
      </c>
      <c r="G70">
        <v>1.0967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-2.5795356835769594E-2</v>
      </c>
      <c r="Q70">
        <f t="shared" ref="Q70" si="326">F70*P70</f>
        <v>-473444.70335339697</v>
      </c>
      <c r="R70">
        <f t="shared" ref="R70" si="327">R71+Q70</f>
        <v>-4183577157.6953993</v>
      </c>
      <c r="S70">
        <f t="shared" ref="S70" si="328">R70/100000</f>
        <v>-41835.771576953994</v>
      </c>
      <c r="T70">
        <f t="shared" ref="T70" si="329">S70/1000</f>
        <v>-41.835771576953995</v>
      </c>
    </row>
    <row r="71" spans="1:20" x14ac:dyDescent="0.25">
      <c r="A71" s="5">
        <v>44522</v>
      </c>
      <c r="B71">
        <v>1.0111000000000001</v>
      </c>
      <c r="C71">
        <v>1.4159999999999999</v>
      </c>
      <c r="D71">
        <v>0.96509999999999996</v>
      </c>
      <c r="E71">
        <v>1.0158</v>
      </c>
      <c r="F71">
        <v>38914980</v>
      </c>
      <c r="G71">
        <v>1.0158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-0.77511643379906814</v>
      </c>
      <c r="Q71">
        <f t="shared" ref="Q71" si="331">F71*P71</f>
        <v>-30163640.518962059</v>
      </c>
      <c r="R71">
        <f t="shared" ref="R71" si="332">R72+Q71</f>
        <v>-4183103712.9920459</v>
      </c>
      <c r="S71">
        <f t="shared" ref="S71" si="333">R71/100000</f>
        <v>-41831.037129920456</v>
      </c>
      <c r="T71">
        <f t="shared" ref="T71" si="334">S71/1000</f>
        <v>-41.831037129920453</v>
      </c>
    </row>
    <row r="72" spans="1:20" x14ac:dyDescent="0.25">
      <c r="A72" s="5">
        <v>44521</v>
      </c>
      <c r="B72">
        <v>1.3169999999999999</v>
      </c>
      <c r="C72">
        <v>2.2000000000000002</v>
      </c>
      <c r="D72">
        <v>0.98750000000000004</v>
      </c>
      <c r="E72">
        <v>1.0102</v>
      </c>
      <c r="F72">
        <v>178346213.18900001</v>
      </c>
      <c r="G72">
        <v>1.0102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-0.96255670103092794</v>
      </c>
      <c r="Q72">
        <f t="shared" ref="Q72" si="336">F72*P72</f>
        <v>-171668342.60856241</v>
      </c>
      <c r="R72">
        <f t="shared" ref="R72" si="337">R73+Q72</f>
        <v>-4152940072.473084</v>
      </c>
      <c r="S72">
        <f t="shared" ref="S72" si="338">R72/100000</f>
        <v>-41529.40072473084</v>
      </c>
      <c r="T72">
        <f t="shared" ref="T72" si="339">S72/1000</f>
        <v>-41.529400724730841</v>
      </c>
    </row>
    <row r="73" spans="1:20" x14ac:dyDescent="0.25">
      <c r="A73" s="5">
        <v>44520</v>
      </c>
      <c r="B73">
        <v>0.71160000000000001</v>
      </c>
      <c r="C73">
        <v>1.8260000000000001</v>
      </c>
      <c r="D73">
        <v>0.70230000000000004</v>
      </c>
      <c r="E73">
        <v>1.3170999999999999</v>
      </c>
      <c r="F73">
        <v>119919096.588</v>
      </c>
      <c r="G73">
        <v>1.3170999999999999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9.4242235472100894E-2</v>
      </c>
      <c r="Q73">
        <f t="shared" ref="Q73" si="341">F73*P73</f>
        <v>11301443.738247907</v>
      </c>
      <c r="R73">
        <f t="shared" ref="R73" si="342">R74+Q73</f>
        <v>-3981271729.8645215</v>
      </c>
      <c r="S73">
        <f t="shared" ref="S73" si="343">R73/100000</f>
        <v>-39812.717298645213</v>
      </c>
      <c r="T73">
        <f t="shared" ref="T73" si="344">S73/1000</f>
        <v>-39.812717298645211</v>
      </c>
    </row>
    <row r="74" spans="1:20" x14ac:dyDescent="0.25">
      <c r="A74" s="5">
        <v>44519</v>
      </c>
      <c r="B74">
        <v>0.63929999999999998</v>
      </c>
      <c r="C74">
        <v>0.8</v>
      </c>
      <c r="D74">
        <v>0.629</v>
      </c>
      <c r="E74">
        <v>0.71150000000000002</v>
      </c>
      <c r="F74">
        <v>6403159</v>
      </c>
      <c r="G74">
        <v>0.71150000000000002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-3.508771929824564E-2</v>
      </c>
      <c r="Q74">
        <f t="shared" ref="Q74" si="346">F74*P74</f>
        <v>-224672.24561403526</v>
      </c>
      <c r="R74">
        <f t="shared" ref="R74" si="347">R75+Q74</f>
        <v>-3992573173.6027694</v>
      </c>
      <c r="S74">
        <f t="shared" ref="S74" si="348">R74/100000</f>
        <v>-39925.731736027694</v>
      </c>
      <c r="T74">
        <f t="shared" ref="T74" si="349">S74/1000</f>
        <v>-39.925731736027693</v>
      </c>
    </row>
    <row r="75" spans="1:20" x14ac:dyDescent="0.25">
      <c r="A75" s="5">
        <v>44518</v>
      </c>
      <c r="B75">
        <v>0.69099999999999995</v>
      </c>
      <c r="C75">
        <v>0.71209999999999996</v>
      </c>
      <c r="D75">
        <v>0.62590000000000001</v>
      </c>
      <c r="E75">
        <v>0.63829999999999998</v>
      </c>
      <c r="F75">
        <v>1378801</v>
      </c>
      <c r="G75">
        <v>0.63829999999999998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-0.71229698375870132</v>
      </c>
      <c r="Q75">
        <f t="shared" ref="Q75" si="351">F75*P75</f>
        <v>-982115.79350348108</v>
      </c>
      <c r="R75">
        <f t="shared" ref="R75" si="352">R76+Q75</f>
        <v>-3992348501.3571553</v>
      </c>
      <c r="S75">
        <f t="shared" ref="S75" si="353">R75/100000</f>
        <v>-39923.485013571553</v>
      </c>
      <c r="T75">
        <f t="shared" ref="T75" si="354">S75/1000</f>
        <v>-39.92348501357155</v>
      </c>
    </row>
    <row r="76" spans="1:20" x14ac:dyDescent="0.25">
      <c r="A76" s="5">
        <v>44517</v>
      </c>
      <c r="B76">
        <v>0.6673</v>
      </c>
      <c r="C76">
        <v>0.69499999999999995</v>
      </c>
      <c r="D76">
        <v>0.6552</v>
      </c>
      <c r="E76">
        <v>0.68889999999999996</v>
      </c>
      <c r="F76">
        <v>1214685</v>
      </c>
      <c r="G76">
        <v>0.68889999999999996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0.69346733668341698</v>
      </c>
      <c r="Q76">
        <f t="shared" ref="Q76" si="356">F76*P76</f>
        <v>842344.37185929634</v>
      </c>
      <c r="R76">
        <f t="shared" ref="R76" si="357">R77+Q76</f>
        <v>-3991366385.563652</v>
      </c>
      <c r="S76">
        <f t="shared" ref="S76" si="358">R76/100000</f>
        <v>-39913.663855636521</v>
      </c>
      <c r="T76">
        <f t="shared" ref="T76" si="359">S76/1000</f>
        <v>-39.913663855636521</v>
      </c>
    </row>
    <row r="77" spans="1:20" x14ac:dyDescent="0.25">
      <c r="A77" s="5">
        <v>44516</v>
      </c>
      <c r="B77">
        <v>0.70530000000000004</v>
      </c>
      <c r="C77">
        <v>0.70699999999999996</v>
      </c>
      <c r="D77">
        <v>0.6573</v>
      </c>
      <c r="E77">
        <v>0.66739999999999999</v>
      </c>
      <c r="F77">
        <v>2100760</v>
      </c>
      <c r="G77">
        <v>0.66739999999999999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-0.59356136820925531</v>
      </c>
      <c r="Q77">
        <f t="shared" ref="Q77" si="361">F77*P77</f>
        <v>-1246929.9798792752</v>
      </c>
      <c r="R77">
        <f t="shared" ref="R77" si="362">R78+Q77</f>
        <v>-3992208729.9355111</v>
      </c>
      <c r="S77">
        <f t="shared" ref="S77" si="363">R77/100000</f>
        <v>-39922.087299355109</v>
      </c>
      <c r="T77">
        <f t="shared" ref="T77" si="364">S77/1000</f>
        <v>-39.922087299355113</v>
      </c>
    </row>
    <row r="78" spans="1:20" x14ac:dyDescent="0.25">
      <c r="A78" s="5">
        <v>44515</v>
      </c>
      <c r="B78">
        <v>0.73819999999999997</v>
      </c>
      <c r="C78">
        <v>0.74270000000000003</v>
      </c>
      <c r="D78">
        <v>0.69589999999999996</v>
      </c>
      <c r="E78">
        <v>0.70609999999999995</v>
      </c>
      <c r="F78">
        <v>1905540</v>
      </c>
      <c r="G78">
        <v>0.70609999999999995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-0.56410256410256521</v>
      </c>
      <c r="Q78">
        <f t="shared" ref="Q78" si="366">F78*P78</f>
        <v>-1074920.0000000021</v>
      </c>
      <c r="R78">
        <f t="shared" ref="R78" si="367">R79+Q78</f>
        <v>-3990961799.9556317</v>
      </c>
      <c r="S78">
        <f t="shared" ref="S78" si="368">R78/100000</f>
        <v>-39909.617999556314</v>
      </c>
      <c r="T78">
        <f t="shared" ref="T78" si="369">S78/1000</f>
        <v>-39.909617999556318</v>
      </c>
    </row>
    <row r="79" spans="1:20" x14ac:dyDescent="0.25">
      <c r="A79" s="5">
        <v>44514</v>
      </c>
      <c r="B79">
        <v>0.76139999999999997</v>
      </c>
      <c r="C79">
        <v>0.77</v>
      </c>
      <c r="D79">
        <v>0.71299999999999997</v>
      </c>
      <c r="E79">
        <v>0.73750000000000004</v>
      </c>
      <c r="F79">
        <v>2057253</v>
      </c>
      <c r="G79">
        <v>0.73750000000000004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-0.14035087719298051</v>
      </c>
      <c r="Q79">
        <f t="shared" ref="Q79" si="371">F79*P79</f>
        <v>-288737.2631578907</v>
      </c>
      <c r="R79">
        <f t="shared" ref="R79" si="372">R80+Q79</f>
        <v>-3989886879.9556317</v>
      </c>
      <c r="S79">
        <f t="shared" ref="S79" si="373">R79/100000</f>
        <v>-39898.868799556316</v>
      </c>
      <c r="T79">
        <f t="shared" ref="T79" si="374">S79/1000</f>
        <v>-39.898868799556318</v>
      </c>
    </row>
    <row r="80" spans="1:20" x14ac:dyDescent="0.25">
      <c r="A80" s="5">
        <v>44513</v>
      </c>
      <c r="B80">
        <v>0.77629999999999999</v>
      </c>
      <c r="C80">
        <v>0.78610000000000002</v>
      </c>
      <c r="D80">
        <v>0.74199999999999999</v>
      </c>
      <c r="E80">
        <v>0.76190000000000002</v>
      </c>
      <c r="F80">
        <v>1709039</v>
      </c>
      <c r="G80">
        <v>0.76190000000000002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-9.7505668934239634E-2</v>
      </c>
      <c r="Q80">
        <f t="shared" ref="Q80" si="376">F80*P80</f>
        <v>-166640.99092970396</v>
      </c>
      <c r="R80">
        <f t="shared" ref="R80" si="377">R81+Q80</f>
        <v>-3989598142.6924739</v>
      </c>
      <c r="S80">
        <f t="shared" ref="S80" si="378">R80/100000</f>
        <v>-39895.981426924736</v>
      </c>
      <c r="T80">
        <f t="shared" ref="T80" si="379">S80/1000</f>
        <v>-39.895981426924735</v>
      </c>
    </row>
    <row r="81" spans="1:20" x14ac:dyDescent="0.25">
      <c r="A81" s="5">
        <v>44512</v>
      </c>
      <c r="B81">
        <v>0.72860000000000003</v>
      </c>
      <c r="C81">
        <v>0.84650000000000003</v>
      </c>
      <c r="D81">
        <v>0.72089999999999999</v>
      </c>
      <c r="E81">
        <v>0.77629999999999999</v>
      </c>
      <c r="F81">
        <v>5031101</v>
      </c>
      <c r="G81">
        <v>0.77629999999999999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-0.11783439490445884</v>
      </c>
      <c r="Q81">
        <f t="shared" ref="Q81" si="381">F81*P81</f>
        <v>-592836.74203821772</v>
      </c>
      <c r="R81">
        <f t="shared" ref="R81" si="382">R82+Q81</f>
        <v>-3989431501.7015443</v>
      </c>
      <c r="S81">
        <f t="shared" ref="S81" si="383">R81/100000</f>
        <v>-39894.31501701544</v>
      </c>
      <c r="T81">
        <f t="shared" ref="T81" si="384">S81/1000</f>
        <v>-39.894315017015444</v>
      </c>
    </row>
    <row r="82" spans="1:20" x14ac:dyDescent="0.25">
      <c r="A82" s="5">
        <v>44511</v>
      </c>
      <c r="B82">
        <v>0.70830000000000004</v>
      </c>
      <c r="C82">
        <v>0.74270000000000003</v>
      </c>
      <c r="D82">
        <v>0.70420000000000005</v>
      </c>
      <c r="E82">
        <v>0.72860000000000003</v>
      </c>
      <c r="F82">
        <v>1858293</v>
      </c>
      <c r="G82">
        <v>0.72860000000000003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0.26753246753246707</v>
      </c>
      <c r="Q82">
        <f t="shared" ref="Q82" si="386">F82*P82</f>
        <v>497153.71168831084</v>
      </c>
      <c r="R82">
        <f t="shared" ref="R82" si="387">R83+Q82</f>
        <v>-3988838664.959506</v>
      </c>
      <c r="S82">
        <f t="shared" ref="S82" si="388">R82/100000</f>
        <v>-39888.386649595057</v>
      </c>
      <c r="T82">
        <f t="shared" ref="T82" si="389">S82/1000</f>
        <v>-39.888386649595056</v>
      </c>
    </row>
    <row r="83" spans="1:20" x14ac:dyDescent="0.25">
      <c r="A83" s="5">
        <v>44510</v>
      </c>
      <c r="B83">
        <v>0.75590000000000002</v>
      </c>
      <c r="C83">
        <v>0.79679999999999995</v>
      </c>
      <c r="D83">
        <v>0.68130000000000002</v>
      </c>
      <c r="E83">
        <v>0.70850000000000002</v>
      </c>
      <c r="F83">
        <v>4742790</v>
      </c>
      <c r="G83">
        <v>0.70850000000000002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-0.5290043290043287</v>
      </c>
      <c r="Q83">
        <f t="shared" ref="Q83" si="391">F83*P83</f>
        <v>-2508956.4415584402</v>
      </c>
      <c r="R83">
        <f t="shared" ref="R83" si="392">R84+Q83</f>
        <v>-3989335818.6711946</v>
      </c>
      <c r="S83">
        <f t="shared" ref="S83" si="393">R83/100000</f>
        <v>-39893.358186711943</v>
      </c>
      <c r="T83">
        <f t="shared" ref="T83" si="394">S83/1000</f>
        <v>-39.893358186711943</v>
      </c>
    </row>
    <row r="84" spans="1:20" x14ac:dyDescent="0.25">
      <c r="A84" s="5">
        <v>44509</v>
      </c>
      <c r="B84">
        <v>0.71440000000000003</v>
      </c>
      <c r="C84">
        <v>0.86650000000000005</v>
      </c>
      <c r="D84">
        <v>0.69820000000000004</v>
      </c>
      <c r="E84">
        <v>0.75339999999999996</v>
      </c>
      <c r="F84">
        <v>12280994</v>
      </c>
      <c r="G84">
        <v>0.75339999999999996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-0.34402852049910976</v>
      </c>
      <c r="Q84">
        <f t="shared" ref="Q84" si="396">F84*P84</f>
        <v>-4225012.1960784439</v>
      </c>
      <c r="R84">
        <f t="shared" ref="R84" si="397">R85+Q84</f>
        <v>-3986826862.2296362</v>
      </c>
      <c r="S84">
        <f t="shared" ref="S84" si="398">R84/100000</f>
        <v>-39868.26862229636</v>
      </c>
      <c r="T84">
        <f t="shared" ref="T84" si="399">S84/1000</f>
        <v>-39.868268622296362</v>
      </c>
    </row>
    <row r="85" spans="1:20" x14ac:dyDescent="0.25">
      <c r="A85" s="5">
        <v>44508</v>
      </c>
      <c r="B85">
        <v>0.69420000000000004</v>
      </c>
      <c r="C85">
        <v>0.71830000000000005</v>
      </c>
      <c r="D85">
        <v>0.67559999999999998</v>
      </c>
      <c r="E85">
        <v>0.71519999999999995</v>
      </c>
      <c r="F85">
        <v>3286922</v>
      </c>
      <c r="G85">
        <v>0.71519999999999995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0.85480093676814528</v>
      </c>
      <c r="Q85">
        <f t="shared" ref="Q85" si="401">F85*P85</f>
        <v>2809664.0046838257</v>
      </c>
      <c r="R85">
        <f t="shared" ref="R85" si="402">R86+Q85</f>
        <v>-3982601850.0335579</v>
      </c>
      <c r="S85">
        <f t="shared" ref="S85" si="403">R85/100000</f>
        <v>-39826.01850033558</v>
      </c>
      <c r="T85">
        <f t="shared" ref="T85" si="404">S85/1000</f>
        <v>-39.826018500335579</v>
      </c>
    </row>
    <row r="86" spans="1:20" x14ac:dyDescent="0.25">
      <c r="A86" s="5">
        <v>44507</v>
      </c>
      <c r="B86">
        <v>0.6633</v>
      </c>
      <c r="C86">
        <v>0.7</v>
      </c>
      <c r="D86">
        <v>0.65700000000000003</v>
      </c>
      <c r="E86">
        <v>0.69389999999999996</v>
      </c>
      <c r="F86">
        <v>1937614</v>
      </c>
      <c r="G86">
        <v>0.69389999999999996</v>
      </c>
      <c r="L86" t="s">
        <v>7</v>
      </c>
      <c r="M86" t="s">
        <v>8</v>
      </c>
      <c r="N86" t="s">
        <v>7</v>
      </c>
      <c r="P86">
        <f t="shared" ref="P86" si="405">IF(C86=D86,0,((E86-D86)-(C86-E86))/(C86-D86))</f>
        <v>0.7162790697674416</v>
      </c>
      <c r="Q86">
        <f t="shared" ref="Q86" si="406">F86*P86</f>
        <v>1387872.3534883715</v>
      </c>
      <c r="R86">
        <f t="shared" ref="R86" si="407">R87+Q86</f>
        <v>-3985411514.0382419</v>
      </c>
      <c r="S86">
        <f t="shared" ref="S86" si="408">R86/100000</f>
        <v>-39854.115140382419</v>
      </c>
      <c r="T86">
        <f t="shared" ref="T86" si="409">S86/1000</f>
        <v>-39.854115140382419</v>
      </c>
    </row>
    <row r="87" spans="1:20" x14ac:dyDescent="0.25">
      <c r="A87" s="5">
        <v>44506</v>
      </c>
      <c r="B87">
        <v>0.67630000000000001</v>
      </c>
      <c r="C87">
        <v>0.68400000000000005</v>
      </c>
      <c r="D87">
        <v>0.64800000000000002</v>
      </c>
      <c r="E87">
        <v>0.66249999999999998</v>
      </c>
      <c r="F87">
        <v>913338</v>
      </c>
      <c r="G87">
        <v>0.66249999999999998</v>
      </c>
      <c r="L87" t="s">
        <v>7</v>
      </c>
      <c r="M87" t="s">
        <v>8</v>
      </c>
      <c r="N87" t="s">
        <v>7</v>
      </c>
      <c r="P87">
        <f t="shared" ref="P87" si="410">IF(C87=D87,0,((E87-D87)-(C87-E87))/(C87-D87))</f>
        <v>-0.19444444444444753</v>
      </c>
      <c r="Q87">
        <f t="shared" ref="Q87" si="411">F87*P87</f>
        <v>-177593.50000000282</v>
      </c>
      <c r="R87">
        <f t="shared" ref="R87" si="412">R88+Q87</f>
        <v>-3986799386.3917303</v>
      </c>
      <c r="S87">
        <f t="shared" ref="S87" si="413">R87/100000</f>
        <v>-39867.993863917305</v>
      </c>
      <c r="T87">
        <f t="shared" ref="T87" si="414">S87/1000</f>
        <v>-39.867993863917306</v>
      </c>
    </row>
    <row r="88" spans="1:20" x14ac:dyDescent="0.25">
      <c r="A88" s="5">
        <v>44505</v>
      </c>
      <c r="B88">
        <v>0.70889999999999997</v>
      </c>
      <c r="C88">
        <v>0.71989999999999998</v>
      </c>
      <c r="D88">
        <v>0.66220000000000001</v>
      </c>
      <c r="E88">
        <v>0.67410000000000003</v>
      </c>
      <c r="F88">
        <v>2380139</v>
      </c>
      <c r="G88">
        <v>0.67410000000000003</v>
      </c>
      <c r="L88" t="s">
        <v>8</v>
      </c>
      <c r="M88" t="s">
        <v>8</v>
      </c>
      <c r="N88" t="s">
        <v>7</v>
      </c>
      <c r="P88">
        <f t="shared" ref="P88" si="415">IF(C88=D88,0,((E88-D88)-(C88-E88))/(C88-D88))</f>
        <v>-0.58752166377816195</v>
      </c>
      <c r="Q88">
        <f t="shared" ref="Q88" si="416">F88*P88</f>
        <v>-1398383.2253032906</v>
      </c>
      <c r="R88">
        <f t="shared" ref="R88" si="417">R89+Q88</f>
        <v>-3986621792.8917303</v>
      </c>
      <c r="S88">
        <f t="shared" ref="S88" si="418">R88/100000</f>
        <v>-39866.2179289173</v>
      </c>
      <c r="T88">
        <f t="shared" ref="T88" si="419">S88/1000</f>
        <v>-39.866217928917301</v>
      </c>
    </row>
    <row r="89" spans="1:20" x14ac:dyDescent="0.25">
      <c r="A89" s="5">
        <v>44504</v>
      </c>
      <c r="B89">
        <v>0.66949999999999998</v>
      </c>
      <c r="C89">
        <v>0.70889999999999997</v>
      </c>
      <c r="D89">
        <v>0.6623</v>
      </c>
      <c r="E89">
        <v>0.7087</v>
      </c>
      <c r="F89">
        <v>2493802</v>
      </c>
      <c r="G89">
        <v>0.7087</v>
      </c>
      <c r="L89" t="s">
        <v>8</v>
      </c>
      <c r="M89" t="s">
        <v>8</v>
      </c>
      <c r="N89" t="s">
        <v>7</v>
      </c>
      <c r="P89">
        <f t="shared" ref="P89" si="420">IF(C89=D89,0,((E89-D89)-(C89-E89))/(C89-D89))</f>
        <v>0.99141630901287647</v>
      </c>
      <c r="Q89">
        <f t="shared" ref="Q89" si="421">F89*P89</f>
        <v>2472395.9742489294</v>
      </c>
      <c r="R89">
        <f t="shared" ref="R89" si="422">R90+Q89</f>
        <v>-3985223409.6664271</v>
      </c>
      <c r="S89">
        <f t="shared" ref="S89" si="423">R89/100000</f>
        <v>-39852.234096664273</v>
      </c>
      <c r="T89">
        <f t="shared" ref="T89" si="424">S89/1000</f>
        <v>-39.852234096664276</v>
      </c>
    </row>
    <row r="90" spans="1:20" x14ac:dyDescent="0.25">
      <c r="A90" s="5">
        <v>44503</v>
      </c>
      <c r="B90">
        <v>0.66920000000000002</v>
      </c>
      <c r="C90">
        <v>0.67679999999999996</v>
      </c>
      <c r="D90">
        <v>0.6371</v>
      </c>
      <c r="E90">
        <v>0.66639999999999999</v>
      </c>
      <c r="F90">
        <v>2346874</v>
      </c>
      <c r="G90">
        <v>0.66639999999999999</v>
      </c>
      <c r="L90" t="s">
        <v>7</v>
      </c>
      <c r="M90" t="s">
        <v>8</v>
      </c>
      <c r="N90" t="s">
        <v>7</v>
      </c>
      <c r="P90">
        <f t="shared" ref="P90" si="425">IF(C90=D90,0,((E90-D90)-(C90-E90))/(C90-D90))</f>
        <v>0.4760705289672556</v>
      </c>
      <c r="Q90">
        <f t="shared" ref="Q90" si="426">F90*P90</f>
        <v>1117277.5465994989</v>
      </c>
      <c r="R90">
        <f t="shared" ref="R90" si="427">R91+Q90</f>
        <v>-3987695805.640676</v>
      </c>
      <c r="S90">
        <f t="shared" ref="S90" si="428">R90/100000</f>
        <v>-39876.958056406758</v>
      </c>
      <c r="T90">
        <f t="shared" ref="T90" si="429">S90/1000</f>
        <v>-39.876958056406757</v>
      </c>
    </row>
    <row r="91" spans="1:20" x14ac:dyDescent="0.25">
      <c r="A91" s="5">
        <v>44502</v>
      </c>
      <c r="B91">
        <v>0.65580000000000005</v>
      </c>
      <c r="C91">
        <v>0.67330000000000001</v>
      </c>
      <c r="D91">
        <v>0.65010000000000001</v>
      </c>
      <c r="E91">
        <v>0.66949999999999998</v>
      </c>
      <c r="F91">
        <v>1714271</v>
      </c>
      <c r="G91">
        <v>0.66949999999999998</v>
      </c>
      <c r="L91" t="s">
        <v>7</v>
      </c>
      <c r="M91" t="s">
        <v>8</v>
      </c>
      <c r="N91" t="s">
        <v>7</v>
      </c>
      <c r="P91">
        <f t="shared" ref="P91" si="430">IF(C91=D91,0,((E91-D91)-(C91-E91))/(C91-D91))</f>
        <v>0.67241379310344607</v>
      </c>
      <c r="Q91">
        <f t="shared" ref="Q91" si="431">F91*P91</f>
        <v>1152699.4655172375</v>
      </c>
      <c r="R91">
        <f t="shared" ref="R91" si="432">R92+Q91</f>
        <v>-3988813083.1872754</v>
      </c>
      <c r="S91">
        <f t="shared" ref="S91" si="433">R91/100000</f>
        <v>-39888.130831872753</v>
      </c>
      <c r="T91">
        <f t="shared" ref="T91" si="434">S91/1000</f>
        <v>-39.888130831872751</v>
      </c>
    </row>
    <row r="92" spans="1:20" x14ac:dyDescent="0.25">
      <c r="A92" s="5">
        <v>44501</v>
      </c>
      <c r="B92">
        <v>0.64990000000000003</v>
      </c>
      <c r="C92">
        <v>0.72</v>
      </c>
      <c r="D92">
        <v>0.63649999999999995</v>
      </c>
      <c r="E92">
        <v>0.65549999999999997</v>
      </c>
      <c r="F92">
        <v>4376360</v>
      </c>
      <c r="G92">
        <v>0.65549999999999997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-0.54491017964071831</v>
      </c>
      <c r="Q92">
        <f t="shared" ref="Q92" si="436">F92*P92</f>
        <v>-2384723.1137724537</v>
      </c>
      <c r="R92">
        <f t="shared" ref="R92" si="437">R93+Q92</f>
        <v>-3989965782.6527925</v>
      </c>
      <c r="S92">
        <f t="shared" ref="S92" si="438">R92/100000</f>
        <v>-39899.657826527924</v>
      </c>
      <c r="T92">
        <f t="shared" ref="T92" si="439">S92/1000</f>
        <v>-39.899657826527921</v>
      </c>
    </row>
    <row r="93" spans="1:20" x14ac:dyDescent="0.25">
      <c r="A93" s="5">
        <v>44500</v>
      </c>
      <c r="B93">
        <v>0.63939999999999997</v>
      </c>
      <c r="C93">
        <v>0.6653</v>
      </c>
      <c r="D93">
        <v>0.62370000000000003</v>
      </c>
      <c r="E93">
        <v>0.64990000000000003</v>
      </c>
      <c r="F93">
        <v>1772834</v>
      </c>
      <c r="G93">
        <v>0.64990000000000003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0.25961538461538558</v>
      </c>
      <c r="Q93">
        <f t="shared" ref="Q93" si="441">F93*P93</f>
        <v>460254.9807692325</v>
      </c>
      <c r="R93">
        <f t="shared" ref="R93" si="442">R94+Q93</f>
        <v>-3987581059.5390201</v>
      </c>
      <c r="S93">
        <f t="shared" ref="S93" si="443">R93/100000</f>
        <v>-39875.810595390198</v>
      </c>
      <c r="T93">
        <f t="shared" ref="T93" si="444">S93/1000</f>
        <v>-39.875810595390199</v>
      </c>
    </row>
    <row r="94" spans="1:20" x14ac:dyDescent="0.25">
      <c r="A94" s="5">
        <v>44499</v>
      </c>
      <c r="B94">
        <v>0.67079999999999995</v>
      </c>
      <c r="C94">
        <v>0.67090000000000005</v>
      </c>
      <c r="D94">
        <v>0.62549999999999994</v>
      </c>
      <c r="E94">
        <v>0.63970000000000005</v>
      </c>
      <c r="F94">
        <v>1636459</v>
      </c>
      <c r="G94">
        <v>0.63970000000000005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-0.37444933920704548</v>
      </c>
      <c r="Q94">
        <f t="shared" ref="Q94" si="446">F94*P94</f>
        <v>-612770.99118942244</v>
      </c>
      <c r="R94">
        <f t="shared" ref="R94" si="447">R95+Q94</f>
        <v>-3988041314.5197892</v>
      </c>
      <c r="S94">
        <f t="shared" ref="S94" si="448">R94/100000</f>
        <v>-39880.41314519789</v>
      </c>
      <c r="T94">
        <f t="shared" ref="T94" si="449">S94/1000</f>
        <v>-39.880413145197892</v>
      </c>
    </row>
    <row r="95" spans="1:20" x14ac:dyDescent="0.25">
      <c r="A95" s="5">
        <v>44498</v>
      </c>
      <c r="B95">
        <v>0.63690000000000002</v>
      </c>
      <c r="C95">
        <v>0.67249999999999999</v>
      </c>
      <c r="D95">
        <v>0.6331</v>
      </c>
      <c r="E95">
        <v>0.66859999999999997</v>
      </c>
      <c r="F95">
        <v>1737629</v>
      </c>
      <c r="G95">
        <v>0.66859999999999997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0.80203045685279106</v>
      </c>
      <c r="Q95">
        <f t="shared" ref="Q95" si="451">F95*P95</f>
        <v>1393631.3807106584</v>
      </c>
      <c r="R95">
        <f t="shared" ref="R95" si="452">R96+Q95</f>
        <v>-3987428543.5285997</v>
      </c>
      <c r="S95">
        <f t="shared" ref="S95" si="453">R95/100000</f>
        <v>-39874.285435285994</v>
      </c>
      <c r="T95">
        <f t="shared" ref="T95" si="454">S95/1000</f>
        <v>-39.874285435285991</v>
      </c>
    </row>
    <row r="96" spans="1:20" x14ac:dyDescent="0.25">
      <c r="A96" s="5">
        <v>44497</v>
      </c>
      <c r="B96">
        <v>0.62070000000000003</v>
      </c>
      <c r="C96">
        <v>0.64510000000000001</v>
      </c>
      <c r="D96">
        <v>0.60109999999999997</v>
      </c>
      <c r="E96">
        <v>0.63500000000000001</v>
      </c>
      <c r="F96">
        <v>1648950</v>
      </c>
      <c r="G96">
        <v>0.63500000000000001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0.54090909090909145</v>
      </c>
      <c r="Q96">
        <f t="shared" ref="Q96" si="456">F96*P96</f>
        <v>891932.04545454634</v>
      </c>
      <c r="R96">
        <f t="shared" ref="R96" si="457">R97+Q96</f>
        <v>-3988822174.9093103</v>
      </c>
      <c r="S96">
        <f t="shared" ref="S96" si="458">R96/100000</f>
        <v>-39888.2217490931</v>
      </c>
      <c r="T96">
        <f t="shared" ref="T96" si="459">S96/1000</f>
        <v>-39.888221749093098</v>
      </c>
    </row>
    <row r="97" spans="1:20" x14ac:dyDescent="0.25">
      <c r="A97" s="5">
        <v>44496</v>
      </c>
      <c r="B97">
        <v>0.6613</v>
      </c>
      <c r="C97">
        <v>0.69499999999999995</v>
      </c>
      <c r="D97">
        <v>0.61</v>
      </c>
      <c r="E97">
        <v>0.61890000000000001</v>
      </c>
      <c r="F97">
        <v>4616060</v>
      </c>
      <c r="G97">
        <v>0.61890000000000001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-0.79058823529411715</v>
      </c>
      <c r="Q97">
        <f t="shared" ref="Q97" si="461">F97*P97</f>
        <v>-3649402.7294117622</v>
      </c>
      <c r="R97">
        <f t="shared" ref="R97" si="462">R98+Q97</f>
        <v>-3989714106.9547648</v>
      </c>
      <c r="S97">
        <f t="shared" ref="S97" si="463">R97/100000</f>
        <v>-39897.141069547652</v>
      </c>
      <c r="T97">
        <f t="shared" ref="T97" si="464">S97/1000</f>
        <v>-39.897141069547651</v>
      </c>
    </row>
    <row r="98" spans="1:20" x14ac:dyDescent="0.25">
      <c r="A98" s="5">
        <v>44495</v>
      </c>
      <c r="B98">
        <v>0.68049999999999999</v>
      </c>
      <c r="C98">
        <v>0.68869999999999998</v>
      </c>
      <c r="D98">
        <v>0.65720000000000001</v>
      </c>
      <c r="E98">
        <v>0.6613</v>
      </c>
      <c r="F98">
        <v>2652816</v>
      </c>
      <c r="G98">
        <v>0.6613</v>
      </c>
      <c r="L98" t="s">
        <v>7</v>
      </c>
      <c r="M98" t="s">
        <v>7</v>
      </c>
      <c r="N98" t="s">
        <v>7</v>
      </c>
      <c r="P98">
        <f t="shared" ref="P98" si="465">IF(C98=D98,0,((E98-D98)-(C98-E98))/(C98-D98))</f>
        <v>-0.73968253968253994</v>
      </c>
      <c r="Q98">
        <f t="shared" ref="Q98" si="466">F98*P98</f>
        <v>-1962241.6761904769</v>
      </c>
      <c r="R98">
        <f t="shared" ref="R98" si="467">R99+Q98</f>
        <v>-3986064704.2253532</v>
      </c>
      <c r="S98">
        <f t="shared" ref="S98" si="468">R98/100000</f>
        <v>-39860.647042253535</v>
      </c>
      <c r="T98">
        <f t="shared" ref="T98" si="469">S98/1000</f>
        <v>-39.860647042253532</v>
      </c>
    </row>
    <row r="99" spans="1:20" x14ac:dyDescent="0.25">
      <c r="A99" s="5">
        <v>44494</v>
      </c>
      <c r="B99">
        <v>0.66710000000000003</v>
      </c>
      <c r="C99">
        <v>0.69540000000000002</v>
      </c>
      <c r="D99">
        <v>0.66539999999999999</v>
      </c>
      <c r="E99">
        <v>0.6804</v>
      </c>
      <c r="F99">
        <v>1142005</v>
      </c>
      <c r="G99">
        <v>0.6804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</v>
      </c>
      <c r="Q99">
        <f t="shared" ref="Q99" si="471">F99*P99</f>
        <v>0</v>
      </c>
      <c r="R99">
        <f t="shared" ref="R99" si="472">R100+Q99</f>
        <v>-3984102462.5491629</v>
      </c>
      <c r="S99">
        <f t="shared" ref="S99" si="473">R99/100000</f>
        <v>-39841.024625491627</v>
      </c>
      <c r="T99">
        <f t="shared" ref="T99" si="474">S99/1000</f>
        <v>-39.841024625491627</v>
      </c>
    </row>
    <row r="100" spans="1:20" x14ac:dyDescent="0.25">
      <c r="A100" s="5">
        <v>44493</v>
      </c>
      <c r="B100">
        <v>0.70199999999999996</v>
      </c>
      <c r="C100">
        <v>0.70620000000000005</v>
      </c>
      <c r="D100">
        <v>0.65149999999999997</v>
      </c>
      <c r="E100">
        <v>0.66539999999999999</v>
      </c>
      <c r="F100">
        <v>1806583</v>
      </c>
      <c r="G100">
        <v>0.66539999999999999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-0.49177330895795235</v>
      </c>
      <c r="Q100">
        <f t="shared" ref="Q100" si="476">F100*P100</f>
        <v>-888429.29981718445</v>
      </c>
      <c r="R100">
        <f t="shared" ref="R100" si="477">R101+Q100</f>
        <v>-3984102462.5491629</v>
      </c>
      <c r="S100">
        <f t="shared" ref="S100" si="478">R100/100000</f>
        <v>-39841.024625491627</v>
      </c>
      <c r="T100">
        <f t="shared" ref="T100" si="479">S100/1000</f>
        <v>-39.841024625491627</v>
      </c>
    </row>
    <row r="101" spans="1:20" x14ac:dyDescent="0.25">
      <c r="A101" s="5">
        <v>44492</v>
      </c>
      <c r="B101">
        <v>0.70050000000000001</v>
      </c>
      <c r="C101">
        <v>0.74909999999999999</v>
      </c>
      <c r="D101">
        <v>0.69120000000000004</v>
      </c>
      <c r="E101">
        <v>0.70069999999999999</v>
      </c>
      <c r="F101">
        <v>1569638</v>
      </c>
      <c r="G101">
        <v>0.70069999999999999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-0.67184801381692705</v>
      </c>
      <c r="Q101">
        <f t="shared" ref="Q101" si="481">F101*P101</f>
        <v>-1054558.1727115738</v>
      </c>
      <c r="R101">
        <f t="shared" ref="R101" si="482">R102+Q101</f>
        <v>-3983214033.2493458</v>
      </c>
      <c r="S101">
        <f t="shared" ref="S101" si="483">R101/100000</f>
        <v>-39832.140332493458</v>
      </c>
      <c r="T101">
        <f t="shared" ref="T101" si="484">S101/1000</f>
        <v>-39.832140332493459</v>
      </c>
    </row>
    <row r="102" spans="1:20" x14ac:dyDescent="0.25">
      <c r="A102" s="5">
        <v>44491</v>
      </c>
      <c r="B102">
        <v>0.68279999999999996</v>
      </c>
      <c r="C102">
        <v>0.76280000000000003</v>
      </c>
      <c r="D102">
        <v>0.67469999999999997</v>
      </c>
      <c r="E102">
        <v>0.69840000000000002</v>
      </c>
      <c r="F102">
        <v>3417943</v>
      </c>
      <c r="G102">
        <v>0.69840000000000002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-0.46197502837684368</v>
      </c>
      <c r="Q102">
        <f t="shared" ref="Q102" si="486">F102*P102</f>
        <v>-1579004.3144154341</v>
      </c>
      <c r="R102">
        <f t="shared" ref="R102" si="487">R103+Q102</f>
        <v>-3982159475.0766344</v>
      </c>
      <c r="S102">
        <f t="shared" ref="S102" si="488">R102/100000</f>
        <v>-39821.594750766344</v>
      </c>
      <c r="T102">
        <f t="shared" ref="T102" si="489">S102/1000</f>
        <v>-39.821594750766344</v>
      </c>
    </row>
    <row r="103" spans="1:20" x14ac:dyDescent="0.25">
      <c r="A103" s="5">
        <v>44490</v>
      </c>
      <c r="B103">
        <v>0.69220000000000004</v>
      </c>
      <c r="C103">
        <v>0.78010000000000002</v>
      </c>
      <c r="D103">
        <v>0.67010000000000003</v>
      </c>
      <c r="E103">
        <v>0.68020000000000003</v>
      </c>
      <c r="F103">
        <v>6491661</v>
      </c>
      <c r="G103">
        <v>0.68020000000000003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-0.8163636363636364</v>
      </c>
      <c r="Q103">
        <f t="shared" ref="Q103" si="491">F103*P103</f>
        <v>-5299555.9800000004</v>
      </c>
      <c r="R103">
        <f t="shared" ref="R103" si="492">R104+Q103</f>
        <v>-3980580470.762219</v>
      </c>
      <c r="S103">
        <f t="shared" ref="S103" si="493">R103/100000</f>
        <v>-39805.804707622192</v>
      </c>
      <c r="T103">
        <f t="shared" ref="T103" si="494">S103/1000</f>
        <v>-39.805804707622194</v>
      </c>
    </row>
    <row r="104" spans="1:20" x14ac:dyDescent="0.25">
      <c r="A104" s="5">
        <v>44489</v>
      </c>
      <c r="B104">
        <v>0.63980000000000004</v>
      </c>
      <c r="C104">
        <v>0.80200000000000005</v>
      </c>
      <c r="D104">
        <v>0.62350000000000005</v>
      </c>
      <c r="E104">
        <v>0.69120000000000004</v>
      </c>
      <c r="F104">
        <v>6708003</v>
      </c>
      <c r="G104">
        <v>0.69120000000000004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-0.24145658263305339</v>
      </c>
      <c r="Q104">
        <f t="shared" ref="Q104" si="496">F104*P104</f>
        <v>-1619691.4806722701</v>
      </c>
      <c r="R104">
        <f t="shared" ref="R104" si="497">R105+Q104</f>
        <v>-3975280914.7822189</v>
      </c>
      <c r="S104">
        <f t="shared" ref="S104" si="498">R104/100000</f>
        <v>-39752.80914782219</v>
      </c>
      <c r="T104">
        <f t="shared" ref="T104" si="499">S104/1000</f>
        <v>-39.752809147822191</v>
      </c>
    </row>
    <row r="105" spans="1:20" x14ac:dyDescent="0.25">
      <c r="A105" s="5">
        <v>44488</v>
      </c>
      <c r="B105">
        <v>0.66020000000000001</v>
      </c>
      <c r="C105">
        <v>0.68200000000000005</v>
      </c>
      <c r="D105">
        <v>0.57999999999999996</v>
      </c>
      <c r="E105">
        <v>0.64119999999999999</v>
      </c>
      <c r="F105">
        <v>3429295</v>
      </c>
      <c r="G105">
        <v>0.64119999999999999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0.19999999999999957</v>
      </c>
      <c r="Q105">
        <f t="shared" ref="Q105" si="501">F105*P105</f>
        <v>685858.99999999849</v>
      </c>
      <c r="R105">
        <f t="shared" ref="R105" si="502">R106+Q105</f>
        <v>-3973661223.3015466</v>
      </c>
      <c r="S105">
        <f t="shared" ref="S105" si="503">R105/100000</f>
        <v>-39736.612233015469</v>
      </c>
      <c r="T105">
        <f t="shared" ref="T105" si="504">S105/1000</f>
        <v>-39.736612233015471</v>
      </c>
    </row>
    <row r="106" spans="1:20" x14ac:dyDescent="0.25">
      <c r="A106" s="5">
        <v>44487</v>
      </c>
      <c r="B106">
        <v>0.6845</v>
      </c>
      <c r="C106">
        <v>0.72689999999999999</v>
      </c>
      <c r="D106">
        <v>0.63349999999999995</v>
      </c>
      <c r="E106">
        <v>0.66190000000000004</v>
      </c>
      <c r="F106">
        <v>5545537</v>
      </c>
      <c r="G106">
        <v>0.66190000000000004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-0.39186295503211821</v>
      </c>
      <c r="Q106">
        <f t="shared" ref="Q106" si="506">F106*P106</f>
        <v>-2173090.5160599477</v>
      </c>
      <c r="R106">
        <f t="shared" ref="R106" si="507">R107+Q106</f>
        <v>-3974347082.3015466</v>
      </c>
      <c r="S106">
        <f t="shared" ref="S106" si="508">R106/100000</f>
        <v>-39743.470823015465</v>
      </c>
      <c r="T106">
        <f t="shared" ref="T106" si="509">S106/1000</f>
        <v>-39.743470823015464</v>
      </c>
    </row>
    <row r="107" spans="1:20" x14ac:dyDescent="0.25">
      <c r="A107" s="5">
        <v>44486</v>
      </c>
      <c r="B107">
        <v>0.67749999999999999</v>
      </c>
      <c r="C107">
        <v>0.96</v>
      </c>
      <c r="D107">
        <v>0.67</v>
      </c>
      <c r="E107">
        <v>0.68410000000000004</v>
      </c>
      <c r="F107">
        <v>22700387</v>
      </c>
      <c r="G107">
        <v>0.68410000000000004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-0.90275862068965518</v>
      </c>
      <c r="Q107">
        <f t="shared" ref="Q107" si="511">F107*P107</f>
        <v>-20492970.05724138</v>
      </c>
      <c r="R107">
        <f t="shared" ref="R107" si="512">R108+Q107</f>
        <v>-3972173991.7854867</v>
      </c>
      <c r="S107">
        <f t="shared" ref="S107" si="513">R107/100000</f>
        <v>-39721.739917854866</v>
      </c>
      <c r="T107">
        <f t="shared" ref="T107" si="514">S107/1000</f>
        <v>-39.721739917854869</v>
      </c>
    </row>
    <row r="108" spans="1:20" x14ac:dyDescent="0.25">
      <c r="A108" s="5">
        <v>44485</v>
      </c>
      <c r="B108">
        <v>0.69030000000000002</v>
      </c>
      <c r="C108">
        <v>0.71899999999999997</v>
      </c>
      <c r="D108">
        <v>0.66559999999999997</v>
      </c>
      <c r="E108">
        <v>0.67749999999999999</v>
      </c>
      <c r="F108">
        <v>1453884</v>
      </c>
      <c r="G108">
        <v>0.67749999999999999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-0.55430711610486816</v>
      </c>
      <c r="Q108">
        <f t="shared" ref="Q108" si="516">F108*P108</f>
        <v>-805898.24719101016</v>
      </c>
      <c r="R108">
        <f t="shared" ref="R108" si="517">R109+Q108</f>
        <v>-3951681021.7282453</v>
      </c>
      <c r="S108">
        <f t="shared" ref="S108" si="518">R108/100000</f>
        <v>-39516.810217282451</v>
      </c>
      <c r="T108">
        <f t="shared" ref="T108" si="519">S108/1000</f>
        <v>-39.516810217282448</v>
      </c>
    </row>
    <row r="109" spans="1:20" x14ac:dyDescent="0.25">
      <c r="A109" s="5">
        <v>44484</v>
      </c>
      <c r="B109">
        <v>0.65329999999999999</v>
      </c>
      <c r="C109">
        <v>0.82</v>
      </c>
      <c r="D109">
        <v>0.6472</v>
      </c>
      <c r="E109">
        <v>0.69030000000000002</v>
      </c>
      <c r="F109">
        <v>8239552</v>
      </c>
      <c r="G109">
        <v>0.69030000000000002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-0.501157407407407</v>
      </c>
      <c r="Q109">
        <f t="shared" ref="Q109" si="521">F109*P109</f>
        <v>-4129312.5185185149</v>
      </c>
      <c r="R109">
        <f t="shared" ref="R109" si="522">R110+Q109</f>
        <v>-3950875123.4810543</v>
      </c>
      <c r="S109">
        <f t="shared" ref="S109" si="523">R109/100000</f>
        <v>-39508.751234810545</v>
      </c>
      <c r="T109">
        <f t="shared" ref="T109" si="524">S109/1000</f>
        <v>-39.508751234810546</v>
      </c>
    </row>
    <row r="110" spans="1:20" x14ac:dyDescent="0.25">
      <c r="A110" s="5">
        <v>44483</v>
      </c>
      <c r="B110">
        <v>0.64939999999999998</v>
      </c>
      <c r="C110">
        <v>0.67320000000000002</v>
      </c>
      <c r="D110">
        <v>0.64370000000000005</v>
      </c>
      <c r="E110">
        <v>0.65329999999999999</v>
      </c>
      <c r="F110">
        <v>1227324</v>
      </c>
      <c r="G110">
        <v>0.65329999999999999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-0.34915254237288462</v>
      </c>
      <c r="Q110">
        <f t="shared" ref="Q110" si="526">F110*P110</f>
        <v>-428523.29491525824</v>
      </c>
      <c r="R110">
        <f t="shared" ref="R110" si="527">R111+Q110</f>
        <v>-3946745810.9625359</v>
      </c>
      <c r="S110">
        <f t="shared" ref="S110" si="528">R110/100000</f>
        <v>-39467.458109625361</v>
      </c>
      <c r="T110">
        <f t="shared" ref="T110" si="529">S110/1000</f>
        <v>-39.467458109625362</v>
      </c>
    </row>
    <row r="111" spans="1:20" x14ac:dyDescent="0.25">
      <c r="A111" s="5">
        <v>44482</v>
      </c>
      <c r="B111">
        <v>0.63009999999999999</v>
      </c>
      <c r="C111">
        <v>0.66339999999999999</v>
      </c>
      <c r="D111">
        <v>0.6109</v>
      </c>
      <c r="E111">
        <v>0.64959999999999996</v>
      </c>
      <c r="F111">
        <v>1240333</v>
      </c>
      <c r="G111">
        <v>0.64959999999999996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0.47428571428571287</v>
      </c>
      <c r="Q111">
        <f t="shared" ref="Q111" si="531">F111*P111</f>
        <v>588272.22285714105</v>
      </c>
      <c r="R111">
        <f t="shared" ref="R111" si="532">R112+Q111</f>
        <v>-3946317287.6676207</v>
      </c>
      <c r="S111">
        <f t="shared" ref="S111" si="533">R111/100000</f>
        <v>-39463.17287667621</v>
      </c>
      <c r="T111">
        <f t="shared" ref="T111" si="534">S111/1000</f>
        <v>-39.463172876676211</v>
      </c>
    </row>
    <row r="112" spans="1:20" x14ac:dyDescent="0.25">
      <c r="A112" s="5">
        <v>44481</v>
      </c>
      <c r="B112">
        <v>0.62329999999999997</v>
      </c>
      <c r="C112">
        <v>0.72</v>
      </c>
      <c r="D112">
        <v>0.59160000000000001</v>
      </c>
      <c r="E112">
        <v>0.63019999999999998</v>
      </c>
      <c r="F112">
        <v>5641444</v>
      </c>
      <c r="G112">
        <v>0.63019999999999998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-0.39875389408099721</v>
      </c>
      <c r="Q112">
        <f t="shared" ref="Q112" si="536">F112*P112</f>
        <v>-2249547.7632398773</v>
      </c>
      <c r="R112">
        <f t="shared" ref="R112" si="537">R113+Q112</f>
        <v>-3946905559.8904777</v>
      </c>
      <c r="S112">
        <f t="shared" ref="S112" si="538">R112/100000</f>
        <v>-39469.055598904779</v>
      </c>
      <c r="T112">
        <f t="shared" ref="T112" si="539">S112/1000</f>
        <v>-39.469055598904781</v>
      </c>
    </row>
    <row r="113" spans="1:20" x14ac:dyDescent="0.25">
      <c r="A113" s="5">
        <v>44480</v>
      </c>
      <c r="B113">
        <v>0.63160000000000005</v>
      </c>
      <c r="C113">
        <v>0.6603</v>
      </c>
      <c r="D113">
        <v>0.62</v>
      </c>
      <c r="E113">
        <v>0.62329999999999997</v>
      </c>
      <c r="F113">
        <v>1131061</v>
      </c>
      <c r="G113">
        <v>0.62329999999999997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-0.83622828784119263</v>
      </c>
      <c r="Q113">
        <f t="shared" ref="Q113" si="541">F113*P113</f>
        <v>-945825.20347394713</v>
      </c>
      <c r="R113">
        <f t="shared" ref="R113" si="542">R114+Q113</f>
        <v>-3944656012.1272378</v>
      </c>
      <c r="S113">
        <f t="shared" ref="S113" si="543">R113/100000</f>
        <v>-39446.560121272378</v>
      </c>
      <c r="T113">
        <f t="shared" ref="T113" si="544">S113/1000</f>
        <v>-39.446560121272377</v>
      </c>
    </row>
    <row r="114" spans="1:20" x14ac:dyDescent="0.25">
      <c r="A114" s="5">
        <v>44479</v>
      </c>
      <c r="B114">
        <v>0.66210000000000002</v>
      </c>
      <c r="C114">
        <v>0.66900000000000004</v>
      </c>
      <c r="D114">
        <v>0.62270000000000003</v>
      </c>
      <c r="E114">
        <v>0.63460000000000005</v>
      </c>
      <c r="F114">
        <v>1611806</v>
      </c>
      <c r="G114">
        <v>0.63460000000000005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-0.48596112311015033</v>
      </c>
      <c r="Q114">
        <f t="shared" ref="Q114" si="546">F114*P114</f>
        <v>-783275.05399567902</v>
      </c>
      <c r="R114">
        <f t="shared" ref="R114" si="547">R115+Q114</f>
        <v>-3943710186.9237638</v>
      </c>
      <c r="S114">
        <f t="shared" ref="S114" si="548">R114/100000</f>
        <v>-39437.101869237638</v>
      </c>
      <c r="T114">
        <f t="shared" ref="T114" si="549">S114/1000</f>
        <v>-39.437101869237637</v>
      </c>
    </row>
    <row r="115" spans="1:20" x14ac:dyDescent="0.25">
      <c r="A115" s="5">
        <v>44478</v>
      </c>
      <c r="B115">
        <v>0.70150000000000001</v>
      </c>
      <c r="C115">
        <v>0.71960000000000002</v>
      </c>
      <c r="D115">
        <v>0.65210000000000001</v>
      </c>
      <c r="E115">
        <v>0.66220000000000001</v>
      </c>
      <c r="F115">
        <v>2146928</v>
      </c>
      <c r="G115">
        <v>0.66220000000000001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-0.70074074074074078</v>
      </c>
      <c r="Q115">
        <f t="shared" ref="Q115" si="551">F115*P115</f>
        <v>-1504439.9170370372</v>
      </c>
      <c r="R115">
        <f t="shared" ref="R115" si="552">R116+Q115</f>
        <v>-3942926911.8697681</v>
      </c>
      <c r="S115">
        <f t="shared" ref="S115" si="553">R115/100000</f>
        <v>-39429.269118697681</v>
      </c>
      <c r="T115">
        <f t="shared" ref="T115" si="554">S115/1000</f>
        <v>-39.429269118697682</v>
      </c>
    </row>
    <row r="116" spans="1:20" x14ac:dyDescent="0.25">
      <c r="A116" s="5">
        <v>44477</v>
      </c>
      <c r="B116">
        <v>0.65629999999999999</v>
      </c>
      <c r="C116">
        <v>0.78859999999999997</v>
      </c>
      <c r="D116">
        <v>0.65159999999999996</v>
      </c>
      <c r="E116">
        <v>0.69899999999999995</v>
      </c>
      <c r="F116">
        <v>6195666.0350000001</v>
      </c>
      <c r="G116">
        <v>0.69899999999999995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-0.30802919708029208</v>
      </c>
      <c r="Q116">
        <f t="shared" ref="Q116" si="556">F116*P116</f>
        <v>-1908446.034138687</v>
      </c>
      <c r="R116">
        <f t="shared" ref="R116" si="557">R117+Q116</f>
        <v>-3941422471.9527311</v>
      </c>
      <c r="S116">
        <f t="shared" ref="S116" si="558">R116/100000</f>
        <v>-39414.224719527308</v>
      </c>
      <c r="T116">
        <f t="shared" ref="T116" si="559">S116/1000</f>
        <v>-39.414224719527311</v>
      </c>
    </row>
    <row r="117" spans="1:20" x14ac:dyDescent="0.25">
      <c r="A117" s="5">
        <v>44476</v>
      </c>
      <c r="B117">
        <v>0.61709999999999998</v>
      </c>
      <c r="C117">
        <v>0.70920000000000005</v>
      </c>
      <c r="D117">
        <v>0.59589999999999999</v>
      </c>
      <c r="E117">
        <v>0.65639999999999998</v>
      </c>
      <c r="F117">
        <v>8119431</v>
      </c>
      <c r="G117">
        <v>0.65639999999999998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6.7961165048543021E-2</v>
      </c>
      <c r="Q117">
        <f t="shared" ref="Q117" si="561">F117*P117</f>
        <v>551805.99029125669</v>
      </c>
      <c r="R117">
        <f t="shared" ref="R117" si="562">R118+Q117</f>
        <v>-3939514025.9185925</v>
      </c>
      <c r="S117">
        <f t="shared" ref="S117" si="563">R117/100000</f>
        <v>-39395.140259185922</v>
      </c>
      <c r="T117">
        <f t="shared" ref="T117" si="564">S117/1000</f>
        <v>-39.395140259185922</v>
      </c>
    </row>
    <row r="118" spans="1:20" x14ac:dyDescent="0.25">
      <c r="A118" s="5">
        <v>44475</v>
      </c>
      <c r="B118">
        <v>0.58030000000000004</v>
      </c>
      <c r="C118">
        <v>0.68899999999999995</v>
      </c>
      <c r="D118">
        <v>0.56630000000000003</v>
      </c>
      <c r="E118">
        <v>0.61950000000000005</v>
      </c>
      <c r="F118">
        <v>5099640</v>
      </c>
      <c r="G118">
        <v>0.61950000000000005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-0.13284433577832014</v>
      </c>
      <c r="Q118">
        <f t="shared" ref="Q118" si="566">F118*P118</f>
        <v>-677458.28850855248</v>
      </c>
      <c r="R118">
        <f t="shared" ref="R118" si="567">R119+Q118</f>
        <v>-3940065831.9088836</v>
      </c>
      <c r="S118">
        <f t="shared" ref="S118" si="568">R118/100000</f>
        <v>-39400.658319088834</v>
      </c>
      <c r="T118">
        <f t="shared" ref="T118" si="569">S118/1000</f>
        <v>-39.400658319088834</v>
      </c>
    </row>
    <row r="119" spans="1:20" x14ac:dyDescent="0.25">
      <c r="A119" s="5">
        <v>44474</v>
      </c>
      <c r="B119">
        <v>0.56589999999999996</v>
      </c>
      <c r="C119">
        <v>0.59570000000000001</v>
      </c>
      <c r="D119">
        <v>0.55589999999999995</v>
      </c>
      <c r="E119">
        <v>0.57999999999999996</v>
      </c>
      <c r="F119">
        <v>1990452</v>
      </c>
      <c r="G119">
        <v>0.57999999999999996</v>
      </c>
      <c r="L119" t="s">
        <v>8</v>
      </c>
      <c r="M119" t="s">
        <v>7</v>
      </c>
      <c r="N119" t="s">
        <v>7</v>
      </c>
      <c r="P119">
        <f t="shared" ref="P119" si="570">IF(C119=D119,0,((E119-D119)-(C119-E119))/(C119-D119))</f>
        <v>0.21105527638190832</v>
      </c>
      <c r="Q119">
        <f t="shared" ref="Q119" si="571">F119*P119</f>
        <v>420095.39698492218</v>
      </c>
      <c r="R119">
        <f t="shared" ref="R119" si="572">R120+Q119</f>
        <v>-3939388373.6203752</v>
      </c>
      <c r="S119">
        <f t="shared" ref="S119" si="573">R119/100000</f>
        <v>-39393.883736203752</v>
      </c>
      <c r="T119">
        <f t="shared" ref="T119" si="574">S119/1000</f>
        <v>-39.393883736203755</v>
      </c>
    </row>
    <row r="120" spans="1:20" x14ac:dyDescent="0.25">
      <c r="A120" s="5">
        <v>44473</v>
      </c>
      <c r="B120">
        <v>0.55940000000000001</v>
      </c>
      <c r="C120">
        <v>0.56889999999999996</v>
      </c>
      <c r="D120">
        <v>0.53600000000000003</v>
      </c>
      <c r="E120">
        <v>0.56369999999999998</v>
      </c>
      <c r="F120">
        <v>1149615</v>
      </c>
      <c r="G120">
        <v>0.56369999999999998</v>
      </c>
      <c r="L120" t="s">
        <v>7</v>
      </c>
      <c r="M120" t="s">
        <v>7</v>
      </c>
      <c r="N120" t="s">
        <v>7</v>
      </c>
      <c r="P120">
        <f t="shared" ref="P120" si="575">IF(C120=D120,0,((E120-D120)-(C120-E120))/(C120-D120))</f>
        <v>0.68389057750759918</v>
      </c>
      <c r="Q120">
        <f t="shared" ref="Q120" si="576">F120*P120</f>
        <v>786210.86626139865</v>
      </c>
      <c r="R120">
        <f t="shared" ref="R120" si="577">R121+Q120</f>
        <v>-3939808469.0173602</v>
      </c>
      <c r="S120">
        <f t="shared" ref="S120" si="578">R120/100000</f>
        <v>-39398.0846901736</v>
      </c>
      <c r="T120">
        <f t="shared" ref="T120" si="579">S120/1000</f>
        <v>-39.398084690173597</v>
      </c>
    </row>
    <row r="121" spans="1:20" x14ac:dyDescent="0.25">
      <c r="A121" s="5">
        <v>44472</v>
      </c>
      <c r="B121">
        <v>0.56489999999999996</v>
      </c>
      <c r="C121">
        <v>0.57569999999999999</v>
      </c>
      <c r="D121">
        <v>0.55100000000000005</v>
      </c>
      <c r="E121">
        <v>0.5575</v>
      </c>
      <c r="F121">
        <v>1199939</v>
      </c>
      <c r="G121">
        <v>0.5575</v>
      </c>
      <c r="L121" t="s">
        <v>7</v>
      </c>
      <c r="M121" t="s">
        <v>7</v>
      </c>
      <c r="N121" t="s">
        <v>7</v>
      </c>
      <c r="P121">
        <f t="shared" ref="P121" si="580">IF(C121=D121,0,((E121-D121)-(C121-E121))/(C121-D121))</f>
        <v>-0.47368421052631865</v>
      </c>
      <c r="Q121">
        <f t="shared" ref="Q121" si="581">F121*P121</f>
        <v>-568392.15789474023</v>
      </c>
      <c r="R121">
        <f t="shared" ref="R121" si="582">R122+Q121</f>
        <v>-3940594679.8836217</v>
      </c>
      <c r="S121">
        <f t="shared" ref="S121" si="583">R121/100000</f>
        <v>-39405.946798836216</v>
      </c>
      <c r="T121">
        <f t="shared" ref="T121" si="584">S121/1000</f>
        <v>-39.405946798836219</v>
      </c>
    </row>
    <row r="122" spans="1:20" x14ac:dyDescent="0.25">
      <c r="A122" s="5">
        <v>44471</v>
      </c>
      <c r="B122">
        <v>0.56840000000000002</v>
      </c>
      <c r="C122">
        <v>0.5867</v>
      </c>
      <c r="D122">
        <v>0.55500000000000005</v>
      </c>
      <c r="E122">
        <v>0.56499999999999995</v>
      </c>
      <c r="F122">
        <v>1615048</v>
      </c>
      <c r="G122">
        <v>0.56499999999999995</v>
      </c>
      <c r="L122" t="s">
        <v>7</v>
      </c>
      <c r="M122" t="s">
        <v>7</v>
      </c>
      <c r="N122" t="s">
        <v>7</v>
      </c>
      <c r="P122">
        <f t="shared" ref="P122" si="585">IF(C122=D122,0,((E122-D122)-(C122-E122))/(C122-D122))</f>
        <v>-0.36908517350158276</v>
      </c>
      <c r="Q122">
        <f t="shared" ref="Q122" si="586">F122*P122</f>
        <v>-596090.27129338426</v>
      </c>
      <c r="R122">
        <f t="shared" ref="R122" si="587">R123+Q122</f>
        <v>-3940026287.7257271</v>
      </c>
      <c r="S122">
        <f t="shared" ref="S122" si="588">R122/100000</f>
        <v>-39400.262877257272</v>
      </c>
      <c r="T122">
        <f t="shared" ref="T122" si="589">S122/1000</f>
        <v>-39.400262877257269</v>
      </c>
    </row>
    <row r="123" spans="1:20" x14ac:dyDescent="0.25">
      <c r="A123" s="5">
        <v>44470</v>
      </c>
      <c r="B123">
        <v>0.54200000000000004</v>
      </c>
      <c r="C123">
        <v>0.64829999999999999</v>
      </c>
      <c r="D123">
        <v>0.51690000000000003</v>
      </c>
      <c r="E123">
        <v>0.56840000000000002</v>
      </c>
      <c r="F123">
        <v>6571354</v>
      </c>
      <c r="G123">
        <v>0.56840000000000002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-0.21613394216133933</v>
      </c>
      <c r="Q123">
        <f t="shared" ref="Q123" si="591">F123*P123</f>
        <v>-1420292.6453576859</v>
      </c>
      <c r="R123">
        <f t="shared" ref="R123" si="592">R124+Q123</f>
        <v>-3939430197.4544339</v>
      </c>
      <c r="S123">
        <f t="shared" ref="S123" si="593">R123/100000</f>
        <v>-39394.301974544338</v>
      </c>
      <c r="T123">
        <f t="shared" ref="T123" si="594">S123/1000</f>
        <v>-39.394301974544341</v>
      </c>
    </row>
    <row r="124" spans="1:20" x14ac:dyDescent="0.25">
      <c r="A124" s="5">
        <v>44469</v>
      </c>
      <c r="B124">
        <v>0.5081</v>
      </c>
      <c r="C124">
        <v>0.54610000000000003</v>
      </c>
      <c r="D124">
        <v>0.5081</v>
      </c>
      <c r="E124">
        <v>0.54559999999999997</v>
      </c>
      <c r="F124">
        <v>1217374</v>
      </c>
      <c r="G124">
        <v>0.54559999999999997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0.97368421052631282</v>
      </c>
      <c r="Q124">
        <f t="shared" ref="Q124" si="596">F124*P124</f>
        <v>1185337.8421052597</v>
      </c>
      <c r="R124">
        <f t="shared" ref="R124" si="597">R125+Q124</f>
        <v>-3938009904.8090763</v>
      </c>
      <c r="S124">
        <f t="shared" ref="S124" si="598">R124/100000</f>
        <v>-39380.099048090764</v>
      </c>
      <c r="T124">
        <f t="shared" ref="T124" si="599">S124/1000</f>
        <v>-39.380099048090763</v>
      </c>
    </row>
    <row r="125" spans="1:20" x14ac:dyDescent="0.25">
      <c r="A125" s="5">
        <v>44468</v>
      </c>
      <c r="B125">
        <v>0.51790000000000003</v>
      </c>
      <c r="C125">
        <v>0.53659999999999997</v>
      </c>
      <c r="D125">
        <v>0.49659999999999999</v>
      </c>
      <c r="E125">
        <v>0.50980000000000003</v>
      </c>
      <c r="F125">
        <v>949978</v>
      </c>
      <c r="G125">
        <v>0.50980000000000003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-0.33999999999999742</v>
      </c>
      <c r="Q125">
        <f t="shared" ref="Q125" si="601">F125*P125</f>
        <v>-322992.51999999752</v>
      </c>
      <c r="R125">
        <f t="shared" ref="R125" si="602">R126+Q125</f>
        <v>-3939195242.6511817</v>
      </c>
      <c r="S125">
        <f t="shared" ref="S125" si="603">R125/100000</f>
        <v>-39391.952426511816</v>
      </c>
      <c r="T125">
        <f t="shared" ref="T125" si="604">S125/1000</f>
        <v>-39.391952426511814</v>
      </c>
    </row>
    <row r="126" spans="1:20" x14ac:dyDescent="0.25">
      <c r="A126" s="5">
        <v>44467</v>
      </c>
      <c r="B126">
        <v>0.52380000000000004</v>
      </c>
      <c r="C126">
        <v>0.54720000000000002</v>
      </c>
      <c r="D126">
        <v>0.50439999999999996</v>
      </c>
      <c r="E126">
        <v>0.51770000000000005</v>
      </c>
      <c r="F126">
        <v>1947573</v>
      </c>
      <c r="G126">
        <v>0.51770000000000005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-0.37850467289719297</v>
      </c>
      <c r="Q126">
        <f t="shared" ref="Q126" si="606">F126*P126</f>
        <v>-737165.48130840482</v>
      </c>
      <c r="R126">
        <f t="shared" ref="R126" si="607">R127+Q126</f>
        <v>-3938872250.1311817</v>
      </c>
      <c r="S126">
        <f t="shared" ref="S126" si="608">R126/100000</f>
        <v>-39388.722501311815</v>
      </c>
      <c r="T126">
        <f t="shared" ref="T126" si="609">S126/1000</f>
        <v>-39.388722501311818</v>
      </c>
    </row>
    <row r="127" spans="1:20" x14ac:dyDescent="0.25">
      <c r="A127" s="5">
        <v>44466</v>
      </c>
      <c r="B127">
        <v>0.54690000000000005</v>
      </c>
      <c r="C127">
        <v>0.56940000000000002</v>
      </c>
      <c r="D127">
        <v>0.51980000000000004</v>
      </c>
      <c r="E127">
        <v>0.5222</v>
      </c>
      <c r="F127">
        <v>2389363</v>
      </c>
      <c r="G127">
        <v>0.5222</v>
      </c>
      <c r="L127" t="s">
        <v>7</v>
      </c>
      <c r="M127" t="s">
        <v>7</v>
      </c>
      <c r="N127" t="s">
        <v>7</v>
      </c>
      <c r="P127">
        <f t="shared" ref="P127" si="610">IF(C127=D127,0,((E127-D127)-(C127-E127))/(C127-D127))</f>
        <v>-0.90322580645161454</v>
      </c>
      <c r="Q127">
        <f t="shared" ref="Q127" si="611">F127*P127</f>
        <v>-2158134.3225806491</v>
      </c>
      <c r="R127">
        <f t="shared" ref="R127" si="612">R128+Q127</f>
        <v>-3938135084.6498733</v>
      </c>
      <c r="S127">
        <f t="shared" ref="S127" si="613">R127/100000</f>
        <v>-39381.350846498732</v>
      </c>
      <c r="T127">
        <f t="shared" ref="T127" si="614">S127/1000</f>
        <v>-39.381350846498734</v>
      </c>
    </row>
    <row r="128" spans="1:20" x14ac:dyDescent="0.25">
      <c r="A128" s="5">
        <v>44465</v>
      </c>
      <c r="B128">
        <v>0.62250000000000005</v>
      </c>
      <c r="C128">
        <v>0.67600000000000005</v>
      </c>
      <c r="D128">
        <v>0.53690000000000004</v>
      </c>
      <c r="E128">
        <v>0.54700000000000004</v>
      </c>
      <c r="F128">
        <v>9159076</v>
      </c>
      <c r="G128">
        <v>0.54700000000000004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-0.85478073328540627</v>
      </c>
      <c r="Q128">
        <f t="shared" ref="Q128" si="616">F128*P128</f>
        <v>-7829001.6994967656</v>
      </c>
      <c r="R128">
        <f t="shared" ref="R128" si="617">R129+Q128</f>
        <v>-3935976950.3272924</v>
      </c>
      <c r="S128">
        <f t="shared" ref="S128" si="618">R128/100000</f>
        <v>-39359.769503272924</v>
      </c>
      <c r="T128">
        <f t="shared" ref="T128" si="619">S128/1000</f>
        <v>-39.359769503272922</v>
      </c>
    </row>
    <row r="129" spans="1:20" x14ac:dyDescent="0.25">
      <c r="A129" s="5">
        <v>44464</v>
      </c>
      <c r="B129">
        <v>0.55420000000000003</v>
      </c>
      <c r="C129">
        <v>0.63539999999999996</v>
      </c>
      <c r="D129">
        <v>0.50070000000000003</v>
      </c>
      <c r="E129">
        <v>0.62270000000000003</v>
      </c>
      <c r="F129">
        <v>4295655</v>
      </c>
      <c r="G129">
        <v>0.62270000000000003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0.8114328136599861</v>
      </c>
      <c r="Q129">
        <f t="shared" ref="Q129" si="621">F129*P129</f>
        <v>3485635.4231625875</v>
      </c>
      <c r="R129">
        <f t="shared" ref="R129" si="622">R130+Q129</f>
        <v>-3928147948.6277957</v>
      </c>
      <c r="S129">
        <f t="shared" ref="S129" si="623">R129/100000</f>
        <v>-39281.47948627796</v>
      </c>
      <c r="T129">
        <f t="shared" ref="T129" si="624">S129/1000</f>
        <v>-39.281479486277959</v>
      </c>
    </row>
    <row r="130" spans="1:20" x14ac:dyDescent="0.25">
      <c r="A130" s="5">
        <v>44463</v>
      </c>
      <c r="B130">
        <v>0.59489999999999998</v>
      </c>
      <c r="C130">
        <v>0.59719999999999995</v>
      </c>
      <c r="D130">
        <v>0.49830000000000002</v>
      </c>
      <c r="E130">
        <v>0.55289999999999995</v>
      </c>
      <c r="F130">
        <v>2189368.8339999998</v>
      </c>
      <c r="G130">
        <v>0.55289999999999995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0.10414560161779501</v>
      </c>
      <c r="Q130">
        <f t="shared" ref="Q130" si="626">F130*P130</f>
        <v>228013.13438018036</v>
      </c>
      <c r="R130">
        <f t="shared" ref="R130" si="627">R131+Q130</f>
        <v>-3931633584.0509582</v>
      </c>
      <c r="S130">
        <f t="shared" ref="S130" si="628">R130/100000</f>
        <v>-39316.335840509579</v>
      </c>
      <c r="T130">
        <f t="shared" ref="T130" si="629">S130/1000</f>
        <v>-39.316335840509581</v>
      </c>
    </row>
    <row r="131" spans="1:20" x14ac:dyDescent="0.25">
      <c r="A131" s="5">
        <v>44462</v>
      </c>
      <c r="B131">
        <v>0.58260000000000001</v>
      </c>
      <c r="C131">
        <v>0.6512</v>
      </c>
      <c r="D131">
        <v>0.57040000000000002</v>
      </c>
      <c r="E131">
        <v>0.59489999999999998</v>
      </c>
      <c r="F131">
        <v>4475250</v>
      </c>
      <c r="G131">
        <v>0.59489999999999998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-0.39356435643564425</v>
      </c>
      <c r="Q131">
        <f t="shared" ref="Q131" si="631">F131*P131</f>
        <v>-1761298.8861386168</v>
      </c>
      <c r="R131">
        <f t="shared" ref="R131" si="632">R132+Q131</f>
        <v>-3931861597.1853385</v>
      </c>
      <c r="S131">
        <f t="shared" ref="S131" si="633">R131/100000</f>
        <v>-39318.615971853382</v>
      </c>
      <c r="T131">
        <f t="shared" ref="T131" si="634">S131/1000</f>
        <v>-39.318615971853383</v>
      </c>
    </row>
    <row r="132" spans="1:20" x14ac:dyDescent="0.25">
      <c r="A132" s="5">
        <v>44461</v>
      </c>
      <c r="B132">
        <v>0.52929999999999999</v>
      </c>
      <c r="C132">
        <v>0.58620000000000005</v>
      </c>
      <c r="D132">
        <v>0.52</v>
      </c>
      <c r="E132">
        <v>0.58260000000000001</v>
      </c>
      <c r="F132">
        <v>1932024</v>
      </c>
      <c r="G132">
        <v>0.58260000000000001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0.89123867069486262</v>
      </c>
      <c r="Q132">
        <f t="shared" ref="Q132" si="636">F132*P132</f>
        <v>1721894.5015105712</v>
      </c>
      <c r="R132">
        <f t="shared" ref="R132" si="637">R133+Q132</f>
        <v>-3930100298.2992001</v>
      </c>
      <c r="S132">
        <f t="shared" ref="S132" si="638">R132/100000</f>
        <v>-39301.002982992002</v>
      </c>
      <c r="T132">
        <f t="shared" ref="T132" si="639">S132/1000</f>
        <v>-39.301002982992003</v>
      </c>
    </row>
    <row r="133" spans="1:20" x14ac:dyDescent="0.25">
      <c r="A133" s="5">
        <v>44460</v>
      </c>
      <c r="B133">
        <v>0.59570000000000001</v>
      </c>
      <c r="C133">
        <v>0.63839999999999997</v>
      </c>
      <c r="D133">
        <v>0.51529999999999998</v>
      </c>
      <c r="E133">
        <v>0.52939999999999998</v>
      </c>
      <c r="F133">
        <v>3877203.0669999998</v>
      </c>
      <c r="G133">
        <v>0.52939999999999998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-0.77091795288383425</v>
      </c>
      <c r="Q133">
        <f t="shared" ref="Q133" si="641">F133*P133</f>
        <v>-2989005.4513265635</v>
      </c>
      <c r="R133">
        <f t="shared" ref="R133" si="642">R134+Q133</f>
        <v>-3931822192.8007107</v>
      </c>
      <c r="S133">
        <f t="shared" ref="S133" si="643">R133/100000</f>
        <v>-39318.221928007108</v>
      </c>
      <c r="T133">
        <f t="shared" ref="T133" si="644">S133/1000</f>
        <v>-39.318221928007105</v>
      </c>
    </row>
    <row r="134" spans="1:20" x14ac:dyDescent="0.25">
      <c r="A134" s="5">
        <v>44459</v>
      </c>
      <c r="B134">
        <v>0.68459999999999999</v>
      </c>
      <c r="C134">
        <v>0.68459999999999999</v>
      </c>
      <c r="D134">
        <v>0.61529999999999996</v>
      </c>
      <c r="E134">
        <v>0.63490000000000002</v>
      </c>
      <c r="F134">
        <v>739055</v>
      </c>
      <c r="G134">
        <v>0.63490000000000002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-0.43434343434343281</v>
      </c>
      <c r="Q134">
        <f t="shared" ref="Q134" si="646">F134*P134</f>
        <v>-321003.68686868576</v>
      </c>
      <c r="R134">
        <f t="shared" ref="R134" si="647">R135+Q134</f>
        <v>-3928833187.3493843</v>
      </c>
      <c r="S134">
        <f t="shared" ref="S134" si="648">R134/100000</f>
        <v>-39288.331873493844</v>
      </c>
      <c r="T134">
        <f t="shared" ref="T134" si="649">S134/1000</f>
        <v>-39.288331873493846</v>
      </c>
    </row>
    <row r="135" spans="1:20" x14ac:dyDescent="0.25">
      <c r="A135" s="5">
        <v>44458</v>
      </c>
      <c r="B135">
        <v>0.73350000000000004</v>
      </c>
      <c r="C135">
        <v>0.73770000000000002</v>
      </c>
      <c r="D135">
        <v>0.67730000000000001</v>
      </c>
      <c r="E135">
        <v>0.6825</v>
      </c>
      <c r="F135">
        <v>1620774</v>
      </c>
      <c r="G135">
        <v>0.6825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-0.8278145695364244</v>
      </c>
      <c r="Q135">
        <f t="shared" ref="Q135" si="651">F135*P135</f>
        <v>-1341700.3311258287</v>
      </c>
      <c r="R135">
        <f t="shared" ref="R135" si="652">R136+Q135</f>
        <v>-3928512183.6625156</v>
      </c>
      <c r="S135">
        <f t="shared" ref="S135" si="653">R135/100000</f>
        <v>-39285.121836625156</v>
      </c>
      <c r="T135">
        <f t="shared" ref="T135" si="654">S135/1000</f>
        <v>-39.285121836625159</v>
      </c>
    </row>
    <row r="136" spans="1:20" x14ac:dyDescent="0.25">
      <c r="A136" s="5">
        <v>44457</v>
      </c>
      <c r="B136">
        <v>0.72960000000000003</v>
      </c>
      <c r="C136">
        <v>0.78649999999999998</v>
      </c>
      <c r="D136">
        <v>0.70099999999999996</v>
      </c>
      <c r="E136">
        <v>0.73570000000000002</v>
      </c>
      <c r="F136">
        <v>4336565</v>
      </c>
      <c r="G136">
        <v>0.73570000000000002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-0.18830409356725017</v>
      </c>
      <c r="Q136">
        <f t="shared" ref="Q136" si="656">F136*P136</f>
        <v>-816592.94152046228</v>
      </c>
      <c r="R136">
        <f t="shared" ref="R136" si="657">R137+Q136</f>
        <v>-3927170483.3313899</v>
      </c>
      <c r="S136">
        <f t="shared" ref="S136" si="658">R136/100000</f>
        <v>-39271.704833313896</v>
      </c>
      <c r="T136">
        <f t="shared" ref="T136" si="659">S136/1000</f>
        <v>-39.271704833313898</v>
      </c>
    </row>
    <row r="137" spans="1:20" x14ac:dyDescent="0.25">
      <c r="A137" s="5">
        <v>44456</v>
      </c>
      <c r="B137">
        <v>0.7016</v>
      </c>
      <c r="C137">
        <v>0.77</v>
      </c>
      <c r="D137">
        <v>0.68510000000000004</v>
      </c>
      <c r="E137">
        <v>0.72950000000000004</v>
      </c>
      <c r="F137">
        <v>4759323</v>
      </c>
      <c r="G137">
        <v>0.72950000000000004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4.5936395759717502E-2</v>
      </c>
      <c r="Q137">
        <f t="shared" ref="Q137" si="661">F137*P137</f>
        <v>218626.14487632597</v>
      </c>
      <c r="R137">
        <f t="shared" ref="R137" si="662">R138+Q137</f>
        <v>-3926353890.3898692</v>
      </c>
      <c r="S137">
        <f t="shared" ref="S137" si="663">R137/100000</f>
        <v>-39263.53890389869</v>
      </c>
      <c r="T137">
        <f t="shared" ref="T137" si="664">S137/1000</f>
        <v>-39.263538903898692</v>
      </c>
    </row>
    <row r="138" spans="1:20" x14ac:dyDescent="0.25">
      <c r="A138" s="5">
        <v>44455</v>
      </c>
      <c r="B138">
        <v>0.68920000000000003</v>
      </c>
      <c r="C138">
        <v>0.745</v>
      </c>
      <c r="D138">
        <v>0.68140000000000001</v>
      </c>
      <c r="E138">
        <v>0.7016</v>
      </c>
      <c r="F138">
        <v>3103469</v>
      </c>
      <c r="G138">
        <v>0.7016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-0.36477987421383651</v>
      </c>
      <c r="Q138">
        <f t="shared" ref="Q138" si="666">F138*P138</f>
        <v>-1132083.031446541</v>
      </c>
      <c r="R138">
        <f t="shared" ref="R138" si="667">R139+Q138</f>
        <v>-3926572516.5347457</v>
      </c>
      <c r="S138">
        <f t="shared" ref="S138" si="668">R138/100000</f>
        <v>-39265.72516534746</v>
      </c>
      <c r="T138">
        <f t="shared" ref="T138" si="669">S138/1000</f>
        <v>-39.265725165347462</v>
      </c>
    </row>
    <row r="139" spans="1:20" x14ac:dyDescent="0.25">
      <c r="A139" s="5">
        <v>44454</v>
      </c>
      <c r="B139">
        <v>0.66069999999999995</v>
      </c>
      <c r="C139">
        <v>0.68989999999999996</v>
      </c>
      <c r="D139">
        <v>0.65629999999999999</v>
      </c>
      <c r="E139">
        <v>0.68659999999999999</v>
      </c>
      <c r="F139">
        <v>1286334</v>
      </c>
      <c r="G139">
        <v>0.68659999999999999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0.80357142857143016</v>
      </c>
      <c r="Q139">
        <f t="shared" ref="Q139" si="671">F139*P139</f>
        <v>1033661.2500000021</v>
      </c>
      <c r="R139">
        <f t="shared" ref="R139" si="672">R140+Q139</f>
        <v>-3925440433.5032992</v>
      </c>
      <c r="S139">
        <f t="shared" ref="S139" si="673">R139/100000</f>
        <v>-39254.404335032996</v>
      </c>
      <c r="T139">
        <f t="shared" ref="T139" si="674">S139/1000</f>
        <v>-39.254404335032994</v>
      </c>
    </row>
    <row r="140" spans="1:20" x14ac:dyDescent="0.25">
      <c r="A140" s="5">
        <v>44453</v>
      </c>
      <c r="B140">
        <v>0.64200000000000002</v>
      </c>
      <c r="C140">
        <v>0.68989999999999996</v>
      </c>
      <c r="D140">
        <v>0.63759999999999994</v>
      </c>
      <c r="E140">
        <v>0.65820000000000001</v>
      </c>
      <c r="F140">
        <v>1122700</v>
      </c>
      <c r="G140">
        <v>0.65820000000000001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-0.21223709369024638</v>
      </c>
      <c r="Q140">
        <f t="shared" ref="Q140" si="676">F140*P140</f>
        <v>-238278.58508603962</v>
      </c>
      <c r="R140">
        <f t="shared" ref="R140" si="677">R141+Q140</f>
        <v>-3926474094.7532992</v>
      </c>
      <c r="S140">
        <f t="shared" ref="S140" si="678">R140/100000</f>
        <v>-39264.740947532991</v>
      </c>
      <c r="T140">
        <f t="shared" ref="T140" si="679">S140/1000</f>
        <v>-39.264740947532992</v>
      </c>
    </row>
    <row r="141" spans="1:20" x14ac:dyDescent="0.25">
      <c r="A141" s="5">
        <v>44452</v>
      </c>
      <c r="B141">
        <v>0.67010000000000003</v>
      </c>
      <c r="C141">
        <v>0.67420000000000002</v>
      </c>
      <c r="D141">
        <v>0.60570000000000002</v>
      </c>
      <c r="E141">
        <v>0.64159999999999995</v>
      </c>
      <c r="F141">
        <v>1332310</v>
      </c>
      <c r="G141">
        <v>0.64159999999999995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4.8175182481749755E-2</v>
      </c>
      <c r="Q141">
        <f t="shared" ref="Q141" si="681">F141*P141</f>
        <v>64184.277372260018</v>
      </c>
      <c r="R141">
        <f t="shared" ref="R141" si="682">R142+Q141</f>
        <v>-3926235816.1682134</v>
      </c>
      <c r="S141">
        <f t="shared" ref="S141" si="683">R141/100000</f>
        <v>-39262.358161682132</v>
      </c>
      <c r="T141">
        <f t="shared" ref="T141" si="684">S141/1000</f>
        <v>-39.26235816168213</v>
      </c>
    </row>
    <row r="142" spans="1:20" x14ac:dyDescent="0.25">
      <c r="A142" s="5">
        <v>44451</v>
      </c>
      <c r="B142">
        <v>0.67130000000000001</v>
      </c>
      <c r="C142">
        <v>0.69099999999999995</v>
      </c>
      <c r="D142">
        <v>0.64470000000000005</v>
      </c>
      <c r="E142">
        <v>0.67</v>
      </c>
      <c r="F142">
        <v>1459015</v>
      </c>
      <c r="G142">
        <v>0.67</v>
      </c>
      <c r="L142" t="s">
        <v>7</v>
      </c>
      <c r="M142" t="s">
        <v>7</v>
      </c>
      <c r="N142" t="s">
        <v>7</v>
      </c>
      <c r="P142">
        <f t="shared" ref="P142" si="685">IF(C142=D142,0,((E142-D142)-(C142-E142))/(C142-D142))</f>
        <v>9.2872570194386411E-2</v>
      </c>
      <c r="Q142">
        <f t="shared" ref="Q142" si="686">F142*P142</f>
        <v>135502.4730021627</v>
      </c>
      <c r="R142">
        <f t="shared" ref="R142" si="687">R143+Q142</f>
        <v>-3926300000.4455857</v>
      </c>
      <c r="S142">
        <f t="shared" ref="S142" si="688">R142/100000</f>
        <v>-39263.000004455855</v>
      </c>
      <c r="T142">
        <f t="shared" ref="T142" si="689">S142/1000</f>
        <v>-39.263000004455854</v>
      </c>
    </row>
    <row r="143" spans="1:20" x14ac:dyDescent="0.25">
      <c r="A143" s="5">
        <v>44450</v>
      </c>
      <c r="B143">
        <v>0.63</v>
      </c>
      <c r="C143">
        <v>0.70099999999999996</v>
      </c>
      <c r="D143">
        <v>0.61870000000000003</v>
      </c>
      <c r="E143">
        <v>0.67130000000000001</v>
      </c>
      <c r="F143">
        <v>2005613</v>
      </c>
      <c r="G143">
        <v>0.67130000000000001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0.27825030376670778</v>
      </c>
      <c r="Q143">
        <f t="shared" ref="Q143" si="691">F143*P143</f>
        <v>558062.42648845806</v>
      </c>
      <c r="R143">
        <f t="shared" ref="R143" si="692">R144+Q143</f>
        <v>-3926435502.9185877</v>
      </c>
      <c r="S143">
        <f t="shared" ref="S143" si="693">R143/100000</f>
        <v>-39264.355029185877</v>
      </c>
      <c r="T143">
        <f t="shared" ref="T143" si="694">S143/1000</f>
        <v>-39.264355029185879</v>
      </c>
    </row>
    <row r="144" spans="1:20" x14ac:dyDescent="0.25">
      <c r="A144" s="5">
        <v>44449</v>
      </c>
      <c r="B144">
        <v>0.68230000000000002</v>
      </c>
      <c r="C144">
        <v>0.70340000000000003</v>
      </c>
      <c r="D144">
        <v>0.60399999999999998</v>
      </c>
      <c r="E144">
        <v>0.63</v>
      </c>
      <c r="F144">
        <v>1951207</v>
      </c>
      <c r="G144">
        <v>0.63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-0.47686116700201187</v>
      </c>
      <c r="Q144">
        <f t="shared" ref="Q144" si="696">F144*P144</f>
        <v>-930454.84708249453</v>
      </c>
      <c r="R144">
        <f t="shared" ref="R144" si="697">R145+Q144</f>
        <v>-3926993565.3450761</v>
      </c>
      <c r="S144">
        <f t="shared" ref="S144" si="698">R144/100000</f>
        <v>-39269.935653450761</v>
      </c>
      <c r="T144">
        <f t="shared" ref="T144" si="699">S144/1000</f>
        <v>-39.269935653450759</v>
      </c>
    </row>
    <row r="145" spans="1:20" x14ac:dyDescent="0.25">
      <c r="A145" s="5">
        <v>44448</v>
      </c>
      <c r="B145">
        <v>0.67879999999999996</v>
      </c>
      <c r="C145">
        <v>0.74399999999999999</v>
      </c>
      <c r="D145">
        <v>0.65629999999999999</v>
      </c>
      <c r="E145">
        <v>0.68359999999999999</v>
      </c>
      <c r="F145">
        <v>3624741</v>
      </c>
      <c r="G145">
        <v>0.68359999999999999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-0.37742303306727498</v>
      </c>
      <c r="Q145">
        <f t="shared" ref="Q145" si="701">F145*P145</f>
        <v>-1368060.7423033074</v>
      </c>
      <c r="R145">
        <f t="shared" ref="R145" si="702">R146+Q145</f>
        <v>-3926063110.4979935</v>
      </c>
      <c r="S145">
        <f t="shared" ref="S145" si="703">R145/100000</f>
        <v>-39260.631104979933</v>
      </c>
      <c r="T145">
        <f t="shared" ref="T145" si="704">S145/1000</f>
        <v>-39.260631104979936</v>
      </c>
    </row>
    <row r="146" spans="1:20" x14ac:dyDescent="0.25">
      <c r="A146" s="5">
        <v>44447</v>
      </c>
      <c r="B146">
        <v>0.69350000000000001</v>
      </c>
      <c r="C146">
        <v>0.7228</v>
      </c>
      <c r="D146">
        <v>0.59350000000000003</v>
      </c>
      <c r="E146">
        <v>0.67949999999999999</v>
      </c>
      <c r="F146">
        <v>2441511.3489999999</v>
      </c>
      <c r="G146">
        <v>0.67949999999999999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0.33023975251353416</v>
      </c>
      <c r="Q146">
        <f t="shared" ref="Q146" si="706">F146*P146</f>
        <v>806284.1036527449</v>
      </c>
      <c r="R146">
        <f t="shared" ref="R146" si="707">R147+Q146</f>
        <v>-3924695049.7556901</v>
      </c>
      <c r="S146">
        <f t="shared" ref="S146" si="708">R146/100000</f>
        <v>-39246.9504975569</v>
      </c>
      <c r="T146">
        <f t="shared" ref="T146" si="709">S146/1000</f>
        <v>-39.246950497556902</v>
      </c>
    </row>
    <row r="147" spans="1:20" x14ac:dyDescent="0.25">
      <c r="A147" s="5">
        <v>44446</v>
      </c>
      <c r="B147">
        <v>0.89459999999999995</v>
      </c>
      <c r="C147">
        <v>0.91369999999999996</v>
      </c>
      <c r="D147">
        <v>0.63749999999999996</v>
      </c>
      <c r="E147">
        <v>0.69189999999999996</v>
      </c>
      <c r="F147">
        <v>4417996.6909999996</v>
      </c>
      <c r="G147">
        <v>0.69189999999999996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-0.60608254887762492</v>
      </c>
      <c r="Q147">
        <f t="shared" ref="Q147" si="711">F147*P147</f>
        <v>-2677670.6954141925</v>
      </c>
      <c r="R147">
        <f t="shared" ref="R147" si="712">R148+Q147</f>
        <v>-3925501333.8593431</v>
      </c>
      <c r="S147">
        <f t="shared" ref="S147" si="713">R147/100000</f>
        <v>-39255.013338593431</v>
      </c>
      <c r="T147">
        <f t="shared" ref="T147" si="714">S147/1000</f>
        <v>-39.255013338593429</v>
      </c>
    </row>
    <row r="148" spans="1:20" x14ac:dyDescent="0.25">
      <c r="A148" s="5">
        <v>44445</v>
      </c>
      <c r="B148">
        <v>0.84399999999999997</v>
      </c>
      <c r="C148">
        <v>0.91400000000000003</v>
      </c>
      <c r="D148">
        <v>0.80579999999999996</v>
      </c>
      <c r="E148">
        <v>0.89459999999999995</v>
      </c>
      <c r="F148">
        <v>4667957</v>
      </c>
      <c r="G148">
        <v>0.89459999999999995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0.64140480591497095</v>
      </c>
      <c r="Q148">
        <f t="shared" ref="Q148" si="716">F148*P148</f>
        <v>2994050.0536044301</v>
      </c>
      <c r="R148">
        <f t="shared" ref="R148" si="717">R149+Q148</f>
        <v>-3922823663.163929</v>
      </c>
      <c r="S148">
        <f t="shared" ref="S148" si="718">R148/100000</f>
        <v>-39228.236631639287</v>
      </c>
      <c r="T148">
        <f t="shared" ref="T148" si="719">S148/1000</f>
        <v>-39.228236631639284</v>
      </c>
    </row>
    <row r="149" spans="1:20" x14ac:dyDescent="0.25">
      <c r="A149" s="5">
        <v>44444</v>
      </c>
      <c r="B149">
        <v>0.80049999999999999</v>
      </c>
      <c r="C149">
        <v>0.85199999999999998</v>
      </c>
      <c r="D149">
        <v>0.79410000000000003</v>
      </c>
      <c r="E149">
        <v>0.84399999999999997</v>
      </c>
      <c r="F149">
        <v>2755692</v>
      </c>
      <c r="G149">
        <v>0.84399999999999997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0.72366148531951591</v>
      </c>
      <c r="Q149">
        <f t="shared" ref="Q149" si="721">F149*P149</f>
        <v>1994188.1658031074</v>
      </c>
      <c r="R149">
        <f t="shared" ref="R149" si="722">R150+Q149</f>
        <v>-3925817713.2175336</v>
      </c>
      <c r="S149">
        <f t="shared" ref="S149" si="723">R149/100000</f>
        <v>-39258.177132175333</v>
      </c>
      <c r="T149">
        <f t="shared" ref="T149" si="724">S149/1000</f>
        <v>-39.258177132175334</v>
      </c>
    </row>
    <row r="150" spans="1:20" x14ac:dyDescent="0.25">
      <c r="A150" s="5">
        <v>44443</v>
      </c>
      <c r="B150">
        <v>0.82069999999999999</v>
      </c>
      <c r="C150">
        <v>0.83689999999999998</v>
      </c>
      <c r="D150">
        <v>0.79379999999999995</v>
      </c>
      <c r="E150">
        <v>0.79890000000000005</v>
      </c>
      <c r="F150">
        <v>1846327</v>
      </c>
      <c r="G150">
        <v>0.79890000000000005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-0.76334106728537809</v>
      </c>
      <c r="Q150">
        <f t="shared" ref="Q150" si="726">F150*P150</f>
        <v>-1409377.2227378103</v>
      </c>
      <c r="R150">
        <f t="shared" ref="R150" si="727">R151+Q150</f>
        <v>-3927811901.3833365</v>
      </c>
      <c r="S150">
        <f t="shared" ref="S150" si="728">R150/100000</f>
        <v>-39278.119013833362</v>
      </c>
      <c r="T150">
        <f t="shared" ref="T150" si="729">S150/1000</f>
        <v>-39.278119013833361</v>
      </c>
    </row>
    <row r="151" spans="1:20" x14ac:dyDescent="0.25">
      <c r="A151" s="5">
        <v>44442</v>
      </c>
      <c r="B151">
        <v>0.81759999999999999</v>
      </c>
      <c r="C151">
        <v>0.84750000000000003</v>
      </c>
      <c r="D151">
        <v>0.80689999999999995</v>
      </c>
      <c r="E151">
        <v>0.82179999999999997</v>
      </c>
      <c r="F151">
        <v>2497463</v>
      </c>
      <c r="G151">
        <v>0.82179999999999997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-0.266009852216749</v>
      </c>
      <c r="Q151">
        <f t="shared" ref="Q151" si="731">F151*P151</f>
        <v>-664349.76354679861</v>
      </c>
      <c r="R151">
        <f t="shared" ref="R151" si="732">R152+Q151</f>
        <v>-3926402524.1605988</v>
      </c>
      <c r="S151">
        <f t="shared" ref="S151" si="733">R151/100000</f>
        <v>-39264.025241605988</v>
      </c>
      <c r="T151">
        <f t="shared" ref="T151" si="734">S151/1000</f>
        <v>-39.264025241605985</v>
      </c>
    </row>
    <row r="152" spans="1:20" x14ac:dyDescent="0.25">
      <c r="A152" s="5">
        <v>44441</v>
      </c>
      <c r="B152">
        <v>0.80230000000000001</v>
      </c>
      <c r="C152">
        <v>0.85399999999999998</v>
      </c>
      <c r="D152">
        <v>0.77200000000000002</v>
      </c>
      <c r="E152">
        <v>0.81779999999999997</v>
      </c>
      <c r="F152">
        <v>4623110</v>
      </c>
      <c r="G152">
        <v>0.81779999999999997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0.11707317073170666</v>
      </c>
      <c r="Q152">
        <f t="shared" ref="Q152" si="736">F152*P152</f>
        <v>541242.14634146041</v>
      </c>
      <c r="R152">
        <f t="shared" ref="R152" si="737">R153+Q152</f>
        <v>-3925738174.3970518</v>
      </c>
      <c r="S152">
        <f t="shared" ref="S152" si="738">R152/100000</f>
        <v>-39257.381743970516</v>
      </c>
      <c r="T152">
        <f t="shared" ref="T152" si="739">S152/1000</f>
        <v>-39.257381743970519</v>
      </c>
    </row>
    <row r="153" spans="1:20" x14ac:dyDescent="0.25">
      <c r="A153" s="5">
        <v>44440</v>
      </c>
      <c r="B153">
        <v>0.73950000000000005</v>
      </c>
      <c r="C153">
        <v>0.88</v>
      </c>
      <c r="D153">
        <v>0.72</v>
      </c>
      <c r="E153">
        <v>0.80110000000000003</v>
      </c>
      <c r="F153">
        <v>4601079</v>
      </c>
      <c r="G153">
        <v>0.80110000000000003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1.3750000000000564E-2</v>
      </c>
      <c r="Q153">
        <f t="shared" ref="Q153" si="741">F153*P153</f>
        <v>63264.836250002598</v>
      </c>
      <c r="R153">
        <f t="shared" ref="R153" si="742">R154+Q153</f>
        <v>-3926279416.5433931</v>
      </c>
      <c r="S153">
        <f t="shared" ref="S153" si="743">R153/100000</f>
        <v>-39262.79416543393</v>
      </c>
      <c r="T153">
        <f t="shared" ref="T153" si="744">S153/1000</f>
        <v>-39.262794165433931</v>
      </c>
    </row>
    <row r="154" spans="1:20" x14ac:dyDescent="0.25">
      <c r="A154" s="5">
        <v>44439</v>
      </c>
      <c r="B154">
        <v>0.74970000000000003</v>
      </c>
      <c r="C154">
        <v>0.78280000000000005</v>
      </c>
      <c r="D154">
        <v>0.72599999999999998</v>
      </c>
      <c r="E154">
        <v>0.73939999999999995</v>
      </c>
      <c r="F154">
        <v>2226534</v>
      </c>
      <c r="G154">
        <v>0.73939999999999995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-0.52816901408450878</v>
      </c>
      <c r="Q154">
        <f t="shared" ref="Q154" si="746">F154*P154</f>
        <v>-1175986.2676056377</v>
      </c>
      <c r="R154">
        <f t="shared" ref="R154" si="747">R155+Q154</f>
        <v>-3926342681.379643</v>
      </c>
      <c r="S154">
        <f t="shared" ref="S154" si="748">R154/100000</f>
        <v>-39263.426813796432</v>
      </c>
      <c r="T154">
        <f t="shared" ref="T154" si="749">S154/1000</f>
        <v>-39.263426813796428</v>
      </c>
    </row>
    <row r="155" spans="1:20" x14ac:dyDescent="0.25">
      <c r="A155" s="5">
        <v>44438</v>
      </c>
      <c r="B155">
        <v>0.82</v>
      </c>
      <c r="C155">
        <v>0.82320000000000004</v>
      </c>
      <c r="D155">
        <v>0.74390000000000001</v>
      </c>
      <c r="E155">
        <v>0.74760000000000004</v>
      </c>
      <c r="F155">
        <v>2405599</v>
      </c>
      <c r="G155">
        <v>0.74760000000000004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-0.9066834804539714</v>
      </c>
      <c r="Q155">
        <f t="shared" ref="Q155" si="751">F155*P155</f>
        <v>-2181116.8738965932</v>
      </c>
      <c r="R155">
        <f t="shared" ref="R155" si="752">R156+Q155</f>
        <v>-3925166695.1120372</v>
      </c>
      <c r="S155">
        <f t="shared" ref="S155" si="753">R155/100000</f>
        <v>-39251.666951120373</v>
      </c>
      <c r="T155">
        <f t="shared" ref="T155" si="754">S155/1000</f>
        <v>-39.25166695112037</v>
      </c>
    </row>
    <row r="156" spans="1:20" x14ac:dyDescent="0.25">
      <c r="A156" s="5">
        <v>44437</v>
      </c>
      <c r="B156">
        <v>0.89280000000000004</v>
      </c>
      <c r="C156">
        <v>0.90249999999999997</v>
      </c>
      <c r="D156">
        <v>0.81</v>
      </c>
      <c r="E156">
        <v>0.81899999999999995</v>
      </c>
      <c r="F156">
        <v>2939309</v>
      </c>
      <c r="G156">
        <v>0.81899999999999995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-0.8054054054054075</v>
      </c>
      <c r="Q156">
        <f t="shared" ref="Q156" si="756">F156*P156</f>
        <v>-2367335.3567567631</v>
      </c>
      <c r="R156">
        <f t="shared" ref="R156" si="757">R157+Q156</f>
        <v>-3922985578.2381406</v>
      </c>
      <c r="S156">
        <f t="shared" ref="S156" si="758">R156/100000</f>
        <v>-39229.855782381404</v>
      </c>
      <c r="T156">
        <f t="shared" ref="T156" si="759">S156/1000</f>
        <v>-39.229855782381406</v>
      </c>
    </row>
    <row r="157" spans="1:20" x14ac:dyDescent="0.25">
      <c r="A157" s="5">
        <v>44436</v>
      </c>
      <c r="B157">
        <v>0.82530000000000003</v>
      </c>
      <c r="C157">
        <v>0.94</v>
      </c>
      <c r="D157">
        <v>0.82530000000000003</v>
      </c>
      <c r="E157">
        <v>0.89280000000000004</v>
      </c>
      <c r="F157">
        <v>6007921</v>
      </c>
      <c r="G157">
        <v>0.89280000000000004</v>
      </c>
      <c r="L157" t="s">
        <v>7</v>
      </c>
      <c r="M157" t="s">
        <v>8</v>
      </c>
      <c r="N157" t="s">
        <v>8</v>
      </c>
      <c r="P157">
        <f t="shared" ref="P157" si="760">IF(C157=D157,0,((E157-D157)-(C157-E157))/(C157-D157))</f>
        <v>0.17698343504795214</v>
      </c>
      <c r="Q157">
        <f t="shared" ref="Q157" si="761">F157*P157</f>
        <v>1063302.4960767278</v>
      </c>
      <c r="R157">
        <f t="shared" ref="R157" si="762">R158+Q157</f>
        <v>-3920618242.8813839</v>
      </c>
      <c r="S157">
        <f t="shared" ref="S157" si="763">R157/100000</f>
        <v>-39206.182428813838</v>
      </c>
      <c r="T157">
        <f t="shared" ref="T157" si="764">S157/1000</f>
        <v>-39.20618242881384</v>
      </c>
    </row>
    <row r="158" spans="1:20" x14ac:dyDescent="0.25">
      <c r="A158" s="5">
        <v>44435</v>
      </c>
      <c r="B158">
        <v>0.75660000000000005</v>
      </c>
      <c r="C158">
        <v>0.98799999999999999</v>
      </c>
      <c r="D158">
        <v>0.71950000000000003</v>
      </c>
      <c r="E158">
        <v>0.82569999999999999</v>
      </c>
      <c r="F158">
        <v>19909597.09</v>
      </c>
      <c r="G158">
        <v>0.82569999999999999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-0.20893854748603369</v>
      </c>
      <c r="Q158">
        <f t="shared" ref="Q158" si="766">F158*P158</f>
        <v>-4159882.2970167631</v>
      </c>
      <c r="R158">
        <f t="shared" ref="R158" si="767">R159+Q158</f>
        <v>-3921681545.3774605</v>
      </c>
      <c r="S158">
        <f t="shared" ref="S158" si="768">R158/100000</f>
        <v>-39216.815453774601</v>
      </c>
      <c r="T158">
        <f t="shared" ref="T158" si="769">S158/1000</f>
        <v>-39.216815453774601</v>
      </c>
    </row>
    <row r="159" spans="1:20" x14ac:dyDescent="0.25">
      <c r="A159" s="5">
        <v>44434</v>
      </c>
      <c r="B159">
        <v>0.72399999999999998</v>
      </c>
      <c r="C159">
        <v>0.78500000000000003</v>
      </c>
      <c r="D159">
        <v>0.66700000000000004</v>
      </c>
      <c r="E159">
        <v>0.75660000000000005</v>
      </c>
      <c r="F159">
        <v>4084133.7570000002</v>
      </c>
      <c r="G159">
        <v>0.75660000000000005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0.51864406779661043</v>
      </c>
      <c r="Q159">
        <f t="shared" ref="Q159" si="771">F159*P159</f>
        <v>2118211.7451559333</v>
      </c>
      <c r="R159">
        <f t="shared" ref="R159" si="772">R160+Q159</f>
        <v>-3917521663.0804439</v>
      </c>
      <c r="S159">
        <f t="shared" ref="S159" si="773">R159/100000</f>
        <v>-39175.21663080444</v>
      </c>
      <c r="T159">
        <f t="shared" ref="T159" si="774">S159/1000</f>
        <v>-39.175216630804442</v>
      </c>
    </row>
    <row r="160" spans="1:20" x14ac:dyDescent="0.25">
      <c r="A160" s="5">
        <v>44433</v>
      </c>
      <c r="B160">
        <v>0.68700000000000006</v>
      </c>
      <c r="C160">
        <v>0.753</v>
      </c>
      <c r="D160">
        <v>0.66300000000000003</v>
      </c>
      <c r="E160">
        <v>0.72399999999999998</v>
      </c>
      <c r="F160">
        <v>2250817.9</v>
      </c>
      <c r="G160">
        <v>0.72399999999999998</v>
      </c>
      <c r="L160" t="s">
        <v>8</v>
      </c>
      <c r="M160" t="s">
        <v>7</v>
      </c>
      <c r="N160" t="s">
        <v>8</v>
      </c>
      <c r="P160">
        <f t="shared" ref="P160" si="775">IF(C160=D160,0,((E160-D160)-(C160-E160))/(C160-D160))</f>
        <v>0.35555555555555474</v>
      </c>
      <c r="Q160">
        <f t="shared" ref="Q160" si="776">F160*P160</f>
        <v>800290.80888888706</v>
      </c>
      <c r="R160">
        <f t="shared" ref="R160" si="777">R161+Q160</f>
        <v>-3919639874.8255997</v>
      </c>
      <c r="S160">
        <f t="shared" ref="S160" si="778">R160/100000</f>
        <v>-39196.398748255997</v>
      </c>
      <c r="T160">
        <f t="shared" ref="T160" si="779">S160/1000</f>
        <v>-39.196398748255994</v>
      </c>
    </row>
    <row r="161" spans="1:20" x14ac:dyDescent="0.25">
      <c r="A161" s="5">
        <v>44432</v>
      </c>
      <c r="B161">
        <v>0.75900000000000001</v>
      </c>
      <c r="C161">
        <v>0.76100000000000001</v>
      </c>
      <c r="D161">
        <v>0.67</v>
      </c>
      <c r="E161">
        <v>0.68799999999999994</v>
      </c>
      <c r="F161">
        <v>1816854.4310000001</v>
      </c>
      <c r="G161">
        <v>0.68799999999999994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-0.60439560439560636</v>
      </c>
      <c r="Q161">
        <f t="shared" ref="Q161" si="781">F161*P161</f>
        <v>-1098098.8319230806</v>
      </c>
      <c r="R161">
        <f t="shared" ref="R161" si="782">R162+Q161</f>
        <v>-3920440165.6344886</v>
      </c>
      <c r="S161">
        <f t="shared" ref="S161" si="783">R161/100000</f>
        <v>-39204.401656344882</v>
      </c>
      <c r="T161">
        <f t="shared" ref="T161" si="784">S161/1000</f>
        <v>-39.204401656344885</v>
      </c>
    </row>
    <row r="162" spans="1:20" x14ac:dyDescent="0.25">
      <c r="A162" s="5">
        <v>44431</v>
      </c>
      <c r="B162">
        <v>0.76900000000000002</v>
      </c>
      <c r="C162">
        <v>0.79300000000000004</v>
      </c>
      <c r="D162">
        <v>0.74399999999999999</v>
      </c>
      <c r="E162">
        <v>0.75800000000000001</v>
      </c>
      <c r="F162">
        <v>2161342.1239999998</v>
      </c>
      <c r="G162">
        <v>0.75800000000000001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-0.42857142857142855</v>
      </c>
      <c r="Q162">
        <f t="shared" ref="Q162" si="786">F162*P162</f>
        <v>-926289.48171428556</v>
      </c>
      <c r="R162">
        <f t="shared" ref="R162" si="787">R163+Q162</f>
        <v>-3919342066.8025656</v>
      </c>
      <c r="S162">
        <f t="shared" ref="S162" si="788">R162/100000</f>
        <v>-39193.420668025654</v>
      </c>
      <c r="T162">
        <f t="shared" ref="T162" si="789">S162/1000</f>
        <v>-39.193420668025652</v>
      </c>
    </row>
    <row r="163" spans="1:20" x14ac:dyDescent="0.25">
      <c r="A163" s="5">
        <v>44430</v>
      </c>
      <c r="B163">
        <v>0.749</v>
      </c>
      <c r="C163">
        <v>0.80800000000000005</v>
      </c>
      <c r="D163">
        <v>0.74299999999999999</v>
      </c>
      <c r="E163">
        <v>0.80100000000000005</v>
      </c>
      <c r="F163">
        <v>715556.23699999996</v>
      </c>
      <c r="G163">
        <v>0.80100000000000005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0.7846153846153846</v>
      </c>
      <c r="Q163">
        <f t="shared" ref="Q163" si="791">F163*P163</f>
        <v>561436.43210769224</v>
      </c>
      <c r="R163">
        <f t="shared" ref="R163" si="792">R164+Q163</f>
        <v>-3918415777.3208513</v>
      </c>
      <c r="S163">
        <f t="shared" ref="S163" si="793">R163/100000</f>
        <v>-39184.157773208513</v>
      </c>
      <c r="T163">
        <f t="shared" ref="T163" si="794">S163/1000</f>
        <v>-39.184157773208511</v>
      </c>
    </row>
    <row r="164" spans="1:20" x14ac:dyDescent="0.25">
      <c r="A164" s="5">
        <v>44429</v>
      </c>
      <c r="B164">
        <v>0.72799999999999998</v>
      </c>
      <c r="C164">
        <v>0.76800000000000002</v>
      </c>
      <c r="D164">
        <v>0.70699999999999996</v>
      </c>
      <c r="E164">
        <v>0.74399999999999999</v>
      </c>
      <c r="F164">
        <v>2535178.6779999998</v>
      </c>
      <c r="G164">
        <v>0.74399999999999999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0.21311475409836064</v>
      </c>
      <c r="Q164">
        <f t="shared" ref="Q164" si="796">F164*P164</f>
        <v>540283.98055737698</v>
      </c>
      <c r="R164">
        <f t="shared" ref="R164" si="797">R165+Q164</f>
        <v>-3918977213.7529593</v>
      </c>
      <c r="S164">
        <f t="shared" ref="S164" si="798">R164/100000</f>
        <v>-39189.772137529595</v>
      </c>
      <c r="T164">
        <f t="shared" ref="T164" si="799">S164/1000</f>
        <v>-39.189772137529594</v>
      </c>
    </row>
    <row r="165" spans="1:20" x14ac:dyDescent="0.25">
      <c r="A165" s="5">
        <v>44428</v>
      </c>
      <c r="B165">
        <v>0.72299999999999998</v>
      </c>
      <c r="C165">
        <v>0.75600000000000001</v>
      </c>
      <c r="D165">
        <v>0.70499999999999996</v>
      </c>
      <c r="E165">
        <v>0.72699999999999998</v>
      </c>
      <c r="F165">
        <v>1941734.379</v>
      </c>
      <c r="G165">
        <v>0.72699999999999998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-0.13725490196078433</v>
      </c>
      <c r="Q165">
        <f t="shared" ref="Q165" si="801">F165*P165</f>
        <v>-266512.56182352942</v>
      </c>
      <c r="R165">
        <f t="shared" ref="R165" si="802">R166+Q165</f>
        <v>-3919517497.7335167</v>
      </c>
      <c r="S165">
        <f t="shared" ref="S165" si="803">R165/100000</f>
        <v>-39195.174977335169</v>
      </c>
      <c r="T165">
        <f t="shared" ref="T165" si="804">S165/1000</f>
        <v>-39.195174977335171</v>
      </c>
    </row>
    <row r="166" spans="1:20" x14ac:dyDescent="0.25">
      <c r="A166" s="5">
        <v>44427</v>
      </c>
      <c r="B166">
        <v>0.67400000000000004</v>
      </c>
      <c r="C166">
        <v>0.75</v>
      </c>
      <c r="D166">
        <v>0.64600000000000002</v>
      </c>
      <c r="E166">
        <v>0.72199999999999998</v>
      </c>
      <c r="F166">
        <v>1701268.041</v>
      </c>
      <c r="G166">
        <v>0.72199999999999998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0.46153846153846095</v>
      </c>
      <c r="Q166">
        <f t="shared" ref="Q166" si="806">F166*P166</f>
        <v>785200.63430769125</v>
      </c>
      <c r="R166">
        <f t="shared" ref="R166" si="807">R167+Q166</f>
        <v>-3919250985.1716933</v>
      </c>
      <c r="S166">
        <f t="shared" ref="S166" si="808">R166/100000</f>
        <v>-39192.509851716932</v>
      </c>
      <c r="T166">
        <f t="shared" ref="T166" si="809">S166/1000</f>
        <v>-39.192509851716935</v>
      </c>
    </row>
    <row r="167" spans="1:20" x14ac:dyDescent="0.25">
      <c r="A167" s="5">
        <v>44426</v>
      </c>
      <c r="B167">
        <v>0.68100000000000005</v>
      </c>
      <c r="C167">
        <v>0.70499999999999996</v>
      </c>
      <c r="D167">
        <v>0.64400000000000002</v>
      </c>
      <c r="E167">
        <v>0.67400000000000004</v>
      </c>
      <c r="F167">
        <v>2206417.9199999999</v>
      </c>
      <c r="G167">
        <v>0.67400000000000004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-1.639344262294903E-2</v>
      </c>
      <c r="Q167">
        <f t="shared" ref="Q167" si="811">F167*P167</f>
        <v>-36170.785573766545</v>
      </c>
      <c r="R167">
        <f t="shared" ref="R167" si="812">R168+Q167</f>
        <v>-3920036185.8060012</v>
      </c>
      <c r="S167">
        <f t="shared" ref="S167" si="813">R167/100000</f>
        <v>-39200.361858060009</v>
      </c>
      <c r="T167">
        <f t="shared" ref="T167" si="814">S167/1000</f>
        <v>-39.200361858060006</v>
      </c>
    </row>
    <row r="168" spans="1:20" x14ac:dyDescent="0.25">
      <c r="A168" s="5">
        <v>44425</v>
      </c>
      <c r="B168">
        <v>0.72099999999999997</v>
      </c>
      <c r="C168">
        <v>0.747</v>
      </c>
      <c r="D168">
        <v>0.67500000000000004</v>
      </c>
      <c r="E168">
        <v>0.68100000000000005</v>
      </c>
      <c r="F168">
        <v>1986077.0819999999</v>
      </c>
      <c r="G168">
        <v>0.68100000000000005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-0.83333333333333304</v>
      </c>
      <c r="Q168">
        <f t="shared" ref="Q168" si="816">F168*P168</f>
        <v>-1655064.2349999994</v>
      </c>
      <c r="R168">
        <f t="shared" ref="R168" si="817">R169+Q168</f>
        <v>-3920000015.0204272</v>
      </c>
      <c r="S168">
        <f t="shared" ref="S168" si="818">R168/100000</f>
        <v>-39200.000150204272</v>
      </c>
      <c r="T168">
        <f t="shared" ref="T168" si="819">S168/1000</f>
        <v>-39.200000150204275</v>
      </c>
    </row>
    <row r="169" spans="1:20" x14ac:dyDescent="0.25">
      <c r="A169" s="5">
        <v>44424</v>
      </c>
      <c r="B169">
        <v>0.748</v>
      </c>
      <c r="C169">
        <v>0.76700000000000002</v>
      </c>
      <c r="D169">
        <v>0.72</v>
      </c>
      <c r="E169">
        <v>0.72099999999999997</v>
      </c>
      <c r="F169">
        <v>2326804.3229999999</v>
      </c>
      <c r="G169">
        <v>0.72099999999999997</v>
      </c>
      <c r="L169" t="s">
        <v>8</v>
      </c>
      <c r="M169" t="s">
        <v>7</v>
      </c>
      <c r="N169" t="s">
        <v>8</v>
      </c>
      <c r="P169">
        <f t="shared" ref="P169" si="820">IF(C169=D169,0,((E169-D169)-(C169-E169))/(C169-D169))</f>
        <v>-0.95744680851063835</v>
      </c>
      <c r="Q169">
        <f t="shared" ref="Q169" si="821">F169*P169</f>
        <v>-2227791.3730851063</v>
      </c>
      <c r="R169">
        <f t="shared" ref="R169" si="822">R170+Q169</f>
        <v>-3918344950.7854271</v>
      </c>
      <c r="S169">
        <f t="shared" ref="S169" si="823">R169/100000</f>
        <v>-39183.449507854268</v>
      </c>
      <c r="T169">
        <f t="shared" ref="T169" si="824">S169/1000</f>
        <v>-39.18344950785427</v>
      </c>
    </row>
    <row r="170" spans="1:20" x14ac:dyDescent="0.25">
      <c r="A170" s="5">
        <v>44423</v>
      </c>
      <c r="B170">
        <v>0.76800000000000002</v>
      </c>
      <c r="C170">
        <v>0.81599999999999995</v>
      </c>
      <c r="D170">
        <v>0.65100000000000002</v>
      </c>
      <c r="E170">
        <v>0.748</v>
      </c>
      <c r="F170">
        <v>3193981.2940000002</v>
      </c>
      <c r="G170">
        <v>0.748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0.175757575757576</v>
      </c>
      <c r="Q170">
        <f t="shared" ref="Q170" si="826">F170*P170</f>
        <v>561366.4092484857</v>
      </c>
      <c r="R170">
        <f t="shared" ref="R170" si="827">R171+Q170</f>
        <v>-3916117159.4123421</v>
      </c>
      <c r="S170">
        <f t="shared" ref="S170" si="828">R170/100000</f>
        <v>-39161.171594123422</v>
      </c>
      <c r="T170">
        <f t="shared" ref="T170" si="829">S170/1000</f>
        <v>-39.161171594123424</v>
      </c>
    </row>
    <row r="171" spans="1:20" x14ac:dyDescent="0.25">
      <c r="A171" s="5">
        <v>44422</v>
      </c>
      <c r="B171">
        <v>0.80300000000000005</v>
      </c>
      <c r="C171">
        <v>0.82599999999999996</v>
      </c>
      <c r="D171">
        <v>0.73399999999999999</v>
      </c>
      <c r="E171">
        <v>0.76800000000000002</v>
      </c>
      <c r="F171">
        <v>3332322.7990000001</v>
      </c>
      <c r="G171">
        <v>0.76800000000000002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-0.26086956521739041</v>
      </c>
      <c r="Q171">
        <f t="shared" ref="Q171" si="831">F171*P171</f>
        <v>-869301.59973912744</v>
      </c>
      <c r="R171">
        <f t="shared" ref="R171" si="832">R172+Q171</f>
        <v>-3916678525.8215904</v>
      </c>
      <c r="S171">
        <f t="shared" ref="S171" si="833">R171/100000</f>
        <v>-39166.785258215903</v>
      </c>
      <c r="T171">
        <f t="shared" ref="T171" si="834">S171/1000</f>
        <v>-39.166785258215903</v>
      </c>
    </row>
    <row r="172" spans="1:20" x14ac:dyDescent="0.25">
      <c r="A172" s="5">
        <v>44421</v>
      </c>
      <c r="B172">
        <v>0.752</v>
      </c>
      <c r="C172">
        <v>0.85</v>
      </c>
      <c r="D172">
        <v>0.74099999999999999</v>
      </c>
      <c r="E172">
        <v>0.80500000000000005</v>
      </c>
      <c r="F172">
        <v>5063119.1969999997</v>
      </c>
      <c r="G172">
        <v>0.80500000000000005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0.17431192660550579</v>
      </c>
      <c r="Q172">
        <f t="shared" ref="Q172" si="836">F172*P172</f>
        <v>882562.0618623913</v>
      </c>
      <c r="R172">
        <f t="shared" ref="R172" si="837">R173+Q172</f>
        <v>-3915809224.2218513</v>
      </c>
      <c r="S172">
        <f t="shared" ref="S172" si="838">R172/100000</f>
        <v>-39158.09224221851</v>
      </c>
      <c r="T172">
        <f t="shared" ref="T172" si="839">S172/1000</f>
        <v>-39.158092242218508</v>
      </c>
    </row>
    <row r="173" spans="1:20" x14ac:dyDescent="0.25">
      <c r="A173" s="5">
        <v>44420</v>
      </c>
      <c r="B173">
        <v>0.71</v>
      </c>
      <c r="C173">
        <v>0.78100000000000003</v>
      </c>
      <c r="D173">
        <v>0.67500000000000004</v>
      </c>
      <c r="E173">
        <v>0.753</v>
      </c>
      <c r="F173">
        <v>6875850.6699999999</v>
      </c>
      <c r="G173">
        <v>0.753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0.47169811320754662</v>
      </c>
      <c r="Q173">
        <f t="shared" ref="Q173" si="841">F173*P173</f>
        <v>3243325.7877358454</v>
      </c>
      <c r="R173">
        <f t="shared" ref="R173" si="842">R174+Q173</f>
        <v>-3916691786.2837138</v>
      </c>
      <c r="S173">
        <f t="shared" ref="S173" si="843">R173/100000</f>
        <v>-39166.917862837137</v>
      </c>
      <c r="T173">
        <f t="shared" ref="T173" si="844">S173/1000</f>
        <v>-39.166917862837138</v>
      </c>
    </row>
    <row r="174" spans="1:20" x14ac:dyDescent="0.25">
      <c r="A174" s="5">
        <v>44419</v>
      </c>
      <c r="B174">
        <v>0.68500000000000005</v>
      </c>
      <c r="C174">
        <v>0.75</v>
      </c>
      <c r="D174">
        <v>0.66700000000000004</v>
      </c>
      <c r="E174">
        <v>0.71099999999999997</v>
      </c>
      <c r="F174">
        <v>6126556.1189999999</v>
      </c>
      <c r="G174">
        <v>0.71099999999999997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6.024096385542043E-2</v>
      </c>
      <c r="Q174">
        <f t="shared" ref="Q174" si="846">F174*P174</f>
        <v>369069.64572288387</v>
      </c>
      <c r="R174">
        <f t="shared" ref="R174" si="847">R175+Q174</f>
        <v>-3919935112.0714498</v>
      </c>
      <c r="S174">
        <f t="shared" ref="S174" si="848">R174/100000</f>
        <v>-39199.351120714498</v>
      </c>
      <c r="T174">
        <f t="shared" ref="T174" si="849">S174/1000</f>
        <v>-39.199351120714496</v>
      </c>
    </row>
    <row r="175" spans="1:20" x14ac:dyDescent="0.25">
      <c r="A175" s="5">
        <v>44418</v>
      </c>
      <c r="B175">
        <v>0.65500000000000003</v>
      </c>
      <c r="C175">
        <v>0.72799999999999998</v>
      </c>
      <c r="D175">
        <v>0.64400000000000002</v>
      </c>
      <c r="E175">
        <v>0.68600000000000005</v>
      </c>
      <c r="F175">
        <v>5335871.9720000001</v>
      </c>
      <c r="G175">
        <v>0.68600000000000005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1.3216940769347108E-15</v>
      </c>
      <c r="Q175">
        <f t="shared" ref="Q175" si="851">F175*P175</f>
        <v>7.0523903806743349E-9</v>
      </c>
      <c r="R175">
        <f t="shared" ref="R175" si="852">R176+Q175</f>
        <v>-3920304181.7171726</v>
      </c>
      <c r="S175">
        <f t="shared" ref="S175" si="853">R175/100000</f>
        <v>-39203.041817171725</v>
      </c>
      <c r="T175">
        <f t="shared" ref="T175" si="854">S175/1000</f>
        <v>-39.203041817171723</v>
      </c>
    </row>
    <row r="176" spans="1:20" x14ac:dyDescent="0.25">
      <c r="A176" s="5">
        <v>44417</v>
      </c>
      <c r="B176">
        <v>0.627</v>
      </c>
      <c r="C176">
        <v>0.67</v>
      </c>
      <c r="D176">
        <v>0.60699999999999998</v>
      </c>
      <c r="E176">
        <v>0.65500000000000003</v>
      </c>
      <c r="F176">
        <v>3188822.1150000002</v>
      </c>
      <c r="G176">
        <v>0.65500000000000003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0.52380952380952384</v>
      </c>
      <c r="Q176">
        <f t="shared" ref="Q176" si="856">F176*P176</f>
        <v>1670335.3935714287</v>
      </c>
      <c r="R176">
        <f t="shared" ref="R176" si="857">R177+Q176</f>
        <v>-3920304181.7171726</v>
      </c>
      <c r="S176">
        <f t="shared" ref="S176" si="858">R176/100000</f>
        <v>-39203.041817171725</v>
      </c>
      <c r="T176">
        <f t="shared" ref="T176" si="859">S176/1000</f>
        <v>-39.203041817171723</v>
      </c>
    </row>
    <row r="177" spans="1:20" x14ac:dyDescent="0.25">
      <c r="A177" s="5">
        <v>44416</v>
      </c>
      <c r="B177">
        <v>0.61399999999999999</v>
      </c>
      <c r="C177">
        <v>0.69599999999999995</v>
      </c>
      <c r="D177">
        <v>0.60499999999999998</v>
      </c>
      <c r="E177">
        <v>0.627</v>
      </c>
      <c r="F177">
        <v>6866694.8590000002</v>
      </c>
      <c r="G177">
        <v>0.627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-0.51648351648351587</v>
      </c>
      <c r="Q177">
        <f t="shared" ref="Q177" si="861">F177*P177</f>
        <v>-3546534.7073956002</v>
      </c>
      <c r="R177">
        <f t="shared" ref="R177" si="862">R178+Q177</f>
        <v>-3921974517.110744</v>
      </c>
      <c r="S177">
        <f t="shared" ref="S177" si="863">R177/100000</f>
        <v>-39219.745171107439</v>
      </c>
      <c r="T177">
        <f t="shared" ref="T177" si="864">S177/1000</f>
        <v>-39.219745171107441</v>
      </c>
    </row>
    <row r="178" spans="1:20" x14ac:dyDescent="0.25">
      <c r="A178" s="5">
        <v>44415</v>
      </c>
      <c r="B178">
        <v>0.61299999999999999</v>
      </c>
      <c r="C178">
        <v>0.64500000000000002</v>
      </c>
      <c r="D178">
        <v>0.58399999999999996</v>
      </c>
      <c r="E178">
        <v>0.61299999999999999</v>
      </c>
      <c r="F178">
        <v>3582742.523</v>
      </c>
      <c r="G178">
        <v>0.61299999999999999</v>
      </c>
      <c r="L178" t="s">
        <v>7</v>
      </c>
      <c r="M178" t="s">
        <v>8</v>
      </c>
      <c r="N178" t="s">
        <v>7</v>
      </c>
      <c r="P178">
        <f t="shared" ref="P178" si="865">IF(C178=D178,0,((E178-D178)-(C178-E178))/(C178-D178))</f>
        <v>-4.9180327868852458E-2</v>
      </c>
      <c r="Q178">
        <f t="shared" ref="Q178" si="866">F178*P178</f>
        <v>-176200.45195081967</v>
      </c>
      <c r="R178">
        <f t="shared" ref="R178" si="867">R179+Q178</f>
        <v>-3918427982.4033484</v>
      </c>
      <c r="S178">
        <f t="shared" ref="S178" si="868">R178/100000</f>
        <v>-39184.279824033481</v>
      </c>
      <c r="T178">
        <f t="shared" ref="T178" si="869">S178/1000</f>
        <v>-39.184279824033482</v>
      </c>
    </row>
    <row r="179" spans="1:20" x14ac:dyDescent="0.25">
      <c r="A179" s="5">
        <v>44414</v>
      </c>
      <c r="B179">
        <v>0.59199999999999997</v>
      </c>
      <c r="C179">
        <v>0.65200000000000002</v>
      </c>
      <c r="D179">
        <v>0.56299999999999994</v>
      </c>
      <c r="E179">
        <v>0.61299999999999999</v>
      </c>
      <c r="F179">
        <v>6083222.6629999997</v>
      </c>
      <c r="G179">
        <v>0.61299999999999999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0.12359550561797752</v>
      </c>
      <c r="Q179">
        <f t="shared" ref="Q179" si="871">F179*P179</f>
        <v>751858.98082022462</v>
      </c>
      <c r="R179">
        <f t="shared" ref="R179" si="872">R180+Q179</f>
        <v>-3918251781.9513974</v>
      </c>
      <c r="S179">
        <f t="shared" ref="S179" si="873">R179/100000</f>
        <v>-39182.517819513974</v>
      </c>
      <c r="T179">
        <f t="shared" ref="T179" si="874">S179/1000</f>
        <v>-39.182517819513976</v>
      </c>
    </row>
    <row r="180" spans="1:20" x14ac:dyDescent="0.25">
      <c r="A180" s="5">
        <v>44413</v>
      </c>
      <c r="B180">
        <v>0.52900000000000003</v>
      </c>
      <c r="C180">
        <v>0.629</v>
      </c>
      <c r="D180">
        <v>0.50800000000000001</v>
      </c>
      <c r="E180">
        <v>0.59299999999999997</v>
      </c>
      <c r="F180">
        <v>6657298.2230000002</v>
      </c>
      <c r="G180">
        <v>0.59299999999999997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0.40495867768594984</v>
      </c>
      <c r="Q180">
        <f t="shared" ref="Q180" si="876">F180*P180</f>
        <v>2695930.6853471035</v>
      </c>
      <c r="R180">
        <f t="shared" ref="R180" si="877">R181+Q180</f>
        <v>-3919003640.9322176</v>
      </c>
      <c r="S180">
        <f t="shared" ref="S180" si="878">R180/100000</f>
        <v>-39190.036409322172</v>
      </c>
      <c r="T180">
        <f t="shared" ref="T180" si="879">S180/1000</f>
        <v>-39.190036409322175</v>
      </c>
    </row>
    <row r="181" spans="1:20" x14ac:dyDescent="0.25">
      <c r="A181" s="5">
        <v>44412</v>
      </c>
      <c r="B181">
        <v>0.48799999999999999</v>
      </c>
      <c r="C181">
        <v>0.57099999999999995</v>
      </c>
      <c r="D181">
        <v>0.48099999999999998</v>
      </c>
      <c r="E181">
        <v>0.52900000000000003</v>
      </c>
      <c r="F181">
        <v>4534396.46</v>
      </c>
      <c r="G181">
        <v>0.52900000000000003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6.6666666666667984E-2</v>
      </c>
      <c r="Q181">
        <f t="shared" ref="Q181" si="881">F181*P181</f>
        <v>302293.09733333928</v>
      </c>
      <c r="R181">
        <f t="shared" ref="R181" si="882">R182+Q181</f>
        <v>-3921699571.6175647</v>
      </c>
      <c r="S181">
        <f t="shared" ref="S181" si="883">R181/100000</f>
        <v>-39216.995716175647</v>
      </c>
      <c r="T181">
        <f t="shared" ref="T181" si="884">S181/1000</f>
        <v>-39.216995716175646</v>
      </c>
    </row>
    <row r="182" spans="1:20" x14ac:dyDescent="0.25">
      <c r="A182" s="5">
        <v>44411</v>
      </c>
      <c r="B182">
        <v>0.51100000000000001</v>
      </c>
      <c r="C182">
        <v>0.52</v>
      </c>
      <c r="D182">
        <v>0.47899999999999998</v>
      </c>
      <c r="E182">
        <v>0.48799999999999999</v>
      </c>
      <c r="F182">
        <v>2003340.1140000001</v>
      </c>
      <c r="G182">
        <v>0.48799999999999999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-0.56097560975609762</v>
      </c>
      <c r="Q182">
        <f t="shared" ref="Q182" si="886">F182*P182</f>
        <v>-1123824.942</v>
      </c>
      <c r="R182">
        <f t="shared" ref="R182" si="887">R183+Q182</f>
        <v>-3922001864.7148981</v>
      </c>
      <c r="S182">
        <f t="shared" ref="S182" si="888">R182/100000</f>
        <v>-39220.01864714898</v>
      </c>
      <c r="T182">
        <f t="shared" ref="T182" si="889">S182/1000</f>
        <v>-39.220018647148983</v>
      </c>
    </row>
    <row r="183" spans="1:20" x14ac:dyDescent="0.25">
      <c r="A183" s="5">
        <v>44410</v>
      </c>
      <c r="B183">
        <v>0.504</v>
      </c>
      <c r="C183">
        <v>0.52200000000000002</v>
      </c>
      <c r="D183">
        <v>0.49399999999999999</v>
      </c>
      <c r="E183">
        <v>0.51200000000000001</v>
      </c>
      <c r="F183">
        <v>1660058.253</v>
      </c>
      <c r="G183">
        <v>0.51200000000000001</v>
      </c>
      <c r="L183" t="s">
        <v>7</v>
      </c>
      <c r="M183" t="s">
        <v>7</v>
      </c>
      <c r="N183" t="s">
        <v>7</v>
      </c>
      <c r="P183">
        <f t="shared" ref="P183" si="890">IF(C183=D183,0,((E183-D183)-(C183-E183))/(C183-D183))</f>
        <v>0.2857142857142857</v>
      </c>
      <c r="Q183">
        <f t="shared" ref="Q183" si="891">F183*P183</f>
        <v>474302.35800000001</v>
      </c>
      <c r="R183">
        <f t="shared" ref="R183" si="892">R184+Q183</f>
        <v>-3920878039.7728982</v>
      </c>
      <c r="S183">
        <f t="shared" ref="S183" si="893">R183/100000</f>
        <v>-39208.78039772898</v>
      </c>
      <c r="T183">
        <f t="shared" ref="T183" si="894">S183/1000</f>
        <v>-39.208780397728979</v>
      </c>
    </row>
    <row r="184" spans="1:20" x14ac:dyDescent="0.25">
      <c r="A184" s="5">
        <v>44409</v>
      </c>
      <c r="B184">
        <v>0.52300000000000002</v>
      </c>
      <c r="C184">
        <v>0.54300000000000004</v>
      </c>
      <c r="D184">
        <v>0.5</v>
      </c>
      <c r="E184">
        <v>0.505</v>
      </c>
      <c r="F184">
        <v>2273687.5380000002</v>
      </c>
      <c r="G184">
        <v>0.505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-0.76744186046511631</v>
      </c>
      <c r="Q184">
        <f t="shared" ref="Q184" si="896">F184*P184</f>
        <v>-1744922.9942790701</v>
      </c>
      <c r="R184">
        <f t="shared" ref="R184" si="897">R185+Q184</f>
        <v>-3921352342.130898</v>
      </c>
      <c r="S184">
        <f t="shared" ref="S184" si="898">R184/100000</f>
        <v>-39213.523421308979</v>
      </c>
      <c r="T184">
        <f t="shared" ref="T184" si="899">S184/1000</f>
        <v>-39.213523421308977</v>
      </c>
    </row>
    <row r="185" spans="1:20" x14ac:dyDescent="0.25">
      <c r="A185" s="5">
        <v>44408</v>
      </c>
      <c r="B185">
        <v>0.5</v>
      </c>
      <c r="C185">
        <v>0.55100000000000005</v>
      </c>
      <c r="D185">
        <v>0.49199999999999999</v>
      </c>
      <c r="E185">
        <v>0.52300000000000002</v>
      </c>
      <c r="F185">
        <v>4717741.5650000004</v>
      </c>
      <c r="G185">
        <v>0.52300000000000002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5.0847457627118647E-2</v>
      </c>
      <c r="Q185">
        <f t="shared" ref="Q185" si="901">F185*P185</f>
        <v>239885.16432203393</v>
      </c>
      <c r="R185">
        <f t="shared" ref="R185" si="902">R186+Q185</f>
        <v>-3919607419.1366191</v>
      </c>
      <c r="S185">
        <f t="shared" ref="S185" si="903">R185/100000</f>
        <v>-39196.074191366191</v>
      </c>
      <c r="T185">
        <f t="shared" ref="T185" si="904">S185/1000</f>
        <v>-39.196074191366193</v>
      </c>
    </row>
    <row r="186" spans="1:20" x14ac:dyDescent="0.25">
      <c r="A186" s="5">
        <v>44407</v>
      </c>
      <c r="B186">
        <v>0.51700000000000002</v>
      </c>
      <c r="C186">
        <v>0.53400000000000003</v>
      </c>
      <c r="D186">
        <v>0.48099999999999998</v>
      </c>
      <c r="E186">
        <v>0.499</v>
      </c>
      <c r="F186">
        <v>5312251.6629999997</v>
      </c>
      <c r="G186">
        <v>0.499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-0.32075471698113206</v>
      </c>
      <c r="Q186">
        <f t="shared" ref="Q186" si="906">F186*P186</f>
        <v>-1703929.778698113</v>
      </c>
      <c r="R186">
        <f t="shared" ref="R186" si="907">R187+Q186</f>
        <v>-3919847304.300941</v>
      </c>
      <c r="S186">
        <f t="shared" ref="S186" si="908">R186/100000</f>
        <v>-39198.473043009413</v>
      </c>
      <c r="T186">
        <f t="shared" ref="T186" si="909">S186/1000</f>
        <v>-39.198473043009415</v>
      </c>
    </row>
    <row r="187" spans="1:20" x14ac:dyDescent="0.25">
      <c r="A187" s="5">
        <v>44406</v>
      </c>
      <c r="B187">
        <v>0.51100000000000001</v>
      </c>
      <c r="C187">
        <v>0.53900000000000003</v>
      </c>
      <c r="D187">
        <v>0.497</v>
      </c>
      <c r="E187">
        <v>0.51600000000000001</v>
      </c>
      <c r="F187">
        <v>3187875.8969999999</v>
      </c>
      <c r="G187">
        <v>0.51600000000000001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-9.5238095238095233E-2</v>
      </c>
      <c r="Q187">
        <f t="shared" ref="Q187" si="911">F187*P187</f>
        <v>-303607.22828571429</v>
      </c>
      <c r="R187">
        <f t="shared" ref="R187" si="912">R188+Q187</f>
        <v>-3918143374.522243</v>
      </c>
      <c r="S187">
        <f t="shared" ref="S187" si="913">R187/100000</f>
        <v>-39181.433745222428</v>
      </c>
      <c r="T187">
        <f t="shared" ref="T187" si="914">S187/1000</f>
        <v>-39.181433745222428</v>
      </c>
    </row>
    <row r="188" spans="1:20" x14ac:dyDescent="0.25">
      <c r="A188" s="5">
        <v>44405</v>
      </c>
      <c r="B188">
        <v>0.53</v>
      </c>
      <c r="C188">
        <v>0.53600000000000003</v>
      </c>
      <c r="D188">
        <v>0.495</v>
      </c>
      <c r="E188">
        <v>0.51100000000000001</v>
      </c>
      <c r="F188">
        <v>3594843.3459999999</v>
      </c>
      <c r="G188">
        <v>0.51100000000000001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-0.21951219512195122</v>
      </c>
      <c r="Q188">
        <f t="shared" ref="Q188" si="916">F188*P188</f>
        <v>-789111.95400000003</v>
      </c>
      <c r="R188">
        <f t="shared" ref="R188" si="917">R189+Q188</f>
        <v>-3917839767.2939572</v>
      </c>
      <c r="S188">
        <f t="shared" ref="S188" si="918">R188/100000</f>
        <v>-39178.397672939573</v>
      </c>
      <c r="T188">
        <f t="shared" ref="T188" si="919">S188/1000</f>
        <v>-39.178397672939575</v>
      </c>
    </row>
    <row r="189" spans="1:20" x14ac:dyDescent="0.25">
      <c r="A189" s="5">
        <v>44404</v>
      </c>
      <c r="B189">
        <v>0.54500000000000004</v>
      </c>
      <c r="C189">
        <v>0.55300000000000005</v>
      </c>
      <c r="D189">
        <v>0.5</v>
      </c>
      <c r="E189">
        <v>0.52900000000000003</v>
      </c>
      <c r="F189">
        <v>5598585.8499999996</v>
      </c>
      <c r="G189">
        <v>0.52900000000000003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9.4339622641509441E-2</v>
      </c>
      <c r="Q189">
        <f t="shared" ref="Q189" si="921">F189*P189</f>
        <v>528168.47641509434</v>
      </c>
      <c r="R189">
        <f t="shared" ref="R189" si="922">R190+Q189</f>
        <v>-3917050655.3399572</v>
      </c>
      <c r="S189">
        <f t="shared" ref="S189" si="923">R189/100000</f>
        <v>-39170.506553399573</v>
      </c>
      <c r="T189">
        <f t="shared" ref="T189" si="924">S189/1000</f>
        <v>-39.170506553399576</v>
      </c>
    </row>
    <row r="190" spans="1:20" x14ac:dyDescent="0.25">
      <c r="A190" s="5">
        <v>44403</v>
      </c>
      <c r="B190">
        <v>0.60099999999999998</v>
      </c>
      <c r="C190">
        <v>0.64900000000000002</v>
      </c>
      <c r="D190">
        <v>0.53900000000000003</v>
      </c>
      <c r="E190">
        <v>0.54700000000000004</v>
      </c>
      <c r="F190">
        <v>8227274.2180000003</v>
      </c>
      <c r="G190">
        <v>0.54700000000000004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-0.85454545454545439</v>
      </c>
      <c r="Q190">
        <f t="shared" ref="Q190" si="926">F190*P190</f>
        <v>-7030579.7862909082</v>
      </c>
      <c r="R190">
        <f t="shared" ref="R190" si="927">R191+Q190</f>
        <v>-3917578823.8163724</v>
      </c>
      <c r="S190">
        <f t="shared" ref="S190" si="928">R190/100000</f>
        <v>-39175.788238163725</v>
      </c>
      <c r="T190">
        <f t="shared" ref="T190" si="929">S190/1000</f>
        <v>-39.175788238163726</v>
      </c>
    </row>
    <row r="191" spans="1:20" x14ac:dyDescent="0.25">
      <c r="A191" s="5">
        <v>44402</v>
      </c>
      <c r="B191">
        <v>0.62</v>
      </c>
      <c r="C191">
        <v>0.98</v>
      </c>
      <c r="D191">
        <v>0.59199999999999997</v>
      </c>
      <c r="E191">
        <v>0.6</v>
      </c>
      <c r="F191">
        <v>20431186.806000002</v>
      </c>
      <c r="G191">
        <v>0.6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-0.95876288659793807</v>
      </c>
      <c r="Q191">
        <f t="shared" ref="Q191" si="931">F191*P191</f>
        <v>-19588663.638742268</v>
      </c>
      <c r="R191">
        <f t="shared" ref="R191" si="932">R192+Q191</f>
        <v>-3910548244.0300813</v>
      </c>
      <c r="S191">
        <f t="shared" ref="S191" si="933">R191/100000</f>
        <v>-39105.48244030081</v>
      </c>
      <c r="T191">
        <f t="shared" ref="T191:T197" si="934">S191/1000</f>
        <v>-39.105482440300811</v>
      </c>
    </row>
    <row r="192" spans="1:20" x14ac:dyDescent="0.25">
      <c r="A192" s="5">
        <v>44401</v>
      </c>
      <c r="B192">
        <v>0.58899999999999997</v>
      </c>
      <c r="C192">
        <v>0.65</v>
      </c>
      <c r="D192">
        <v>0.58199999999999996</v>
      </c>
      <c r="E192">
        <v>0.61899999999999999</v>
      </c>
      <c r="F192">
        <v>3993130.665</v>
      </c>
      <c r="G192">
        <v>0.61899999999999999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8.8235294117647065E-2</v>
      </c>
      <c r="Q192">
        <f t="shared" ref="Q192" si="936">F192*P192</f>
        <v>352335.05867647059</v>
      </c>
      <c r="R192">
        <f t="shared" ref="R192" si="937">R193+Q192</f>
        <v>-3890959580.3913388</v>
      </c>
      <c r="S192">
        <f t="shared" ref="S192" si="938">R192/100000</f>
        <v>-38909.595803913391</v>
      </c>
      <c r="T192">
        <f t="shared" si="934"/>
        <v>-38.90959580391339</v>
      </c>
    </row>
    <row r="193" spans="1:20" x14ac:dyDescent="0.25">
      <c r="A193" s="5">
        <v>44400</v>
      </c>
      <c r="B193">
        <v>0.53</v>
      </c>
      <c r="C193">
        <v>0.59499999999999997</v>
      </c>
      <c r="D193">
        <v>0.52700000000000002</v>
      </c>
      <c r="E193">
        <v>0.58799999999999997</v>
      </c>
      <c r="F193">
        <v>4177307.0809999998</v>
      </c>
      <c r="G193">
        <v>0.58799999999999997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0.79411764705882315</v>
      </c>
      <c r="Q193">
        <f t="shared" ref="Q193" si="940">F193*P193</f>
        <v>3317273.2702058805</v>
      </c>
      <c r="R193">
        <f t="shared" ref="R193" si="941">R194+Q193</f>
        <v>-3891311915.4500151</v>
      </c>
      <c r="S193">
        <f t="shared" ref="S193" si="942">R193/100000</f>
        <v>-38913.119154500149</v>
      </c>
      <c r="T193">
        <f t="shared" si="934"/>
        <v>-38.913119154500151</v>
      </c>
    </row>
    <row r="194" spans="1:20" x14ac:dyDescent="0.25">
      <c r="A194" s="5">
        <v>44399</v>
      </c>
      <c r="B194">
        <v>0.48699999999999999</v>
      </c>
      <c r="C194">
        <v>0.54</v>
      </c>
      <c r="D194">
        <v>0.47699999999999998</v>
      </c>
      <c r="E194">
        <v>0.53</v>
      </c>
      <c r="F194">
        <v>2395907.9909999999</v>
      </c>
      <c r="G194">
        <v>0.53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0.68253968253968256</v>
      </c>
      <c r="Q194">
        <f t="shared" ref="Q194" si="944">F194*P194</f>
        <v>1635302.2795714287</v>
      </c>
      <c r="R194">
        <f t="shared" ref="R194" si="945">R195+Q194</f>
        <v>-3894629188.720221</v>
      </c>
      <c r="S194">
        <f t="shared" ref="S194" si="946">R194/100000</f>
        <v>-38946.291887202213</v>
      </c>
      <c r="T194">
        <f t="shared" si="934"/>
        <v>-38.946291887202214</v>
      </c>
    </row>
    <row r="195" spans="1:20" x14ac:dyDescent="0.25">
      <c r="A195" s="5">
        <v>44398</v>
      </c>
      <c r="B195">
        <v>0.434</v>
      </c>
      <c r="C195">
        <v>0.52</v>
      </c>
      <c r="D195">
        <v>0.43099999999999999</v>
      </c>
      <c r="E195">
        <v>0.48599999999999999</v>
      </c>
      <c r="F195">
        <v>5039185.97</v>
      </c>
      <c r="G195">
        <v>0.48599999999999999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0.2359550561797748</v>
      </c>
      <c r="Q195">
        <f t="shared" ref="Q195" si="948">F195*P195</f>
        <v>1189021.408651683</v>
      </c>
      <c r="R195">
        <f t="shared" ref="R195" si="949">R196+Q195</f>
        <v>-3896264490.9997926</v>
      </c>
      <c r="S195">
        <f t="shared" ref="S195" si="950">R195/100000</f>
        <v>-38962.644909997929</v>
      </c>
      <c r="T195">
        <f t="shared" si="934"/>
        <v>-38.962644909997927</v>
      </c>
    </row>
    <row r="196" spans="1:20" x14ac:dyDescent="0.25">
      <c r="A196" s="5">
        <v>44397</v>
      </c>
      <c r="B196">
        <v>0.46400000000000002</v>
      </c>
      <c r="C196">
        <v>0.50900000000000001</v>
      </c>
      <c r="D196">
        <v>0.42199999999999999</v>
      </c>
      <c r="E196">
        <v>0.434</v>
      </c>
      <c r="F196">
        <v>11534269.157</v>
      </c>
      <c r="G196">
        <v>0.434</v>
      </c>
      <c r="L196" t="s">
        <v>8</v>
      </c>
      <c r="M196" t="s">
        <v>8</v>
      </c>
      <c r="N196" t="s">
        <v>7</v>
      </c>
      <c r="P196">
        <f t="shared" ref="P196" si="951">IF(C196=D196,0,((E196-D196)-(C196-E196))/(C196-D196))</f>
        <v>-0.72413793103448254</v>
      </c>
      <c r="Q196">
        <f t="shared" ref="Q196" si="952">F196*P196</f>
        <v>-8352401.8033448253</v>
      </c>
      <c r="R196">
        <f t="shared" ref="R196" si="953">R197+Q196</f>
        <v>-3897453512.4084444</v>
      </c>
      <c r="S196">
        <f t="shared" ref="S196" si="954">R196/100000</f>
        <v>-38974.535124084447</v>
      </c>
      <c r="T196">
        <f t="shared" si="934"/>
        <v>-38.974535124084447</v>
      </c>
    </row>
    <row r="197" spans="1:20" x14ac:dyDescent="0.25">
      <c r="A197" s="5">
        <v>44396</v>
      </c>
      <c r="B197">
        <v>0.442</v>
      </c>
      <c r="C197">
        <v>0.48899999999999999</v>
      </c>
      <c r="D197">
        <v>0.43</v>
      </c>
      <c r="E197">
        <v>0.46100000000000002</v>
      </c>
      <c r="F197">
        <v>3102966.554</v>
      </c>
      <c r="G197">
        <v>0</v>
      </c>
      <c r="L197" t="s">
        <v>8</v>
      </c>
      <c r="M197" t="s">
        <v>7</v>
      </c>
      <c r="N197" t="s">
        <v>7</v>
      </c>
      <c r="P197">
        <f t="shared" ref="P197" si="955">IF(C197=D197,0,((E197-D197)-(C197-E197))/(C197-D197))</f>
        <v>5.0847457627119633E-2</v>
      </c>
      <c r="Q197">
        <f t="shared" ref="Q197" si="956">F197*P197</f>
        <v>157777.96037288444</v>
      </c>
      <c r="R197">
        <f t="shared" ref="R197" si="957">R198+Q197</f>
        <v>-3889101110.6050997</v>
      </c>
      <c r="S197">
        <f t="shared" ref="S197" si="958">R197/100000</f>
        <v>-38891.011106050995</v>
      </c>
      <c r="T197">
        <f t="shared" si="934"/>
        <v>-38.891011106050996</v>
      </c>
    </row>
    <row r="198" spans="1:20" x14ac:dyDescent="0.25">
      <c r="A198" s="5">
        <v>44395</v>
      </c>
      <c r="B198">
        <v>0.44400000000000001</v>
      </c>
      <c r="C198">
        <v>0.47299999999999998</v>
      </c>
      <c r="D198">
        <v>0.437</v>
      </c>
      <c r="E198">
        <v>0.44400000000000001</v>
      </c>
      <c r="F198">
        <v>1559438.1580000001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-0.61111111111111049</v>
      </c>
      <c r="Q198">
        <f t="shared" ref="Q198:Q261" si="960">F198*P198</f>
        <v>-952989.98544444353</v>
      </c>
      <c r="R198">
        <f t="shared" ref="R198:R261" si="961">R199+Q198</f>
        <v>-3889258888.5654726</v>
      </c>
      <c r="S198">
        <f t="shared" ref="S198:S261" si="962">R198/100000</f>
        <v>-38892.588885654724</v>
      </c>
      <c r="T198">
        <f t="shared" ref="T198:T261" si="963">S198/1000</f>
        <v>-38.892588885654725</v>
      </c>
    </row>
    <row r="199" spans="1:20" x14ac:dyDescent="0.25">
      <c r="A199" s="5">
        <v>44394</v>
      </c>
      <c r="B199">
        <v>0.442</v>
      </c>
      <c r="C199">
        <v>0.44900000000000001</v>
      </c>
      <c r="D199">
        <v>0.42399999999999999</v>
      </c>
      <c r="E199">
        <v>0.44500000000000001</v>
      </c>
      <c r="F199">
        <v>1966356.5090000001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0.68</v>
      </c>
      <c r="Q199">
        <f t="shared" si="960"/>
        <v>1337122.4261200002</v>
      </c>
      <c r="R199">
        <f t="shared" si="961"/>
        <v>-3888305898.5800281</v>
      </c>
      <c r="S199">
        <f t="shared" si="962"/>
        <v>-38883.058985800279</v>
      </c>
      <c r="T199">
        <f t="shared" si="963"/>
        <v>-38.883058985800275</v>
      </c>
    </row>
    <row r="200" spans="1:20" x14ac:dyDescent="0.25">
      <c r="A200" s="5">
        <v>44393</v>
      </c>
      <c r="B200">
        <v>0.52900000000000003</v>
      </c>
      <c r="C200">
        <v>0.56499999999999995</v>
      </c>
      <c r="D200">
        <v>0.44</v>
      </c>
      <c r="E200">
        <v>0.443</v>
      </c>
      <c r="F200">
        <v>6231963.6040000003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-0.95199999999999996</v>
      </c>
      <c r="Q200">
        <f t="shared" si="960"/>
        <v>-5932829.3510079999</v>
      </c>
      <c r="R200">
        <f t="shared" si="961"/>
        <v>-3889643021.0061479</v>
      </c>
      <c r="S200">
        <f t="shared" si="962"/>
        <v>-38896.43021006148</v>
      </c>
      <c r="T200">
        <f t="shared" si="963"/>
        <v>-38.896430210061482</v>
      </c>
    </row>
    <row r="201" spans="1:20" x14ac:dyDescent="0.25">
      <c r="A201" s="5">
        <v>44392</v>
      </c>
      <c r="B201">
        <v>0.44900000000000001</v>
      </c>
      <c r="C201">
        <v>0.59899999999999998</v>
      </c>
      <c r="D201">
        <v>0.44500000000000001</v>
      </c>
      <c r="E201">
        <v>0.52900000000000003</v>
      </c>
      <c r="F201">
        <v>15754219.551999999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9.090909090909137E-2</v>
      </c>
      <c r="Q201">
        <f t="shared" si="960"/>
        <v>1432201.7774545527</v>
      </c>
      <c r="R201">
        <f t="shared" si="961"/>
        <v>-3883710191.6551399</v>
      </c>
      <c r="S201">
        <f t="shared" si="962"/>
        <v>-38837.101916551401</v>
      </c>
      <c r="T201">
        <f t="shared" si="963"/>
        <v>-38.837101916551404</v>
      </c>
    </row>
    <row r="202" spans="1:20" x14ac:dyDescent="0.25">
      <c r="A202" s="5">
        <v>44391</v>
      </c>
      <c r="B202">
        <v>0.42499999999999999</v>
      </c>
      <c r="C202">
        <v>0.46600000000000003</v>
      </c>
      <c r="D202">
        <v>0.40200000000000002</v>
      </c>
      <c r="E202">
        <v>0.44900000000000001</v>
      </c>
      <c r="F202">
        <v>2766073.7149999999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0.46874999999999956</v>
      </c>
      <c r="Q202">
        <f t="shared" si="960"/>
        <v>1296597.0539062486</v>
      </c>
      <c r="R202">
        <f t="shared" si="961"/>
        <v>-3885142393.4325943</v>
      </c>
      <c r="S202">
        <f t="shared" si="962"/>
        <v>-38851.42393432594</v>
      </c>
      <c r="T202">
        <f t="shared" si="963"/>
        <v>-38.851423934325936</v>
      </c>
    </row>
    <row r="203" spans="1:20" x14ac:dyDescent="0.25">
      <c r="A203" s="5">
        <v>44390</v>
      </c>
      <c r="B203">
        <v>0.41599999999999998</v>
      </c>
      <c r="C203">
        <v>0.42699999999999999</v>
      </c>
      <c r="D203">
        <v>0.40899999999999997</v>
      </c>
      <c r="E203">
        <v>0.42399999999999999</v>
      </c>
      <c r="F203">
        <v>1288339.3829999999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0.66666666666666663</v>
      </c>
      <c r="Q203">
        <f t="shared" si="960"/>
        <v>858892.9219999999</v>
      </c>
      <c r="R203">
        <f t="shared" si="961"/>
        <v>-3886438990.4865007</v>
      </c>
      <c r="S203">
        <f t="shared" si="962"/>
        <v>-38864.389904865006</v>
      </c>
      <c r="T203">
        <f t="shared" si="963"/>
        <v>-38.864389904865007</v>
      </c>
    </row>
    <row r="204" spans="1:20" x14ac:dyDescent="0.25">
      <c r="A204" s="5">
        <v>44389</v>
      </c>
      <c r="B204">
        <v>0.42899999999999999</v>
      </c>
      <c r="C204">
        <v>0.46200000000000002</v>
      </c>
      <c r="D204">
        <v>0.40400000000000003</v>
      </c>
      <c r="E204">
        <v>0.41699999999999998</v>
      </c>
      <c r="F204">
        <v>3768584.7439999999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-0.55172413793103592</v>
      </c>
      <c r="Q204">
        <f t="shared" si="960"/>
        <v>-2079219.1691034536</v>
      </c>
      <c r="R204">
        <f t="shared" si="961"/>
        <v>-3887297883.4085007</v>
      </c>
      <c r="S204">
        <f t="shared" si="962"/>
        <v>-38872.978834085006</v>
      </c>
      <c r="T204">
        <f t="shared" si="963"/>
        <v>-38.872978834085004</v>
      </c>
    </row>
    <row r="205" spans="1:20" x14ac:dyDescent="0.25">
      <c r="A205" s="5">
        <v>44388</v>
      </c>
      <c r="B205">
        <v>0.41099999999999998</v>
      </c>
      <c r="C205">
        <v>0.45900000000000002</v>
      </c>
      <c r="D205">
        <v>0.40300000000000002</v>
      </c>
      <c r="E205">
        <v>0.42899999999999999</v>
      </c>
      <c r="F205">
        <v>2605316.9670000002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-7.1428571428572493E-2</v>
      </c>
      <c r="Q205">
        <f t="shared" si="960"/>
        <v>-186094.06907143135</v>
      </c>
      <c r="R205">
        <f t="shared" si="961"/>
        <v>-3885218664.239397</v>
      </c>
      <c r="S205">
        <f t="shared" si="962"/>
        <v>-38852.186642393972</v>
      </c>
      <c r="T205">
        <f t="shared" si="963"/>
        <v>-38.852186642393974</v>
      </c>
    </row>
    <row r="206" spans="1:20" x14ac:dyDescent="0.25">
      <c r="A206" s="5">
        <v>44387</v>
      </c>
      <c r="B206">
        <v>0.42299999999999999</v>
      </c>
      <c r="C206">
        <v>0.42899999999999999</v>
      </c>
      <c r="D206">
        <v>0.4</v>
      </c>
      <c r="E206">
        <v>0.41299999999999998</v>
      </c>
      <c r="F206">
        <v>1340606.5959999999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-0.10344827586207107</v>
      </c>
      <c r="Q206">
        <f t="shared" si="960"/>
        <v>-138683.44096552004</v>
      </c>
      <c r="R206">
        <f t="shared" si="961"/>
        <v>-3885032570.1703258</v>
      </c>
      <c r="S206">
        <f t="shared" si="962"/>
        <v>-38850.325701703259</v>
      </c>
      <c r="T206">
        <f t="shared" si="963"/>
        <v>-38.850325701703262</v>
      </c>
    </row>
    <row r="207" spans="1:20" x14ac:dyDescent="0.25">
      <c r="A207" s="5">
        <v>44386</v>
      </c>
      <c r="B207">
        <v>0.42099999999999999</v>
      </c>
      <c r="C207">
        <v>0.438</v>
      </c>
      <c r="D207">
        <v>0.40500000000000003</v>
      </c>
      <c r="E207">
        <v>0.42399999999999999</v>
      </c>
      <c r="F207">
        <v>2385890.7680000002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0.15151515151515008</v>
      </c>
      <c r="Q207">
        <f t="shared" si="960"/>
        <v>361498.60121211782</v>
      </c>
      <c r="R207">
        <f t="shared" si="961"/>
        <v>-3884893886.7293601</v>
      </c>
      <c r="S207">
        <f t="shared" si="962"/>
        <v>-38848.938867293604</v>
      </c>
      <c r="T207">
        <f t="shared" si="963"/>
        <v>-38.848938867293604</v>
      </c>
    </row>
    <row r="208" spans="1:20" x14ac:dyDescent="0.25">
      <c r="A208" s="5">
        <v>44385</v>
      </c>
      <c r="B208">
        <v>0.438</v>
      </c>
      <c r="C208">
        <v>0.47099999999999997</v>
      </c>
      <c r="D208">
        <v>0.40500000000000003</v>
      </c>
      <c r="E208">
        <v>0.42199999999999999</v>
      </c>
      <c r="F208">
        <v>3499826.372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-0.48484848484848564</v>
      </c>
      <c r="Q208">
        <f t="shared" si="960"/>
        <v>-1696885.5136969725</v>
      </c>
      <c r="R208">
        <f t="shared" si="961"/>
        <v>-3885255385.3305721</v>
      </c>
      <c r="S208">
        <f t="shared" si="962"/>
        <v>-38852.553853305719</v>
      </c>
      <c r="T208">
        <f t="shared" si="963"/>
        <v>-38.852553853305722</v>
      </c>
    </row>
    <row r="209" spans="1:20" x14ac:dyDescent="0.25">
      <c r="A209" s="5">
        <v>44384</v>
      </c>
      <c r="B209">
        <v>0.437</v>
      </c>
      <c r="C209">
        <v>0.47499999999999998</v>
      </c>
      <c r="D209">
        <v>0.43</v>
      </c>
      <c r="E209">
        <v>0.439</v>
      </c>
      <c r="F209">
        <v>1593509.1370000001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-0.59999999999999953</v>
      </c>
      <c r="Q209">
        <f t="shared" si="960"/>
        <v>-956105.48219999927</v>
      </c>
      <c r="R209">
        <f t="shared" si="961"/>
        <v>-3883558499.816875</v>
      </c>
      <c r="S209">
        <f t="shared" si="962"/>
        <v>-38835.58499816875</v>
      </c>
      <c r="T209">
        <f t="shared" si="963"/>
        <v>-38.835584998168748</v>
      </c>
    </row>
    <row r="210" spans="1:20" x14ac:dyDescent="0.25">
      <c r="A210" s="5">
        <v>44383</v>
      </c>
      <c r="B210">
        <v>0.41699999999999998</v>
      </c>
      <c r="C210">
        <v>0.44600000000000001</v>
      </c>
      <c r="D210">
        <v>0.41699999999999998</v>
      </c>
      <c r="E210">
        <v>0.436</v>
      </c>
      <c r="F210">
        <v>1618912.091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0.31034482758620691</v>
      </c>
      <c r="Q210">
        <f t="shared" si="960"/>
        <v>502420.99375862069</v>
      </c>
      <c r="R210">
        <f t="shared" si="961"/>
        <v>-3882602394.3346748</v>
      </c>
      <c r="S210">
        <f t="shared" si="962"/>
        <v>-38826.02394334675</v>
      </c>
      <c r="T210">
        <f t="shared" si="963"/>
        <v>-38.826023943346748</v>
      </c>
    </row>
    <row r="211" spans="1:20" x14ac:dyDescent="0.25">
      <c r="A211" s="5">
        <v>44382</v>
      </c>
      <c r="B211">
        <v>0.44900000000000001</v>
      </c>
      <c r="C211">
        <v>0.44900000000000001</v>
      </c>
      <c r="D211">
        <v>0.40600000000000003</v>
      </c>
      <c r="E211">
        <v>0.41599999999999998</v>
      </c>
      <c r="F211">
        <v>1713946.1740000001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-0.53488372093023451</v>
      </c>
      <c r="Q211">
        <f t="shared" si="960"/>
        <v>-916761.90702325921</v>
      </c>
      <c r="R211">
        <f t="shared" si="961"/>
        <v>-3883104815.3284335</v>
      </c>
      <c r="S211">
        <f t="shared" si="962"/>
        <v>-38831.048153284333</v>
      </c>
      <c r="T211">
        <f t="shared" si="963"/>
        <v>-38.831048153284335</v>
      </c>
    </row>
    <row r="212" spans="1:20" x14ac:dyDescent="0.25">
      <c r="A212" s="5">
        <v>44381</v>
      </c>
      <c r="B212">
        <v>0.46500000000000002</v>
      </c>
      <c r="C212">
        <v>0.47299999999999998</v>
      </c>
      <c r="D212">
        <v>0.442</v>
      </c>
      <c r="E212">
        <v>0.45</v>
      </c>
      <c r="F212">
        <v>2569740.9950000001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-0.48387096774193455</v>
      </c>
      <c r="Q212">
        <f t="shared" si="960"/>
        <v>-1243423.0620967718</v>
      </c>
      <c r="R212">
        <f t="shared" si="961"/>
        <v>-3882188053.4214101</v>
      </c>
      <c r="S212">
        <f t="shared" si="962"/>
        <v>-38821.880534214099</v>
      </c>
      <c r="T212">
        <f t="shared" si="963"/>
        <v>-38.821880534214095</v>
      </c>
    </row>
    <row r="213" spans="1:20" x14ac:dyDescent="0.25">
      <c r="A213" s="5">
        <v>44380</v>
      </c>
      <c r="B213">
        <v>0.40100000000000002</v>
      </c>
      <c r="C213">
        <v>0.51600000000000001</v>
      </c>
      <c r="D213">
        <v>0.39400000000000002</v>
      </c>
      <c r="E213">
        <v>0.46600000000000003</v>
      </c>
      <c r="F213">
        <v>9697949.3029999994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0.18032786885245919</v>
      </c>
      <c r="Q213">
        <f t="shared" si="960"/>
        <v>1748810.5300491818</v>
      </c>
      <c r="R213">
        <f t="shared" si="961"/>
        <v>-3880944630.3593135</v>
      </c>
      <c r="S213">
        <f t="shared" si="962"/>
        <v>-38809.446303593133</v>
      </c>
      <c r="T213">
        <f t="shared" si="963"/>
        <v>-38.809446303593134</v>
      </c>
    </row>
    <row r="214" spans="1:20" x14ac:dyDescent="0.25">
      <c r="A214" s="5">
        <v>44379</v>
      </c>
      <c r="B214">
        <v>0.373</v>
      </c>
      <c r="C214">
        <v>0.442</v>
      </c>
      <c r="D214">
        <v>0.35499999999999998</v>
      </c>
      <c r="E214">
        <v>0.4</v>
      </c>
      <c r="F214">
        <v>4503527.7980000004</v>
      </c>
      <c r="G214">
        <v>0</v>
      </c>
      <c r="L214" t="s">
        <v>7</v>
      </c>
      <c r="M214" t="s">
        <v>7</v>
      </c>
      <c r="N214" t="s">
        <v>7</v>
      </c>
      <c r="P214">
        <f t="shared" si="959"/>
        <v>3.4482758620690314E-2</v>
      </c>
      <c r="Q214">
        <f t="shared" si="960"/>
        <v>155294.06200000297</v>
      </c>
      <c r="R214">
        <f t="shared" si="961"/>
        <v>-3882693440.8893628</v>
      </c>
      <c r="S214">
        <f t="shared" si="962"/>
        <v>-38826.934408893627</v>
      </c>
      <c r="T214">
        <f t="shared" si="963"/>
        <v>-38.826934408893628</v>
      </c>
    </row>
    <row r="215" spans="1:20" x14ac:dyDescent="0.25">
      <c r="A215" s="5">
        <v>44378</v>
      </c>
      <c r="B215">
        <v>0.39100000000000001</v>
      </c>
      <c r="C215">
        <v>0.40200000000000002</v>
      </c>
      <c r="D215">
        <v>0.36299999999999999</v>
      </c>
      <c r="E215">
        <v>0.374</v>
      </c>
      <c r="F215">
        <v>1454094.6459999999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-0.4358974358974359</v>
      </c>
      <c r="Q215">
        <f t="shared" si="960"/>
        <v>-633836.12774358969</v>
      </c>
      <c r="R215">
        <f t="shared" si="961"/>
        <v>-3882848734.9513626</v>
      </c>
      <c r="S215">
        <f t="shared" si="962"/>
        <v>-38828.487349513627</v>
      </c>
      <c r="T215">
        <f t="shared" si="963"/>
        <v>-38.82848734951363</v>
      </c>
    </row>
    <row r="216" spans="1:20" x14ac:dyDescent="0.25">
      <c r="A216" s="5">
        <v>44377</v>
      </c>
      <c r="B216">
        <v>0.4</v>
      </c>
      <c r="C216">
        <v>0.40600000000000003</v>
      </c>
      <c r="D216">
        <v>0.36799999999999999</v>
      </c>
      <c r="E216">
        <v>0.39100000000000001</v>
      </c>
      <c r="F216">
        <v>1321952.946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0.21052631578947367</v>
      </c>
      <c r="Q216">
        <f t="shared" si="960"/>
        <v>278305.88336842105</v>
      </c>
      <c r="R216">
        <f t="shared" si="961"/>
        <v>-3882214898.8236189</v>
      </c>
      <c r="S216">
        <f t="shared" si="962"/>
        <v>-38822.148988236186</v>
      </c>
      <c r="T216">
        <f t="shared" si="963"/>
        <v>-38.822148988236187</v>
      </c>
    </row>
    <row r="217" spans="1:20" x14ac:dyDescent="0.25">
      <c r="A217" s="5">
        <v>44376</v>
      </c>
      <c r="B217">
        <v>0.376</v>
      </c>
      <c r="C217">
        <v>0.42399999999999999</v>
      </c>
      <c r="D217">
        <v>0.372</v>
      </c>
      <c r="E217">
        <v>0.4</v>
      </c>
      <c r="F217">
        <v>2000754.5209999999</v>
      </c>
      <c r="G217">
        <v>0</v>
      </c>
      <c r="L217" t="s">
        <v>8</v>
      </c>
      <c r="M217" t="s">
        <v>7</v>
      </c>
      <c r="N217" t="s">
        <v>7</v>
      </c>
      <c r="P217">
        <f t="shared" si="959"/>
        <v>7.6923076923078079E-2</v>
      </c>
      <c r="Q217">
        <f t="shared" si="960"/>
        <v>153904.19392307923</v>
      </c>
      <c r="R217">
        <f t="shared" si="961"/>
        <v>-3882493204.7069874</v>
      </c>
      <c r="S217">
        <f t="shared" si="962"/>
        <v>-38824.932047069873</v>
      </c>
      <c r="T217">
        <f t="shared" si="963"/>
        <v>-38.824932047069872</v>
      </c>
    </row>
    <row r="218" spans="1:20" x14ac:dyDescent="0.25">
      <c r="A218" s="5">
        <v>44375</v>
      </c>
      <c r="B218">
        <v>0.37</v>
      </c>
      <c r="C218">
        <v>0.41199999999999998</v>
      </c>
      <c r="D218">
        <v>0.35899999999999999</v>
      </c>
      <c r="E218">
        <v>0.375</v>
      </c>
      <c r="F218">
        <v>2934176.7579999999</v>
      </c>
      <c r="G218">
        <v>0</v>
      </c>
      <c r="L218" t="s">
        <v>7</v>
      </c>
      <c r="M218" t="s">
        <v>7</v>
      </c>
      <c r="N218" t="s">
        <v>7</v>
      </c>
      <c r="P218">
        <f t="shared" si="959"/>
        <v>-0.39622641509433898</v>
      </c>
      <c r="Q218">
        <f t="shared" si="960"/>
        <v>-1162598.3380754697</v>
      </c>
      <c r="R218">
        <f t="shared" si="961"/>
        <v>-3882647108.9009104</v>
      </c>
      <c r="S218">
        <f t="shared" si="962"/>
        <v>-38826.471089009101</v>
      </c>
      <c r="T218">
        <f t="shared" si="963"/>
        <v>-38.826471089009104</v>
      </c>
    </row>
    <row r="219" spans="1:20" x14ac:dyDescent="0.25">
      <c r="A219" s="5">
        <v>44374</v>
      </c>
      <c r="B219">
        <v>0.34699999999999998</v>
      </c>
      <c r="C219">
        <v>0.53</v>
      </c>
      <c r="D219">
        <v>0.33700000000000002</v>
      </c>
      <c r="E219">
        <v>0.37</v>
      </c>
      <c r="F219">
        <v>11421794.912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-0.65803108808290178</v>
      </c>
      <c r="Q219">
        <f t="shared" si="960"/>
        <v>-7515896.1338031115</v>
      </c>
      <c r="R219">
        <f t="shared" si="961"/>
        <v>-3881484510.5628347</v>
      </c>
      <c r="S219">
        <f t="shared" si="962"/>
        <v>-38814.845105628345</v>
      </c>
      <c r="T219">
        <f t="shared" si="963"/>
        <v>-38.814845105628343</v>
      </c>
    </row>
    <row r="220" spans="1:20" x14ac:dyDescent="0.25">
      <c r="A220" s="5">
        <v>44373</v>
      </c>
      <c r="B220">
        <v>0.35599999999999998</v>
      </c>
      <c r="C220">
        <v>0.377</v>
      </c>
      <c r="D220">
        <v>0.315</v>
      </c>
      <c r="E220">
        <v>0.34799999999999998</v>
      </c>
      <c r="F220">
        <v>2356872.2820000001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6.451612903225723E-2</v>
      </c>
      <c r="Q220">
        <f t="shared" si="960"/>
        <v>152056.27625806257</v>
      </c>
      <c r="R220">
        <f t="shared" si="961"/>
        <v>-3873968614.4290318</v>
      </c>
      <c r="S220">
        <f t="shared" si="962"/>
        <v>-38739.686144290317</v>
      </c>
      <c r="T220">
        <f t="shared" si="963"/>
        <v>-38.739686144290317</v>
      </c>
    </row>
    <row r="221" spans="1:20" x14ac:dyDescent="0.25">
      <c r="A221" s="5">
        <v>44372</v>
      </c>
      <c r="B221">
        <v>0.39900000000000002</v>
      </c>
      <c r="C221">
        <v>0.41099999999999998</v>
      </c>
      <c r="D221">
        <v>0.35599999999999998</v>
      </c>
      <c r="E221">
        <v>0.35899999999999999</v>
      </c>
      <c r="F221">
        <v>926394.06599999999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-0.89090909090909076</v>
      </c>
      <c r="Q221">
        <f t="shared" si="960"/>
        <v>-825332.89516363619</v>
      </c>
      <c r="R221">
        <f t="shared" si="961"/>
        <v>-3874120670.7052898</v>
      </c>
      <c r="S221">
        <f t="shared" si="962"/>
        <v>-38741.206707052901</v>
      </c>
      <c r="T221">
        <f t="shared" si="963"/>
        <v>-38.741206707052903</v>
      </c>
    </row>
    <row r="222" spans="1:20" x14ac:dyDescent="0.25">
      <c r="A222" s="5">
        <v>44371</v>
      </c>
      <c r="B222">
        <v>0.39700000000000002</v>
      </c>
      <c r="C222">
        <v>0.41099999999999998</v>
      </c>
      <c r="D222">
        <v>0.372</v>
      </c>
      <c r="E222">
        <v>0.39900000000000002</v>
      </c>
      <c r="F222">
        <v>1505987.57</v>
      </c>
      <c r="G222">
        <v>0</v>
      </c>
      <c r="L222" t="s">
        <v>7</v>
      </c>
      <c r="M222" t="s">
        <v>7</v>
      </c>
      <c r="N222" t="s">
        <v>7</v>
      </c>
      <c r="P222">
        <f t="shared" si="959"/>
        <v>0.38461538461538658</v>
      </c>
      <c r="Q222">
        <f t="shared" si="960"/>
        <v>579225.98846154148</v>
      </c>
      <c r="R222">
        <f t="shared" si="961"/>
        <v>-3873295337.8101263</v>
      </c>
      <c r="S222">
        <f t="shared" si="962"/>
        <v>-38732.953378101265</v>
      </c>
      <c r="T222">
        <f t="shared" si="963"/>
        <v>-38.732953378101264</v>
      </c>
    </row>
    <row r="223" spans="1:20" x14ac:dyDescent="0.25">
      <c r="A223" s="5">
        <v>44370</v>
      </c>
      <c r="B223">
        <v>0.38</v>
      </c>
      <c r="C223">
        <v>0.44700000000000001</v>
      </c>
      <c r="D223">
        <v>0.36699999999999999</v>
      </c>
      <c r="E223">
        <v>0.39700000000000002</v>
      </c>
      <c r="F223">
        <v>2963499.44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-0.24999999999999947</v>
      </c>
      <c r="Q223">
        <f t="shared" si="960"/>
        <v>-740874.85999999847</v>
      </c>
      <c r="R223">
        <f t="shared" si="961"/>
        <v>-3873874563.7985878</v>
      </c>
      <c r="S223">
        <f t="shared" si="962"/>
        <v>-38738.745637985878</v>
      </c>
      <c r="T223">
        <f t="shared" si="963"/>
        <v>-38.738745637985879</v>
      </c>
    </row>
    <row r="224" spans="1:20" x14ac:dyDescent="0.25">
      <c r="A224" s="5">
        <v>44369</v>
      </c>
      <c r="B224">
        <v>0.38500000000000001</v>
      </c>
      <c r="C224">
        <v>0.42199999999999999</v>
      </c>
      <c r="D224">
        <v>0.32800000000000001</v>
      </c>
      <c r="E224">
        <v>0.38</v>
      </c>
      <c r="F224">
        <v>2299569.6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0.10638297872340438</v>
      </c>
      <c r="Q224">
        <f t="shared" si="960"/>
        <v>244635.06382978754</v>
      </c>
      <c r="R224">
        <f t="shared" si="961"/>
        <v>-3873133688.9385877</v>
      </c>
      <c r="S224">
        <f t="shared" si="962"/>
        <v>-38731.336889385879</v>
      </c>
      <c r="T224">
        <f t="shared" si="963"/>
        <v>-38.731336889385879</v>
      </c>
    </row>
    <row r="225" spans="1:20" x14ac:dyDescent="0.25">
      <c r="A225" s="5">
        <v>44368</v>
      </c>
      <c r="B225">
        <v>0.51500000000000001</v>
      </c>
      <c r="C225">
        <v>0.52</v>
      </c>
      <c r="D225">
        <v>0.38100000000000001</v>
      </c>
      <c r="E225">
        <v>0.38500000000000001</v>
      </c>
      <c r="F225">
        <v>2419684.2799999998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-0.94244604316546754</v>
      </c>
      <c r="Q225">
        <f t="shared" si="960"/>
        <v>-2280421.8753956831</v>
      </c>
      <c r="R225">
        <f t="shared" si="961"/>
        <v>-3873378324.0024176</v>
      </c>
      <c r="S225">
        <f t="shared" si="962"/>
        <v>-38733.783240024175</v>
      </c>
      <c r="T225">
        <f t="shared" si="963"/>
        <v>-38.733783240024174</v>
      </c>
    </row>
    <row r="226" spans="1:20" x14ac:dyDescent="0.25">
      <c r="A226" s="5">
        <v>44367</v>
      </c>
      <c r="B226">
        <v>0.51300000000000001</v>
      </c>
      <c r="C226">
        <v>0.52400000000000002</v>
      </c>
      <c r="D226">
        <v>0.47</v>
      </c>
      <c r="E226">
        <v>0.51500000000000001</v>
      </c>
      <c r="F226">
        <v>1258352.213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0.66666666666666663</v>
      </c>
      <c r="Q226">
        <f t="shared" si="960"/>
        <v>838901.47533333325</v>
      </c>
      <c r="R226">
        <f t="shared" si="961"/>
        <v>-3871097902.1270218</v>
      </c>
      <c r="S226">
        <f t="shared" si="962"/>
        <v>-38710.979021270221</v>
      </c>
      <c r="T226">
        <f t="shared" si="963"/>
        <v>-38.710979021270219</v>
      </c>
    </row>
    <row r="227" spans="1:20" x14ac:dyDescent="0.25">
      <c r="A227" s="5">
        <v>44366</v>
      </c>
      <c r="B227">
        <v>0.52100000000000002</v>
      </c>
      <c r="C227">
        <v>0.53300000000000003</v>
      </c>
      <c r="D227">
        <v>0.503</v>
      </c>
      <c r="E227">
        <v>0.51300000000000001</v>
      </c>
      <c r="F227">
        <v>1003424.704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-0.33333333333333331</v>
      </c>
      <c r="Q227">
        <f t="shared" si="960"/>
        <v>-334474.90133333334</v>
      </c>
      <c r="R227">
        <f t="shared" si="961"/>
        <v>-3871936803.602355</v>
      </c>
      <c r="S227">
        <f t="shared" si="962"/>
        <v>-38719.368036023552</v>
      </c>
      <c r="T227">
        <f t="shared" si="963"/>
        <v>-38.719368036023553</v>
      </c>
    </row>
    <row r="228" spans="1:20" x14ac:dyDescent="0.25">
      <c r="A228" s="5">
        <v>44365</v>
      </c>
      <c r="B228">
        <v>0.56599999999999995</v>
      </c>
      <c r="C228">
        <v>0.56999999999999995</v>
      </c>
      <c r="D228">
        <v>0.5</v>
      </c>
      <c r="E228">
        <v>0.52100000000000002</v>
      </c>
      <c r="F228">
        <v>1588288.821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-0.39999999999999902</v>
      </c>
      <c r="Q228">
        <f t="shared" si="960"/>
        <v>-635315.52839999844</v>
      </c>
      <c r="R228">
        <f t="shared" si="961"/>
        <v>-3871602328.7010217</v>
      </c>
      <c r="S228">
        <f t="shared" si="962"/>
        <v>-38716.023287010219</v>
      </c>
      <c r="T228">
        <f t="shared" si="963"/>
        <v>-38.716023287010216</v>
      </c>
    </row>
    <row r="229" spans="1:20" x14ac:dyDescent="0.25">
      <c r="A229" s="5">
        <v>44364</v>
      </c>
      <c r="B229">
        <v>0.60699999999999998</v>
      </c>
      <c r="C229">
        <v>0.65600000000000003</v>
      </c>
      <c r="D229">
        <v>0.53300000000000003</v>
      </c>
      <c r="E229">
        <v>0.56799999999999995</v>
      </c>
      <c r="F229">
        <v>6283330.6160000004</v>
      </c>
      <c r="G229">
        <v>0</v>
      </c>
      <c r="L229" t="s">
        <v>7</v>
      </c>
      <c r="M229" t="s">
        <v>7</v>
      </c>
      <c r="N229" t="s">
        <v>8</v>
      </c>
      <c r="P229">
        <f t="shared" si="959"/>
        <v>-0.43089430894309072</v>
      </c>
      <c r="Q229">
        <f t="shared" si="960"/>
        <v>-2707451.4036422847</v>
      </c>
      <c r="R229">
        <f t="shared" si="961"/>
        <v>-3870967013.1726217</v>
      </c>
      <c r="S229">
        <f t="shared" si="962"/>
        <v>-38709.67013172622</v>
      </c>
      <c r="T229">
        <f t="shared" si="963"/>
        <v>-38.70967013172622</v>
      </c>
    </row>
    <row r="230" spans="1:20" x14ac:dyDescent="0.25">
      <c r="A230" s="5">
        <v>44363</v>
      </c>
      <c r="B230">
        <v>0.57599999999999996</v>
      </c>
      <c r="C230">
        <v>0.69799999999999995</v>
      </c>
      <c r="D230">
        <v>0.54300000000000004</v>
      </c>
      <c r="E230">
        <v>0.60599999999999998</v>
      </c>
      <c r="F230">
        <v>10753212.333000001</v>
      </c>
      <c r="G230">
        <v>0</v>
      </c>
      <c r="L230" t="s">
        <v>8</v>
      </c>
      <c r="M230" t="s">
        <v>8</v>
      </c>
      <c r="N230" t="s">
        <v>8</v>
      </c>
      <c r="P230">
        <f t="shared" si="959"/>
        <v>-0.18709677419354864</v>
      </c>
      <c r="Q230">
        <f t="shared" si="960"/>
        <v>-2011891.3397225835</v>
      </c>
      <c r="R230">
        <f t="shared" si="961"/>
        <v>-3868259561.7689795</v>
      </c>
      <c r="S230">
        <f t="shared" si="962"/>
        <v>-38682.595617689796</v>
      </c>
      <c r="T230">
        <f t="shared" si="963"/>
        <v>-38.682595617689799</v>
      </c>
    </row>
    <row r="231" spans="1:20" x14ac:dyDescent="0.25">
      <c r="A231" s="5">
        <v>44362</v>
      </c>
      <c r="B231">
        <v>0.58099999999999996</v>
      </c>
      <c r="C231">
        <v>0.58899999999999997</v>
      </c>
      <c r="D231">
        <v>0.55800000000000005</v>
      </c>
      <c r="E231">
        <v>0.57599999999999996</v>
      </c>
      <c r="F231">
        <v>1358256.602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0.16129032258064216</v>
      </c>
      <c r="Q231">
        <f t="shared" si="960"/>
        <v>219073.64548386689</v>
      </c>
      <c r="R231">
        <f t="shared" si="961"/>
        <v>-3866247670.4292569</v>
      </c>
      <c r="S231">
        <f t="shared" si="962"/>
        <v>-38662.476704292567</v>
      </c>
      <c r="T231">
        <f t="shared" si="963"/>
        <v>-38.662476704292565</v>
      </c>
    </row>
    <row r="232" spans="1:20" x14ac:dyDescent="0.25">
      <c r="A232" s="5">
        <v>44361</v>
      </c>
      <c r="B232">
        <v>0.56999999999999995</v>
      </c>
      <c r="C232">
        <v>0.59299999999999997</v>
      </c>
      <c r="D232">
        <v>0.55100000000000005</v>
      </c>
      <c r="E232">
        <v>0.58199999999999996</v>
      </c>
      <c r="F232">
        <v>2176564.8480000002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0.47619047619047483</v>
      </c>
      <c r="Q232">
        <f t="shared" si="960"/>
        <v>1036459.4514285686</v>
      </c>
      <c r="R232">
        <f t="shared" si="961"/>
        <v>-3866466744.0747409</v>
      </c>
      <c r="S232">
        <f t="shared" si="962"/>
        <v>-38664.667440747406</v>
      </c>
      <c r="T232">
        <f t="shared" si="963"/>
        <v>-38.664667440747408</v>
      </c>
    </row>
    <row r="233" spans="1:20" x14ac:dyDescent="0.25">
      <c r="A233" s="5">
        <v>44360</v>
      </c>
      <c r="B233">
        <v>0.53600000000000003</v>
      </c>
      <c r="C233">
        <v>0.59799999999999998</v>
      </c>
      <c r="D233">
        <v>0.51600000000000001</v>
      </c>
      <c r="E233">
        <v>0.56899999999999995</v>
      </c>
      <c r="F233">
        <v>3175009.37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0.29268292682926733</v>
      </c>
      <c r="Q233">
        <f t="shared" si="960"/>
        <v>929271.03512194823</v>
      </c>
      <c r="R233">
        <f t="shared" si="961"/>
        <v>-3867503203.5261693</v>
      </c>
      <c r="S233">
        <f t="shared" si="962"/>
        <v>-38675.032035261691</v>
      </c>
      <c r="T233">
        <f t="shared" si="963"/>
        <v>-38.675032035261694</v>
      </c>
    </row>
    <row r="234" spans="1:20" x14ac:dyDescent="0.25">
      <c r="A234" s="5">
        <v>44359</v>
      </c>
      <c r="B234">
        <v>0.54900000000000004</v>
      </c>
      <c r="C234">
        <v>0.57199999999999995</v>
      </c>
      <c r="D234">
        <v>0.50800000000000001</v>
      </c>
      <c r="E234">
        <v>0.53500000000000003</v>
      </c>
      <c r="F234">
        <v>1610464.8740000001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-0.15624999999999853</v>
      </c>
      <c r="Q234">
        <f t="shared" si="960"/>
        <v>-251635.13656249765</v>
      </c>
      <c r="R234">
        <f t="shared" si="961"/>
        <v>-3868432474.5612912</v>
      </c>
      <c r="S234">
        <f t="shared" si="962"/>
        <v>-38684.32474561291</v>
      </c>
      <c r="T234">
        <f t="shared" si="963"/>
        <v>-38.684324745612912</v>
      </c>
    </row>
    <row r="235" spans="1:20" x14ac:dyDescent="0.25">
      <c r="A235" s="5">
        <v>44358</v>
      </c>
      <c r="B235">
        <v>0.6</v>
      </c>
      <c r="C235">
        <v>0.66900000000000004</v>
      </c>
      <c r="D235">
        <v>0.53400000000000003</v>
      </c>
      <c r="E235">
        <v>0.55000000000000004</v>
      </c>
      <c r="F235">
        <v>4324704.6320000002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-0.76296296296296273</v>
      </c>
      <c r="Q235">
        <f t="shared" si="960"/>
        <v>-3299589.4599703695</v>
      </c>
      <c r="R235">
        <f t="shared" si="961"/>
        <v>-3868180839.4247289</v>
      </c>
      <c r="S235">
        <f t="shared" si="962"/>
        <v>-38681.808394247288</v>
      </c>
      <c r="T235">
        <f t="shared" si="963"/>
        <v>-38.681808394247291</v>
      </c>
    </row>
    <row r="236" spans="1:20" x14ac:dyDescent="0.25">
      <c r="A236" s="5">
        <v>44357</v>
      </c>
      <c r="B236">
        <v>0.66600000000000004</v>
      </c>
      <c r="C236">
        <v>0.67500000000000004</v>
      </c>
      <c r="D236">
        <v>0.56399999999999995</v>
      </c>
      <c r="E236">
        <v>0.60099999999999998</v>
      </c>
      <c r="F236">
        <v>7804527.6670000004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-0.33333333333333331</v>
      </c>
      <c r="Q236">
        <f t="shared" si="960"/>
        <v>-2601509.2223333335</v>
      </c>
      <c r="R236">
        <f t="shared" si="961"/>
        <v>-3864881249.9647584</v>
      </c>
      <c r="S236">
        <f t="shared" si="962"/>
        <v>-38648.812499647582</v>
      </c>
      <c r="T236">
        <f t="shared" si="963"/>
        <v>-38.648812499647583</v>
      </c>
    </row>
    <row r="237" spans="1:20" x14ac:dyDescent="0.25">
      <c r="A237" s="5">
        <v>44356</v>
      </c>
      <c r="B237">
        <v>0.55300000000000005</v>
      </c>
      <c r="C237">
        <v>0.75900000000000001</v>
      </c>
      <c r="D237">
        <v>0.51600000000000001</v>
      </c>
      <c r="E237">
        <v>0.66600000000000004</v>
      </c>
      <c r="F237">
        <v>13536147.629000001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0.23456790123456811</v>
      </c>
      <c r="Q237">
        <f t="shared" si="960"/>
        <v>3175145.7401358057</v>
      </c>
      <c r="R237">
        <f t="shared" si="961"/>
        <v>-3862279740.742425</v>
      </c>
      <c r="S237">
        <f t="shared" si="962"/>
        <v>-38622.797407424252</v>
      </c>
      <c r="T237">
        <f t="shared" si="963"/>
        <v>-38.622797407424251</v>
      </c>
    </row>
    <row r="238" spans="1:20" x14ac:dyDescent="0.25">
      <c r="A238" s="5">
        <v>44355</v>
      </c>
      <c r="B238">
        <v>0.55400000000000005</v>
      </c>
      <c r="C238">
        <v>0.56599999999999995</v>
      </c>
      <c r="D238">
        <v>0.47099999999999997</v>
      </c>
      <c r="E238">
        <v>0.55100000000000005</v>
      </c>
      <c r="F238">
        <v>2052396.4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0.68421052631579149</v>
      </c>
      <c r="Q238">
        <f t="shared" si="960"/>
        <v>1404271.2210526357</v>
      </c>
      <c r="R238">
        <f t="shared" si="961"/>
        <v>-3865454886.4825606</v>
      </c>
      <c r="S238">
        <f t="shared" si="962"/>
        <v>-38654.548864825607</v>
      </c>
      <c r="T238">
        <f t="shared" si="963"/>
        <v>-38.654548864825607</v>
      </c>
    </row>
    <row r="239" spans="1:20" x14ac:dyDescent="0.25">
      <c r="A239" s="5">
        <v>44354</v>
      </c>
      <c r="B239">
        <v>0.59299999999999997</v>
      </c>
      <c r="C239">
        <v>0.626</v>
      </c>
      <c r="D239">
        <v>0.54500000000000004</v>
      </c>
      <c r="E239">
        <v>0.55400000000000005</v>
      </c>
      <c r="F239">
        <v>2411634.2420000001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-0.77777777777777746</v>
      </c>
      <c r="Q239">
        <f t="shared" si="960"/>
        <v>-1875715.5215555548</v>
      </c>
      <c r="R239">
        <f t="shared" si="961"/>
        <v>-3866859157.7036133</v>
      </c>
      <c r="S239">
        <f t="shared" si="962"/>
        <v>-38668.591577036132</v>
      </c>
      <c r="T239">
        <f t="shared" si="963"/>
        <v>-38.668591577036132</v>
      </c>
    </row>
    <row r="240" spans="1:20" x14ac:dyDescent="0.25">
      <c r="A240" s="5">
        <v>44353</v>
      </c>
      <c r="B240">
        <v>0.56200000000000006</v>
      </c>
      <c r="C240">
        <v>0.65</v>
      </c>
      <c r="D240">
        <v>0.55600000000000005</v>
      </c>
      <c r="E240">
        <v>0.59199999999999997</v>
      </c>
      <c r="F240">
        <v>3313510.588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-0.23404255319149081</v>
      </c>
      <c r="Q240">
        <f t="shared" si="960"/>
        <v>-775502.47804255795</v>
      </c>
      <c r="R240">
        <f t="shared" si="961"/>
        <v>-3864983442.1820579</v>
      </c>
      <c r="S240">
        <f t="shared" si="962"/>
        <v>-38649.834421820582</v>
      </c>
      <c r="T240">
        <f t="shared" si="963"/>
        <v>-38.649834421820579</v>
      </c>
    </row>
    <row r="241" spans="1:20" x14ac:dyDescent="0.25">
      <c r="A241" s="5">
        <v>44352</v>
      </c>
      <c r="B241">
        <v>0.60599999999999998</v>
      </c>
      <c r="C241">
        <v>0.63800000000000001</v>
      </c>
      <c r="D241">
        <v>0.54200000000000004</v>
      </c>
      <c r="E241">
        <v>0.56299999999999994</v>
      </c>
      <c r="F241">
        <v>2174995.8139999998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-0.56250000000000178</v>
      </c>
      <c r="Q241">
        <f t="shared" si="960"/>
        <v>-1223435.1453750038</v>
      </c>
      <c r="R241">
        <f t="shared" si="961"/>
        <v>-3864207939.7040153</v>
      </c>
      <c r="S241">
        <f t="shared" si="962"/>
        <v>-38642.07939704015</v>
      </c>
      <c r="T241">
        <f t="shared" si="963"/>
        <v>-38.642079397040149</v>
      </c>
    </row>
    <row r="242" spans="1:20" x14ac:dyDescent="0.25">
      <c r="A242" s="5">
        <v>44351</v>
      </c>
      <c r="B242">
        <v>0.71199999999999997</v>
      </c>
      <c r="C242">
        <v>0.71399999999999997</v>
      </c>
      <c r="D242">
        <v>0.57299999999999995</v>
      </c>
      <c r="E242">
        <v>0.60399999999999998</v>
      </c>
      <c r="F242">
        <v>3087088.9679999999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-0.56028368794326211</v>
      </c>
      <c r="Q242">
        <f t="shared" si="960"/>
        <v>-1729645.591999999</v>
      </c>
      <c r="R242">
        <f t="shared" si="961"/>
        <v>-3862984504.5586405</v>
      </c>
      <c r="S242">
        <f t="shared" si="962"/>
        <v>-38629.845045586408</v>
      </c>
      <c r="T242">
        <f t="shared" si="963"/>
        <v>-38.629845045586407</v>
      </c>
    </row>
    <row r="243" spans="1:20" x14ac:dyDescent="0.25">
      <c r="A243" s="5">
        <v>44350</v>
      </c>
      <c r="B243">
        <v>0.628</v>
      </c>
      <c r="C243">
        <v>0.77100000000000002</v>
      </c>
      <c r="D243">
        <v>0.61799999999999999</v>
      </c>
      <c r="E243">
        <v>0.71199999999999997</v>
      </c>
      <c r="F243">
        <v>4381174.5199999996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0.22875816993463996</v>
      </c>
      <c r="Q243">
        <f t="shared" si="960"/>
        <v>1002229.4653594745</v>
      </c>
      <c r="R243">
        <f t="shared" si="961"/>
        <v>-3861254858.9666405</v>
      </c>
      <c r="S243">
        <f t="shared" si="962"/>
        <v>-38612.548589666403</v>
      </c>
      <c r="T243">
        <f t="shared" si="963"/>
        <v>-38.612548589666403</v>
      </c>
    </row>
    <row r="244" spans="1:20" x14ac:dyDescent="0.25">
      <c r="A244" s="5">
        <v>44349</v>
      </c>
      <c r="B244">
        <v>0.621</v>
      </c>
      <c r="C244">
        <v>0.64800000000000002</v>
      </c>
      <c r="D244">
        <v>0.58899999999999997</v>
      </c>
      <c r="E244">
        <v>0.627</v>
      </c>
      <c r="F244">
        <v>3303267.5780000002</v>
      </c>
      <c r="G244">
        <v>0</v>
      </c>
      <c r="L244" t="s">
        <v>7</v>
      </c>
      <c r="M244" t="s">
        <v>7</v>
      </c>
      <c r="N244" t="s">
        <v>7</v>
      </c>
      <c r="P244">
        <f t="shared" si="959"/>
        <v>0.28813559322033899</v>
      </c>
      <c r="Q244">
        <f t="shared" si="960"/>
        <v>951788.96315254248</v>
      </c>
      <c r="R244">
        <f t="shared" si="961"/>
        <v>-3862257088.4320002</v>
      </c>
      <c r="S244">
        <f t="shared" si="962"/>
        <v>-38622.570884320005</v>
      </c>
      <c r="T244">
        <f t="shared" si="963"/>
        <v>-38.622570884320005</v>
      </c>
    </row>
    <row r="245" spans="1:20" x14ac:dyDescent="0.25">
      <c r="A245" s="5">
        <v>44348</v>
      </c>
      <c r="B245">
        <v>0.65600000000000003</v>
      </c>
      <c r="C245">
        <v>0.71</v>
      </c>
      <c r="D245">
        <v>0.60299999999999998</v>
      </c>
      <c r="E245">
        <v>0.622</v>
      </c>
      <c r="F245">
        <v>3016674.264</v>
      </c>
      <c r="G245">
        <v>0</v>
      </c>
      <c r="L245" t="s">
        <v>8</v>
      </c>
      <c r="M245" t="s">
        <v>7</v>
      </c>
      <c r="N245" t="s">
        <v>7</v>
      </c>
      <c r="P245">
        <f t="shared" si="959"/>
        <v>-0.64485981308411178</v>
      </c>
      <c r="Q245">
        <f t="shared" si="960"/>
        <v>-1945332.0020186903</v>
      </c>
      <c r="R245">
        <f t="shared" si="961"/>
        <v>-3863208877.3951526</v>
      </c>
      <c r="S245">
        <f t="shared" si="962"/>
        <v>-38632.088773951524</v>
      </c>
      <c r="T245">
        <f t="shared" si="963"/>
        <v>-38.632088773951523</v>
      </c>
    </row>
    <row r="246" spans="1:20" x14ac:dyDescent="0.25">
      <c r="A246" s="5">
        <v>44347</v>
      </c>
      <c r="B246">
        <v>0.63</v>
      </c>
      <c r="C246">
        <v>0.66600000000000004</v>
      </c>
      <c r="D246">
        <v>0.58499999999999996</v>
      </c>
      <c r="E246">
        <v>0.65600000000000003</v>
      </c>
      <c r="F246">
        <v>4348083.2139999997</v>
      </c>
      <c r="G246">
        <v>0</v>
      </c>
      <c r="L246" t="s">
        <v>7</v>
      </c>
      <c r="M246" t="s">
        <v>7</v>
      </c>
      <c r="N246" t="s">
        <v>7</v>
      </c>
      <c r="P246">
        <f t="shared" si="959"/>
        <v>0.75308641975308643</v>
      </c>
      <c r="Q246">
        <f t="shared" si="960"/>
        <v>3274482.4204197531</v>
      </c>
      <c r="R246">
        <f t="shared" si="961"/>
        <v>-3861263545.3931336</v>
      </c>
      <c r="S246">
        <f t="shared" si="962"/>
        <v>-38612.63545393134</v>
      </c>
      <c r="T246">
        <f t="shared" si="963"/>
        <v>-38.61263545393134</v>
      </c>
    </row>
    <row r="247" spans="1:20" x14ac:dyDescent="0.25">
      <c r="A247" s="5">
        <v>44346</v>
      </c>
      <c r="B247">
        <v>0.66200000000000003</v>
      </c>
      <c r="C247">
        <v>0.71899999999999997</v>
      </c>
      <c r="D247">
        <v>0.60199999999999998</v>
      </c>
      <c r="E247">
        <v>0.629</v>
      </c>
      <c r="F247">
        <v>6840666.9800000004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-0.53846153846153799</v>
      </c>
      <c r="Q247">
        <f t="shared" si="960"/>
        <v>-3683436.066153843</v>
      </c>
      <c r="R247">
        <f t="shared" si="961"/>
        <v>-3864538027.8135533</v>
      </c>
      <c r="S247">
        <f t="shared" si="962"/>
        <v>-38645.380278135533</v>
      </c>
      <c r="T247">
        <f t="shared" si="963"/>
        <v>-38.645380278135534</v>
      </c>
    </row>
    <row r="248" spans="1:20" x14ac:dyDescent="0.25">
      <c r="A248" s="5">
        <v>44345</v>
      </c>
      <c r="B248">
        <v>0.53900000000000003</v>
      </c>
      <c r="C248">
        <v>0.88</v>
      </c>
      <c r="D248">
        <v>0.53200000000000003</v>
      </c>
      <c r="E248">
        <v>0.66400000000000003</v>
      </c>
      <c r="F248">
        <v>25983973.153999999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-0.24137931034482749</v>
      </c>
      <c r="Q248">
        <f t="shared" si="960"/>
        <v>-6271993.5199310314</v>
      </c>
      <c r="R248">
        <f t="shared" si="961"/>
        <v>-3860854591.7473993</v>
      </c>
      <c r="S248">
        <f t="shared" si="962"/>
        <v>-38608.545917473995</v>
      </c>
      <c r="T248">
        <f t="shared" si="963"/>
        <v>-38.608545917473997</v>
      </c>
    </row>
    <row r="249" spans="1:20" x14ac:dyDescent="0.25">
      <c r="A249" s="5">
        <v>44344</v>
      </c>
      <c r="B249">
        <v>0.57299999999999995</v>
      </c>
      <c r="C249">
        <v>0.58399999999999996</v>
      </c>
      <c r="D249">
        <v>0.48599999999999999</v>
      </c>
      <c r="E249">
        <v>0.53600000000000003</v>
      </c>
      <c r="F249">
        <v>2923610.8459999999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2.040816326530728E-2</v>
      </c>
      <c r="Q249">
        <f t="shared" si="960"/>
        <v>59665.527469391134</v>
      </c>
      <c r="R249">
        <f t="shared" si="961"/>
        <v>-3854582598.2274685</v>
      </c>
      <c r="S249">
        <f t="shared" si="962"/>
        <v>-38545.825982274684</v>
      </c>
      <c r="T249">
        <f t="shared" si="963"/>
        <v>-38.545825982274685</v>
      </c>
    </row>
    <row r="250" spans="1:20" x14ac:dyDescent="0.25">
      <c r="A250" s="5">
        <v>44343</v>
      </c>
      <c r="B250">
        <v>0.627</v>
      </c>
      <c r="C250">
        <v>0.628</v>
      </c>
      <c r="D250">
        <v>0.56100000000000005</v>
      </c>
      <c r="E250">
        <v>0.57399999999999995</v>
      </c>
      <c r="F250">
        <v>1803050.7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-0.61194029850746534</v>
      </c>
      <c r="Q250">
        <f t="shared" si="960"/>
        <v>-1103359.3835820942</v>
      </c>
      <c r="R250">
        <f t="shared" si="961"/>
        <v>-3854642263.7549376</v>
      </c>
      <c r="S250">
        <f t="shared" si="962"/>
        <v>-38546.422637549374</v>
      </c>
      <c r="T250">
        <f t="shared" si="963"/>
        <v>-38.546422637549377</v>
      </c>
    </row>
    <row r="251" spans="1:20" x14ac:dyDescent="0.25">
      <c r="A251" s="5">
        <v>44342</v>
      </c>
      <c r="B251">
        <v>0.53300000000000003</v>
      </c>
      <c r="C251">
        <v>0.64400000000000002</v>
      </c>
      <c r="D251">
        <v>0.51500000000000001</v>
      </c>
      <c r="E251">
        <v>0.627</v>
      </c>
      <c r="F251">
        <v>3704030.8659999999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0.73643410852713154</v>
      </c>
      <c r="Q251">
        <f t="shared" si="960"/>
        <v>2727774.6687596887</v>
      </c>
      <c r="R251">
        <f t="shared" si="961"/>
        <v>-3853538904.3713555</v>
      </c>
      <c r="S251">
        <f t="shared" si="962"/>
        <v>-38535.389043713556</v>
      </c>
      <c r="T251">
        <f t="shared" si="963"/>
        <v>-38.535389043713558</v>
      </c>
    </row>
    <row r="252" spans="1:20" x14ac:dyDescent="0.25">
      <c r="A252" s="5">
        <v>44341</v>
      </c>
      <c r="B252">
        <v>0.53300000000000003</v>
      </c>
      <c r="C252">
        <v>0.55400000000000005</v>
      </c>
      <c r="D252">
        <v>0.45800000000000002</v>
      </c>
      <c r="E252">
        <v>0.53100000000000003</v>
      </c>
      <c r="F252">
        <v>2611124.04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0.52083333333333304</v>
      </c>
      <c r="Q252">
        <f t="shared" si="960"/>
        <v>1359960.4374999993</v>
      </c>
      <c r="R252">
        <f t="shared" si="961"/>
        <v>-3856266679.0401154</v>
      </c>
      <c r="S252">
        <f t="shared" si="962"/>
        <v>-38562.666790401156</v>
      </c>
      <c r="T252">
        <f t="shared" si="963"/>
        <v>-38.562666790401153</v>
      </c>
    </row>
    <row r="253" spans="1:20" x14ac:dyDescent="0.25">
      <c r="A253" s="5">
        <v>44340</v>
      </c>
      <c r="B253">
        <v>0.44700000000000001</v>
      </c>
      <c r="C253">
        <v>0.53800000000000003</v>
      </c>
      <c r="D253">
        <v>0.43099999999999999</v>
      </c>
      <c r="E253">
        <v>0.53300000000000003</v>
      </c>
      <c r="F253">
        <v>3469779.5129999998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0.90654205607476634</v>
      </c>
      <c r="Q253">
        <f t="shared" si="960"/>
        <v>3145501.0538411215</v>
      </c>
      <c r="R253">
        <f t="shared" si="961"/>
        <v>-3857626639.4776154</v>
      </c>
      <c r="S253">
        <f t="shared" si="962"/>
        <v>-38576.266394776154</v>
      </c>
      <c r="T253">
        <f t="shared" si="963"/>
        <v>-38.576266394776155</v>
      </c>
    </row>
    <row r="254" spans="1:20" x14ac:dyDescent="0.25">
      <c r="A254" s="5">
        <v>44339</v>
      </c>
      <c r="B254">
        <v>0.55600000000000005</v>
      </c>
      <c r="C254">
        <v>0.58599999999999997</v>
      </c>
      <c r="D254">
        <v>0.36299999999999999</v>
      </c>
      <c r="E254">
        <v>0.44500000000000001</v>
      </c>
      <c r="F254">
        <v>4108242.0359999998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-0.2645739910313899</v>
      </c>
      <c r="Q254">
        <f t="shared" si="960"/>
        <v>-1086933.991587443</v>
      </c>
      <c r="R254">
        <f t="shared" si="961"/>
        <v>-3860772140.5314565</v>
      </c>
      <c r="S254">
        <f t="shared" si="962"/>
        <v>-38607.721405314565</v>
      </c>
      <c r="T254">
        <f t="shared" si="963"/>
        <v>-38.607721405314564</v>
      </c>
    </row>
    <row r="255" spans="1:20" x14ac:dyDescent="0.25">
      <c r="A255" s="5">
        <v>44338</v>
      </c>
      <c r="B255">
        <v>0.60399999999999998</v>
      </c>
      <c r="C255">
        <v>0.61899999999999999</v>
      </c>
      <c r="D255">
        <v>0.53</v>
      </c>
      <c r="E255">
        <v>0.56000000000000005</v>
      </c>
      <c r="F255">
        <v>2048829.9069999999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-0.32584269662921267</v>
      </c>
      <c r="Q255">
        <f t="shared" si="960"/>
        <v>-667596.26183145901</v>
      </c>
      <c r="R255">
        <f t="shared" si="961"/>
        <v>-3859685206.5398688</v>
      </c>
      <c r="S255">
        <f t="shared" si="962"/>
        <v>-38596.852065398685</v>
      </c>
      <c r="T255">
        <f t="shared" si="963"/>
        <v>-38.596852065398686</v>
      </c>
    </row>
    <row r="256" spans="1:20" x14ac:dyDescent="0.25">
      <c r="A256" s="5">
        <v>44337</v>
      </c>
      <c r="B256">
        <v>0.71199999999999997</v>
      </c>
      <c r="C256">
        <v>0.745</v>
      </c>
      <c r="D256">
        <v>0.50700000000000001</v>
      </c>
      <c r="E256">
        <v>0.60699999999999998</v>
      </c>
      <c r="F256">
        <v>3315432.6809999999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-0.15966386554621864</v>
      </c>
      <c r="Q256">
        <f t="shared" si="960"/>
        <v>-529354.79780672316</v>
      </c>
      <c r="R256">
        <f t="shared" si="961"/>
        <v>-3859017610.2780375</v>
      </c>
      <c r="S256">
        <f t="shared" si="962"/>
        <v>-38590.176102780373</v>
      </c>
      <c r="T256">
        <f t="shared" si="963"/>
        <v>-38.590176102780376</v>
      </c>
    </row>
    <row r="257" spans="1:20" x14ac:dyDescent="0.25">
      <c r="A257" s="5">
        <v>44336</v>
      </c>
      <c r="B257">
        <v>0.59699999999999998</v>
      </c>
      <c r="C257">
        <v>0.752</v>
      </c>
      <c r="D257">
        <v>0.52600000000000002</v>
      </c>
      <c r="E257">
        <v>0.71</v>
      </c>
      <c r="F257">
        <v>4212150.0789999999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0.6283185840707961</v>
      </c>
      <c r="Q257">
        <f t="shared" si="960"/>
        <v>2646572.1735309721</v>
      </c>
      <c r="R257">
        <f t="shared" si="961"/>
        <v>-3858488255.4802308</v>
      </c>
      <c r="S257">
        <f t="shared" si="962"/>
        <v>-38584.882554802309</v>
      </c>
      <c r="T257">
        <f t="shared" si="963"/>
        <v>-38.584882554802306</v>
      </c>
    </row>
    <row r="258" spans="1:20" x14ac:dyDescent="0.25">
      <c r="A258" s="5">
        <v>44335</v>
      </c>
      <c r="B258">
        <v>0.97899999999999998</v>
      </c>
      <c r="C258">
        <v>1</v>
      </c>
      <c r="D258">
        <v>0.45100000000000001</v>
      </c>
      <c r="E258">
        <v>0.59199999999999997</v>
      </c>
      <c r="F258">
        <v>7111927.6600000001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-0.48633879781420786</v>
      </c>
      <c r="Q258">
        <f t="shared" si="960"/>
        <v>-3458806.3483060123</v>
      </c>
      <c r="R258">
        <f t="shared" si="961"/>
        <v>-3861134827.6537619</v>
      </c>
      <c r="S258">
        <f t="shared" si="962"/>
        <v>-38611.348276537617</v>
      </c>
      <c r="T258">
        <f t="shared" si="963"/>
        <v>-38.611348276537619</v>
      </c>
    </row>
    <row r="259" spans="1:20" x14ac:dyDescent="0.25">
      <c r="A259" s="5">
        <v>44334</v>
      </c>
      <c r="B259">
        <v>0.95</v>
      </c>
      <c r="C259">
        <v>1.0900000000000001</v>
      </c>
      <c r="D259">
        <v>0.93799999999999994</v>
      </c>
      <c r="E259">
        <v>0.97899999999999998</v>
      </c>
      <c r="F259">
        <v>3006418.2409999999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-0.46052631578947367</v>
      </c>
      <c r="Q259">
        <f t="shared" si="960"/>
        <v>-1384534.7162499998</v>
      </c>
      <c r="R259">
        <f t="shared" si="961"/>
        <v>-3857676021.3054557</v>
      </c>
      <c r="S259">
        <f t="shared" si="962"/>
        <v>-38576.760213054557</v>
      </c>
      <c r="T259">
        <f t="shared" si="963"/>
        <v>-38.576760213054555</v>
      </c>
    </row>
    <row r="260" spans="1:20" x14ac:dyDescent="0.25">
      <c r="A260" s="5">
        <v>44333</v>
      </c>
      <c r="B260">
        <v>1.056</v>
      </c>
      <c r="C260">
        <v>1.0720000000000001</v>
      </c>
      <c r="D260">
        <v>0.91800000000000004</v>
      </c>
      <c r="E260">
        <v>0.95099999999999996</v>
      </c>
      <c r="F260">
        <v>3016568.98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-0.57142857142857251</v>
      </c>
      <c r="Q260">
        <f t="shared" si="960"/>
        <v>-1723753.702857146</v>
      </c>
      <c r="R260">
        <f t="shared" si="961"/>
        <v>-3856291486.5892057</v>
      </c>
      <c r="S260">
        <f t="shared" si="962"/>
        <v>-38562.91486589206</v>
      </c>
      <c r="T260">
        <f t="shared" si="963"/>
        <v>-38.562914865892061</v>
      </c>
    </row>
    <row r="261" spans="1:20" x14ac:dyDescent="0.25">
      <c r="A261" s="5">
        <v>44332</v>
      </c>
      <c r="B261">
        <v>1.022</v>
      </c>
      <c r="C261">
        <v>1.161</v>
      </c>
      <c r="D261">
        <v>0.98</v>
      </c>
      <c r="E261">
        <v>1.0589999999999999</v>
      </c>
      <c r="F261">
        <v>2848465.9709999999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-0.12707182320442059</v>
      </c>
      <c r="Q261">
        <f t="shared" si="960"/>
        <v>-361959.76427072025</v>
      </c>
      <c r="R261">
        <f t="shared" si="961"/>
        <v>-3854567732.8863487</v>
      </c>
      <c r="S261">
        <f t="shared" si="962"/>
        <v>-38545.677328863487</v>
      </c>
      <c r="T261">
        <f t="shared" si="963"/>
        <v>-38.545677328863484</v>
      </c>
    </row>
    <row r="262" spans="1:20" x14ac:dyDescent="0.25">
      <c r="A262" s="5">
        <v>44331</v>
      </c>
      <c r="B262">
        <v>1.1419999999999999</v>
      </c>
      <c r="C262">
        <v>1.1579999999999999</v>
      </c>
      <c r="D262">
        <v>1.0169999999999999</v>
      </c>
      <c r="E262">
        <v>1.028</v>
      </c>
      <c r="F262">
        <v>2796988.4160000002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-0.84397163120567209</v>
      </c>
      <c r="Q262">
        <f t="shared" ref="Q262:Q325" si="965">F262*P262</f>
        <v>-2360578.8759148889</v>
      </c>
      <c r="R262">
        <f t="shared" ref="R262:R325" si="966">R263+Q262</f>
        <v>-3854205773.1220779</v>
      </c>
      <c r="S262">
        <f t="shared" ref="S262:S325" si="967">R262/100000</f>
        <v>-38542.057731220782</v>
      </c>
      <c r="T262">
        <f t="shared" ref="T262:T325" si="968">S262/1000</f>
        <v>-38.54205773122078</v>
      </c>
    </row>
    <row r="263" spans="1:20" x14ac:dyDescent="0.25">
      <c r="A263" s="5">
        <v>44330</v>
      </c>
      <c r="B263">
        <v>1.0669999999999999</v>
      </c>
      <c r="C263">
        <v>1.1910000000000001</v>
      </c>
      <c r="D263">
        <v>1.0640000000000001</v>
      </c>
      <c r="E263">
        <v>1.1419999999999999</v>
      </c>
      <c r="F263">
        <v>2921982.0669999998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0.22834645669291095</v>
      </c>
      <c r="Q263">
        <f t="shared" si="965"/>
        <v>667224.25151967793</v>
      </c>
      <c r="R263">
        <f t="shared" si="966"/>
        <v>-3851845194.2461629</v>
      </c>
      <c r="S263">
        <f t="shared" si="967"/>
        <v>-38518.45194246163</v>
      </c>
      <c r="T263">
        <f t="shared" si="968"/>
        <v>-38.518451942461631</v>
      </c>
    </row>
    <row r="264" spans="1:20" x14ac:dyDescent="0.25">
      <c r="A264" s="5">
        <v>44329</v>
      </c>
      <c r="B264">
        <v>1.127</v>
      </c>
      <c r="C264">
        <v>1.26</v>
      </c>
      <c r="D264">
        <v>1.0009999999999999</v>
      </c>
      <c r="E264">
        <v>1.0669999999999999</v>
      </c>
      <c r="F264">
        <v>7807648.5880000005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-0.49034749034749014</v>
      </c>
      <c r="Q264">
        <f t="shared" si="965"/>
        <v>-3828460.8906409252</v>
      </c>
      <c r="R264">
        <f t="shared" si="966"/>
        <v>-3852512418.4976826</v>
      </c>
      <c r="S264">
        <f t="shared" si="967"/>
        <v>-38525.124184976827</v>
      </c>
      <c r="T264">
        <f t="shared" si="968"/>
        <v>-38.525124184976825</v>
      </c>
    </row>
    <row r="265" spans="1:20" x14ac:dyDescent="0.25">
      <c r="A265" s="5">
        <v>44328</v>
      </c>
      <c r="B265">
        <v>1.377</v>
      </c>
      <c r="C265">
        <v>1.427</v>
      </c>
      <c r="D265">
        <v>1.1160000000000001</v>
      </c>
      <c r="E265">
        <v>1.1299999999999999</v>
      </c>
      <c r="F265">
        <v>3102075.895</v>
      </c>
      <c r="G265">
        <v>0</v>
      </c>
      <c r="L265" t="s">
        <v>8</v>
      </c>
      <c r="M265" t="s">
        <v>7</v>
      </c>
      <c r="N265" t="s">
        <v>7</v>
      </c>
      <c r="P265">
        <f t="shared" si="964"/>
        <v>-0.90996784565916533</v>
      </c>
      <c r="Q265">
        <f t="shared" si="965"/>
        <v>-2822789.3192443773</v>
      </c>
      <c r="R265">
        <f t="shared" si="966"/>
        <v>-3848683957.6070418</v>
      </c>
      <c r="S265">
        <f t="shared" si="967"/>
        <v>-38486.839576070415</v>
      </c>
      <c r="T265">
        <f t="shared" si="968"/>
        <v>-38.486839576070416</v>
      </c>
    </row>
    <row r="266" spans="1:20" x14ac:dyDescent="0.25">
      <c r="A266" s="5">
        <v>44327</v>
      </c>
      <c r="B266">
        <v>1.3120000000000001</v>
      </c>
      <c r="C266">
        <v>1.38</v>
      </c>
      <c r="D266">
        <v>1.26</v>
      </c>
      <c r="E266">
        <v>1.379</v>
      </c>
      <c r="F266">
        <v>1665031.727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0.98333333333333517</v>
      </c>
      <c r="Q266">
        <f t="shared" si="965"/>
        <v>1637281.1982166697</v>
      </c>
      <c r="R266">
        <f t="shared" si="966"/>
        <v>-3845861168.2877975</v>
      </c>
      <c r="S266">
        <f t="shared" si="967"/>
        <v>-38458.611682877978</v>
      </c>
      <c r="T266">
        <f t="shared" si="968"/>
        <v>-38.458611682877979</v>
      </c>
    </row>
    <row r="267" spans="1:20" x14ac:dyDescent="0.25">
      <c r="A267" s="5">
        <v>44326</v>
      </c>
      <c r="B267">
        <v>1.506</v>
      </c>
      <c r="C267">
        <v>1.54</v>
      </c>
      <c r="D267">
        <v>1.252</v>
      </c>
      <c r="E267">
        <v>1.3089999999999999</v>
      </c>
      <c r="F267">
        <v>2467648.5690000001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-0.60416666666666718</v>
      </c>
      <c r="Q267">
        <f t="shared" si="965"/>
        <v>-1490871.0104375014</v>
      </c>
      <c r="R267">
        <f t="shared" si="966"/>
        <v>-3847498449.4860139</v>
      </c>
      <c r="S267">
        <f t="shared" si="967"/>
        <v>-38474.984494860139</v>
      </c>
      <c r="T267">
        <f t="shared" si="968"/>
        <v>-38.474984494860138</v>
      </c>
    </row>
    <row r="268" spans="1:20" x14ac:dyDescent="0.25">
      <c r="A268" s="5">
        <v>44325</v>
      </c>
      <c r="B268">
        <v>1.5529999999999999</v>
      </c>
      <c r="C268">
        <v>1.5720000000000001</v>
      </c>
      <c r="D268">
        <v>1.42</v>
      </c>
      <c r="E268">
        <v>1.502</v>
      </c>
      <c r="F268">
        <v>2015214.6170000001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7.8947368421052627E-2</v>
      </c>
      <c r="Q268">
        <f t="shared" si="965"/>
        <v>159095.89081578946</v>
      </c>
      <c r="R268">
        <f t="shared" si="966"/>
        <v>-3846007578.4755764</v>
      </c>
      <c r="S268">
        <f t="shared" si="967"/>
        <v>-38460.075784755762</v>
      </c>
      <c r="T268">
        <f t="shared" si="968"/>
        <v>-38.460075784755759</v>
      </c>
    </row>
    <row r="269" spans="1:20" x14ac:dyDescent="0.25">
      <c r="A269" s="5">
        <v>44324</v>
      </c>
      <c r="B269">
        <v>1.581</v>
      </c>
      <c r="C269">
        <v>1.7</v>
      </c>
      <c r="D269">
        <v>1.53</v>
      </c>
      <c r="E269">
        <v>1.5549999999999999</v>
      </c>
      <c r="F269">
        <v>3429648.0959999999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-0.7058823529411774</v>
      </c>
      <c r="Q269">
        <f t="shared" si="965"/>
        <v>-2420928.0677647092</v>
      </c>
      <c r="R269">
        <f t="shared" si="966"/>
        <v>-3846166674.3663921</v>
      </c>
      <c r="S269">
        <f t="shared" si="967"/>
        <v>-38461.666743663918</v>
      </c>
      <c r="T269">
        <f t="shared" si="968"/>
        <v>-38.461666743663919</v>
      </c>
    </row>
    <row r="270" spans="1:20" x14ac:dyDescent="0.25">
      <c r="A270" s="5">
        <v>44323</v>
      </c>
      <c r="B270">
        <v>1.42</v>
      </c>
      <c r="C270">
        <v>1.7</v>
      </c>
      <c r="D270">
        <v>1.369</v>
      </c>
      <c r="E270">
        <v>1.579</v>
      </c>
      <c r="F270">
        <v>5885808.9060000004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0.26888217522658603</v>
      </c>
      <c r="Q270">
        <f t="shared" si="965"/>
        <v>1582589.1016132927</v>
      </c>
      <c r="R270">
        <f t="shared" si="966"/>
        <v>-3843745746.2986274</v>
      </c>
      <c r="S270">
        <f t="shared" si="967"/>
        <v>-38437.457462986276</v>
      </c>
      <c r="T270">
        <f t="shared" si="968"/>
        <v>-38.437457462986274</v>
      </c>
    </row>
    <row r="271" spans="1:20" x14ac:dyDescent="0.25">
      <c r="A271" s="5">
        <v>44322</v>
      </c>
      <c r="B271">
        <v>1.4930000000000001</v>
      </c>
      <c r="C271">
        <v>1.61</v>
      </c>
      <c r="D271">
        <v>1.4</v>
      </c>
      <c r="E271">
        <v>1.4179999999999999</v>
      </c>
      <c r="F271">
        <v>3552668.608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-0.82857142857142863</v>
      </c>
      <c r="Q271">
        <f t="shared" si="965"/>
        <v>-2943639.7037714287</v>
      </c>
      <c r="R271">
        <f t="shared" si="966"/>
        <v>-3845328335.4002409</v>
      </c>
      <c r="S271">
        <f t="shared" si="967"/>
        <v>-38453.283354002408</v>
      </c>
      <c r="T271">
        <f t="shared" si="968"/>
        <v>-38.453283354002409</v>
      </c>
    </row>
    <row r="272" spans="1:20" x14ac:dyDescent="0.25">
      <c r="A272" s="5">
        <v>44321</v>
      </c>
      <c r="B272">
        <v>1.395</v>
      </c>
      <c r="C272">
        <v>1.5449999999999999</v>
      </c>
      <c r="D272">
        <v>1.383</v>
      </c>
      <c r="E272">
        <v>1.4930000000000001</v>
      </c>
      <c r="F272">
        <v>2678790.324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0.35802469135802656</v>
      </c>
      <c r="Q272">
        <f t="shared" si="965"/>
        <v>959073.07896296796</v>
      </c>
      <c r="R272">
        <f t="shared" si="966"/>
        <v>-3842384695.6964693</v>
      </c>
      <c r="S272">
        <f t="shared" si="967"/>
        <v>-38423.846956964691</v>
      </c>
      <c r="T272">
        <f t="shared" si="968"/>
        <v>-38.423846956964688</v>
      </c>
    </row>
    <row r="273" spans="1:20" x14ac:dyDescent="0.25">
      <c r="A273" s="5">
        <v>44320</v>
      </c>
      <c r="B273">
        <v>1.631</v>
      </c>
      <c r="C273">
        <v>1.635</v>
      </c>
      <c r="D273">
        <v>1.3879999999999999</v>
      </c>
      <c r="E273">
        <v>1.395</v>
      </c>
      <c r="F273">
        <v>4073256.2039999999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-0.94331983805667918</v>
      </c>
      <c r="Q273">
        <f t="shared" si="965"/>
        <v>-3842383.3827206437</v>
      </c>
      <c r="R273">
        <f t="shared" si="966"/>
        <v>-3843343768.7754321</v>
      </c>
      <c r="S273">
        <f t="shared" si="967"/>
        <v>-38433.437687754318</v>
      </c>
      <c r="T273">
        <f t="shared" si="968"/>
        <v>-38.433437687754321</v>
      </c>
    </row>
    <row r="274" spans="1:20" x14ac:dyDescent="0.25">
      <c r="A274" s="5">
        <v>44319</v>
      </c>
      <c r="B274">
        <v>1.6639999999999999</v>
      </c>
      <c r="C274">
        <v>1.7490000000000001</v>
      </c>
      <c r="D274">
        <v>1.603</v>
      </c>
      <c r="E274">
        <v>1.63</v>
      </c>
      <c r="F274">
        <v>3005696.0279999999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-0.63013698630137138</v>
      </c>
      <c r="Q274">
        <f t="shared" si="965"/>
        <v>-1894000.2368219222</v>
      </c>
      <c r="R274">
        <f t="shared" si="966"/>
        <v>-3839501385.3927116</v>
      </c>
      <c r="S274">
        <f t="shared" si="967"/>
        <v>-38395.013853927114</v>
      </c>
      <c r="T274">
        <f t="shared" si="968"/>
        <v>-38.395013853927111</v>
      </c>
    </row>
    <row r="275" spans="1:20" x14ac:dyDescent="0.25">
      <c r="A275" s="5">
        <v>44318</v>
      </c>
      <c r="B275">
        <v>1.7150000000000001</v>
      </c>
      <c r="C275">
        <v>1.7989999999999999</v>
      </c>
      <c r="D275">
        <v>1.6060000000000001</v>
      </c>
      <c r="E275">
        <v>1.6639999999999999</v>
      </c>
      <c r="F275">
        <v>2543236.7140000002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-0.39896373056994944</v>
      </c>
      <c r="Q275">
        <f t="shared" si="965"/>
        <v>-1014659.2071398996</v>
      </c>
      <c r="R275">
        <f t="shared" si="966"/>
        <v>-3837607385.1558895</v>
      </c>
      <c r="S275">
        <f t="shared" si="967"/>
        <v>-38376.073851558896</v>
      </c>
      <c r="T275">
        <f t="shared" si="968"/>
        <v>-38.3760738515589</v>
      </c>
    </row>
    <row r="276" spans="1:20" x14ac:dyDescent="0.25">
      <c r="A276" s="5">
        <v>44317</v>
      </c>
      <c r="B276">
        <v>1.627</v>
      </c>
      <c r="C276">
        <v>1.85</v>
      </c>
      <c r="D276">
        <v>1.5920000000000001</v>
      </c>
      <c r="E276">
        <v>1.714</v>
      </c>
      <c r="F276">
        <v>4462300.1399999997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-5.4263565891473776E-2</v>
      </c>
      <c r="Q276">
        <f t="shared" si="965"/>
        <v>-242140.31767442264</v>
      </c>
      <c r="R276">
        <f t="shared" si="966"/>
        <v>-3836592725.9487495</v>
      </c>
      <c r="S276">
        <f t="shared" si="967"/>
        <v>-38365.927259487493</v>
      </c>
      <c r="T276">
        <f t="shared" si="968"/>
        <v>-38.365927259487492</v>
      </c>
    </row>
    <row r="277" spans="1:20" x14ac:dyDescent="0.25">
      <c r="A277" s="5">
        <v>44316</v>
      </c>
      <c r="B277">
        <v>1.4970000000000001</v>
      </c>
      <c r="C277">
        <v>1.8180000000000001</v>
      </c>
      <c r="D277">
        <v>1.462</v>
      </c>
      <c r="E277">
        <v>1.627</v>
      </c>
      <c r="F277">
        <v>6612590.7779999999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-7.3033707865168579E-2</v>
      </c>
      <c r="Q277">
        <f t="shared" si="965"/>
        <v>-482942.02311235981</v>
      </c>
      <c r="R277">
        <f t="shared" si="966"/>
        <v>-3836350585.6310749</v>
      </c>
      <c r="S277">
        <f t="shared" si="967"/>
        <v>-38363.505856310752</v>
      </c>
      <c r="T277">
        <f t="shared" si="968"/>
        <v>-38.363505856310752</v>
      </c>
    </row>
    <row r="278" spans="1:20" x14ac:dyDescent="0.25">
      <c r="A278" s="5">
        <v>44315</v>
      </c>
      <c r="B278">
        <v>1.4470000000000001</v>
      </c>
      <c r="C278">
        <v>1.536</v>
      </c>
      <c r="D278">
        <v>1.37</v>
      </c>
      <c r="E278">
        <v>1.496</v>
      </c>
      <c r="F278">
        <v>3128511.1869999999</v>
      </c>
      <c r="G278">
        <v>0</v>
      </c>
      <c r="L278" t="s">
        <v>8</v>
      </c>
      <c r="M278" t="s">
        <v>7</v>
      </c>
      <c r="N278" t="s">
        <v>8</v>
      </c>
      <c r="P278">
        <f t="shared" si="964"/>
        <v>0.51807228915662584</v>
      </c>
      <c r="Q278">
        <f t="shared" si="965"/>
        <v>1620794.9523012028</v>
      </c>
      <c r="R278">
        <f t="shared" si="966"/>
        <v>-3835867643.6079626</v>
      </c>
      <c r="S278">
        <f t="shared" si="967"/>
        <v>-38358.67643607963</v>
      </c>
      <c r="T278">
        <f t="shared" si="968"/>
        <v>-38.358676436079627</v>
      </c>
    </row>
    <row r="279" spans="1:20" x14ac:dyDescent="0.25">
      <c r="A279" s="5">
        <v>44314</v>
      </c>
      <c r="B279">
        <v>1.548</v>
      </c>
      <c r="C279">
        <v>1.571</v>
      </c>
      <c r="D279">
        <v>1.3129999999999999</v>
      </c>
      <c r="E279">
        <v>1.45</v>
      </c>
      <c r="F279">
        <v>3334088.7790000001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6.2015503875969047E-2</v>
      </c>
      <c r="Q279">
        <f t="shared" si="965"/>
        <v>206765.1955968994</v>
      </c>
      <c r="R279">
        <f t="shared" si="966"/>
        <v>-3837488438.5602636</v>
      </c>
      <c r="S279">
        <f t="shared" si="967"/>
        <v>-38374.884385602636</v>
      </c>
      <c r="T279">
        <f t="shared" si="968"/>
        <v>-38.374884385602634</v>
      </c>
    </row>
    <row r="280" spans="1:20" x14ac:dyDescent="0.25">
      <c r="A280" s="5">
        <v>44313</v>
      </c>
      <c r="B280">
        <v>1.363</v>
      </c>
      <c r="C280">
        <v>1.657</v>
      </c>
      <c r="D280">
        <v>1.329</v>
      </c>
      <c r="E280">
        <v>1.5469999999999999</v>
      </c>
      <c r="F280">
        <v>5182409.9409999996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0.3292682926829264</v>
      </c>
      <c r="Q280">
        <f t="shared" si="965"/>
        <v>1706403.2732560951</v>
      </c>
      <c r="R280">
        <f t="shared" si="966"/>
        <v>-3837695203.7558603</v>
      </c>
      <c r="S280">
        <f t="shared" si="967"/>
        <v>-38376.9520375586</v>
      </c>
      <c r="T280">
        <f t="shared" si="968"/>
        <v>-38.376952037558603</v>
      </c>
    </row>
    <row r="281" spans="1:20" x14ac:dyDescent="0.25">
      <c r="A281" s="5">
        <v>44312</v>
      </c>
      <c r="B281">
        <v>1.196</v>
      </c>
      <c r="C281">
        <v>1.4</v>
      </c>
      <c r="D281">
        <v>1.1599999999999999</v>
      </c>
      <c r="E281">
        <v>1.363</v>
      </c>
      <c r="F281">
        <v>2906254.6170000001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0.69166666666666732</v>
      </c>
      <c r="Q281">
        <f t="shared" si="965"/>
        <v>2010159.443425002</v>
      </c>
      <c r="R281">
        <f t="shared" si="966"/>
        <v>-3839401607.0291166</v>
      </c>
      <c r="S281">
        <f t="shared" si="967"/>
        <v>-38394.016070291167</v>
      </c>
      <c r="T281">
        <f t="shared" si="968"/>
        <v>-38.394016070291165</v>
      </c>
    </row>
    <row r="282" spans="1:20" x14ac:dyDescent="0.25">
      <c r="A282" s="5">
        <v>44311</v>
      </c>
      <c r="B282">
        <v>1.1339999999999999</v>
      </c>
      <c r="C282">
        <v>1.294</v>
      </c>
      <c r="D282">
        <v>1.075</v>
      </c>
      <c r="E282">
        <v>1.196</v>
      </c>
      <c r="F282">
        <v>2736385.8330000001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0.10502283105022786</v>
      </c>
      <c r="Q282">
        <f t="shared" si="965"/>
        <v>287382.98702739604</v>
      </c>
      <c r="R282">
        <f t="shared" si="966"/>
        <v>-3841411766.4725418</v>
      </c>
      <c r="S282">
        <f t="shared" si="967"/>
        <v>-38414.117664725418</v>
      </c>
      <c r="T282">
        <f t="shared" si="968"/>
        <v>-38.414117664725417</v>
      </c>
    </row>
    <row r="283" spans="1:20" x14ac:dyDescent="0.25">
      <c r="A283" s="5">
        <v>44310</v>
      </c>
      <c r="B283">
        <v>1.302</v>
      </c>
      <c r="C283">
        <v>1.3440000000000001</v>
      </c>
      <c r="D283">
        <v>1.129</v>
      </c>
      <c r="E283">
        <v>1.1379999999999999</v>
      </c>
      <c r="F283">
        <v>2985191.9389999998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-0.91627906976744289</v>
      </c>
      <c r="Q283">
        <f t="shared" si="965"/>
        <v>-2735268.8929441888</v>
      </c>
      <c r="R283">
        <f t="shared" si="966"/>
        <v>-3841699149.459569</v>
      </c>
      <c r="S283">
        <f t="shared" si="967"/>
        <v>-38416.991494595692</v>
      </c>
      <c r="T283">
        <f t="shared" si="968"/>
        <v>-38.416991494595692</v>
      </c>
    </row>
    <row r="284" spans="1:20" x14ac:dyDescent="0.25">
      <c r="A284" s="5">
        <v>44309</v>
      </c>
      <c r="B284">
        <v>1.3839999999999999</v>
      </c>
      <c r="C284">
        <v>1.4339999999999999</v>
      </c>
      <c r="D284">
        <v>1.085</v>
      </c>
      <c r="E284">
        <v>1.3</v>
      </c>
      <c r="F284">
        <v>4368238.7010000004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0.23209169054441314</v>
      </c>
      <c r="Q284">
        <f t="shared" si="965"/>
        <v>1013831.9048166213</v>
      </c>
      <c r="R284">
        <f t="shared" si="966"/>
        <v>-3838963880.5666246</v>
      </c>
      <c r="S284">
        <f t="shared" si="967"/>
        <v>-38389.638805666247</v>
      </c>
      <c r="T284">
        <f t="shared" si="968"/>
        <v>-38.389638805666245</v>
      </c>
    </row>
    <row r="285" spans="1:20" x14ac:dyDescent="0.25">
      <c r="A285" s="5">
        <v>44308</v>
      </c>
      <c r="B285">
        <v>1.637</v>
      </c>
      <c r="C285">
        <v>1.6779999999999999</v>
      </c>
      <c r="D285">
        <v>1.355</v>
      </c>
      <c r="E285">
        <v>1.381</v>
      </c>
      <c r="F285">
        <v>3106326.1609999998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-0.8390092879256964</v>
      </c>
      <c r="Q285">
        <f t="shared" si="965"/>
        <v>-2606236.5004055719</v>
      </c>
      <c r="R285">
        <f t="shared" si="966"/>
        <v>-3839977712.4714413</v>
      </c>
      <c r="S285">
        <f t="shared" si="967"/>
        <v>-38399.777124714412</v>
      </c>
      <c r="T285">
        <f t="shared" si="968"/>
        <v>-38.399777124714412</v>
      </c>
    </row>
    <row r="286" spans="1:20" x14ac:dyDescent="0.25">
      <c r="A286" s="5">
        <v>44307</v>
      </c>
      <c r="B286">
        <v>1.7689999999999999</v>
      </c>
      <c r="C286">
        <v>1.819</v>
      </c>
      <c r="D286">
        <v>1.6060000000000001</v>
      </c>
      <c r="E286">
        <v>1.633</v>
      </c>
      <c r="F286">
        <v>3327219.2450000001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-0.74647887323943729</v>
      </c>
      <c r="Q286">
        <f t="shared" si="965"/>
        <v>-2483698.8730281712</v>
      </c>
      <c r="R286">
        <f t="shared" si="966"/>
        <v>-3837371475.9710355</v>
      </c>
      <c r="S286">
        <f t="shared" si="967"/>
        <v>-38373.714759710354</v>
      </c>
      <c r="T286">
        <f t="shared" si="968"/>
        <v>-38.373714759710353</v>
      </c>
    </row>
    <row r="287" spans="1:20" x14ac:dyDescent="0.25">
      <c r="A287" s="5">
        <v>44306</v>
      </c>
      <c r="B287">
        <v>1.7210000000000001</v>
      </c>
      <c r="C287">
        <v>1.8640000000000001</v>
      </c>
      <c r="D287">
        <v>1.6120000000000001</v>
      </c>
      <c r="E287">
        <v>1.7689999999999999</v>
      </c>
      <c r="F287">
        <v>4142645.6469999999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0.24603174603174449</v>
      </c>
      <c r="Q287">
        <f t="shared" si="965"/>
        <v>1019222.3417222158</v>
      </c>
      <c r="R287">
        <f t="shared" si="966"/>
        <v>-3834887777.0980072</v>
      </c>
      <c r="S287">
        <f t="shared" si="967"/>
        <v>-38348.877770980071</v>
      </c>
      <c r="T287">
        <f t="shared" si="968"/>
        <v>-38.348877770980067</v>
      </c>
    </row>
    <row r="288" spans="1:20" x14ac:dyDescent="0.25">
      <c r="A288" s="5">
        <v>44305</v>
      </c>
      <c r="B288">
        <v>1.718</v>
      </c>
      <c r="C288">
        <v>2.17</v>
      </c>
      <c r="D288">
        <v>1.671</v>
      </c>
      <c r="E288">
        <v>1.7250000000000001</v>
      </c>
      <c r="F288">
        <v>9156217.0559999999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-0.78356713426853686</v>
      </c>
      <c r="Q288">
        <f t="shared" si="965"/>
        <v>-7174510.759310619</v>
      </c>
      <c r="R288">
        <f t="shared" si="966"/>
        <v>-3835906999.4397292</v>
      </c>
      <c r="S288">
        <f t="shared" si="967"/>
        <v>-38359.069994397294</v>
      </c>
      <c r="T288">
        <f t="shared" si="968"/>
        <v>-38.359069994397295</v>
      </c>
    </row>
    <row r="289" spans="1:20" x14ac:dyDescent="0.25">
      <c r="A289" s="5">
        <v>44304</v>
      </c>
      <c r="B289">
        <v>1.9650000000000001</v>
      </c>
      <c r="C289">
        <v>1.9710000000000001</v>
      </c>
      <c r="D289">
        <v>1.5429999999999999</v>
      </c>
      <c r="E289">
        <v>1.718</v>
      </c>
      <c r="F289">
        <v>3673721.358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-0.18224299065420571</v>
      </c>
      <c r="Q289">
        <f t="shared" si="965"/>
        <v>-669509.96711214993</v>
      </c>
      <c r="R289">
        <f t="shared" si="966"/>
        <v>-3828732488.6804185</v>
      </c>
      <c r="S289">
        <f t="shared" si="967"/>
        <v>-38287.324886804185</v>
      </c>
      <c r="T289">
        <f t="shared" si="968"/>
        <v>-38.287324886804186</v>
      </c>
    </row>
    <row r="290" spans="1:20" x14ac:dyDescent="0.25">
      <c r="A290" s="5">
        <v>44303</v>
      </c>
      <c r="B290">
        <v>1.956</v>
      </c>
      <c r="C290">
        <v>2.173</v>
      </c>
      <c r="D290">
        <v>1.9</v>
      </c>
      <c r="E290">
        <v>1.9610000000000001</v>
      </c>
      <c r="F290">
        <v>4066489.4589999998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-0.55311355311355215</v>
      </c>
      <c r="Q290">
        <f t="shared" si="965"/>
        <v>-2249230.4333662963</v>
      </c>
      <c r="R290">
        <f t="shared" si="966"/>
        <v>-3828062978.7133064</v>
      </c>
      <c r="S290">
        <f t="shared" si="967"/>
        <v>-38280.629787133061</v>
      </c>
      <c r="T290">
        <f t="shared" si="968"/>
        <v>-38.280629787133059</v>
      </c>
    </row>
    <row r="291" spans="1:20" x14ac:dyDescent="0.25">
      <c r="A291" s="5">
        <v>44302</v>
      </c>
      <c r="B291">
        <v>2.113</v>
      </c>
      <c r="C291">
        <v>2.157</v>
      </c>
      <c r="D291">
        <v>1.825</v>
      </c>
      <c r="E291">
        <v>1.956</v>
      </c>
      <c r="F291">
        <v>5076700.9029999999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-0.21084337349397606</v>
      </c>
      <c r="Q291">
        <f t="shared" si="965"/>
        <v>-1070388.7446084344</v>
      </c>
      <c r="R291">
        <f t="shared" si="966"/>
        <v>-3825813748.2799401</v>
      </c>
      <c r="S291">
        <f t="shared" si="967"/>
        <v>-38258.1374827994</v>
      </c>
      <c r="T291">
        <f t="shared" si="968"/>
        <v>-38.258137482799398</v>
      </c>
    </row>
    <row r="292" spans="1:20" x14ac:dyDescent="0.25">
      <c r="A292" s="5">
        <v>44301</v>
      </c>
      <c r="B292">
        <v>2.0390000000000001</v>
      </c>
      <c r="C292">
        <v>2.327</v>
      </c>
      <c r="D292">
        <v>1.992</v>
      </c>
      <c r="E292">
        <v>2.1120000000000001</v>
      </c>
      <c r="F292">
        <v>4727201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-0.28358208955223807</v>
      </c>
      <c r="Q292">
        <f t="shared" si="965"/>
        <v>-1340549.5373134294</v>
      </c>
      <c r="R292">
        <f t="shared" si="966"/>
        <v>-3824743359.5353317</v>
      </c>
      <c r="S292">
        <f t="shared" si="967"/>
        <v>-38247.433595353315</v>
      </c>
      <c r="T292">
        <f t="shared" si="968"/>
        <v>-38.247433595353314</v>
      </c>
    </row>
    <row r="293" spans="1:20" x14ac:dyDescent="0.25">
      <c r="A293" s="5">
        <v>44300</v>
      </c>
      <c r="B293">
        <v>2.1760000000000002</v>
      </c>
      <c r="C293">
        <v>2.1760000000000002</v>
      </c>
      <c r="D293">
        <v>1.9630000000000001</v>
      </c>
      <c r="E293">
        <v>2.04</v>
      </c>
      <c r="F293">
        <v>3590202.645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-0.27699530516431992</v>
      </c>
      <c r="Q293">
        <f t="shared" si="965"/>
        <v>-994469.27725352359</v>
      </c>
      <c r="R293">
        <f t="shared" si="966"/>
        <v>-3823402809.9980183</v>
      </c>
      <c r="S293">
        <f t="shared" si="967"/>
        <v>-38234.028099980183</v>
      </c>
      <c r="T293">
        <f t="shared" si="968"/>
        <v>-38.234028099980186</v>
      </c>
    </row>
    <row r="294" spans="1:20" x14ac:dyDescent="0.25">
      <c r="A294" s="5">
        <v>44299</v>
      </c>
      <c r="B294">
        <v>2.1760000000000002</v>
      </c>
      <c r="C294">
        <v>2.2309999999999999</v>
      </c>
      <c r="D294">
        <v>2.0390000000000001</v>
      </c>
      <c r="E294">
        <v>2.177</v>
      </c>
      <c r="F294">
        <v>3343753.057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0.437500000000001</v>
      </c>
      <c r="Q294">
        <f t="shared" si="965"/>
        <v>1462891.9624375033</v>
      </c>
      <c r="R294">
        <f t="shared" si="966"/>
        <v>-3822408340.7207646</v>
      </c>
      <c r="S294">
        <f t="shared" si="967"/>
        <v>-38224.083407207647</v>
      </c>
      <c r="T294">
        <f t="shared" si="968"/>
        <v>-38.224083407207644</v>
      </c>
    </row>
    <row r="295" spans="1:20" x14ac:dyDescent="0.25">
      <c r="A295" s="5">
        <v>44298</v>
      </c>
      <c r="B295">
        <v>2.48</v>
      </c>
      <c r="C295">
        <v>2.488</v>
      </c>
      <c r="D295">
        <v>2.129</v>
      </c>
      <c r="E295">
        <v>2.1739999999999999</v>
      </c>
      <c r="F295">
        <v>3291682.6439999999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-0.74930362116991678</v>
      </c>
      <c r="Q295">
        <f t="shared" si="965"/>
        <v>-2466469.724891366</v>
      </c>
      <c r="R295">
        <f t="shared" si="966"/>
        <v>-3823871232.6832023</v>
      </c>
      <c r="S295">
        <f t="shared" si="967"/>
        <v>-38238.712326832021</v>
      </c>
      <c r="T295">
        <f t="shared" si="968"/>
        <v>-38.238712326832022</v>
      </c>
    </row>
    <row r="296" spans="1:20" x14ac:dyDescent="0.25">
      <c r="A296" s="5">
        <v>44297</v>
      </c>
      <c r="B296">
        <v>2.2799999999999998</v>
      </c>
      <c r="C296">
        <v>2.5739999999999998</v>
      </c>
      <c r="D296">
        <v>2.149</v>
      </c>
      <c r="E296">
        <v>2.48</v>
      </c>
      <c r="F296">
        <v>5268423.7019999996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0.55764705882352983</v>
      </c>
      <c r="Q296">
        <f t="shared" si="965"/>
        <v>2937920.9820564725</v>
      </c>
      <c r="R296">
        <f t="shared" si="966"/>
        <v>-3821404762.9583111</v>
      </c>
      <c r="S296">
        <f t="shared" si="967"/>
        <v>-38214.04762958311</v>
      </c>
      <c r="T296">
        <f t="shared" si="968"/>
        <v>-38.214047629583114</v>
      </c>
    </row>
    <row r="297" spans="1:20" x14ac:dyDescent="0.25">
      <c r="A297" s="5">
        <v>44296</v>
      </c>
      <c r="B297">
        <v>2.6179999999999999</v>
      </c>
      <c r="C297">
        <v>2.64</v>
      </c>
      <c r="D297">
        <v>2.222</v>
      </c>
      <c r="E297">
        <v>2.2810000000000001</v>
      </c>
      <c r="F297">
        <v>6541921.75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-0.71770334928229595</v>
      </c>
      <c r="Q297">
        <f t="shared" si="965"/>
        <v>-4695159.150717699</v>
      </c>
      <c r="R297">
        <f t="shared" si="966"/>
        <v>-3824342683.9403677</v>
      </c>
      <c r="S297">
        <f t="shared" si="967"/>
        <v>-38243.426839403677</v>
      </c>
      <c r="T297">
        <f t="shared" si="968"/>
        <v>-38.243426839403675</v>
      </c>
    </row>
    <row r="298" spans="1:20" x14ac:dyDescent="0.25">
      <c r="A298" s="5">
        <v>44295</v>
      </c>
      <c r="B298">
        <v>2.8889999999999998</v>
      </c>
      <c r="C298">
        <v>3.49</v>
      </c>
      <c r="D298">
        <v>2.431</v>
      </c>
      <c r="E298">
        <v>2.6230000000000002</v>
      </c>
      <c r="F298">
        <v>24945877.846999999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-0.63739376770538214</v>
      </c>
      <c r="Q298">
        <f t="shared" si="965"/>
        <v>-15900347.069617556</v>
      </c>
      <c r="R298">
        <f t="shared" si="966"/>
        <v>-3819647524.78965</v>
      </c>
      <c r="S298">
        <f t="shared" si="967"/>
        <v>-38196.475247896502</v>
      </c>
      <c r="T298">
        <f t="shared" si="968"/>
        <v>-38.196475247896501</v>
      </c>
    </row>
    <row r="299" spans="1:20" x14ac:dyDescent="0.25">
      <c r="A299" s="5">
        <v>44294</v>
      </c>
      <c r="B299">
        <v>1.7050000000000001</v>
      </c>
      <c r="C299">
        <v>3.286</v>
      </c>
      <c r="D299">
        <v>1.6890000000000001</v>
      </c>
      <c r="E299">
        <v>2.8889999999999998</v>
      </c>
      <c r="F299">
        <v>27371320.644000001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0.50281778334376925</v>
      </c>
      <c r="Q299">
        <f t="shared" si="965"/>
        <v>13762786.773407631</v>
      </c>
      <c r="R299">
        <f t="shared" si="966"/>
        <v>-3803747177.7200322</v>
      </c>
      <c r="S299">
        <f t="shared" si="967"/>
        <v>-38037.471777200321</v>
      </c>
      <c r="T299">
        <f t="shared" si="968"/>
        <v>-38.037471777200324</v>
      </c>
    </row>
    <row r="300" spans="1:20" x14ac:dyDescent="0.25">
      <c r="A300" s="5">
        <v>44293</v>
      </c>
      <c r="B300">
        <v>1.978</v>
      </c>
      <c r="C300">
        <v>2.1640000000000001</v>
      </c>
      <c r="D300">
        <v>1.6459999999999999</v>
      </c>
      <c r="E300">
        <v>1.702</v>
      </c>
      <c r="F300">
        <v>5137956.1560000004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-0.78378378378378366</v>
      </c>
      <c r="Q300">
        <f t="shared" si="965"/>
        <v>-4027046.7168648643</v>
      </c>
      <c r="R300">
        <f t="shared" si="966"/>
        <v>-3817509964.4934397</v>
      </c>
      <c r="S300">
        <f t="shared" si="967"/>
        <v>-38175.099644934395</v>
      </c>
      <c r="T300">
        <f t="shared" si="968"/>
        <v>-38.175099644934392</v>
      </c>
    </row>
    <row r="301" spans="1:20" x14ac:dyDescent="0.25">
      <c r="A301" s="5">
        <v>44292</v>
      </c>
      <c r="B301">
        <v>2.4249999999999998</v>
      </c>
      <c r="C301">
        <v>2.5840000000000001</v>
      </c>
      <c r="D301">
        <v>1.95</v>
      </c>
      <c r="E301">
        <v>1.974</v>
      </c>
      <c r="F301">
        <v>7154395.9129999997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-0.92429022082018919</v>
      </c>
      <c r="Q301">
        <f t="shared" si="965"/>
        <v>-6612738.1782618286</v>
      </c>
      <c r="R301">
        <f t="shared" si="966"/>
        <v>-3813482917.7765746</v>
      </c>
      <c r="S301">
        <f t="shared" si="967"/>
        <v>-38134.829177765743</v>
      </c>
      <c r="T301">
        <f t="shared" si="968"/>
        <v>-38.134829177765745</v>
      </c>
    </row>
    <row r="302" spans="1:20" x14ac:dyDescent="0.25">
      <c r="A302" s="5">
        <v>44291</v>
      </c>
      <c r="B302">
        <v>2.645</v>
      </c>
      <c r="C302">
        <v>2.8820000000000001</v>
      </c>
      <c r="D302">
        <v>2.4009999999999998</v>
      </c>
      <c r="E302">
        <v>2.4249999999999998</v>
      </c>
      <c r="F302">
        <v>8107158.9309999999</v>
      </c>
      <c r="G302">
        <v>0</v>
      </c>
      <c r="L302" t="s">
        <v>7</v>
      </c>
      <c r="M302" t="s">
        <v>7</v>
      </c>
      <c r="N302" t="s">
        <v>7</v>
      </c>
      <c r="P302">
        <f t="shared" si="964"/>
        <v>-0.9002079002079002</v>
      </c>
      <c r="Q302">
        <f t="shared" si="965"/>
        <v>-7298128.517927235</v>
      </c>
      <c r="R302">
        <f t="shared" si="966"/>
        <v>-3806870179.5983129</v>
      </c>
      <c r="S302">
        <f t="shared" si="967"/>
        <v>-38068.701795983128</v>
      </c>
      <c r="T302">
        <f t="shared" si="968"/>
        <v>-38.068701795983131</v>
      </c>
    </row>
    <row r="303" spans="1:20" x14ac:dyDescent="0.25">
      <c r="A303" s="5">
        <v>44290</v>
      </c>
      <c r="B303">
        <v>2.573</v>
      </c>
      <c r="C303">
        <v>3</v>
      </c>
      <c r="D303">
        <v>2.5099999999999998</v>
      </c>
      <c r="E303">
        <v>2.6440000000000001</v>
      </c>
      <c r="F303">
        <v>6660699.4749999996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-0.45306122448979474</v>
      </c>
      <c r="Q303">
        <f t="shared" si="965"/>
        <v>-3017704.6601020331</v>
      </c>
      <c r="R303">
        <f t="shared" si="966"/>
        <v>-3799572051.0803857</v>
      </c>
      <c r="S303">
        <f t="shared" si="967"/>
        <v>-37995.720510803854</v>
      </c>
      <c r="T303">
        <f t="shared" si="968"/>
        <v>-37.995720510803856</v>
      </c>
    </row>
    <row r="304" spans="1:20" x14ac:dyDescent="0.25">
      <c r="A304" s="5">
        <v>44289</v>
      </c>
      <c r="B304">
        <v>2.8370000000000002</v>
      </c>
      <c r="C304">
        <v>3.395</v>
      </c>
      <c r="D304">
        <v>2.52</v>
      </c>
      <c r="E304">
        <v>2.5720000000000001</v>
      </c>
      <c r="F304">
        <v>11803125.764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-0.88114285714285701</v>
      </c>
      <c r="Q304">
        <f t="shared" si="965"/>
        <v>-10400239.958907427</v>
      </c>
      <c r="R304">
        <f t="shared" si="966"/>
        <v>-3796554346.4202838</v>
      </c>
      <c r="S304">
        <f t="shared" si="967"/>
        <v>-37965.543464202841</v>
      </c>
      <c r="T304">
        <f t="shared" si="968"/>
        <v>-37.965543464202838</v>
      </c>
    </row>
    <row r="305" spans="1:20" x14ac:dyDescent="0.25">
      <c r="A305" s="5">
        <v>44288</v>
      </c>
      <c r="B305">
        <v>2.629</v>
      </c>
      <c r="C305">
        <v>4.8170000000000002</v>
      </c>
      <c r="D305">
        <v>2.044</v>
      </c>
      <c r="E305">
        <v>2.8279999999999998</v>
      </c>
      <c r="F305">
        <v>43824568.678000003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-0.43454742156509213</v>
      </c>
      <c r="Q305">
        <f t="shared" si="965"/>
        <v>-19043853.320227198</v>
      </c>
      <c r="R305">
        <f t="shared" si="966"/>
        <v>-3786154106.4613762</v>
      </c>
      <c r="S305">
        <f t="shared" si="967"/>
        <v>-37861.541064613761</v>
      </c>
      <c r="T305">
        <f t="shared" si="968"/>
        <v>-37.86154106461376</v>
      </c>
    </row>
    <row r="306" spans="1:20" x14ac:dyDescent="0.25">
      <c r="A306" s="5">
        <v>44284</v>
      </c>
      <c r="B306">
        <v>2.6199E-2</v>
      </c>
      <c r="C306">
        <v>2.6553E-2</v>
      </c>
      <c r="D306">
        <v>2.5413999999999999E-2</v>
      </c>
      <c r="E306">
        <v>2.6287999999999999E-2</v>
      </c>
      <c r="F306">
        <v>76302212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0.53467954345917279</v>
      </c>
      <c r="Q306">
        <f t="shared" si="965"/>
        <v>40797231.877085015</v>
      </c>
      <c r="R306">
        <f t="shared" si="966"/>
        <v>-3767110253.141149</v>
      </c>
      <c r="S306">
        <f t="shared" si="967"/>
        <v>-37671.102531411489</v>
      </c>
      <c r="T306">
        <f t="shared" si="968"/>
        <v>-37.671102531411492</v>
      </c>
    </row>
    <row r="307" spans="1:20" x14ac:dyDescent="0.25">
      <c r="A307" s="5">
        <v>44283</v>
      </c>
      <c r="B307">
        <v>2.3300000000000001E-2</v>
      </c>
      <c r="C307">
        <v>2.6887000000000001E-2</v>
      </c>
      <c r="D307">
        <v>2.2752000000000001E-2</v>
      </c>
      <c r="E307">
        <v>2.6203000000000001E-2</v>
      </c>
      <c r="F307">
        <v>444803023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0.66916565900846403</v>
      </c>
      <c r="Q307">
        <f t="shared" si="965"/>
        <v>297646908.01475197</v>
      </c>
      <c r="R307">
        <f t="shared" si="966"/>
        <v>-3807907485.0182343</v>
      </c>
      <c r="S307">
        <f t="shared" si="967"/>
        <v>-38079.07485018234</v>
      </c>
      <c r="T307">
        <f t="shared" si="968"/>
        <v>-38.079074850182337</v>
      </c>
    </row>
    <row r="308" spans="1:20" x14ac:dyDescent="0.25">
      <c r="A308" s="5">
        <v>44282</v>
      </c>
      <c r="B308">
        <v>2.282E-2</v>
      </c>
      <c r="C308">
        <v>2.4247000000000001E-2</v>
      </c>
      <c r="D308">
        <v>2.1506000000000001E-2</v>
      </c>
      <c r="E308">
        <v>2.3337E-2</v>
      </c>
      <c r="F308">
        <v>218516235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0.33600875592849255</v>
      </c>
      <c r="Q308">
        <f t="shared" si="965"/>
        <v>73423368.272528127</v>
      </c>
      <c r="R308">
        <f t="shared" si="966"/>
        <v>-4105554393.0329862</v>
      </c>
      <c r="S308">
        <f t="shared" si="967"/>
        <v>-41055.543930329863</v>
      </c>
      <c r="T308">
        <f t="shared" si="968"/>
        <v>-41.055543930329861</v>
      </c>
    </row>
    <row r="309" spans="1:20" x14ac:dyDescent="0.25">
      <c r="A309" s="5">
        <v>44281</v>
      </c>
      <c r="B309">
        <v>2.1083999999999999E-2</v>
      </c>
      <c r="C309">
        <v>2.3E-2</v>
      </c>
      <c r="D309">
        <v>2.0899000000000001E-2</v>
      </c>
      <c r="E309">
        <v>2.2818999999999999E-2</v>
      </c>
      <c r="F309">
        <v>219109456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0.82770109471680087</v>
      </c>
      <c r="Q309">
        <f t="shared" si="965"/>
        <v>181357136.59400272</v>
      </c>
      <c r="R309">
        <f t="shared" si="966"/>
        <v>-4178977761.3055143</v>
      </c>
      <c r="S309">
        <f t="shared" si="967"/>
        <v>-41789.777613055143</v>
      </c>
      <c r="T309">
        <f t="shared" si="968"/>
        <v>-41.789777613055143</v>
      </c>
    </row>
    <row r="310" spans="1:20" x14ac:dyDescent="0.25">
      <c r="A310" s="5">
        <v>44280</v>
      </c>
      <c r="B310">
        <v>2.1122999999999999E-2</v>
      </c>
      <c r="C310">
        <v>2.3909E-2</v>
      </c>
      <c r="D310">
        <v>1.9595000000000001E-2</v>
      </c>
      <c r="E310">
        <v>2.0996999999999998E-2</v>
      </c>
      <c r="F310">
        <v>381833126</v>
      </c>
      <c r="G310">
        <v>0</v>
      </c>
      <c r="L310" t="s">
        <v>7</v>
      </c>
      <c r="M310" t="s">
        <v>7</v>
      </c>
      <c r="N310" t="s">
        <v>7</v>
      </c>
      <c r="P310">
        <f t="shared" si="964"/>
        <v>-0.35002318034307023</v>
      </c>
      <c r="Q310">
        <f t="shared" si="965"/>
        <v>-133650445.12285626</v>
      </c>
      <c r="R310">
        <f t="shared" si="966"/>
        <v>-4360334897.8995171</v>
      </c>
      <c r="S310">
        <f t="shared" si="967"/>
        <v>-43603.348978995171</v>
      </c>
      <c r="T310">
        <f t="shared" si="968"/>
        <v>-43.603348978995172</v>
      </c>
    </row>
    <row r="311" spans="1:20" x14ac:dyDescent="0.25">
      <c r="A311" s="5">
        <v>44279</v>
      </c>
      <c r="B311">
        <v>2.1600000000000001E-2</v>
      </c>
      <c r="C311">
        <v>2.4662E-2</v>
      </c>
      <c r="D311">
        <v>2.035E-2</v>
      </c>
      <c r="E311">
        <v>2.1011999999999999E-2</v>
      </c>
      <c r="F311">
        <v>320260539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-0.69294990723562178</v>
      </c>
      <c r="Q311">
        <f t="shared" si="965"/>
        <v>-221924510.79128024</v>
      </c>
      <c r="R311">
        <f t="shared" si="966"/>
        <v>-4226684452.7766609</v>
      </c>
      <c r="S311">
        <f t="shared" si="967"/>
        <v>-42266.844527766611</v>
      </c>
      <c r="T311">
        <f t="shared" si="968"/>
        <v>-42.266844527766608</v>
      </c>
    </row>
    <row r="312" spans="1:20" x14ac:dyDescent="0.25">
      <c r="A312" s="5">
        <v>44278</v>
      </c>
      <c r="B312">
        <v>2.3969000000000001E-2</v>
      </c>
      <c r="C312">
        <v>2.4976000000000002E-2</v>
      </c>
      <c r="D312">
        <v>2.0656999999999998E-2</v>
      </c>
      <c r="E312">
        <v>2.1600000000000001E-2</v>
      </c>
      <c r="F312">
        <v>395549978</v>
      </c>
      <c r="G312">
        <v>0</v>
      </c>
      <c r="L312" t="s">
        <v>7</v>
      </c>
      <c r="M312" t="s">
        <v>7</v>
      </c>
      <c r="N312" t="s">
        <v>7</v>
      </c>
      <c r="P312">
        <f t="shared" si="964"/>
        <v>-0.56332484371382163</v>
      </c>
      <c r="Q312">
        <f t="shared" si="965"/>
        <v>-222823129.5378556</v>
      </c>
      <c r="R312">
        <f t="shared" si="966"/>
        <v>-4004759941.9853806</v>
      </c>
      <c r="S312">
        <f t="shared" si="967"/>
        <v>-40047.59941985381</v>
      </c>
      <c r="T312">
        <f t="shared" si="968"/>
        <v>-40.04759941985381</v>
      </c>
    </row>
    <row r="313" spans="1:20" x14ac:dyDescent="0.25">
      <c r="A313" s="5">
        <v>44277</v>
      </c>
      <c r="B313">
        <v>2.7836E-2</v>
      </c>
      <c r="C313">
        <v>2.9377E-2</v>
      </c>
      <c r="D313">
        <v>2.3508999999999999E-2</v>
      </c>
      <c r="E313">
        <v>2.3970000000000002E-2</v>
      </c>
      <c r="F313">
        <v>717699776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-0.84287661895023758</v>
      </c>
      <c r="Q313">
        <f t="shared" si="965"/>
        <v>-604932360.61622286</v>
      </c>
      <c r="R313">
        <f t="shared" si="966"/>
        <v>-3781936812.447525</v>
      </c>
      <c r="S313">
        <f t="shared" si="967"/>
        <v>-37819.368124475252</v>
      </c>
      <c r="T313">
        <f t="shared" si="968"/>
        <v>-37.819368124475254</v>
      </c>
    </row>
    <row r="314" spans="1:20" x14ac:dyDescent="0.25">
      <c r="A314" s="5">
        <v>44276</v>
      </c>
      <c r="B314">
        <v>2.6825000000000002E-2</v>
      </c>
      <c r="C314">
        <v>2.9499999999999998E-2</v>
      </c>
      <c r="D314">
        <v>2.5416999999999999E-2</v>
      </c>
      <c r="E314">
        <v>2.7827999999999999E-2</v>
      </c>
      <c r="F314">
        <v>621523949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0.18099436688709286</v>
      </c>
      <c r="Q314">
        <f t="shared" si="965"/>
        <v>112492333.65442079</v>
      </c>
      <c r="R314">
        <f t="shared" si="966"/>
        <v>-3177004451.8313022</v>
      </c>
      <c r="S314">
        <f t="shared" si="967"/>
        <v>-31770.044518313021</v>
      </c>
      <c r="T314">
        <f t="shared" si="968"/>
        <v>-31.770044518313021</v>
      </c>
    </row>
    <row r="315" spans="1:20" x14ac:dyDescent="0.25">
      <c r="A315" s="5">
        <v>44275</v>
      </c>
      <c r="B315">
        <v>2.8105999999999999E-2</v>
      </c>
      <c r="C315">
        <v>3.2500000000000001E-2</v>
      </c>
      <c r="D315">
        <v>2.6675999999999998E-2</v>
      </c>
      <c r="E315">
        <v>2.6738999999999999E-2</v>
      </c>
      <c r="F315">
        <v>1407818569</v>
      </c>
      <c r="G315">
        <v>0</v>
      </c>
      <c r="L315" t="s">
        <v>8</v>
      </c>
      <c r="M315" t="s">
        <v>7</v>
      </c>
      <c r="N315" t="s">
        <v>8</v>
      </c>
      <c r="P315">
        <f t="shared" si="964"/>
        <v>-0.97836538461538447</v>
      </c>
      <c r="Q315">
        <f t="shared" si="965"/>
        <v>-1377360955.7283652</v>
      </c>
      <c r="R315">
        <f t="shared" si="966"/>
        <v>-3289496785.485723</v>
      </c>
      <c r="S315">
        <f t="shared" si="967"/>
        <v>-32894.967854857234</v>
      </c>
      <c r="T315">
        <f t="shared" si="968"/>
        <v>-32.894967854857235</v>
      </c>
    </row>
    <row r="316" spans="1:20" x14ac:dyDescent="0.25">
      <c r="A316" s="5">
        <v>44274</v>
      </c>
      <c r="B316">
        <v>1.9005999999999999E-2</v>
      </c>
      <c r="C316">
        <v>3.2500000000000001E-2</v>
      </c>
      <c r="D316">
        <v>1.8379E-2</v>
      </c>
      <c r="E316">
        <v>2.7975E-2</v>
      </c>
      <c r="F316">
        <v>2986995268</v>
      </c>
      <c r="G316">
        <v>0</v>
      </c>
      <c r="L316" t="s">
        <v>7</v>
      </c>
      <c r="M316" t="s">
        <v>8</v>
      </c>
      <c r="N316" t="s">
        <v>8</v>
      </c>
      <c r="P316">
        <f t="shared" si="964"/>
        <v>0.35911054457899572</v>
      </c>
      <c r="Q316">
        <f t="shared" si="965"/>
        <v>1072661497.3463633</v>
      </c>
      <c r="R316">
        <f t="shared" si="966"/>
        <v>-1912135829.7573578</v>
      </c>
      <c r="S316">
        <f t="shared" si="967"/>
        <v>-19121.358297573577</v>
      </c>
      <c r="T316">
        <f t="shared" si="968"/>
        <v>-19.121358297573575</v>
      </c>
    </row>
    <row r="317" spans="1:20" x14ac:dyDescent="0.25">
      <c r="A317" s="5">
        <v>44273</v>
      </c>
      <c r="B317">
        <v>2.0469000000000001E-2</v>
      </c>
      <c r="C317">
        <v>2.1083000000000001E-2</v>
      </c>
      <c r="D317">
        <v>1.8707000000000001E-2</v>
      </c>
      <c r="E317">
        <v>1.9005999999999999E-2</v>
      </c>
      <c r="F317">
        <v>496717051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-0.7483164983165006</v>
      </c>
      <c r="Q317">
        <f t="shared" si="965"/>
        <v>-371701564.25841862</v>
      </c>
      <c r="R317">
        <f t="shared" si="966"/>
        <v>-2984797327.1037211</v>
      </c>
      <c r="S317">
        <f t="shared" si="967"/>
        <v>-29847.973271037212</v>
      </c>
      <c r="T317">
        <f t="shared" si="968"/>
        <v>-29.847973271037212</v>
      </c>
    </row>
    <row r="318" spans="1:20" x14ac:dyDescent="0.25">
      <c r="A318" s="5">
        <v>44272</v>
      </c>
      <c r="B318">
        <v>1.6237000000000001E-2</v>
      </c>
      <c r="C318">
        <v>2.1950000000000001E-2</v>
      </c>
      <c r="D318">
        <v>1.584E-2</v>
      </c>
      <c r="E318">
        <v>2.0469999999999999E-2</v>
      </c>
      <c r="F318">
        <v>754285823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0.51554828150572762</v>
      </c>
      <c r="Q318">
        <f t="shared" si="965"/>
        <v>388870759.81178343</v>
      </c>
      <c r="R318">
        <f t="shared" si="966"/>
        <v>-2613095762.8453026</v>
      </c>
      <c r="S318">
        <f t="shared" si="967"/>
        <v>-26130.957628453027</v>
      </c>
      <c r="T318">
        <f t="shared" si="968"/>
        <v>-26.130957628453025</v>
      </c>
    </row>
    <row r="319" spans="1:20" x14ac:dyDescent="0.25">
      <c r="A319" s="5">
        <v>44271</v>
      </c>
      <c r="B319">
        <v>1.7482000000000001E-2</v>
      </c>
      <c r="C319">
        <v>1.9033000000000001E-2</v>
      </c>
      <c r="D319">
        <v>1.5873999999999999E-2</v>
      </c>
      <c r="E319">
        <v>1.6237999999999999E-2</v>
      </c>
      <c r="F319">
        <v>583067931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-0.76954732510288093</v>
      </c>
      <c r="Q319">
        <f t="shared" si="965"/>
        <v>-448698366.65432113</v>
      </c>
      <c r="R319">
        <f t="shared" si="966"/>
        <v>-3001966522.6570859</v>
      </c>
      <c r="S319">
        <f t="shared" si="967"/>
        <v>-30019.665226570858</v>
      </c>
      <c r="T319">
        <f t="shared" si="968"/>
        <v>-30.019665226570858</v>
      </c>
    </row>
    <row r="320" spans="1:20" x14ac:dyDescent="0.25">
      <c r="A320" s="5">
        <v>44270</v>
      </c>
      <c r="B320">
        <v>1.4651000000000001E-2</v>
      </c>
      <c r="C320">
        <v>1.9E-2</v>
      </c>
      <c r="D320">
        <v>1.3559E-2</v>
      </c>
      <c r="E320">
        <v>1.7514999999999999E-2</v>
      </c>
      <c r="F320">
        <v>858352006</v>
      </c>
      <c r="G320">
        <v>0</v>
      </c>
      <c r="L320" t="s">
        <v>7</v>
      </c>
      <c r="M320" t="s">
        <v>8</v>
      </c>
      <c r="N320" t="s">
        <v>8</v>
      </c>
      <c r="P320">
        <f t="shared" si="964"/>
        <v>0.45414445873920223</v>
      </c>
      <c r="Q320">
        <f t="shared" si="965"/>
        <v>389815807.17257845</v>
      </c>
      <c r="R320">
        <f t="shared" si="966"/>
        <v>-2553268156.0027647</v>
      </c>
      <c r="S320">
        <f t="shared" si="967"/>
        <v>-25532.681560027646</v>
      </c>
      <c r="T320">
        <f t="shared" si="968"/>
        <v>-25.532681560027648</v>
      </c>
    </row>
    <row r="321" spans="1:20" x14ac:dyDescent="0.25">
      <c r="A321" s="5">
        <v>44269</v>
      </c>
      <c r="B321">
        <v>1.5238E-2</v>
      </c>
      <c r="C321">
        <v>1.6622999999999999E-2</v>
      </c>
      <c r="D321">
        <v>1.4508E-2</v>
      </c>
      <c r="E321">
        <v>1.4651000000000001E-2</v>
      </c>
      <c r="F321">
        <v>421606785</v>
      </c>
      <c r="G321">
        <v>0</v>
      </c>
      <c r="L321" t="s">
        <v>7</v>
      </c>
      <c r="M321" t="s">
        <v>8</v>
      </c>
      <c r="N321" t="s">
        <v>8</v>
      </c>
      <c r="P321">
        <f t="shared" si="964"/>
        <v>-0.86477541371158317</v>
      </c>
      <c r="Q321">
        <f t="shared" si="965"/>
        <v>-364595181.92198551</v>
      </c>
      <c r="R321">
        <f t="shared" si="966"/>
        <v>-2943083963.175343</v>
      </c>
      <c r="S321">
        <f t="shared" si="967"/>
        <v>-29430.839631753432</v>
      </c>
      <c r="T321">
        <f t="shared" si="968"/>
        <v>-29.430839631753432</v>
      </c>
    </row>
    <row r="322" spans="1:20" x14ac:dyDescent="0.25">
      <c r="A322" s="5">
        <v>44268</v>
      </c>
      <c r="B322">
        <v>1.2251E-2</v>
      </c>
      <c r="C322">
        <v>1.67E-2</v>
      </c>
      <c r="D322">
        <v>1.1844E-2</v>
      </c>
      <c r="E322">
        <v>1.5238E-2</v>
      </c>
      <c r="F322">
        <v>810288478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0.39785831960461288</v>
      </c>
      <c r="Q322">
        <f t="shared" si="965"/>
        <v>322380012.25205934</v>
      </c>
      <c r="R322">
        <f t="shared" si="966"/>
        <v>-2578488781.2533574</v>
      </c>
      <c r="S322">
        <f t="shared" si="967"/>
        <v>-25784.887812533572</v>
      </c>
      <c r="T322">
        <f t="shared" si="968"/>
        <v>-25.784887812533572</v>
      </c>
    </row>
    <row r="323" spans="1:20" x14ac:dyDescent="0.25">
      <c r="A323" s="5">
        <v>44267</v>
      </c>
      <c r="B323">
        <v>1.1564E-2</v>
      </c>
      <c r="C323">
        <v>1.2767000000000001E-2</v>
      </c>
      <c r="D323">
        <v>1.0267999999999999E-2</v>
      </c>
      <c r="E323">
        <v>1.2251E-2</v>
      </c>
      <c r="F323">
        <v>355609802</v>
      </c>
      <c r="G323">
        <v>0</v>
      </c>
      <c r="L323" t="s">
        <v>7</v>
      </c>
      <c r="M323" t="s">
        <v>7</v>
      </c>
      <c r="N323" t="s">
        <v>7</v>
      </c>
      <c r="P323">
        <f t="shared" si="964"/>
        <v>0.58703481392556978</v>
      </c>
      <c r="Q323">
        <f t="shared" si="965"/>
        <v>208755333.94717872</v>
      </c>
      <c r="R323">
        <f t="shared" si="966"/>
        <v>-2900868793.5054169</v>
      </c>
      <c r="S323">
        <f t="shared" si="967"/>
        <v>-29008.687935054168</v>
      </c>
      <c r="T323">
        <f t="shared" si="968"/>
        <v>-29.008687935054169</v>
      </c>
    </row>
    <row r="324" spans="1:20" x14ac:dyDescent="0.25">
      <c r="A324" s="5">
        <v>44266</v>
      </c>
      <c r="B324">
        <v>1.2305999999999999E-2</v>
      </c>
      <c r="C324">
        <v>1.2697999999999999E-2</v>
      </c>
      <c r="D324">
        <v>1.1036000000000001E-2</v>
      </c>
      <c r="E324">
        <v>1.1564E-2</v>
      </c>
      <c r="F324">
        <v>302850167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-0.36462093862815953</v>
      </c>
      <c r="Q324">
        <f t="shared" si="965"/>
        <v>-110425512.15523486</v>
      </c>
      <c r="R324">
        <f t="shared" si="966"/>
        <v>-3109624127.4525957</v>
      </c>
      <c r="S324">
        <f t="shared" si="967"/>
        <v>-31096.241274525957</v>
      </c>
      <c r="T324">
        <f t="shared" si="968"/>
        <v>-31.096241274525958</v>
      </c>
    </row>
    <row r="325" spans="1:20" x14ac:dyDescent="0.25">
      <c r="A325" s="5">
        <v>44265</v>
      </c>
      <c r="B325">
        <v>1.2961E-2</v>
      </c>
      <c r="C325">
        <v>1.3925999999999999E-2</v>
      </c>
      <c r="D325">
        <v>1.18E-2</v>
      </c>
      <c r="E325">
        <v>1.2359999999999999E-2</v>
      </c>
      <c r="F325">
        <v>495243719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-0.47318908748824096</v>
      </c>
      <c r="Q325">
        <f t="shared" si="965"/>
        <v>-234343923.47789282</v>
      </c>
      <c r="R325">
        <f t="shared" si="966"/>
        <v>-2999198615.2973609</v>
      </c>
      <c r="S325">
        <f t="shared" si="967"/>
        <v>-29991.986152973608</v>
      </c>
      <c r="T325">
        <f t="shared" si="968"/>
        <v>-29.99198615297361</v>
      </c>
    </row>
    <row r="326" spans="1:20" x14ac:dyDescent="0.25">
      <c r="A326" s="5">
        <v>44264</v>
      </c>
      <c r="B326">
        <v>1.0338999999999999E-2</v>
      </c>
      <c r="C326">
        <v>1.3329000000000001E-2</v>
      </c>
      <c r="D326">
        <v>1.0186000000000001E-2</v>
      </c>
      <c r="E326">
        <v>1.2984000000000001E-2</v>
      </c>
      <c r="F326">
        <v>751890217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0.78046452433980285</v>
      </c>
      <c r="Q326">
        <f t="shared" ref="Q326:Q389" si="970">F326*P326</f>
        <v>586823640.56665611</v>
      </c>
      <c r="R326">
        <f t="shared" ref="R326:R389" si="971">R327+Q326</f>
        <v>-2764854691.819468</v>
      </c>
      <c r="S326">
        <f t="shared" ref="S326:S389" si="972">R326/100000</f>
        <v>-27648.546918194679</v>
      </c>
      <c r="T326">
        <f t="shared" ref="T326:T389" si="973">S326/1000</f>
        <v>-27.648546918194679</v>
      </c>
    </row>
    <row r="327" spans="1:20" x14ac:dyDescent="0.25">
      <c r="A327" s="5">
        <v>44263</v>
      </c>
      <c r="B327">
        <v>9.9509999999999998E-3</v>
      </c>
      <c r="C327">
        <v>1.0999999999999999E-2</v>
      </c>
      <c r="D327">
        <v>9.5770000000000004E-3</v>
      </c>
      <c r="E327">
        <v>1.0338E-2</v>
      </c>
      <c r="F327">
        <v>466899891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6.9571328179901762E-2</v>
      </c>
      <c r="Q327">
        <f t="shared" si="970"/>
        <v>32482845.543921363</v>
      </c>
      <c r="R327">
        <f t="shared" si="971"/>
        <v>-3351678332.3861241</v>
      </c>
      <c r="S327">
        <f t="shared" si="972"/>
        <v>-33516.783323861244</v>
      </c>
      <c r="T327">
        <f t="shared" si="973"/>
        <v>-33.516783323861247</v>
      </c>
    </row>
    <row r="328" spans="1:20" x14ac:dyDescent="0.25">
      <c r="A328" s="5">
        <v>44262</v>
      </c>
      <c r="B328">
        <v>9.6319999999999999E-3</v>
      </c>
      <c r="C328">
        <v>1.0867999999999999E-2</v>
      </c>
      <c r="D328">
        <v>8.8830000000000003E-3</v>
      </c>
      <c r="E328">
        <v>9.9509999999999998E-3</v>
      </c>
      <c r="F328">
        <v>648614394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7.6070528967254497E-2</v>
      </c>
      <c r="Q328">
        <f t="shared" si="970"/>
        <v>49340440.04735522</v>
      </c>
      <c r="R328">
        <f t="shared" si="971"/>
        <v>-3384161177.9300456</v>
      </c>
      <c r="S328">
        <f t="shared" si="972"/>
        <v>-33841.61177930046</v>
      </c>
      <c r="T328">
        <f t="shared" si="973"/>
        <v>-33.841611779300457</v>
      </c>
    </row>
    <row r="329" spans="1:20" x14ac:dyDescent="0.25">
      <c r="A329" s="5">
        <v>44261</v>
      </c>
      <c r="B329">
        <v>9.2890000000000004E-3</v>
      </c>
      <c r="C329">
        <v>1.1332999999999999E-2</v>
      </c>
      <c r="D329">
        <v>8.7010000000000004E-3</v>
      </c>
      <c r="E329">
        <v>9.6489999999999996E-3</v>
      </c>
      <c r="F329">
        <v>1790619389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-0.27963525835866293</v>
      </c>
      <c r="Q329">
        <f t="shared" si="970"/>
        <v>-500720315.46504617</v>
      </c>
      <c r="R329">
        <f t="shared" si="971"/>
        <v>-3433501617.9774008</v>
      </c>
      <c r="S329">
        <f t="shared" si="972"/>
        <v>-34335.016179774007</v>
      </c>
      <c r="T329">
        <f t="shared" si="973"/>
        <v>-34.335016179774009</v>
      </c>
    </row>
    <row r="330" spans="1:20" x14ac:dyDescent="0.25">
      <c r="A330" s="5">
        <v>44260</v>
      </c>
      <c r="B330">
        <v>7.143E-3</v>
      </c>
      <c r="C330">
        <v>9.7689999999999999E-3</v>
      </c>
      <c r="D330">
        <v>6.5640000000000004E-3</v>
      </c>
      <c r="E330">
        <v>9.2899999999999996E-3</v>
      </c>
      <c r="F330">
        <v>1880113277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0.70109204368174705</v>
      </c>
      <c r="Q330">
        <f t="shared" si="970"/>
        <v>1318132459.7251165</v>
      </c>
      <c r="R330">
        <f t="shared" si="971"/>
        <v>-2932781302.5123549</v>
      </c>
      <c r="S330">
        <f t="shared" si="972"/>
        <v>-29327.813025123549</v>
      </c>
      <c r="T330">
        <f t="shared" si="973"/>
        <v>-29.32781302512355</v>
      </c>
    </row>
    <row r="331" spans="1:20" x14ac:dyDescent="0.25">
      <c r="A331" s="5">
        <v>44259</v>
      </c>
      <c r="B331">
        <v>7.3179999999999999E-3</v>
      </c>
      <c r="C331">
        <v>7.4580000000000002E-3</v>
      </c>
      <c r="D331">
        <v>6.7380000000000001E-3</v>
      </c>
      <c r="E331">
        <v>7.143E-3</v>
      </c>
      <c r="F331">
        <v>75400163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0.12499999999999969</v>
      </c>
      <c r="Q331">
        <f t="shared" si="970"/>
        <v>9425020.3749999776</v>
      </c>
      <c r="R331">
        <f t="shared" si="971"/>
        <v>-4250913762.2374711</v>
      </c>
      <c r="S331">
        <f t="shared" si="972"/>
        <v>-42509.137622374714</v>
      </c>
      <c r="T331">
        <f t="shared" si="973"/>
        <v>-42.509137622374716</v>
      </c>
    </row>
    <row r="332" spans="1:20" x14ac:dyDescent="0.25">
      <c r="A332" s="5">
        <v>44258</v>
      </c>
      <c r="B332">
        <v>6.8479999999999999E-3</v>
      </c>
      <c r="C332">
        <v>7.6210000000000002E-3</v>
      </c>
      <c r="D332">
        <v>6.796E-3</v>
      </c>
      <c r="E332">
        <v>7.319E-3</v>
      </c>
      <c r="F332">
        <v>86682727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0.26787878787878761</v>
      </c>
      <c r="Q332">
        <f t="shared" si="970"/>
        <v>23220463.838787854</v>
      </c>
      <c r="R332">
        <f t="shared" si="971"/>
        <v>-4260338782.6124711</v>
      </c>
      <c r="S332">
        <f t="shared" si="972"/>
        <v>-42603.387826124708</v>
      </c>
      <c r="T332">
        <f t="shared" si="973"/>
        <v>-42.60338782612471</v>
      </c>
    </row>
    <row r="333" spans="1:20" x14ac:dyDescent="0.25">
      <c r="A333" s="5">
        <v>44257</v>
      </c>
      <c r="B333">
        <v>6.8019999999999999E-3</v>
      </c>
      <c r="C333">
        <v>7.2049999999999996E-3</v>
      </c>
      <c r="D333">
        <v>6.6179999999999998E-3</v>
      </c>
      <c r="E333">
        <v>6.7879999999999998E-3</v>
      </c>
      <c r="F333">
        <v>63788354</v>
      </c>
      <c r="G333">
        <v>0</v>
      </c>
      <c r="L333" t="s">
        <v>8</v>
      </c>
      <c r="M333" t="s">
        <v>8</v>
      </c>
      <c r="N333" t="s">
        <v>7</v>
      </c>
      <c r="P333">
        <f t="shared" si="969"/>
        <v>-0.42078364565587717</v>
      </c>
      <c r="Q333">
        <f t="shared" si="970"/>
        <v>-26841096.146507654</v>
      </c>
      <c r="R333">
        <f t="shared" si="971"/>
        <v>-4283559246.4512591</v>
      </c>
      <c r="S333">
        <f t="shared" si="972"/>
        <v>-42835.592464512592</v>
      </c>
      <c r="T333">
        <f t="shared" si="973"/>
        <v>-42.835592464512594</v>
      </c>
    </row>
    <row r="334" spans="1:20" x14ac:dyDescent="0.25">
      <c r="A334" s="5">
        <v>44256</v>
      </c>
      <c r="B334">
        <v>6.1989999999999996E-3</v>
      </c>
      <c r="C334">
        <v>7.0749999999999997E-3</v>
      </c>
      <c r="D334">
        <v>6.1440000000000002E-3</v>
      </c>
      <c r="E334">
        <v>6.8300000000000001E-3</v>
      </c>
      <c r="F334">
        <v>78385819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0.47368421052631648</v>
      </c>
      <c r="Q334">
        <f t="shared" si="970"/>
        <v>37130124.789473742</v>
      </c>
      <c r="R334">
        <f t="shared" si="971"/>
        <v>-4256718150.3047514</v>
      </c>
      <c r="S334">
        <f t="shared" si="972"/>
        <v>-42567.181503047512</v>
      </c>
      <c r="T334">
        <f t="shared" si="973"/>
        <v>-42.567181503047514</v>
      </c>
    </row>
    <row r="335" spans="1:20" x14ac:dyDescent="0.25">
      <c r="A335" s="5">
        <v>44255</v>
      </c>
      <c r="B335">
        <v>6.6559999999999996E-3</v>
      </c>
      <c r="C335">
        <v>6.7250000000000001E-3</v>
      </c>
      <c r="D335">
        <v>5.7999999999999996E-3</v>
      </c>
      <c r="E335">
        <v>6.1399999999999996E-3</v>
      </c>
      <c r="F335">
        <v>66936767</v>
      </c>
      <c r="G335">
        <v>0</v>
      </c>
      <c r="L335" t="s">
        <v>7</v>
      </c>
      <c r="M335" t="s">
        <v>7</v>
      </c>
      <c r="N335" t="s">
        <v>7</v>
      </c>
      <c r="P335">
        <f t="shared" si="969"/>
        <v>-0.26486486486486521</v>
      </c>
      <c r="Q335">
        <f t="shared" si="970"/>
        <v>-17729197.745945968</v>
      </c>
      <c r="R335">
        <f t="shared" si="971"/>
        <v>-4293848275.0942249</v>
      </c>
      <c r="S335">
        <f t="shared" si="972"/>
        <v>-42938.482750942247</v>
      </c>
      <c r="T335">
        <f t="shared" si="973"/>
        <v>-42.938482750942249</v>
      </c>
    </row>
    <row r="336" spans="1:20" x14ac:dyDescent="0.25">
      <c r="A336" s="5">
        <v>44254</v>
      </c>
      <c r="B336">
        <v>6.4359999999999999E-3</v>
      </c>
      <c r="C336">
        <v>7.3499999999999998E-3</v>
      </c>
      <c r="D336">
        <v>6.4070000000000004E-3</v>
      </c>
      <c r="E336">
        <v>6.6059999999999999E-3</v>
      </c>
      <c r="F336">
        <v>99104692</v>
      </c>
      <c r="G336">
        <v>0</v>
      </c>
      <c r="L336" t="s">
        <v>8</v>
      </c>
      <c r="M336" t="s">
        <v>7</v>
      </c>
      <c r="N336" t="s">
        <v>7</v>
      </c>
      <c r="P336">
        <f t="shared" si="969"/>
        <v>-0.5779427359490994</v>
      </c>
      <c r="Q336">
        <f t="shared" si="970"/>
        <v>-57276836.839872822</v>
      </c>
      <c r="R336">
        <f t="shared" si="971"/>
        <v>-4276119077.348279</v>
      </c>
      <c r="S336">
        <f t="shared" si="972"/>
        <v>-42761.190773482791</v>
      </c>
      <c r="T336">
        <f t="shared" si="973"/>
        <v>-42.761190773482788</v>
      </c>
    </row>
    <row r="337" spans="1:20" x14ac:dyDescent="0.25">
      <c r="A337" s="5">
        <v>44253</v>
      </c>
      <c r="B337">
        <v>6.6189999999999999E-3</v>
      </c>
      <c r="C337">
        <v>7.0730000000000003E-3</v>
      </c>
      <c r="D337">
        <v>6.3090000000000004E-3</v>
      </c>
      <c r="E337">
        <v>6.4359999999999999E-3</v>
      </c>
      <c r="F337">
        <v>62235362</v>
      </c>
      <c r="G337">
        <v>0</v>
      </c>
      <c r="L337" t="s">
        <v>7</v>
      </c>
      <c r="M337" t="s">
        <v>7</v>
      </c>
      <c r="N337" t="s">
        <v>7</v>
      </c>
      <c r="P337">
        <f t="shared" si="969"/>
        <v>-0.66753926701570809</v>
      </c>
      <c r="Q337">
        <f t="shared" si="970"/>
        <v>-41544547.931937255</v>
      </c>
      <c r="R337">
        <f t="shared" si="971"/>
        <v>-4218842240.5084062</v>
      </c>
      <c r="S337">
        <f t="shared" si="972"/>
        <v>-42188.422405084064</v>
      </c>
      <c r="T337">
        <f t="shared" si="973"/>
        <v>-42.188422405084061</v>
      </c>
    </row>
    <row r="338" spans="1:20" x14ac:dyDescent="0.25">
      <c r="A338" s="5">
        <v>44252</v>
      </c>
      <c r="B338">
        <v>6.8040000000000002E-3</v>
      </c>
      <c r="C338">
        <v>7.6899999999999998E-3</v>
      </c>
      <c r="D338">
        <v>6.6189999999999999E-3</v>
      </c>
      <c r="E338">
        <v>6.6189999999999999E-3</v>
      </c>
      <c r="F338">
        <v>95712822</v>
      </c>
      <c r="G338">
        <v>0</v>
      </c>
      <c r="L338" t="s">
        <v>7</v>
      </c>
      <c r="M338" t="s">
        <v>8</v>
      </c>
      <c r="N338" t="s">
        <v>7</v>
      </c>
      <c r="P338">
        <f t="shared" si="969"/>
        <v>-1</v>
      </c>
      <c r="Q338">
        <f t="shared" si="970"/>
        <v>-95712822</v>
      </c>
      <c r="R338">
        <f t="shared" si="971"/>
        <v>-4177297692.5764689</v>
      </c>
      <c r="S338">
        <f t="shared" si="972"/>
        <v>-41772.976925764691</v>
      </c>
      <c r="T338">
        <f t="shared" si="973"/>
        <v>-41.772976925764688</v>
      </c>
    </row>
    <row r="339" spans="1:20" x14ac:dyDescent="0.25">
      <c r="A339" s="5">
        <v>44251</v>
      </c>
      <c r="B339">
        <v>6.4120000000000002E-3</v>
      </c>
      <c r="C339">
        <v>7.7000000000000002E-3</v>
      </c>
      <c r="D339">
        <v>6.3990000000000002E-3</v>
      </c>
      <c r="E339">
        <v>6.7470000000000004E-3</v>
      </c>
      <c r="F339">
        <v>134025849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-0.46502690238278216</v>
      </c>
      <c r="Q339">
        <f t="shared" si="970"/>
        <v>-62325625.399692498</v>
      </c>
      <c r="R339">
        <f t="shared" si="971"/>
        <v>-4081584870.5764689</v>
      </c>
      <c r="S339">
        <f t="shared" si="972"/>
        <v>-40815.848705764693</v>
      </c>
      <c r="T339">
        <f t="shared" si="973"/>
        <v>-40.815848705764694</v>
      </c>
    </row>
    <row r="340" spans="1:20" x14ac:dyDescent="0.25">
      <c r="A340" s="5">
        <v>44250</v>
      </c>
      <c r="B340">
        <v>7.718E-3</v>
      </c>
      <c r="C340">
        <v>7.7879999999999998E-3</v>
      </c>
      <c r="D340">
        <v>5.7260000000000002E-3</v>
      </c>
      <c r="E340">
        <v>6.4120000000000002E-3</v>
      </c>
      <c r="F340">
        <v>95087253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-0.33462657613967012</v>
      </c>
      <c r="Q340">
        <f t="shared" si="970"/>
        <v>-31818721.905916575</v>
      </c>
      <c r="R340">
        <f t="shared" si="971"/>
        <v>-4019259245.1767764</v>
      </c>
      <c r="S340">
        <f t="shared" si="972"/>
        <v>-40192.592451767763</v>
      </c>
      <c r="T340">
        <f t="shared" si="973"/>
        <v>-40.192592451767766</v>
      </c>
    </row>
    <row r="341" spans="1:20" x14ac:dyDescent="0.25">
      <c r="A341" s="5">
        <v>44249</v>
      </c>
      <c r="B341">
        <v>8.9090000000000003E-3</v>
      </c>
      <c r="C341">
        <v>8.9090000000000003E-3</v>
      </c>
      <c r="D341">
        <v>6.7000000000000002E-3</v>
      </c>
      <c r="E341">
        <v>7.718E-3</v>
      </c>
      <c r="F341">
        <v>155998744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-7.831598008148502E-2</v>
      </c>
      <c r="Q341">
        <f t="shared" si="970"/>
        <v>-12217194.527840681</v>
      </c>
      <c r="R341">
        <f t="shared" si="971"/>
        <v>-3987440523.2708597</v>
      </c>
      <c r="S341">
        <f t="shared" si="972"/>
        <v>-39874.405232708596</v>
      </c>
      <c r="T341">
        <f t="shared" si="973"/>
        <v>-39.874405232708597</v>
      </c>
    </row>
    <row r="342" spans="1:20" x14ac:dyDescent="0.25">
      <c r="A342" s="5">
        <v>44248</v>
      </c>
      <c r="B342">
        <v>8.8999999999999999E-3</v>
      </c>
      <c r="C342">
        <v>9.2709999999999997E-3</v>
      </c>
      <c r="D342">
        <v>8.5749999999999993E-3</v>
      </c>
      <c r="E342">
        <v>8.8509999999999995E-3</v>
      </c>
      <c r="F342">
        <v>144302773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-0.20689655172413784</v>
      </c>
      <c r="Q342">
        <f t="shared" si="970"/>
        <v>-29855746.137931023</v>
      </c>
      <c r="R342">
        <f t="shared" si="971"/>
        <v>-3975223328.7430191</v>
      </c>
      <c r="S342">
        <f t="shared" si="972"/>
        <v>-39752.233287430194</v>
      </c>
      <c r="T342">
        <f t="shared" si="973"/>
        <v>-39.752233287430194</v>
      </c>
    </row>
    <row r="343" spans="1:20" x14ac:dyDescent="0.25">
      <c r="A343" s="5">
        <v>44247</v>
      </c>
      <c r="B343">
        <v>8.0269999999999994E-3</v>
      </c>
      <c r="C343">
        <v>9.5440000000000004E-3</v>
      </c>
      <c r="D343">
        <v>7.5370000000000003E-3</v>
      </c>
      <c r="E343">
        <v>8.9610000000000002E-3</v>
      </c>
      <c r="F343">
        <v>279013495</v>
      </c>
      <c r="G343">
        <v>0</v>
      </c>
      <c r="L343" t="s">
        <v>7</v>
      </c>
      <c r="M343" t="s">
        <v>8</v>
      </c>
      <c r="N343" t="s">
        <v>8</v>
      </c>
      <c r="P343">
        <f t="shared" si="969"/>
        <v>0.41903338315894356</v>
      </c>
      <c r="Q343">
        <f t="shared" si="970"/>
        <v>116915968.75685099</v>
      </c>
      <c r="R343">
        <f t="shared" si="971"/>
        <v>-3945367582.6050882</v>
      </c>
      <c r="S343">
        <f t="shared" si="972"/>
        <v>-39453.67582605088</v>
      </c>
      <c r="T343">
        <f t="shared" si="973"/>
        <v>-39.453675826050876</v>
      </c>
    </row>
    <row r="344" spans="1:20" x14ac:dyDescent="0.25">
      <c r="A344" s="5">
        <v>44246</v>
      </c>
      <c r="B344">
        <v>8.2459999999999999E-3</v>
      </c>
      <c r="C344">
        <v>8.293E-3</v>
      </c>
      <c r="D344">
        <v>7.6689999999999996E-3</v>
      </c>
      <c r="E344">
        <v>8.0230000000000006E-3</v>
      </c>
      <c r="F344">
        <v>106609898</v>
      </c>
      <c r="G344">
        <v>0</v>
      </c>
      <c r="L344" t="s">
        <v>7</v>
      </c>
      <c r="M344" t="s">
        <v>7</v>
      </c>
      <c r="N344" t="s">
        <v>8</v>
      </c>
      <c r="P344">
        <f t="shared" si="969"/>
        <v>0.13461538461538711</v>
      </c>
      <c r="Q344">
        <f t="shared" si="970"/>
        <v>14351332.423077188</v>
      </c>
      <c r="R344">
        <f t="shared" si="971"/>
        <v>-4062283551.3619394</v>
      </c>
      <c r="S344">
        <f t="shared" si="972"/>
        <v>-40622.835513619393</v>
      </c>
      <c r="T344">
        <f t="shared" si="973"/>
        <v>-40.622835513619393</v>
      </c>
    </row>
    <row r="345" spans="1:20" x14ac:dyDescent="0.25">
      <c r="A345" s="5">
        <v>44245</v>
      </c>
      <c r="B345">
        <v>7.4110000000000001E-3</v>
      </c>
      <c r="C345">
        <v>8.3999999999999995E-3</v>
      </c>
      <c r="D345">
        <v>7.4019999999999997E-3</v>
      </c>
      <c r="E345">
        <v>8.2400000000000008E-3</v>
      </c>
      <c r="F345">
        <v>160736696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0.67935871743487231</v>
      </c>
      <c r="Q345">
        <f t="shared" si="970"/>
        <v>109197875.63927896</v>
      </c>
      <c r="R345">
        <f t="shared" si="971"/>
        <v>-4076634883.7850165</v>
      </c>
      <c r="S345">
        <f t="shared" si="972"/>
        <v>-40766.348837850164</v>
      </c>
      <c r="T345">
        <f t="shared" si="973"/>
        <v>-40.766348837850167</v>
      </c>
    </row>
    <row r="346" spans="1:20" x14ac:dyDescent="0.25">
      <c r="A346" s="5">
        <v>44244</v>
      </c>
      <c r="B346">
        <v>8.0499999999999999E-3</v>
      </c>
      <c r="C346">
        <v>8.1910000000000004E-3</v>
      </c>
      <c r="D346">
        <v>7.3600000000000002E-3</v>
      </c>
      <c r="E346">
        <v>7.4089999999999998E-3</v>
      </c>
      <c r="F346">
        <v>214679283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-0.88206979542719721</v>
      </c>
      <c r="Q346">
        <f t="shared" si="970"/>
        <v>-189362111.23826736</v>
      </c>
      <c r="R346">
        <f t="shared" si="971"/>
        <v>-4185832759.4242954</v>
      </c>
      <c r="S346">
        <f t="shared" si="972"/>
        <v>-41858.327594242954</v>
      </c>
      <c r="T346">
        <f t="shared" si="973"/>
        <v>-41.858327594242951</v>
      </c>
    </row>
    <row r="347" spans="1:20" x14ac:dyDescent="0.25">
      <c r="A347" s="5">
        <v>44243</v>
      </c>
      <c r="B347">
        <v>7.8390000000000005E-3</v>
      </c>
      <c r="C347">
        <v>8.4200000000000004E-3</v>
      </c>
      <c r="D347">
        <v>7.5510000000000004E-3</v>
      </c>
      <c r="E347">
        <v>8.0499999999999999E-3</v>
      </c>
      <c r="F347">
        <v>134645144</v>
      </c>
      <c r="G347">
        <v>0</v>
      </c>
      <c r="L347" t="s">
        <v>8</v>
      </c>
      <c r="M347" t="s">
        <v>7</v>
      </c>
      <c r="N347" t="s">
        <v>8</v>
      </c>
      <c r="P347">
        <f t="shared" si="969"/>
        <v>0.14844649021864087</v>
      </c>
      <c r="Q347">
        <f t="shared" si="970"/>
        <v>19987599.051783491</v>
      </c>
      <c r="R347">
        <f t="shared" si="971"/>
        <v>-3996470648.186028</v>
      </c>
      <c r="S347">
        <f t="shared" si="972"/>
        <v>-39964.706481860281</v>
      </c>
      <c r="T347">
        <f t="shared" si="973"/>
        <v>-39.964706481860283</v>
      </c>
    </row>
    <row r="348" spans="1:20" x14ac:dyDescent="0.25">
      <c r="A348" s="5">
        <v>44242</v>
      </c>
      <c r="B348">
        <v>8.5579999999999996E-3</v>
      </c>
      <c r="C348">
        <v>8.77E-3</v>
      </c>
      <c r="D348">
        <v>7.4159999999999998E-3</v>
      </c>
      <c r="E348">
        <v>7.8379999999999995E-3</v>
      </c>
      <c r="F348">
        <v>189157528</v>
      </c>
      <c r="G348">
        <v>0</v>
      </c>
      <c r="L348" t="s">
        <v>7</v>
      </c>
      <c r="M348" t="s">
        <v>7</v>
      </c>
      <c r="N348" t="s">
        <v>8</v>
      </c>
      <c r="P348">
        <f t="shared" si="969"/>
        <v>-0.37666174298375249</v>
      </c>
      <c r="Q348">
        <f t="shared" si="970"/>
        <v>-71248404.194977969</v>
      </c>
      <c r="R348">
        <f t="shared" si="971"/>
        <v>-4016458247.2378116</v>
      </c>
      <c r="S348">
        <f t="shared" si="972"/>
        <v>-40164.582472378119</v>
      </c>
      <c r="T348">
        <f t="shared" si="973"/>
        <v>-40.164582472378122</v>
      </c>
    </row>
    <row r="349" spans="1:20" x14ac:dyDescent="0.25">
      <c r="A349" s="5">
        <v>44241</v>
      </c>
      <c r="B349">
        <v>8.1759999999999992E-3</v>
      </c>
      <c r="C349">
        <v>8.9999999999999993E-3</v>
      </c>
      <c r="D349">
        <v>7.6E-3</v>
      </c>
      <c r="E349">
        <v>8.5800000000000008E-3</v>
      </c>
      <c r="F349">
        <v>262277118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0.40000000000000185</v>
      </c>
      <c r="Q349">
        <f t="shared" si="970"/>
        <v>104910847.20000048</v>
      </c>
      <c r="R349">
        <f t="shared" si="971"/>
        <v>-3945209843.0428338</v>
      </c>
      <c r="S349">
        <f t="shared" si="972"/>
        <v>-39452.098430428341</v>
      </c>
      <c r="T349">
        <f t="shared" si="973"/>
        <v>-39.452098430428343</v>
      </c>
    </row>
    <row r="350" spans="1:20" x14ac:dyDescent="0.25">
      <c r="A350" s="5">
        <v>44240</v>
      </c>
      <c r="B350">
        <v>7.5719999999999997E-3</v>
      </c>
      <c r="C350">
        <v>8.4899999999999993E-3</v>
      </c>
      <c r="D350">
        <v>7.1159999999999999E-3</v>
      </c>
      <c r="E350">
        <v>8.1499999999999993E-3</v>
      </c>
      <c r="F350">
        <v>306702332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0.50509461426491964</v>
      </c>
      <c r="Q350">
        <f t="shared" si="970"/>
        <v>154913696.07569131</v>
      </c>
      <c r="R350">
        <f t="shared" si="971"/>
        <v>-4050120690.2428341</v>
      </c>
      <c r="S350">
        <f t="shared" si="972"/>
        <v>-40501.206902428341</v>
      </c>
      <c r="T350">
        <f t="shared" si="973"/>
        <v>-40.501206902428343</v>
      </c>
    </row>
    <row r="351" spans="1:20" x14ac:dyDescent="0.25">
      <c r="A351" s="5">
        <v>44239</v>
      </c>
      <c r="B351">
        <v>6.9150000000000001E-3</v>
      </c>
      <c r="C351">
        <v>8.0999999999999996E-3</v>
      </c>
      <c r="D351">
        <v>6.45E-3</v>
      </c>
      <c r="E351">
        <v>7.5449999999999996E-3</v>
      </c>
      <c r="F351">
        <v>239927550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0.32727272727272716</v>
      </c>
      <c r="Q351">
        <f t="shared" si="970"/>
        <v>78521743.636363611</v>
      </c>
      <c r="R351">
        <f t="shared" si="971"/>
        <v>-4205034386.3185253</v>
      </c>
      <c r="S351">
        <f t="shared" si="972"/>
        <v>-42050.343863185255</v>
      </c>
      <c r="T351">
        <f t="shared" si="973"/>
        <v>-42.050343863185255</v>
      </c>
    </row>
    <row r="352" spans="1:20" x14ac:dyDescent="0.25">
      <c r="A352" s="5">
        <v>44238</v>
      </c>
      <c r="B352">
        <v>6.1770000000000002E-3</v>
      </c>
      <c r="C352">
        <v>6.999E-3</v>
      </c>
      <c r="D352">
        <v>6.0730000000000003E-3</v>
      </c>
      <c r="E352">
        <v>6.9129999999999999E-3</v>
      </c>
      <c r="F352">
        <v>210417388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0.81425485961123079</v>
      </c>
      <c r="Q352">
        <f t="shared" si="970"/>
        <v>171333380.72570187</v>
      </c>
      <c r="R352">
        <f t="shared" si="971"/>
        <v>-4283556129.9548888</v>
      </c>
      <c r="S352">
        <f t="shared" si="972"/>
        <v>-42835.561299548892</v>
      </c>
      <c r="T352">
        <f t="shared" si="973"/>
        <v>-42.835561299548893</v>
      </c>
    </row>
    <row r="353" spans="1:20" x14ac:dyDescent="0.25">
      <c r="A353" s="5">
        <v>44237</v>
      </c>
      <c r="B353">
        <v>6.0610000000000004E-3</v>
      </c>
      <c r="C353">
        <v>7.0359999999999997E-3</v>
      </c>
      <c r="D353">
        <v>5.8859999999999997E-3</v>
      </c>
      <c r="E353">
        <v>6.202E-3</v>
      </c>
      <c r="F353">
        <v>292524701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-0.45043478260869513</v>
      </c>
      <c r="Q353">
        <f t="shared" si="970"/>
        <v>-131763300.10260855</v>
      </c>
      <c r="R353">
        <f t="shared" si="971"/>
        <v>-4454889510.6805906</v>
      </c>
      <c r="S353">
        <f t="shared" si="972"/>
        <v>-44548.895106805903</v>
      </c>
      <c r="T353">
        <f t="shared" si="973"/>
        <v>-44.548895106805901</v>
      </c>
    </row>
    <row r="354" spans="1:20" x14ac:dyDescent="0.25">
      <c r="A354" s="5">
        <v>44236</v>
      </c>
      <c r="B354">
        <v>5.6350000000000003E-3</v>
      </c>
      <c r="C354">
        <v>6.535E-3</v>
      </c>
      <c r="D354">
        <v>5.4599999999999996E-3</v>
      </c>
      <c r="E354">
        <v>6.051E-3</v>
      </c>
      <c r="F354">
        <v>506461145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9.95348837209305E-2</v>
      </c>
      <c r="Q354">
        <f t="shared" si="970"/>
        <v>50410551.176744319</v>
      </c>
      <c r="R354">
        <f t="shared" si="971"/>
        <v>-4323126210.5779819</v>
      </c>
      <c r="S354">
        <f t="shared" si="972"/>
        <v>-43231.262105779817</v>
      </c>
      <c r="T354">
        <f t="shared" si="973"/>
        <v>-43.23126210577982</v>
      </c>
    </row>
    <row r="355" spans="1:20" x14ac:dyDescent="0.25">
      <c r="A355" s="5">
        <v>44235</v>
      </c>
      <c r="B355">
        <v>5.1989999999999996E-3</v>
      </c>
      <c r="C355">
        <v>5.6490000000000004E-3</v>
      </c>
      <c r="D355">
        <v>5.0299999999999997E-3</v>
      </c>
      <c r="E355">
        <v>5.6379999999999998E-3</v>
      </c>
      <c r="F355">
        <v>213271177</v>
      </c>
      <c r="G355">
        <v>0</v>
      </c>
      <c r="L355" t="s">
        <v>8</v>
      </c>
      <c r="M355" t="s">
        <v>8</v>
      </c>
      <c r="N355" t="s">
        <v>7</v>
      </c>
      <c r="P355">
        <f t="shared" si="969"/>
        <v>0.96445880452342303</v>
      </c>
      <c r="Q355">
        <f t="shared" si="970"/>
        <v>205691264.40872335</v>
      </c>
      <c r="R355">
        <f t="shared" si="971"/>
        <v>-4373536761.7547264</v>
      </c>
      <c r="S355">
        <f t="shared" si="972"/>
        <v>-43735.367617547265</v>
      </c>
      <c r="T355">
        <f t="shared" si="973"/>
        <v>-43.735367617547261</v>
      </c>
    </row>
    <row r="356" spans="1:20" x14ac:dyDescent="0.25">
      <c r="A356" s="5">
        <v>44234</v>
      </c>
      <c r="B356">
        <v>5.2779999999999997E-3</v>
      </c>
      <c r="C356">
        <v>5.3769999999999998E-3</v>
      </c>
      <c r="D356">
        <v>4.653E-3</v>
      </c>
      <c r="E356">
        <v>5.189E-3</v>
      </c>
      <c r="F356">
        <v>187534266</v>
      </c>
      <c r="G356">
        <v>0</v>
      </c>
      <c r="L356" t="s">
        <v>7</v>
      </c>
      <c r="M356" t="s">
        <v>7</v>
      </c>
      <c r="N356" t="s">
        <v>7</v>
      </c>
      <c r="P356">
        <f t="shared" si="969"/>
        <v>0.4806629834254148</v>
      </c>
      <c r="Q356">
        <f t="shared" si="970"/>
        <v>90140779.790055335</v>
      </c>
      <c r="R356">
        <f t="shared" si="971"/>
        <v>-4579228026.1634493</v>
      </c>
      <c r="S356">
        <f t="shared" si="972"/>
        <v>-45792.280261634492</v>
      </c>
      <c r="T356">
        <f t="shared" si="973"/>
        <v>-45.792280261634495</v>
      </c>
    </row>
    <row r="357" spans="1:20" x14ac:dyDescent="0.25">
      <c r="A357" s="5">
        <v>44233</v>
      </c>
      <c r="B357">
        <v>5.6049999999999997E-3</v>
      </c>
      <c r="C357">
        <v>5.679E-3</v>
      </c>
      <c r="D357">
        <v>5.097E-3</v>
      </c>
      <c r="E357">
        <v>5.2750000000000002E-3</v>
      </c>
      <c r="F357">
        <v>245571447</v>
      </c>
      <c r="G357">
        <v>0</v>
      </c>
      <c r="L357" t="s">
        <v>7</v>
      </c>
      <c r="M357" t="s">
        <v>7</v>
      </c>
      <c r="N357" t="s">
        <v>7</v>
      </c>
      <c r="P357">
        <f t="shared" si="969"/>
        <v>-0.38831615120274848</v>
      </c>
      <c r="Q357">
        <f t="shared" si="970"/>
        <v>-95359359.144329742</v>
      </c>
      <c r="R357">
        <f t="shared" si="971"/>
        <v>-4669368805.9535046</v>
      </c>
      <c r="S357">
        <f t="shared" si="972"/>
        <v>-46693.688059535045</v>
      </c>
      <c r="T357">
        <f t="shared" si="973"/>
        <v>-46.693688059535042</v>
      </c>
    </row>
    <row r="358" spans="1:20" x14ac:dyDescent="0.25">
      <c r="A358" s="5">
        <v>44232</v>
      </c>
      <c r="B358">
        <v>5.4790000000000004E-3</v>
      </c>
      <c r="C358">
        <v>6.0000000000000001E-3</v>
      </c>
      <c r="D358">
        <v>5.3249999999999999E-3</v>
      </c>
      <c r="E358">
        <v>5.6160000000000003E-3</v>
      </c>
      <c r="F358">
        <v>335926152</v>
      </c>
      <c r="G358">
        <v>0</v>
      </c>
      <c r="L358" t="s">
        <v>7</v>
      </c>
      <c r="M358" t="s">
        <v>7</v>
      </c>
      <c r="N358" t="s">
        <v>7</v>
      </c>
      <c r="P358">
        <f t="shared" si="969"/>
        <v>-0.13777777777777675</v>
      </c>
      <c r="Q358">
        <f t="shared" si="970"/>
        <v>-46283158.719999656</v>
      </c>
      <c r="R358">
        <f t="shared" si="971"/>
        <v>-4574009446.8091745</v>
      </c>
      <c r="S358">
        <f t="shared" si="972"/>
        <v>-45740.094468091746</v>
      </c>
      <c r="T358">
        <f t="shared" si="973"/>
        <v>-45.740094468091748</v>
      </c>
    </row>
    <row r="359" spans="1:20" x14ac:dyDescent="0.25">
      <c r="A359" s="5">
        <v>44231</v>
      </c>
      <c r="B359">
        <v>5.7580000000000001E-3</v>
      </c>
      <c r="C359">
        <v>6.4770000000000001E-3</v>
      </c>
      <c r="D359">
        <v>5.4000000000000003E-3</v>
      </c>
      <c r="E359">
        <v>5.4790000000000004E-3</v>
      </c>
      <c r="F359">
        <v>643676075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-0.85329619312906202</v>
      </c>
      <c r="Q359">
        <f t="shared" si="970"/>
        <v>-549246344.40575659</v>
      </c>
      <c r="R359">
        <f t="shared" si="971"/>
        <v>-4527726288.0891752</v>
      </c>
      <c r="S359">
        <f t="shared" si="972"/>
        <v>-45277.262880891751</v>
      </c>
      <c r="T359">
        <f t="shared" si="973"/>
        <v>-45.277262880891747</v>
      </c>
    </row>
    <row r="360" spans="1:20" x14ac:dyDescent="0.25">
      <c r="A360" s="5">
        <v>44230</v>
      </c>
      <c r="B360">
        <v>5.0790000000000002E-3</v>
      </c>
      <c r="C360">
        <v>8.5500000000000003E-3</v>
      </c>
      <c r="D360">
        <v>4.8040000000000001E-3</v>
      </c>
      <c r="E360">
        <v>5.7190000000000001E-3</v>
      </c>
      <c r="F360">
        <v>2970449781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-0.5114789108382275</v>
      </c>
      <c r="Q360">
        <f t="shared" si="970"/>
        <v>-1519322418.6855314</v>
      </c>
      <c r="R360">
        <f t="shared" si="971"/>
        <v>-3978479943.6834183</v>
      </c>
      <c r="S360">
        <f t="shared" si="972"/>
        <v>-39784.799436834182</v>
      </c>
      <c r="T360">
        <f t="shared" si="973"/>
        <v>-39.784799436834184</v>
      </c>
    </row>
    <row r="361" spans="1:20" x14ac:dyDescent="0.25">
      <c r="A361" s="5">
        <v>44229</v>
      </c>
      <c r="B361">
        <v>4.1180000000000001E-3</v>
      </c>
      <c r="C361">
        <v>5.3870000000000003E-3</v>
      </c>
      <c r="D361">
        <v>4.0489999999999996E-3</v>
      </c>
      <c r="E361">
        <v>5.0720000000000001E-3</v>
      </c>
      <c r="F361">
        <v>257370667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0.52914798206278024</v>
      </c>
      <c r="Q361">
        <f t="shared" si="970"/>
        <v>136187169.0852018</v>
      </c>
      <c r="R361">
        <f t="shared" si="971"/>
        <v>-2459157524.9978871</v>
      </c>
      <c r="S361">
        <f t="shared" si="972"/>
        <v>-24591.575249978872</v>
      </c>
      <c r="T361">
        <f t="shared" si="973"/>
        <v>-24.591575249978874</v>
      </c>
    </row>
    <row r="362" spans="1:20" x14ac:dyDescent="0.25">
      <c r="A362" s="5">
        <v>44228</v>
      </c>
      <c r="B362">
        <v>4.0029999999999996E-3</v>
      </c>
      <c r="C362">
        <v>4.1729999999999996E-3</v>
      </c>
      <c r="D362">
        <v>3.8E-3</v>
      </c>
      <c r="E362">
        <v>4.1159999999999999E-3</v>
      </c>
      <c r="F362">
        <v>60822294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0.69436997319034954</v>
      </c>
      <c r="Q362">
        <f t="shared" si="970"/>
        <v>42233174.65415556</v>
      </c>
      <c r="R362">
        <f t="shared" si="971"/>
        <v>-2595344694.0830889</v>
      </c>
      <c r="S362">
        <f t="shared" si="972"/>
        <v>-25953.446940830891</v>
      </c>
      <c r="T362">
        <f t="shared" si="973"/>
        <v>-25.95344694083089</v>
      </c>
    </row>
    <row r="363" spans="1:20" x14ac:dyDescent="0.25">
      <c r="A363" s="5">
        <v>44227</v>
      </c>
      <c r="B363">
        <v>4.1409999999999997E-3</v>
      </c>
      <c r="C363">
        <v>4.1920000000000004E-3</v>
      </c>
      <c r="D363">
        <v>3.8960000000000002E-3</v>
      </c>
      <c r="E363">
        <v>4.0010000000000002E-3</v>
      </c>
      <c r="F363">
        <v>48719147</v>
      </c>
      <c r="G363">
        <v>0</v>
      </c>
      <c r="L363" t="s">
        <v>7</v>
      </c>
      <c r="M363" t="s">
        <v>8</v>
      </c>
      <c r="N363" t="s">
        <v>7</v>
      </c>
      <c r="P363">
        <f t="shared" si="969"/>
        <v>-0.29054054054054074</v>
      </c>
      <c r="Q363">
        <f t="shared" si="970"/>
        <v>-14154887.304054063</v>
      </c>
      <c r="R363">
        <f t="shared" si="971"/>
        <v>-2637577868.7372446</v>
      </c>
      <c r="S363">
        <f t="shared" si="972"/>
        <v>-26375.778687372447</v>
      </c>
      <c r="T363">
        <f t="shared" si="973"/>
        <v>-26.375778687372446</v>
      </c>
    </row>
    <row r="364" spans="1:20" x14ac:dyDescent="0.25">
      <c r="A364" s="5">
        <v>44226</v>
      </c>
      <c r="B364">
        <v>4.13E-3</v>
      </c>
      <c r="C364">
        <v>4.4999999999999997E-3</v>
      </c>
      <c r="D364">
        <v>3.986E-3</v>
      </c>
      <c r="E364">
        <v>4.1399999999999996E-3</v>
      </c>
      <c r="F364">
        <v>69818734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-0.40077821011673265</v>
      </c>
      <c r="Q364">
        <f t="shared" si="970"/>
        <v>-27981827.245136265</v>
      </c>
      <c r="R364">
        <f t="shared" si="971"/>
        <v>-2623422981.4331903</v>
      </c>
      <c r="S364">
        <f t="shared" si="972"/>
        <v>-26234.229814331902</v>
      </c>
      <c r="T364">
        <f t="shared" si="973"/>
        <v>-26.234229814331901</v>
      </c>
    </row>
    <row r="365" spans="1:20" x14ac:dyDescent="0.25">
      <c r="A365" s="5">
        <v>44225</v>
      </c>
      <c r="B365">
        <v>4.0280000000000003E-3</v>
      </c>
      <c r="C365">
        <v>4.4489999999999998E-3</v>
      </c>
      <c r="D365">
        <v>4.0000000000000001E-3</v>
      </c>
      <c r="E365">
        <v>4.13E-3</v>
      </c>
      <c r="F365">
        <v>116178904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-0.42093541202672613</v>
      </c>
      <c r="Q365">
        <f t="shared" si="970"/>
        <v>-48903814.824053459</v>
      </c>
      <c r="R365">
        <f t="shared" si="971"/>
        <v>-2595441154.1880541</v>
      </c>
      <c r="S365">
        <f t="shared" si="972"/>
        <v>-25954.411541880541</v>
      </c>
      <c r="T365">
        <f t="shared" si="973"/>
        <v>-25.954411541880543</v>
      </c>
    </row>
    <row r="366" spans="1:20" x14ac:dyDescent="0.25">
      <c r="A366" s="5">
        <v>44224</v>
      </c>
      <c r="B366">
        <v>3.7360000000000002E-3</v>
      </c>
      <c r="C366">
        <v>4.3610000000000003E-3</v>
      </c>
      <c r="D366">
        <v>3.7139999999999999E-3</v>
      </c>
      <c r="E366">
        <v>4.0280000000000003E-3</v>
      </c>
      <c r="F366">
        <v>64863982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-2.9366306027819897E-2</v>
      </c>
      <c r="Q366">
        <f t="shared" si="970"/>
        <v>-1904815.5455950014</v>
      </c>
      <c r="R366">
        <f t="shared" si="971"/>
        <v>-2546537339.3640008</v>
      </c>
      <c r="S366">
        <f t="shared" si="972"/>
        <v>-25465.373393640009</v>
      </c>
      <c r="T366">
        <f t="shared" si="973"/>
        <v>-25.465373393640011</v>
      </c>
    </row>
    <row r="367" spans="1:20" x14ac:dyDescent="0.25">
      <c r="A367" s="5">
        <v>44223</v>
      </c>
      <c r="B367">
        <v>3.8010000000000001E-3</v>
      </c>
      <c r="C367">
        <v>3.8769999999999998E-3</v>
      </c>
      <c r="D367">
        <v>3.5000000000000001E-3</v>
      </c>
      <c r="E367">
        <v>3.7460000000000002E-3</v>
      </c>
      <c r="F367">
        <v>46279901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0.30503978779841007</v>
      </c>
      <c r="Q367">
        <f t="shared" si="970"/>
        <v>14117211.180371426</v>
      </c>
      <c r="R367">
        <f t="shared" si="971"/>
        <v>-2544632523.8184056</v>
      </c>
      <c r="S367">
        <f t="shared" si="972"/>
        <v>-25446.325238184058</v>
      </c>
      <c r="T367">
        <f t="shared" si="973"/>
        <v>-25.446325238184059</v>
      </c>
    </row>
    <row r="368" spans="1:20" x14ac:dyDescent="0.25">
      <c r="A368" s="5">
        <v>44222</v>
      </c>
      <c r="B368">
        <v>3.8639999999999998E-3</v>
      </c>
      <c r="C368">
        <v>3.9179999999999996E-3</v>
      </c>
      <c r="D368">
        <v>3.6129999999999999E-3</v>
      </c>
      <c r="E368">
        <v>3.79E-3</v>
      </c>
      <c r="F368">
        <v>46409598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0.16065573770491959</v>
      </c>
      <c r="Q368">
        <f t="shared" si="970"/>
        <v>7455968.2032787604</v>
      </c>
      <c r="R368">
        <f t="shared" si="971"/>
        <v>-2558749734.9987769</v>
      </c>
      <c r="S368">
        <f t="shared" si="972"/>
        <v>-25587.497349987771</v>
      </c>
      <c r="T368">
        <f t="shared" si="973"/>
        <v>-25.587497349987771</v>
      </c>
    </row>
    <row r="369" spans="1:20" x14ac:dyDescent="0.25">
      <c r="A369" s="5">
        <v>44221</v>
      </c>
      <c r="B369">
        <v>4.0169999999999997E-3</v>
      </c>
      <c r="C369">
        <v>4.0940000000000004E-3</v>
      </c>
      <c r="D369">
        <v>3.8219999999999999E-3</v>
      </c>
      <c r="E369">
        <v>3.8660000000000001E-3</v>
      </c>
      <c r="F369">
        <v>38619395</v>
      </c>
      <c r="G369">
        <v>0</v>
      </c>
      <c r="L369" t="s">
        <v>7</v>
      </c>
      <c r="M369" t="s">
        <v>8</v>
      </c>
      <c r="N369" t="s">
        <v>7</v>
      </c>
      <c r="P369">
        <f t="shared" si="969"/>
        <v>-0.67647058823529327</v>
      </c>
      <c r="Q369">
        <f t="shared" si="970"/>
        <v>-26124884.852941144</v>
      </c>
      <c r="R369">
        <f t="shared" si="971"/>
        <v>-2566205703.2020555</v>
      </c>
      <c r="S369">
        <f t="shared" si="972"/>
        <v>-25662.057032020555</v>
      </c>
      <c r="T369">
        <f t="shared" si="973"/>
        <v>-25.662057032020556</v>
      </c>
    </row>
    <row r="370" spans="1:20" x14ac:dyDescent="0.25">
      <c r="A370" s="5">
        <v>44220</v>
      </c>
      <c r="B370">
        <v>3.9750000000000002E-3</v>
      </c>
      <c r="C370">
        <v>4.1320000000000003E-3</v>
      </c>
      <c r="D370">
        <v>3.8999999999999998E-3</v>
      </c>
      <c r="E370">
        <v>4.0159999999999996E-3</v>
      </c>
      <c r="F370">
        <v>34549899</v>
      </c>
      <c r="G370">
        <v>0</v>
      </c>
      <c r="L370" t="s">
        <v>8</v>
      </c>
      <c r="M370" t="s">
        <v>8</v>
      </c>
      <c r="N370" t="s">
        <v>7</v>
      </c>
      <c r="P370">
        <f t="shared" si="969"/>
        <v>-3.7386281809844914E-15</v>
      </c>
      <c r="Q370">
        <f t="shared" si="970"/>
        <v>-1.291692260515679E-7</v>
      </c>
      <c r="R370">
        <f t="shared" si="971"/>
        <v>-2540080818.3491144</v>
      </c>
      <c r="S370">
        <f t="shared" si="972"/>
        <v>-25400.808183491143</v>
      </c>
      <c r="T370">
        <f t="shared" si="973"/>
        <v>-25.400808183491144</v>
      </c>
    </row>
    <row r="371" spans="1:20" x14ac:dyDescent="0.25">
      <c r="A371" s="5">
        <v>44219</v>
      </c>
      <c r="B371">
        <v>3.81E-3</v>
      </c>
      <c r="C371">
        <v>4.0660000000000002E-3</v>
      </c>
      <c r="D371">
        <v>3.7290000000000001E-3</v>
      </c>
      <c r="E371">
        <v>3.973E-3</v>
      </c>
      <c r="F371">
        <v>52484859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0.44807121661720961</v>
      </c>
      <c r="Q371">
        <f t="shared" si="970"/>
        <v>23516954.626112703</v>
      </c>
      <c r="R371">
        <f t="shared" si="971"/>
        <v>-2540080818.3491144</v>
      </c>
      <c r="S371">
        <f t="shared" si="972"/>
        <v>-25400.808183491143</v>
      </c>
      <c r="T371">
        <f t="shared" si="973"/>
        <v>-25.400808183491144</v>
      </c>
    </row>
    <row r="372" spans="1:20" x14ac:dyDescent="0.25">
      <c r="A372" s="5">
        <v>44218</v>
      </c>
      <c r="B372">
        <v>3.7629999999999999E-3</v>
      </c>
      <c r="C372">
        <v>3.9890000000000004E-3</v>
      </c>
      <c r="D372">
        <v>3.7000000000000002E-3</v>
      </c>
      <c r="E372">
        <v>3.8010000000000001E-3</v>
      </c>
      <c r="F372">
        <v>60363714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-0.30103806228373775</v>
      </c>
      <c r="Q372">
        <f t="shared" si="970"/>
        <v>-18171775.494809732</v>
      </c>
      <c r="R372">
        <f t="shared" si="971"/>
        <v>-2563597772.9752274</v>
      </c>
      <c r="S372">
        <f t="shared" si="972"/>
        <v>-25635.977729752274</v>
      </c>
      <c r="T372">
        <f t="shared" si="973"/>
        <v>-25.635977729752273</v>
      </c>
    </row>
    <row r="373" spans="1:20" x14ac:dyDescent="0.25">
      <c r="A373" s="5">
        <v>44217</v>
      </c>
      <c r="B373">
        <v>4.0679999999999996E-3</v>
      </c>
      <c r="C373">
        <v>4.189E-3</v>
      </c>
      <c r="D373">
        <v>3.7239999999999999E-3</v>
      </c>
      <c r="E373">
        <v>3.764E-3</v>
      </c>
      <c r="F373">
        <v>52828353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-0.82795698924731143</v>
      </c>
      <c r="Q373">
        <f t="shared" si="970"/>
        <v>-43739604.096774176</v>
      </c>
      <c r="R373">
        <f t="shared" si="971"/>
        <v>-2545425997.4804177</v>
      </c>
      <c r="S373">
        <f t="shared" si="972"/>
        <v>-25454.259974804176</v>
      </c>
      <c r="T373">
        <f t="shared" si="973"/>
        <v>-25.454259974804177</v>
      </c>
    </row>
    <row r="374" spans="1:20" x14ac:dyDescent="0.25">
      <c r="A374" s="5">
        <v>44216</v>
      </c>
      <c r="B374">
        <v>4.0899999999999999E-3</v>
      </c>
      <c r="C374">
        <v>4.3090000000000003E-3</v>
      </c>
      <c r="D374">
        <v>3.764E-3</v>
      </c>
      <c r="E374">
        <v>4.0749999999999996E-3</v>
      </c>
      <c r="F374">
        <v>47227783</v>
      </c>
      <c r="G374">
        <v>0</v>
      </c>
      <c r="L374" t="s">
        <v>7</v>
      </c>
      <c r="M374" t="s">
        <v>8</v>
      </c>
      <c r="N374" t="s">
        <v>7</v>
      </c>
      <c r="P374">
        <f t="shared" si="969"/>
        <v>0.14128440366972275</v>
      </c>
      <c r="Q374">
        <f t="shared" si="970"/>
        <v>6672549.1577980695</v>
      </c>
      <c r="R374">
        <f t="shared" si="971"/>
        <v>-2501686393.3836436</v>
      </c>
      <c r="S374">
        <f t="shared" si="972"/>
        <v>-25016.863933836437</v>
      </c>
      <c r="T374">
        <f t="shared" si="973"/>
        <v>-25.016863933836436</v>
      </c>
    </row>
    <row r="375" spans="1:20" x14ac:dyDescent="0.25">
      <c r="A375" s="5">
        <v>44215</v>
      </c>
      <c r="B375">
        <v>4.1120000000000002E-3</v>
      </c>
      <c r="C375">
        <v>4.444E-3</v>
      </c>
      <c r="D375">
        <v>4.0679999999999996E-3</v>
      </c>
      <c r="E375">
        <v>4.0920000000000002E-3</v>
      </c>
      <c r="F375">
        <v>48280009</v>
      </c>
      <c r="G375">
        <v>0</v>
      </c>
      <c r="L375" t="s">
        <v>8</v>
      </c>
      <c r="M375" t="s">
        <v>8</v>
      </c>
      <c r="N375" t="s">
        <v>7</v>
      </c>
      <c r="P375">
        <f t="shared" si="969"/>
        <v>-0.87234042553191193</v>
      </c>
      <c r="Q375">
        <f t="shared" si="970"/>
        <v>-42116603.595744535</v>
      </c>
      <c r="R375">
        <f t="shared" si="971"/>
        <v>-2508358942.5414419</v>
      </c>
      <c r="S375">
        <f t="shared" si="972"/>
        <v>-25083.589425414419</v>
      </c>
      <c r="T375">
        <f t="shared" si="973"/>
        <v>-25.08358942541442</v>
      </c>
    </row>
    <row r="376" spans="1:20" x14ac:dyDescent="0.25">
      <c r="A376" s="5">
        <v>44214</v>
      </c>
      <c r="B376">
        <v>4.0140000000000002E-3</v>
      </c>
      <c r="C376">
        <v>4.1700000000000001E-3</v>
      </c>
      <c r="D376">
        <v>3.8560000000000001E-3</v>
      </c>
      <c r="E376">
        <v>4.1099999999999999E-3</v>
      </c>
      <c r="F376">
        <v>54166370</v>
      </c>
      <c r="G376">
        <v>0</v>
      </c>
      <c r="L376" t="s">
        <v>8</v>
      </c>
      <c r="M376" t="s">
        <v>8</v>
      </c>
      <c r="N376" t="s">
        <v>7</v>
      </c>
      <c r="P376">
        <f t="shared" si="969"/>
        <v>0.61783439490445768</v>
      </c>
      <c r="Q376">
        <f t="shared" si="970"/>
        <v>33465846.43312097</v>
      </c>
      <c r="R376">
        <f t="shared" si="971"/>
        <v>-2466242338.9456973</v>
      </c>
      <c r="S376">
        <f t="shared" si="972"/>
        <v>-24662.423389456973</v>
      </c>
      <c r="T376">
        <f t="shared" si="973"/>
        <v>-24.662423389456972</v>
      </c>
    </row>
    <row r="377" spans="1:20" x14ac:dyDescent="0.25">
      <c r="A377" s="5">
        <v>44213</v>
      </c>
      <c r="B377">
        <v>4.1079999999999997E-3</v>
      </c>
      <c r="C377">
        <v>4.1399999999999996E-3</v>
      </c>
      <c r="D377">
        <v>3.7460000000000002E-3</v>
      </c>
      <c r="E377">
        <v>3.999E-3</v>
      </c>
      <c r="F377">
        <v>40192371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0.28426395939086369</v>
      </c>
      <c r="Q377">
        <f t="shared" si="970"/>
        <v>11425242.517766528</v>
      </c>
      <c r="R377">
        <f t="shared" si="971"/>
        <v>-2499708185.3788185</v>
      </c>
      <c r="S377">
        <f t="shared" si="972"/>
        <v>-24997.081853788186</v>
      </c>
      <c r="T377">
        <f t="shared" si="973"/>
        <v>-24.997081853788185</v>
      </c>
    </row>
    <row r="378" spans="1:20" x14ac:dyDescent="0.25">
      <c r="A378" s="5">
        <v>44212</v>
      </c>
      <c r="B378">
        <v>4.0740000000000004E-3</v>
      </c>
      <c r="C378">
        <v>4.2160000000000001E-3</v>
      </c>
      <c r="D378">
        <v>4.0099999999999997E-3</v>
      </c>
      <c r="E378">
        <v>4.143E-3</v>
      </c>
      <c r="F378">
        <v>63644687</v>
      </c>
      <c r="G378">
        <v>0</v>
      </c>
      <c r="L378" t="s">
        <v>7</v>
      </c>
      <c r="M378" t="s">
        <v>8</v>
      </c>
      <c r="N378" t="s">
        <v>7</v>
      </c>
      <c r="P378">
        <f t="shared" si="969"/>
        <v>0.29126213592233025</v>
      </c>
      <c r="Q378">
        <f t="shared" si="970"/>
        <v>18537287.475728165</v>
      </c>
      <c r="R378">
        <f t="shared" si="971"/>
        <v>-2511133427.896585</v>
      </c>
      <c r="S378">
        <f t="shared" si="972"/>
        <v>-25111.334278965849</v>
      </c>
      <c r="T378">
        <f t="shared" si="973"/>
        <v>-25.111334278965849</v>
      </c>
    </row>
    <row r="379" spans="1:20" x14ac:dyDescent="0.25">
      <c r="A379" s="5">
        <v>44211</v>
      </c>
      <c r="B379">
        <v>3.9750000000000002E-3</v>
      </c>
      <c r="C379">
        <v>4.3160000000000004E-3</v>
      </c>
      <c r="D379">
        <v>3.8379999999999998E-3</v>
      </c>
      <c r="E379">
        <v>4.0740000000000004E-3</v>
      </c>
      <c r="F379">
        <v>63281292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-1.2552301255229055E-2</v>
      </c>
      <c r="Q379">
        <f t="shared" si="970"/>
        <v>-794325.84100411634</v>
      </c>
      <c r="R379">
        <f t="shared" si="971"/>
        <v>-2529670715.372313</v>
      </c>
      <c r="S379">
        <f t="shared" si="972"/>
        <v>-25296.707153723131</v>
      </c>
      <c r="T379">
        <f t="shared" si="973"/>
        <v>-25.29670715372313</v>
      </c>
    </row>
    <row r="380" spans="1:20" x14ac:dyDescent="0.25">
      <c r="A380" s="5">
        <v>44210</v>
      </c>
      <c r="B380">
        <v>3.9849999999999998E-3</v>
      </c>
      <c r="C380">
        <v>4.0769999999999999E-3</v>
      </c>
      <c r="D380">
        <v>3.8419999999999999E-3</v>
      </c>
      <c r="E380">
        <v>3.973E-3</v>
      </c>
      <c r="F380">
        <v>36509490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0.11489361702127709</v>
      </c>
      <c r="Q380">
        <f t="shared" si="970"/>
        <v>4194707.361702146</v>
      </c>
      <c r="R380">
        <f t="shared" si="971"/>
        <v>-2528876389.5313091</v>
      </c>
      <c r="S380">
        <f t="shared" si="972"/>
        <v>-25288.763895313092</v>
      </c>
      <c r="T380">
        <f t="shared" si="973"/>
        <v>-25.288763895313092</v>
      </c>
    </row>
    <row r="381" spans="1:20" x14ac:dyDescent="0.25">
      <c r="A381" s="5">
        <v>44209</v>
      </c>
      <c r="B381">
        <v>3.748E-3</v>
      </c>
      <c r="C381">
        <v>3.9899999999999996E-3</v>
      </c>
      <c r="D381">
        <v>3.6210000000000001E-3</v>
      </c>
      <c r="E381">
        <v>3.9639999999999996E-3</v>
      </c>
      <c r="F381">
        <v>65845053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0.85907859078590776</v>
      </c>
      <c r="Q381">
        <f t="shared" si="970"/>
        <v>56566075.341463409</v>
      </c>
      <c r="R381">
        <f t="shared" si="971"/>
        <v>-2533071096.8930111</v>
      </c>
      <c r="S381">
        <f t="shared" si="972"/>
        <v>-25330.710968930111</v>
      </c>
      <c r="T381">
        <f t="shared" si="973"/>
        <v>-25.330710968930109</v>
      </c>
    </row>
    <row r="382" spans="1:20" x14ac:dyDescent="0.25">
      <c r="A382" s="5">
        <v>44208</v>
      </c>
      <c r="B382">
        <v>3.9290000000000002E-3</v>
      </c>
      <c r="C382">
        <v>4.065E-3</v>
      </c>
      <c r="D382">
        <v>3.7000000000000002E-3</v>
      </c>
      <c r="E382">
        <v>3.7659999999999998E-3</v>
      </c>
      <c r="F382">
        <v>24670398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-0.63835616438356346</v>
      </c>
      <c r="Q382">
        <f t="shared" si="970"/>
        <v>-15748500.641095934</v>
      </c>
      <c r="R382">
        <f t="shared" si="971"/>
        <v>-2589637172.2344747</v>
      </c>
      <c r="S382">
        <f t="shared" si="972"/>
        <v>-25896.371722344746</v>
      </c>
      <c r="T382">
        <f t="shared" si="973"/>
        <v>-25.896371722344746</v>
      </c>
    </row>
    <row r="383" spans="1:20" x14ac:dyDescent="0.25">
      <c r="A383" s="5">
        <v>44207</v>
      </c>
      <c r="B383">
        <v>4.1749999999999999E-3</v>
      </c>
      <c r="C383">
        <v>4.1749999999999999E-3</v>
      </c>
      <c r="D383">
        <v>3.4199999999999999E-3</v>
      </c>
      <c r="E383">
        <v>3.9069999999999999E-3</v>
      </c>
      <c r="F383">
        <v>56111900</v>
      </c>
      <c r="G383">
        <v>0</v>
      </c>
      <c r="L383" t="s">
        <v>7</v>
      </c>
      <c r="M383" t="s">
        <v>7</v>
      </c>
      <c r="N383" t="s">
        <v>7</v>
      </c>
      <c r="P383">
        <f t="shared" si="969"/>
        <v>0.29006622516556291</v>
      </c>
      <c r="Q383">
        <f t="shared" si="970"/>
        <v>16276167.019867549</v>
      </c>
      <c r="R383">
        <f t="shared" si="971"/>
        <v>-2573888671.5933785</v>
      </c>
      <c r="S383">
        <f t="shared" si="972"/>
        <v>-25738.886715933786</v>
      </c>
      <c r="T383">
        <f t="shared" si="973"/>
        <v>-25.738886715933788</v>
      </c>
    </row>
    <row r="384" spans="1:20" x14ac:dyDescent="0.25">
      <c r="A384" s="5">
        <v>44206</v>
      </c>
      <c r="B384">
        <v>4.6010000000000001E-3</v>
      </c>
      <c r="C384">
        <v>4.8520000000000004E-3</v>
      </c>
      <c r="D384">
        <v>3.8279999999999998E-3</v>
      </c>
      <c r="E384">
        <v>4.1999999999999997E-3</v>
      </c>
      <c r="F384">
        <v>110897319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-0.27343750000000056</v>
      </c>
      <c r="Q384">
        <f t="shared" si="970"/>
        <v>-30323485.664062563</v>
      </c>
      <c r="R384">
        <f t="shared" si="971"/>
        <v>-2590164838.613246</v>
      </c>
      <c r="S384">
        <f t="shared" si="972"/>
        <v>-25901.64838613246</v>
      </c>
      <c r="T384">
        <f t="shared" si="973"/>
        <v>-25.901648386132461</v>
      </c>
    </row>
    <row r="385" spans="1:20" x14ac:dyDescent="0.25">
      <c r="A385" s="5">
        <v>44205</v>
      </c>
      <c r="B385">
        <v>4.5149999999999999E-3</v>
      </c>
      <c r="C385">
        <v>4.7999999999999996E-3</v>
      </c>
      <c r="D385">
        <v>4.3E-3</v>
      </c>
      <c r="E385">
        <v>4.5729999999999998E-3</v>
      </c>
      <c r="F385">
        <v>103998206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9.2000000000000151E-2</v>
      </c>
      <c r="Q385">
        <f t="shared" si="970"/>
        <v>9567834.9520000163</v>
      </c>
      <c r="R385">
        <f t="shared" si="971"/>
        <v>-2559841352.9491835</v>
      </c>
      <c r="S385">
        <f t="shared" si="972"/>
        <v>-25598.413529491834</v>
      </c>
      <c r="T385">
        <f t="shared" si="973"/>
        <v>-25.598413529491832</v>
      </c>
    </row>
    <row r="386" spans="1:20" x14ac:dyDescent="0.25">
      <c r="A386" s="5">
        <v>44204</v>
      </c>
      <c r="B386">
        <v>4.8770000000000003E-3</v>
      </c>
      <c r="C386">
        <v>5.0270000000000002E-3</v>
      </c>
      <c r="D386">
        <v>4.1970000000000002E-3</v>
      </c>
      <c r="E386">
        <v>4.496E-3</v>
      </c>
      <c r="F386">
        <v>131109266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-0.27951807228915715</v>
      </c>
      <c r="Q386">
        <f t="shared" si="970"/>
        <v>-36647409.291566335</v>
      </c>
      <c r="R386">
        <f t="shared" si="971"/>
        <v>-2569409187.9011836</v>
      </c>
      <c r="S386">
        <f t="shared" si="972"/>
        <v>-25694.091879011838</v>
      </c>
      <c r="T386">
        <f t="shared" si="973"/>
        <v>-25.694091879011836</v>
      </c>
    </row>
    <row r="387" spans="1:20" x14ac:dyDescent="0.25">
      <c r="A387" s="5">
        <v>44203</v>
      </c>
      <c r="B387">
        <v>4.8079999999999998E-3</v>
      </c>
      <c r="C387">
        <v>5.2979999999999998E-3</v>
      </c>
      <c r="D387">
        <v>4.5719999999999997E-3</v>
      </c>
      <c r="E387">
        <v>4.8770000000000003E-3</v>
      </c>
      <c r="F387">
        <v>76484835</v>
      </c>
      <c r="G387">
        <v>0</v>
      </c>
      <c r="L387" t="s">
        <v>7</v>
      </c>
      <c r="M387" t="s">
        <v>7</v>
      </c>
      <c r="N387" t="s">
        <v>7</v>
      </c>
      <c r="P387">
        <f t="shared" si="969"/>
        <v>-0.15977961432506735</v>
      </c>
      <c r="Q387">
        <f t="shared" si="970"/>
        <v>-12220717.438016413</v>
      </c>
      <c r="R387">
        <f t="shared" si="971"/>
        <v>-2532761778.6096172</v>
      </c>
      <c r="S387">
        <f t="shared" si="972"/>
        <v>-25327.617786096172</v>
      </c>
      <c r="T387">
        <f t="shared" si="973"/>
        <v>-25.327617786096173</v>
      </c>
    </row>
    <row r="388" spans="1:20" x14ac:dyDescent="0.25">
      <c r="A388" s="5">
        <v>44202</v>
      </c>
      <c r="B388">
        <v>4.823E-3</v>
      </c>
      <c r="C388">
        <v>5.5999999999999999E-3</v>
      </c>
      <c r="D388">
        <v>4.2050000000000004E-3</v>
      </c>
      <c r="E388">
        <v>4.8079999999999998E-3</v>
      </c>
      <c r="F388">
        <v>85617244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-0.13548387096774256</v>
      </c>
      <c r="Q388">
        <f t="shared" si="970"/>
        <v>-11599755.638709731</v>
      </c>
      <c r="R388">
        <f t="shared" si="971"/>
        <v>-2520541061.1716008</v>
      </c>
      <c r="S388">
        <f t="shared" si="972"/>
        <v>-25205.410611716008</v>
      </c>
      <c r="T388">
        <f t="shared" si="973"/>
        <v>-25.205410611716008</v>
      </c>
    </row>
    <row r="389" spans="1:20" x14ac:dyDescent="0.25">
      <c r="A389" s="5">
        <v>44201</v>
      </c>
      <c r="B389">
        <v>4.875E-3</v>
      </c>
      <c r="C389">
        <v>5.0000000000000001E-3</v>
      </c>
      <c r="D389">
        <v>4.3280000000000002E-3</v>
      </c>
      <c r="E389">
        <v>4.823E-3</v>
      </c>
      <c r="F389">
        <v>83477273</v>
      </c>
      <c r="G389">
        <v>0</v>
      </c>
      <c r="L389" t="s">
        <v>8</v>
      </c>
      <c r="M389" t="s">
        <v>8</v>
      </c>
      <c r="N389" t="s">
        <v>7</v>
      </c>
      <c r="P389">
        <f t="shared" si="969"/>
        <v>0.47321428571428537</v>
      </c>
      <c r="Q389">
        <f t="shared" si="970"/>
        <v>39502638.116071403</v>
      </c>
      <c r="R389">
        <f t="shared" si="971"/>
        <v>-2508941305.5328913</v>
      </c>
      <c r="S389">
        <f t="shared" si="972"/>
        <v>-25089.413055328914</v>
      </c>
      <c r="T389">
        <f t="shared" si="973"/>
        <v>-25.089413055328915</v>
      </c>
    </row>
    <row r="390" spans="1:20" x14ac:dyDescent="0.25">
      <c r="A390" s="5">
        <v>44200</v>
      </c>
      <c r="B390">
        <v>5.2059999999999997E-3</v>
      </c>
      <c r="C390">
        <v>5.4669999999999996E-3</v>
      </c>
      <c r="D390">
        <v>4.1009999999999996E-3</v>
      </c>
      <c r="E390">
        <v>4.875E-3</v>
      </c>
      <c r="F390">
        <v>209015096</v>
      </c>
      <c r="G390">
        <v>0</v>
      </c>
      <c r="L390" t="s">
        <v>7</v>
      </c>
      <c r="M390" t="s">
        <v>7</v>
      </c>
      <c r="N390" t="s">
        <v>7</v>
      </c>
      <c r="P390">
        <f t="shared" ref="P390:P453" si="974">IF(C390=D390,0,((E390-D390)-(C390-E390))/(C390-D390))</f>
        <v>0.13323572474377798</v>
      </c>
      <c r="Q390">
        <f t="shared" ref="Q390:Q453" si="975">F390*P390</f>
        <v>27848277.797950331</v>
      </c>
      <c r="R390">
        <f t="shared" ref="R390:R453" si="976">R391+Q390</f>
        <v>-2548443943.6489625</v>
      </c>
      <c r="S390">
        <f t="shared" ref="S390:S453" si="977">R390/100000</f>
        <v>-25484.439436489625</v>
      </c>
      <c r="T390">
        <f t="shared" ref="T390:T453" si="978">S390/1000</f>
        <v>-25.484439436489627</v>
      </c>
    </row>
    <row r="391" spans="1:20" x14ac:dyDescent="0.25">
      <c r="A391" s="5">
        <v>44199</v>
      </c>
      <c r="B391">
        <v>4.7990000000000003E-3</v>
      </c>
      <c r="C391">
        <v>5.8999999999999999E-3</v>
      </c>
      <c r="D391">
        <v>4.3359999999999996E-3</v>
      </c>
      <c r="E391">
        <v>5.1149999999999998E-3</v>
      </c>
      <c r="F391">
        <v>394227574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-3.8363171355498258E-3</v>
      </c>
      <c r="Q391">
        <f t="shared" si="975"/>
        <v>-1512381.9974424371</v>
      </c>
      <c r="R391">
        <f t="shared" si="976"/>
        <v>-2576292221.4469128</v>
      </c>
      <c r="S391">
        <f t="shared" si="977"/>
        <v>-25762.922214469127</v>
      </c>
      <c r="T391">
        <f t="shared" si="978"/>
        <v>-25.762922214469128</v>
      </c>
    </row>
    <row r="392" spans="1:20" x14ac:dyDescent="0.25">
      <c r="A392" s="5">
        <v>44198</v>
      </c>
      <c r="B392">
        <v>3.8709999999999999E-3</v>
      </c>
      <c r="C392">
        <v>4.7999999999999996E-3</v>
      </c>
      <c r="D392">
        <v>3.7929999999999999E-3</v>
      </c>
      <c r="E392">
        <v>4.7990000000000003E-3</v>
      </c>
      <c r="F392">
        <v>205392500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0.9980139026812328</v>
      </c>
      <c r="Q392">
        <f t="shared" si="975"/>
        <v>204984570.50645509</v>
      </c>
      <c r="R392">
        <f t="shared" si="976"/>
        <v>-2574779839.4494705</v>
      </c>
      <c r="S392">
        <f t="shared" si="977"/>
        <v>-25747.798394494705</v>
      </c>
      <c r="T392">
        <f t="shared" si="978"/>
        <v>-25.747798394494705</v>
      </c>
    </row>
    <row r="393" spans="1:20" x14ac:dyDescent="0.25">
      <c r="A393" s="5">
        <v>44197</v>
      </c>
      <c r="B393">
        <v>3.9309999999999996E-3</v>
      </c>
      <c r="C393">
        <v>4.398E-3</v>
      </c>
      <c r="D393">
        <v>3.8340000000000002E-3</v>
      </c>
      <c r="E393">
        <v>3.8969999999999999E-3</v>
      </c>
      <c r="F393">
        <v>55359052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-0.77659574468085213</v>
      </c>
      <c r="Q393">
        <f t="shared" si="975"/>
        <v>-42991604.212766014</v>
      </c>
      <c r="R393">
        <f t="shared" si="976"/>
        <v>-2779764409.9559255</v>
      </c>
      <c r="S393">
        <f t="shared" si="977"/>
        <v>-27797.644099559253</v>
      </c>
      <c r="T393">
        <f t="shared" si="978"/>
        <v>-27.797644099559253</v>
      </c>
    </row>
    <row r="394" spans="1:20" x14ac:dyDescent="0.25">
      <c r="A394" s="5">
        <v>44196</v>
      </c>
      <c r="B394">
        <v>4.0179999999999999E-3</v>
      </c>
      <c r="C394">
        <v>4.0619999999999996E-3</v>
      </c>
      <c r="D394">
        <v>3.8070000000000001E-3</v>
      </c>
      <c r="E394">
        <v>3.9620000000000002E-3</v>
      </c>
      <c r="F394">
        <v>28637790</v>
      </c>
      <c r="G394">
        <v>0</v>
      </c>
      <c r="L394" t="s">
        <v>8</v>
      </c>
      <c r="M394" t="s">
        <v>7</v>
      </c>
      <c r="N394" t="s">
        <v>8</v>
      </c>
      <c r="P394">
        <f t="shared" si="974"/>
        <v>0.2156862745098074</v>
      </c>
      <c r="Q394">
        <f t="shared" si="975"/>
        <v>6176778.2352942172</v>
      </c>
      <c r="R394">
        <f t="shared" si="976"/>
        <v>-2736772805.7431593</v>
      </c>
      <c r="S394">
        <f t="shared" si="977"/>
        <v>-27367.728057431592</v>
      </c>
      <c r="T394">
        <f t="shared" si="978"/>
        <v>-27.367728057431592</v>
      </c>
    </row>
    <row r="395" spans="1:20" x14ac:dyDescent="0.25">
      <c r="A395" s="5">
        <v>44195</v>
      </c>
      <c r="B395">
        <v>3.8670000000000002E-3</v>
      </c>
      <c r="C395">
        <v>4.0489999999999996E-3</v>
      </c>
      <c r="D395">
        <v>3.6219999999999998E-3</v>
      </c>
      <c r="E395">
        <v>4.0179999999999999E-3</v>
      </c>
      <c r="F395">
        <v>134500775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0.85480093676815083</v>
      </c>
      <c r="Q395">
        <f t="shared" si="975"/>
        <v>114971388.46604228</v>
      </c>
      <c r="R395">
        <f t="shared" si="976"/>
        <v>-2742949583.9784536</v>
      </c>
      <c r="S395">
        <f t="shared" si="977"/>
        <v>-27429.495839784537</v>
      </c>
      <c r="T395">
        <f t="shared" si="978"/>
        <v>-27.429495839784536</v>
      </c>
    </row>
    <row r="396" spans="1:20" x14ac:dyDescent="0.25">
      <c r="A396" s="5">
        <v>44194</v>
      </c>
      <c r="B396">
        <v>4.1209999999999997E-3</v>
      </c>
      <c r="C396">
        <v>4.1529999999999996E-3</v>
      </c>
      <c r="D396">
        <v>3.7880000000000001E-3</v>
      </c>
      <c r="E396">
        <v>3.8790000000000001E-3</v>
      </c>
      <c r="F396">
        <v>303962959</v>
      </c>
      <c r="G396">
        <v>0</v>
      </c>
      <c r="L396" t="s">
        <v>7</v>
      </c>
      <c r="M396" t="s">
        <v>7</v>
      </c>
      <c r="N396" t="s">
        <v>8</v>
      </c>
      <c r="P396">
        <f t="shared" si="974"/>
        <v>-0.50136986301369824</v>
      </c>
      <c r="Q396">
        <f t="shared" si="975"/>
        <v>-152397867.11506838</v>
      </c>
      <c r="R396">
        <f t="shared" si="976"/>
        <v>-2857920972.4444957</v>
      </c>
      <c r="S396">
        <f t="shared" si="977"/>
        <v>-28579.209724444958</v>
      </c>
      <c r="T396">
        <f t="shared" si="978"/>
        <v>-28.579209724444958</v>
      </c>
    </row>
    <row r="397" spans="1:20" x14ac:dyDescent="0.25">
      <c r="A397" s="5">
        <v>44193</v>
      </c>
      <c r="B397">
        <v>4.2139999999999999E-3</v>
      </c>
      <c r="C397">
        <v>4.7999999999999996E-3</v>
      </c>
      <c r="D397">
        <v>4.0720000000000001E-3</v>
      </c>
      <c r="E397">
        <v>4.1209999999999997E-3</v>
      </c>
      <c r="F397">
        <v>506586233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-0.86538461538461653</v>
      </c>
      <c r="Q397">
        <f t="shared" si="975"/>
        <v>-438391932.40384674</v>
      </c>
      <c r="R397">
        <f t="shared" si="976"/>
        <v>-2705523105.3294272</v>
      </c>
      <c r="S397">
        <f t="shared" si="977"/>
        <v>-27055.231053294272</v>
      </c>
      <c r="T397">
        <f t="shared" si="978"/>
        <v>-27.055231053294271</v>
      </c>
    </row>
    <row r="398" spans="1:20" x14ac:dyDescent="0.25">
      <c r="A398" s="5">
        <v>44192</v>
      </c>
      <c r="B398">
        <v>4.0330000000000001E-3</v>
      </c>
      <c r="C398">
        <v>4.7660000000000003E-3</v>
      </c>
      <c r="D398">
        <v>4.0090000000000004E-3</v>
      </c>
      <c r="E398">
        <v>4.2050000000000004E-3</v>
      </c>
      <c r="F398">
        <v>167798308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-0.48216644649933943</v>
      </c>
      <c r="Q398">
        <f t="shared" si="975"/>
        <v>-80906713.896961674</v>
      </c>
      <c r="R398">
        <f t="shared" si="976"/>
        <v>-2267131172.9255805</v>
      </c>
      <c r="S398">
        <f t="shared" si="977"/>
        <v>-22671.311729255805</v>
      </c>
      <c r="T398">
        <f t="shared" si="978"/>
        <v>-22.671311729255805</v>
      </c>
    </row>
    <row r="399" spans="1:20" x14ac:dyDescent="0.25">
      <c r="A399" s="5">
        <v>44191</v>
      </c>
      <c r="B399">
        <v>4.2110000000000003E-3</v>
      </c>
      <c r="C399">
        <v>4.3670000000000002E-3</v>
      </c>
      <c r="D399">
        <v>3.9370000000000004E-3</v>
      </c>
      <c r="E399">
        <v>4.0330000000000001E-3</v>
      </c>
      <c r="F399">
        <v>181835113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-0.55348837209302437</v>
      </c>
      <c r="Q399">
        <f t="shared" si="975"/>
        <v>-100643620.68372114</v>
      </c>
      <c r="R399">
        <f t="shared" si="976"/>
        <v>-2186224459.0286188</v>
      </c>
      <c r="S399">
        <f t="shared" si="977"/>
        <v>-21862.244590286187</v>
      </c>
      <c r="T399">
        <f t="shared" si="978"/>
        <v>-21.862244590286188</v>
      </c>
    </row>
    <row r="400" spans="1:20" x14ac:dyDescent="0.25">
      <c r="A400" s="5">
        <v>44190</v>
      </c>
      <c r="B400">
        <v>4.1250000000000002E-3</v>
      </c>
      <c r="C400">
        <v>4.411E-3</v>
      </c>
      <c r="D400">
        <v>4.071E-3</v>
      </c>
      <c r="E400">
        <v>4.2110000000000003E-3</v>
      </c>
      <c r="F400">
        <v>105886930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-0.17647058823529202</v>
      </c>
      <c r="Q400">
        <f t="shared" si="975"/>
        <v>-18685928.823529191</v>
      </c>
      <c r="R400">
        <f t="shared" si="976"/>
        <v>-2085580838.3448977</v>
      </c>
      <c r="S400">
        <f t="shared" si="977"/>
        <v>-20855.808383448977</v>
      </c>
      <c r="T400">
        <f t="shared" si="978"/>
        <v>-20.855808383448977</v>
      </c>
    </row>
    <row r="401" spans="1:20" x14ac:dyDescent="0.25">
      <c r="A401" s="5">
        <v>44189</v>
      </c>
      <c r="B401">
        <v>3.5490000000000001E-3</v>
      </c>
      <c r="C401">
        <v>4.4000000000000003E-3</v>
      </c>
      <c r="D401">
        <v>3.274E-3</v>
      </c>
      <c r="E401">
        <v>4.1250000000000002E-3</v>
      </c>
      <c r="F401">
        <v>308120990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0.51154529307282415</v>
      </c>
      <c r="Q401">
        <f t="shared" si="975"/>
        <v>157617842.13143873</v>
      </c>
      <c r="R401">
        <f t="shared" si="976"/>
        <v>-2066894909.5213685</v>
      </c>
      <c r="S401">
        <f t="shared" si="977"/>
        <v>-20668.949095213684</v>
      </c>
      <c r="T401">
        <f t="shared" si="978"/>
        <v>-20.668949095213684</v>
      </c>
    </row>
    <row r="402" spans="1:20" x14ac:dyDescent="0.25">
      <c r="A402" s="5">
        <v>44188</v>
      </c>
      <c r="B402">
        <v>3.5019999999999999E-3</v>
      </c>
      <c r="C402">
        <v>3.7520000000000001E-3</v>
      </c>
      <c r="D402">
        <v>3.2100000000000002E-3</v>
      </c>
      <c r="E402">
        <v>3.571E-3</v>
      </c>
      <c r="F402">
        <v>48292903</v>
      </c>
      <c r="G402">
        <v>0</v>
      </c>
      <c r="L402" t="s">
        <v>8</v>
      </c>
      <c r="M402" t="s">
        <v>7</v>
      </c>
      <c r="N402" t="s">
        <v>7</v>
      </c>
      <c r="P402">
        <f t="shared" si="974"/>
        <v>0.33210332103320961</v>
      </c>
      <c r="Q402">
        <f t="shared" si="975"/>
        <v>16038233.468634652</v>
      </c>
      <c r="R402">
        <f t="shared" si="976"/>
        <v>-2224512751.6528072</v>
      </c>
      <c r="S402">
        <f t="shared" si="977"/>
        <v>-22245.127516528071</v>
      </c>
      <c r="T402">
        <f t="shared" si="978"/>
        <v>-22.245127516528072</v>
      </c>
    </row>
    <row r="403" spans="1:20" x14ac:dyDescent="0.25">
      <c r="A403" s="5">
        <v>44187</v>
      </c>
      <c r="B403">
        <v>3.4499999999999999E-3</v>
      </c>
      <c r="C403">
        <v>3.6150000000000002E-3</v>
      </c>
      <c r="D403">
        <v>3.3779999999999999E-3</v>
      </c>
      <c r="E403">
        <v>3.48E-3</v>
      </c>
      <c r="F403">
        <v>18665596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-0.13924050632911397</v>
      </c>
      <c r="Q403">
        <f t="shared" si="975"/>
        <v>-2599007.0379746845</v>
      </c>
      <c r="R403">
        <f t="shared" si="976"/>
        <v>-2240550985.1214418</v>
      </c>
      <c r="S403">
        <f t="shared" si="977"/>
        <v>-22405.509851214418</v>
      </c>
      <c r="T403">
        <f t="shared" si="978"/>
        <v>-22.405509851214418</v>
      </c>
    </row>
    <row r="404" spans="1:20" x14ac:dyDescent="0.25">
      <c r="A404" s="5">
        <v>44186</v>
      </c>
      <c r="B404">
        <v>3.3159999999999999E-3</v>
      </c>
      <c r="C404">
        <v>3.8500000000000001E-3</v>
      </c>
      <c r="D404">
        <v>3.2330000000000002E-3</v>
      </c>
      <c r="E404">
        <v>3.4420000000000002E-3</v>
      </c>
      <c r="F404">
        <v>50171176</v>
      </c>
      <c r="G404">
        <v>0</v>
      </c>
      <c r="L404" t="s">
        <v>7</v>
      </c>
      <c r="M404" t="s">
        <v>8</v>
      </c>
      <c r="N404" t="s">
        <v>7</v>
      </c>
      <c r="P404">
        <f t="shared" si="974"/>
        <v>-0.32252836304700161</v>
      </c>
      <c r="Q404">
        <f t="shared" si="975"/>
        <v>-16181627.267423013</v>
      </c>
      <c r="R404">
        <f t="shared" si="976"/>
        <v>-2237951978.083467</v>
      </c>
      <c r="S404">
        <f t="shared" si="977"/>
        <v>-22379.519780834671</v>
      </c>
      <c r="T404">
        <f t="shared" si="978"/>
        <v>-22.37951978083467</v>
      </c>
    </row>
    <row r="405" spans="1:20" x14ac:dyDescent="0.25">
      <c r="A405" s="5">
        <v>44185</v>
      </c>
      <c r="B405">
        <v>3.4120000000000001E-3</v>
      </c>
      <c r="C405">
        <v>3.7989999999999999E-3</v>
      </c>
      <c r="D405">
        <v>3.2780000000000001E-3</v>
      </c>
      <c r="E405">
        <v>3.3119999999999998E-3</v>
      </c>
      <c r="F405">
        <v>216448853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-0.86948176583493375</v>
      </c>
      <c r="Q405">
        <f t="shared" si="975"/>
        <v>-188198330.919386</v>
      </c>
      <c r="R405">
        <f t="shared" si="976"/>
        <v>-2221770350.8160439</v>
      </c>
      <c r="S405">
        <f t="shared" si="977"/>
        <v>-22217.703508160437</v>
      </c>
      <c r="T405">
        <f t="shared" si="978"/>
        <v>-22.217703508160437</v>
      </c>
    </row>
    <row r="406" spans="1:20" x14ac:dyDescent="0.25">
      <c r="A406" s="5">
        <v>44184</v>
      </c>
      <c r="B406">
        <v>3.4849999999999998E-3</v>
      </c>
      <c r="C406">
        <v>3.5370000000000002E-3</v>
      </c>
      <c r="D406">
        <v>3.359E-3</v>
      </c>
      <c r="E406">
        <v>3.4120000000000001E-3</v>
      </c>
      <c r="F406">
        <v>62853077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-0.40449438202247151</v>
      </c>
      <c r="Q406">
        <f t="shared" si="975"/>
        <v>-25423716.539325818</v>
      </c>
      <c r="R406">
        <f t="shared" si="976"/>
        <v>-2033572019.8966577</v>
      </c>
      <c r="S406">
        <f t="shared" si="977"/>
        <v>-20335.720198966577</v>
      </c>
      <c r="T406">
        <f t="shared" si="978"/>
        <v>-20.335720198966577</v>
      </c>
    </row>
    <row r="407" spans="1:20" x14ac:dyDescent="0.25">
      <c r="A407" s="5">
        <v>44183</v>
      </c>
      <c r="B407">
        <v>3.2460000000000002E-3</v>
      </c>
      <c r="C407">
        <v>3.6700000000000001E-3</v>
      </c>
      <c r="D407">
        <v>3.176E-3</v>
      </c>
      <c r="E407">
        <v>3.4859999999999999E-3</v>
      </c>
      <c r="F407">
        <v>306987343</v>
      </c>
      <c r="G407">
        <v>0</v>
      </c>
      <c r="L407" t="s">
        <v>8</v>
      </c>
      <c r="M407" t="s">
        <v>7</v>
      </c>
      <c r="N407" t="s">
        <v>7</v>
      </c>
      <c r="P407">
        <f t="shared" si="974"/>
        <v>0.25506072874493885</v>
      </c>
      <c r="Q407">
        <f t="shared" si="975"/>
        <v>78300415.421052501</v>
      </c>
      <c r="R407">
        <f t="shared" si="976"/>
        <v>-2008148303.357332</v>
      </c>
      <c r="S407">
        <f t="shared" si="977"/>
        <v>-20081.48303357332</v>
      </c>
      <c r="T407">
        <f t="shared" si="978"/>
        <v>-20.081483033573321</v>
      </c>
    </row>
    <row r="408" spans="1:20" x14ac:dyDescent="0.25">
      <c r="A408" s="5">
        <v>44182</v>
      </c>
      <c r="B408">
        <v>3.4390000000000002E-3</v>
      </c>
      <c r="C408">
        <v>3.4910000000000002E-3</v>
      </c>
      <c r="D408">
        <v>3.1800000000000001E-3</v>
      </c>
      <c r="E408">
        <v>3.2469999999999999E-3</v>
      </c>
      <c r="F408">
        <v>112460956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-0.56913183279742918</v>
      </c>
      <c r="Q408">
        <f t="shared" si="975"/>
        <v>-64005110.006431043</v>
      </c>
      <c r="R408">
        <f t="shared" si="976"/>
        <v>-2086448718.7783844</v>
      </c>
      <c r="S408">
        <f t="shared" si="977"/>
        <v>-20864.487187783845</v>
      </c>
      <c r="T408">
        <f t="shared" si="978"/>
        <v>-20.864487187783844</v>
      </c>
    </row>
    <row r="409" spans="1:20" x14ac:dyDescent="0.25">
      <c r="A409" s="5">
        <v>44181</v>
      </c>
      <c r="B409">
        <v>3.3159999999999999E-3</v>
      </c>
      <c r="C409">
        <v>3.5309999999999999E-3</v>
      </c>
      <c r="D409">
        <v>3.2820000000000002E-3</v>
      </c>
      <c r="E409">
        <v>3.4399999999999999E-3</v>
      </c>
      <c r="F409">
        <v>162633849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0.26907630522088305</v>
      </c>
      <c r="Q409">
        <f t="shared" si="975"/>
        <v>43760915.192771003</v>
      </c>
      <c r="R409">
        <f t="shared" si="976"/>
        <v>-2022443608.7719533</v>
      </c>
      <c r="S409">
        <f t="shared" si="977"/>
        <v>-20224.436087719532</v>
      </c>
      <c r="T409">
        <f t="shared" si="978"/>
        <v>-20.224436087719532</v>
      </c>
    </row>
    <row r="410" spans="1:20" x14ac:dyDescent="0.25">
      <c r="A410" s="5">
        <v>44180</v>
      </c>
      <c r="B410">
        <v>3.6150000000000002E-3</v>
      </c>
      <c r="C410">
        <v>3.6150000000000002E-3</v>
      </c>
      <c r="D410">
        <v>3.307E-3</v>
      </c>
      <c r="E410">
        <v>3.3170000000000001E-3</v>
      </c>
      <c r="F410">
        <v>92989296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-0.93506493506493493</v>
      </c>
      <c r="Q410">
        <f t="shared" si="975"/>
        <v>-86951030.02597402</v>
      </c>
      <c r="R410">
        <f t="shared" si="976"/>
        <v>-2066204523.9647243</v>
      </c>
      <c r="S410">
        <f t="shared" si="977"/>
        <v>-20662.045239647243</v>
      </c>
      <c r="T410">
        <f t="shared" si="978"/>
        <v>-20.662045239647242</v>
      </c>
    </row>
    <row r="411" spans="1:20" x14ac:dyDescent="0.25">
      <c r="A411" s="5">
        <v>44179</v>
      </c>
      <c r="B411">
        <v>3.735E-3</v>
      </c>
      <c r="C411">
        <v>3.8470000000000002E-3</v>
      </c>
      <c r="D411">
        <v>3.6050000000000001E-3</v>
      </c>
      <c r="E411">
        <v>3.6389999999999999E-3</v>
      </c>
      <c r="F411">
        <v>95629288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-0.71900826446281207</v>
      </c>
      <c r="Q411">
        <f t="shared" si="975"/>
        <v>-68758248.396694422</v>
      </c>
      <c r="R411">
        <f t="shared" si="976"/>
        <v>-1979253493.9387503</v>
      </c>
      <c r="S411">
        <f t="shared" si="977"/>
        <v>-19792.534939387504</v>
      </c>
      <c r="T411">
        <f t="shared" si="978"/>
        <v>-19.792534939387505</v>
      </c>
    </row>
    <row r="412" spans="1:20" x14ac:dyDescent="0.25">
      <c r="A412" s="5">
        <v>44178</v>
      </c>
      <c r="B412">
        <v>3.467E-3</v>
      </c>
      <c r="C412">
        <v>3.8999999999999998E-3</v>
      </c>
      <c r="D412">
        <v>3.3679999999999999E-3</v>
      </c>
      <c r="E412">
        <v>3.7360000000000002E-3</v>
      </c>
      <c r="F412">
        <v>475354797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0.38345864661654255</v>
      </c>
      <c r="Q412">
        <f t="shared" si="975"/>
        <v>182278907.12030134</v>
      </c>
      <c r="R412">
        <f t="shared" si="976"/>
        <v>-1910495245.5420558</v>
      </c>
      <c r="S412">
        <f t="shared" si="977"/>
        <v>-19104.95245542056</v>
      </c>
      <c r="T412">
        <f t="shared" si="978"/>
        <v>-19.104952455420559</v>
      </c>
    </row>
    <row r="413" spans="1:20" x14ac:dyDescent="0.25">
      <c r="A413" s="5">
        <v>44177</v>
      </c>
      <c r="B413">
        <v>3.1740000000000002E-3</v>
      </c>
      <c r="C413">
        <v>3.5500000000000002E-3</v>
      </c>
      <c r="D413">
        <v>3.1359999999999999E-3</v>
      </c>
      <c r="E413">
        <v>3.4710000000000001E-3</v>
      </c>
      <c r="F413">
        <v>279013128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0.61835748792270517</v>
      </c>
      <c r="Q413">
        <f t="shared" si="975"/>
        <v>172529856.92753619</v>
      </c>
      <c r="R413">
        <f t="shared" si="976"/>
        <v>-2092774152.6623571</v>
      </c>
      <c r="S413">
        <f t="shared" si="977"/>
        <v>-20927.741526623569</v>
      </c>
      <c r="T413">
        <f t="shared" si="978"/>
        <v>-20.927741526623571</v>
      </c>
    </row>
    <row r="414" spans="1:20" x14ac:dyDescent="0.25">
      <c r="A414" s="5">
        <v>44176</v>
      </c>
      <c r="B414">
        <v>3.0000000000000001E-3</v>
      </c>
      <c r="C414">
        <v>3.284E-3</v>
      </c>
      <c r="D414">
        <v>2.8579999999999999E-3</v>
      </c>
      <c r="E414">
        <v>3.1480000000000002E-3</v>
      </c>
      <c r="F414">
        <v>216517962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0.36150234741784137</v>
      </c>
      <c r="Q414">
        <f t="shared" si="975"/>
        <v>78271751.521126971</v>
      </c>
      <c r="R414">
        <f t="shared" si="976"/>
        <v>-2265304009.5898933</v>
      </c>
      <c r="S414">
        <f t="shared" si="977"/>
        <v>-22653.040095898934</v>
      </c>
      <c r="T414">
        <f t="shared" si="978"/>
        <v>-22.653040095898934</v>
      </c>
    </row>
    <row r="415" spans="1:20" x14ac:dyDescent="0.25">
      <c r="A415" s="5">
        <v>44175</v>
      </c>
      <c r="B415">
        <v>3.114E-3</v>
      </c>
      <c r="C415">
        <v>3.1159999999999998E-3</v>
      </c>
      <c r="D415">
        <v>2.9250000000000001E-3</v>
      </c>
      <c r="E415">
        <v>3.0040000000000002E-3</v>
      </c>
      <c r="F415">
        <v>13069668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-0.1727748691099458</v>
      </c>
      <c r="Q415">
        <f t="shared" si="975"/>
        <v>-2258110.178010447</v>
      </c>
      <c r="R415">
        <f t="shared" si="976"/>
        <v>-2343575761.1110201</v>
      </c>
      <c r="S415">
        <f t="shared" si="977"/>
        <v>-23435.757611110203</v>
      </c>
      <c r="T415">
        <f t="shared" si="978"/>
        <v>-23.435757611110201</v>
      </c>
    </row>
    <row r="416" spans="1:20" x14ac:dyDescent="0.25">
      <c r="A416" s="5">
        <v>44174</v>
      </c>
      <c r="B416">
        <v>3.0690000000000001E-3</v>
      </c>
      <c r="C416">
        <v>3.179E-3</v>
      </c>
      <c r="D416">
        <v>2.8400000000000001E-3</v>
      </c>
      <c r="E416">
        <v>3.1150000000000001E-3</v>
      </c>
      <c r="F416">
        <v>14064986</v>
      </c>
      <c r="G416">
        <v>0</v>
      </c>
      <c r="L416" t="s">
        <v>7</v>
      </c>
      <c r="M416" t="s">
        <v>7</v>
      </c>
      <c r="N416" t="s">
        <v>7</v>
      </c>
      <c r="P416">
        <f t="shared" si="974"/>
        <v>0.62241887905604809</v>
      </c>
      <c r="Q416">
        <f t="shared" si="975"/>
        <v>8754312.8200590089</v>
      </c>
      <c r="R416">
        <f t="shared" si="976"/>
        <v>-2341317650.9330096</v>
      </c>
      <c r="S416">
        <f t="shared" si="977"/>
        <v>-23413.176509330096</v>
      </c>
      <c r="T416">
        <f t="shared" si="978"/>
        <v>-23.413176509330096</v>
      </c>
    </row>
    <row r="417" spans="1:20" x14ac:dyDescent="0.25">
      <c r="A417" s="5">
        <v>44173</v>
      </c>
      <c r="B417">
        <v>3.1670000000000001E-3</v>
      </c>
      <c r="C417">
        <v>3.235E-3</v>
      </c>
      <c r="D417">
        <v>3.0000000000000001E-3</v>
      </c>
      <c r="E417">
        <v>3.0699999999999998E-3</v>
      </c>
      <c r="F417">
        <v>43736465</v>
      </c>
      <c r="G417">
        <v>0</v>
      </c>
      <c r="L417" t="s">
        <v>8</v>
      </c>
      <c r="M417" t="s">
        <v>8</v>
      </c>
      <c r="N417" t="s">
        <v>7</v>
      </c>
      <c r="P417">
        <f t="shared" si="974"/>
        <v>-0.4042553191489382</v>
      </c>
      <c r="Q417">
        <f t="shared" si="975"/>
        <v>-17680698.617021367</v>
      </c>
      <c r="R417">
        <f t="shared" si="976"/>
        <v>-2350071963.7530684</v>
      </c>
      <c r="S417">
        <f t="shared" si="977"/>
        <v>-23500.719637530685</v>
      </c>
      <c r="T417">
        <f t="shared" si="978"/>
        <v>-23.500719637530686</v>
      </c>
    </row>
    <row r="418" spans="1:20" x14ac:dyDescent="0.25">
      <c r="A418" s="5">
        <v>44172</v>
      </c>
      <c r="B418">
        <v>3.0959999999999998E-3</v>
      </c>
      <c r="C418">
        <v>3.1679999999999998E-3</v>
      </c>
      <c r="D418">
        <v>3.0300000000000001E-3</v>
      </c>
      <c r="E418">
        <v>3.15E-3</v>
      </c>
      <c r="F418">
        <v>18536075</v>
      </c>
      <c r="G418">
        <v>0</v>
      </c>
      <c r="L418" t="s">
        <v>7</v>
      </c>
      <c r="M418" t="s">
        <v>8</v>
      </c>
      <c r="N418" t="s">
        <v>7</v>
      </c>
      <c r="P418">
        <f t="shared" si="974"/>
        <v>0.7391304347826112</v>
      </c>
      <c r="Q418">
        <f t="shared" si="975"/>
        <v>13700577.17391309</v>
      </c>
      <c r="R418">
        <f t="shared" si="976"/>
        <v>-2332391265.1360469</v>
      </c>
      <c r="S418">
        <f t="shared" si="977"/>
        <v>-23323.912651360468</v>
      </c>
      <c r="T418">
        <f t="shared" si="978"/>
        <v>-23.32391265136047</v>
      </c>
    </row>
    <row r="419" spans="1:20" x14ac:dyDescent="0.25">
      <c r="A419" s="5">
        <v>44171</v>
      </c>
      <c r="B419">
        <v>3.1099999999999999E-3</v>
      </c>
      <c r="C419">
        <v>3.1410000000000001E-3</v>
      </c>
      <c r="D419">
        <v>3.0109999999999998E-3</v>
      </c>
      <c r="E419">
        <v>3.104E-3</v>
      </c>
      <c r="F419">
        <v>56153633</v>
      </c>
      <c r="G419">
        <v>0</v>
      </c>
      <c r="L419" t="s">
        <v>7</v>
      </c>
      <c r="M419" t="s">
        <v>8</v>
      </c>
      <c r="N419" t="s">
        <v>7</v>
      </c>
      <c r="P419">
        <f t="shared" si="974"/>
        <v>0.43076923076923013</v>
      </c>
      <c r="Q419">
        <f t="shared" si="975"/>
        <v>24189257.292307656</v>
      </c>
      <c r="R419">
        <f t="shared" si="976"/>
        <v>-2346091842.3099599</v>
      </c>
      <c r="S419">
        <f t="shared" si="977"/>
        <v>-23460.9184230996</v>
      </c>
      <c r="T419">
        <f t="shared" si="978"/>
        <v>-23.460918423099599</v>
      </c>
    </row>
    <row r="420" spans="1:20" x14ac:dyDescent="0.25">
      <c r="A420" s="5">
        <v>44170</v>
      </c>
      <c r="B420">
        <v>3.0920000000000001E-3</v>
      </c>
      <c r="C420">
        <v>3.2759999999999998E-3</v>
      </c>
      <c r="D420">
        <v>3.0590000000000001E-3</v>
      </c>
      <c r="E420">
        <v>3.0969999999999999E-3</v>
      </c>
      <c r="F420">
        <v>41404443</v>
      </c>
      <c r="G420">
        <v>0</v>
      </c>
      <c r="L420" t="s">
        <v>7</v>
      </c>
      <c r="M420" t="s">
        <v>8</v>
      </c>
      <c r="N420" t="s">
        <v>7</v>
      </c>
      <c r="P420">
        <f t="shared" si="974"/>
        <v>-0.64976958525345729</v>
      </c>
      <c r="Q420">
        <f t="shared" si="975"/>
        <v>-26903347.755760413</v>
      </c>
      <c r="R420">
        <f t="shared" si="976"/>
        <v>-2370281099.6022677</v>
      </c>
      <c r="S420">
        <f t="shared" si="977"/>
        <v>-23702.810996022676</v>
      </c>
      <c r="T420">
        <f t="shared" si="978"/>
        <v>-23.702810996022677</v>
      </c>
    </row>
    <row r="421" spans="1:20" x14ac:dyDescent="0.25">
      <c r="A421" s="5">
        <v>44169</v>
      </c>
      <c r="B421">
        <v>3.2729999999999999E-3</v>
      </c>
      <c r="C421">
        <v>3.3409999999999998E-3</v>
      </c>
      <c r="D421">
        <v>3.0309999999999998E-3</v>
      </c>
      <c r="E421">
        <v>3.1419999999999998E-3</v>
      </c>
      <c r="F421">
        <v>33956014</v>
      </c>
      <c r="G421">
        <v>0</v>
      </c>
      <c r="L421" t="s">
        <v>8</v>
      </c>
      <c r="M421" t="s">
        <v>8</v>
      </c>
      <c r="N421" t="s">
        <v>7</v>
      </c>
      <c r="P421">
        <f t="shared" si="974"/>
        <v>-0.28387096774193543</v>
      </c>
      <c r="Q421">
        <f t="shared" si="975"/>
        <v>-9639126.5548387077</v>
      </c>
      <c r="R421">
        <f t="shared" si="976"/>
        <v>-2343377751.8465075</v>
      </c>
      <c r="S421">
        <f t="shared" si="977"/>
        <v>-23433.777518465075</v>
      </c>
      <c r="T421">
        <f t="shared" si="978"/>
        <v>-23.433777518465075</v>
      </c>
    </row>
    <row r="422" spans="1:20" x14ac:dyDescent="0.25">
      <c r="A422" s="5">
        <v>44168</v>
      </c>
      <c r="B422">
        <v>3.2820000000000002E-3</v>
      </c>
      <c r="C422">
        <v>3.3089999999999999E-3</v>
      </c>
      <c r="D422">
        <v>3.209E-3</v>
      </c>
      <c r="E422">
        <v>3.2520000000000001E-3</v>
      </c>
      <c r="F422">
        <v>18401969</v>
      </c>
      <c r="G422">
        <v>0</v>
      </c>
      <c r="L422" t="s">
        <v>8</v>
      </c>
      <c r="M422" t="s">
        <v>8</v>
      </c>
      <c r="N422" t="s">
        <v>7</v>
      </c>
      <c r="P422">
        <f t="shared" si="974"/>
        <v>-0.13999999999999713</v>
      </c>
      <c r="Q422">
        <f t="shared" si="975"/>
        <v>-2576275.6599999471</v>
      </c>
      <c r="R422">
        <f t="shared" si="976"/>
        <v>-2333738625.2916689</v>
      </c>
      <c r="S422">
        <f t="shared" si="977"/>
        <v>-23337.386252916687</v>
      </c>
      <c r="T422">
        <f t="shared" si="978"/>
        <v>-23.337386252916687</v>
      </c>
    </row>
    <row r="423" spans="1:20" x14ac:dyDescent="0.25">
      <c r="A423" s="5">
        <v>44167</v>
      </c>
      <c r="B423">
        <v>3.094E-3</v>
      </c>
      <c r="C423">
        <v>3.3180000000000002E-3</v>
      </c>
      <c r="D423">
        <v>3.0000000000000001E-3</v>
      </c>
      <c r="E423">
        <v>3.2799999999999999E-3</v>
      </c>
      <c r="F423">
        <v>90510873</v>
      </c>
      <c r="G423">
        <v>0</v>
      </c>
      <c r="L423" t="s">
        <v>8</v>
      </c>
      <c r="M423" t="s">
        <v>8</v>
      </c>
      <c r="N423" t="s">
        <v>7</v>
      </c>
      <c r="P423">
        <f t="shared" si="974"/>
        <v>0.76100628930817449</v>
      </c>
      <c r="Q423">
        <f t="shared" si="975"/>
        <v>68879343.603773445</v>
      </c>
      <c r="R423">
        <f t="shared" si="976"/>
        <v>-2331162349.631669</v>
      </c>
      <c r="S423">
        <f t="shared" si="977"/>
        <v>-23311.62349631669</v>
      </c>
      <c r="T423">
        <f t="shared" si="978"/>
        <v>-23.311623496316688</v>
      </c>
    </row>
    <row r="424" spans="1:20" x14ac:dyDescent="0.25">
      <c r="A424" s="5">
        <v>44166</v>
      </c>
      <c r="B424">
        <v>3.2109999999999999E-3</v>
      </c>
      <c r="C424">
        <v>3.3400000000000001E-3</v>
      </c>
      <c r="D424">
        <v>2.9499999999999999E-3</v>
      </c>
      <c r="E424">
        <v>3.114E-3</v>
      </c>
      <c r="F424">
        <v>22158207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-0.15897435897435888</v>
      </c>
      <c r="Q424">
        <f t="shared" si="975"/>
        <v>-3522586.7538461518</v>
      </c>
      <c r="R424">
        <f t="shared" si="976"/>
        <v>-2400041693.2354426</v>
      </c>
      <c r="S424">
        <f t="shared" si="977"/>
        <v>-24000.416932354427</v>
      </c>
      <c r="T424">
        <f t="shared" si="978"/>
        <v>-24.000416932354426</v>
      </c>
    </row>
    <row r="425" spans="1:20" x14ac:dyDescent="0.25">
      <c r="A425" s="5">
        <v>44165</v>
      </c>
      <c r="B425">
        <v>3.1129999999999999E-3</v>
      </c>
      <c r="C425">
        <v>3.349E-3</v>
      </c>
      <c r="D425">
        <v>3.0999999999999999E-3</v>
      </c>
      <c r="E425">
        <v>3.2109999999999999E-3</v>
      </c>
      <c r="F425">
        <v>29060273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-0.10843373493975945</v>
      </c>
      <c r="Q425">
        <f t="shared" si="975"/>
        <v>-3151113.9397590482</v>
      </c>
      <c r="R425">
        <f t="shared" si="976"/>
        <v>-2396519106.4815965</v>
      </c>
      <c r="S425">
        <f t="shared" si="977"/>
        <v>-23965.191064815965</v>
      </c>
      <c r="T425">
        <f t="shared" si="978"/>
        <v>-23.965191064815965</v>
      </c>
    </row>
    <row r="426" spans="1:20" x14ac:dyDescent="0.25">
      <c r="A426" s="5">
        <v>44164</v>
      </c>
      <c r="B426">
        <v>3.0200000000000001E-3</v>
      </c>
      <c r="C426">
        <v>3.1250000000000002E-3</v>
      </c>
      <c r="D426">
        <v>2.9789999999999999E-3</v>
      </c>
      <c r="E426">
        <v>3.1129999999999999E-3</v>
      </c>
      <c r="F426">
        <v>25674325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0.83561643835616073</v>
      </c>
      <c r="Q426">
        <f t="shared" si="975"/>
        <v>21453888.013698537</v>
      </c>
      <c r="R426">
        <f t="shared" si="976"/>
        <v>-2393367992.5418372</v>
      </c>
      <c r="S426">
        <f t="shared" si="977"/>
        <v>-23933.679925418372</v>
      </c>
      <c r="T426">
        <f t="shared" si="978"/>
        <v>-23.933679925418371</v>
      </c>
    </row>
    <row r="427" spans="1:20" x14ac:dyDescent="0.25">
      <c r="A427" s="5">
        <v>44163</v>
      </c>
      <c r="B427">
        <v>3.0630000000000002E-3</v>
      </c>
      <c r="C427">
        <v>3.1380000000000002E-3</v>
      </c>
      <c r="D427">
        <v>2.9350000000000001E-3</v>
      </c>
      <c r="E427">
        <v>3.0330000000000001E-3</v>
      </c>
      <c r="F427">
        <v>21600555</v>
      </c>
      <c r="G427">
        <v>0</v>
      </c>
      <c r="L427" t="s">
        <v>8</v>
      </c>
      <c r="M427" t="s">
        <v>7</v>
      </c>
      <c r="N427" t="s">
        <v>7</v>
      </c>
      <c r="P427">
        <f t="shared" si="974"/>
        <v>-3.4482758620689953E-2</v>
      </c>
      <c r="Q427">
        <f t="shared" si="975"/>
        <v>-744846.72413793742</v>
      </c>
      <c r="R427">
        <f t="shared" si="976"/>
        <v>-2414821880.5555358</v>
      </c>
      <c r="S427">
        <f t="shared" si="977"/>
        <v>-24148.21880555536</v>
      </c>
      <c r="T427">
        <f t="shared" si="978"/>
        <v>-24.148218805555359</v>
      </c>
    </row>
    <row r="428" spans="1:20" x14ac:dyDescent="0.25">
      <c r="A428" s="5">
        <v>44162</v>
      </c>
      <c r="B428">
        <v>3.081E-3</v>
      </c>
      <c r="C428">
        <v>3.143E-3</v>
      </c>
      <c r="D428">
        <v>2.869E-3</v>
      </c>
      <c r="E428">
        <v>3.0620000000000001E-3</v>
      </c>
      <c r="F428">
        <v>57786944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0.4087591240875918</v>
      </c>
      <c r="Q428">
        <f t="shared" si="975"/>
        <v>23620940.613138717</v>
      </c>
      <c r="R428">
        <f t="shared" si="976"/>
        <v>-2414077033.831398</v>
      </c>
      <c r="S428">
        <f t="shared" si="977"/>
        <v>-24140.770338313981</v>
      </c>
      <c r="T428">
        <f t="shared" si="978"/>
        <v>-24.140770338313981</v>
      </c>
    </row>
    <row r="429" spans="1:20" x14ac:dyDescent="0.25">
      <c r="A429" s="5">
        <v>44161</v>
      </c>
      <c r="B429">
        <v>3.4259999999999998E-3</v>
      </c>
      <c r="C429">
        <v>3.5200000000000001E-3</v>
      </c>
      <c r="D429">
        <v>2.8E-3</v>
      </c>
      <c r="E429">
        <v>3.0590000000000001E-3</v>
      </c>
      <c r="F429">
        <v>69583144</v>
      </c>
      <c r="G429">
        <v>0</v>
      </c>
      <c r="L429" t="s">
        <v>7</v>
      </c>
      <c r="M429" t="s">
        <v>7</v>
      </c>
      <c r="N429" t="s">
        <v>7</v>
      </c>
      <c r="P429">
        <f t="shared" si="974"/>
        <v>-0.28055555555555539</v>
      </c>
      <c r="Q429">
        <f t="shared" si="975"/>
        <v>-19521937.622222211</v>
      </c>
      <c r="R429">
        <f t="shared" si="976"/>
        <v>-2437697974.4445367</v>
      </c>
      <c r="S429">
        <f t="shared" si="977"/>
        <v>-24376.979744445365</v>
      </c>
      <c r="T429">
        <f t="shared" si="978"/>
        <v>-24.376979744445364</v>
      </c>
    </row>
    <row r="430" spans="1:20" x14ac:dyDescent="0.25">
      <c r="A430" s="5">
        <v>44160</v>
      </c>
      <c r="B430">
        <v>3.5200000000000001E-3</v>
      </c>
      <c r="C430">
        <v>3.7000000000000002E-3</v>
      </c>
      <c r="D430">
        <v>3.3500000000000001E-3</v>
      </c>
      <c r="E430">
        <v>3.4259999999999998E-3</v>
      </c>
      <c r="F430">
        <v>48891642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-0.56571428571428761</v>
      </c>
      <c r="Q430">
        <f t="shared" si="975"/>
        <v>-27658700.331428666</v>
      </c>
      <c r="R430">
        <f t="shared" si="976"/>
        <v>-2418176036.8223143</v>
      </c>
      <c r="S430">
        <f t="shared" si="977"/>
        <v>-24181.760368223142</v>
      </c>
      <c r="T430">
        <f t="shared" si="978"/>
        <v>-24.181760368223141</v>
      </c>
    </row>
    <row r="431" spans="1:20" x14ac:dyDescent="0.25">
      <c r="A431" s="5">
        <v>44159</v>
      </c>
      <c r="B431">
        <v>3.552E-3</v>
      </c>
      <c r="C431">
        <v>3.6280000000000001E-3</v>
      </c>
      <c r="D431">
        <v>3.2789999999999998E-3</v>
      </c>
      <c r="E431">
        <v>3.5200000000000001E-3</v>
      </c>
      <c r="F431">
        <v>73410368</v>
      </c>
      <c r="G431">
        <v>0</v>
      </c>
      <c r="L431" t="s">
        <v>7</v>
      </c>
      <c r="M431" t="s">
        <v>8</v>
      </c>
      <c r="N431" t="s">
        <v>7</v>
      </c>
      <c r="P431">
        <f t="shared" si="974"/>
        <v>0.38108882521490023</v>
      </c>
      <c r="Q431">
        <f t="shared" si="975"/>
        <v>27975870.899713505</v>
      </c>
      <c r="R431">
        <f t="shared" si="976"/>
        <v>-2390517336.4908857</v>
      </c>
      <c r="S431">
        <f t="shared" si="977"/>
        <v>-23905.173364908856</v>
      </c>
      <c r="T431">
        <f t="shared" si="978"/>
        <v>-23.905173364908855</v>
      </c>
    </row>
    <row r="432" spans="1:20" x14ac:dyDescent="0.25">
      <c r="A432" s="5">
        <v>44158</v>
      </c>
      <c r="B432">
        <v>3.473E-3</v>
      </c>
      <c r="C432">
        <v>3.6259999999999999E-3</v>
      </c>
      <c r="D432">
        <v>3.3709999999999999E-3</v>
      </c>
      <c r="E432">
        <v>3.5539999999999999E-3</v>
      </c>
      <c r="F432">
        <v>28822458</v>
      </c>
      <c r="G432">
        <v>0</v>
      </c>
      <c r="L432" t="s">
        <v>8</v>
      </c>
      <c r="M432" t="s">
        <v>8</v>
      </c>
      <c r="N432" t="s">
        <v>7</v>
      </c>
      <c r="P432">
        <f t="shared" si="974"/>
        <v>0.43529411764705872</v>
      </c>
      <c r="Q432">
        <f t="shared" si="975"/>
        <v>12546246.423529409</v>
      </c>
      <c r="R432">
        <f t="shared" si="976"/>
        <v>-2418493207.3905993</v>
      </c>
      <c r="S432">
        <f t="shared" si="977"/>
        <v>-24184.932073905991</v>
      </c>
      <c r="T432">
        <f t="shared" si="978"/>
        <v>-24.184932073905991</v>
      </c>
    </row>
    <row r="433" spans="1:20" x14ac:dyDescent="0.25">
      <c r="A433" s="5">
        <v>44157</v>
      </c>
      <c r="B433">
        <v>3.31E-3</v>
      </c>
      <c r="C433">
        <v>3.5799999999999998E-3</v>
      </c>
      <c r="D433">
        <v>3.2000000000000002E-3</v>
      </c>
      <c r="E433">
        <v>3.441E-3</v>
      </c>
      <c r="F433">
        <v>63573757</v>
      </c>
      <c r="G433">
        <v>0</v>
      </c>
      <c r="L433" t="s">
        <v>8</v>
      </c>
      <c r="M433" t="s">
        <v>8</v>
      </c>
      <c r="N433" t="s">
        <v>7</v>
      </c>
      <c r="P433">
        <f t="shared" si="974"/>
        <v>0.26842105263157939</v>
      </c>
      <c r="Q433">
        <f t="shared" si="975"/>
        <v>17064534.773684237</v>
      </c>
      <c r="R433">
        <f t="shared" si="976"/>
        <v>-2431039453.8141289</v>
      </c>
      <c r="S433">
        <f t="shared" si="977"/>
        <v>-24310.394538141289</v>
      </c>
      <c r="T433">
        <f t="shared" si="978"/>
        <v>-24.310394538141288</v>
      </c>
    </row>
    <row r="434" spans="1:20" x14ac:dyDescent="0.25">
      <c r="A434" s="5">
        <v>44156</v>
      </c>
      <c r="B434">
        <v>3.2360000000000002E-3</v>
      </c>
      <c r="C434">
        <v>3.3400000000000001E-3</v>
      </c>
      <c r="D434">
        <v>3.1419999999999998E-3</v>
      </c>
      <c r="E434">
        <v>3.3089999999999999E-3</v>
      </c>
      <c r="F434">
        <v>24176394</v>
      </c>
      <c r="G434">
        <v>0</v>
      </c>
      <c r="L434" t="s">
        <v>8</v>
      </c>
      <c r="M434" t="s">
        <v>8</v>
      </c>
      <c r="N434" t="s">
        <v>7</v>
      </c>
      <c r="P434">
        <f t="shared" si="974"/>
        <v>0.68686868686868519</v>
      </c>
      <c r="Q434">
        <f t="shared" si="975"/>
        <v>16606007.999999959</v>
      </c>
      <c r="R434">
        <f t="shared" si="976"/>
        <v>-2448103988.5878129</v>
      </c>
      <c r="S434">
        <f t="shared" si="977"/>
        <v>-24481.03988587813</v>
      </c>
      <c r="T434">
        <f t="shared" si="978"/>
        <v>-24.481039885878129</v>
      </c>
    </row>
    <row r="435" spans="1:20" x14ac:dyDescent="0.25">
      <c r="A435" s="5">
        <v>44155</v>
      </c>
      <c r="B435">
        <v>3.0379999999999999E-3</v>
      </c>
      <c r="C435">
        <v>3.2360000000000002E-3</v>
      </c>
      <c r="D435">
        <v>3.0249999999999999E-3</v>
      </c>
      <c r="E435">
        <v>3.235E-3</v>
      </c>
      <c r="F435">
        <v>15314390</v>
      </c>
      <c r="G435">
        <v>0</v>
      </c>
      <c r="L435" t="s">
        <v>8</v>
      </c>
      <c r="M435" t="s">
        <v>8</v>
      </c>
      <c r="N435" t="s">
        <v>7</v>
      </c>
      <c r="P435">
        <f t="shared" si="974"/>
        <v>0.9905213270142168</v>
      </c>
      <c r="Q435">
        <f t="shared" si="975"/>
        <v>15169229.905213252</v>
      </c>
      <c r="R435">
        <f t="shared" si="976"/>
        <v>-2464709996.5878129</v>
      </c>
      <c r="S435">
        <f t="shared" si="977"/>
        <v>-24647.099965878129</v>
      </c>
      <c r="T435">
        <f t="shared" si="978"/>
        <v>-24.64709996587813</v>
      </c>
    </row>
    <row r="436" spans="1:20" x14ac:dyDescent="0.25">
      <c r="A436" s="5">
        <v>44154</v>
      </c>
      <c r="B436">
        <v>3.052E-3</v>
      </c>
      <c r="C436">
        <v>3.0829999999999998E-3</v>
      </c>
      <c r="D436">
        <v>2.9250000000000001E-3</v>
      </c>
      <c r="E436">
        <v>3.0209999999999998E-3</v>
      </c>
      <c r="F436">
        <v>9323829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0.21518987341772028</v>
      </c>
      <c r="Q436">
        <f t="shared" si="975"/>
        <v>2006393.5822784693</v>
      </c>
      <c r="R436">
        <f t="shared" si="976"/>
        <v>-2479879226.4930263</v>
      </c>
      <c r="S436">
        <f t="shared" si="977"/>
        <v>-24798.792264930264</v>
      </c>
      <c r="T436">
        <f t="shared" si="978"/>
        <v>-24.798792264930263</v>
      </c>
    </row>
    <row r="437" spans="1:20" x14ac:dyDescent="0.25">
      <c r="A437" s="5">
        <v>44153</v>
      </c>
      <c r="B437">
        <v>3.1870000000000002E-3</v>
      </c>
      <c r="C437">
        <v>3.2030000000000001E-3</v>
      </c>
      <c r="D437">
        <v>2.9020000000000001E-3</v>
      </c>
      <c r="E437">
        <v>3.0530000000000002E-3</v>
      </c>
      <c r="F437">
        <v>26566763</v>
      </c>
      <c r="G437">
        <v>0</v>
      </c>
      <c r="L437" t="s">
        <v>7</v>
      </c>
      <c r="M437" t="s">
        <v>8</v>
      </c>
      <c r="N437" t="s">
        <v>7</v>
      </c>
      <c r="P437">
        <f t="shared" si="974"/>
        <v>3.3222591362130648E-3</v>
      </c>
      <c r="Q437">
        <f t="shared" si="975"/>
        <v>88261.671096357211</v>
      </c>
      <c r="R437">
        <f t="shared" si="976"/>
        <v>-2481885620.0753045</v>
      </c>
      <c r="S437">
        <f t="shared" si="977"/>
        <v>-24818.856200753045</v>
      </c>
      <c r="T437">
        <f t="shared" si="978"/>
        <v>-24.818856200753046</v>
      </c>
    </row>
    <row r="438" spans="1:20" x14ac:dyDescent="0.25">
      <c r="A438" s="5">
        <v>44152</v>
      </c>
      <c r="B438">
        <v>2.9329999999999998E-3</v>
      </c>
      <c r="C438">
        <v>3.2420000000000001E-3</v>
      </c>
      <c r="D438">
        <v>2.9139999999999999E-3</v>
      </c>
      <c r="E438">
        <v>3.1870000000000002E-3</v>
      </c>
      <c r="F438">
        <v>45238096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0.664634146341464</v>
      </c>
      <c r="Q438">
        <f t="shared" si="975"/>
        <v>30066783.317073196</v>
      </c>
      <c r="R438">
        <f t="shared" si="976"/>
        <v>-2481973881.7464008</v>
      </c>
      <c r="S438">
        <f t="shared" si="977"/>
        <v>-24819.738817464007</v>
      </c>
      <c r="T438">
        <f t="shared" si="978"/>
        <v>-24.819738817464007</v>
      </c>
    </row>
    <row r="439" spans="1:20" x14ac:dyDescent="0.25">
      <c r="A439" s="5">
        <v>44151</v>
      </c>
      <c r="B439">
        <v>2.9420000000000002E-3</v>
      </c>
      <c r="C439">
        <v>3.042E-3</v>
      </c>
      <c r="D439">
        <v>2.9139999999999999E-3</v>
      </c>
      <c r="E439">
        <v>2.9350000000000001E-3</v>
      </c>
      <c r="F439">
        <v>20787936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-0.67187499999999734</v>
      </c>
      <c r="Q439">
        <f t="shared" si="975"/>
        <v>-13966894.499999944</v>
      </c>
      <c r="R439">
        <f t="shared" si="976"/>
        <v>-2512040665.0634742</v>
      </c>
      <c r="S439">
        <f t="shared" si="977"/>
        <v>-25120.406650634741</v>
      </c>
      <c r="T439">
        <f t="shared" si="978"/>
        <v>-25.120406650634742</v>
      </c>
    </row>
    <row r="440" spans="1:20" x14ac:dyDescent="0.25">
      <c r="A440" s="5">
        <v>44150</v>
      </c>
      <c r="B440">
        <v>3.0839999999999999E-3</v>
      </c>
      <c r="C440">
        <v>3.1280000000000001E-3</v>
      </c>
      <c r="D440">
        <v>2.9030000000000002E-3</v>
      </c>
      <c r="E440">
        <v>2.9499999999999999E-3</v>
      </c>
      <c r="F440">
        <v>12314771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-0.58222222222222453</v>
      </c>
      <c r="Q440">
        <f t="shared" si="975"/>
        <v>-7169933.3377778064</v>
      </c>
      <c r="R440">
        <f t="shared" si="976"/>
        <v>-2498073770.5634742</v>
      </c>
      <c r="S440">
        <f t="shared" si="977"/>
        <v>-24980.737705634743</v>
      </c>
      <c r="T440">
        <f t="shared" si="978"/>
        <v>-24.980737705634745</v>
      </c>
    </row>
    <row r="441" spans="1:20" x14ac:dyDescent="0.25">
      <c r="A441" s="5">
        <v>44149</v>
      </c>
      <c r="B441">
        <v>3.15E-3</v>
      </c>
      <c r="C441">
        <v>3.1540000000000001E-3</v>
      </c>
      <c r="D441">
        <v>3.0430000000000001E-3</v>
      </c>
      <c r="E441">
        <v>3.088E-3</v>
      </c>
      <c r="F441">
        <v>6739376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-0.18918918918919087</v>
      </c>
      <c r="Q441">
        <f t="shared" si="975"/>
        <v>-1275017.0810810924</v>
      </c>
      <c r="R441">
        <f t="shared" si="976"/>
        <v>-2490903837.2256966</v>
      </c>
      <c r="S441">
        <f t="shared" si="977"/>
        <v>-24909.038372256964</v>
      </c>
      <c r="T441">
        <f t="shared" si="978"/>
        <v>-24.909038372256965</v>
      </c>
    </row>
    <row r="442" spans="1:20" x14ac:dyDescent="0.25">
      <c r="A442" s="5">
        <v>44148</v>
      </c>
      <c r="B442">
        <v>3.1199999999999999E-3</v>
      </c>
      <c r="C442">
        <v>3.2209999999999999E-3</v>
      </c>
      <c r="D442">
        <v>3.0990000000000002E-3</v>
      </c>
      <c r="E442">
        <v>3.1310000000000001E-3</v>
      </c>
      <c r="F442">
        <v>13802186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-0.47540983606557402</v>
      </c>
      <c r="Q442">
        <f t="shared" si="975"/>
        <v>-6561694.9836065611</v>
      </c>
      <c r="R442">
        <f t="shared" si="976"/>
        <v>-2489628820.1446157</v>
      </c>
      <c r="S442">
        <f t="shared" si="977"/>
        <v>-24896.288201446157</v>
      </c>
      <c r="T442">
        <f t="shared" si="978"/>
        <v>-24.896288201446158</v>
      </c>
    </row>
    <row r="443" spans="1:20" x14ac:dyDescent="0.25">
      <c r="A443" s="5">
        <v>44147</v>
      </c>
      <c r="B443">
        <v>3.1189999999999998E-3</v>
      </c>
      <c r="C443">
        <v>3.1849999999999999E-3</v>
      </c>
      <c r="D443">
        <v>3.0609999999999999E-3</v>
      </c>
      <c r="E443">
        <v>3.1220000000000002E-3</v>
      </c>
      <c r="F443">
        <v>7761635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-1.6129032258059665E-2</v>
      </c>
      <c r="Q443">
        <f t="shared" si="975"/>
        <v>-125187.66129028493</v>
      </c>
      <c r="R443">
        <f t="shared" si="976"/>
        <v>-2483067125.1610093</v>
      </c>
      <c r="S443">
        <f t="shared" si="977"/>
        <v>-24830.671251610092</v>
      </c>
      <c r="T443">
        <f t="shared" si="978"/>
        <v>-24.830671251610092</v>
      </c>
    </row>
    <row r="444" spans="1:20" x14ac:dyDescent="0.25">
      <c r="A444" s="5">
        <v>44146</v>
      </c>
      <c r="B444">
        <v>3.2070000000000002E-3</v>
      </c>
      <c r="C444">
        <v>3.3400000000000001E-3</v>
      </c>
      <c r="D444">
        <v>3.0460000000000001E-3</v>
      </c>
      <c r="E444">
        <v>3.1389999999999999E-3</v>
      </c>
      <c r="F444">
        <v>31138368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-0.36734693877551178</v>
      </c>
      <c r="Q444">
        <f t="shared" si="975"/>
        <v>-11438584.163265355</v>
      </c>
      <c r="R444">
        <f t="shared" si="976"/>
        <v>-2482941937.4997191</v>
      </c>
      <c r="S444">
        <f t="shared" si="977"/>
        <v>-24829.419374997193</v>
      </c>
      <c r="T444">
        <f t="shared" si="978"/>
        <v>-24.829419374997194</v>
      </c>
    </row>
    <row r="445" spans="1:20" x14ac:dyDescent="0.25">
      <c r="A445" s="5">
        <v>44145</v>
      </c>
      <c r="B445">
        <v>3.1359999999999999E-3</v>
      </c>
      <c r="C445">
        <v>3.32E-3</v>
      </c>
      <c r="D445">
        <v>3.1110000000000001E-3</v>
      </c>
      <c r="E445">
        <v>3.209E-3</v>
      </c>
      <c r="F445">
        <v>41029440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-6.2200956937799007E-2</v>
      </c>
      <c r="Q445">
        <f t="shared" si="975"/>
        <v>-2552070.4306220082</v>
      </c>
      <c r="R445">
        <f t="shared" si="976"/>
        <v>-2471503353.3364539</v>
      </c>
      <c r="S445">
        <f t="shared" si="977"/>
        <v>-24715.033533364538</v>
      </c>
      <c r="T445">
        <f t="shared" si="978"/>
        <v>-24.715033533364537</v>
      </c>
    </row>
    <row r="446" spans="1:20" x14ac:dyDescent="0.25">
      <c r="A446" s="5">
        <v>44144</v>
      </c>
      <c r="B446">
        <v>3.2320000000000001E-3</v>
      </c>
      <c r="C446">
        <v>3.2720000000000002E-3</v>
      </c>
      <c r="D446">
        <v>3.0070000000000001E-3</v>
      </c>
      <c r="E446">
        <v>3.137E-3</v>
      </c>
      <c r="F446">
        <v>22122966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-1.886792452830275E-2</v>
      </c>
      <c r="Q446">
        <f t="shared" si="975"/>
        <v>-417414.45283020777</v>
      </c>
      <c r="R446">
        <f t="shared" si="976"/>
        <v>-2468951282.9058318</v>
      </c>
      <c r="S446">
        <f t="shared" si="977"/>
        <v>-24689.51282905832</v>
      </c>
      <c r="T446">
        <f t="shared" si="978"/>
        <v>-24.689512829058319</v>
      </c>
    </row>
    <row r="447" spans="1:20" x14ac:dyDescent="0.25">
      <c r="A447" s="5">
        <v>44143</v>
      </c>
      <c r="B447">
        <v>2.9870000000000001E-3</v>
      </c>
      <c r="C447">
        <v>3.3990000000000001E-3</v>
      </c>
      <c r="D447">
        <v>2.9870000000000001E-3</v>
      </c>
      <c r="E447">
        <v>3.1800000000000001E-3</v>
      </c>
      <c r="F447">
        <v>32926431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-6.3106796116504799E-2</v>
      </c>
      <c r="Q447">
        <f t="shared" si="975"/>
        <v>-2077881.5679611631</v>
      </c>
      <c r="R447">
        <f t="shared" si="976"/>
        <v>-2468533868.4530015</v>
      </c>
      <c r="S447">
        <f t="shared" si="977"/>
        <v>-24685.338684530016</v>
      </c>
      <c r="T447">
        <f t="shared" si="978"/>
        <v>-24.685338684530016</v>
      </c>
    </row>
    <row r="448" spans="1:20" x14ac:dyDescent="0.25">
      <c r="A448" s="5">
        <v>44142</v>
      </c>
      <c r="B448">
        <v>3.2940000000000001E-3</v>
      </c>
      <c r="C448">
        <v>3.4849999999999998E-3</v>
      </c>
      <c r="D448">
        <v>2.8159999999999999E-3</v>
      </c>
      <c r="E448">
        <v>2.9780000000000002E-3</v>
      </c>
      <c r="F448">
        <v>89310573</v>
      </c>
      <c r="G448">
        <v>0</v>
      </c>
      <c r="L448" t="s">
        <v>7</v>
      </c>
      <c r="M448" t="s">
        <v>7</v>
      </c>
      <c r="N448" t="s">
        <v>7</v>
      </c>
      <c r="P448">
        <f t="shared" si="974"/>
        <v>-0.51569506726457315</v>
      </c>
      <c r="Q448">
        <f t="shared" si="975"/>
        <v>-46057021.950672567</v>
      </c>
      <c r="R448">
        <f t="shared" si="976"/>
        <v>-2466455986.8850403</v>
      </c>
      <c r="S448">
        <f t="shared" si="977"/>
        <v>-24664.559868850403</v>
      </c>
      <c r="T448">
        <f t="shared" si="978"/>
        <v>-24.664559868850404</v>
      </c>
    </row>
    <row r="449" spans="1:20" x14ac:dyDescent="0.25">
      <c r="A449" s="5">
        <v>44141</v>
      </c>
      <c r="B449">
        <v>2.9859999999999999E-3</v>
      </c>
      <c r="C449">
        <v>3.5999999999999999E-3</v>
      </c>
      <c r="D449">
        <v>2.8839999999999998E-3</v>
      </c>
      <c r="E449">
        <v>3.29E-3</v>
      </c>
      <c r="F449">
        <v>358180777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0.13407821229050301</v>
      </c>
      <c r="Q449">
        <f t="shared" si="975"/>
        <v>48024238.256983317</v>
      </c>
      <c r="R449">
        <f t="shared" si="976"/>
        <v>-2420398964.9343677</v>
      </c>
      <c r="S449">
        <f t="shared" si="977"/>
        <v>-24203.989649343675</v>
      </c>
      <c r="T449">
        <f t="shared" si="978"/>
        <v>-24.203989649343676</v>
      </c>
    </row>
    <row r="450" spans="1:20" x14ac:dyDescent="0.25">
      <c r="A450" s="5">
        <v>44140</v>
      </c>
      <c r="B450">
        <v>2.934E-3</v>
      </c>
      <c r="C450">
        <v>3.0899999999999999E-3</v>
      </c>
      <c r="D450">
        <v>2.8379999999999998E-3</v>
      </c>
      <c r="E450">
        <v>2.9640000000000001E-3</v>
      </c>
      <c r="F450">
        <v>35828082</v>
      </c>
      <c r="G450">
        <v>0</v>
      </c>
      <c r="L450" t="s">
        <v>8</v>
      </c>
      <c r="M450" t="s">
        <v>7</v>
      </c>
      <c r="N450" t="s">
        <v>7</v>
      </c>
      <c r="P450">
        <f t="shared" si="974"/>
        <v>1.7209558293420701E-15</v>
      </c>
      <c r="Q450">
        <f t="shared" si="975"/>
        <v>6.165854657204569E-8</v>
      </c>
      <c r="R450">
        <f t="shared" si="976"/>
        <v>-2468423203.1913509</v>
      </c>
      <c r="S450">
        <f t="shared" si="977"/>
        <v>-24684.232031913511</v>
      </c>
      <c r="T450">
        <f t="shared" si="978"/>
        <v>-24.68423203191351</v>
      </c>
    </row>
    <row r="451" spans="1:20" x14ac:dyDescent="0.25">
      <c r="A451" s="5">
        <v>44139</v>
      </c>
      <c r="B451">
        <v>2.9510000000000001E-3</v>
      </c>
      <c r="C451">
        <v>3.088E-3</v>
      </c>
      <c r="D451">
        <v>2.725E-3</v>
      </c>
      <c r="E451">
        <v>2.9450000000000001E-3</v>
      </c>
      <c r="F451">
        <v>43479897</v>
      </c>
      <c r="G451">
        <v>0</v>
      </c>
      <c r="L451" t="s">
        <v>7</v>
      </c>
      <c r="M451" t="s">
        <v>7</v>
      </c>
      <c r="N451" t="s">
        <v>7</v>
      </c>
      <c r="P451">
        <f t="shared" si="974"/>
        <v>0.21212121212121277</v>
      </c>
      <c r="Q451">
        <f t="shared" si="975"/>
        <v>9223008.454545483</v>
      </c>
      <c r="R451">
        <f t="shared" si="976"/>
        <v>-2468423203.1913509</v>
      </c>
      <c r="S451">
        <f t="shared" si="977"/>
        <v>-24684.232031913511</v>
      </c>
      <c r="T451">
        <f t="shared" si="978"/>
        <v>-24.68423203191351</v>
      </c>
    </row>
    <row r="452" spans="1:20" x14ac:dyDescent="0.25">
      <c r="A452" s="5">
        <v>44138</v>
      </c>
      <c r="B452">
        <v>3.15E-3</v>
      </c>
      <c r="C452">
        <v>3.2360000000000002E-3</v>
      </c>
      <c r="D452">
        <v>2.928E-3</v>
      </c>
      <c r="E452">
        <v>2.9320000000000001E-3</v>
      </c>
      <c r="F452">
        <v>67123367</v>
      </c>
      <c r="G452">
        <v>0</v>
      </c>
      <c r="L452" t="s">
        <v>7</v>
      </c>
      <c r="M452" t="s">
        <v>7</v>
      </c>
      <c r="N452" t="s">
        <v>7</v>
      </c>
      <c r="P452">
        <f t="shared" si="974"/>
        <v>-0.97402597402597335</v>
      </c>
      <c r="Q452">
        <f t="shared" si="975"/>
        <v>-65379902.922077879</v>
      </c>
      <c r="R452">
        <f t="shared" si="976"/>
        <v>-2477646211.6458964</v>
      </c>
      <c r="S452">
        <f t="shared" si="977"/>
        <v>-24776.462116458963</v>
      </c>
      <c r="T452">
        <f t="shared" si="978"/>
        <v>-24.776462116458962</v>
      </c>
    </row>
    <row r="453" spans="1:20" x14ac:dyDescent="0.25">
      <c r="A453" s="5">
        <v>44137</v>
      </c>
      <c r="B453">
        <v>3.2369999999999999E-3</v>
      </c>
      <c r="C453">
        <v>3.271E-3</v>
      </c>
      <c r="D453">
        <v>3.0639999999999999E-3</v>
      </c>
      <c r="E453">
        <v>3.1640000000000001E-3</v>
      </c>
      <c r="F453">
        <v>14551134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-3.3816425120771126E-2</v>
      </c>
      <c r="Q453">
        <f t="shared" si="975"/>
        <v>-492067.33333330683</v>
      </c>
      <c r="R453">
        <f t="shared" si="976"/>
        <v>-2412266308.7238188</v>
      </c>
      <c r="S453">
        <f t="shared" si="977"/>
        <v>-24122.663087238187</v>
      </c>
      <c r="T453">
        <f t="shared" si="978"/>
        <v>-24.122663087238188</v>
      </c>
    </row>
    <row r="454" spans="1:20" x14ac:dyDescent="0.25">
      <c r="A454" s="5">
        <v>44136</v>
      </c>
      <c r="B454">
        <v>3.2529999999999998E-3</v>
      </c>
      <c r="C454">
        <v>3.3609999999999998E-3</v>
      </c>
      <c r="D454">
        <v>3.2000000000000002E-3</v>
      </c>
      <c r="E454">
        <v>3.258E-3</v>
      </c>
      <c r="F454">
        <v>12932568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-0.27950310559006203</v>
      </c>
      <c r="Q454">
        <f t="shared" ref="Q454:Q517" si="980">F454*P454</f>
        <v>-3614692.9192546573</v>
      </c>
      <c r="R454">
        <f t="shared" ref="R454:R517" si="981">R455+Q454</f>
        <v>-2411774241.3904853</v>
      </c>
      <c r="S454">
        <f t="shared" ref="S454:S517" si="982">R454/100000</f>
        <v>-24117.742413904853</v>
      </c>
      <c r="T454">
        <f t="shared" ref="T454:T517" si="983">S454/1000</f>
        <v>-24.117742413904853</v>
      </c>
    </row>
    <row r="455" spans="1:20" x14ac:dyDescent="0.25">
      <c r="A455" s="5">
        <v>44135</v>
      </c>
      <c r="B455">
        <v>3.1749999999999999E-3</v>
      </c>
      <c r="C455">
        <v>3.3779999999999999E-3</v>
      </c>
      <c r="D455">
        <v>3.1050000000000001E-3</v>
      </c>
      <c r="E455">
        <v>3.251E-3</v>
      </c>
      <c r="F455">
        <v>36371110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6.959706959706935E-2</v>
      </c>
      <c r="Q455">
        <f t="shared" si="980"/>
        <v>2531322.673992665</v>
      </c>
      <c r="R455">
        <f t="shared" si="981"/>
        <v>-2408159548.4712305</v>
      </c>
      <c r="S455">
        <f t="shared" si="982"/>
        <v>-24081.595484712307</v>
      </c>
      <c r="T455">
        <f t="shared" si="983"/>
        <v>-24.081595484712306</v>
      </c>
    </row>
    <row r="456" spans="1:20" x14ac:dyDescent="0.25">
      <c r="A456" s="5">
        <v>44134</v>
      </c>
      <c r="B456">
        <v>2.9819999999999998E-3</v>
      </c>
      <c r="C456">
        <v>3.3019999999999998E-3</v>
      </c>
      <c r="D456">
        <v>2.9199999999999999E-3</v>
      </c>
      <c r="E456">
        <v>3.1700000000000001E-3</v>
      </c>
      <c r="F456">
        <v>27658514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0.30890052356021069</v>
      </c>
      <c r="Q456">
        <f t="shared" si="980"/>
        <v>8543729.4554974176</v>
      </c>
      <c r="R456">
        <f t="shared" si="981"/>
        <v>-2410690871.1452231</v>
      </c>
      <c r="S456">
        <f t="shared" si="982"/>
        <v>-24106.90871145223</v>
      </c>
      <c r="T456">
        <f t="shared" si="983"/>
        <v>-24.106908711452231</v>
      </c>
    </row>
    <row r="457" spans="1:20" x14ac:dyDescent="0.25">
      <c r="A457" s="5">
        <v>44133</v>
      </c>
      <c r="B457">
        <v>3.2729999999999999E-3</v>
      </c>
      <c r="C457">
        <v>3.3999999999999998E-3</v>
      </c>
      <c r="D457">
        <v>2.9250000000000001E-3</v>
      </c>
      <c r="E457">
        <v>2.9680000000000002E-3</v>
      </c>
      <c r="F457">
        <v>71509841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-0.8189473684210522</v>
      </c>
      <c r="Q457">
        <f t="shared" si="980"/>
        <v>-58562796.103157863</v>
      </c>
      <c r="R457">
        <f t="shared" si="981"/>
        <v>-2419234600.6007204</v>
      </c>
      <c r="S457">
        <f t="shared" si="982"/>
        <v>-24192.346006007203</v>
      </c>
      <c r="T457">
        <f t="shared" si="983"/>
        <v>-24.192346006007202</v>
      </c>
    </row>
    <row r="458" spans="1:20" x14ac:dyDescent="0.25">
      <c r="A458" s="5">
        <v>44132</v>
      </c>
      <c r="B458">
        <v>3.6840000000000002E-3</v>
      </c>
      <c r="C458">
        <v>4.0990000000000002E-3</v>
      </c>
      <c r="D458">
        <v>3.14E-3</v>
      </c>
      <c r="E458">
        <v>3.2750000000000001E-3</v>
      </c>
      <c r="F458">
        <v>252616723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-0.71845672575599562</v>
      </c>
      <c r="Q458">
        <f t="shared" si="980"/>
        <v>-181494183.6777893</v>
      </c>
      <c r="R458">
        <f t="shared" si="981"/>
        <v>-2360671804.4975624</v>
      </c>
      <c r="S458">
        <f t="shared" si="982"/>
        <v>-23606.718044975623</v>
      </c>
      <c r="T458">
        <f t="shared" si="983"/>
        <v>-23.606718044975622</v>
      </c>
    </row>
    <row r="459" spans="1:20" x14ac:dyDescent="0.25">
      <c r="A459" s="5">
        <v>44131</v>
      </c>
      <c r="B459">
        <v>3.4150000000000001E-3</v>
      </c>
      <c r="C459">
        <v>3.7659999999999998E-3</v>
      </c>
      <c r="D459">
        <v>3.3E-3</v>
      </c>
      <c r="E459">
        <v>3.6939999999999998E-3</v>
      </c>
      <c r="F459">
        <v>122177517</v>
      </c>
      <c r="G459">
        <v>0</v>
      </c>
      <c r="L459" t="s">
        <v>7</v>
      </c>
      <c r="M459" t="s">
        <v>7</v>
      </c>
      <c r="N459" t="s">
        <v>8</v>
      </c>
      <c r="P459">
        <f t="shared" si="979"/>
        <v>0.69098712446351918</v>
      </c>
      <c r="Q459">
        <f t="shared" si="980"/>
        <v>84423091.145922735</v>
      </c>
      <c r="R459">
        <f t="shared" si="981"/>
        <v>-2179177620.8197732</v>
      </c>
      <c r="S459">
        <f t="shared" si="982"/>
        <v>-21791.776208197731</v>
      </c>
      <c r="T459">
        <f t="shared" si="983"/>
        <v>-21.791776208197732</v>
      </c>
    </row>
    <row r="460" spans="1:20" x14ac:dyDescent="0.25">
      <c r="A460" s="5">
        <v>44130</v>
      </c>
      <c r="B460">
        <v>4.0619999999999996E-3</v>
      </c>
      <c r="C460">
        <v>4.0660000000000002E-3</v>
      </c>
      <c r="D460">
        <v>3.3570000000000002E-3</v>
      </c>
      <c r="E460">
        <v>3.4139999999999999E-3</v>
      </c>
      <c r="F460">
        <v>162082076</v>
      </c>
      <c r="G460">
        <v>0</v>
      </c>
      <c r="L460" t="s">
        <v>7</v>
      </c>
      <c r="M460" t="s">
        <v>7</v>
      </c>
      <c r="N460" t="s">
        <v>8</v>
      </c>
      <c r="P460">
        <f t="shared" si="979"/>
        <v>-0.8392101551480966</v>
      </c>
      <c r="Q460">
        <f t="shared" si="980"/>
        <v>-136020924.14668557</v>
      </c>
      <c r="R460">
        <f t="shared" si="981"/>
        <v>-2263600711.9656959</v>
      </c>
      <c r="S460">
        <f t="shared" si="982"/>
        <v>-22636.007119656959</v>
      </c>
      <c r="T460">
        <f t="shared" si="983"/>
        <v>-22.636007119656959</v>
      </c>
    </row>
    <row r="461" spans="1:20" x14ac:dyDescent="0.25">
      <c r="A461" s="5">
        <v>44129</v>
      </c>
      <c r="B461">
        <v>4.2579999999999996E-3</v>
      </c>
      <c r="C461">
        <v>4.431E-3</v>
      </c>
      <c r="D461">
        <v>3.9880000000000002E-3</v>
      </c>
      <c r="E461">
        <v>4.0619999999999996E-3</v>
      </c>
      <c r="F461">
        <v>82012688</v>
      </c>
      <c r="G461">
        <v>0</v>
      </c>
      <c r="L461" t="s">
        <v>7</v>
      </c>
      <c r="M461" t="s">
        <v>8</v>
      </c>
      <c r="N461" t="s">
        <v>8</v>
      </c>
      <c r="P461">
        <f t="shared" si="979"/>
        <v>-0.66591422121896415</v>
      </c>
      <c r="Q461">
        <f t="shared" si="980"/>
        <v>-54613415.259593889</v>
      </c>
      <c r="R461">
        <f t="shared" si="981"/>
        <v>-2127579787.8190105</v>
      </c>
      <c r="S461">
        <f t="shared" si="982"/>
        <v>-21275.797878190104</v>
      </c>
      <c r="T461">
        <f t="shared" si="983"/>
        <v>-21.275797878190104</v>
      </c>
    </row>
    <row r="462" spans="1:20" x14ac:dyDescent="0.25">
      <c r="A462" s="5">
        <v>44128</v>
      </c>
      <c r="B462">
        <v>4.3610000000000003E-3</v>
      </c>
      <c r="C462">
        <v>4.6600000000000001E-3</v>
      </c>
      <c r="D462">
        <v>4.0400000000000002E-3</v>
      </c>
      <c r="E462">
        <v>4.2560000000000002E-3</v>
      </c>
      <c r="F462">
        <v>152201553</v>
      </c>
      <c r="G462">
        <v>0</v>
      </c>
      <c r="L462" t="s">
        <v>8</v>
      </c>
      <c r="M462" t="s">
        <v>8</v>
      </c>
      <c r="N462" t="s">
        <v>8</v>
      </c>
      <c r="P462">
        <f t="shared" si="979"/>
        <v>-0.30322580645161262</v>
      </c>
      <c r="Q462">
        <f t="shared" si="980"/>
        <v>-46151438.651612863</v>
      </c>
      <c r="R462">
        <f t="shared" si="981"/>
        <v>-2072966372.5594165</v>
      </c>
      <c r="S462">
        <f t="shared" si="982"/>
        <v>-20729.663725594164</v>
      </c>
      <c r="T462">
        <f t="shared" si="983"/>
        <v>-20.729663725594165</v>
      </c>
    </row>
    <row r="463" spans="1:20" x14ac:dyDescent="0.25">
      <c r="A463" s="5">
        <v>44127</v>
      </c>
      <c r="B463">
        <v>3.9090000000000001E-3</v>
      </c>
      <c r="C463">
        <v>4.4390000000000002E-3</v>
      </c>
      <c r="D463">
        <v>3.8700000000000002E-3</v>
      </c>
      <c r="E463">
        <v>4.3600000000000002E-3</v>
      </c>
      <c r="F463">
        <v>197824839</v>
      </c>
      <c r="G463">
        <v>0</v>
      </c>
      <c r="L463" t="s">
        <v>8</v>
      </c>
      <c r="M463" t="s">
        <v>8</v>
      </c>
      <c r="N463" t="s">
        <v>8</v>
      </c>
      <c r="P463">
        <f t="shared" si="979"/>
        <v>0.72231985940246024</v>
      </c>
      <c r="Q463">
        <f t="shared" si="980"/>
        <v>142892809.89279434</v>
      </c>
      <c r="R463">
        <f t="shared" si="981"/>
        <v>-2026814933.9078038</v>
      </c>
      <c r="S463">
        <f t="shared" si="982"/>
        <v>-20268.149339078038</v>
      </c>
      <c r="T463">
        <f t="shared" si="983"/>
        <v>-20.26814933907804</v>
      </c>
    </row>
    <row r="464" spans="1:20" x14ac:dyDescent="0.25">
      <c r="A464" s="5">
        <v>44126</v>
      </c>
      <c r="B464">
        <v>4.1089999999999998E-3</v>
      </c>
      <c r="C464">
        <v>4.2249999999999996E-3</v>
      </c>
      <c r="D464">
        <v>3.7989999999999999E-3</v>
      </c>
      <c r="E464">
        <v>3.9090000000000001E-3</v>
      </c>
      <c r="F464">
        <v>69238594</v>
      </c>
      <c r="G464">
        <v>0</v>
      </c>
      <c r="L464" t="s">
        <v>7</v>
      </c>
      <c r="M464" t="s">
        <v>8</v>
      </c>
      <c r="N464" t="s">
        <v>8</v>
      </c>
      <c r="P464">
        <f t="shared" si="979"/>
        <v>-0.48356807511736921</v>
      </c>
      <c r="Q464">
        <f t="shared" si="980"/>
        <v>-33481573.624413028</v>
      </c>
      <c r="R464">
        <f t="shared" si="981"/>
        <v>-2169707743.8005981</v>
      </c>
      <c r="S464">
        <f t="shared" si="982"/>
        <v>-21697.077438005981</v>
      </c>
      <c r="T464">
        <f t="shared" si="983"/>
        <v>-21.69707743800598</v>
      </c>
    </row>
    <row r="465" spans="1:20" x14ac:dyDescent="0.25">
      <c r="A465" s="5">
        <v>44125</v>
      </c>
      <c r="B465">
        <v>3.8509999999999998E-3</v>
      </c>
      <c r="C465">
        <v>4.2490000000000002E-3</v>
      </c>
      <c r="D465">
        <v>3.7299999999999998E-3</v>
      </c>
      <c r="E465">
        <v>4.1130000000000003E-3</v>
      </c>
      <c r="F465">
        <v>134612530</v>
      </c>
      <c r="G465">
        <v>0</v>
      </c>
      <c r="L465" t="s">
        <v>8</v>
      </c>
      <c r="M465" t="s">
        <v>8</v>
      </c>
      <c r="N465" t="s">
        <v>8</v>
      </c>
      <c r="P465">
        <f t="shared" si="979"/>
        <v>0.47591522157996247</v>
      </c>
      <c r="Q465">
        <f t="shared" si="980"/>
        <v>64064152.042389348</v>
      </c>
      <c r="R465">
        <f t="shared" si="981"/>
        <v>-2136226170.1761851</v>
      </c>
      <c r="S465">
        <f t="shared" si="982"/>
        <v>-21362.26170176185</v>
      </c>
      <c r="T465">
        <f t="shared" si="983"/>
        <v>-21.362261701761849</v>
      </c>
    </row>
    <row r="466" spans="1:20" x14ac:dyDescent="0.25">
      <c r="A466" s="5">
        <v>44124</v>
      </c>
      <c r="B466">
        <v>3.7850000000000002E-3</v>
      </c>
      <c r="C466">
        <v>3.9750000000000002E-3</v>
      </c>
      <c r="D466">
        <v>3.7469999999999999E-3</v>
      </c>
      <c r="E466">
        <v>3.8549999999999999E-3</v>
      </c>
      <c r="F466">
        <v>80671660</v>
      </c>
      <c r="G466">
        <v>0</v>
      </c>
      <c r="L466" t="s">
        <v>7</v>
      </c>
      <c r="M466" t="s">
        <v>8</v>
      </c>
      <c r="N466" t="s">
        <v>8</v>
      </c>
      <c r="P466">
        <f t="shared" si="979"/>
        <v>-5.2631578947369625E-2</v>
      </c>
      <c r="Q466">
        <f t="shared" si="980"/>
        <v>-4245876.8421053607</v>
      </c>
      <c r="R466">
        <f t="shared" si="981"/>
        <v>-2200290322.2185745</v>
      </c>
      <c r="S466">
        <f t="shared" si="982"/>
        <v>-22002.903222185745</v>
      </c>
      <c r="T466">
        <f t="shared" si="983"/>
        <v>-22.002903222185743</v>
      </c>
    </row>
    <row r="467" spans="1:20" x14ac:dyDescent="0.25">
      <c r="A467" s="5">
        <v>44123</v>
      </c>
      <c r="B467">
        <v>3.7929999999999999E-3</v>
      </c>
      <c r="C467">
        <v>3.8500000000000001E-3</v>
      </c>
      <c r="D467">
        <v>3.7000000000000002E-3</v>
      </c>
      <c r="E467">
        <v>3.784E-3</v>
      </c>
      <c r="F467">
        <v>54011171</v>
      </c>
      <c r="G467">
        <v>0</v>
      </c>
      <c r="L467" t="s">
        <v>7</v>
      </c>
      <c r="M467" t="s">
        <v>8</v>
      </c>
      <c r="N467" t="s">
        <v>8</v>
      </c>
      <c r="P467">
        <f t="shared" si="979"/>
        <v>0.11999999999999861</v>
      </c>
      <c r="Q467">
        <f t="shared" si="980"/>
        <v>6481340.519999925</v>
      </c>
      <c r="R467">
        <f t="shared" si="981"/>
        <v>-2196044445.3764691</v>
      </c>
      <c r="S467">
        <f t="shared" si="982"/>
        <v>-21960.444453764692</v>
      </c>
      <c r="T467">
        <f t="shared" si="983"/>
        <v>-21.960444453764691</v>
      </c>
    </row>
    <row r="468" spans="1:20" x14ac:dyDescent="0.25">
      <c r="A468" s="5">
        <v>44122</v>
      </c>
      <c r="B468">
        <v>3.8600000000000001E-3</v>
      </c>
      <c r="C468">
        <v>4.0109999999999998E-3</v>
      </c>
      <c r="D468">
        <v>3.7590000000000002E-3</v>
      </c>
      <c r="E468">
        <v>3.7940000000000001E-3</v>
      </c>
      <c r="F468">
        <v>55432804</v>
      </c>
      <c r="G468">
        <v>0</v>
      </c>
      <c r="L468" t="s">
        <v>7</v>
      </c>
      <c r="M468" t="s">
        <v>8</v>
      </c>
      <c r="N468" t="s">
        <v>8</v>
      </c>
      <c r="P468">
        <f t="shared" si="979"/>
        <v>-0.72222222222222276</v>
      </c>
      <c r="Q468">
        <f t="shared" si="980"/>
        <v>-40034802.888888918</v>
      </c>
      <c r="R468">
        <f t="shared" si="981"/>
        <v>-2202525785.8964691</v>
      </c>
      <c r="S468">
        <f t="shared" si="982"/>
        <v>-22025.257858964691</v>
      </c>
      <c r="T468">
        <f t="shared" si="983"/>
        <v>-22.025257858964689</v>
      </c>
    </row>
    <row r="469" spans="1:20" x14ac:dyDescent="0.25">
      <c r="A469" s="5">
        <v>44121</v>
      </c>
      <c r="B469">
        <v>3.8609999999999998E-3</v>
      </c>
      <c r="C469">
        <v>3.9960000000000004E-3</v>
      </c>
      <c r="D469">
        <v>3.8449999999999999E-3</v>
      </c>
      <c r="E469">
        <v>3.862E-3</v>
      </c>
      <c r="F469">
        <v>31817548</v>
      </c>
      <c r="G469">
        <v>0</v>
      </c>
      <c r="L469" t="s">
        <v>7</v>
      </c>
      <c r="M469" t="s">
        <v>8</v>
      </c>
      <c r="N469" t="s">
        <v>8</v>
      </c>
      <c r="P469">
        <f t="shared" si="979"/>
        <v>-0.77483443708609234</v>
      </c>
      <c r="Q469">
        <f t="shared" si="980"/>
        <v>-24653331.894039724</v>
      </c>
      <c r="R469">
        <f t="shared" si="981"/>
        <v>-2162490983.0075803</v>
      </c>
      <c r="S469">
        <f t="shared" si="982"/>
        <v>-21624.909830075801</v>
      </c>
      <c r="T469">
        <f t="shared" si="983"/>
        <v>-21.624909830075801</v>
      </c>
    </row>
    <row r="470" spans="1:20" x14ac:dyDescent="0.25">
      <c r="A470" s="5">
        <v>44120</v>
      </c>
      <c r="B470">
        <v>4.1330000000000004E-3</v>
      </c>
      <c r="C470">
        <v>4.2519999999999997E-3</v>
      </c>
      <c r="D470">
        <v>3.7989999999999999E-3</v>
      </c>
      <c r="E470">
        <v>3.8609999999999998E-3</v>
      </c>
      <c r="F470">
        <v>63183258</v>
      </c>
      <c r="G470">
        <v>0</v>
      </c>
      <c r="L470" t="s">
        <v>8</v>
      </c>
      <c r="M470" t="s">
        <v>8</v>
      </c>
      <c r="N470" t="s">
        <v>8</v>
      </c>
      <c r="P470">
        <f t="shared" si="979"/>
        <v>-0.72626931567328912</v>
      </c>
      <c r="Q470">
        <f t="shared" si="980"/>
        <v>-45888061.549668871</v>
      </c>
      <c r="R470">
        <f t="shared" si="981"/>
        <v>-2137837651.1135406</v>
      </c>
      <c r="S470">
        <f t="shared" si="982"/>
        <v>-21378.376511135408</v>
      </c>
      <c r="T470">
        <f t="shared" si="983"/>
        <v>-21.378376511135407</v>
      </c>
    </row>
    <row r="471" spans="1:20" x14ac:dyDescent="0.25">
      <c r="A471" s="5">
        <v>44119</v>
      </c>
      <c r="B471">
        <v>4.0549999999999996E-3</v>
      </c>
      <c r="C471">
        <v>4.1999999999999997E-3</v>
      </c>
      <c r="D471">
        <v>3.9909999999999998E-3</v>
      </c>
      <c r="E471">
        <v>4.1330000000000004E-3</v>
      </c>
      <c r="F471">
        <v>42065193</v>
      </c>
      <c r="G471">
        <v>0</v>
      </c>
      <c r="L471" t="s">
        <v>8</v>
      </c>
      <c r="M471" t="s">
        <v>8</v>
      </c>
      <c r="N471" t="s">
        <v>8</v>
      </c>
      <c r="P471">
        <f t="shared" si="979"/>
        <v>0.35885167464115447</v>
      </c>
      <c r="Q471">
        <f t="shared" si="980"/>
        <v>15095164.952153368</v>
      </c>
      <c r="R471">
        <f t="shared" si="981"/>
        <v>-2091949589.5638719</v>
      </c>
      <c r="S471">
        <f t="shared" si="982"/>
        <v>-20919.49589563872</v>
      </c>
      <c r="T471">
        <f t="shared" si="983"/>
        <v>-20.919495895638718</v>
      </c>
    </row>
    <row r="472" spans="1:20" x14ac:dyDescent="0.25">
      <c r="A472" s="5">
        <v>44118</v>
      </c>
      <c r="B472">
        <v>4.1180000000000001E-3</v>
      </c>
      <c r="C472">
        <v>4.202E-3</v>
      </c>
      <c r="D472">
        <v>3.862E-3</v>
      </c>
      <c r="E472">
        <v>4.0410000000000003E-3</v>
      </c>
      <c r="F472">
        <v>81839331</v>
      </c>
      <c r="G472">
        <v>0</v>
      </c>
      <c r="L472" t="s">
        <v>7</v>
      </c>
      <c r="M472" t="s">
        <v>8</v>
      </c>
      <c r="N472" t="s">
        <v>8</v>
      </c>
      <c r="P472">
        <f t="shared" si="979"/>
        <v>5.2941176470590157E-2</v>
      </c>
      <c r="Q472">
        <f t="shared" si="980"/>
        <v>4332670.46470604</v>
      </c>
      <c r="R472">
        <f t="shared" si="981"/>
        <v>-2107044754.5160253</v>
      </c>
      <c r="S472">
        <f t="shared" si="982"/>
        <v>-21070.447545160252</v>
      </c>
      <c r="T472">
        <f t="shared" si="983"/>
        <v>-21.070447545160253</v>
      </c>
    </row>
    <row r="473" spans="1:20" x14ac:dyDescent="0.25">
      <c r="A473" s="5">
        <v>44117</v>
      </c>
      <c r="B473">
        <v>3.6939999999999998E-3</v>
      </c>
      <c r="C473">
        <v>4.4120000000000001E-3</v>
      </c>
      <c r="D473">
        <v>3.6579999999999998E-3</v>
      </c>
      <c r="E473">
        <v>4.0899999999999999E-3</v>
      </c>
      <c r="F473">
        <v>160728726</v>
      </c>
      <c r="G473">
        <v>0</v>
      </c>
      <c r="L473" t="s">
        <v>8</v>
      </c>
      <c r="M473" t="s">
        <v>8</v>
      </c>
      <c r="N473" t="s">
        <v>8</v>
      </c>
      <c r="P473">
        <f t="shared" si="979"/>
        <v>0.14588859416445599</v>
      </c>
      <c r="Q473">
        <f t="shared" si="980"/>
        <v>23448487.877984047</v>
      </c>
      <c r="R473">
        <f t="shared" si="981"/>
        <v>-2111377424.9807312</v>
      </c>
      <c r="S473">
        <f t="shared" si="982"/>
        <v>-21113.774249807313</v>
      </c>
      <c r="T473">
        <f t="shared" si="983"/>
        <v>-21.113774249807314</v>
      </c>
    </row>
    <row r="474" spans="1:20" x14ac:dyDescent="0.25">
      <c r="A474" s="5">
        <v>44116</v>
      </c>
      <c r="B474">
        <v>3.5500000000000002E-3</v>
      </c>
      <c r="C474">
        <v>3.751E-3</v>
      </c>
      <c r="D474">
        <v>3.5349999999999999E-3</v>
      </c>
      <c r="E474">
        <v>3.6930000000000001E-3</v>
      </c>
      <c r="F474">
        <v>41935143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0.46296296296296408</v>
      </c>
      <c r="Q474">
        <f t="shared" si="980"/>
        <v>19414418.055555601</v>
      </c>
      <c r="R474">
        <f t="shared" si="981"/>
        <v>-2134825912.8587153</v>
      </c>
      <c r="S474">
        <f t="shared" si="982"/>
        <v>-21348.259128587153</v>
      </c>
      <c r="T474">
        <f t="shared" si="983"/>
        <v>-21.348259128587152</v>
      </c>
    </row>
    <row r="475" spans="1:20" x14ac:dyDescent="0.25">
      <c r="A475" s="5">
        <v>44115</v>
      </c>
      <c r="B475">
        <v>3.7209999999999999E-3</v>
      </c>
      <c r="C475">
        <v>3.7750000000000001E-3</v>
      </c>
      <c r="D475">
        <v>3.5249999999999999E-3</v>
      </c>
      <c r="E475">
        <v>3.552E-3</v>
      </c>
      <c r="F475">
        <v>60539800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-0.78399999999999925</v>
      </c>
      <c r="Q475">
        <f t="shared" si="980"/>
        <v>-47463203.199999958</v>
      </c>
      <c r="R475">
        <f t="shared" si="981"/>
        <v>-2154240330.9142709</v>
      </c>
      <c r="S475">
        <f t="shared" si="982"/>
        <v>-21542.403309142708</v>
      </c>
      <c r="T475">
        <f t="shared" si="983"/>
        <v>-21.54240330914271</v>
      </c>
    </row>
    <row r="476" spans="1:20" x14ac:dyDescent="0.25">
      <c r="A476" s="5">
        <v>44114</v>
      </c>
      <c r="B476">
        <v>3.7629999999999999E-3</v>
      </c>
      <c r="C476">
        <v>3.9199999999999999E-3</v>
      </c>
      <c r="D476">
        <v>3.7100000000000002E-3</v>
      </c>
      <c r="E476">
        <v>3.7139999999999999E-3</v>
      </c>
      <c r="F476">
        <v>54963548</v>
      </c>
      <c r="G476">
        <v>0</v>
      </c>
      <c r="L476" t="s">
        <v>8</v>
      </c>
      <c r="M476" t="s">
        <v>7</v>
      </c>
      <c r="N476" t="s">
        <v>8</v>
      </c>
      <c r="P476">
        <f t="shared" si="979"/>
        <v>-0.96190476190476504</v>
      </c>
      <c r="Q476">
        <f t="shared" si="980"/>
        <v>-52869698.552381128</v>
      </c>
      <c r="R476">
        <f t="shared" si="981"/>
        <v>-2106777127.7142708</v>
      </c>
      <c r="S476">
        <f t="shared" si="982"/>
        <v>-21067.771277142707</v>
      </c>
      <c r="T476">
        <f t="shared" si="983"/>
        <v>-21.067771277142707</v>
      </c>
    </row>
    <row r="477" spans="1:20" x14ac:dyDescent="0.25">
      <c r="A477" s="5">
        <v>44113</v>
      </c>
      <c r="B477">
        <v>3.777E-3</v>
      </c>
      <c r="C477">
        <v>3.8939999999999999E-3</v>
      </c>
      <c r="D477">
        <v>3.5509999999999999E-3</v>
      </c>
      <c r="E477">
        <v>3.748E-3</v>
      </c>
      <c r="F477">
        <v>82174341</v>
      </c>
      <c r="G477">
        <v>0</v>
      </c>
      <c r="L477" t="s">
        <v>8</v>
      </c>
      <c r="M477" t="s">
        <v>7</v>
      </c>
      <c r="N477" t="s">
        <v>8</v>
      </c>
      <c r="P477">
        <f t="shared" si="979"/>
        <v>0.14868804664723109</v>
      </c>
      <c r="Q477">
        <f t="shared" si="980"/>
        <v>12218342.247813474</v>
      </c>
      <c r="R477">
        <f t="shared" si="981"/>
        <v>-2053907429.1618898</v>
      </c>
      <c r="S477">
        <f t="shared" si="982"/>
        <v>-20539.074291618897</v>
      </c>
      <c r="T477">
        <f t="shared" si="983"/>
        <v>-20.539074291618899</v>
      </c>
    </row>
    <row r="478" spans="1:20" x14ac:dyDescent="0.25">
      <c r="A478" s="5">
        <v>44112</v>
      </c>
      <c r="B478">
        <v>3.5300000000000002E-3</v>
      </c>
      <c r="C478">
        <v>3.777E-3</v>
      </c>
      <c r="D478">
        <v>3.4320000000000002E-3</v>
      </c>
      <c r="E478">
        <v>3.7759999999999998E-3</v>
      </c>
      <c r="F478">
        <v>121567021</v>
      </c>
      <c r="G478">
        <v>0</v>
      </c>
      <c r="L478" t="s">
        <v>8</v>
      </c>
      <c r="M478" t="s">
        <v>7</v>
      </c>
      <c r="N478" t="s">
        <v>8</v>
      </c>
      <c r="P478">
        <f t="shared" si="979"/>
        <v>0.99420289855072386</v>
      </c>
      <c r="Q478">
        <f t="shared" si="980"/>
        <v>120862284.64637671</v>
      </c>
      <c r="R478">
        <f t="shared" si="981"/>
        <v>-2066125771.4097033</v>
      </c>
      <c r="S478">
        <f t="shared" si="982"/>
        <v>-20661.257714097032</v>
      </c>
      <c r="T478">
        <f t="shared" si="983"/>
        <v>-20.661257714097033</v>
      </c>
    </row>
    <row r="479" spans="1:20" x14ac:dyDescent="0.25">
      <c r="A479" s="5">
        <v>44111</v>
      </c>
      <c r="B479">
        <v>3.4220000000000001E-3</v>
      </c>
      <c r="C479">
        <v>3.5750000000000001E-3</v>
      </c>
      <c r="D479">
        <v>3.3709999999999999E-3</v>
      </c>
      <c r="E479">
        <v>3.5300000000000002E-3</v>
      </c>
      <c r="F479">
        <v>66621041</v>
      </c>
      <c r="G479">
        <v>0</v>
      </c>
      <c r="L479" t="s">
        <v>7</v>
      </c>
      <c r="M479" t="s">
        <v>7</v>
      </c>
      <c r="N479" t="s">
        <v>8</v>
      </c>
      <c r="P479">
        <f t="shared" si="979"/>
        <v>0.55882352941176605</v>
      </c>
      <c r="Q479">
        <f t="shared" si="980"/>
        <v>37229405.264705971</v>
      </c>
      <c r="R479">
        <f t="shared" si="981"/>
        <v>-2186988056.0560799</v>
      </c>
      <c r="S479">
        <f t="shared" si="982"/>
        <v>-21869.880560560799</v>
      </c>
      <c r="T479">
        <f t="shared" si="983"/>
        <v>-21.869880560560798</v>
      </c>
    </row>
    <row r="480" spans="1:20" x14ac:dyDescent="0.25">
      <c r="A480" s="5">
        <v>44110</v>
      </c>
      <c r="B480">
        <v>3.7420000000000001E-3</v>
      </c>
      <c r="C480">
        <v>4.1060000000000003E-3</v>
      </c>
      <c r="D480">
        <v>3.3839999999999999E-3</v>
      </c>
      <c r="E480">
        <v>3.421E-3</v>
      </c>
      <c r="F480">
        <v>77825439</v>
      </c>
      <c r="G480">
        <v>0</v>
      </c>
      <c r="L480" t="s">
        <v>7</v>
      </c>
      <c r="M480" t="s">
        <v>7</v>
      </c>
      <c r="N480" t="s">
        <v>8</v>
      </c>
      <c r="P480">
        <f t="shared" si="979"/>
        <v>-0.89750692520775588</v>
      </c>
      <c r="Q480">
        <f t="shared" si="980"/>
        <v>-69848870.459833771</v>
      </c>
      <c r="R480">
        <f t="shared" si="981"/>
        <v>-2224217461.320786</v>
      </c>
      <c r="S480">
        <f t="shared" si="982"/>
        <v>-22242.174613207859</v>
      </c>
      <c r="T480">
        <f t="shared" si="983"/>
        <v>-22.242174613207858</v>
      </c>
    </row>
    <row r="481" spans="1:20" x14ac:dyDescent="0.25">
      <c r="A481" s="5">
        <v>44109</v>
      </c>
      <c r="B481">
        <v>3.8049999999999998E-3</v>
      </c>
      <c r="C481">
        <v>4.1000000000000003E-3</v>
      </c>
      <c r="D481">
        <v>3.7320000000000001E-3</v>
      </c>
      <c r="E481">
        <v>3.7320000000000001E-3</v>
      </c>
      <c r="F481">
        <v>121369621</v>
      </c>
      <c r="G481">
        <v>0</v>
      </c>
      <c r="L481" t="s">
        <v>8</v>
      </c>
      <c r="M481" t="s">
        <v>8</v>
      </c>
      <c r="N481" t="s">
        <v>8</v>
      </c>
      <c r="P481">
        <f t="shared" si="979"/>
        <v>-1</v>
      </c>
      <c r="Q481">
        <f t="shared" si="980"/>
        <v>-121369621</v>
      </c>
      <c r="R481">
        <f t="shared" si="981"/>
        <v>-2154368590.8609524</v>
      </c>
      <c r="S481">
        <f t="shared" si="982"/>
        <v>-21543.685908609525</v>
      </c>
      <c r="T481">
        <f t="shared" si="983"/>
        <v>-21.543685908609525</v>
      </c>
    </row>
    <row r="482" spans="1:20" x14ac:dyDescent="0.25">
      <c r="A482" s="5">
        <v>44108</v>
      </c>
      <c r="B482">
        <v>3.5279999999999999E-3</v>
      </c>
      <c r="C482">
        <v>3.869E-3</v>
      </c>
      <c r="D482">
        <v>3.5260000000000001E-3</v>
      </c>
      <c r="E482">
        <v>3.8049999999999998E-3</v>
      </c>
      <c r="F482">
        <v>58012971</v>
      </c>
      <c r="G482">
        <v>0</v>
      </c>
      <c r="L482" t="s">
        <v>8</v>
      </c>
      <c r="M482" t="s">
        <v>8</v>
      </c>
      <c r="N482" t="s">
        <v>8</v>
      </c>
      <c r="P482">
        <f t="shared" si="979"/>
        <v>0.62682215743440084</v>
      </c>
      <c r="Q482">
        <f t="shared" si="980"/>
        <v>36363815.641399331</v>
      </c>
      <c r="R482">
        <f t="shared" si="981"/>
        <v>-2032998969.8609521</v>
      </c>
      <c r="S482">
        <f t="shared" si="982"/>
        <v>-20329.989698609523</v>
      </c>
      <c r="T482">
        <f t="shared" si="983"/>
        <v>-20.329989698609523</v>
      </c>
    </row>
    <row r="483" spans="1:20" x14ac:dyDescent="0.25">
      <c r="A483" s="5">
        <v>44107</v>
      </c>
      <c r="B483">
        <v>3.3400000000000001E-3</v>
      </c>
      <c r="C483">
        <v>3.5590000000000001E-3</v>
      </c>
      <c r="D483">
        <v>3.3110000000000001E-3</v>
      </c>
      <c r="E483">
        <v>3.5279999999999999E-3</v>
      </c>
      <c r="F483">
        <v>46054317</v>
      </c>
      <c r="G483">
        <v>0</v>
      </c>
      <c r="L483" t="s">
        <v>8</v>
      </c>
      <c r="M483" t="s">
        <v>7</v>
      </c>
      <c r="N483" t="s">
        <v>8</v>
      </c>
      <c r="P483">
        <f t="shared" si="979"/>
        <v>0.74999999999999822</v>
      </c>
      <c r="Q483">
        <f t="shared" si="980"/>
        <v>34540737.749999918</v>
      </c>
      <c r="R483">
        <f t="shared" si="981"/>
        <v>-2069362785.5023515</v>
      </c>
      <c r="S483">
        <f t="shared" si="982"/>
        <v>-20693.627855023515</v>
      </c>
      <c r="T483">
        <f t="shared" si="983"/>
        <v>-20.693627855023514</v>
      </c>
    </row>
    <row r="484" spans="1:20" x14ac:dyDescent="0.25">
      <c r="A484" s="5">
        <v>44106</v>
      </c>
      <c r="B484">
        <v>3.4199999999999999E-3</v>
      </c>
      <c r="C484">
        <v>3.4789999999999999E-3</v>
      </c>
      <c r="D484">
        <v>3.1250000000000002E-3</v>
      </c>
      <c r="E484">
        <v>3.3400000000000001E-3</v>
      </c>
      <c r="F484">
        <v>68800128</v>
      </c>
      <c r="G484">
        <v>0</v>
      </c>
      <c r="L484" t="s">
        <v>7</v>
      </c>
      <c r="M484" t="s">
        <v>7</v>
      </c>
      <c r="N484" t="s">
        <v>8</v>
      </c>
      <c r="P484">
        <f t="shared" si="979"/>
        <v>0.21468926553672366</v>
      </c>
      <c r="Q484">
        <f t="shared" si="980"/>
        <v>14770648.949152576</v>
      </c>
      <c r="R484">
        <f t="shared" si="981"/>
        <v>-2103903523.2523515</v>
      </c>
      <c r="S484">
        <f t="shared" si="982"/>
        <v>-21039.035232523514</v>
      </c>
      <c r="T484">
        <f t="shared" si="983"/>
        <v>-21.039035232523513</v>
      </c>
    </row>
    <row r="485" spans="1:20" x14ac:dyDescent="0.25">
      <c r="A485" s="5">
        <v>44105</v>
      </c>
      <c r="B485">
        <v>3.7360000000000002E-3</v>
      </c>
      <c r="C485">
        <v>3.8500000000000001E-3</v>
      </c>
      <c r="D485">
        <v>3.2850000000000002E-3</v>
      </c>
      <c r="E485">
        <v>3.4199999999999999E-3</v>
      </c>
      <c r="F485">
        <v>150420339</v>
      </c>
      <c r="G485">
        <v>0</v>
      </c>
      <c r="L485" t="s">
        <v>8</v>
      </c>
      <c r="M485" t="s">
        <v>8</v>
      </c>
      <c r="N485" t="s">
        <v>8</v>
      </c>
      <c r="P485">
        <f t="shared" si="979"/>
        <v>-0.52212389380531077</v>
      </c>
      <c r="Q485">
        <f t="shared" si="980"/>
        <v>-78538053.106194839</v>
      </c>
      <c r="R485">
        <f t="shared" si="981"/>
        <v>-2118674172.201504</v>
      </c>
      <c r="S485">
        <f t="shared" si="982"/>
        <v>-21186.741722015038</v>
      </c>
      <c r="T485">
        <f t="shared" si="983"/>
        <v>-21.186741722015039</v>
      </c>
    </row>
    <row r="486" spans="1:20" x14ac:dyDescent="0.25">
      <c r="A486" s="5">
        <v>44104</v>
      </c>
      <c r="B486">
        <v>3.63E-3</v>
      </c>
      <c r="C486">
        <v>3.754E-3</v>
      </c>
      <c r="D486">
        <v>3.6259999999999999E-3</v>
      </c>
      <c r="E486">
        <v>3.7360000000000002E-3</v>
      </c>
      <c r="F486">
        <v>34154710</v>
      </c>
      <c r="G486">
        <v>0</v>
      </c>
      <c r="L486" t="s">
        <v>8</v>
      </c>
      <c r="M486" t="s">
        <v>8</v>
      </c>
      <c r="N486" t="s">
        <v>8</v>
      </c>
      <c r="P486">
        <f t="shared" si="979"/>
        <v>0.71875000000000344</v>
      </c>
      <c r="Q486">
        <f t="shared" si="980"/>
        <v>24548697.812500119</v>
      </c>
      <c r="R486">
        <f t="shared" si="981"/>
        <v>-2040136119.0953093</v>
      </c>
      <c r="S486">
        <f t="shared" si="982"/>
        <v>-20401.361190953092</v>
      </c>
      <c r="T486">
        <f t="shared" si="983"/>
        <v>-20.401361190953093</v>
      </c>
    </row>
    <row r="487" spans="1:20" x14ac:dyDescent="0.25">
      <c r="A487" s="5">
        <v>44103</v>
      </c>
      <c r="B487">
        <v>3.5490000000000001E-3</v>
      </c>
      <c r="C487">
        <v>3.7799999999999999E-3</v>
      </c>
      <c r="D487">
        <v>3.4970000000000001E-3</v>
      </c>
      <c r="E487">
        <v>3.6259999999999999E-3</v>
      </c>
      <c r="F487">
        <v>99763970</v>
      </c>
      <c r="G487">
        <v>0</v>
      </c>
      <c r="L487" t="s">
        <v>8</v>
      </c>
      <c r="M487" t="s">
        <v>8</v>
      </c>
      <c r="N487" t="s">
        <v>8</v>
      </c>
      <c r="P487">
        <f t="shared" si="979"/>
        <v>-8.8339222614842033E-2</v>
      </c>
      <c r="Q487">
        <f t="shared" si="980"/>
        <v>-8813071.5547704231</v>
      </c>
      <c r="R487">
        <f t="shared" si="981"/>
        <v>-2064684816.9078093</v>
      </c>
      <c r="S487">
        <f t="shared" si="982"/>
        <v>-20646.848169078094</v>
      </c>
      <c r="T487">
        <f t="shared" si="983"/>
        <v>-20.646848169078094</v>
      </c>
    </row>
    <row r="488" spans="1:20" x14ac:dyDescent="0.25">
      <c r="A488" s="5">
        <v>44102</v>
      </c>
      <c r="B488">
        <v>3.4129999999999998E-3</v>
      </c>
      <c r="C488">
        <v>3.5790000000000001E-3</v>
      </c>
      <c r="D488">
        <v>3.3790000000000001E-3</v>
      </c>
      <c r="E488">
        <v>3.5490000000000001E-3</v>
      </c>
      <c r="F488">
        <v>85680237</v>
      </c>
      <c r="G488">
        <v>0</v>
      </c>
      <c r="L488" t="s">
        <v>8</v>
      </c>
      <c r="M488" t="s">
        <v>8</v>
      </c>
      <c r="N488" t="s">
        <v>8</v>
      </c>
      <c r="P488">
        <f t="shared" si="979"/>
        <v>0.6999999999999994</v>
      </c>
      <c r="Q488">
        <f t="shared" si="980"/>
        <v>59976165.899999946</v>
      </c>
      <c r="R488">
        <f t="shared" si="981"/>
        <v>-2055871745.3530388</v>
      </c>
      <c r="S488">
        <f t="shared" si="982"/>
        <v>-20558.717453530389</v>
      </c>
      <c r="T488">
        <f t="shared" si="983"/>
        <v>-20.558717453530388</v>
      </c>
    </row>
    <row r="489" spans="1:20" x14ac:dyDescent="0.25">
      <c r="A489" s="5">
        <v>44101</v>
      </c>
      <c r="B489">
        <v>3.2330000000000002E-3</v>
      </c>
      <c r="C489">
        <v>3.4619999999999998E-3</v>
      </c>
      <c r="D489">
        <v>3.1770000000000001E-3</v>
      </c>
      <c r="E489">
        <v>3.3890000000000001E-3</v>
      </c>
      <c r="F489">
        <v>85784207</v>
      </c>
      <c r="G489">
        <v>0</v>
      </c>
      <c r="L489" t="s">
        <v>7</v>
      </c>
      <c r="M489" t="s">
        <v>8</v>
      </c>
      <c r="N489" t="s">
        <v>8</v>
      </c>
      <c r="P489">
        <f t="shared" si="979"/>
        <v>0.48771929824561544</v>
      </c>
      <c r="Q489">
        <f t="shared" si="980"/>
        <v>41838613.238596611</v>
      </c>
      <c r="R489">
        <f t="shared" si="981"/>
        <v>-2115847911.2530386</v>
      </c>
      <c r="S489">
        <f t="shared" si="982"/>
        <v>-21158.479112530385</v>
      </c>
      <c r="T489">
        <f t="shared" si="983"/>
        <v>-21.158479112530387</v>
      </c>
    </row>
    <row r="490" spans="1:20" x14ac:dyDescent="0.25">
      <c r="A490" s="5">
        <v>44100</v>
      </c>
      <c r="B490">
        <v>3.3479999999999998E-3</v>
      </c>
      <c r="C490">
        <v>3.3869999999999998E-3</v>
      </c>
      <c r="D490">
        <v>3.2079999999999999E-3</v>
      </c>
      <c r="E490">
        <v>3.2169999999999998E-3</v>
      </c>
      <c r="F490">
        <v>72079251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-0.89944134078212401</v>
      </c>
      <c r="Q490">
        <f t="shared" si="980"/>
        <v>-64831058.162011251</v>
      </c>
      <c r="R490">
        <f t="shared" si="981"/>
        <v>-2157686524.4916353</v>
      </c>
      <c r="S490">
        <f t="shared" si="982"/>
        <v>-21576.865244916353</v>
      </c>
      <c r="T490">
        <f t="shared" si="983"/>
        <v>-21.576865244916352</v>
      </c>
    </row>
    <row r="491" spans="1:20" x14ac:dyDescent="0.25">
      <c r="A491" s="5">
        <v>44099</v>
      </c>
      <c r="B491">
        <v>3.47E-3</v>
      </c>
      <c r="C491">
        <v>3.4789999999999999E-3</v>
      </c>
      <c r="D491">
        <v>3.2980000000000002E-3</v>
      </c>
      <c r="E491">
        <v>3.3400000000000001E-3</v>
      </c>
      <c r="F491">
        <v>76016207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-0.53591160220994483</v>
      </c>
      <c r="Q491">
        <f t="shared" si="980"/>
        <v>-40737967.287292823</v>
      </c>
      <c r="R491">
        <f t="shared" si="981"/>
        <v>-2092855466.3296242</v>
      </c>
      <c r="S491">
        <f t="shared" si="982"/>
        <v>-20928.554663296243</v>
      </c>
      <c r="T491">
        <f t="shared" si="983"/>
        <v>-20.928554663296243</v>
      </c>
    </row>
    <row r="492" spans="1:20" x14ac:dyDescent="0.25">
      <c r="A492" s="5">
        <v>44098</v>
      </c>
      <c r="B492">
        <v>3.0669999999999998E-3</v>
      </c>
      <c r="C492">
        <v>3.47E-3</v>
      </c>
      <c r="D492">
        <v>3.0660000000000001E-3</v>
      </c>
      <c r="E492">
        <v>3.4420000000000002E-3</v>
      </c>
      <c r="F492">
        <v>68177697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0.86138613861386226</v>
      </c>
      <c r="Q492">
        <f t="shared" si="980"/>
        <v>58727323.158415899</v>
      </c>
      <c r="R492">
        <f t="shared" si="981"/>
        <v>-2052117499.0423315</v>
      </c>
      <c r="S492">
        <f t="shared" si="982"/>
        <v>-20521.174990423315</v>
      </c>
      <c r="T492">
        <f t="shared" si="983"/>
        <v>-20.521174990423315</v>
      </c>
    </row>
    <row r="493" spans="1:20" x14ac:dyDescent="0.25">
      <c r="A493" s="5">
        <v>44097</v>
      </c>
      <c r="B493">
        <v>3.1930000000000001E-3</v>
      </c>
      <c r="C493">
        <v>3.5109999999999998E-3</v>
      </c>
      <c r="D493">
        <v>3.0609999999999999E-3</v>
      </c>
      <c r="E493">
        <v>3.065E-3</v>
      </c>
      <c r="F493">
        <v>185370041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-0.98222222222222177</v>
      </c>
      <c r="Q493">
        <f t="shared" si="980"/>
        <v>-182074573.60444435</v>
      </c>
      <c r="R493">
        <f t="shared" si="981"/>
        <v>-2110844822.2007473</v>
      </c>
      <c r="S493">
        <f t="shared" si="982"/>
        <v>-21108.448222007471</v>
      </c>
      <c r="T493">
        <f t="shared" si="983"/>
        <v>-21.108448222007471</v>
      </c>
    </row>
    <row r="494" spans="1:20" x14ac:dyDescent="0.25">
      <c r="A494" s="5">
        <v>44096</v>
      </c>
      <c r="B494">
        <v>2.8400000000000001E-3</v>
      </c>
      <c r="C494">
        <v>3.284E-3</v>
      </c>
      <c r="D494">
        <v>2.8389999999999999E-3</v>
      </c>
      <c r="E494">
        <v>3.1770000000000001E-3</v>
      </c>
      <c r="F494">
        <v>162083042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0.5191011235955062</v>
      </c>
      <c r="Q494">
        <f t="shared" si="980"/>
        <v>84137489.217977628</v>
      </c>
      <c r="R494">
        <f t="shared" si="981"/>
        <v>-1928770248.596303</v>
      </c>
      <c r="S494">
        <f t="shared" si="982"/>
        <v>-19287.702485963029</v>
      </c>
      <c r="T494">
        <f t="shared" si="983"/>
        <v>-19.287702485963027</v>
      </c>
    </row>
    <row r="495" spans="1:20" x14ac:dyDescent="0.25">
      <c r="A495" s="5">
        <v>44095</v>
      </c>
      <c r="B495">
        <v>2.9429999999999999E-3</v>
      </c>
      <c r="C495">
        <v>3.042E-3</v>
      </c>
      <c r="D495">
        <v>2.6250000000000002E-3</v>
      </c>
      <c r="E495">
        <v>2.8400000000000001E-3</v>
      </c>
      <c r="F495">
        <v>78227064</v>
      </c>
      <c r="G495">
        <v>0</v>
      </c>
      <c r="L495" t="s">
        <v>7</v>
      </c>
      <c r="M495" t="s">
        <v>8</v>
      </c>
      <c r="N495" t="s">
        <v>7</v>
      </c>
      <c r="P495">
        <f t="shared" si="979"/>
        <v>3.1175059952038359E-2</v>
      </c>
      <c r="Q495">
        <f t="shared" si="980"/>
        <v>2438733.4100719416</v>
      </c>
      <c r="R495">
        <f t="shared" si="981"/>
        <v>-2012907737.8142805</v>
      </c>
      <c r="S495">
        <f t="shared" si="982"/>
        <v>-20129.077378142803</v>
      </c>
      <c r="T495">
        <f t="shared" si="983"/>
        <v>-20.129077378142803</v>
      </c>
    </row>
    <row r="496" spans="1:20" x14ac:dyDescent="0.25">
      <c r="A496" s="5">
        <v>44094</v>
      </c>
      <c r="B496">
        <v>2.895E-3</v>
      </c>
      <c r="C496">
        <v>2.9499999999999999E-3</v>
      </c>
      <c r="D496">
        <v>2.712E-3</v>
      </c>
      <c r="E496">
        <v>2.9499999999999999E-3</v>
      </c>
      <c r="F496">
        <v>34974644</v>
      </c>
      <c r="G496">
        <v>0</v>
      </c>
      <c r="L496" t="s">
        <v>7</v>
      </c>
      <c r="M496" t="s">
        <v>8</v>
      </c>
      <c r="N496" t="s">
        <v>7</v>
      </c>
      <c r="P496">
        <f t="shared" si="979"/>
        <v>1</v>
      </c>
      <c r="Q496">
        <f t="shared" si="980"/>
        <v>34974644</v>
      </c>
      <c r="R496">
        <f t="shared" si="981"/>
        <v>-2015346471.2243524</v>
      </c>
      <c r="S496">
        <f t="shared" si="982"/>
        <v>-20153.464712243524</v>
      </c>
      <c r="T496">
        <f t="shared" si="983"/>
        <v>-20.153464712243522</v>
      </c>
    </row>
    <row r="497" spans="1:20" x14ac:dyDescent="0.25">
      <c r="A497" s="5">
        <v>44093</v>
      </c>
      <c r="B497">
        <v>2.7539999999999999E-3</v>
      </c>
      <c r="C497">
        <v>2.9260000000000002E-3</v>
      </c>
      <c r="D497">
        <v>2.7260000000000001E-3</v>
      </c>
      <c r="E497">
        <v>2.8760000000000001E-3</v>
      </c>
      <c r="F497">
        <v>39147053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0.49999999999999889</v>
      </c>
      <c r="Q497">
        <f t="shared" si="980"/>
        <v>19573526.499999955</v>
      </c>
      <c r="R497">
        <f t="shared" si="981"/>
        <v>-2050321115.2243524</v>
      </c>
      <c r="S497">
        <f t="shared" si="982"/>
        <v>-20503.211152243523</v>
      </c>
      <c r="T497">
        <f t="shared" si="983"/>
        <v>-20.503211152243523</v>
      </c>
    </row>
    <row r="498" spans="1:20" x14ac:dyDescent="0.25">
      <c r="A498" s="5">
        <v>44092</v>
      </c>
      <c r="B498">
        <v>2.614E-3</v>
      </c>
      <c r="C498">
        <v>2.8349999999999998E-3</v>
      </c>
      <c r="D498">
        <v>2.5959999999999998E-3</v>
      </c>
      <c r="E498">
        <v>2.7499999999999998E-3</v>
      </c>
      <c r="F498">
        <v>42720529</v>
      </c>
      <c r="G498">
        <v>0</v>
      </c>
      <c r="L498" t="s">
        <v>7</v>
      </c>
      <c r="M498" t="s">
        <v>8</v>
      </c>
      <c r="N498" t="s">
        <v>7</v>
      </c>
      <c r="P498">
        <f t="shared" si="979"/>
        <v>0.28870292887029303</v>
      </c>
      <c r="Q498">
        <f t="shared" si="980"/>
        <v>12333541.84518829</v>
      </c>
      <c r="R498">
        <f t="shared" si="981"/>
        <v>-2069894641.7243524</v>
      </c>
      <c r="S498">
        <f t="shared" si="982"/>
        <v>-20698.946417243522</v>
      </c>
      <c r="T498">
        <f t="shared" si="983"/>
        <v>-20.698946417243523</v>
      </c>
    </row>
    <row r="499" spans="1:20" x14ac:dyDescent="0.25">
      <c r="A499" s="5">
        <v>44091</v>
      </c>
      <c r="B499">
        <v>2.6570000000000001E-3</v>
      </c>
      <c r="C499">
        <v>2.8089999999999999E-3</v>
      </c>
      <c r="D499">
        <v>2.5899999999999999E-3</v>
      </c>
      <c r="E499">
        <v>2.617E-3</v>
      </c>
      <c r="F499">
        <v>54725476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-0.75342465753424559</v>
      </c>
      <c r="Q499">
        <f t="shared" si="980"/>
        <v>-41231523.013698578</v>
      </c>
      <c r="R499">
        <f t="shared" si="981"/>
        <v>-2082228183.5695407</v>
      </c>
      <c r="S499">
        <f t="shared" si="982"/>
        <v>-20822.281835695409</v>
      </c>
      <c r="T499">
        <f t="shared" si="983"/>
        <v>-20.82228183569541</v>
      </c>
    </row>
    <row r="500" spans="1:20" x14ac:dyDescent="0.25">
      <c r="A500" s="5">
        <v>44090</v>
      </c>
      <c r="B500">
        <v>2.7659999999999998E-3</v>
      </c>
      <c r="C500">
        <v>2.81E-3</v>
      </c>
      <c r="D500">
        <v>2.5439999999999998E-3</v>
      </c>
      <c r="E500">
        <v>2.6580000000000002E-3</v>
      </c>
      <c r="F500">
        <v>44844886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-0.14285714285714052</v>
      </c>
      <c r="Q500">
        <f t="shared" si="980"/>
        <v>-6406412.2857141811</v>
      </c>
      <c r="R500">
        <f t="shared" si="981"/>
        <v>-2040996660.5558422</v>
      </c>
      <c r="S500">
        <f t="shared" si="982"/>
        <v>-20409.96660555842</v>
      </c>
      <c r="T500">
        <f t="shared" si="983"/>
        <v>-20.40996660555842</v>
      </c>
    </row>
    <row r="501" spans="1:20" x14ac:dyDescent="0.25">
      <c r="A501" s="5">
        <v>44089</v>
      </c>
      <c r="B501">
        <v>2.6080000000000001E-3</v>
      </c>
      <c r="C501">
        <v>2.8110000000000001E-3</v>
      </c>
      <c r="D501">
        <v>2.5899999999999999E-3</v>
      </c>
      <c r="E501">
        <v>2.748E-3</v>
      </c>
      <c r="F501">
        <v>66430166</v>
      </c>
      <c r="G501">
        <v>0</v>
      </c>
      <c r="L501" t="s">
        <v>8</v>
      </c>
      <c r="M501" t="s">
        <v>8</v>
      </c>
      <c r="N501" t="s">
        <v>7</v>
      </c>
      <c r="P501">
        <f t="shared" si="979"/>
        <v>0.42986425339366474</v>
      </c>
      <c r="Q501">
        <f t="shared" si="980"/>
        <v>28555953.710407212</v>
      </c>
      <c r="R501">
        <f t="shared" si="981"/>
        <v>-2034590248.270128</v>
      </c>
      <c r="S501">
        <f t="shared" si="982"/>
        <v>-20345.90248270128</v>
      </c>
      <c r="T501">
        <f t="shared" si="983"/>
        <v>-20.34590248270128</v>
      </c>
    </row>
    <row r="502" spans="1:20" x14ac:dyDescent="0.25">
      <c r="A502" s="5">
        <v>44088</v>
      </c>
      <c r="B502">
        <v>2.4810000000000001E-3</v>
      </c>
      <c r="C502">
        <v>2.6779999999999998E-3</v>
      </c>
      <c r="D502">
        <v>2.4510000000000001E-3</v>
      </c>
      <c r="E502">
        <v>2.6129999999999999E-3</v>
      </c>
      <c r="F502">
        <v>38955465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0.4273127753303963</v>
      </c>
      <c r="Q502">
        <f t="shared" si="980"/>
        <v>16646167.863436116</v>
      </c>
      <c r="R502">
        <f t="shared" si="981"/>
        <v>-2063146201.9805353</v>
      </c>
      <c r="S502">
        <f t="shared" si="982"/>
        <v>-20631.462019805353</v>
      </c>
      <c r="T502">
        <f t="shared" si="983"/>
        <v>-20.631462019805351</v>
      </c>
    </row>
    <row r="503" spans="1:20" x14ac:dyDescent="0.25">
      <c r="A503" s="5">
        <v>44087</v>
      </c>
      <c r="B503">
        <v>2.637E-3</v>
      </c>
      <c r="C503">
        <v>2.7200000000000002E-3</v>
      </c>
      <c r="D503">
        <v>2.4320000000000001E-3</v>
      </c>
      <c r="E503">
        <v>2.4810000000000001E-3</v>
      </c>
      <c r="F503">
        <v>52503953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-0.65972222222222232</v>
      </c>
      <c r="Q503">
        <f t="shared" si="980"/>
        <v>-34638024.548611119</v>
      </c>
      <c r="R503">
        <f t="shared" si="981"/>
        <v>-2079792369.8439715</v>
      </c>
      <c r="S503">
        <f t="shared" si="982"/>
        <v>-20797.923698439714</v>
      </c>
      <c r="T503">
        <f t="shared" si="983"/>
        <v>-20.797923698439714</v>
      </c>
    </row>
    <row r="504" spans="1:20" x14ac:dyDescent="0.25">
      <c r="A504" s="5">
        <v>44086</v>
      </c>
      <c r="B504">
        <v>2.6700000000000001E-3</v>
      </c>
      <c r="C504">
        <v>2.6930000000000001E-3</v>
      </c>
      <c r="D504">
        <v>2.5709999999999999E-3</v>
      </c>
      <c r="E504">
        <v>2.637E-3</v>
      </c>
      <c r="F504">
        <v>27199697</v>
      </c>
      <c r="G504">
        <v>0</v>
      </c>
      <c r="L504" t="s">
        <v>8</v>
      </c>
      <c r="M504" t="s">
        <v>7</v>
      </c>
      <c r="N504" t="s">
        <v>7</v>
      </c>
      <c r="P504">
        <f t="shared" si="979"/>
        <v>8.1967213114754217E-2</v>
      </c>
      <c r="Q504">
        <f t="shared" si="980"/>
        <v>2229483.3606557408</v>
      </c>
      <c r="R504">
        <f t="shared" si="981"/>
        <v>-2045154345.2953603</v>
      </c>
      <c r="S504">
        <f t="shared" si="982"/>
        <v>-20451.543452953603</v>
      </c>
      <c r="T504">
        <f t="shared" si="983"/>
        <v>-20.451543452953604</v>
      </c>
    </row>
    <row r="505" spans="1:20" x14ac:dyDescent="0.25">
      <c r="A505" s="5">
        <v>44085</v>
      </c>
      <c r="B505">
        <v>2.5999999999999999E-3</v>
      </c>
      <c r="C505">
        <v>2.6940000000000002E-3</v>
      </c>
      <c r="D505">
        <v>2.539E-3</v>
      </c>
      <c r="E505">
        <v>2.6679999999999998E-3</v>
      </c>
      <c r="F505">
        <v>28859528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0.6645161290322531</v>
      </c>
      <c r="Q505">
        <f t="shared" si="980"/>
        <v>19177621.832257923</v>
      </c>
      <c r="R505">
        <f t="shared" si="981"/>
        <v>-2047383828.6560161</v>
      </c>
      <c r="S505">
        <f t="shared" si="982"/>
        <v>-20473.83828656016</v>
      </c>
      <c r="T505">
        <f t="shared" si="983"/>
        <v>-20.473838286560159</v>
      </c>
    </row>
    <row r="506" spans="1:20" x14ac:dyDescent="0.25">
      <c r="A506" s="5">
        <v>44084</v>
      </c>
      <c r="B506">
        <v>2.4849999999999998E-3</v>
      </c>
      <c r="C506">
        <v>2.7100000000000002E-3</v>
      </c>
      <c r="D506">
        <v>2.4819999999999998E-3</v>
      </c>
      <c r="E506">
        <v>2.5999999999999999E-3</v>
      </c>
      <c r="F506">
        <v>71079497</v>
      </c>
      <c r="G506">
        <v>0</v>
      </c>
      <c r="L506" t="s">
        <v>8</v>
      </c>
      <c r="M506" t="s">
        <v>7</v>
      </c>
      <c r="N506" t="s">
        <v>7</v>
      </c>
      <c r="P506">
        <f t="shared" si="979"/>
        <v>3.5087719298244516E-2</v>
      </c>
      <c r="Q506">
        <f t="shared" si="980"/>
        <v>2494017.438596413</v>
      </c>
      <c r="R506">
        <f t="shared" si="981"/>
        <v>-2066561450.4882741</v>
      </c>
      <c r="S506">
        <f t="shared" si="982"/>
        <v>-20665.614504882742</v>
      </c>
      <c r="T506">
        <f t="shared" si="983"/>
        <v>-20.665614504882743</v>
      </c>
    </row>
    <row r="507" spans="1:20" x14ac:dyDescent="0.25">
      <c r="A507" s="5">
        <v>44083</v>
      </c>
      <c r="B507">
        <v>2.5209999999999998E-3</v>
      </c>
      <c r="C507">
        <v>2.594E-3</v>
      </c>
      <c r="D507">
        <v>2.4269999999999999E-3</v>
      </c>
      <c r="E507">
        <v>2.5000000000000001E-3</v>
      </c>
      <c r="F507">
        <v>34144353</v>
      </c>
      <c r="G507">
        <v>0</v>
      </c>
      <c r="L507" t="s">
        <v>7</v>
      </c>
      <c r="M507" t="s">
        <v>7</v>
      </c>
      <c r="N507" t="s">
        <v>7</v>
      </c>
      <c r="P507">
        <f t="shared" si="979"/>
        <v>-0.12574850299401044</v>
      </c>
      <c r="Q507">
        <f t="shared" si="980"/>
        <v>-4293601.2754490497</v>
      </c>
      <c r="R507">
        <f t="shared" si="981"/>
        <v>-2069055467.9268706</v>
      </c>
      <c r="S507">
        <f t="shared" si="982"/>
        <v>-20690.554679268706</v>
      </c>
      <c r="T507">
        <f t="shared" si="983"/>
        <v>-20.690554679268704</v>
      </c>
    </row>
    <row r="508" spans="1:20" x14ac:dyDescent="0.25">
      <c r="A508" s="5">
        <v>44082</v>
      </c>
      <c r="B508">
        <v>2.565E-3</v>
      </c>
      <c r="C508">
        <v>2.6289999999999998E-3</v>
      </c>
      <c r="D508">
        <v>2.4819999999999998E-3</v>
      </c>
      <c r="E508">
        <v>2.5240000000000002E-3</v>
      </c>
      <c r="F508">
        <v>69016504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-0.4285714285714235</v>
      </c>
      <c r="Q508">
        <f t="shared" si="980"/>
        <v>-29578501.714285363</v>
      </c>
      <c r="R508">
        <f t="shared" si="981"/>
        <v>-2064761866.6514215</v>
      </c>
      <c r="S508">
        <f t="shared" si="982"/>
        <v>-20647.618666514216</v>
      </c>
      <c r="T508">
        <f t="shared" si="983"/>
        <v>-20.647618666514216</v>
      </c>
    </row>
    <row r="509" spans="1:20" x14ac:dyDescent="0.25">
      <c r="A509" s="5">
        <v>44081</v>
      </c>
      <c r="B509">
        <v>2.4819999999999998E-3</v>
      </c>
      <c r="C509">
        <v>2.5990000000000002E-3</v>
      </c>
      <c r="D509">
        <v>2.31E-3</v>
      </c>
      <c r="E509">
        <v>2.565E-3</v>
      </c>
      <c r="F509">
        <v>59558823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0.76470588235294013</v>
      </c>
      <c r="Q509">
        <f t="shared" si="980"/>
        <v>45544982.294117585</v>
      </c>
      <c r="R509">
        <f t="shared" si="981"/>
        <v>-2035183364.9371362</v>
      </c>
      <c r="S509">
        <f t="shared" si="982"/>
        <v>-20351.833649371361</v>
      </c>
      <c r="T509">
        <f t="shared" si="983"/>
        <v>-20.351833649371361</v>
      </c>
    </row>
    <row r="510" spans="1:20" x14ac:dyDescent="0.25">
      <c r="A510" s="5">
        <v>44080</v>
      </c>
      <c r="B510">
        <v>2.3410000000000002E-3</v>
      </c>
      <c r="C510">
        <v>2.5630000000000002E-3</v>
      </c>
      <c r="D510">
        <v>2.2569999999999999E-3</v>
      </c>
      <c r="E510">
        <v>2.4729999999999999E-3</v>
      </c>
      <c r="F510">
        <v>77412425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0.41176470588235192</v>
      </c>
      <c r="Q510">
        <f t="shared" si="980"/>
        <v>31875704.411764625</v>
      </c>
      <c r="R510">
        <f t="shared" si="981"/>
        <v>-2080728347.2312539</v>
      </c>
      <c r="S510">
        <f t="shared" si="982"/>
        <v>-20807.283472312538</v>
      </c>
      <c r="T510">
        <f t="shared" si="983"/>
        <v>-20.807283472312537</v>
      </c>
    </row>
    <row r="511" spans="1:20" x14ac:dyDescent="0.25">
      <c r="A511" s="5">
        <v>44079</v>
      </c>
      <c r="B511">
        <v>2.6319999999999998E-3</v>
      </c>
      <c r="C511">
        <v>2.7950000000000002E-3</v>
      </c>
      <c r="D511">
        <v>2.2899999999999999E-3</v>
      </c>
      <c r="E511">
        <v>2.3400000000000001E-3</v>
      </c>
      <c r="F511">
        <v>105269683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-0.80198019801980158</v>
      </c>
      <c r="Q511">
        <f t="shared" si="980"/>
        <v>-84424201.217821747</v>
      </c>
      <c r="R511">
        <f t="shared" si="981"/>
        <v>-2112604051.6430185</v>
      </c>
      <c r="S511">
        <f t="shared" si="982"/>
        <v>-21126.040516430185</v>
      </c>
      <c r="T511">
        <f t="shared" si="983"/>
        <v>-21.126040516430184</v>
      </c>
    </row>
    <row r="512" spans="1:20" x14ac:dyDescent="0.25">
      <c r="A512" s="5">
        <v>44078</v>
      </c>
      <c r="B512">
        <v>2.6150000000000001E-3</v>
      </c>
      <c r="C512">
        <v>2.6870000000000002E-3</v>
      </c>
      <c r="D512">
        <v>2.4529999999999999E-3</v>
      </c>
      <c r="E512">
        <v>2.6319999999999998E-3</v>
      </c>
      <c r="F512">
        <v>100738474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0.52991452991452737</v>
      </c>
      <c r="Q512">
        <f t="shared" si="980"/>
        <v>53382781.094016835</v>
      </c>
      <c r="R512">
        <f t="shared" si="981"/>
        <v>-2028179850.4251966</v>
      </c>
      <c r="S512">
        <f t="shared" si="982"/>
        <v>-20281.798504251965</v>
      </c>
      <c r="T512">
        <f t="shared" si="983"/>
        <v>-20.281798504251967</v>
      </c>
    </row>
    <row r="513" spans="1:20" x14ac:dyDescent="0.25">
      <c r="A513" s="5">
        <v>44077</v>
      </c>
      <c r="B513">
        <v>3.1329999999999999E-3</v>
      </c>
      <c r="C513">
        <v>3.1329999999999999E-3</v>
      </c>
      <c r="D513">
        <v>2.555E-3</v>
      </c>
      <c r="E513">
        <v>2.6150000000000001E-3</v>
      </c>
      <c r="F513">
        <v>112283896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-0.79238754325259464</v>
      </c>
      <c r="Q513">
        <f t="shared" si="980"/>
        <v>-88972360.498269841</v>
      </c>
      <c r="R513">
        <f t="shared" si="981"/>
        <v>-2081562631.5192134</v>
      </c>
      <c r="S513">
        <f t="shared" si="982"/>
        <v>-20815.626315192134</v>
      </c>
      <c r="T513">
        <f t="shared" si="983"/>
        <v>-20.815626315192134</v>
      </c>
    </row>
    <row r="514" spans="1:20" x14ac:dyDescent="0.25">
      <c r="A514" s="5">
        <v>44076</v>
      </c>
      <c r="B514">
        <v>3.2179999999999999E-3</v>
      </c>
      <c r="C514">
        <v>3.2820000000000002E-3</v>
      </c>
      <c r="D514">
        <v>2.8500000000000001E-3</v>
      </c>
      <c r="E514">
        <v>3.1350000000000002E-3</v>
      </c>
      <c r="F514">
        <v>137065092</v>
      </c>
      <c r="G514">
        <v>0</v>
      </c>
      <c r="L514" t="s">
        <v>7</v>
      </c>
      <c r="M514" t="s">
        <v>8</v>
      </c>
      <c r="N514" t="s">
        <v>7</v>
      </c>
      <c r="P514">
        <f t="shared" si="979"/>
        <v>0.31944444444444459</v>
      </c>
      <c r="Q514">
        <f t="shared" si="980"/>
        <v>43784682.166666687</v>
      </c>
      <c r="R514">
        <f t="shared" si="981"/>
        <v>-1992590271.0209436</v>
      </c>
      <c r="S514">
        <f t="shared" si="982"/>
        <v>-19925.902710209437</v>
      </c>
      <c r="T514">
        <f t="shared" si="983"/>
        <v>-19.925902710209439</v>
      </c>
    </row>
    <row r="515" spans="1:20" x14ac:dyDescent="0.25">
      <c r="A515" s="5">
        <v>44075</v>
      </c>
      <c r="B515">
        <v>2.977E-3</v>
      </c>
      <c r="C515">
        <v>3.29E-3</v>
      </c>
      <c r="D515">
        <v>2.8879999999999999E-3</v>
      </c>
      <c r="E515">
        <v>3.2160000000000001E-3</v>
      </c>
      <c r="F515">
        <v>209103227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0.63184079601990129</v>
      </c>
      <c r="Q515">
        <f t="shared" si="980"/>
        <v>132119949.39801012</v>
      </c>
      <c r="R515">
        <f t="shared" si="981"/>
        <v>-2036374953.1876104</v>
      </c>
      <c r="S515">
        <f t="shared" si="982"/>
        <v>-20363.749531876103</v>
      </c>
      <c r="T515">
        <f t="shared" si="983"/>
        <v>-20.363749531876103</v>
      </c>
    </row>
    <row r="516" spans="1:20" x14ac:dyDescent="0.25">
      <c r="A516" s="5">
        <v>44074</v>
      </c>
      <c r="B516">
        <v>2.9220000000000001E-3</v>
      </c>
      <c r="C516">
        <v>3.2000000000000002E-3</v>
      </c>
      <c r="D516">
        <v>2.8029999999999999E-3</v>
      </c>
      <c r="E516">
        <v>2.9759999999999999E-3</v>
      </c>
      <c r="F516">
        <v>166221208</v>
      </c>
      <c r="G516">
        <v>0</v>
      </c>
      <c r="L516" t="s">
        <v>8</v>
      </c>
      <c r="M516" t="s">
        <v>8</v>
      </c>
      <c r="N516" t="s">
        <v>7</v>
      </c>
      <c r="P516">
        <f t="shared" si="979"/>
        <v>-0.12846347607052958</v>
      </c>
      <c r="Q516">
        <f t="shared" si="980"/>
        <v>-21353354.17632252</v>
      </c>
      <c r="R516">
        <f t="shared" si="981"/>
        <v>-2168494902.5856204</v>
      </c>
      <c r="S516">
        <f t="shared" si="982"/>
        <v>-21684.949025856204</v>
      </c>
      <c r="T516">
        <f t="shared" si="983"/>
        <v>-21.684949025856202</v>
      </c>
    </row>
    <row r="517" spans="1:20" x14ac:dyDescent="0.25">
      <c r="A517" s="5">
        <v>44073</v>
      </c>
      <c r="B517">
        <v>2.8860000000000001E-3</v>
      </c>
      <c r="C517">
        <v>2.98E-3</v>
      </c>
      <c r="D517">
        <v>2.8530000000000001E-3</v>
      </c>
      <c r="E517">
        <v>2.9220000000000001E-3</v>
      </c>
      <c r="F517">
        <v>61434872</v>
      </c>
      <c r="G517">
        <v>0</v>
      </c>
      <c r="L517" t="s">
        <v>8</v>
      </c>
      <c r="M517" t="s">
        <v>7</v>
      </c>
      <c r="N517" t="s">
        <v>7</v>
      </c>
      <c r="P517">
        <f t="shared" si="979"/>
        <v>8.6614173228347746E-2</v>
      </c>
      <c r="Q517">
        <f t="shared" si="980"/>
        <v>5321130.6456693709</v>
      </c>
      <c r="R517">
        <f t="shared" si="981"/>
        <v>-2147141548.4092979</v>
      </c>
      <c r="S517">
        <f t="shared" si="982"/>
        <v>-21471.41548409298</v>
      </c>
      <c r="T517">
        <f t="shared" si="983"/>
        <v>-21.471415484092979</v>
      </c>
    </row>
    <row r="518" spans="1:20" x14ac:dyDescent="0.25">
      <c r="A518" s="5">
        <v>44072</v>
      </c>
      <c r="B518">
        <v>2.9150000000000001E-3</v>
      </c>
      <c r="C518">
        <v>2.996E-3</v>
      </c>
      <c r="D518">
        <v>2.8E-3</v>
      </c>
      <c r="E518">
        <v>2.8860000000000001E-3</v>
      </c>
      <c r="F518">
        <v>84857971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-0.12244897959183529</v>
      </c>
      <c r="Q518">
        <f t="shared" ref="Q518:Q581" si="985">F518*P518</f>
        <v>-10390771.959183551</v>
      </c>
      <c r="R518">
        <f t="shared" ref="R518:R581" si="986">R519+Q518</f>
        <v>-2152462679.0549674</v>
      </c>
      <c r="S518">
        <f t="shared" ref="S518:S581" si="987">R518/100000</f>
        <v>-21524.626790549675</v>
      </c>
      <c r="T518">
        <f t="shared" ref="T518:T581" si="988">S518/1000</f>
        <v>-21.524626790549675</v>
      </c>
    </row>
    <row r="519" spans="1:20" x14ac:dyDescent="0.25">
      <c r="A519" s="5">
        <v>44071</v>
      </c>
      <c r="B519">
        <v>2.846E-3</v>
      </c>
      <c r="C519">
        <v>2.934E-3</v>
      </c>
      <c r="D519">
        <v>2.7959999999999999E-3</v>
      </c>
      <c r="E519">
        <v>2.9139999999999999E-3</v>
      </c>
      <c r="F519">
        <v>59506646</v>
      </c>
      <c r="G519">
        <v>0</v>
      </c>
      <c r="L519" t="s">
        <v>8</v>
      </c>
      <c r="M519" t="s">
        <v>7</v>
      </c>
      <c r="N519" t="s">
        <v>7</v>
      </c>
      <c r="P519">
        <f t="shared" si="984"/>
        <v>0.71014492753623137</v>
      </c>
      <c r="Q519">
        <f t="shared" si="985"/>
        <v>42258342.811594173</v>
      </c>
      <c r="R519">
        <f t="shared" si="986"/>
        <v>-2142071907.0957839</v>
      </c>
      <c r="S519">
        <f t="shared" si="987"/>
        <v>-21420.719070957839</v>
      </c>
      <c r="T519">
        <f t="shared" si="988"/>
        <v>-21.420719070957841</v>
      </c>
    </row>
    <row r="520" spans="1:20" x14ac:dyDescent="0.25">
      <c r="A520" s="5">
        <v>44070</v>
      </c>
      <c r="B520">
        <v>3.1110000000000001E-3</v>
      </c>
      <c r="C520">
        <v>3.1770000000000001E-3</v>
      </c>
      <c r="D520">
        <v>2.7030000000000001E-3</v>
      </c>
      <c r="E520">
        <v>2.8449999999999999E-3</v>
      </c>
      <c r="F520">
        <v>224978195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-0.40084388185654113</v>
      </c>
      <c r="Q520">
        <f t="shared" si="985"/>
        <v>-90181133.016877875</v>
      </c>
      <c r="R520">
        <f t="shared" si="986"/>
        <v>-2184330249.9073782</v>
      </c>
      <c r="S520">
        <f t="shared" si="987"/>
        <v>-21843.302499073783</v>
      </c>
      <c r="T520">
        <f t="shared" si="988"/>
        <v>-21.843302499073783</v>
      </c>
    </row>
    <row r="521" spans="1:20" x14ac:dyDescent="0.25">
      <c r="A521" s="5">
        <v>44069</v>
      </c>
      <c r="B521">
        <v>2.892E-3</v>
      </c>
      <c r="C521">
        <v>3.382E-3</v>
      </c>
      <c r="D521">
        <v>2.8400000000000001E-3</v>
      </c>
      <c r="E521">
        <v>3.1059999999999998E-3</v>
      </c>
      <c r="F521">
        <v>489439507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-1.8450184501845868E-2</v>
      </c>
      <c r="Q521">
        <f t="shared" si="985"/>
        <v>-9030249.2066424824</v>
      </c>
      <c r="R521">
        <f t="shared" si="986"/>
        <v>-2094149116.8905005</v>
      </c>
      <c r="S521">
        <f t="shared" si="987"/>
        <v>-20941.491168905006</v>
      </c>
      <c r="T521">
        <f t="shared" si="988"/>
        <v>-20.941491168905007</v>
      </c>
    </row>
    <row r="522" spans="1:20" x14ac:dyDescent="0.25">
      <c r="A522" s="5">
        <v>44068</v>
      </c>
      <c r="B522">
        <v>3.0179999999999998E-3</v>
      </c>
      <c r="C522">
        <v>3.0309999999999998E-3</v>
      </c>
      <c r="D522">
        <v>2.7799999999999999E-3</v>
      </c>
      <c r="E522">
        <v>2.8960000000000001E-3</v>
      </c>
      <c r="F522">
        <v>130031025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-7.5697211155376462E-2</v>
      </c>
      <c r="Q522">
        <f t="shared" si="985"/>
        <v>-9842985.9561750349</v>
      </c>
      <c r="R522">
        <f t="shared" si="986"/>
        <v>-2085118867.6838582</v>
      </c>
      <c r="S522">
        <f t="shared" si="987"/>
        <v>-20851.188676838581</v>
      </c>
      <c r="T522">
        <f t="shared" si="988"/>
        <v>-20.851188676838582</v>
      </c>
    </row>
    <row r="523" spans="1:20" x14ac:dyDescent="0.25">
      <c r="A523" s="5">
        <v>44067</v>
      </c>
      <c r="B523">
        <v>2.7420000000000001E-3</v>
      </c>
      <c r="C523">
        <v>3.0699999999999998E-3</v>
      </c>
      <c r="D523">
        <v>2.728E-3</v>
      </c>
      <c r="E523">
        <v>3.0179999999999998E-3</v>
      </c>
      <c r="F523">
        <v>122182352</v>
      </c>
      <c r="G523">
        <v>0</v>
      </c>
      <c r="L523" t="s">
        <v>8</v>
      </c>
      <c r="M523" t="s">
        <v>7</v>
      </c>
      <c r="N523" t="s">
        <v>7</v>
      </c>
      <c r="P523">
        <f t="shared" si="984"/>
        <v>0.69590643274853814</v>
      </c>
      <c r="Q523">
        <f t="shared" si="985"/>
        <v>85027484.725146219</v>
      </c>
      <c r="R523">
        <f t="shared" si="986"/>
        <v>-2075275881.7276831</v>
      </c>
      <c r="S523">
        <f t="shared" si="987"/>
        <v>-20752.75881727683</v>
      </c>
      <c r="T523">
        <f t="shared" si="988"/>
        <v>-20.752758817276831</v>
      </c>
    </row>
    <row r="524" spans="1:20" x14ac:dyDescent="0.25">
      <c r="A524" s="5">
        <v>44066</v>
      </c>
      <c r="B524">
        <v>2.836E-3</v>
      </c>
      <c r="C524">
        <v>2.8530000000000001E-3</v>
      </c>
      <c r="D524">
        <v>2.702E-3</v>
      </c>
      <c r="E524">
        <v>2.7460000000000002E-3</v>
      </c>
      <c r="F524">
        <v>45886807</v>
      </c>
      <c r="G524">
        <v>0</v>
      </c>
      <c r="L524" t="s">
        <v>7</v>
      </c>
      <c r="M524" t="s">
        <v>7</v>
      </c>
      <c r="N524" t="s">
        <v>7</v>
      </c>
      <c r="P524">
        <f t="shared" si="984"/>
        <v>-0.41721854304635531</v>
      </c>
      <c r="Q524">
        <f t="shared" si="985"/>
        <v>-19144826.761589296</v>
      </c>
      <c r="R524">
        <f t="shared" si="986"/>
        <v>-2160303366.4528294</v>
      </c>
      <c r="S524">
        <f t="shared" si="987"/>
        <v>-21603.033664528295</v>
      </c>
      <c r="T524">
        <f t="shared" si="988"/>
        <v>-21.603033664528294</v>
      </c>
    </row>
    <row r="525" spans="1:20" x14ac:dyDescent="0.25">
      <c r="A525" s="5">
        <v>44065</v>
      </c>
      <c r="B525">
        <v>2.8119999999999998E-3</v>
      </c>
      <c r="C525">
        <v>2.8310000000000002E-3</v>
      </c>
      <c r="D525">
        <v>2.699E-3</v>
      </c>
      <c r="E525">
        <v>2.8289999999999999E-3</v>
      </c>
      <c r="F525">
        <v>76494045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0.96969696969696573</v>
      </c>
      <c r="Q525">
        <f t="shared" si="985"/>
        <v>74176043.636363328</v>
      </c>
      <c r="R525">
        <f t="shared" si="986"/>
        <v>-2141158539.6912401</v>
      </c>
      <c r="S525">
        <f t="shared" si="987"/>
        <v>-21411.5853969124</v>
      </c>
      <c r="T525">
        <f t="shared" si="988"/>
        <v>-21.4115853969124</v>
      </c>
    </row>
    <row r="526" spans="1:20" x14ac:dyDescent="0.25">
      <c r="A526" s="5">
        <v>44064</v>
      </c>
      <c r="B526">
        <v>3.0630000000000002E-3</v>
      </c>
      <c r="C526">
        <v>3.1050000000000001E-3</v>
      </c>
      <c r="D526">
        <v>2.797E-3</v>
      </c>
      <c r="E526">
        <v>2.8029999999999999E-3</v>
      </c>
      <c r="F526">
        <v>107079555</v>
      </c>
      <c r="G526">
        <v>0</v>
      </c>
      <c r="L526" t="s">
        <v>7</v>
      </c>
      <c r="M526" t="s">
        <v>7</v>
      </c>
      <c r="N526" t="s">
        <v>7</v>
      </c>
      <c r="P526">
        <f t="shared" si="984"/>
        <v>-0.96103896103896147</v>
      </c>
      <c r="Q526">
        <f t="shared" si="985"/>
        <v>-102907624.28571433</v>
      </c>
      <c r="R526">
        <f t="shared" si="986"/>
        <v>-2215334583.3276033</v>
      </c>
      <c r="S526">
        <f t="shared" si="987"/>
        <v>-22153.345833276035</v>
      </c>
      <c r="T526">
        <f t="shared" si="988"/>
        <v>-22.153345833276035</v>
      </c>
    </row>
    <row r="527" spans="1:20" x14ac:dyDescent="0.25">
      <c r="A527" s="5">
        <v>44063</v>
      </c>
      <c r="B527">
        <v>2.9589999999999998E-3</v>
      </c>
      <c r="C527">
        <v>3.0980000000000001E-3</v>
      </c>
      <c r="D527">
        <v>2.9190000000000002E-3</v>
      </c>
      <c r="E527">
        <v>3.058E-3</v>
      </c>
      <c r="F527">
        <v>91342398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0.55307262569832261</v>
      </c>
      <c r="Q527">
        <f t="shared" si="985"/>
        <v>50518979.899441212</v>
      </c>
      <c r="R527">
        <f t="shared" si="986"/>
        <v>-2112426959.0418892</v>
      </c>
      <c r="S527">
        <f t="shared" si="987"/>
        <v>-21124.269590418891</v>
      </c>
      <c r="T527">
        <f t="shared" si="988"/>
        <v>-21.124269590418891</v>
      </c>
    </row>
    <row r="528" spans="1:20" x14ac:dyDescent="0.25">
      <c r="A528" s="5">
        <v>44062</v>
      </c>
      <c r="B528">
        <v>3.0669999999999998E-3</v>
      </c>
      <c r="C528">
        <v>3.088E-3</v>
      </c>
      <c r="D528">
        <v>2.8249999999999998E-3</v>
      </c>
      <c r="E528">
        <v>2.9589999999999998E-3</v>
      </c>
      <c r="F528">
        <v>124239996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1.9011406844105672E-2</v>
      </c>
      <c r="Q528">
        <f t="shared" si="985"/>
        <v>2361977.1102660615</v>
      </c>
      <c r="R528">
        <f t="shared" si="986"/>
        <v>-2162945938.9413304</v>
      </c>
      <c r="S528">
        <f t="shared" si="987"/>
        <v>-21629.459389413303</v>
      </c>
      <c r="T528">
        <f t="shared" si="988"/>
        <v>-21.629459389413302</v>
      </c>
    </row>
    <row r="529" spans="1:20" x14ac:dyDescent="0.25">
      <c r="A529" s="5">
        <v>44061</v>
      </c>
      <c r="B529">
        <v>3.1589999999999999E-3</v>
      </c>
      <c r="C529">
        <v>3.284E-3</v>
      </c>
      <c r="D529">
        <v>2.9789999999999999E-3</v>
      </c>
      <c r="E529">
        <v>3.0660000000000001E-3</v>
      </c>
      <c r="F529">
        <v>107810309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-0.42950819672130996</v>
      </c>
      <c r="Q529">
        <f t="shared" si="985"/>
        <v>-46305411.406557217</v>
      </c>
      <c r="R529">
        <f t="shared" si="986"/>
        <v>-2165307916.0515966</v>
      </c>
      <c r="S529">
        <f t="shared" si="987"/>
        <v>-21653.079160515965</v>
      </c>
      <c r="T529">
        <f t="shared" si="988"/>
        <v>-21.653079160515965</v>
      </c>
    </row>
    <row r="530" spans="1:20" x14ac:dyDescent="0.25">
      <c r="A530" s="5">
        <v>44060</v>
      </c>
      <c r="B530">
        <v>3.1089999999999998E-3</v>
      </c>
      <c r="C530">
        <v>3.3479999999999998E-3</v>
      </c>
      <c r="D530">
        <v>3.0530000000000002E-3</v>
      </c>
      <c r="E530">
        <v>3.1710000000000002E-3</v>
      </c>
      <c r="F530">
        <v>247739101</v>
      </c>
      <c r="G530">
        <v>0</v>
      </c>
      <c r="L530" t="s">
        <v>8</v>
      </c>
      <c r="M530" t="s">
        <v>7</v>
      </c>
      <c r="N530" t="s">
        <v>7</v>
      </c>
      <c r="P530">
        <f t="shared" si="984"/>
        <v>-0.19999999999999882</v>
      </c>
      <c r="Q530">
        <f t="shared" si="985"/>
        <v>-49547820.199999705</v>
      </c>
      <c r="R530">
        <f t="shared" si="986"/>
        <v>-2119002504.6450393</v>
      </c>
      <c r="S530">
        <f t="shared" si="987"/>
        <v>-21190.025046450392</v>
      </c>
      <c r="T530">
        <f t="shared" si="988"/>
        <v>-21.190025046450391</v>
      </c>
    </row>
    <row r="531" spans="1:20" x14ac:dyDescent="0.25">
      <c r="A531" s="5">
        <v>44059</v>
      </c>
      <c r="B531">
        <v>3.0010000000000002E-3</v>
      </c>
      <c r="C531">
        <v>3.199E-3</v>
      </c>
      <c r="D531">
        <v>2.98E-3</v>
      </c>
      <c r="E531">
        <v>3.1089999999999998E-3</v>
      </c>
      <c r="F531">
        <v>242279463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0.1780821917808198</v>
      </c>
      <c r="Q531">
        <f t="shared" si="985"/>
        <v>43145657.794520035</v>
      </c>
      <c r="R531">
        <f t="shared" si="986"/>
        <v>-2069454684.4450395</v>
      </c>
      <c r="S531">
        <f t="shared" si="987"/>
        <v>-20694.546844450397</v>
      </c>
      <c r="T531">
        <f t="shared" si="988"/>
        <v>-20.694546844450397</v>
      </c>
    </row>
    <row r="532" spans="1:20" x14ac:dyDescent="0.25">
      <c r="A532" s="5">
        <v>44058</v>
      </c>
      <c r="B532">
        <v>3.0850000000000001E-3</v>
      </c>
      <c r="C532">
        <v>3.0929999999999998E-3</v>
      </c>
      <c r="D532">
        <v>2.9650000000000002E-3</v>
      </c>
      <c r="E532">
        <v>3.0010000000000002E-3</v>
      </c>
      <c r="F532">
        <v>178553968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-0.43749999999999828</v>
      </c>
      <c r="Q532">
        <f t="shared" si="985"/>
        <v>-78117360.999999687</v>
      </c>
      <c r="R532">
        <f t="shared" si="986"/>
        <v>-2112600342.2395597</v>
      </c>
      <c r="S532">
        <f t="shared" si="987"/>
        <v>-21126.003422395595</v>
      </c>
      <c r="T532">
        <f t="shared" si="988"/>
        <v>-21.126003422395595</v>
      </c>
    </row>
    <row r="533" spans="1:20" x14ac:dyDescent="0.25">
      <c r="A533" s="5">
        <v>44057</v>
      </c>
      <c r="B533">
        <v>3.1250000000000002E-3</v>
      </c>
      <c r="C533">
        <v>3.258E-3</v>
      </c>
      <c r="D533">
        <v>3.0560000000000001E-3</v>
      </c>
      <c r="E533">
        <v>3.0950000000000001E-3</v>
      </c>
      <c r="F533">
        <v>207051980</v>
      </c>
      <c r="G533">
        <v>0</v>
      </c>
      <c r="L533" t="s">
        <v>8</v>
      </c>
      <c r="M533" t="s">
        <v>7</v>
      </c>
      <c r="N533" t="s">
        <v>7</v>
      </c>
      <c r="P533">
        <f t="shared" si="984"/>
        <v>-0.61386138613861396</v>
      </c>
      <c r="Q533">
        <f t="shared" si="985"/>
        <v>-127101215.44554457</v>
      </c>
      <c r="R533">
        <f t="shared" si="986"/>
        <v>-2034482981.2395599</v>
      </c>
      <c r="S533">
        <f t="shared" si="987"/>
        <v>-20344.829812395597</v>
      </c>
      <c r="T533">
        <f t="shared" si="988"/>
        <v>-20.344829812395599</v>
      </c>
    </row>
    <row r="534" spans="1:20" x14ac:dyDescent="0.25">
      <c r="A534" s="5">
        <v>44056</v>
      </c>
      <c r="B534">
        <v>3.5330000000000001E-3</v>
      </c>
      <c r="C534">
        <v>3.5330000000000001E-3</v>
      </c>
      <c r="D534">
        <v>2.8879999999999999E-3</v>
      </c>
      <c r="E534">
        <v>3.1089999999999998E-3</v>
      </c>
      <c r="F534">
        <v>549412789</v>
      </c>
      <c r="G534">
        <v>0</v>
      </c>
      <c r="L534" t="s">
        <v>7</v>
      </c>
      <c r="M534" t="s">
        <v>7</v>
      </c>
      <c r="N534" t="s">
        <v>7</v>
      </c>
      <c r="P534">
        <f t="shared" si="984"/>
        <v>-0.31472868217054328</v>
      </c>
      <c r="Q534">
        <f t="shared" si="985"/>
        <v>-172915963.04961276</v>
      </c>
      <c r="R534">
        <f t="shared" si="986"/>
        <v>-1907381765.7940154</v>
      </c>
      <c r="S534">
        <f t="shared" si="987"/>
        <v>-19073.817657940155</v>
      </c>
      <c r="T534">
        <f t="shared" si="988"/>
        <v>-19.073817657940154</v>
      </c>
    </row>
    <row r="535" spans="1:20" x14ac:dyDescent="0.25">
      <c r="A535" s="5">
        <v>44055</v>
      </c>
      <c r="B535">
        <v>3.627E-3</v>
      </c>
      <c r="C535">
        <v>3.6489999999999999E-3</v>
      </c>
      <c r="D535">
        <v>3.1259999999999999E-3</v>
      </c>
      <c r="E535">
        <v>3.5070000000000001E-3</v>
      </c>
      <c r="F535">
        <v>476977444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0.45697896749522082</v>
      </c>
      <c r="Q535">
        <f t="shared" si="985"/>
        <v>217968659.87762952</v>
      </c>
      <c r="R535">
        <f t="shared" si="986"/>
        <v>-1734465802.7444026</v>
      </c>
      <c r="S535">
        <f t="shared" si="987"/>
        <v>-17344.658027444028</v>
      </c>
      <c r="T535">
        <f t="shared" si="988"/>
        <v>-17.344658027444027</v>
      </c>
    </row>
    <row r="536" spans="1:20" x14ac:dyDescent="0.25">
      <c r="A536" s="5">
        <v>44054</v>
      </c>
      <c r="B536">
        <v>3.065E-3</v>
      </c>
      <c r="C536">
        <v>4.0540000000000003E-3</v>
      </c>
      <c r="D536">
        <v>2.8679999999999999E-3</v>
      </c>
      <c r="E536">
        <v>3.627E-3</v>
      </c>
      <c r="F536">
        <v>1501366381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0.27993254637436737</v>
      </c>
      <c r="Q536">
        <f t="shared" si="985"/>
        <v>420281314.0741986</v>
      </c>
      <c r="R536">
        <f t="shared" si="986"/>
        <v>-1952434462.6220322</v>
      </c>
      <c r="S536">
        <f t="shared" si="987"/>
        <v>-19524.344626220322</v>
      </c>
      <c r="T536">
        <f t="shared" si="988"/>
        <v>-19.524344626220323</v>
      </c>
    </row>
    <row r="537" spans="1:20" x14ac:dyDescent="0.25">
      <c r="A537" s="5">
        <v>44053</v>
      </c>
      <c r="B537">
        <v>2.6900000000000001E-3</v>
      </c>
      <c r="C537">
        <v>3.0799999999999998E-3</v>
      </c>
      <c r="D537">
        <v>2.624E-3</v>
      </c>
      <c r="E537">
        <v>3.0639999999999999E-3</v>
      </c>
      <c r="F537">
        <v>389846298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0.92982456140350889</v>
      </c>
      <c r="Q537">
        <f t="shared" si="985"/>
        <v>362488663.05263162</v>
      </c>
      <c r="R537">
        <f t="shared" si="986"/>
        <v>-2372715776.6962309</v>
      </c>
      <c r="S537">
        <f t="shared" si="987"/>
        <v>-23727.157766962308</v>
      </c>
      <c r="T537">
        <f t="shared" si="988"/>
        <v>-23.727157766962307</v>
      </c>
    </row>
    <row r="538" spans="1:20" x14ac:dyDescent="0.25">
      <c r="A538" s="5">
        <v>44052</v>
      </c>
      <c r="B538">
        <v>2.7000000000000001E-3</v>
      </c>
      <c r="C538">
        <v>2.735E-3</v>
      </c>
      <c r="D538">
        <v>2.614E-3</v>
      </c>
      <c r="E538">
        <v>2.6870000000000002E-3</v>
      </c>
      <c r="F538">
        <v>127485338</v>
      </c>
      <c r="G538">
        <v>0</v>
      </c>
      <c r="L538" t="s">
        <v>8</v>
      </c>
      <c r="M538" t="s">
        <v>8</v>
      </c>
      <c r="N538" t="s">
        <v>7</v>
      </c>
      <c r="P538">
        <f t="shared" si="984"/>
        <v>0.20661157024793619</v>
      </c>
      <c r="Q538">
        <f t="shared" si="985"/>
        <v>26339945.867768891</v>
      </c>
      <c r="R538">
        <f t="shared" si="986"/>
        <v>-2735204439.7488623</v>
      </c>
      <c r="S538">
        <f t="shared" si="987"/>
        <v>-27352.044397488622</v>
      </c>
      <c r="T538">
        <f t="shared" si="988"/>
        <v>-27.352044397488623</v>
      </c>
    </row>
    <row r="539" spans="1:20" x14ac:dyDescent="0.25">
      <c r="A539" s="5">
        <v>44051</v>
      </c>
      <c r="B539">
        <v>2.6350000000000002E-3</v>
      </c>
      <c r="C539">
        <v>2.7499999999999998E-3</v>
      </c>
      <c r="D539">
        <v>2.5669999999999998E-3</v>
      </c>
      <c r="E539">
        <v>2.686E-3</v>
      </c>
      <c r="F539">
        <v>118528887</v>
      </c>
      <c r="G539">
        <v>0</v>
      </c>
      <c r="L539" t="s">
        <v>8</v>
      </c>
      <c r="M539" t="s">
        <v>8</v>
      </c>
      <c r="N539" t="s">
        <v>7</v>
      </c>
      <c r="P539">
        <f t="shared" si="984"/>
        <v>0.30054644808743364</v>
      </c>
      <c r="Q539">
        <f t="shared" si="985"/>
        <v>35623435.983606786</v>
      </c>
      <c r="R539">
        <f t="shared" si="986"/>
        <v>-2761544385.616631</v>
      </c>
      <c r="S539">
        <f t="shared" si="987"/>
        <v>-27615.443856166312</v>
      </c>
      <c r="T539">
        <f t="shared" si="988"/>
        <v>-27.615443856166312</v>
      </c>
    </row>
    <row r="540" spans="1:20" x14ac:dyDescent="0.25">
      <c r="A540" s="5">
        <v>44050</v>
      </c>
      <c r="B540">
        <v>2.7759999999999998E-3</v>
      </c>
      <c r="C540">
        <v>2.81E-3</v>
      </c>
      <c r="D540">
        <v>2.5669999999999998E-3</v>
      </c>
      <c r="E540">
        <v>2.6389999999999999E-3</v>
      </c>
      <c r="F540">
        <v>135624766</v>
      </c>
      <c r="G540">
        <v>0</v>
      </c>
      <c r="L540" t="s">
        <v>7</v>
      </c>
      <c r="M540" t="s">
        <v>8</v>
      </c>
      <c r="N540" t="s">
        <v>7</v>
      </c>
      <c r="P540">
        <f t="shared" si="984"/>
        <v>-0.40740740740740766</v>
      </c>
      <c r="Q540">
        <f t="shared" si="985"/>
        <v>-55254534.296296328</v>
      </c>
      <c r="R540">
        <f t="shared" si="986"/>
        <v>-2797167821.6002378</v>
      </c>
      <c r="S540">
        <f t="shared" si="987"/>
        <v>-27971.678216002379</v>
      </c>
      <c r="T540">
        <f t="shared" si="988"/>
        <v>-27.971678216002381</v>
      </c>
    </row>
    <row r="541" spans="1:20" x14ac:dyDescent="0.25">
      <c r="A541" s="5">
        <v>44049</v>
      </c>
      <c r="B541">
        <v>2.4810000000000001E-3</v>
      </c>
      <c r="C541">
        <v>2.7910000000000001E-3</v>
      </c>
      <c r="D541">
        <v>2.4589999999999998E-3</v>
      </c>
      <c r="E541">
        <v>2.7780000000000001E-3</v>
      </c>
      <c r="F541">
        <v>259070727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0.92168674698795194</v>
      </c>
      <c r="Q541">
        <f t="shared" si="985"/>
        <v>238782055.60843378</v>
      </c>
      <c r="R541">
        <f t="shared" si="986"/>
        <v>-2741913287.3039417</v>
      </c>
      <c r="S541">
        <f t="shared" si="987"/>
        <v>-27419.132873039416</v>
      </c>
      <c r="T541">
        <f t="shared" si="988"/>
        <v>-27.419132873039416</v>
      </c>
    </row>
    <row r="542" spans="1:20" x14ac:dyDescent="0.25">
      <c r="A542" s="5">
        <v>44048</v>
      </c>
      <c r="B542">
        <v>2.4710000000000001E-3</v>
      </c>
      <c r="C542">
        <v>2.5000000000000001E-3</v>
      </c>
      <c r="D542">
        <v>2.4399999999999999E-3</v>
      </c>
      <c r="E542">
        <v>2.467E-3</v>
      </c>
      <c r="F542">
        <v>52321482</v>
      </c>
      <c r="G542">
        <v>0</v>
      </c>
      <c r="L542" t="s">
        <v>8</v>
      </c>
      <c r="M542" t="s">
        <v>7</v>
      </c>
      <c r="N542" t="s">
        <v>7</v>
      </c>
      <c r="P542">
        <f t="shared" si="984"/>
        <v>-9.9999999999998548E-2</v>
      </c>
      <c r="Q542">
        <f t="shared" si="985"/>
        <v>-5232148.1999999238</v>
      </c>
      <c r="R542">
        <f t="shared" si="986"/>
        <v>-2980695342.9123755</v>
      </c>
      <c r="S542">
        <f t="shared" si="987"/>
        <v>-29806.953429123754</v>
      </c>
      <c r="T542">
        <f t="shared" si="988"/>
        <v>-29.806953429123755</v>
      </c>
    </row>
    <row r="543" spans="1:20" x14ac:dyDescent="0.25">
      <c r="A543" s="5">
        <v>44047</v>
      </c>
      <c r="B543">
        <v>2.5019999999999999E-3</v>
      </c>
      <c r="C543">
        <v>2.5539999999999998E-3</v>
      </c>
      <c r="D543">
        <v>2.421E-3</v>
      </c>
      <c r="E543">
        <v>2.4719999999999998E-3</v>
      </c>
      <c r="F543">
        <v>78847443</v>
      </c>
      <c r="G543">
        <v>0</v>
      </c>
      <c r="L543" t="s">
        <v>8</v>
      </c>
      <c r="M543" t="s">
        <v>7</v>
      </c>
      <c r="N543" t="s">
        <v>7</v>
      </c>
      <c r="P543">
        <f t="shared" si="984"/>
        <v>-0.23308270676691911</v>
      </c>
      <c r="Q543">
        <f t="shared" si="985"/>
        <v>-18377975.436090369</v>
      </c>
      <c r="R543">
        <f t="shared" si="986"/>
        <v>-2975463194.7123756</v>
      </c>
      <c r="S543">
        <f t="shared" si="987"/>
        <v>-29754.631947123755</v>
      </c>
      <c r="T543">
        <f t="shared" si="988"/>
        <v>-29.754631947123755</v>
      </c>
    </row>
    <row r="544" spans="1:20" x14ac:dyDescent="0.25">
      <c r="A544" s="5">
        <v>44046</v>
      </c>
      <c r="B544">
        <v>2.362E-3</v>
      </c>
      <c r="C544">
        <v>2.516E-3</v>
      </c>
      <c r="D544">
        <v>2.3540000000000002E-3</v>
      </c>
      <c r="E544">
        <v>2.5019999999999999E-3</v>
      </c>
      <c r="F544">
        <v>113701779</v>
      </c>
      <c r="G544">
        <v>0</v>
      </c>
      <c r="L544" t="s">
        <v>7</v>
      </c>
      <c r="M544" t="s">
        <v>7</v>
      </c>
      <c r="N544" t="s">
        <v>7</v>
      </c>
      <c r="P544">
        <f t="shared" si="984"/>
        <v>0.82716049382715873</v>
      </c>
      <c r="Q544">
        <f t="shared" si="985"/>
        <v>94049619.666666463</v>
      </c>
      <c r="R544">
        <f t="shared" si="986"/>
        <v>-2957085219.2762852</v>
      </c>
      <c r="S544">
        <f t="shared" si="987"/>
        <v>-29570.852192762854</v>
      </c>
      <c r="T544">
        <f t="shared" si="988"/>
        <v>-29.570852192762853</v>
      </c>
    </row>
    <row r="545" spans="1:20" x14ac:dyDescent="0.25">
      <c r="A545" s="5">
        <v>44045</v>
      </c>
      <c r="B545">
        <v>2.6189999999999998E-3</v>
      </c>
      <c r="C545">
        <v>2.6329999999999999E-3</v>
      </c>
      <c r="D545">
        <v>2.3389999999999999E-3</v>
      </c>
      <c r="E545">
        <v>2.3600000000000001E-3</v>
      </c>
      <c r="F545">
        <v>158499092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-0.85714285714285587</v>
      </c>
      <c r="Q545">
        <f t="shared" si="985"/>
        <v>-135856364.57142836</v>
      </c>
      <c r="R545">
        <f t="shared" si="986"/>
        <v>-3051134838.9429517</v>
      </c>
      <c r="S545">
        <f t="shared" si="987"/>
        <v>-30511.348389429517</v>
      </c>
      <c r="T545">
        <f t="shared" si="988"/>
        <v>-30.511348389429518</v>
      </c>
    </row>
    <row r="546" spans="1:20" x14ac:dyDescent="0.25">
      <c r="A546" s="5">
        <v>44044</v>
      </c>
      <c r="B546">
        <v>2.4719999999999998E-3</v>
      </c>
      <c r="C546">
        <v>2.6189999999999998E-3</v>
      </c>
      <c r="D546">
        <v>2.4710000000000001E-3</v>
      </c>
      <c r="E546">
        <v>2.6189999999999998E-3</v>
      </c>
      <c r="F546">
        <v>114914126</v>
      </c>
      <c r="G546">
        <v>0</v>
      </c>
      <c r="L546" t="s">
        <v>7</v>
      </c>
      <c r="M546" t="s">
        <v>7</v>
      </c>
      <c r="N546" t="s">
        <v>7</v>
      </c>
      <c r="P546">
        <f t="shared" si="984"/>
        <v>1</v>
      </c>
      <c r="Q546">
        <f t="shared" si="985"/>
        <v>114914126</v>
      </c>
      <c r="R546">
        <f t="shared" si="986"/>
        <v>-2915278474.3715234</v>
      </c>
      <c r="S546">
        <f t="shared" si="987"/>
        <v>-29152.784743715234</v>
      </c>
      <c r="T546">
        <f t="shared" si="988"/>
        <v>-29.152784743715234</v>
      </c>
    </row>
    <row r="547" spans="1:20" x14ac:dyDescent="0.25">
      <c r="A547" s="5">
        <v>44043</v>
      </c>
      <c r="B547">
        <v>2.5709999999999999E-3</v>
      </c>
      <c r="C547">
        <v>2.7000000000000001E-3</v>
      </c>
      <c r="D547">
        <v>2.4650000000000002E-3</v>
      </c>
      <c r="E547">
        <v>2.4719999999999998E-3</v>
      </c>
      <c r="F547">
        <v>299224765</v>
      </c>
      <c r="G547">
        <v>0</v>
      </c>
      <c r="L547" t="s">
        <v>7</v>
      </c>
      <c r="M547" t="s">
        <v>7</v>
      </c>
      <c r="N547" t="s">
        <v>7</v>
      </c>
      <c r="P547">
        <f t="shared" si="984"/>
        <v>-0.94042553191489675</v>
      </c>
      <c r="Q547">
        <f t="shared" si="985"/>
        <v>-281398608.78723496</v>
      </c>
      <c r="R547">
        <f t="shared" si="986"/>
        <v>-3030192600.3715234</v>
      </c>
      <c r="S547">
        <f t="shared" si="987"/>
        <v>-30301.926003715234</v>
      </c>
      <c r="T547">
        <f t="shared" si="988"/>
        <v>-30.301926003715234</v>
      </c>
    </row>
    <row r="548" spans="1:20" x14ac:dyDescent="0.25">
      <c r="A548" s="5">
        <v>44042</v>
      </c>
      <c r="B548">
        <v>2.7000000000000001E-3</v>
      </c>
      <c r="C548">
        <v>2.8800000000000002E-3</v>
      </c>
      <c r="D548">
        <v>2.5669999999999998E-3</v>
      </c>
      <c r="E548">
        <v>2.5769999999999999E-3</v>
      </c>
      <c r="F548">
        <v>141228981</v>
      </c>
      <c r="G548">
        <v>0</v>
      </c>
      <c r="L548" t="s">
        <v>8</v>
      </c>
      <c r="M548" t="s">
        <v>8</v>
      </c>
      <c r="N548" t="s">
        <v>7</v>
      </c>
      <c r="P548">
        <f t="shared" si="984"/>
        <v>-0.93610223642172519</v>
      </c>
      <c r="Q548">
        <f t="shared" si="985"/>
        <v>-132204764.96166134</v>
      </c>
      <c r="R548">
        <f t="shared" si="986"/>
        <v>-2748793991.5842886</v>
      </c>
      <c r="S548">
        <f t="shared" si="987"/>
        <v>-27487.939915842886</v>
      </c>
      <c r="T548">
        <f t="shared" si="988"/>
        <v>-27.487939915842887</v>
      </c>
    </row>
    <row r="549" spans="1:20" x14ac:dyDescent="0.25">
      <c r="A549" s="5">
        <v>44041</v>
      </c>
      <c r="B549">
        <v>2.4859999999999999E-3</v>
      </c>
      <c r="C549">
        <v>2.7899999999999999E-3</v>
      </c>
      <c r="D549">
        <v>2.457E-3</v>
      </c>
      <c r="E549">
        <v>2.699E-3</v>
      </c>
      <c r="F549">
        <v>214628280</v>
      </c>
      <c r="G549">
        <v>0</v>
      </c>
      <c r="L549" t="s">
        <v>8</v>
      </c>
      <c r="M549" t="s">
        <v>8</v>
      </c>
      <c r="N549" t="s">
        <v>7</v>
      </c>
      <c r="P549">
        <f t="shared" si="984"/>
        <v>0.45345345345345378</v>
      </c>
      <c r="Q549">
        <f t="shared" si="985"/>
        <v>97323934.774774849</v>
      </c>
      <c r="R549">
        <f t="shared" si="986"/>
        <v>-2616589226.6226273</v>
      </c>
      <c r="S549">
        <f t="shared" si="987"/>
        <v>-26165.892266226274</v>
      </c>
      <c r="T549">
        <f t="shared" si="988"/>
        <v>-26.165892266226273</v>
      </c>
    </row>
    <row r="550" spans="1:20" x14ac:dyDescent="0.25">
      <c r="A550" s="5">
        <v>44040</v>
      </c>
      <c r="B550">
        <v>2.4220000000000001E-3</v>
      </c>
      <c r="C550">
        <v>2.529E-3</v>
      </c>
      <c r="D550">
        <v>2.395E-3</v>
      </c>
      <c r="E550">
        <v>2.4870000000000001E-3</v>
      </c>
      <c r="F550">
        <v>105682854</v>
      </c>
      <c r="G550">
        <v>0</v>
      </c>
      <c r="L550" t="s">
        <v>8</v>
      </c>
      <c r="M550" t="s">
        <v>7</v>
      </c>
      <c r="N550" t="s">
        <v>7</v>
      </c>
      <c r="P550">
        <f t="shared" si="984"/>
        <v>0.37313432835820992</v>
      </c>
      <c r="Q550">
        <f t="shared" si="985"/>
        <v>39433900.746268757</v>
      </c>
      <c r="R550">
        <f t="shared" si="986"/>
        <v>-2713913161.3974023</v>
      </c>
      <c r="S550">
        <f t="shared" si="987"/>
        <v>-27139.131613974023</v>
      </c>
      <c r="T550">
        <f t="shared" si="988"/>
        <v>-27.139131613974023</v>
      </c>
    </row>
    <row r="551" spans="1:20" x14ac:dyDescent="0.25">
      <c r="A551" s="5">
        <v>44039</v>
      </c>
      <c r="B551">
        <v>2.6819999999999999E-3</v>
      </c>
      <c r="C551">
        <v>2.7000000000000001E-3</v>
      </c>
      <c r="D551">
        <v>2.2499999999999998E-3</v>
      </c>
      <c r="E551">
        <v>2.4109999999999999E-3</v>
      </c>
      <c r="F551">
        <v>268168581</v>
      </c>
      <c r="G551">
        <v>0</v>
      </c>
      <c r="L551" t="s">
        <v>7</v>
      </c>
      <c r="M551" t="s">
        <v>7</v>
      </c>
      <c r="N551" t="s">
        <v>7</v>
      </c>
      <c r="P551">
        <f t="shared" si="984"/>
        <v>-0.28444444444444439</v>
      </c>
      <c r="Q551">
        <f t="shared" si="985"/>
        <v>-76279063.039999992</v>
      </c>
      <c r="R551">
        <f t="shared" si="986"/>
        <v>-2753347062.143671</v>
      </c>
      <c r="S551">
        <f t="shared" si="987"/>
        <v>-27533.470621436711</v>
      </c>
      <c r="T551">
        <f t="shared" si="988"/>
        <v>-27.53347062143671</v>
      </c>
    </row>
    <row r="552" spans="1:20" x14ac:dyDescent="0.25">
      <c r="A552" s="5">
        <v>44038</v>
      </c>
      <c r="B552">
        <v>2.8219999999999999E-3</v>
      </c>
      <c r="C552">
        <v>2.8300000000000001E-3</v>
      </c>
      <c r="D552">
        <v>2.6510000000000001E-3</v>
      </c>
      <c r="E552">
        <v>2.6900000000000001E-3</v>
      </c>
      <c r="F552">
        <v>126462982</v>
      </c>
      <c r="G552">
        <v>0</v>
      </c>
      <c r="L552" t="s">
        <v>7</v>
      </c>
      <c r="M552" t="s">
        <v>7</v>
      </c>
      <c r="N552" t="s">
        <v>7</v>
      </c>
      <c r="P552">
        <f t="shared" si="984"/>
        <v>-0.56424581005586605</v>
      </c>
      <c r="Q552">
        <f t="shared" si="985"/>
        <v>-71356207.720670402</v>
      </c>
      <c r="R552">
        <f t="shared" si="986"/>
        <v>-2677067999.1036711</v>
      </c>
      <c r="S552">
        <f t="shared" si="987"/>
        <v>-26770.679991036712</v>
      </c>
      <c r="T552">
        <f t="shared" si="988"/>
        <v>-26.770679991036712</v>
      </c>
    </row>
    <row r="553" spans="1:20" x14ac:dyDescent="0.25">
      <c r="A553" s="5">
        <v>44037</v>
      </c>
      <c r="B553">
        <v>2.8700000000000002E-3</v>
      </c>
      <c r="C553">
        <v>2.9499999999999999E-3</v>
      </c>
      <c r="D553">
        <v>2.8119999999999998E-3</v>
      </c>
      <c r="E553">
        <v>2.813E-3</v>
      </c>
      <c r="F553">
        <v>90732373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-0.98550724637680964</v>
      </c>
      <c r="Q553">
        <f t="shared" si="985"/>
        <v>-89417411.072463587</v>
      </c>
      <c r="R553">
        <f t="shared" si="986"/>
        <v>-2605711791.3830009</v>
      </c>
      <c r="S553">
        <f t="shared" si="987"/>
        <v>-26057.117913830007</v>
      </c>
      <c r="T553">
        <f t="shared" si="988"/>
        <v>-26.057117913830005</v>
      </c>
    </row>
    <row r="554" spans="1:20" x14ac:dyDescent="0.25">
      <c r="A554" s="5">
        <v>44036</v>
      </c>
      <c r="B554">
        <v>2.8630000000000001E-3</v>
      </c>
      <c r="C554">
        <v>2.9350000000000001E-3</v>
      </c>
      <c r="D554">
        <v>2.8110000000000001E-3</v>
      </c>
      <c r="E554">
        <v>2.8700000000000002E-3</v>
      </c>
      <c r="F554">
        <v>83390968</v>
      </c>
      <c r="G554">
        <v>0</v>
      </c>
      <c r="L554" t="s">
        <v>8</v>
      </c>
      <c r="M554" t="s">
        <v>7</v>
      </c>
      <c r="N554" t="s">
        <v>7</v>
      </c>
      <c r="P554">
        <f t="shared" si="984"/>
        <v>-4.8387096774192985E-2</v>
      </c>
      <c r="Q554">
        <f t="shared" si="985"/>
        <v>-4035046.8387096305</v>
      </c>
      <c r="R554">
        <f t="shared" si="986"/>
        <v>-2516294380.3105373</v>
      </c>
      <c r="S554">
        <f t="shared" si="987"/>
        <v>-25162.943803105372</v>
      </c>
      <c r="T554">
        <f t="shared" si="988"/>
        <v>-25.162943803105371</v>
      </c>
    </row>
    <row r="555" spans="1:20" x14ac:dyDescent="0.25">
      <c r="A555" s="5">
        <v>44035</v>
      </c>
      <c r="B555">
        <v>2.7850000000000001E-3</v>
      </c>
      <c r="C555">
        <v>2.9499999999999999E-3</v>
      </c>
      <c r="D555">
        <v>2.7650000000000001E-3</v>
      </c>
      <c r="E555">
        <v>2.8630000000000001E-3</v>
      </c>
      <c r="F555">
        <v>123038716</v>
      </c>
      <c r="G555">
        <v>0</v>
      </c>
      <c r="L555" t="s">
        <v>8</v>
      </c>
      <c r="M555" t="s">
        <v>7</v>
      </c>
      <c r="N555" t="s">
        <v>7</v>
      </c>
      <c r="P555">
        <f t="shared" si="984"/>
        <v>5.9459459459460372E-2</v>
      </c>
      <c r="Q555">
        <f t="shared" si="985"/>
        <v>7315815.5459460579</v>
      </c>
      <c r="R555">
        <f t="shared" si="986"/>
        <v>-2512259333.4718275</v>
      </c>
      <c r="S555">
        <f t="shared" si="987"/>
        <v>-25122.593334718276</v>
      </c>
      <c r="T555">
        <f t="shared" si="988"/>
        <v>-25.122593334718275</v>
      </c>
    </row>
    <row r="556" spans="1:20" x14ac:dyDescent="0.25">
      <c r="A556" s="5">
        <v>44034</v>
      </c>
      <c r="B556">
        <v>2.7690000000000002E-3</v>
      </c>
      <c r="C556">
        <v>2.8609999999999998E-3</v>
      </c>
      <c r="D556">
        <v>2.7399999999999998E-3</v>
      </c>
      <c r="E556">
        <v>2.784E-3</v>
      </c>
      <c r="F556">
        <v>102719554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-0.27272727272726949</v>
      </c>
      <c r="Q556">
        <f t="shared" si="985"/>
        <v>-28014423.818181485</v>
      </c>
      <c r="R556">
        <f t="shared" si="986"/>
        <v>-2519575149.0177736</v>
      </c>
      <c r="S556">
        <f t="shared" si="987"/>
        <v>-25195.751490177736</v>
      </c>
      <c r="T556">
        <f t="shared" si="988"/>
        <v>-25.195751490177734</v>
      </c>
    </row>
    <row r="557" spans="1:20" x14ac:dyDescent="0.25">
      <c r="A557" s="5">
        <v>44033</v>
      </c>
      <c r="B557">
        <v>2.859E-3</v>
      </c>
      <c r="C557">
        <v>2.8939999999999999E-3</v>
      </c>
      <c r="D557">
        <v>2.6700000000000001E-3</v>
      </c>
      <c r="E557">
        <v>2.7620000000000001E-3</v>
      </c>
      <c r="F557">
        <v>153679814</v>
      </c>
      <c r="G557">
        <v>0</v>
      </c>
      <c r="L557" t="s">
        <v>7</v>
      </c>
      <c r="M557" t="s">
        <v>7</v>
      </c>
      <c r="N557" t="s">
        <v>7</v>
      </c>
      <c r="P557">
        <f t="shared" si="984"/>
        <v>-0.17857142857142727</v>
      </c>
      <c r="Q557">
        <f t="shared" si="985"/>
        <v>-27442823.928571228</v>
      </c>
      <c r="R557">
        <f t="shared" si="986"/>
        <v>-2491560725.1995921</v>
      </c>
      <c r="S557">
        <f t="shared" si="987"/>
        <v>-24915.60725199592</v>
      </c>
      <c r="T557">
        <f t="shared" si="988"/>
        <v>-24.915607251995919</v>
      </c>
    </row>
    <row r="558" spans="1:20" x14ac:dyDescent="0.25">
      <c r="A558" s="5">
        <v>44032</v>
      </c>
      <c r="B558">
        <v>2.859E-3</v>
      </c>
      <c r="C558">
        <v>2.9150000000000001E-3</v>
      </c>
      <c r="D558">
        <v>2.8270000000000001E-3</v>
      </c>
      <c r="E558">
        <v>2.8400000000000001E-3</v>
      </c>
      <c r="F558">
        <v>62444453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-0.7045454545454547</v>
      </c>
      <c r="Q558">
        <f t="shared" si="985"/>
        <v>-43994955.522727281</v>
      </c>
      <c r="R558">
        <f t="shared" si="986"/>
        <v>-2464117901.2710209</v>
      </c>
      <c r="S558">
        <f t="shared" si="987"/>
        <v>-24641.17901271021</v>
      </c>
      <c r="T558">
        <f t="shared" si="988"/>
        <v>-24.641179012710211</v>
      </c>
    </row>
    <row r="559" spans="1:20" x14ac:dyDescent="0.25">
      <c r="A559" s="5">
        <v>44031</v>
      </c>
      <c r="B559">
        <v>2.9380000000000001E-3</v>
      </c>
      <c r="C559">
        <v>2.9710000000000001E-3</v>
      </c>
      <c r="D559">
        <v>2.8219999999999999E-3</v>
      </c>
      <c r="E559">
        <v>2.8700000000000002E-3</v>
      </c>
      <c r="F559">
        <v>79002904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-0.35570469798657428</v>
      </c>
      <c r="Q559">
        <f t="shared" si="985"/>
        <v>-28101704.10738232</v>
      </c>
      <c r="R559">
        <f t="shared" si="986"/>
        <v>-2420122945.7482934</v>
      </c>
      <c r="S559">
        <f t="shared" si="987"/>
        <v>-24201.229457482936</v>
      </c>
      <c r="T559">
        <f t="shared" si="988"/>
        <v>-24.201229457482935</v>
      </c>
    </row>
    <row r="560" spans="1:20" x14ac:dyDescent="0.25">
      <c r="A560" s="5">
        <v>44030</v>
      </c>
      <c r="B560">
        <v>2.8410000000000002E-3</v>
      </c>
      <c r="C560">
        <v>2.9970000000000001E-3</v>
      </c>
      <c r="D560">
        <v>2.8219999999999999E-3</v>
      </c>
      <c r="E560">
        <v>2.9320000000000001E-3</v>
      </c>
      <c r="F560">
        <v>87386693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0.25714285714285873</v>
      </c>
      <c r="Q560">
        <f t="shared" si="985"/>
        <v>22470863.914285854</v>
      </c>
      <c r="R560">
        <f t="shared" si="986"/>
        <v>-2392021241.6409111</v>
      </c>
      <c r="S560">
        <f t="shared" si="987"/>
        <v>-23920.212416409111</v>
      </c>
      <c r="T560">
        <f t="shared" si="988"/>
        <v>-23.920212416409111</v>
      </c>
    </row>
    <row r="561" spans="1:104" x14ac:dyDescent="0.25">
      <c r="A561" s="5">
        <v>44029</v>
      </c>
      <c r="B561">
        <v>2.8400000000000001E-3</v>
      </c>
      <c r="C561">
        <v>2.8900000000000002E-3</v>
      </c>
      <c r="D561">
        <v>2.7569999999999999E-3</v>
      </c>
      <c r="E561">
        <v>2.843E-3</v>
      </c>
      <c r="F561">
        <v>59287545</v>
      </c>
      <c r="G561">
        <v>0</v>
      </c>
      <c r="L561" t="s">
        <v>7</v>
      </c>
      <c r="M561" t="s">
        <v>7</v>
      </c>
      <c r="N561" t="s">
        <v>7</v>
      </c>
      <c r="P561">
        <f t="shared" si="984"/>
        <v>0.29323308270676601</v>
      </c>
      <c r="Q561">
        <f t="shared" si="985"/>
        <v>17385069.586466111</v>
      </c>
      <c r="R561">
        <f t="shared" si="986"/>
        <v>-2414492105.5551968</v>
      </c>
      <c r="S561">
        <f t="shared" si="987"/>
        <v>-24144.921055551968</v>
      </c>
      <c r="T561">
        <f t="shared" si="988"/>
        <v>-24.144921055551968</v>
      </c>
      <c r="CZ561" t="s">
        <v>7</v>
      </c>
    </row>
    <row r="562" spans="1:104" x14ac:dyDescent="0.25">
      <c r="A562" s="5">
        <v>44028</v>
      </c>
      <c r="B562">
        <v>2.8609999999999998E-3</v>
      </c>
      <c r="C562">
        <v>3.0439999999999998E-3</v>
      </c>
      <c r="D562">
        <v>2.7079999999999999E-3</v>
      </c>
      <c r="E562">
        <v>2.833E-3</v>
      </c>
      <c r="F562">
        <v>162956079</v>
      </c>
      <c r="G562">
        <v>0</v>
      </c>
      <c r="L562" t="s">
        <v>7</v>
      </c>
      <c r="M562" t="s">
        <v>7</v>
      </c>
      <c r="N562" t="s">
        <v>7</v>
      </c>
      <c r="P562">
        <f t="shared" si="984"/>
        <v>-0.25595238095238015</v>
      </c>
      <c r="Q562">
        <f t="shared" si="985"/>
        <v>-41708996.410714157</v>
      </c>
      <c r="R562">
        <f t="shared" si="986"/>
        <v>-2431877175.1416631</v>
      </c>
      <c r="S562">
        <f t="shared" si="987"/>
        <v>-24318.771751416632</v>
      </c>
      <c r="T562">
        <f t="shared" si="988"/>
        <v>-24.318771751416634</v>
      </c>
      <c r="CZ562" t="s">
        <v>7</v>
      </c>
    </row>
    <row r="563" spans="1:104" x14ac:dyDescent="0.25">
      <c r="A563" s="5">
        <v>44027</v>
      </c>
      <c r="B563">
        <v>2.9940000000000001E-3</v>
      </c>
      <c r="C563">
        <v>2.9940000000000001E-3</v>
      </c>
      <c r="D563">
        <v>2.8370000000000001E-3</v>
      </c>
      <c r="E563">
        <v>2.8630000000000001E-3</v>
      </c>
      <c r="F563">
        <v>97987430</v>
      </c>
      <c r="G563">
        <v>0</v>
      </c>
      <c r="L563" t="s">
        <v>7</v>
      </c>
      <c r="M563" t="s">
        <v>8</v>
      </c>
      <c r="N563" t="s">
        <v>7</v>
      </c>
      <c r="P563">
        <f t="shared" si="984"/>
        <v>-0.66878980891719775</v>
      </c>
      <c r="Q563">
        <f t="shared" si="985"/>
        <v>-65532994.585987292</v>
      </c>
      <c r="R563">
        <f t="shared" si="986"/>
        <v>-2390168178.7309489</v>
      </c>
      <c r="S563">
        <f t="shared" si="987"/>
        <v>-23901.681787309488</v>
      </c>
      <c r="T563">
        <f t="shared" si="988"/>
        <v>-23.901681787309489</v>
      </c>
      <c r="CZ563" t="s">
        <v>7</v>
      </c>
    </row>
    <row r="564" spans="1:104" x14ac:dyDescent="0.25">
      <c r="A564" s="5">
        <v>44026</v>
      </c>
      <c r="B564">
        <v>2.993E-3</v>
      </c>
      <c r="C564">
        <v>3.045E-3</v>
      </c>
      <c r="D564">
        <v>2.9199999999999999E-3</v>
      </c>
      <c r="E564">
        <v>2.9740000000000001E-3</v>
      </c>
      <c r="F564">
        <v>73967467</v>
      </c>
      <c r="G564">
        <v>0</v>
      </c>
      <c r="L564" t="s">
        <v>7</v>
      </c>
      <c r="M564" t="s">
        <v>8</v>
      </c>
      <c r="N564" t="s">
        <v>7</v>
      </c>
      <c r="P564">
        <f t="shared" si="984"/>
        <v>-0.13599999999999712</v>
      </c>
      <c r="Q564">
        <f t="shared" si="985"/>
        <v>-10059575.511999788</v>
      </c>
      <c r="R564">
        <f t="shared" si="986"/>
        <v>-2324635184.1449618</v>
      </c>
      <c r="S564">
        <f t="shared" si="987"/>
        <v>-23246.351841449617</v>
      </c>
      <c r="T564">
        <f t="shared" si="988"/>
        <v>-23.246351841449616</v>
      </c>
    </row>
    <row r="565" spans="1:104" x14ac:dyDescent="0.25">
      <c r="A565" s="5">
        <v>44025</v>
      </c>
      <c r="B565">
        <v>3.15E-3</v>
      </c>
      <c r="C565">
        <v>3.1689999999999999E-3</v>
      </c>
      <c r="D565">
        <v>2.911E-3</v>
      </c>
      <c r="E565">
        <v>2.9780000000000002E-3</v>
      </c>
      <c r="F565">
        <v>251956675</v>
      </c>
      <c r="G565">
        <v>0</v>
      </c>
      <c r="L565" t="s">
        <v>7</v>
      </c>
      <c r="M565" t="s">
        <v>8</v>
      </c>
      <c r="N565" t="s">
        <v>7</v>
      </c>
      <c r="P565">
        <f t="shared" si="984"/>
        <v>-0.48062015503875793</v>
      </c>
      <c r="Q565">
        <f t="shared" si="985"/>
        <v>-121095456.20154995</v>
      </c>
      <c r="R565">
        <f t="shared" si="986"/>
        <v>-2314575608.6329622</v>
      </c>
      <c r="S565">
        <f t="shared" si="987"/>
        <v>-23145.756086329624</v>
      </c>
      <c r="T565">
        <f t="shared" si="988"/>
        <v>-23.145756086329623</v>
      </c>
    </row>
    <row r="566" spans="1:104" x14ac:dyDescent="0.25">
      <c r="A566" s="5">
        <v>44024</v>
      </c>
      <c r="B566">
        <v>3.0000000000000001E-3</v>
      </c>
      <c r="C566">
        <v>3.202E-3</v>
      </c>
      <c r="D566">
        <v>2.918E-3</v>
      </c>
      <c r="E566">
        <v>3.15E-3</v>
      </c>
      <c r="F566">
        <v>261548224</v>
      </c>
      <c r="G566">
        <v>0</v>
      </c>
      <c r="L566" t="s">
        <v>8</v>
      </c>
      <c r="M566" t="s">
        <v>8</v>
      </c>
      <c r="N566" t="s">
        <v>7</v>
      </c>
      <c r="P566">
        <f t="shared" si="984"/>
        <v>0.63380281690140872</v>
      </c>
      <c r="Q566">
        <f t="shared" si="985"/>
        <v>165770001.12676063</v>
      </c>
      <c r="R566">
        <f t="shared" si="986"/>
        <v>-2193480152.4314122</v>
      </c>
      <c r="S566">
        <f t="shared" si="987"/>
        <v>-21934.801524314124</v>
      </c>
      <c r="T566">
        <f t="shared" si="988"/>
        <v>-21.934801524314125</v>
      </c>
    </row>
    <row r="567" spans="1:104" x14ac:dyDescent="0.25">
      <c r="A567" s="5">
        <v>44023</v>
      </c>
      <c r="B567">
        <v>2.879E-3</v>
      </c>
      <c r="C567">
        <v>3.0609999999999999E-3</v>
      </c>
      <c r="D567">
        <v>2.8310000000000002E-3</v>
      </c>
      <c r="E567">
        <v>2.9970000000000001E-3</v>
      </c>
      <c r="F567">
        <v>193419497</v>
      </c>
      <c r="G567">
        <v>0</v>
      </c>
      <c r="L567" t="s">
        <v>8</v>
      </c>
      <c r="M567" t="s">
        <v>8</v>
      </c>
      <c r="N567" t="s">
        <v>7</v>
      </c>
      <c r="P567">
        <f t="shared" si="984"/>
        <v>0.44347826086956615</v>
      </c>
      <c r="Q567">
        <f t="shared" si="985"/>
        <v>85777342.147826269</v>
      </c>
      <c r="R567">
        <f t="shared" si="986"/>
        <v>-2359250153.5581727</v>
      </c>
      <c r="S567">
        <f t="shared" si="987"/>
        <v>-23592.501535581727</v>
      </c>
      <c r="T567">
        <f t="shared" si="988"/>
        <v>-23.592501535581725</v>
      </c>
    </row>
    <row r="568" spans="1:104" x14ac:dyDescent="0.25">
      <c r="A568" s="5">
        <v>44022</v>
      </c>
      <c r="B568">
        <v>2.8890000000000001E-3</v>
      </c>
      <c r="C568">
        <v>2.905E-3</v>
      </c>
      <c r="D568">
        <v>2.7599999999999999E-3</v>
      </c>
      <c r="E568">
        <v>2.8930000000000002E-3</v>
      </c>
      <c r="F568">
        <v>101759336</v>
      </c>
      <c r="G568">
        <v>0</v>
      </c>
      <c r="L568" t="s">
        <v>7</v>
      </c>
      <c r="M568" t="s">
        <v>8</v>
      </c>
      <c r="N568" t="s">
        <v>7</v>
      </c>
      <c r="P568">
        <f t="shared" si="984"/>
        <v>0.83448275862069177</v>
      </c>
      <c r="Q568">
        <f t="shared" si="985"/>
        <v>84916411.420689866</v>
      </c>
      <c r="R568">
        <f t="shared" si="986"/>
        <v>-2445027495.7059989</v>
      </c>
      <c r="S568">
        <f t="shared" si="987"/>
        <v>-24450.274957059988</v>
      </c>
      <c r="T568">
        <f t="shared" si="988"/>
        <v>-24.450274957059989</v>
      </c>
    </row>
    <row r="569" spans="1:104" x14ac:dyDescent="0.25">
      <c r="A569" s="5">
        <v>44021</v>
      </c>
      <c r="B569">
        <v>2.8930000000000002E-3</v>
      </c>
      <c r="C569">
        <v>3.0309999999999998E-3</v>
      </c>
      <c r="D569">
        <v>2.8180000000000002E-3</v>
      </c>
      <c r="E569">
        <v>2.8890000000000001E-3</v>
      </c>
      <c r="F569">
        <v>165348445</v>
      </c>
      <c r="G569">
        <v>0</v>
      </c>
      <c r="L569" t="s">
        <v>8</v>
      </c>
      <c r="M569" t="s">
        <v>8</v>
      </c>
      <c r="N569" t="s">
        <v>7</v>
      </c>
      <c r="P569">
        <f t="shared" si="984"/>
        <v>-0.33333333333333331</v>
      </c>
      <c r="Q569">
        <f t="shared" si="985"/>
        <v>-55116148.333333328</v>
      </c>
      <c r="R569">
        <f t="shared" si="986"/>
        <v>-2529943907.126689</v>
      </c>
      <c r="S569">
        <f t="shared" si="987"/>
        <v>-25299.43907126689</v>
      </c>
      <c r="T569">
        <f t="shared" si="988"/>
        <v>-25.299439071266889</v>
      </c>
    </row>
    <row r="570" spans="1:104" x14ac:dyDescent="0.25">
      <c r="A570" s="5">
        <v>44020</v>
      </c>
      <c r="B570">
        <v>2.8400000000000001E-3</v>
      </c>
      <c r="C570">
        <v>2.9359999999999998E-3</v>
      </c>
      <c r="D570">
        <v>2.82E-3</v>
      </c>
      <c r="E570">
        <v>2.8930000000000002E-3</v>
      </c>
      <c r="F570">
        <v>151377994</v>
      </c>
      <c r="G570">
        <v>0</v>
      </c>
      <c r="L570" t="s">
        <v>8</v>
      </c>
      <c r="M570" t="s">
        <v>8</v>
      </c>
      <c r="N570" t="s">
        <v>7</v>
      </c>
      <c r="P570">
        <f t="shared" si="984"/>
        <v>0.25862068965517732</v>
      </c>
      <c r="Q570">
        <f t="shared" si="985"/>
        <v>39149481.206897296</v>
      </c>
      <c r="R570">
        <f t="shared" si="986"/>
        <v>-2474827758.7933555</v>
      </c>
      <c r="S570">
        <f t="shared" si="987"/>
        <v>-24748.277587933553</v>
      </c>
      <c r="T570">
        <f t="shared" si="988"/>
        <v>-24.748277587933554</v>
      </c>
    </row>
    <row r="571" spans="1:104" x14ac:dyDescent="0.25">
      <c r="A571" s="5">
        <v>44019</v>
      </c>
      <c r="B571">
        <v>2.9030000000000002E-3</v>
      </c>
      <c r="C571">
        <v>2.9420000000000002E-3</v>
      </c>
      <c r="D571">
        <v>2.8E-3</v>
      </c>
      <c r="E571">
        <v>2.8540000000000002E-3</v>
      </c>
      <c r="F571">
        <v>123786211</v>
      </c>
      <c r="G571">
        <v>0</v>
      </c>
      <c r="L571" t="s">
        <v>8</v>
      </c>
      <c r="M571" t="s">
        <v>8</v>
      </c>
      <c r="N571" t="s">
        <v>7</v>
      </c>
      <c r="P571">
        <f t="shared" si="984"/>
        <v>-0.23943661971830771</v>
      </c>
      <c r="Q571">
        <f t="shared" si="985"/>
        <v>-29638951.929577198</v>
      </c>
      <c r="R571">
        <f t="shared" si="986"/>
        <v>-2513977240.0002527</v>
      </c>
      <c r="S571">
        <f t="shared" si="987"/>
        <v>-25139.772400002526</v>
      </c>
      <c r="T571">
        <f t="shared" si="988"/>
        <v>-25.139772400002528</v>
      </c>
    </row>
    <row r="572" spans="1:104" x14ac:dyDescent="0.25">
      <c r="A572" s="5">
        <v>44018</v>
      </c>
      <c r="B572">
        <v>2.8900000000000002E-3</v>
      </c>
      <c r="C572">
        <v>2.9819999999999998E-3</v>
      </c>
      <c r="D572">
        <v>2.8579999999999999E-3</v>
      </c>
      <c r="E572">
        <v>2.9030000000000002E-3</v>
      </c>
      <c r="F572">
        <v>140672984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-0.27419354838709126</v>
      </c>
      <c r="Q572">
        <f t="shared" si="985"/>
        <v>-38571624.645160511</v>
      </c>
      <c r="R572">
        <f t="shared" si="986"/>
        <v>-2484338288.0706754</v>
      </c>
      <c r="S572">
        <f t="shared" si="987"/>
        <v>-24843.382880706755</v>
      </c>
      <c r="T572">
        <f t="shared" si="988"/>
        <v>-24.843382880706756</v>
      </c>
    </row>
    <row r="573" spans="1:104" x14ac:dyDescent="0.25">
      <c r="A573" s="5">
        <v>44017</v>
      </c>
      <c r="B573">
        <v>3.0730000000000002E-3</v>
      </c>
      <c r="C573">
        <v>3.1389999999999999E-3</v>
      </c>
      <c r="D573">
        <v>2.7399999999999998E-3</v>
      </c>
      <c r="E573">
        <v>2.8770000000000002E-3</v>
      </c>
      <c r="F573">
        <v>180323508</v>
      </c>
      <c r="G573">
        <v>0</v>
      </c>
      <c r="L573" t="s">
        <v>7</v>
      </c>
      <c r="M573" t="s">
        <v>8</v>
      </c>
      <c r="N573" t="s">
        <v>7</v>
      </c>
      <c r="P573">
        <f t="shared" si="984"/>
        <v>-0.31328320802004817</v>
      </c>
      <c r="Q573">
        <f t="shared" si="985"/>
        <v>-56492327.067668818</v>
      </c>
      <c r="R573">
        <f t="shared" si="986"/>
        <v>-2445766663.4255147</v>
      </c>
      <c r="S573">
        <f t="shared" si="987"/>
        <v>-24457.666634255147</v>
      </c>
      <c r="T573">
        <f t="shared" si="988"/>
        <v>-24.457666634255148</v>
      </c>
    </row>
    <row r="574" spans="1:104" x14ac:dyDescent="0.25">
      <c r="A574" s="5">
        <v>44016</v>
      </c>
      <c r="B574">
        <v>2.7720000000000002E-3</v>
      </c>
      <c r="C574">
        <v>3.1540000000000001E-3</v>
      </c>
      <c r="D574">
        <v>2.686E-3</v>
      </c>
      <c r="E574">
        <v>3.0509999999999999E-3</v>
      </c>
      <c r="F574">
        <v>270459489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0.55982905982905895</v>
      </c>
      <c r="Q574">
        <f t="shared" si="985"/>
        <v>151411081.44871771</v>
      </c>
      <c r="R574">
        <f t="shared" si="986"/>
        <v>-2389274336.3578458</v>
      </c>
      <c r="S574">
        <f t="shared" si="987"/>
        <v>-23892.743363578458</v>
      </c>
      <c r="T574">
        <f t="shared" si="988"/>
        <v>-23.892743363578457</v>
      </c>
    </row>
    <row r="575" spans="1:104" x14ac:dyDescent="0.25">
      <c r="A575" s="5">
        <v>44015</v>
      </c>
      <c r="B575">
        <v>2.7620000000000001E-3</v>
      </c>
      <c r="C575">
        <v>2.8E-3</v>
      </c>
      <c r="D575">
        <v>2.6510000000000001E-3</v>
      </c>
      <c r="E575">
        <v>2.7659999999999998E-3</v>
      </c>
      <c r="F575">
        <v>63049926</v>
      </c>
      <c r="G575">
        <v>0</v>
      </c>
      <c r="L575" t="s">
        <v>8</v>
      </c>
      <c r="M575" t="s">
        <v>7</v>
      </c>
      <c r="N575" t="s">
        <v>7</v>
      </c>
      <c r="P575">
        <f t="shared" si="984"/>
        <v>0.54362416107382261</v>
      </c>
      <c r="Q575">
        <f t="shared" si="985"/>
        <v>34275463.127516598</v>
      </c>
      <c r="R575">
        <f t="shared" si="986"/>
        <v>-2540685417.8065634</v>
      </c>
      <c r="S575">
        <f t="shared" si="987"/>
        <v>-25406.854178065634</v>
      </c>
      <c r="T575">
        <f t="shared" si="988"/>
        <v>-25.406854178065633</v>
      </c>
    </row>
    <row r="576" spans="1:104" x14ac:dyDescent="0.25">
      <c r="A576" s="5">
        <v>44014</v>
      </c>
      <c r="B576">
        <v>2.725E-3</v>
      </c>
      <c r="C576">
        <v>2.8500000000000001E-3</v>
      </c>
      <c r="D576">
        <v>2.5010000000000002E-3</v>
      </c>
      <c r="E576">
        <v>2.7520000000000001E-3</v>
      </c>
      <c r="F576">
        <v>224292721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0.43839541547277927</v>
      </c>
      <c r="Q576">
        <f t="shared" si="985"/>
        <v>98328900.610315159</v>
      </c>
      <c r="R576">
        <f t="shared" si="986"/>
        <v>-2574960880.9340801</v>
      </c>
      <c r="S576">
        <f t="shared" si="987"/>
        <v>-25749.6088093408</v>
      </c>
      <c r="T576">
        <f t="shared" si="988"/>
        <v>-25.749608809340799</v>
      </c>
    </row>
    <row r="577" spans="1:20" x14ac:dyDescent="0.25">
      <c r="A577" s="5">
        <v>44013</v>
      </c>
      <c r="B577">
        <v>2.7439999999999999E-3</v>
      </c>
      <c r="C577">
        <v>2.784E-3</v>
      </c>
      <c r="D577">
        <v>2.7100000000000002E-3</v>
      </c>
      <c r="E577">
        <v>2.7200000000000002E-3</v>
      </c>
      <c r="F577">
        <v>104517377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-0.72972972972972849</v>
      </c>
      <c r="Q577">
        <f t="shared" si="985"/>
        <v>-76269437.270270139</v>
      </c>
      <c r="R577">
        <f t="shared" si="986"/>
        <v>-2673289781.5443954</v>
      </c>
      <c r="S577">
        <f t="shared" si="987"/>
        <v>-26732.897815443954</v>
      </c>
      <c r="T577">
        <f t="shared" si="988"/>
        <v>-26.732897815443955</v>
      </c>
    </row>
    <row r="578" spans="1:20" x14ac:dyDescent="0.25">
      <c r="A578" s="5">
        <v>44012</v>
      </c>
      <c r="B578">
        <v>2.8519999999999999E-3</v>
      </c>
      <c r="C578">
        <v>3.0630000000000002E-3</v>
      </c>
      <c r="D578">
        <v>2.6800000000000001E-3</v>
      </c>
      <c r="E578">
        <v>2.758E-3</v>
      </c>
      <c r="F578">
        <v>445760062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-0.5926892950391649</v>
      </c>
      <c r="Q578">
        <f t="shared" si="985"/>
        <v>-264197216.90339443</v>
      </c>
      <c r="R578">
        <f t="shared" si="986"/>
        <v>-2597020344.2741251</v>
      </c>
      <c r="S578">
        <f t="shared" si="987"/>
        <v>-25970.203442741251</v>
      </c>
      <c r="T578">
        <f t="shared" si="988"/>
        <v>-25.970203442741251</v>
      </c>
    </row>
    <row r="579" spans="1:20" x14ac:dyDescent="0.25">
      <c r="A579" s="5">
        <v>44011</v>
      </c>
      <c r="B579">
        <v>3.0539999999999999E-3</v>
      </c>
      <c r="C579">
        <v>3.0860000000000002E-3</v>
      </c>
      <c r="D579">
        <v>2.8089999999999999E-3</v>
      </c>
      <c r="E579">
        <v>2.8519999999999999E-3</v>
      </c>
      <c r="F579">
        <v>184254615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-0.68953068592057754</v>
      </c>
      <c r="Q579">
        <f t="shared" si="985"/>
        <v>-127049211.06498194</v>
      </c>
      <c r="R579">
        <f t="shared" si="986"/>
        <v>-2332823127.3707309</v>
      </c>
      <c r="S579">
        <f t="shared" si="987"/>
        <v>-23328.231273707308</v>
      </c>
      <c r="T579">
        <f t="shared" si="988"/>
        <v>-23.328231273707306</v>
      </c>
    </row>
    <row r="580" spans="1:20" x14ac:dyDescent="0.25">
      <c r="A580" s="5">
        <v>44010</v>
      </c>
      <c r="B580">
        <v>2.8470000000000001E-3</v>
      </c>
      <c r="C580">
        <v>3.2490000000000002E-3</v>
      </c>
      <c r="D580">
        <v>2.8379999999999998E-3</v>
      </c>
      <c r="E580">
        <v>3.0739999999999999E-3</v>
      </c>
      <c r="F580">
        <v>157840310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0.14841849148418446</v>
      </c>
      <c r="Q580">
        <f t="shared" si="985"/>
        <v>23426420.705596033</v>
      </c>
      <c r="R580">
        <f t="shared" si="986"/>
        <v>-2205773916.3057489</v>
      </c>
      <c r="S580">
        <f t="shared" si="987"/>
        <v>-22057.739163057489</v>
      </c>
      <c r="T580">
        <f t="shared" si="988"/>
        <v>-22.057739163057491</v>
      </c>
    </row>
    <row r="581" spans="1:20" x14ac:dyDescent="0.25">
      <c r="A581" s="5">
        <v>44009</v>
      </c>
      <c r="B581">
        <v>3.1110000000000001E-3</v>
      </c>
      <c r="C581">
        <v>3.2030000000000001E-3</v>
      </c>
      <c r="D581">
        <v>2.7959999999999999E-3</v>
      </c>
      <c r="E581">
        <v>2.8500000000000001E-3</v>
      </c>
      <c r="F581">
        <v>158519256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-0.73464373464373367</v>
      </c>
      <c r="Q581">
        <f t="shared" si="985"/>
        <v>-116455178.24078609</v>
      </c>
      <c r="R581">
        <f t="shared" si="986"/>
        <v>-2229200337.0113449</v>
      </c>
      <c r="S581">
        <f t="shared" si="987"/>
        <v>-22292.003370113449</v>
      </c>
      <c r="T581">
        <f t="shared" si="988"/>
        <v>-22.292003370113449</v>
      </c>
    </row>
    <row r="582" spans="1:20" x14ac:dyDescent="0.25">
      <c r="A582" s="5">
        <v>44008</v>
      </c>
      <c r="B582">
        <v>3.408E-3</v>
      </c>
      <c r="C582">
        <v>3.441E-3</v>
      </c>
      <c r="D582">
        <v>3.0630000000000002E-3</v>
      </c>
      <c r="E582">
        <v>3.101E-3</v>
      </c>
      <c r="F582">
        <v>199550840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-0.79894179894179973</v>
      </c>
      <c r="Q582">
        <f t="shared" ref="Q582:Q645" si="990">F582*P582</f>
        <v>-159429507.08994725</v>
      </c>
      <c r="R582">
        <f t="shared" ref="R582:R645" si="991">R583+Q582</f>
        <v>-2112745158.7705586</v>
      </c>
      <c r="S582">
        <f t="shared" ref="S582:S645" si="992">R582/100000</f>
        <v>-21127.451587705586</v>
      </c>
      <c r="T582">
        <f t="shared" ref="T582:T645" si="993">S582/1000</f>
        <v>-21.127451587705586</v>
      </c>
    </row>
    <row r="583" spans="1:20" x14ac:dyDescent="0.25">
      <c r="A583" s="5">
        <v>44007</v>
      </c>
      <c r="B583">
        <v>3.5950000000000001E-3</v>
      </c>
      <c r="C583">
        <v>3.7590000000000002E-3</v>
      </c>
      <c r="D583">
        <v>3.3999999999999998E-3</v>
      </c>
      <c r="E583">
        <v>3.4269999999999999E-3</v>
      </c>
      <c r="F583">
        <v>198873959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-0.84958217270194936</v>
      </c>
      <c r="Q583">
        <f t="shared" si="990"/>
        <v>-168959770.18105841</v>
      </c>
      <c r="R583">
        <f t="shared" si="991"/>
        <v>-1953315651.6806114</v>
      </c>
      <c r="S583">
        <f t="shared" si="992"/>
        <v>-19533.156516806113</v>
      </c>
      <c r="T583">
        <f t="shared" si="993"/>
        <v>-19.533156516806113</v>
      </c>
    </row>
    <row r="584" spans="1:20" x14ac:dyDescent="0.25">
      <c r="A584" s="5">
        <v>44006</v>
      </c>
      <c r="B584">
        <v>3.5980000000000001E-3</v>
      </c>
      <c r="C584">
        <v>3.702E-3</v>
      </c>
      <c r="D584">
        <v>3.2729999999999999E-3</v>
      </c>
      <c r="E584">
        <v>3.6029999999999999E-3</v>
      </c>
      <c r="F584">
        <v>403902519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0.53846153846153799</v>
      </c>
      <c r="Q584">
        <f t="shared" si="990"/>
        <v>217485971.76923057</v>
      </c>
      <c r="R584">
        <f t="shared" si="991"/>
        <v>-1784355881.499553</v>
      </c>
      <c r="S584">
        <f t="shared" si="992"/>
        <v>-17843.558814995529</v>
      </c>
      <c r="T584">
        <f t="shared" si="993"/>
        <v>-17.843558814995529</v>
      </c>
    </row>
    <row r="585" spans="1:20" x14ac:dyDescent="0.25">
      <c r="A585" s="5">
        <v>44005</v>
      </c>
      <c r="B585">
        <v>3.8779999999999999E-3</v>
      </c>
      <c r="C585">
        <v>3.9569999999999996E-3</v>
      </c>
      <c r="D585">
        <v>3.5980000000000001E-3</v>
      </c>
      <c r="E585">
        <v>3.5980000000000001E-3</v>
      </c>
      <c r="F585">
        <v>150489599</v>
      </c>
      <c r="G585">
        <v>0</v>
      </c>
      <c r="L585" t="s">
        <v>8</v>
      </c>
      <c r="M585" t="s">
        <v>7</v>
      </c>
      <c r="N585" t="s">
        <v>7</v>
      </c>
      <c r="P585">
        <f t="shared" si="989"/>
        <v>-1</v>
      </c>
      <c r="Q585">
        <f t="shared" si="990"/>
        <v>-150489599</v>
      </c>
      <c r="R585">
        <f t="shared" si="991"/>
        <v>-2001841853.2687836</v>
      </c>
      <c r="S585">
        <f t="shared" si="992"/>
        <v>-20018.418532687836</v>
      </c>
      <c r="T585">
        <f t="shared" si="993"/>
        <v>-20.018418532687836</v>
      </c>
    </row>
    <row r="586" spans="1:20" x14ac:dyDescent="0.25">
      <c r="A586" s="5">
        <v>44004</v>
      </c>
      <c r="B586">
        <v>3.973E-3</v>
      </c>
      <c r="C586">
        <v>4.1000000000000003E-3</v>
      </c>
      <c r="D586">
        <v>3.5699999999999998E-3</v>
      </c>
      <c r="E586">
        <v>3.8779999999999999E-3</v>
      </c>
      <c r="F586">
        <v>460895013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0.1622641509433955</v>
      </c>
      <c r="Q586">
        <f t="shared" si="990"/>
        <v>74786737.958490223</v>
      </c>
      <c r="R586">
        <f t="shared" si="991"/>
        <v>-1851352254.2687836</v>
      </c>
      <c r="S586">
        <f t="shared" si="992"/>
        <v>-18513.522542687835</v>
      </c>
      <c r="T586">
        <f t="shared" si="993"/>
        <v>-18.513522542687834</v>
      </c>
    </row>
    <row r="587" spans="1:20" x14ac:dyDescent="0.25">
      <c r="A587" s="5">
        <v>44003</v>
      </c>
      <c r="B587">
        <v>4.5250000000000004E-3</v>
      </c>
      <c r="C587">
        <v>4.5580000000000004E-3</v>
      </c>
      <c r="D587">
        <v>3.79E-3</v>
      </c>
      <c r="E587">
        <v>3.973E-3</v>
      </c>
      <c r="F587">
        <v>249305174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-0.52343750000000022</v>
      </c>
      <c r="Q587">
        <f t="shared" si="990"/>
        <v>-130495677.01562506</v>
      </c>
      <c r="R587">
        <f t="shared" si="991"/>
        <v>-1926138992.2272737</v>
      </c>
      <c r="S587">
        <f t="shared" si="992"/>
        <v>-19261.389922272738</v>
      </c>
      <c r="T587">
        <f t="shared" si="993"/>
        <v>-19.261389922272738</v>
      </c>
    </row>
    <row r="588" spans="1:20" x14ac:dyDescent="0.25">
      <c r="A588" s="5">
        <v>44002</v>
      </c>
      <c r="B588">
        <v>4.4039999999999999E-3</v>
      </c>
      <c r="C588">
        <v>4.7000000000000002E-3</v>
      </c>
      <c r="D588">
        <v>4.3499999999999997E-3</v>
      </c>
      <c r="E588">
        <v>4.5240000000000002E-3</v>
      </c>
      <c r="F588">
        <v>88327184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-5.7142857142839865E-3</v>
      </c>
      <c r="Q588">
        <f t="shared" si="990"/>
        <v>-504726.7657141331</v>
      </c>
      <c r="R588">
        <f t="shared" si="991"/>
        <v>-1795643315.2116487</v>
      </c>
      <c r="S588">
        <f t="shared" si="992"/>
        <v>-17956.433152116486</v>
      </c>
      <c r="T588">
        <f t="shared" si="993"/>
        <v>-17.956433152116485</v>
      </c>
    </row>
    <row r="589" spans="1:20" x14ac:dyDescent="0.25">
      <c r="A589" s="5">
        <v>44001</v>
      </c>
      <c r="B589">
        <v>4.6439999999999997E-3</v>
      </c>
      <c r="C589">
        <v>4.6439999999999997E-3</v>
      </c>
      <c r="D589">
        <v>4.2399999999999998E-3</v>
      </c>
      <c r="E589">
        <v>4.3899999999999998E-3</v>
      </c>
      <c r="F589">
        <v>207062309</v>
      </c>
      <c r="G589">
        <v>0</v>
      </c>
      <c r="L589" t="s">
        <v>7</v>
      </c>
      <c r="M589" t="s">
        <v>8</v>
      </c>
      <c r="N589" t="s">
        <v>8</v>
      </c>
      <c r="P589">
        <f t="shared" si="989"/>
        <v>-0.25742574257425732</v>
      </c>
      <c r="Q589">
        <f t="shared" si="990"/>
        <v>-53303168.653465323</v>
      </c>
      <c r="R589">
        <f t="shared" si="991"/>
        <v>-1795138588.4459345</v>
      </c>
      <c r="S589">
        <f t="shared" si="992"/>
        <v>-17951.385884459345</v>
      </c>
      <c r="T589">
        <f t="shared" si="993"/>
        <v>-17.951385884459345</v>
      </c>
    </row>
    <row r="590" spans="1:20" x14ac:dyDescent="0.25">
      <c r="A590" s="5">
        <v>44000</v>
      </c>
      <c r="B590">
        <v>4.3470000000000002E-3</v>
      </c>
      <c r="C590">
        <v>4.9639999999999997E-3</v>
      </c>
      <c r="D590">
        <v>4.156E-3</v>
      </c>
      <c r="E590">
        <v>4.6100000000000004E-3</v>
      </c>
      <c r="F590">
        <v>288478195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0.1237623762376252</v>
      </c>
      <c r="Q590">
        <f t="shared" si="990"/>
        <v>35702746.90594101</v>
      </c>
      <c r="R590">
        <f t="shared" si="991"/>
        <v>-1741835419.7924693</v>
      </c>
      <c r="S590">
        <f t="shared" si="992"/>
        <v>-17418.354197924691</v>
      </c>
      <c r="T590">
        <f t="shared" si="993"/>
        <v>-17.418354197924693</v>
      </c>
    </row>
    <row r="591" spans="1:20" x14ac:dyDescent="0.25">
      <c r="A591" s="5">
        <v>43999</v>
      </c>
      <c r="B591">
        <v>4.3930000000000002E-3</v>
      </c>
      <c r="C591">
        <v>4.4299999999999999E-3</v>
      </c>
      <c r="D591">
        <v>4.032E-3</v>
      </c>
      <c r="E591">
        <v>4.3470000000000002E-3</v>
      </c>
      <c r="F591">
        <v>175027595</v>
      </c>
      <c r="G591">
        <v>0</v>
      </c>
      <c r="L591" t="s">
        <v>7</v>
      </c>
      <c r="M591" t="s">
        <v>7</v>
      </c>
      <c r="N591" t="s">
        <v>8</v>
      </c>
      <c r="P591">
        <f t="shared" si="989"/>
        <v>0.5829145728643228</v>
      </c>
      <c r="Q591">
        <f t="shared" si="990"/>
        <v>102026135.77889468</v>
      </c>
      <c r="R591">
        <f t="shared" si="991"/>
        <v>-1777538166.6984103</v>
      </c>
      <c r="S591">
        <f t="shared" si="992"/>
        <v>-17775.381666984104</v>
      </c>
      <c r="T591">
        <f t="shared" si="993"/>
        <v>-17.775381666984103</v>
      </c>
    </row>
    <row r="592" spans="1:20" x14ac:dyDescent="0.25">
      <c r="A592" s="5">
        <v>43998</v>
      </c>
      <c r="B592">
        <v>4.248E-3</v>
      </c>
      <c r="C592">
        <v>4.4279999999999996E-3</v>
      </c>
      <c r="D592">
        <v>4.0000000000000001E-3</v>
      </c>
      <c r="E592">
        <v>4.3629999999999997E-3</v>
      </c>
      <c r="F592">
        <v>142661761</v>
      </c>
      <c r="G592">
        <v>0</v>
      </c>
      <c r="L592" t="s">
        <v>8</v>
      </c>
      <c r="M592" t="s">
        <v>7</v>
      </c>
      <c r="N592" t="s">
        <v>8</v>
      </c>
      <c r="P592">
        <f t="shared" si="989"/>
        <v>0.69626168224299056</v>
      </c>
      <c r="Q592">
        <f t="shared" si="990"/>
        <v>99329917.705607459</v>
      </c>
      <c r="R592">
        <f t="shared" si="991"/>
        <v>-1879564302.4773049</v>
      </c>
      <c r="S592">
        <f t="shared" si="992"/>
        <v>-18795.64302477305</v>
      </c>
      <c r="T592">
        <f t="shared" si="993"/>
        <v>-18.795643024773049</v>
      </c>
    </row>
    <row r="593" spans="1:20" x14ac:dyDescent="0.25">
      <c r="A593" s="5">
        <v>43997</v>
      </c>
      <c r="B593">
        <v>4.3039999999999997E-3</v>
      </c>
      <c r="C593">
        <v>4.3290000000000004E-3</v>
      </c>
      <c r="D593">
        <v>3.7720000000000002E-3</v>
      </c>
      <c r="E593">
        <v>4.248E-3</v>
      </c>
      <c r="F593">
        <v>220609757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0.70915619389586959</v>
      </c>
      <c r="Q593">
        <f t="shared" si="990"/>
        <v>156446775.61041269</v>
      </c>
      <c r="R593">
        <f t="shared" si="991"/>
        <v>-1978894220.1829123</v>
      </c>
      <c r="S593">
        <f t="shared" si="992"/>
        <v>-19788.942201829122</v>
      </c>
      <c r="T593">
        <f t="shared" si="993"/>
        <v>-19.788942201829123</v>
      </c>
    </row>
    <row r="594" spans="1:20" x14ac:dyDescent="0.25">
      <c r="A594" s="5">
        <v>43996</v>
      </c>
      <c r="B594">
        <v>4.1609999999999998E-3</v>
      </c>
      <c r="C594">
        <v>4.6039999999999996E-3</v>
      </c>
      <c r="D594">
        <v>4.0730000000000002E-3</v>
      </c>
      <c r="E594">
        <v>4.3039999999999997E-3</v>
      </c>
      <c r="F594">
        <v>256835310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-0.12994350282485984</v>
      </c>
      <c r="Q594">
        <f t="shared" si="990"/>
        <v>-33374079.83050875</v>
      </c>
      <c r="R594">
        <f t="shared" si="991"/>
        <v>-2135340995.7933249</v>
      </c>
      <c r="S594">
        <f t="shared" si="992"/>
        <v>-21353.409957933251</v>
      </c>
      <c r="T594">
        <f t="shared" si="993"/>
        <v>-21.353409957933252</v>
      </c>
    </row>
    <row r="595" spans="1:20" x14ac:dyDescent="0.25">
      <c r="A595" s="5">
        <v>43995</v>
      </c>
      <c r="B595">
        <v>4.0289999999999996E-3</v>
      </c>
      <c r="C595">
        <v>4.346E-3</v>
      </c>
      <c r="D595">
        <v>4.0280000000000003E-3</v>
      </c>
      <c r="E595">
        <v>4.1609999999999998E-3</v>
      </c>
      <c r="F595">
        <v>137955763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-0.16352201257861912</v>
      </c>
      <c r="Q595">
        <f t="shared" si="990"/>
        <v>-22558804.012578998</v>
      </c>
      <c r="R595">
        <f t="shared" si="991"/>
        <v>-2101966915.9628162</v>
      </c>
      <c r="S595">
        <f t="shared" si="992"/>
        <v>-21019.669159628163</v>
      </c>
      <c r="T595">
        <f t="shared" si="993"/>
        <v>-21.019669159628162</v>
      </c>
    </row>
    <row r="596" spans="1:20" x14ac:dyDescent="0.25">
      <c r="A596" s="5">
        <v>43994</v>
      </c>
      <c r="B596">
        <v>3.6159999999999999E-3</v>
      </c>
      <c r="C596">
        <v>4.248E-3</v>
      </c>
      <c r="D596">
        <v>3.5999999999999999E-3</v>
      </c>
      <c r="E596">
        <v>4.0400000000000002E-3</v>
      </c>
      <c r="F596">
        <v>214426601</v>
      </c>
      <c r="G596">
        <v>0</v>
      </c>
      <c r="L596" t="s">
        <v>8</v>
      </c>
      <c r="M596" t="s">
        <v>8</v>
      </c>
      <c r="N596" t="s">
        <v>8</v>
      </c>
      <c r="P596">
        <f t="shared" si="989"/>
        <v>0.35802469135802528</v>
      </c>
      <c r="Q596">
        <f t="shared" si="990"/>
        <v>76770017.641975433</v>
      </c>
      <c r="R596">
        <f t="shared" si="991"/>
        <v>-2079408111.9502373</v>
      </c>
      <c r="S596">
        <f t="shared" si="992"/>
        <v>-20794.081119502374</v>
      </c>
      <c r="T596">
        <f t="shared" si="993"/>
        <v>-20.794081119502373</v>
      </c>
    </row>
    <row r="597" spans="1:20" x14ac:dyDescent="0.25">
      <c r="A597" s="5">
        <v>43993</v>
      </c>
      <c r="B597">
        <v>4.0899999999999999E-3</v>
      </c>
      <c r="C597">
        <v>4.2630000000000003E-3</v>
      </c>
      <c r="D597">
        <v>3.4989999999999999E-3</v>
      </c>
      <c r="E597">
        <v>3.6310000000000001E-3</v>
      </c>
      <c r="F597">
        <v>291709286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-0.65445026178010446</v>
      </c>
      <c r="Q597">
        <f t="shared" si="990"/>
        <v>-190909218.58638737</v>
      </c>
      <c r="R597">
        <f t="shared" si="991"/>
        <v>-2156178129.5922127</v>
      </c>
      <c r="S597">
        <f t="shared" si="992"/>
        <v>-21561.781295922126</v>
      </c>
      <c r="T597">
        <f t="shared" si="993"/>
        <v>-21.561781295922128</v>
      </c>
    </row>
    <row r="598" spans="1:20" x14ac:dyDescent="0.25">
      <c r="A598" s="5">
        <v>43992</v>
      </c>
      <c r="B598">
        <v>4.1200000000000004E-3</v>
      </c>
      <c r="C598">
        <v>4.3049999999999998E-3</v>
      </c>
      <c r="D598">
        <v>3.973E-3</v>
      </c>
      <c r="E598">
        <v>4.0889999999999998E-3</v>
      </c>
      <c r="F598">
        <v>138063913</v>
      </c>
      <c r="G598">
        <v>0</v>
      </c>
      <c r="L598" t="s">
        <v>7</v>
      </c>
      <c r="M598" t="s">
        <v>8</v>
      </c>
      <c r="N598" t="s">
        <v>8</v>
      </c>
      <c r="P598">
        <f t="shared" si="989"/>
        <v>-0.3012048192771094</v>
      </c>
      <c r="Q598">
        <f t="shared" si="990"/>
        <v>-41585515.963855557</v>
      </c>
      <c r="R598">
        <f t="shared" si="991"/>
        <v>-1965268911.0058255</v>
      </c>
      <c r="S598">
        <f t="shared" si="992"/>
        <v>-19652.689110058254</v>
      </c>
      <c r="T598">
        <f t="shared" si="993"/>
        <v>-19.652689110058255</v>
      </c>
    </row>
    <row r="599" spans="1:20" x14ac:dyDescent="0.25">
      <c r="A599" s="5">
        <v>43991</v>
      </c>
      <c r="B599">
        <v>4.1790000000000004E-3</v>
      </c>
      <c r="C599">
        <v>4.5539999999999999E-3</v>
      </c>
      <c r="D599">
        <v>3.8999999999999998E-3</v>
      </c>
      <c r="E599">
        <v>4.1180000000000001E-3</v>
      </c>
      <c r="F599">
        <v>281786125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-0.33333333333333243</v>
      </c>
      <c r="Q599">
        <f t="shared" si="990"/>
        <v>-93928708.333333075</v>
      </c>
      <c r="R599">
        <f t="shared" si="991"/>
        <v>-1923683395.04197</v>
      </c>
      <c r="S599">
        <f t="shared" si="992"/>
        <v>-19236.833950419699</v>
      </c>
      <c r="T599">
        <f t="shared" si="993"/>
        <v>-19.236833950419701</v>
      </c>
    </row>
    <row r="600" spans="1:20" x14ac:dyDescent="0.25">
      <c r="A600" s="5">
        <v>43990</v>
      </c>
      <c r="B600">
        <v>3.7940000000000001E-3</v>
      </c>
      <c r="C600">
        <v>4.3709999999999999E-3</v>
      </c>
      <c r="D600">
        <v>3.751E-3</v>
      </c>
      <c r="E600">
        <v>4.1479999999999998E-3</v>
      </c>
      <c r="F600">
        <v>177790637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0.28064516129032213</v>
      </c>
      <c r="Q600">
        <f t="shared" si="990"/>
        <v>49896081.996774115</v>
      </c>
      <c r="R600">
        <f t="shared" si="991"/>
        <v>-1829754686.708637</v>
      </c>
      <c r="S600">
        <f t="shared" si="992"/>
        <v>-18297.54686708637</v>
      </c>
      <c r="T600">
        <f t="shared" si="993"/>
        <v>-18.297546867086371</v>
      </c>
    </row>
    <row r="601" spans="1:20" x14ac:dyDescent="0.25">
      <c r="A601" s="5">
        <v>43989</v>
      </c>
      <c r="B601">
        <v>3.846E-3</v>
      </c>
      <c r="C601">
        <v>3.8530000000000001E-3</v>
      </c>
      <c r="D601">
        <v>3.4559999999999999E-3</v>
      </c>
      <c r="E601">
        <v>3.7940000000000001E-3</v>
      </c>
      <c r="F601">
        <v>89590348</v>
      </c>
      <c r="G601">
        <v>0</v>
      </c>
      <c r="L601" t="s">
        <v>7</v>
      </c>
      <c r="M601" t="s">
        <v>7</v>
      </c>
      <c r="N601" t="s">
        <v>8</v>
      </c>
      <c r="P601">
        <f t="shared" si="989"/>
        <v>0.70277078085642319</v>
      </c>
      <c r="Q601">
        <f t="shared" si="990"/>
        <v>62961478.821158692</v>
      </c>
      <c r="R601">
        <f t="shared" si="991"/>
        <v>-1879650768.7054112</v>
      </c>
      <c r="S601">
        <f t="shared" si="992"/>
        <v>-18796.507687054112</v>
      </c>
      <c r="T601">
        <f t="shared" si="993"/>
        <v>-18.796507687054113</v>
      </c>
    </row>
    <row r="602" spans="1:20" x14ac:dyDescent="0.25">
      <c r="A602" s="5">
        <v>43988</v>
      </c>
      <c r="B602">
        <v>3.5500000000000002E-3</v>
      </c>
      <c r="C602">
        <v>3.8479999999999999E-3</v>
      </c>
      <c r="D602">
        <v>3.5130000000000001E-3</v>
      </c>
      <c r="E602">
        <v>3.846E-3</v>
      </c>
      <c r="F602">
        <v>75281671</v>
      </c>
      <c r="G602">
        <v>0</v>
      </c>
      <c r="L602" t="s">
        <v>8</v>
      </c>
      <c r="M602" t="s">
        <v>7</v>
      </c>
      <c r="N602" t="s">
        <v>8</v>
      </c>
      <c r="P602">
        <f t="shared" si="989"/>
        <v>0.9880597014925383</v>
      </c>
      <c r="Q602">
        <f t="shared" si="990"/>
        <v>74382785.37611948</v>
      </c>
      <c r="R602">
        <f t="shared" si="991"/>
        <v>-1942612247.5265698</v>
      </c>
      <c r="S602">
        <f t="shared" si="992"/>
        <v>-19426.1224752657</v>
      </c>
      <c r="T602">
        <f t="shared" si="993"/>
        <v>-19.4261224752657</v>
      </c>
    </row>
    <row r="603" spans="1:20" x14ac:dyDescent="0.25">
      <c r="A603" s="5">
        <v>43987</v>
      </c>
      <c r="B603">
        <v>3.7060000000000001E-3</v>
      </c>
      <c r="C603">
        <v>3.9029999999999998E-3</v>
      </c>
      <c r="D603">
        <v>3.4610000000000001E-3</v>
      </c>
      <c r="E603">
        <v>3.5739999999999999E-3</v>
      </c>
      <c r="F603">
        <v>141641327</v>
      </c>
      <c r="G603">
        <v>0</v>
      </c>
      <c r="L603" t="s">
        <v>7</v>
      </c>
      <c r="M603" t="s">
        <v>7</v>
      </c>
      <c r="N603" t="s">
        <v>8</v>
      </c>
      <c r="P603">
        <f t="shared" si="989"/>
        <v>-0.48868778280543029</v>
      </c>
      <c r="Q603">
        <f t="shared" si="990"/>
        <v>-69218386.045248926</v>
      </c>
      <c r="R603">
        <f t="shared" si="991"/>
        <v>-2016995032.9026892</v>
      </c>
      <c r="S603">
        <f t="shared" si="992"/>
        <v>-20169.950329026891</v>
      </c>
      <c r="T603">
        <f t="shared" si="993"/>
        <v>-20.169950329026893</v>
      </c>
    </row>
    <row r="604" spans="1:20" x14ac:dyDescent="0.25">
      <c r="A604" s="5">
        <v>43986</v>
      </c>
      <c r="B604">
        <v>3.6809999999999998E-3</v>
      </c>
      <c r="C604">
        <v>4.0530000000000002E-3</v>
      </c>
      <c r="D604">
        <v>3.5990000000000002E-3</v>
      </c>
      <c r="E604">
        <v>3.666E-3</v>
      </c>
      <c r="F604">
        <v>197732678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-0.70484581497797449</v>
      </c>
      <c r="Q604">
        <f t="shared" si="990"/>
        <v>-139371050.57268742</v>
      </c>
      <c r="R604">
        <f t="shared" si="991"/>
        <v>-1947776646.8574402</v>
      </c>
      <c r="S604">
        <f t="shared" si="992"/>
        <v>-19477.766468574402</v>
      </c>
      <c r="T604">
        <f t="shared" si="993"/>
        <v>-19.477766468574401</v>
      </c>
    </row>
    <row r="605" spans="1:20" x14ac:dyDescent="0.25">
      <c r="A605" s="5">
        <v>43985</v>
      </c>
      <c r="B605">
        <v>3.3960000000000001E-3</v>
      </c>
      <c r="C605">
        <v>3.9620000000000002E-3</v>
      </c>
      <c r="D605">
        <v>3.1909999999999998E-3</v>
      </c>
      <c r="E605">
        <v>3.6619999999999999E-3</v>
      </c>
      <c r="F605">
        <v>373519733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0.22178988326848201</v>
      </c>
      <c r="Q605">
        <f t="shared" si="990"/>
        <v>82842897.980544567</v>
      </c>
      <c r="R605">
        <f t="shared" si="991"/>
        <v>-1808405596.2847528</v>
      </c>
      <c r="S605">
        <f t="shared" si="992"/>
        <v>-18084.055962847528</v>
      </c>
      <c r="T605">
        <f t="shared" si="993"/>
        <v>-18.084055962847529</v>
      </c>
    </row>
    <row r="606" spans="1:20" x14ac:dyDescent="0.25">
      <c r="A606" s="5">
        <v>43984</v>
      </c>
      <c r="B606">
        <v>3.0990000000000002E-3</v>
      </c>
      <c r="C606">
        <v>3.4480000000000001E-3</v>
      </c>
      <c r="D606">
        <v>2.9819999999999998E-3</v>
      </c>
      <c r="E606">
        <v>3.3800000000000002E-3</v>
      </c>
      <c r="F606">
        <v>271339630</v>
      </c>
      <c r="G606">
        <v>0</v>
      </c>
      <c r="L606" t="s">
        <v>7</v>
      </c>
      <c r="M606" t="s">
        <v>8</v>
      </c>
      <c r="N606" t="s">
        <v>7</v>
      </c>
      <c r="P606">
        <f t="shared" si="989"/>
        <v>0.70815450643776878</v>
      </c>
      <c r="Q606">
        <f t="shared" si="990"/>
        <v>192150381.75965679</v>
      </c>
      <c r="R606">
        <f t="shared" si="991"/>
        <v>-1891248494.2652974</v>
      </c>
      <c r="S606">
        <f t="shared" si="992"/>
        <v>-18912.484942652973</v>
      </c>
      <c r="T606">
        <f t="shared" si="993"/>
        <v>-18.912484942652974</v>
      </c>
    </row>
    <row r="607" spans="1:20" x14ac:dyDescent="0.25">
      <c r="A607" s="5">
        <v>43983</v>
      </c>
      <c r="B607">
        <v>2.7599999999999999E-3</v>
      </c>
      <c r="C607">
        <v>3.454E-3</v>
      </c>
      <c r="D607">
        <v>2.7560000000000002E-3</v>
      </c>
      <c r="E607">
        <v>3.0990000000000002E-3</v>
      </c>
      <c r="F607">
        <v>302302347</v>
      </c>
      <c r="G607">
        <v>0</v>
      </c>
      <c r="L607" t="s">
        <v>8</v>
      </c>
      <c r="M607" t="s">
        <v>8</v>
      </c>
      <c r="N607" t="s">
        <v>7</v>
      </c>
      <c r="P607">
        <f t="shared" si="989"/>
        <v>-1.7191977077363696E-2</v>
      </c>
      <c r="Q607">
        <f t="shared" si="990"/>
        <v>-5197175.0200572461</v>
      </c>
      <c r="R607">
        <f t="shared" si="991"/>
        <v>-2083398876.0249541</v>
      </c>
      <c r="S607">
        <f t="shared" si="992"/>
        <v>-20833.98876024954</v>
      </c>
      <c r="T607">
        <f t="shared" si="993"/>
        <v>-20.833988760249539</v>
      </c>
    </row>
    <row r="608" spans="1:20" x14ac:dyDescent="0.25">
      <c r="A608" s="5">
        <v>43982</v>
      </c>
      <c r="B608">
        <v>2.875E-3</v>
      </c>
      <c r="C608">
        <v>2.9350000000000001E-3</v>
      </c>
      <c r="D608">
        <v>2.6849999999999999E-3</v>
      </c>
      <c r="E608">
        <v>2.7690000000000002E-3</v>
      </c>
      <c r="F608">
        <v>186759715</v>
      </c>
      <c r="G608">
        <v>0</v>
      </c>
      <c r="L608" t="s">
        <v>7</v>
      </c>
      <c r="M608" t="s">
        <v>7</v>
      </c>
      <c r="N608" t="s">
        <v>7</v>
      </c>
      <c r="P608">
        <f t="shared" si="989"/>
        <v>-0.32799999999999813</v>
      </c>
      <c r="Q608">
        <f t="shared" si="990"/>
        <v>-61257186.519999653</v>
      </c>
      <c r="R608">
        <f t="shared" si="991"/>
        <v>-2078201701.0048969</v>
      </c>
      <c r="S608">
        <f t="shared" si="992"/>
        <v>-20782.01701004897</v>
      </c>
      <c r="T608">
        <f t="shared" si="993"/>
        <v>-20.782017010048971</v>
      </c>
    </row>
    <row r="609" spans="1:20" x14ac:dyDescent="0.25">
      <c r="A609" s="5">
        <v>43981</v>
      </c>
      <c r="B609">
        <v>3.189E-3</v>
      </c>
      <c r="C609">
        <v>3.2179999999999999E-3</v>
      </c>
      <c r="D609">
        <v>2.8609999999999998E-3</v>
      </c>
      <c r="E609">
        <v>2.8630000000000001E-3</v>
      </c>
      <c r="F609">
        <v>197864931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-0.9887955182072814</v>
      </c>
      <c r="Q609">
        <f t="shared" si="990"/>
        <v>-195647956.98319298</v>
      </c>
      <c r="R609">
        <f t="shared" si="991"/>
        <v>-2016944514.4848971</v>
      </c>
      <c r="S609">
        <f t="shared" si="992"/>
        <v>-20169.445144848971</v>
      </c>
      <c r="T609">
        <f t="shared" si="993"/>
        <v>-20.169445144848972</v>
      </c>
    </row>
    <row r="610" spans="1:20" x14ac:dyDescent="0.25">
      <c r="A610" s="5">
        <v>43980</v>
      </c>
      <c r="B610">
        <v>3.3210000000000002E-3</v>
      </c>
      <c r="C610">
        <v>3.4499999999999999E-3</v>
      </c>
      <c r="D610">
        <v>3.1489999999999999E-3</v>
      </c>
      <c r="E610">
        <v>3.2079999999999999E-3</v>
      </c>
      <c r="F610">
        <v>121687783</v>
      </c>
      <c r="G610">
        <v>0</v>
      </c>
      <c r="L610" t="s">
        <v>7</v>
      </c>
      <c r="M610" t="s">
        <v>8</v>
      </c>
      <c r="N610" t="s">
        <v>7</v>
      </c>
      <c r="P610">
        <f t="shared" si="989"/>
        <v>-0.60797342192691017</v>
      </c>
      <c r="Q610">
        <f t="shared" si="990"/>
        <v>-73982937.837209284</v>
      </c>
      <c r="R610">
        <f t="shared" si="991"/>
        <v>-1821296557.5017042</v>
      </c>
      <c r="S610">
        <f t="shared" si="992"/>
        <v>-18212.965575017042</v>
      </c>
      <c r="T610">
        <f t="shared" si="993"/>
        <v>-18.212965575017041</v>
      </c>
    </row>
    <row r="611" spans="1:20" x14ac:dyDescent="0.25">
      <c r="A611" s="5">
        <v>43979</v>
      </c>
      <c r="B611">
        <v>3.1740000000000002E-3</v>
      </c>
      <c r="C611">
        <v>3.5249999999999999E-3</v>
      </c>
      <c r="D611">
        <v>3.0609999999999999E-3</v>
      </c>
      <c r="E611">
        <v>3.3219999999999999E-3</v>
      </c>
      <c r="F611">
        <v>254841018</v>
      </c>
      <c r="G611">
        <v>0</v>
      </c>
      <c r="L611" t="s">
        <v>8</v>
      </c>
      <c r="M611" t="s">
        <v>8</v>
      </c>
      <c r="N611" t="s">
        <v>7</v>
      </c>
      <c r="P611">
        <f t="shared" si="989"/>
        <v>0.12499999999999976</v>
      </c>
      <c r="Q611">
        <f t="shared" si="990"/>
        <v>31855127.24999994</v>
      </c>
      <c r="R611">
        <f t="shared" si="991"/>
        <v>-1747313619.664495</v>
      </c>
      <c r="S611">
        <f t="shared" si="992"/>
        <v>-17473.136196644951</v>
      </c>
      <c r="T611">
        <f t="shared" si="993"/>
        <v>-17.473136196644951</v>
      </c>
    </row>
    <row r="612" spans="1:20" x14ac:dyDescent="0.25">
      <c r="A612" s="5">
        <v>43978</v>
      </c>
      <c r="B612">
        <v>3.4650000000000002E-3</v>
      </c>
      <c r="C612">
        <v>3.82E-3</v>
      </c>
      <c r="D612">
        <v>2.931E-3</v>
      </c>
      <c r="E612">
        <v>3.2269999999999998E-3</v>
      </c>
      <c r="F612">
        <v>685161093</v>
      </c>
      <c r="G612">
        <v>0</v>
      </c>
      <c r="L612" t="s">
        <v>7</v>
      </c>
      <c r="M612" t="s">
        <v>7</v>
      </c>
      <c r="N612" t="s">
        <v>7</v>
      </c>
      <c r="P612">
        <f t="shared" si="989"/>
        <v>-0.33408323959505104</v>
      </c>
      <c r="Q612">
        <f t="shared" si="990"/>
        <v>-228900837.59392604</v>
      </c>
      <c r="R612">
        <f t="shared" si="991"/>
        <v>-1779168746.914495</v>
      </c>
      <c r="S612">
        <f t="shared" si="992"/>
        <v>-17791.687469144948</v>
      </c>
      <c r="T612">
        <f t="shared" si="993"/>
        <v>-17.79168746914495</v>
      </c>
    </row>
    <row r="613" spans="1:20" x14ac:dyDescent="0.25">
      <c r="A613" s="5">
        <v>43977</v>
      </c>
      <c r="B613">
        <v>4.2319999999999997E-3</v>
      </c>
      <c r="C613">
        <v>4.7299999999999998E-3</v>
      </c>
      <c r="D613">
        <v>3.411E-3</v>
      </c>
      <c r="E613">
        <v>3.4659999999999999E-3</v>
      </c>
      <c r="F613">
        <v>840400477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-0.91660348749052323</v>
      </c>
      <c r="Q613">
        <f t="shared" si="990"/>
        <v>-770314008.10689926</v>
      </c>
      <c r="R613">
        <f t="shared" si="991"/>
        <v>-1550267909.320569</v>
      </c>
      <c r="S613">
        <f t="shared" si="992"/>
        <v>-15502.67909320569</v>
      </c>
      <c r="T613">
        <f t="shared" si="993"/>
        <v>-15.502679093205691</v>
      </c>
    </row>
    <row r="614" spans="1:20" x14ac:dyDescent="0.25">
      <c r="A614" s="5">
        <v>43976</v>
      </c>
      <c r="B614">
        <v>2.2230000000000001E-3</v>
      </c>
      <c r="C614">
        <v>5.1000000000000004E-3</v>
      </c>
      <c r="D614">
        <v>2.2030000000000001E-3</v>
      </c>
      <c r="E614">
        <v>4.2620000000000002E-3</v>
      </c>
      <c r="F614">
        <v>2420575146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0.42147048671038995</v>
      </c>
      <c r="Q614">
        <f t="shared" si="990"/>
        <v>1020200984.9036932</v>
      </c>
      <c r="R614">
        <f t="shared" si="991"/>
        <v>-779953901.21366978</v>
      </c>
      <c r="S614">
        <f t="shared" si="992"/>
        <v>-7799.5390121366981</v>
      </c>
      <c r="T614">
        <f t="shared" si="993"/>
        <v>-7.7995390121366981</v>
      </c>
    </row>
    <row r="615" spans="1:20" x14ac:dyDescent="0.25">
      <c r="A615" s="5">
        <v>43975</v>
      </c>
      <c r="B615">
        <v>2.0349999999999999E-3</v>
      </c>
      <c r="C615">
        <v>2.2980000000000001E-3</v>
      </c>
      <c r="D615">
        <v>2.0070000000000001E-3</v>
      </c>
      <c r="E615">
        <v>2.2030000000000001E-3</v>
      </c>
      <c r="F615">
        <v>72437726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0.34707903780068711</v>
      </c>
      <c r="Q615">
        <f t="shared" si="990"/>
        <v>25141616.240549814</v>
      </c>
      <c r="R615">
        <f t="shared" si="991"/>
        <v>-1800154886.117363</v>
      </c>
      <c r="S615">
        <f t="shared" si="992"/>
        <v>-18001.548861173629</v>
      </c>
      <c r="T615">
        <f t="shared" si="993"/>
        <v>-18.001548861173628</v>
      </c>
    </row>
    <row r="616" spans="1:20" x14ac:dyDescent="0.25">
      <c r="A616" s="5">
        <v>43974</v>
      </c>
      <c r="B616">
        <v>2.0639999999999999E-3</v>
      </c>
      <c r="C616">
        <v>2.1480000000000002E-3</v>
      </c>
      <c r="D616">
        <v>2E-3</v>
      </c>
      <c r="E616">
        <v>2.039E-3</v>
      </c>
      <c r="F616">
        <v>39349565</v>
      </c>
      <c r="G616">
        <v>0</v>
      </c>
      <c r="L616" t="s">
        <v>7</v>
      </c>
      <c r="M616" t="s">
        <v>8</v>
      </c>
      <c r="N616" t="s">
        <v>8</v>
      </c>
      <c r="P616">
        <f t="shared" si="989"/>
        <v>-0.4729729729729738</v>
      </c>
      <c r="Q616">
        <f t="shared" si="990"/>
        <v>-18611280.743243277</v>
      </c>
      <c r="R616">
        <f t="shared" si="991"/>
        <v>-1825296502.3579128</v>
      </c>
      <c r="S616">
        <f t="shared" si="992"/>
        <v>-18252.965023579127</v>
      </c>
      <c r="T616">
        <f t="shared" si="993"/>
        <v>-18.252965023579126</v>
      </c>
    </row>
    <row r="617" spans="1:20" x14ac:dyDescent="0.25">
      <c r="A617" s="5">
        <v>43973</v>
      </c>
      <c r="B617">
        <v>2.0500000000000002E-3</v>
      </c>
      <c r="C617">
        <v>2.1900000000000001E-3</v>
      </c>
      <c r="D617">
        <v>1.9959999999999999E-3</v>
      </c>
      <c r="E617">
        <v>2.0470000000000002E-3</v>
      </c>
      <c r="F617">
        <v>49546548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-0.47422680412370904</v>
      </c>
      <c r="Q617">
        <f t="shared" si="990"/>
        <v>-23496301.113401949</v>
      </c>
      <c r="R617">
        <f t="shared" si="991"/>
        <v>-1806685221.6146696</v>
      </c>
      <c r="S617">
        <f t="shared" si="992"/>
        <v>-18066.852216146697</v>
      </c>
      <c r="T617">
        <f t="shared" si="993"/>
        <v>-18.066852216146696</v>
      </c>
    </row>
    <row r="618" spans="1:20" x14ac:dyDescent="0.25">
      <c r="A618" s="5">
        <v>43972</v>
      </c>
      <c r="B618">
        <v>2.081E-3</v>
      </c>
      <c r="C618">
        <v>2.2780000000000001E-3</v>
      </c>
      <c r="D618">
        <v>1.591E-3</v>
      </c>
      <c r="E618">
        <v>2.0500000000000002E-3</v>
      </c>
      <c r="F618">
        <v>100598106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0.33624454148471655</v>
      </c>
      <c r="Q618">
        <f t="shared" si="990"/>
        <v>33825564.026200913</v>
      </c>
      <c r="R618">
        <f t="shared" si="991"/>
        <v>-1783188920.5012677</v>
      </c>
      <c r="S618">
        <f t="shared" si="992"/>
        <v>-17831.889205012678</v>
      </c>
      <c r="T618">
        <f t="shared" si="993"/>
        <v>-17.831889205012679</v>
      </c>
    </row>
    <row r="619" spans="1:20" x14ac:dyDescent="0.25">
      <c r="A619" s="5">
        <v>43971</v>
      </c>
      <c r="B619">
        <v>2.029E-3</v>
      </c>
      <c r="C619">
        <v>2.1749999999999999E-3</v>
      </c>
      <c r="D619">
        <v>1.9680000000000001E-3</v>
      </c>
      <c r="E619">
        <v>2.062E-3</v>
      </c>
      <c r="F619">
        <v>62103090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-9.1787439613526312E-2</v>
      </c>
      <c r="Q619">
        <f t="shared" si="990"/>
        <v>-5700283.6231883895</v>
      </c>
      <c r="R619">
        <f t="shared" si="991"/>
        <v>-1817014484.5274687</v>
      </c>
      <c r="S619">
        <f t="shared" si="992"/>
        <v>-18170.144845274688</v>
      </c>
      <c r="T619">
        <f t="shared" si="993"/>
        <v>-18.170144845274688</v>
      </c>
    </row>
    <row r="620" spans="1:20" x14ac:dyDescent="0.25">
      <c r="A620" s="5">
        <v>43970</v>
      </c>
      <c r="B620">
        <v>2.104E-3</v>
      </c>
      <c r="C620">
        <v>2.1099999999999999E-3</v>
      </c>
      <c r="D620">
        <v>1.954E-3</v>
      </c>
      <c r="E620">
        <v>2.0430000000000001E-3</v>
      </c>
      <c r="F620">
        <v>63429930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0.14102564102564316</v>
      </c>
      <c r="Q620">
        <f t="shared" si="990"/>
        <v>8945246.538461674</v>
      </c>
      <c r="R620">
        <f t="shared" si="991"/>
        <v>-1811314200.9042802</v>
      </c>
      <c r="S620">
        <f t="shared" si="992"/>
        <v>-18113.1420090428</v>
      </c>
      <c r="T620">
        <f t="shared" si="993"/>
        <v>-18.1131420090428</v>
      </c>
    </row>
    <row r="621" spans="1:20" x14ac:dyDescent="0.25">
      <c r="A621" s="5">
        <v>43969</v>
      </c>
      <c r="B621">
        <v>1.9E-3</v>
      </c>
      <c r="C621">
        <v>2.1310000000000001E-3</v>
      </c>
      <c r="D621">
        <v>1.8779999999999999E-3</v>
      </c>
      <c r="E621">
        <v>2.104E-3</v>
      </c>
      <c r="F621">
        <v>95959930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0.78656126482213362</v>
      </c>
      <c r="Q621">
        <f t="shared" si="990"/>
        <v>75478363.91304341</v>
      </c>
      <c r="R621">
        <f t="shared" si="991"/>
        <v>-1820259447.4427419</v>
      </c>
      <c r="S621">
        <f t="shared" si="992"/>
        <v>-18202.59447442742</v>
      </c>
      <c r="T621">
        <f t="shared" si="993"/>
        <v>-18.202594474427421</v>
      </c>
    </row>
    <row r="622" spans="1:20" x14ac:dyDescent="0.25">
      <c r="A622" s="5">
        <v>43968</v>
      </c>
      <c r="B622">
        <v>1.841E-3</v>
      </c>
      <c r="C622">
        <v>1.9380000000000001E-3</v>
      </c>
      <c r="D622">
        <v>1.836E-3</v>
      </c>
      <c r="E622">
        <v>1.884E-3</v>
      </c>
      <c r="F622">
        <v>16821850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-5.8823529411763956E-2</v>
      </c>
      <c r="Q622">
        <f t="shared" si="990"/>
        <v>-989520.58823528152</v>
      </c>
      <c r="R622">
        <f t="shared" si="991"/>
        <v>-1895737811.3557854</v>
      </c>
      <c r="S622">
        <f t="shared" si="992"/>
        <v>-18957.378113557854</v>
      </c>
      <c r="T622">
        <f t="shared" si="993"/>
        <v>-18.957378113557855</v>
      </c>
    </row>
    <row r="623" spans="1:20" x14ac:dyDescent="0.25">
      <c r="A623" s="5">
        <v>43967</v>
      </c>
      <c r="B623">
        <v>1.818E-3</v>
      </c>
      <c r="C623">
        <v>1.902E-3</v>
      </c>
      <c r="D623">
        <v>1.7899999999999999E-3</v>
      </c>
      <c r="E623">
        <v>1.843E-3</v>
      </c>
      <c r="F623">
        <v>20276718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-5.3571428571427882E-2</v>
      </c>
      <c r="Q623">
        <f t="shared" si="990"/>
        <v>-1086252.749999986</v>
      </c>
      <c r="R623">
        <f t="shared" si="991"/>
        <v>-1894748290.76755</v>
      </c>
      <c r="S623">
        <f t="shared" si="992"/>
        <v>-18947.482907675501</v>
      </c>
      <c r="T623">
        <f t="shared" si="993"/>
        <v>-18.9474829076755</v>
      </c>
    </row>
    <row r="624" spans="1:20" x14ac:dyDescent="0.25">
      <c r="A624" s="5">
        <v>43966</v>
      </c>
      <c r="B624">
        <v>1.903E-3</v>
      </c>
      <c r="C624">
        <v>1.923E-3</v>
      </c>
      <c r="D624">
        <v>1.7719999999999999E-3</v>
      </c>
      <c r="E624">
        <v>1.8389999999999999E-3</v>
      </c>
      <c r="F624">
        <v>61575345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-0.11258278145695416</v>
      </c>
      <c r="Q624">
        <f t="shared" si="990"/>
        <v>-6932323.6092715552</v>
      </c>
      <c r="R624">
        <f t="shared" si="991"/>
        <v>-1893662038.01755</v>
      </c>
      <c r="S624">
        <f t="shared" si="992"/>
        <v>-18936.6203801755</v>
      </c>
      <c r="T624">
        <f t="shared" si="993"/>
        <v>-18.936620380175501</v>
      </c>
    </row>
    <row r="625" spans="1:20" x14ac:dyDescent="0.25">
      <c r="A625" s="5">
        <v>43965</v>
      </c>
      <c r="B625">
        <v>1.794E-3</v>
      </c>
      <c r="C625">
        <v>1.949E-3</v>
      </c>
      <c r="D625">
        <v>1.794E-3</v>
      </c>
      <c r="E625">
        <v>1.9220000000000001E-3</v>
      </c>
      <c r="F625">
        <v>15913375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0.65161290322580767</v>
      </c>
      <c r="Q625">
        <f t="shared" si="990"/>
        <v>10369360.483870987</v>
      </c>
      <c r="R625">
        <f t="shared" si="991"/>
        <v>-1886729714.4082785</v>
      </c>
      <c r="S625">
        <f t="shared" si="992"/>
        <v>-18867.297144082786</v>
      </c>
      <c r="T625">
        <f t="shared" si="993"/>
        <v>-18.867297144082787</v>
      </c>
    </row>
    <row r="626" spans="1:20" x14ac:dyDescent="0.25">
      <c r="A626" s="5">
        <v>43964</v>
      </c>
      <c r="B626">
        <v>1.727E-3</v>
      </c>
      <c r="C626">
        <v>1.8029999999999999E-3</v>
      </c>
      <c r="D626">
        <v>1.727E-3</v>
      </c>
      <c r="E626">
        <v>1.794E-3</v>
      </c>
      <c r="F626">
        <v>40973138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0.76315789473684459</v>
      </c>
      <c r="Q626">
        <f t="shared" si="990"/>
        <v>31268973.736842208</v>
      </c>
      <c r="R626">
        <f t="shared" si="991"/>
        <v>-1897099074.8921494</v>
      </c>
      <c r="S626">
        <f t="shared" si="992"/>
        <v>-18970.990748921493</v>
      </c>
      <c r="T626">
        <f t="shared" si="993"/>
        <v>-18.970990748921494</v>
      </c>
    </row>
    <row r="627" spans="1:20" x14ac:dyDescent="0.25">
      <c r="A627" s="5">
        <v>43963</v>
      </c>
      <c r="B627">
        <v>1.4859999999999999E-3</v>
      </c>
      <c r="C627">
        <v>1.758E-3</v>
      </c>
      <c r="D627">
        <v>1.4710000000000001E-3</v>
      </c>
      <c r="E627">
        <v>1.7260000000000001E-3</v>
      </c>
      <c r="F627">
        <v>25098053</v>
      </c>
      <c r="G627">
        <v>0</v>
      </c>
      <c r="L627" t="s">
        <v>8</v>
      </c>
      <c r="M627" t="s">
        <v>8</v>
      </c>
      <c r="N627" t="s">
        <v>7</v>
      </c>
      <c r="P627">
        <f t="shared" si="989"/>
        <v>0.7770034843205581</v>
      </c>
      <c r="Q627">
        <f t="shared" si="990"/>
        <v>19501274.630662035</v>
      </c>
      <c r="R627">
        <f t="shared" si="991"/>
        <v>-1928368048.6289916</v>
      </c>
      <c r="S627">
        <f t="shared" si="992"/>
        <v>-19283.680486289915</v>
      </c>
      <c r="T627">
        <f t="shared" si="993"/>
        <v>-19.283680486289914</v>
      </c>
    </row>
    <row r="628" spans="1:20" x14ac:dyDescent="0.25">
      <c r="A628" s="5">
        <v>43962</v>
      </c>
      <c r="B628">
        <v>1.5399999999999999E-3</v>
      </c>
      <c r="C628">
        <v>1.5399999999999999E-3</v>
      </c>
      <c r="D628">
        <v>1.395E-3</v>
      </c>
      <c r="E628">
        <v>1.4859999999999999E-3</v>
      </c>
      <c r="F628">
        <v>21008408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0.25517241379310301</v>
      </c>
      <c r="Q628">
        <f t="shared" si="990"/>
        <v>5360766.1793103358</v>
      </c>
      <c r="R628">
        <f t="shared" si="991"/>
        <v>-1947869323.2596536</v>
      </c>
      <c r="S628">
        <f t="shared" si="992"/>
        <v>-19478.693232596535</v>
      </c>
      <c r="T628">
        <f t="shared" si="993"/>
        <v>-19.478693232596534</v>
      </c>
    </row>
    <row r="629" spans="1:20" x14ac:dyDescent="0.25">
      <c r="A629" s="5">
        <v>43961</v>
      </c>
      <c r="B629">
        <v>1.6509999999999999E-3</v>
      </c>
      <c r="C629">
        <v>1.6509999999999999E-3</v>
      </c>
      <c r="D629">
        <v>1.366E-3</v>
      </c>
      <c r="E629">
        <v>1.5399999999999999E-3</v>
      </c>
      <c r="F629">
        <v>55860197</v>
      </c>
      <c r="G629">
        <v>0</v>
      </c>
      <c r="L629" t="s">
        <v>7</v>
      </c>
      <c r="M629" t="s">
        <v>7</v>
      </c>
      <c r="N629" t="s">
        <v>7</v>
      </c>
      <c r="P629">
        <f t="shared" si="989"/>
        <v>0.22105263157894714</v>
      </c>
      <c r="Q629">
        <f t="shared" si="990"/>
        <v>12348043.547368409</v>
      </c>
      <c r="R629">
        <f t="shared" si="991"/>
        <v>-1953230089.4389639</v>
      </c>
      <c r="S629">
        <f t="shared" si="992"/>
        <v>-19532.300894389638</v>
      </c>
      <c r="T629">
        <f t="shared" si="993"/>
        <v>-19.532300894389639</v>
      </c>
    </row>
    <row r="630" spans="1:20" x14ac:dyDescent="0.25">
      <c r="A630" s="5">
        <v>43960</v>
      </c>
      <c r="B630">
        <v>1.645E-3</v>
      </c>
      <c r="C630">
        <v>1.7260000000000001E-3</v>
      </c>
      <c r="D630">
        <v>1.634E-3</v>
      </c>
      <c r="E630">
        <v>1.6509999999999999E-3</v>
      </c>
      <c r="F630">
        <v>30140248</v>
      </c>
      <c r="G630">
        <v>0</v>
      </c>
      <c r="L630" t="s">
        <v>7</v>
      </c>
      <c r="M630" t="s">
        <v>8</v>
      </c>
      <c r="N630" t="s">
        <v>8</v>
      </c>
      <c r="P630">
        <f t="shared" si="989"/>
        <v>-0.63043478260869867</v>
      </c>
      <c r="Q630">
        <f t="shared" si="990"/>
        <v>-19001460.695652265</v>
      </c>
      <c r="R630">
        <f t="shared" si="991"/>
        <v>-1965578132.9863324</v>
      </c>
      <c r="S630">
        <f t="shared" si="992"/>
        <v>-19655.781329863323</v>
      </c>
      <c r="T630">
        <f t="shared" si="993"/>
        <v>-19.655781329863323</v>
      </c>
    </row>
    <row r="631" spans="1:20" x14ac:dyDescent="0.25">
      <c r="A631" s="5">
        <v>43959</v>
      </c>
      <c r="B631">
        <v>1.6999999999999999E-3</v>
      </c>
      <c r="C631">
        <v>1.9040000000000001E-3</v>
      </c>
      <c r="D631">
        <v>1.64E-3</v>
      </c>
      <c r="E631">
        <v>1.6440000000000001E-3</v>
      </c>
      <c r="F631">
        <v>138133520</v>
      </c>
      <c r="G631">
        <v>0</v>
      </c>
      <c r="L631" t="s">
        <v>8</v>
      </c>
      <c r="M631" t="s">
        <v>8</v>
      </c>
      <c r="N631" t="s">
        <v>8</v>
      </c>
      <c r="P631">
        <f t="shared" si="989"/>
        <v>-0.96969696969696895</v>
      </c>
      <c r="Q631">
        <f t="shared" si="990"/>
        <v>-133947655.75757566</v>
      </c>
      <c r="R631">
        <f t="shared" si="991"/>
        <v>-1946576672.2906802</v>
      </c>
      <c r="S631">
        <f t="shared" si="992"/>
        <v>-19465.766722906803</v>
      </c>
      <c r="T631">
        <f t="shared" si="993"/>
        <v>-19.465766722906803</v>
      </c>
    </row>
    <row r="632" spans="1:20" x14ac:dyDescent="0.25">
      <c r="A632" s="5">
        <v>43958</v>
      </c>
      <c r="B632">
        <v>1.505E-3</v>
      </c>
      <c r="C632">
        <v>1.7769999999999999E-3</v>
      </c>
      <c r="D632">
        <v>1.477E-3</v>
      </c>
      <c r="E632">
        <v>1.712E-3</v>
      </c>
      <c r="F632">
        <v>126582276</v>
      </c>
      <c r="G632">
        <v>0</v>
      </c>
      <c r="L632" t="s">
        <v>8</v>
      </c>
      <c r="M632" t="s">
        <v>8</v>
      </c>
      <c r="N632" t="s">
        <v>8</v>
      </c>
      <c r="P632">
        <f t="shared" si="989"/>
        <v>0.56666666666666687</v>
      </c>
      <c r="Q632">
        <f t="shared" si="990"/>
        <v>71729956.400000021</v>
      </c>
      <c r="R632">
        <f t="shared" si="991"/>
        <v>-1812629016.5331044</v>
      </c>
      <c r="S632">
        <f t="shared" si="992"/>
        <v>-18126.290165331044</v>
      </c>
      <c r="T632">
        <f t="shared" si="993"/>
        <v>-18.126290165331042</v>
      </c>
    </row>
    <row r="633" spans="1:20" x14ac:dyDescent="0.25">
      <c r="A633" s="5">
        <v>43957</v>
      </c>
      <c r="B633">
        <v>1.3979999999999999E-3</v>
      </c>
      <c r="C633">
        <v>1.549E-3</v>
      </c>
      <c r="D633">
        <v>1.3979999999999999E-3</v>
      </c>
      <c r="E633">
        <v>1.505E-3</v>
      </c>
      <c r="F633">
        <v>54478109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0.41721854304635819</v>
      </c>
      <c r="Q633">
        <f t="shared" si="990"/>
        <v>22729277.264900692</v>
      </c>
      <c r="R633">
        <f t="shared" si="991"/>
        <v>-1884358972.9331045</v>
      </c>
      <c r="S633">
        <f t="shared" si="992"/>
        <v>-18843.589729331045</v>
      </c>
      <c r="T633">
        <f t="shared" si="993"/>
        <v>-18.843589729331043</v>
      </c>
    </row>
    <row r="634" spans="1:20" x14ac:dyDescent="0.25">
      <c r="A634" s="5">
        <v>43956</v>
      </c>
      <c r="B634">
        <v>1.438E-3</v>
      </c>
      <c r="C634">
        <v>1.4649999999999999E-3</v>
      </c>
      <c r="D634">
        <v>1.3979999999999999E-3</v>
      </c>
      <c r="E634">
        <v>1.3979999999999999E-3</v>
      </c>
      <c r="F634">
        <v>35565334</v>
      </c>
      <c r="G634">
        <v>0</v>
      </c>
      <c r="L634" t="s">
        <v>7</v>
      </c>
      <c r="M634" t="s">
        <v>8</v>
      </c>
      <c r="N634" t="s">
        <v>8</v>
      </c>
      <c r="P634">
        <f t="shared" si="989"/>
        <v>-1</v>
      </c>
      <c r="Q634">
        <f t="shared" si="990"/>
        <v>-35565334</v>
      </c>
      <c r="R634">
        <f t="shared" si="991"/>
        <v>-1907088250.1980052</v>
      </c>
      <c r="S634">
        <f t="shared" si="992"/>
        <v>-19070.882501980053</v>
      </c>
      <c r="T634">
        <f t="shared" si="993"/>
        <v>-19.070882501980055</v>
      </c>
    </row>
    <row r="635" spans="1:20" x14ac:dyDescent="0.25">
      <c r="A635" s="5">
        <v>43955</v>
      </c>
      <c r="B635">
        <v>1.4400000000000001E-3</v>
      </c>
      <c r="C635">
        <v>1.444E-3</v>
      </c>
      <c r="D635">
        <v>1.3730000000000001E-3</v>
      </c>
      <c r="E635">
        <v>1.42E-3</v>
      </c>
      <c r="F635">
        <v>11233733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0.32394366197183178</v>
      </c>
      <c r="Q635">
        <f t="shared" si="990"/>
        <v>3639096.6056338116</v>
      </c>
      <c r="R635">
        <f t="shared" si="991"/>
        <v>-1871522916.1980052</v>
      </c>
      <c r="S635">
        <f t="shared" si="992"/>
        <v>-18715.229161980053</v>
      </c>
      <c r="T635">
        <f t="shared" si="993"/>
        <v>-18.715229161980051</v>
      </c>
    </row>
    <row r="636" spans="1:20" x14ac:dyDescent="0.25">
      <c r="A636" s="5">
        <v>43954</v>
      </c>
      <c r="B636">
        <v>1.441E-3</v>
      </c>
      <c r="C636">
        <v>1.4859999999999999E-3</v>
      </c>
      <c r="D636">
        <v>1.395E-3</v>
      </c>
      <c r="E636">
        <v>1.4400000000000001E-3</v>
      </c>
      <c r="F636">
        <v>30323370</v>
      </c>
      <c r="G636">
        <v>0</v>
      </c>
      <c r="L636" t="s">
        <v>8</v>
      </c>
      <c r="M636" t="s">
        <v>8</v>
      </c>
      <c r="N636" t="s">
        <v>8</v>
      </c>
      <c r="P636">
        <f t="shared" si="989"/>
        <v>-1.098901098900769E-2</v>
      </c>
      <c r="Q636">
        <f t="shared" si="990"/>
        <v>-333223.84615374613</v>
      </c>
      <c r="R636">
        <f t="shared" si="991"/>
        <v>-1875162012.8036389</v>
      </c>
      <c r="S636">
        <f t="shared" si="992"/>
        <v>-18751.620128036389</v>
      </c>
      <c r="T636">
        <f t="shared" si="993"/>
        <v>-18.751620128036389</v>
      </c>
    </row>
    <row r="637" spans="1:20" x14ac:dyDescent="0.25">
      <c r="A637" s="5">
        <v>43953</v>
      </c>
      <c r="B637">
        <v>1.459E-3</v>
      </c>
      <c r="C637">
        <v>1.4760000000000001E-3</v>
      </c>
      <c r="D637">
        <v>1.3780000000000001E-3</v>
      </c>
      <c r="E637">
        <v>1.4400000000000001E-3</v>
      </c>
      <c r="F637">
        <v>66754666</v>
      </c>
      <c r="G637">
        <v>0</v>
      </c>
      <c r="L637" t="s">
        <v>7</v>
      </c>
      <c r="M637" t="s">
        <v>8</v>
      </c>
      <c r="N637" t="s">
        <v>8</v>
      </c>
      <c r="P637">
        <f t="shared" si="989"/>
        <v>0.26530612244897939</v>
      </c>
      <c r="Q637">
        <f t="shared" si="990"/>
        <v>17710421.591836721</v>
      </c>
      <c r="R637">
        <f t="shared" si="991"/>
        <v>-1874828788.9574852</v>
      </c>
      <c r="S637">
        <f t="shared" si="992"/>
        <v>-18748.287889574851</v>
      </c>
      <c r="T637">
        <f t="shared" si="993"/>
        <v>-18.748287889574851</v>
      </c>
    </row>
    <row r="638" spans="1:20" x14ac:dyDescent="0.25">
      <c r="A638" s="5">
        <v>43952</v>
      </c>
      <c r="B638">
        <v>1.4419999999999999E-3</v>
      </c>
      <c r="C638">
        <v>1.523E-3</v>
      </c>
      <c r="D638">
        <v>1.4400000000000001E-3</v>
      </c>
      <c r="E638">
        <v>1.4610000000000001E-3</v>
      </c>
      <c r="F638">
        <v>18361905</v>
      </c>
      <c r="G638">
        <v>0</v>
      </c>
      <c r="L638" t="s">
        <v>8</v>
      </c>
      <c r="M638" t="s">
        <v>8</v>
      </c>
      <c r="N638" t="s">
        <v>8</v>
      </c>
      <c r="P638">
        <f t="shared" si="989"/>
        <v>-0.49397590361445831</v>
      </c>
      <c r="Q638">
        <f t="shared" si="990"/>
        <v>-9070338.6144578401</v>
      </c>
      <c r="R638">
        <f t="shared" si="991"/>
        <v>-1892539210.5493219</v>
      </c>
      <c r="S638">
        <f t="shared" si="992"/>
        <v>-18925.392105493218</v>
      </c>
      <c r="T638">
        <f t="shared" si="993"/>
        <v>-18.925392105493216</v>
      </c>
    </row>
    <row r="639" spans="1:20" x14ac:dyDescent="0.25">
      <c r="A639" s="5">
        <v>43951</v>
      </c>
      <c r="B639">
        <v>1.4040000000000001E-3</v>
      </c>
      <c r="C639">
        <v>1.531E-3</v>
      </c>
      <c r="D639">
        <v>1.3829999999999999E-3</v>
      </c>
      <c r="E639">
        <v>1.4419999999999999E-3</v>
      </c>
      <c r="F639">
        <v>60764701</v>
      </c>
      <c r="G639">
        <v>0</v>
      </c>
      <c r="L639" t="s">
        <v>8</v>
      </c>
      <c r="M639" t="s">
        <v>8</v>
      </c>
      <c r="N639" t="s">
        <v>8</v>
      </c>
      <c r="P639">
        <f t="shared" si="989"/>
        <v>-0.20270270270270305</v>
      </c>
      <c r="Q639">
        <f t="shared" si="990"/>
        <v>-12317169.121621642</v>
      </c>
      <c r="R639">
        <f t="shared" si="991"/>
        <v>-1883468871.934864</v>
      </c>
      <c r="S639">
        <f t="shared" si="992"/>
        <v>-18834.68871934864</v>
      </c>
      <c r="T639">
        <f t="shared" si="993"/>
        <v>-18.834688719348641</v>
      </c>
    </row>
    <row r="640" spans="1:20" x14ac:dyDescent="0.25">
      <c r="A640" s="5">
        <v>43950</v>
      </c>
      <c r="B640">
        <v>1.2880000000000001E-3</v>
      </c>
      <c r="C640">
        <v>1.5E-3</v>
      </c>
      <c r="D640">
        <v>1.2719999999999999E-3</v>
      </c>
      <c r="E640">
        <v>1.4040000000000001E-3</v>
      </c>
      <c r="F640">
        <v>87595354</v>
      </c>
      <c r="G640">
        <v>0</v>
      </c>
      <c r="L640" t="s">
        <v>8</v>
      </c>
      <c r="M640" t="s">
        <v>8</v>
      </c>
      <c r="N640" t="s">
        <v>8</v>
      </c>
      <c r="P640">
        <f t="shared" si="989"/>
        <v>0.15789473684210617</v>
      </c>
      <c r="Q640">
        <f t="shared" si="990"/>
        <v>13830845.368421132</v>
      </c>
      <c r="R640">
        <f t="shared" si="991"/>
        <v>-1871151702.8132424</v>
      </c>
      <c r="S640">
        <f t="shared" si="992"/>
        <v>-18711.517028132424</v>
      </c>
      <c r="T640">
        <f t="shared" si="993"/>
        <v>-18.711517028132423</v>
      </c>
    </row>
    <row r="641" spans="1:20" x14ac:dyDescent="0.25">
      <c r="A641" s="5">
        <v>43949</v>
      </c>
      <c r="B641">
        <v>1.281E-3</v>
      </c>
      <c r="C641">
        <v>1.3190000000000001E-3</v>
      </c>
      <c r="D641">
        <v>1.2600000000000001E-3</v>
      </c>
      <c r="E641">
        <v>1.2979999999999999E-3</v>
      </c>
      <c r="F641">
        <v>21056854</v>
      </c>
      <c r="G641">
        <v>0</v>
      </c>
      <c r="L641" t="s">
        <v>7</v>
      </c>
      <c r="M641" t="s">
        <v>7</v>
      </c>
      <c r="N641" t="s">
        <v>8</v>
      </c>
      <c r="P641">
        <f t="shared" si="989"/>
        <v>0.288135593220333</v>
      </c>
      <c r="Q641">
        <f t="shared" si="990"/>
        <v>6067229.1186439414</v>
      </c>
      <c r="R641">
        <f t="shared" si="991"/>
        <v>-1884982548.1816635</v>
      </c>
      <c r="S641">
        <f t="shared" si="992"/>
        <v>-18849.825481816635</v>
      </c>
      <c r="T641">
        <f t="shared" si="993"/>
        <v>-18.849825481816634</v>
      </c>
    </row>
    <row r="642" spans="1:20" x14ac:dyDescent="0.25">
      <c r="A642" s="5">
        <v>43948</v>
      </c>
      <c r="B642">
        <v>1.304E-3</v>
      </c>
      <c r="C642">
        <v>1.3309999999999999E-3</v>
      </c>
      <c r="D642">
        <v>1.2589999999999999E-3</v>
      </c>
      <c r="E642">
        <v>1.289E-3</v>
      </c>
      <c r="F642">
        <v>45005797</v>
      </c>
      <c r="G642">
        <v>0</v>
      </c>
      <c r="L642" t="s">
        <v>7</v>
      </c>
      <c r="M642" t="s">
        <v>7</v>
      </c>
      <c r="N642" t="s">
        <v>8</v>
      </c>
      <c r="P642">
        <f t="shared" si="989"/>
        <v>-0.16666666666666466</v>
      </c>
      <c r="Q642">
        <f t="shared" si="990"/>
        <v>-7500966.1666665766</v>
      </c>
      <c r="R642">
        <f t="shared" si="991"/>
        <v>-1891049777.3003075</v>
      </c>
      <c r="S642">
        <f t="shared" si="992"/>
        <v>-18910.497773003077</v>
      </c>
      <c r="T642">
        <f t="shared" si="993"/>
        <v>-18.910497773003076</v>
      </c>
    </row>
    <row r="643" spans="1:20" x14ac:dyDescent="0.25">
      <c r="A643" s="5">
        <v>43947</v>
      </c>
      <c r="B643">
        <v>1.3079999999999999E-3</v>
      </c>
      <c r="C643">
        <v>1.3649999999999999E-3</v>
      </c>
      <c r="D643">
        <v>1.286E-3</v>
      </c>
      <c r="E643">
        <v>1.304E-3</v>
      </c>
      <c r="F643">
        <v>34664597</v>
      </c>
      <c r="G643">
        <v>0</v>
      </c>
      <c r="L643" t="s">
        <v>8</v>
      </c>
      <c r="M643" t="s">
        <v>7</v>
      </c>
      <c r="N643" t="s">
        <v>8</v>
      </c>
      <c r="P643">
        <f t="shared" si="989"/>
        <v>-0.54430379746835356</v>
      </c>
      <c r="Q643">
        <f t="shared" si="990"/>
        <v>-18868071.784810096</v>
      </c>
      <c r="R643">
        <f t="shared" si="991"/>
        <v>-1883548811.133641</v>
      </c>
      <c r="S643">
        <f t="shared" si="992"/>
        <v>-18835.48811133641</v>
      </c>
      <c r="T643">
        <f t="shared" si="993"/>
        <v>-18.83548811133641</v>
      </c>
    </row>
    <row r="644" spans="1:20" x14ac:dyDescent="0.25">
      <c r="A644" s="5">
        <v>43946</v>
      </c>
      <c r="B644">
        <v>1.2750000000000001E-3</v>
      </c>
      <c r="C644">
        <v>1.3060000000000001E-3</v>
      </c>
      <c r="D644">
        <v>1.2750000000000001E-3</v>
      </c>
      <c r="E644">
        <v>1.3060000000000001E-3</v>
      </c>
      <c r="F644">
        <v>10234452</v>
      </c>
      <c r="G644">
        <v>0</v>
      </c>
      <c r="L644" t="s">
        <v>8</v>
      </c>
      <c r="M644" t="s">
        <v>7</v>
      </c>
      <c r="N644" t="s">
        <v>8</v>
      </c>
      <c r="P644">
        <f t="shared" si="989"/>
        <v>1</v>
      </c>
      <c r="Q644">
        <f t="shared" si="990"/>
        <v>10234452</v>
      </c>
      <c r="R644">
        <f t="shared" si="991"/>
        <v>-1864680739.3488309</v>
      </c>
      <c r="S644">
        <f t="shared" si="992"/>
        <v>-18646.80739348831</v>
      </c>
      <c r="T644">
        <f t="shared" si="993"/>
        <v>-18.646807393488309</v>
      </c>
    </row>
    <row r="645" spans="1:20" x14ac:dyDescent="0.25">
      <c r="A645" s="5">
        <v>43945</v>
      </c>
      <c r="B645">
        <v>1.2390000000000001E-3</v>
      </c>
      <c r="C645">
        <v>1.2960000000000001E-3</v>
      </c>
      <c r="D645">
        <v>1.23E-3</v>
      </c>
      <c r="E645">
        <v>1.284E-3</v>
      </c>
      <c r="F645">
        <v>33378653</v>
      </c>
      <c r="G645">
        <v>0</v>
      </c>
      <c r="L645" t="s">
        <v>8</v>
      </c>
      <c r="M645" t="s">
        <v>7</v>
      </c>
      <c r="N645" t="s">
        <v>8</v>
      </c>
      <c r="P645">
        <f t="shared" si="989"/>
        <v>0.63636363636363458</v>
      </c>
      <c r="Q645">
        <f t="shared" si="990"/>
        <v>21240960.99999994</v>
      </c>
      <c r="R645">
        <f t="shared" si="991"/>
        <v>-1874915191.3488309</v>
      </c>
      <c r="S645">
        <f t="shared" si="992"/>
        <v>-18749.151913488309</v>
      </c>
      <c r="T645">
        <f t="shared" si="993"/>
        <v>-18.749151913488308</v>
      </c>
    </row>
    <row r="646" spans="1:20" x14ac:dyDescent="0.25">
      <c r="A646" s="5">
        <v>43944</v>
      </c>
      <c r="B646">
        <v>1.253E-3</v>
      </c>
      <c r="C646">
        <v>1.3140000000000001E-3</v>
      </c>
      <c r="D646">
        <v>1.2080000000000001E-3</v>
      </c>
      <c r="E646">
        <v>1.2520000000000001E-3</v>
      </c>
      <c r="F646">
        <v>78313272</v>
      </c>
      <c r="G646">
        <v>0</v>
      </c>
      <c r="L646" t="s">
        <v>7</v>
      </c>
      <c r="M646" t="s">
        <v>7</v>
      </c>
      <c r="N646" t="s">
        <v>8</v>
      </c>
      <c r="P646">
        <f t="shared" ref="P646:P709" si="994">IF(C646=D646,0,((E646-D646)-(C646-E646))/(C646-D646))</f>
        <v>-0.16981132075471705</v>
      </c>
      <c r="Q646">
        <f t="shared" ref="Q646:Q709" si="995">F646*P646</f>
        <v>-13298480.150943402</v>
      </c>
      <c r="R646">
        <f t="shared" ref="R646:R709" si="996">R647+Q646</f>
        <v>-1896156152.3488309</v>
      </c>
      <c r="S646">
        <f t="shared" ref="S646:S709" si="997">R646/100000</f>
        <v>-18961.561523488308</v>
      </c>
      <c r="T646">
        <f t="shared" ref="T646:T709" si="998">S646/1000</f>
        <v>-18.961561523488307</v>
      </c>
    </row>
    <row r="647" spans="1:20" x14ac:dyDescent="0.25">
      <c r="A647" s="5">
        <v>43943</v>
      </c>
      <c r="B647">
        <v>1.1659999999999999E-3</v>
      </c>
      <c r="C647">
        <v>1.5499999999999999E-3</v>
      </c>
      <c r="D647">
        <v>1.163E-3</v>
      </c>
      <c r="E647">
        <v>1.258E-3</v>
      </c>
      <c r="F647">
        <v>126975330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-0.50904392764857864</v>
      </c>
      <c r="Q647">
        <f t="shared" si="995"/>
        <v>-64636020.697674394</v>
      </c>
      <c r="R647">
        <f t="shared" si="996"/>
        <v>-1882857672.1978874</v>
      </c>
      <c r="S647">
        <f t="shared" si="997"/>
        <v>-18828.576721978876</v>
      </c>
      <c r="T647">
        <f t="shared" si="998"/>
        <v>-18.828576721978877</v>
      </c>
    </row>
    <row r="648" spans="1:20" x14ac:dyDescent="0.25">
      <c r="A648" s="5">
        <v>43942</v>
      </c>
      <c r="B648">
        <v>1.163E-3</v>
      </c>
      <c r="C648">
        <v>1.1900000000000001E-3</v>
      </c>
      <c r="D648">
        <v>1.1509999999999999E-3</v>
      </c>
      <c r="E648">
        <v>1.1800000000000001E-3</v>
      </c>
      <c r="F648">
        <v>19297274</v>
      </c>
      <c r="G648">
        <v>0</v>
      </c>
      <c r="L648" t="s">
        <v>7</v>
      </c>
      <c r="M648" t="s">
        <v>8</v>
      </c>
      <c r="N648" t="s">
        <v>8</v>
      </c>
      <c r="P648">
        <f t="shared" si="994"/>
        <v>0.48717948717948834</v>
      </c>
      <c r="Q648">
        <f t="shared" si="995"/>
        <v>9401236.0512820743</v>
      </c>
      <c r="R648">
        <f t="shared" si="996"/>
        <v>-1818221651.5002131</v>
      </c>
      <c r="S648">
        <f t="shared" si="997"/>
        <v>-18182.216515002132</v>
      </c>
      <c r="T648">
        <f t="shared" si="998"/>
        <v>-18.182216515002132</v>
      </c>
    </row>
    <row r="649" spans="1:20" x14ac:dyDescent="0.25">
      <c r="A649" s="5">
        <v>43941</v>
      </c>
      <c r="B649">
        <v>1.297E-3</v>
      </c>
      <c r="C649">
        <v>1.317E-3</v>
      </c>
      <c r="D649">
        <v>1.145E-3</v>
      </c>
      <c r="E649">
        <v>1.163E-3</v>
      </c>
      <c r="F649">
        <v>63641449</v>
      </c>
      <c r="G649">
        <v>0</v>
      </c>
      <c r="L649" t="s">
        <v>7</v>
      </c>
      <c r="M649" t="s">
        <v>8</v>
      </c>
      <c r="N649" t="s">
        <v>8</v>
      </c>
      <c r="P649">
        <f t="shared" si="994"/>
        <v>-0.79069767441860472</v>
      </c>
      <c r="Q649">
        <f t="shared" si="995"/>
        <v>-50321145.720930234</v>
      </c>
      <c r="R649">
        <f t="shared" si="996"/>
        <v>-1827622887.5514953</v>
      </c>
      <c r="S649">
        <f t="shared" si="997"/>
        <v>-18276.228875514953</v>
      </c>
      <c r="T649">
        <f t="shared" si="998"/>
        <v>-18.276228875514953</v>
      </c>
    </row>
    <row r="650" spans="1:20" x14ac:dyDescent="0.25">
      <c r="A650" s="5">
        <v>43940</v>
      </c>
      <c r="B650">
        <v>1.305E-3</v>
      </c>
      <c r="C650">
        <v>1.3309999999999999E-3</v>
      </c>
      <c r="D650">
        <v>1.256E-3</v>
      </c>
      <c r="E650">
        <v>1.2830000000000001E-3</v>
      </c>
      <c r="F650">
        <v>44283970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-0.27999999999999675</v>
      </c>
      <c r="Q650">
        <f t="shared" si="995"/>
        <v>-12399511.599999856</v>
      </c>
      <c r="R650">
        <f t="shared" si="996"/>
        <v>-1777301741.830565</v>
      </c>
      <c r="S650">
        <f t="shared" si="997"/>
        <v>-17773.017418305652</v>
      </c>
      <c r="T650">
        <f t="shared" si="998"/>
        <v>-17.773017418305653</v>
      </c>
    </row>
    <row r="651" spans="1:20" x14ac:dyDescent="0.25">
      <c r="A651" s="5">
        <v>43939</v>
      </c>
      <c r="B651">
        <v>1.1670000000000001E-3</v>
      </c>
      <c r="C651">
        <v>1.3259999999999999E-3</v>
      </c>
      <c r="D651">
        <v>1.158E-3</v>
      </c>
      <c r="E651">
        <v>1.2849999999999999E-3</v>
      </c>
      <c r="F651">
        <v>22631353</v>
      </c>
      <c r="G651">
        <v>0</v>
      </c>
      <c r="L651" t="s">
        <v>8</v>
      </c>
      <c r="M651" t="s">
        <v>8</v>
      </c>
      <c r="N651" t="s">
        <v>8</v>
      </c>
      <c r="P651">
        <f t="shared" si="994"/>
        <v>0.51190476190476153</v>
      </c>
      <c r="Q651">
        <f t="shared" si="995"/>
        <v>11585097.36904761</v>
      </c>
      <c r="R651">
        <f t="shared" si="996"/>
        <v>-1764902230.2305651</v>
      </c>
      <c r="S651">
        <f t="shared" si="997"/>
        <v>-17649.02230230565</v>
      </c>
      <c r="T651">
        <f t="shared" si="998"/>
        <v>-17.649022302305649</v>
      </c>
    </row>
    <row r="652" spans="1:20" x14ac:dyDescent="0.25">
      <c r="A652" s="5">
        <v>43938</v>
      </c>
      <c r="B652">
        <v>1.1329999999999999E-3</v>
      </c>
      <c r="C652">
        <v>1.1820000000000001E-3</v>
      </c>
      <c r="D652">
        <v>1.1299999999999999E-3</v>
      </c>
      <c r="E652">
        <v>1.1820000000000001E-3</v>
      </c>
      <c r="F652">
        <v>9469441</v>
      </c>
      <c r="G652">
        <v>0</v>
      </c>
      <c r="L652" t="s">
        <v>8</v>
      </c>
      <c r="M652" t="s">
        <v>7</v>
      </c>
      <c r="N652" t="s">
        <v>8</v>
      </c>
      <c r="P652">
        <f t="shared" si="994"/>
        <v>1</v>
      </c>
      <c r="Q652">
        <f t="shared" si="995"/>
        <v>9469441</v>
      </c>
      <c r="R652">
        <f t="shared" si="996"/>
        <v>-1776487327.5996127</v>
      </c>
      <c r="S652">
        <f t="shared" si="997"/>
        <v>-17764.873275996128</v>
      </c>
      <c r="T652">
        <f t="shared" si="998"/>
        <v>-17.764873275996127</v>
      </c>
    </row>
    <row r="653" spans="1:20" x14ac:dyDescent="0.25">
      <c r="A653" s="5">
        <v>43937</v>
      </c>
      <c r="B653">
        <v>1.126E-3</v>
      </c>
      <c r="C653">
        <v>1.181E-3</v>
      </c>
      <c r="D653">
        <v>1.0759999999999999E-3</v>
      </c>
      <c r="E653">
        <v>1.1329999999999999E-3</v>
      </c>
      <c r="F653">
        <v>19529650</v>
      </c>
      <c r="G653">
        <v>0</v>
      </c>
      <c r="L653" t="s">
        <v>7</v>
      </c>
      <c r="M653" t="s">
        <v>7</v>
      </c>
      <c r="N653" t="s">
        <v>8</v>
      </c>
      <c r="P653">
        <f t="shared" si="994"/>
        <v>8.5714285714284646E-2</v>
      </c>
      <c r="Q653">
        <f t="shared" si="995"/>
        <v>1673969.999999979</v>
      </c>
      <c r="R653">
        <f t="shared" si="996"/>
        <v>-1785956768.5996127</v>
      </c>
      <c r="S653">
        <f t="shared" si="997"/>
        <v>-17859.567685996128</v>
      </c>
      <c r="T653">
        <f t="shared" si="998"/>
        <v>-17.859567685996129</v>
      </c>
    </row>
    <row r="654" spans="1:20" x14ac:dyDescent="0.25">
      <c r="A654" s="5">
        <v>43936</v>
      </c>
      <c r="B654">
        <v>1.1620000000000001E-3</v>
      </c>
      <c r="C654">
        <v>1.1869999999999999E-3</v>
      </c>
      <c r="D654">
        <v>1.126E-3</v>
      </c>
      <c r="E654">
        <v>1.126E-3</v>
      </c>
      <c r="F654">
        <v>16284871</v>
      </c>
      <c r="G654">
        <v>0</v>
      </c>
      <c r="L654" t="s">
        <v>7</v>
      </c>
      <c r="M654" t="s">
        <v>7</v>
      </c>
      <c r="N654" t="s">
        <v>8</v>
      </c>
      <c r="P654">
        <f t="shared" si="994"/>
        <v>-1</v>
      </c>
      <c r="Q654">
        <f t="shared" si="995"/>
        <v>-16284871</v>
      </c>
      <c r="R654">
        <f t="shared" si="996"/>
        <v>-1787630738.5996127</v>
      </c>
      <c r="S654">
        <f t="shared" si="997"/>
        <v>-17876.307385996126</v>
      </c>
      <c r="T654">
        <f t="shared" si="998"/>
        <v>-17.876307385996125</v>
      </c>
    </row>
    <row r="655" spans="1:20" x14ac:dyDescent="0.25">
      <c r="A655" s="5">
        <v>43935</v>
      </c>
      <c r="B655">
        <v>1.163E-3</v>
      </c>
      <c r="C655">
        <v>1.183E-3</v>
      </c>
      <c r="D655">
        <v>1.1329999999999999E-3</v>
      </c>
      <c r="E655">
        <v>1.1670000000000001E-3</v>
      </c>
      <c r="F655">
        <v>10557454</v>
      </c>
      <c r="G655">
        <v>0</v>
      </c>
      <c r="L655" t="s">
        <v>7</v>
      </c>
      <c r="M655" t="s">
        <v>7</v>
      </c>
      <c r="N655" t="s">
        <v>8</v>
      </c>
      <c r="P655">
        <f t="shared" si="994"/>
        <v>0.36000000000000348</v>
      </c>
      <c r="Q655">
        <f t="shared" si="995"/>
        <v>3800683.4400000367</v>
      </c>
      <c r="R655">
        <f t="shared" si="996"/>
        <v>-1771345867.5996127</v>
      </c>
      <c r="S655">
        <f t="shared" si="997"/>
        <v>-17713.458675996128</v>
      </c>
      <c r="T655">
        <f t="shared" si="998"/>
        <v>-17.713458675996126</v>
      </c>
    </row>
    <row r="656" spans="1:20" x14ac:dyDescent="0.25">
      <c r="A656" s="5">
        <v>43934</v>
      </c>
      <c r="B656">
        <v>1.2030000000000001E-3</v>
      </c>
      <c r="C656">
        <v>1.2030000000000001E-3</v>
      </c>
      <c r="D656">
        <v>1.1019999999999999E-3</v>
      </c>
      <c r="E656">
        <v>1.163E-3</v>
      </c>
      <c r="F656">
        <v>10486081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0.20792079207920725</v>
      </c>
      <c r="Q656">
        <f t="shared" si="995"/>
        <v>2180274.2673267256</v>
      </c>
      <c r="R656">
        <f t="shared" si="996"/>
        <v>-1775146551.0396128</v>
      </c>
      <c r="S656">
        <f t="shared" si="997"/>
        <v>-17751.465510396127</v>
      </c>
      <c r="T656">
        <f t="shared" si="998"/>
        <v>-17.751465510396127</v>
      </c>
    </row>
    <row r="657" spans="1:20" x14ac:dyDescent="0.25">
      <c r="A657" s="5">
        <v>43933</v>
      </c>
      <c r="B657">
        <v>1.1739999999999999E-3</v>
      </c>
      <c r="C657">
        <v>1.2509999999999999E-3</v>
      </c>
      <c r="D657">
        <v>1.1410000000000001E-3</v>
      </c>
      <c r="E657">
        <v>1.2110000000000001E-3</v>
      </c>
      <c r="F657">
        <v>11239803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0.27272727272727382</v>
      </c>
      <c r="Q657">
        <f t="shared" si="995"/>
        <v>3065400.8181818305</v>
      </c>
      <c r="R657">
        <f t="shared" si="996"/>
        <v>-1777326825.3069396</v>
      </c>
      <c r="S657">
        <f t="shared" si="997"/>
        <v>-17773.268253069396</v>
      </c>
      <c r="T657">
        <f t="shared" si="998"/>
        <v>-17.773268253069396</v>
      </c>
    </row>
    <row r="658" spans="1:20" x14ac:dyDescent="0.25">
      <c r="A658" s="5">
        <v>43932</v>
      </c>
      <c r="B658">
        <v>1.1739999999999999E-3</v>
      </c>
      <c r="C658">
        <v>1.1900000000000001E-3</v>
      </c>
      <c r="D658">
        <v>1.152E-3</v>
      </c>
      <c r="E658">
        <v>1.1739999999999999E-3</v>
      </c>
      <c r="F658">
        <v>13983627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0.15789473684209746</v>
      </c>
      <c r="Q658">
        <f t="shared" si="995"/>
        <v>2207941.1052630488</v>
      </c>
      <c r="R658">
        <f t="shared" si="996"/>
        <v>-1780392226.1251214</v>
      </c>
      <c r="S658">
        <f t="shared" si="997"/>
        <v>-17803.922261251213</v>
      </c>
      <c r="T658">
        <f t="shared" si="998"/>
        <v>-17.803922261251213</v>
      </c>
    </row>
    <row r="659" spans="1:20" x14ac:dyDescent="0.25">
      <c r="A659" s="5">
        <v>43931</v>
      </c>
      <c r="B659">
        <v>1.305E-3</v>
      </c>
      <c r="C659">
        <v>1.305E-3</v>
      </c>
      <c r="D659">
        <v>1.1620000000000001E-3</v>
      </c>
      <c r="E659">
        <v>1.1869999999999999E-3</v>
      </c>
      <c r="F659">
        <v>22017714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-0.6503496503496522</v>
      </c>
      <c r="Q659">
        <f t="shared" si="995"/>
        <v>-14319212.601398641</v>
      </c>
      <c r="R659">
        <f t="shared" si="996"/>
        <v>-1782600167.2303843</v>
      </c>
      <c r="S659">
        <f t="shared" si="997"/>
        <v>-17826.001672303842</v>
      </c>
      <c r="T659">
        <f t="shared" si="998"/>
        <v>-17.826001672303843</v>
      </c>
    </row>
    <row r="660" spans="1:20" x14ac:dyDescent="0.25">
      <c r="A660" s="5">
        <v>43930</v>
      </c>
      <c r="B660">
        <v>1.3780000000000001E-3</v>
      </c>
      <c r="C660">
        <v>1.3780000000000001E-3</v>
      </c>
      <c r="D660">
        <v>1.2899999999999999E-3</v>
      </c>
      <c r="E660">
        <v>1.2899999999999999E-3</v>
      </c>
      <c r="F660">
        <v>25297647</v>
      </c>
      <c r="G660">
        <v>0</v>
      </c>
      <c r="L660" t="s">
        <v>8</v>
      </c>
      <c r="M660" t="s">
        <v>8</v>
      </c>
      <c r="N660" t="s">
        <v>8</v>
      </c>
      <c r="P660">
        <f t="shared" si="994"/>
        <v>-1</v>
      </c>
      <c r="Q660">
        <f t="shared" si="995"/>
        <v>-25297647</v>
      </c>
      <c r="R660">
        <f t="shared" si="996"/>
        <v>-1768280954.6289856</v>
      </c>
      <c r="S660">
        <f t="shared" si="997"/>
        <v>-17682.809546289856</v>
      </c>
      <c r="T660">
        <f t="shared" si="998"/>
        <v>-17.682809546289857</v>
      </c>
    </row>
    <row r="661" spans="1:20" x14ac:dyDescent="0.25">
      <c r="A661" s="5">
        <v>43929</v>
      </c>
      <c r="B661">
        <v>1.3079999999999999E-3</v>
      </c>
      <c r="C661">
        <v>1.3829999999999999E-3</v>
      </c>
      <c r="D661">
        <v>1.2819999999999999E-3</v>
      </c>
      <c r="E661">
        <v>1.372E-3</v>
      </c>
      <c r="F661">
        <v>11252404</v>
      </c>
      <c r="G661">
        <v>0</v>
      </c>
      <c r="L661" t="s">
        <v>8</v>
      </c>
      <c r="M661" t="s">
        <v>8</v>
      </c>
      <c r="N661" t="s">
        <v>8</v>
      </c>
      <c r="P661">
        <f t="shared" si="994"/>
        <v>0.78217821782178321</v>
      </c>
      <c r="Q661">
        <f t="shared" si="995"/>
        <v>8801385.306930704</v>
      </c>
      <c r="R661">
        <f t="shared" si="996"/>
        <v>-1742983307.6289856</v>
      </c>
      <c r="S661">
        <f t="shared" si="997"/>
        <v>-17429.833076289855</v>
      </c>
      <c r="T661">
        <f t="shared" si="998"/>
        <v>-17.429833076289857</v>
      </c>
    </row>
    <row r="662" spans="1:20" x14ac:dyDescent="0.25">
      <c r="A662" s="5">
        <v>43928</v>
      </c>
      <c r="B662">
        <v>1.366E-3</v>
      </c>
      <c r="C662">
        <v>1.3940000000000001E-3</v>
      </c>
      <c r="D662">
        <v>1.2700000000000001E-3</v>
      </c>
      <c r="E662">
        <v>1.3079999999999999E-3</v>
      </c>
      <c r="F662">
        <v>63374164</v>
      </c>
      <c r="G662">
        <v>0</v>
      </c>
      <c r="L662" t="s">
        <v>7</v>
      </c>
      <c r="M662" t="s">
        <v>8</v>
      </c>
      <c r="N662" t="s">
        <v>8</v>
      </c>
      <c r="P662">
        <f t="shared" si="994"/>
        <v>-0.38709677419355087</v>
      </c>
      <c r="Q662">
        <f t="shared" si="995"/>
        <v>-24531934.451613061</v>
      </c>
      <c r="R662">
        <f t="shared" si="996"/>
        <v>-1751784692.9359164</v>
      </c>
      <c r="S662">
        <f t="shared" si="997"/>
        <v>-17517.846929359162</v>
      </c>
      <c r="T662">
        <f t="shared" si="998"/>
        <v>-17.517846929359163</v>
      </c>
    </row>
    <row r="663" spans="1:20" x14ac:dyDescent="0.25">
      <c r="A663" s="5">
        <v>43927</v>
      </c>
      <c r="B663">
        <v>1.1659999999999999E-3</v>
      </c>
      <c r="C663">
        <v>1.3910000000000001E-3</v>
      </c>
      <c r="D663">
        <v>1.16E-3</v>
      </c>
      <c r="E663">
        <v>1.3630000000000001E-3</v>
      </c>
      <c r="F663">
        <v>57472684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0.75757575757575746</v>
      </c>
      <c r="Q663">
        <f t="shared" si="995"/>
        <v>43539912.121212117</v>
      </c>
      <c r="R663">
        <f t="shared" si="996"/>
        <v>-1727252758.4843035</v>
      </c>
      <c r="S663">
        <f t="shared" si="997"/>
        <v>-17272.527584843036</v>
      </c>
      <c r="T663">
        <f t="shared" si="998"/>
        <v>-17.272527584843036</v>
      </c>
    </row>
    <row r="664" spans="1:20" x14ac:dyDescent="0.25">
      <c r="A664" s="5">
        <v>43926</v>
      </c>
      <c r="B664">
        <v>1.191E-3</v>
      </c>
      <c r="C664">
        <v>1.2260000000000001E-3</v>
      </c>
      <c r="D664">
        <v>1.1349999999999999E-3</v>
      </c>
      <c r="E664">
        <v>1.168E-3</v>
      </c>
      <c r="F664">
        <v>10309427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-0.27472527472527497</v>
      </c>
      <c r="Q664">
        <f t="shared" si="995"/>
        <v>-2832260.1648351676</v>
      </c>
      <c r="R664">
        <f t="shared" si="996"/>
        <v>-1770792670.6055155</v>
      </c>
      <c r="S664">
        <f t="shared" si="997"/>
        <v>-17707.926706055154</v>
      </c>
      <c r="T664">
        <f t="shared" si="998"/>
        <v>-17.707926706055154</v>
      </c>
    </row>
    <row r="665" spans="1:20" x14ac:dyDescent="0.25">
      <c r="A665" s="5">
        <v>43925</v>
      </c>
      <c r="B665">
        <v>1.191E-3</v>
      </c>
      <c r="C665">
        <v>1.2750000000000001E-3</v>
      </c>
      <c r="D665">
        <v>1.163E-3</v>
      </c>
      <c r="E665">
        <v>1.1980000000000001E-3</v>
      </c>
      <c r="F665">
        <v>10505212</v>
      </c>
      <c r="G665">
        <v>0</v>
      </c>
      <c r="L665" t="s">
        <v>7</v>
      </c>
      <c r="M665" t="s">
        <v>8</v>
      </c>
      <c r="N665" t="s">
        <v>8</v>
      </c>
      <c r="P665">
        <f t="shared" si="994"/>
        <v>-0.37499999999999906</v>
      </c>
      <c r="Q665">
        <f t="shared" si="995"/>
        <v>-3939454.4999999902</v>
      </c>
      <c r="R665">
        <f t="shared" si="996"/>
        <v>-1767960410.4406803</v>
      </c>
      <c r="S665">
        <f t="shared" si="997"/>
        <v>-17679.604104406804</v>
      </c>
      <c r="T665">
        <f t="shared" si="998"/>
        <v>-17.679604104406803</v>
      </c>
    </row>
    <row r="666" spans="1:20" x14ac:dyDescent="0.25">
      <c r="A666" s="5">
        <v>43924</v>
      </c>
      <c r="B666">
        <v>1.132E-3</v>
      </c>
      <c r="C666">
        <v>1.317E-3</v>
      </c>
      <c r="D666">
        <v>1.1299999999999999E-3</v>
      </c>
      <c r="E666">
        <v>1.191E-3</v>
      </c>
      <c r="F666">
        <v>79986298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-0.34759358288770009</v>
      </c>
      <c r="Q666">
        <f t="shared" si="995"/>
        <v>-27802723.903743282</v>
      </c>
      <c r="R666">
        <f t="shared" si="996"/>
        <v>-1764020955.9406803</v>
      </c>
      <c r="S666">
        <f t="shared" si="997"/>
        <v>-17640.209559406801</v>
      </c>
      <c r="T666">
        <f t="shared" si="998"/>
        <v>-17.640209559406802</v>
      </c>
    </row>
    <row r="667" spans="1:20" x14ac:dyDescent="0.25">
      <c r="A667" s="5">
        <v>43923</v>
      </c>
      <c r="B667">
        <v>1.122E-3</v>
      </c>
      <c r="C667">
        <v>1.168E-3</v>
      </c>
      <c r="D667">
        <v>1.0939999999999999E-3</v>
      </c>
      <c r="E667">
        <v>1.124E-3</v>
      </c>
      <c r="F667">
        <v>21376030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-0.18918918918918776</v>
      </c>
      <c r="Q667">
        <f t="shared" si="995"/>
        <v>-4044113.7837837529</v>
      </c>
      <c r="R667">
        <f t="shared" si="996"/>
        <v>-1736218232.036937</v>
      </c>
      <c r="S667">
        <f t="shared" si="997"/>
        <v>-17362.182320369371</v>
      </c>
      <c r="T667">
        <f t="shared" si="998"/>
        <v>-17.362182320369371</v>
      </c>
    </row>
    <row r="668" spans="1:20" x14ac:dyDescent="0.25">
      <c r="A668" s="5">
        <v>43922</v>
      </c>
      <c r="B668">
        <v>1.093E-3</v>
      </c>
      <c r="C668">
        <v>1.1230000000000001E-3</v>
      </c>
      <c r="D668">
        <v>1.0610000000000001E-3</v>
      </c>
      <c r="E668">
        <v>1.1050000000000001E-3</v>
      </c>
      <c r="F668">
        <v>7517095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0.41935483870967721</v>
      </c>
      <c r="Q668">
        <f t="shared" si="995"/>
        <v>3152330.161290321</v>
      </c>
      <c r="R668">
        <f t="shared" si="996"/>
        <v>-1732174118.2531533</v>
      </c>
      <c r="S668">
        <f t="shared" si="997"/>
        <v>-17321.741182531532</v>
      </c>
      <c r="T668">
        <f t="shared" si="998"/>
        <v>-17.321741182531532</v>
      </c>
    </row>
    <row r="669" spans="1:20" x14ac:dyDescent="0.25">
      <c r="A669" s="5">
        <v>43921</v>
      </c>
      <c r="B669">
        <v>1.108E-3</v>
      </c>
      <c r="C669">
        <v>1.124E-3</v>
      </c>
      <c r="D669">
        <v>1.075E-3</v>
      </c>
      <c r="E669">
        <v>1.098E-3</v>
      </c>
      <c r="F669">
        <v>8946723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-6.1224489795917644E-2</v>
      </c>
      <c r="Q669">
        <f t="shared" si="995"/>
        <v>-547758.55102040165</v>
      </c>
      <c r="R669">
        <f t="shared" si="996"/>
        <v>-1735326448.4144437</v>
      </c>
      <c r="S669">
        <f t="shared" si="997"/>
        <v>-17353.264484144438</v>
      </c>
      <c r="T669">
        <f t="shared" si="998"/>
        <v>-17.353264484144439</v>
      </c>
    </row>
    <row r="670" spans="1:20" x14ac:dyDescent="0.25">
      <c r="A670" s="5">
        <v>43920</v>
      </c>
      <c r="B670">
        <v>9.8999999999999999E-4</v>
      </c>
      <c r="C670">
        <v>1.1379999999999999E-3</v>
      </c>
      <c r="D670">
        <v>9.8999999999999999E-4</v>
      </c>
      <c r="E670">
        <v>1.108E-3</v>
      </c>
      <c r="F670">
        <v>9903029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0.59459459459459618</v>
      </c>
      <c r="Q670">
        <f t="shared" si="995"/>
        <v>5888287.5135135297</v>
      </c>
      <c r="R670">
        <f t="shared" si="996"/>
        <v>-1734778689.8634233</v>
      </c>
      <c r="S670">
        <f t="shared" si="997"/>
        <v>-17347.786898634233</v>
      </c>
      <c r="T670">
        <f t="shared" si="998"/>
        <v>-17.347786898634233</v>
      </c>
    </row>
    <row r="671" spans="1:20" x14ac:dyDescent="0.25">
      <c r="A671" s="5">
        <v>43919</v>
      </c>
      <c r="B671">
        <v>1.096E-3</v>
      </c>
      <c r="C671">
        <v>1.096E-3</v>
      </c>
      <c r="D671">
        <v>9.7900000000000005E-4</v>
      </c>
      <c r="E671">
        <v>9.7900000000000005E-4</v>
      </c>
      <c r="F671">
        <v>8204461</v>
      </c>
      <c r="G671">
        <v>0</v>
      </c>
      <c r="L671" t="s">
        <v>7</v>
      </c>
      <c r="M671" t="s">
        <v>7</v>
      </c>
      <c r="N671" t="s">
        <v>8</v>
      </c>
      <c r="P671">
        <f t="shared" si="994"/>
        <v>-1</v>
      </c>
      <c r="Q671">
        <f t="shared" si="995"/>
        <v>-8204461</v>
      </c>
      <c r="R671">
        <f t="shared" si="996"/>
        <v>-1740666977.3769369</v>
      </c>
      <c r="S671">
        <f t="shared" si="997"/>
        <v>-17406.669773769368</v>
      </c>
      <c r="T671">
        <f t="shared" si="998"/>
        <v>-17.406669773769369</v>
      </c>
    </row>
    <row r="672" spans="1:20" x14ac:dyDescent="0.25">
      <c r="A672" s="5">
        <v>43918</v>
      </c>
      <c r="B672">
        <v>1.077E-3</v>
      </c>
      <c r="C672">
        <v>1.1119999999999999E-3</v>
      </c>
      <c r="D672">
        <v>1.0300000000000001E-3</v>
      </c>
      <c r="E672">
        <v>1.1119999999999999E-3</v>
      </c>
      <c r="F672">
        <v>25079502</v>
      </c>
      <c r="G672">
        <v>0</v>
      </c>
      <c r="L672" t="s">
        <v>7</v>
      </c>
      <c r="M672" t="s">
        <v>7</v>
      </c>
      <c r="N672" t="s">
        <v>8</v>
      </c>
      <c r="P672">
        <f t="shared" si="994"/>
        <v>1</v>
      </c>
      <c r="Q672">
        <f t="shared" si="995"/>
        <v>25079502</v>
      </c>
      <c r="R672">
        <f t="shared" si="996"/>
        <v>-1732462516.3769369</v>
      </c>
      <c r="S672">
        <f t="shared" si="997"/>
        <v>-17324.625163769368</v>
      </c>
      <c r="T672">
        <f t="shared" si="998"/>
        <v>-17.324625163769369</v>
      </c>
    </row>
    <row r="673" spans="1:20" x14ac:dyDescent="0.25">
      <c r="A673" s="5">
        <v>43917</v>
      </c>
      <c r="B673">
        <v>1.1850000000000001E-3</v>
      </c>
      <c r="C673">
        <v>1.2700000000000001E-3</v>
      </c>
      <c r="D673">
        <v>1.088E-3</v>
      </c>
      <c r="E673">
        <v>1.088E-3</v>
      </c>
      <c r="F673">
        <v>17636044</v>
      </c>
      <c r="G673">
        <v>0</v>
      </c>
      <c r="L673" t="s">
        <v>7</v>
      </c>
      <c r="M673" t="s">
        <v>8</v>
      </c>
      <c r="N673" t="s">
        <v>8</v>
      </c>
      <c r="P673">
        <f t="shared" si="994"/>
        <v>-1</v>
      </c>
      <c r="Q673">
        <f t="shared" si="995"/>
        <v>-17636044</v>
      </c>
      <c r="R673">
        <f t="shared" si="996"/>
        <v>-1757542018.3769369</v>
      </c>
      <c r="S673">
        <f t="shared" si="997"/>
        <v>-17575.420183769369</v>
      </c>
      <c r="T673">
        <f t="shared" si="998"/>
        <v>-17.575420183769371</v>
      </c>
    </row>
    <row r="674" spans="1:20" x14ac:dyDescent="0.25">
      <c r="A674" s="5">
        <v>43916</v>
      </c>
      <c r="B674">
        <v>1.1789999999999999E-3</v>
      </c>
      <c r="C674">
        <v>1.289E-3</v>
      </c>
      <c r="D674">
        <v>1.1249999999999999E-3</v>
      </c>
      <c r="E674">
        <v>1.1720000000000001E-3</v>
      </c>
      <c r="F674">
        <v>26604389</v>
      </c>
      <c r="G674">
        <v>0</v>
      </c>
      <c r="L674" t="s">
        <v>8</v>
      </c>
      <c r="M674" t="s">
        <v>8</v>
      </c>
      <c r="N674" t="s">
        <v>8</v>
      </c>
      <c r="P674">
        <f t="shared" si="994"/>
        <v>-0.4268292682926812</v>
      </c>
      <c r="Q674">
        <f t="shared" si="995"/>
        <v>-11355531.890243856</v>
      </c>
      <c r="R674">
        <f t="shared" si="996"/>
        <v>-1739905974.3769369</v>
      </c>
      <c r="S674">
        <f t="shared" si="997"/>
        <v>-17399.059743769369</v>
      </c>
      <c r="T674">
        <f t="shared" si="998"/>
        <v>-17.399059743769367</v>
      </c>
    </row>
    <row r="675" spans="1:20" x14ac:dyDescent="0.25">
      <c r="A675" s="5">
        <v>43915</v>
      </c>
      <c r="B675">
        <v>1.15E-3</v>
      </c>
      <c r="C675">
        <v>1.2279999999999999E-3</v>
      </c>
      <c r="D675">
        <v>1.1000000000000001E-3</v>
      </c>
      <c r="E675">
        <v>1.1559999999999999E-3</v>
      </c>
      <c r="F675">
        <v>30639478</v>
      </c>
      <c r="G675">
        <v>0</v>
      </c>
      <c r="L675" t="s">
        <v>7</v>
      </c>
      <c r="M675" t="s">
        <v>8</v>
      </c>
      <c r="N675" t="s">
        <v>8</v>
      </c>
      <c r="P675">
        <f t="shared" si="994"/>
        <v>-0.12500000000000147</v>
      </c>
      <c r="Q675">
        <f t="shared" si="995"/>
        <v>-3829934.7500000452</v>
      </c>
      <c r="R675">
        <f t="shared" si="996"/>
        <v>-1728550442.4866931</v>
      </c>
      <c r="S675">
        <f t="shared" si="997"/>
        <v>-17285.504424866933</v>
      </c>
      <c r="T675">
        <f t="shared" si="998"/>
        <v>-17.285504424866932</v>
      </c>
    </row>
    <row r="676" spans="1:20" x14ac:dyDescent="0.25">
      <c r="A676" s="5">
        <v>43914</v>
      </c>
      <c r="B676">
        <v>1.2130000000000001E-3</v>
      </c>
      <c r="C676">
        <v>1.2780000000000001E-3</v>
      </c>
      <c r="D676">
        <v>1.126E-3</v>
      </c>
      <c r="E676">
        <v>1.152E-3</v>
      </c>
      <c r="F676">
        <v>25866337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-0.65789473684210553</v>
      </c>
      <c r="Q676">
        <f t="shared" si="995"/>
        <v>-17017326.973684218</v>
      </c>
      <c r="R676">
        <f t="shared" si="996"/>
        <v>-1724720507.7366931</v>
      </c>
      <c r="S676">
        <f t="shared" si="997"/>
        <v>-17247.205077366933</v>
      </c>
      <c r="T676">
        <f t="shared" si="998"/>
        <v>-17.247205077366932</v>
      </c>
    </row>
    <row r="677" spans="1:20" x14ac:dyDescent="0.25">
      <c r="A677" s="5">
        <v>43913</v>
      </c>
      <c r="B677">
        <v>9.7400000000000004E-4</v>
      </c>
      <c r="C677">
        <v>1.2199999999999999E-3</v>
      </c>
      <c r="D677">
        <v>9.68E-4</v>
      </c>
      <c r="E677">
        <v>1.212E-3</v>
      </c>
      <c r="F677">
        <v>34610471</v>
      </c>
      <c r="G677">
        <v>0</v>
      </c>
      <c r="L677" t="s">
        <v>8</v>
      </c>
      <c r="M677" t="s">
        <v>8</v>
      </c>
      <c r="N677" t="s">
        <v>7</v>
      </c>
      <c r="P677">
        <f t="shared" si="994"/>
        <v>0.93650793650793662</v>
      </c>
      <c r="Q677">
        <f t="shared" si="995"/>
        <v>32412980.777777784</v>
      </c>
      <c r="R677">
        <f t="shared" si="996"/>
        <v>-1707703180.7630088</v>
      </c>
      <c r="S677">
        <f t="shared" si="997"/>
        <v>-17077.03180763009</v>
      </c>
      <c r="T677">
        <f t="shared" si="998"/>
        <v>-17.077031807630089</v>
      </c>
    </row>
    <row r="678" spans="1:20" x14ac:dyDescent="0.25">
      <c r="A678" s="5">
        <v>43912</v>
      </c>
      <c r="B678">
        <v>1.114E-3</v>
      </c>
      <c r="C678">
        <v>1.1720000000000001E-3</v>
      </c>
      <c r="D678">
        <v>9.4700000000000003E-4</v>
      </c>
      <c r="E678">
        <v>9.8499999999999998E-4</v>
      </c>
      <c r="F678">
        <v>23351639</v>
      </c>
      <c r="G678">
        <v>0</v>
      </c>
      <c r="L678" t="s">
        <v>7</v>
      </c>
      <c r="M678" t="s">
        <v>7</v>
      </c>
      <c r="N678" t="s">
        <v>7</v>
      </c>
      <c r="P678">
        <f t="shared" si="994"/>
        <v>-0.66222222222222271</v>
      </c>
      <c r="Q678">
        <f t="shared" si="995"/>
        <v>-15463974.271111123</v>
      </c>
      <c r="R678">
        <f t="shared" si="996"/>
        <v>-1740116161.5407865</v>
      </c>
      <c r="S678">
        <f t="shared" si="997"/>
        <v>-17401.161615407866</v>
      </c>
      <c r="T678">
        <f t="shared" si="998"/>
        <v>-17.401161615407865</v>
      </c>
    </row>
    <row r="679" spans="1:20" x14ac:dyDescent="0.25">
      <c r="A679" s="5">
        <v>43911</v>
      </c>
      <c r="B679">
        <v>1.0740000000000001E-3</v>
      </c>
      <c r="C679">
        <v>1.1999999999999999E-3</v>
      </c>
      <c r="D679">
        <v>1.0480000000000001E-3</v>
      </c>
      <c r="E679">
        <v>1.114E-3</v>
      </c>
      <c r="F679">
        <v>39771825</v>
      </c>
      <c r="G679">
        <v>0</v>
      </c>
      <c r="L679" t="s">
        <v>7</v>
      </c>
      <c r="M679" t="s">
        <v>7</v>
      </c>
      <c r="N679" t="s">
        <v>8</v>
      </c>
      <c r="P679">
        <f t="shared" si="994"/>
        <v>-0.13157894736842157</v>
      </c>
      <c r="Q679">
        <f t="shared" si="995"/>
        <v>-5233134.8684210731</v>
      </c>
      <c r="R679">
        <f t="shared" si="996"/>
        <v>-1724652187.2696755</v>
      </c>
      <c r="S679">
        <f t="shared" si="997"/>
        <v>-17246.521872696754</v>
      </c>
      <c r="T679">
        <f t="shared" si="998"/>
        <v>-17.246521872696754</v>
      </c>
    </row>
    <row r="680" spans="1:20" x14ac:dyDescent="0.25">
      <c r="A680" s="5">
        <v>43910</v>
      </c>
      <c r="B680">
        <v>1.1850000000000001E-3</v>
      </c>
      <c r="C680">
        <v>1.3320000000000001E-3</v>
      </c>
      <c r="D680">
        <v>1.0189999999999999E-3</v>
      </c>
      <c r="E680">
        <v>1.109E-3</v>
      </c>
      <c r="F680">
        <v>92002280</v>
      </c>
      <c r="G680">
        <v>0</v>
      </c>
      <c r="L680" t="s">
        <v>8</v>
      </c>
      <c r="M680" t="s">
        <v>8</v>
      </c>
      <c r="N680" t="s">
        <v>8</v>
      </c>
      <c r="P680">
        <f t="shared" si="994"/>
        <v>-0.42492012779552729</v>
      </c>
      <c r="Q680">
        <f t="shared" si="995"/>
        <v>-39093620.575079888</v>
      </c>
      <c r="R680">
        <f t="shared" si="996"/>
        <v>-1719419052.4012544</v>
      </c>
      <c r="S680">
        <f t="shared" si="997"/>
        <v>-17194.190524012545</v>
      </c>
      <c r="T680">
        <f t="shared" si="998"/>
        <v>-17.194190524012544</v>
      </c>
    </row>
    <row r="681" spans="1:20" x14ac:dyDescent="0.25">
      <c r="A681" s="5">
        <v>43909</v>
      </c>
      <c r="B681">
        <v>1.0549999999999999E-3</v>
      </c>
      <c r="C681">
        <v>1.237E-3</v>
      </c>
      <c r="D681">
        <v>1.052E-3</v>
      </c>
      <c r="E681">
        <v>1.2229999999999999E-3</v>
      </c>
      <c r="F681">
        <v>99173034</v>
      </c>
      <c r="G681">
        <v>0</v>
      </c>
      <c r="L681" t="s">
        <v>8</v>
      </c>
      <c r="M681" t="s">
        <v>8</v>
      </c>
      <c r="N681" t="s">
        <v>8</v>
      </c>
      <c r="P681">
        <f t="shared" si="994"/>
        <v>0.84864864864864731</v>
      </c>
      <c r="Q681">
        <f t="shared" si="995"/>
        <v>84163061.286486357</v>
      </c>
      <c r="R681">
        <f t="shared" si="996"/>
        <v>-1680325431.8261745</v>
      </c>
      <c r="S681">
        <f t="shared" si="997"/>
        <v>-16803.254318261745</v>
      </c>
      <c r="T681">
        <f t="shared" si="998"/>
        <v>-16.803254318261743</v>
      </c>
    </row>
    <row r="682" spans="1:20" x14ac:dyDescent="0.25">
      <c r="A682" s="5">
        <v>43908</v>
      </c>
      <c r="B682">
        <v>1.0549999999999999E-3</v>
      </c>
      <c r="C682">
        <v>1.1999999999999999E-3</v>
      </c>
      <c r="D682">
        <v>9.1500000000000001E-4</v>
      </c>
      <c r="E682">
        <v>1.0529999999999999E-3</v>
      </c>
      <c r="F682">
        <v>55771056</v>
      </c>
      <c r="G682">
        <v>0</v>
      </c>
      <c r="L682" t="s">
        <v>8</v>
      </c>
      <c r="M682" t="s">
        <v>8</v>
      </c>
      <c r="N682" t="s">
        <v>8</v>
      </c>
      <c r="P682">
        <f t="shared" si="994"/>
        <v>-3.1578947368421456E-2</v>
      </c>
      <c r="Q682">
        <f t="shared" si="995"/>
        <v>-1761191.2421052856</v>
      </c>
      <c r="R682">
        <f t="shared" si="996"/>
        <v>-1764488493.1126609</v>
      </c>
      <c r="S682">
        <f t="shared" si="997"/>
        <v>-17644.884931126609</v>
      </c>
      <c r="T682">
        <f t="shared" si="998"/>
        <v>-17.644884931126608</v>
      </c>
    </row>
    <row r="683" spans="1:20" x14ac:dyDescent="0.25">
      <c r="A683" s="5">
        <v>43907</v>
      </c>
      <c r="B683">
        <v>9.6299999999999999E-4</v>
      </c>
      <c r="C683">
        <v>1.124E-3</v>
      </c>
      <c r="D683">
        <v>9.5100000000000002E-4</v>
      </c>
      <c r="E683">
        <v>1.0690000000000001E-3</v>
      </c>
      <c r="F683">
        <v>11673915</v>
      </c>
      <c r="G683">
        <v>0</v>
      </c>
      <c r="L683" t="s">
        <v>8</v>
      </c>
      <c r="M683" t="s">
        <v>8</v>
      </c>
      <c r="N683" t="s">
        <v>7</v>
      </c>
      <c r="P683">
        <f t="shared" si="994"/>
        <v>0.36416184971098342</v>
      </c>
      <c r="Q683">
        <f t="shared" si="995"/>
        <v>4251194.479768795</v>
      </c>
      <c r="R683">
        <f t="shared" si="996"/>
        <v>-1762727301.8705556</v>
      </c>
      <c r="S683">
        <f t="shared" si="997"/>
        <v>-17627.273018705557</v>
      </c>
      <c r="T683">
        <f t="shared" si="998"/>
        <v>-17.627273018705555</v>
      </c>
    </row>
    <row r="684" spans="1:20" x14ac:dyDescent="0.25">
      <c r="A684" s="5">
        <v>43906</v>
      </c>
      <c r="B684">
        <v>1.1800000000000001E-3</v>
      </c>
      <c r="C684">
        <v>1.1800000000000001E-3</v>
      </c>
      <c r="D684">
        <v>8.1700000000000002E-4</v>
      </c>
      <c r="E684">
        <v>9.6299999999999999E-4</v>
      </c>
      <c r="F684">
        <v>44530837</v>
      </c>
      <c r="G684">
        <v>0</v>
      </c>
      <c r="L684" t="s">
        <v>7</v>
      </c>
      <c r="M684" t="s">
        <v>7</v>
      </c>
      <c r="N684" t="s">
        <v>7</v>
      </c>
      <c r="P684">
        <f t="shared" si="994"/>
        <v>-0.19559228650137767</v>
      </c>
      <c r="Q684">
        <f t="shared" si="995"/>
        <v>-8709888.228650149</v>
      </c>
      <c r="R684">
        <f t="shared" si="996"/>
        <v>-1766978496.3503244</v>
      </c>
      <c r="S684">
        <f t="shared" si="997"/>
        <v>-17669.784963503243</v>
      </c>
      <c r="T684">
        <f t="shared" si="998"/>
        <v>-17.669784963503243</v>
      </c>
    </row>
    <row r="685" spans="1:20" x14ac:dyDescent="0.25">
      <c r="A685" s="5">
        <v>43905</v>
      </c>
      <c r="B685">
        <v>1.134E-3</v>
      </c>
      <c r="C685">
        <v>1.242E-3</v>
      </c>
      <c r="D685">
        <v>1.085E-3</v>
      </c>
      <c r="E685">
        <v>1.178E-3</v>
      </c>
      <c r="F685">
        <v>29249749</v>
      </c>
      <c r="G685">
        <v>0</v>
      </c>
      <c r="L685" t="s">
        <v>8</v>
      </c>
      <c r="M685" t="s">
        <v>8</v>
      </c>
      <c r="N685" t="s">
        <v>8</v>
      </c>
      <c r="P685">
        <f t="shared" si="994"/>
        <v>0.18471337579617797</v>
      </c>
      <c r="Q685">
        <f t="shared" si="995"/>
        <v>5402819.8789808806</v>
      </c>
      <c r="R685">
        <f t="shared" si="996"/>
        <v>-1758268608.1216743</v>
      </c>
      <c r="S685">
        <f t="shared" si="997"/>
        <v>-17582.686081216743</v>
      </c>
      <c r="T685">
        <f t="shared" si="998"/>
        <v>-17.582686081216742</v>
      </c>
    </row>
    <row r="686" spans="1:20" x14ac:dyDescent="0.25">
      <c r="A686" s="5">
        <v>43904</v>
      </c>
      <c r="B686">
        <v>1.109E-3</v>
      </c>
      <c r="C686">
        <v>1.2049999999999999E-3</v>
      </c>
      <c r="D686">
        <v>1.0499999999999999E-3</v>
      </c>
      <c r="E686">
        <v>1.1100000000000001E-3</v>
      </c>
      <c r="F686">
        <v>15679979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-0.22580645161290105</v>
      </c>
      <c r="Q686">
        <f t="shared" si="995"/>
        <v>-3540640.4193548048</v>
      </c>
      <c r="R686">
        <f t="shared" si="996"/>
        <v>-1763671428.0006552</v>
      </c>
      <c r="S686">
        <f t="shared" si="997"/>
        <v>-17636.714280006552</v>
      </c>
      <c r="T686">
        <f t="shared" si="998"/>
        <v>-17.636714280006551</v>
      </c>
    </row>
    <row r="687" spans="1:20" x14ac:dyDescent="0.25">
      <c r="A687" s="5">
        <v>43903</v>
      </c>
      <c r="B687">
        <v>8.9499999999999996E-4</v>
      </c>
      <c r="C687">
        <v>1.186E-3</v>
      </c>
      <c r="D687">
        <v>6.4999999999999997E-4</v>
      </c>
      <c r="E687">
        <v>1.158E-3</v>
      </c>
      <c r="F687">
        <v>62250617</v>
      </c>
      <c r="G687">
        <v>0</v>
      </c>
      <c r="L687" t="s">
        <v>8</v>
      </c>
      <c r="M687" t="s">
        <v>8</v>
      </c>
      <c r="N687" t="s">
        <v>8</v>
      </c>
      <c r="P687">
        <f t="shared" si="994"/>
        <v>0.89552238805970141</v>
      </c>
      <c r="Q687">
        <f t="shared" si="995"/>
        <v>55746821.194029845</v>
      </c>
      <c r="R687">
        <f t="shared" si="996"/>
        <v>-1760130787.5813003</v>
      </c>
      <c r="S687">
        <f t="shared" si="997"/>
        <v>-17601.307875813003</v>
      </c>
      <c r="T687">
        <f t="shared" si="998"/>
        <v>-17.601307875813003</v>
      </c>
    </row>
    <row r="688" spans="1:20" x14ac:dyDescent="0.25">
      <c r="A688" s="5">
        <v>43902</v>
      </c>
      <c r="B688">
        <v>1.915E-3</v>
      </c>
      <c r="C688">
        <v>1.915E-3</v>
      </c>
      <c r="D688">
        <v>3.5E-4</v>
      </c>
      <c r="E688">
        <v>8.9899999999999995E-4</v>
      </c>
      <c r="F688">
        <v>106600691</v>
      </c>
      <c r="G688">
        <v>0</v>
      </c>
      <c r="L688" t="s">
        <v>7</v>
      </c>
      <c r="M688" t="s">
        <v>7</v>
      </c>
      <c r="N688" t="s">
        <v>7</v>
      </c>
      <c r="P688">
        <f t="shared" si="994"/>
        <v>-0.2984025559105431</v>
      </c>
      <c r="Q688">
        <f t="shared" si="995"/>
        <v>-31809918.656230029</v>
      </c>
      <c r="R688">
        <f t="shared" si="996"/>
        <v>-1815877608.7753301</v>
      </c>
      <c r="S688">
        <f t="shared" si="997"/>
        <v>-18158.7760877533</v>
      </c>
      <c r="T688">
        <f t="shared" si="998"/>
        <v>-18.158776087753299</v>
      </c>
    </row>
    <row r="689" spans="1:20" x14ac:dyDescent="0.25">
      <c r="A689" s="5">
        <v>43901</v>
      </c>
      <c r="B689">
        <v>1.9919999999999998E-3</v>
      </c>
      <c r="C689">
        <v>2.0669999999999998E-3</v>
      </c>
      <c r="D689">
        <v>1.8109999999999999E-3</v>
      </c>
      <c r="E689">
        <v>1.895E-3</v>
      </c>
      <c r="F689">
        <v>35552750</v>
      </c>
      <c r="G689">
        <v>0</v>
      </c>
      <c r="L689" t="s">
        <v>7</v>
      </c>
      <c r="M689" t="s">
        <v>7</v>
      </c>
      <c r="N689" t="s">
        <v>7</v>
      </c>
      <c r="P689">
        <f t="shared" si="994"/>
        <v>-0.34374999999999911</v>
      </c>
      <c r="Q689">
        <f t="shared" si="995"/>
        <v>-12221257.812499968</v>
      </c>
      <c r="R689">
        <f t="shared" si="996"/>
        <v>-1784067690.1191001</v>
      </c>
      <c r="S689">
        <f t="shared" si="997"/>
        <v>-17840.676901191</v>
      </c>
      <c r="T689">
        <f t="shared" si="998"/>
        <v>-17.840676901190999</v>
      </c>
    </row>
    <row r="690" spans="1:20" x14ac:dyDescent="0.25">
      <c r="A690" s="5">
        <v>43900</v>
      </c>
      <c r="B690">
        <v>1.913E-3</v>
      </c>
      <c r="C690">
        <v>2.1229999999999999E-3</v>
      </c>
      <c r="D690">
        <v>1.8400000000000001E-3</v>
      </c>
      <c r="E690">
        <v>2.0070000000000001E-3</v>
      </c>
      <c r="F690">
        <v>38174056</v>
      </c>
      <c r="G690">
        <v>0</v>
      </c>
      <c r="L690" t="s">
        <v>8</v>
      </c>
      <c r="M690" t="s">
        <v>7</v>
      </c>
      <c r="N690" t="s">
        <v>7</v>
      </c>
      <c r="P690">
        <f t="shared" si="994"/>
        <v>0.18021201413427665</v>
      </c>
      <c r="Q690">
        <f t="shared" si="995"/>
        <v>6879423.5194346681</v>
      </c>
      <c r="R690">
        <f t="shared" si="996"/>
        <v>-1771846432.3066001</v>
      </c>
      <c r="S690">
        <f t="shared" si="997"/>
        <v>-17718.464323066</v>
      </c>
      <c r="T690">
        <f t="shared" si="998"/>
        <v>-17.718464323066001</v>
      </c>
    </row>
    <row r="691" spans="1:20" x14ac:dyDescent="0.25">
      <c r="A691" s="5">
        <v>43899</v>
      </c>
      <c r="B691">
        <v>2.0279999999999999E-3</v>
      </c>
      <c r="C691">
        <v>2.1129999999999999E-3</v>
      </c>
      <c r="D691">
        <v>1.8E-3</v>
      </c>
      <c r="E691">
        <v>1.913E-3</v>
      </c>
      <c r="F691">
        <v>54601255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-0.27795527156549477</v>
      </c>
      <c r="Q691">
        <f t="shared" si="995"/>
        <v>-15176706.661341829</v>
      </c>
      <c r="R691">
        <f t="shared" si="996"/>
        <v>-1778725855.8260348</v>
      </c>
      <c r="S691">
        <f t="shared" si="997"/>
        <v>-17787.258558260346</v>
      </c>
      <c r="T691">
        <f t="shared" si="998"/>
        <v>-17.787258558260348</v>
      </c>
    </row>
    <row r="692" spans="1:20" x14ac:dyDescent="0.25">
      <c r="A692" s="5">
        <v>43898</v>
      </c>
      <c r="B692">
        <v>2.4329999999999998E-3</v>
      </c>
      <c r="C692">
        <v>2.467E-3</v>
      </c>
      <c r="D692">
        <v>2E-3</v>
      </c>
      <c r="E692">
        <v>2.0270000000000002E-3</v>
      </c>
      <c r="F692">
        <v>151569879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-0.88436830835117719</v>
      </c>
      <c r="Q692">
        <f t="shared" si="995"/>
        <v>-134043597.48822261</v>
      </c>
      <c r="R692">
        <f t="shared" si="996"/>
        <v>-1763549149.1646929</v>
      </c>
      <c r="S692">
        <f t="shared" si="997"/>
        <v>-17635.491491646928</v>
      </c>
      <c r="T692">
        <f t="shared" si="998"/>
        <v>-17.635491491646928</v>
      </c>
    </row>
    <row r="693" spans="1:20" x14ac:dyDescent="0.25">
      <c r="A693" s="5">
        <v>43897</v>
      </c>
      <c r="B693">
        <v>2.7139999999999998E-3</v>
      </c>
      <c r="C693">
        <v>3.3899999999999998E-3</v>
      </c>
      <c r="D693">
        <v>2.3500000000000001E-3</v>
      </c>
      <c r="E693">
        <v>2.4390000000000002E-3</v>
      </c>
      <c r="F693">
        <v>568562222</v>
      </c>
      <c r="G693">
        <v>0</v>
      </c>
      <c r="L693" t="s">
        <v>8</v>
      </c>
      <c r="M693" t="s">
        <v>8</v>
      </c>
      <c r="N693" t="s">
        <v>8</v>
      </c>
      <c r="P693">
        <f t="shared" si="994"/>
        <v>-0.82884615384615357</v>
      </c>
      <c r="Q693">
        <f t="shared" si="995"/>
        <v>-471250610.92692292</v>
      </c>
      <c r="R693">
        <f t="shared" si="996"/>
        <v>-1629505551.6764703</v>
      </c>
      <c r="S693">
        <f t="shared" si="997"/>
        <v>-16295.055516764703</v>
      </c>
      <c r="T693">
        <f t="shared" si="998"/>
        <v>-16.295055516764702</v>
      </c>
    </row>
    <row r="694" spans="1:20" x14ac:dyDescent="0.25">
      <c r="A694" s="5">
        <v>43896</v>
      </c>
      <c r="B694">
        <v>2.5790000000000001E-3</v>
      </c>
      <c r="C694">
        <v>2.7520000000000001E-3</v>
      </c>
      <c r="D694">
        <v>2.4910000000000002E-3</v>
      </c>
      <c r="E694">
        <v>2.7060000000000001E-3</v>
      </c>
      <c r="F694">
        <v>43202353</v>
      </c>
      <c r="G694">
        <v>0</v>
      </c>
      <c r="L694" t="s">
        <v>8</v>
      </c>
      <c r="M694" t="s">
        <v>8</v>
      </c>
      <c r="N694" t="s">
        <v>8</v>
      </c>
      <c r="P694">
        <f t="shared" si="994"/>
        <v>0.64750957854406099</v>
      </c>
      <c r="Q694">
        <f t="shared" si="995"/>
        <v>27973937.383141749</v>
      </c>
      <c r="R694">
        <f t="shared" si="996"/>
        <v>-1158254940.7495472</v>
      </c>
      <c r="S694">
        <f t="shared" si="997"/>
        <v>-11582.549407495473</v>
      </c>
      <c r="T694">
        <f t="shared" si="998"/>
        <v>-11.582549407495474</v>
      </c>
    </row>
    <row r="695" spans="1:20" x14ac:dyDescent="0.25">
      <c r="A695" s="5">
        <v>43895</v>
      </c>
      <c r="B695">
        <v>2.3E-3</v>
      </c>
      <c r="C695">
        <v>2.7000000000000001E-3</v>
      </c>
      <c r="D695">
        <v>2.287E-3</v>
      </c>
      <c r="E695">
        <v>2.5790000000000001E-3</v>
      </c>
      <c r="F695">
        <v>46989591</v>
      </c>
      <c r="G695">
        <v>0</v>
      </c>
      <c r="L695" t="s">
        <v>8</v>
      </c>
      <c r="M695" t="s">
        <v>8</v>
      </c>
      <c r="N695" t="s">
        <v>8</v>
      </c>
      <c r="P695">
        <f t="shared" si="994"/>
        <v>0.41404358353510912</v>
      </c>
      <c r="Q695">
        <f t="shared" si="995"/>
        <v>19455738.64648911</v>
      </c>
      <c r="R695">
        <f t="shared" si="996"/>
        <v>-1186228878.132689</v>
      </c>
      <c r="S695">
        <f t="shared" si="997"/>
        <v>-11862.28878132689</v>
      </c>
      <c r="T695">
        <f t="shared" si="998"/>
        <v>-11.862288781326891</v>
      </c>
    </row>
    <row r="696" spans="1:20" x14ac:dyDescent="0.25">
      <c r="A696" s="5">
        <v>43894</v>
      </c>
      <c r="B696">
        <v>2.2000000000000001E-3</v>
      </c>
      <c r="C696">
        <v>2.4009999999999999E-3</v>
      </c>
      <c r="D696">
        <v>2.2000000000000001E-3</v>
      </c>
      <c r="E696">
        <v>2.2820000000000002E-3</v>
      </c>
      <c r="F696">
        <v>28702588</v>
      </c>
      <c r="G696">
        <v>0</v>
      </c>
      <c r="L696" t="s">
        <v>8</v>
      </c>
      <c r="M696" t="s">
        <v>8</v>
      </c>
      <c r="N696" t="s">
        <v>7</v>
      </c>
      <c r="P696">
        <f t="shared" si="994"/>
        <v>-0.1840796019900485</v>
      </c>
      <c r="Q696">
        <f t="shared" si="995"/>
        <v>-5283560.9751243424</v>
      </c>
      <c r="R696">
        <f t="shared" si="996"/>
        <v>-1205684616.7791781</v>
      </c>
      <c r="S696">
        <f t="shared" si="997"/>
        <v>-12056.846167791782</v>
      </c>
      <c r="T696">
        <f t="shared" si="998"/>
        <v>-12.056846167791782</v>
      </c>
    </row>
    <row r="697" spans="1:20" x14ac:dyDescent="0.25">
      <c r="A697" s="5">
        <v>43893</v>
      </c>
      <c r="B697">
        <v>2.261E-3</v>
      </c>
      <c r="C697">
        <v>2.274E-3</v>
      </c>
      <c r="D697">
        <v>2.15E-3</v>
      </c>
      <c r="E697">
        <v>2.2000000000000001E-3</v>
      </c>
      <c r="F697">
        <v>19391875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-0.19354838709677194</v>
      </c>
      <c r="Q697">
        <f t="shared" si="995"/>
        <v>-3753266.1290322142</v>
      </c>
      <c r="R697">
        <f t="shared" si="996"/>
        <v>-1200401055.8040538</v>
      </c>
      <c r="S697">
        <f t="shared" si="997"/>
        <v>-12004.010558040538</v>
      </c>
      <c r="T697">
        <f t="shared" si="998"/>
        <v>-12.004010558040537</v>
      </c>
    </row>
    <row r="698" spans="1:20" x14ac:dyDescent="0.25">
      <c r="A698" s="5">
        <v>43892</v>
      </c>
      <c r="B698">
        <v>1.9919999999999998E-3</v>
      </c>
      <c r="C698">
        <v>2.3059999999999999E-3</v>
      </c>
      <c r="D698">
        <v>1.9750000000000002E-3</v>
      </c>
      <c r="E698">
        <v>2.2539999999999999E-3</v>
      </c>
      <c r="F698">
        <v>17277324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0.6858006042296072</v>
      </c>
      <c r="Q698">
        <f t="shared" si="995"/>
        <v>11848799.238670694</v>
      </c>
      <c r="R698">
        <f t="shared" si="996"/>
        <v>-1196647789.6750216</v>
      </c>
      <c r="S698">
        <f t="shared" si="997"/>
        <v>-11966.477896750217</v>
      </c>
      <c r="T698">
        <f t="shared" si="998"/>
        <v>-11.966477896750217</v>
      </c>
    </row>
    <row r="699" spans="1:20" x14ac:dyDescent="0.25">
      <c r="A699" s="5">
        <v>43891</v>
      </c>
      <c r="B699">
        <v>1.993E-3</v>
      </c>
      <c r="C699">
        <v>2.1099999999999999E-3</v>
      </c>
      <c r="D699">
        <v>1.952E-3</v>
      </c>
      <c r="E699">
        <v>1.9689999999999998E-3</v>
      </c>
      <c r="F699">
        <v>17372355</v>
      </c>
      <c r="G699">
        <v>0</v>
      </c>
      <c r="L699" t="s">
        <v>7</v>
      </c>
      <c r="M699" t="s">
        <v>8</v>
      </c>
      <c r="N699" t="s">
        <v>7</v>
      </c>
      <c r="P699">
        <f t="shared" si="994"/>
        <v>-0.78481012658228</v>
      </c>
      <c r="Q699">
        <f t="shared" si="995"/>
        <v>-13634000.126582304</v>
      </c>
      <c r="R699">
        <f t="shared" si="996"/>
        <v>-1208496588.9136922</v>
      </c>
      <c r="S699">
        <f t="shared" si="997"/>
        <v>-12084.965889136922</v>
      </c>
      <c r="T699">
        <f t="shared" si="998"/>
        <v>-12.084965889136921</v>
      </c>
    </row>
    <row r="700" spans="1:20" x14ac:dyDescent="0.25">
      <c r="A700" s="5">
        <v>43890</v>
      </c>
      <c r="B700">
        <v>2.137E-3</v>
      </c>
      <c r="C700">
        <v>2.1670000000000001E-3</v>
      </c>
      <c r="D700">
        <v>1.9789999999999999E-3</v>
      </c>
      <c r="E700">
        <v>2.0179999999999998E-3</v>
      </c>
      <c r="F700">
        <v>9899551</v>
      </c>
      <c r="G700">
        <v>0</v>
      </c>
      <c r="L700" t="s">
        <v>8</v>
      </c>
      <c r="M700" t="s">
        <v>8</v>
      </c>
      <c r="N700" t="s">
        <v>7</v>
      </c>
      <c r="P700">
        <f t="shared" si="994"/>
        <v>-0.58510638297872419</v>
      </c>
      <c r="Q700">
        <f t="shared" si="995"/>
        <v>-5792290.4787234124</v>
      </c>
      <c r="R700">
        <f t="shared" si="996"/>
        <v>-1194862588.7871099</v>
      </c>
      <c r="S700">
        <f t="shared" si="997"/>
        <v>-11948.625887871098</v>
      </c>
      <c r="T700">
        <f t="shared" si="998"/>
        <v>-11.948625887871097</v>
      </c>
    </row>
    <row r="701" spans="1:20" x14ac:dyDescent="0.25">
      <c r="A701" s="5">
        <v>43889</v>
      </c>
      <c r="B701">
        <v>2.0439999999999998E-3</v>
      </c>
      <c r="C701">
        <v>2.1410000000000001E-3</v>
      </c>
      <c r="D701">
        <v>1.9E-3</v>
      </c>
      <c r="E701">
        <v>2.1059999999999998E-3</v>
      </c>
      <c r="F701">
        <v>20785114</v>
      </c>
      <c r="G701">
        <v>0</v>
      </c>
      <c r="L701" t="s">
        <v>8</v>
      </c>
      <c r="M701" t="s">
        <v>8</v>
      </c>
      <c r="N701" t="s">
        <v>7</v>
      </c>
      <c r="P701">
        <f t="shared" si="994"/>
        <v>0.70954356846472788</v>
      </c>
      <c r="Q701">
        <f t="shared" si="995"/>
        <v>14747943.958506174</v>
      </c>
      <c r="R701">
        <f t="shared" si="996"/>
        <v>-1189070298.3083863</v>
      </c>
      <c r="S701">
        <f t="shared" si="997"/>
        <v>-11890.702983083864</v>
      </c>
      <c r="T701">
        <f t="shared" si="998"/>
        <v>-11.890702983083864</v>
      </c>
    </row>
    <row r="702" spans="1:20" x14ac:dyDescent="0.25">
      <c r="A702" s="5">
        <v>43888</v>
      </c>
      <c r="B702">
        <v>1.869E-3</v>
      </c>
      <c r="C702">
        <v>2.0869999999999999E-3</v>
      </c>
      <c r="D702">
        <v>1.7899999999999999E-3</v>
      </c>
      <c r="E702">
        <v>2.0430000000000001E-3</v>
      </c>
      <c r="F702">
        <v>19372976</v>
      </c>
      <c r="G702">
        <v>0</v>
      </c>
      <c r="L702" t="s">
        <v>8</v>
      </c>
      <c r="M702" t="s">
        <v>8</v>
      </c>
      <c r="N702" t="s">
        <v>7</v>
      </c>
      <c r="P702">
        <f t="shared" si="994"/>
        <v>0.70370370370370516</v>
      </c>
      <c r="Q702">
        <f t="shared" si="995"/>
        <v>13632834.962962991</v>
      </c>
      <c r="R702">
        <f t="shared" si="996"/>
        <v>-1203818242.2668924</v>
      </c>
      <c r="S702">
        <f t="shared" si="997"/>
        <v>-12038.182422668924</v>
      </c>
      <c r="T702">
        <f t="shared" si="998"/>
        <v>-12.038182422668925</v>
      </c>
    </row>
    <row r="703" spans="1:20" x14ac:dyDescent="0.25">
      <c r="A703" s="5">
        <v>43887</v>
      </c>
      <c r="B703">
        <v>2.1770000000000001E-3</v>
      </c>
      <c r="C703">
        <v>2.1819999999999999E-3</v>
      </c>
      <c r="D703">
        <v>1.7099999999999999E-3</v>
      </c>
      <c r="E703">
        <v>1.913E-3</v>
      </c>
      <c r="F703">
        <v>57933610</v>
      </c>
      <c r="G703">
        <v>0</v>
      </c>
      <c r="L703" t="s">
        <v>7</v>
      </c>
      <c r="M703" t="s">
        <v>7</v>
      </c>
      <c r="N703" t="s">
        <v>7</v>
      </c>
      <c r="P703">
        <f t="shared" si="994"/>
        <v>-0.13983050847457601</v>
      </c>
      <c r="Q703">
        <f t="shared" si="995"/>
        <v>-8100886.144067781</v>
      </c>
      <c r="R703">
        <f t="shared" si="996"/>
        <v>-1217451077.2298555</v>
      </c>
      <c r="S703">
        <f t="shared" si="997"/>
        <v>-12174.510772298556</v>
      </c>
      <c r="T703">
        <f t="shared" si="998"/>
        <v>-12.174510772298555</v>
      </c>
    </row>
    <row r="704" spans="1:20" x14ac:dyDescent="0.25">
      <c r="A704" s="5">
        <v>43886</v>
      </c>
      <c r="B704">
        <v>2.5400000000000002E-3</v>
      </c>
      <c r="C704">
        <v>2.5400000000000002E-3</v>
      </c>
      <c r="D704">
        <v>2.1120000000000002E-3</v>
      </c>
      <c r="E704">
        <v>2.1770000000000001E-3</v>
      </c>
      <c r="F704">
        <v>61355502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-0.6962616822429909</v>
      </c>
      <c r="Q704">
        <f t="shared" si="995"/>
        <v>-42719485.037383191</v>
      </c>
      <c r="R704">
        <f t="shared" si="996"/>
        <v>-1209350191.0857878</v>
      </c>
      <c r="S704">
        <f t="shared" si="997"/>
        <v>-12093.501910857878</v>
      </c>
      <c r="T704">
        <f t="shared" si="998"/>
        <v>-12.093501910857878</v>
      </c>
    </row>
    <row r="705" spans="1:20" x14ac:dyDescent="0.25">
      <c r="A705" s="5">
        <v>43885</v>
      </c>
      <c r="B705">
        <v>2.568E-3</v>
      </c>
      <c r="C705">
        <v>2.7000000000000001E-3</v>
      </c>
      <c r="D705">
        <v>2.3249999999999998E-3</v>
      </c>
      <c r="E705">
        <v>2.5400000000000002E-3</v>
      </c>
      <c r="F705">
        <v>53895423</v>
      </c>
      <c r="G705">
        <v>0</v>
      </c>
      <c r="L705" t="s">
        <v>8</v>
      </c>
      <c r="M705" t="s">
        <v>8</v>
      </c>
      <c r="N705" t="s">
        <v>7</v>
      </c>
      <c r="P705">
        <f t="shared" si="994"/>
        <v>0.1466666666666675</v>
      </c>
      <c r="Q705">
        <f t="shared" si="995"/>
        <v>7904662.0400000447</v>
      </c>
      <c r="R705">
        <f t="shared" si="996"/>
        <v>-1166630706.0484047</v>
      </c>
      <c r="S705">
        <f t="shared" si="997"/>
        <v>-11666.307060484047</v>
      </c>
      <c r="T705">
        <f t="shared" si="998"/>
        <v>-11.666307060484046</v>
      </c>
    </row>
    <row r="706" spans="1:20" x14ac:dyDescent="0.25">
      <c r="A706" s="5">
        <v>43884</v>
      </c>
      <c r="B706">
        <v>2.333E-3</v>
      </c>
      <c r="C706">
        <v>2.5999999999999999E-3</v>
      </c>
      <c r="D706">
        <v>2.3149999999999998E-3</v>
      </c>
      <c r="E706">
        <v>2.5669999999999998E-3</v>
      </c>
      <c r="F706">
        <v>35087035</v>
      </c>
      <c r="G706">
        <v>0</v>
      </c>
      <c r="L706" t="s">
        <v>8</v>
      </c>
      <c r="M706" t="s">
        <v>8</v>
      </c>
      <c r="N706" t="s">
        <v>7</v>
      </c>
      <c r="P706">
        <f t="shared" si="994"/>
        <v>0.76842105263157867</v>
      </c>
      <c r="Q706">
        <f t="shared" si="995"/>
        <v>26961616.368421044</v>
      </c>
      <c r="R706">
        <f t="shared" si="996"/>
        <v>-1174535368.0884047</v>
      </c>
      <c r="S706">
        <f t="shared" si="997"/>
        <v>-11745.353680884047</v>
      </c>
      <c r="T706">
        <f t="shared" si="998"/>
        <v>-11.745353680884048</v>
      </c>
    </row>
    <row r="707" spans="1:20" x14ac:dyDescent="0.25">
      <c r="A707" s="5">
        <v>43883</v>
      </c>
      <c r="B707">
        <v>2.3259999999999999E-3</v>
      </c>
      <c r="C707">
        <v>2.3999999999999998E-3</v>
      </c>
      <c r="D707">
        <v>2.2959999999999999E-3</v>
      </c>
      <c r="E707">
        <v>2.33E-3</v>
      </c>
      <c r="F707">
        <v>12782506</v>
      </c>
      <c r="G707">
        <v>0</v>
      </c>
      <c r="L707" t="s">
        <v>8</v>
      </c>
      <c r="M707" t="s">
        <v>7</v>
      </c>
      <c r="N707" t="s">
        <v>7</v>
      </c>
      <c r="P707">
        <f t="shared" si="994"/>
        <v>-0.34615384615384232</v>
      </c>
      <c r="Q707">
        <f t="shared" si="995"/>
        <v>-4424713.6153845666</v>
      </c>
      <c r="R707">
        <f t="shared" si="996"/>
        <v>-1201496984.4568257</v>
      </c>
      <c r="S707">
        <f t="shared" si="997"/>
        <v>-12014.969844568257</v>
      </c>
      <c r="T707">
        <f t="shared" si="998"/>
        <v>-12.014969844568258</v>
      </c>
    </row>
    <row r="708" spans="1:20" x14ac:dyDescent="0.25">
      <c r="A708" s="5">
        <v>43882</v>
      </c>
      <c r="B708">
        <v>2.2989999999999998E-3</v>
      </c>
      <c r="C708">
        <v>2.4659999999999999E-3</v>
      </c>
      <c r="D708">
        <v>2.2989999999999998E-3</v>
      </c>
      <c r="E708">
        <v>2.323E-3</v>
      </c>
      <c r="F708">
        <v>43157481</v>
      </c>
      <c r="G708">
        <v>0</v>
      </c>
      <c r="L708" t="s">
        <v>8</v>
      </c>
      <c r="M708" t="s">
        <v>7</v>
      </c>
      <c r="N708" t="s">
        <v>7</v>
      </c>
      <c r="P708">
        <f t="shared" si="994"/>
        <v>-0.71257485029939949</v>
      </c>
      <c r="Q708">
        <f t="shared" si="995"/>
        <v>-30752935.562874179</v>
      </c>
      <c r="R708">
        <f t="shared" si="996"/>
        <v>-1197072270.8414412</v>
      </c>
      <c r="S708">
        <f t="shared" si="997"/>
        <v>-11970.722708414412</v>
      </c>
      <c r="T708">
        <f t="shared" si="998"/>
        <v>-11.970722708414412</v>
      </c>
    </row>
    <row r="709" spans="1:20" x14ac:dyDescent="0.25">
      <c r="A709" s="5">
        <v>43881</v>
      </c>
      <c r="B709">
        <v>2.3370000000000001E-3</v>
      </c>
      <c r="C709">
        <v>2.4190000000000001E-3</v>
      </c>
      <c r="D709">
        <v>2.2430000000000002E-3</v>
      </c>
      <c r="E709">
        <v>2.3349999999999998E-3</v>
      </c>
      <c r="F709">
        <v>57970472</v>
      </c>
      <c r="G709">
        <v>0</v>
      </c>
      <c r="L709" t="s">
        <v>7</v>
      </c>
      <c r="M709" t="s">
        <v>7</v>
      </c>
      <c r="N709" t="s">
        <v>7</v>
      </c>
      <c r="P709">
        <f t="shared" si="994"/>
        <v>4.5454545454541646E-2</v>
      </c>
      <c r="Q709">
        <f t="shared" si="995"/>
        <v>2635021.4545452339</v>
      </c>
      <c r="R709">
        <f t="shared" si="996"/>
        <v>-1166319335.2785671</v>
      </c>
      <c r="S709">
        <f t="shared" si="997"/>
        <v>-11663.193352785671</v>
      </c>
      <c r="T709">
        <f t="shared" si="998"/>
        <v>-11.663193352785671</v>
      </c>
    </row>
    <row r="710" spans="1:20" x14ac:dyDescent="0.25">
      <c r="A710" s="5">
        <v>43880</v>
      </c>
      <c r="B710">
        <v>2.8470000000000001E-3</v>
      </c>
      <c r="C710">
        <v>2.8639999999999998E-3</v>
      </c>
      <c r="D710">
        <v>2.32E-3</v>
      </c>
      <c r="E710">
        <v>2.3249999999999998E-3</v>
      </c>
      <c r="F710">
        <v>104155691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-0.98161764705882426</v>
      </c>
      <c r="Q710">
        <f t="shared" ref="Q710:Q766" si="1000">F710*P710</f>
        <v>-102241064.32720596</v>
      </c>
      <c r="R710">
        <f t="shared" ref="R710:R766" si="1001">R711+Q710</f>
        <v>-1168954356.7331123</v>
      </c>
      <c r="S710">
        <f t="shared" ref="S710:S766" si="1002">R710/100000</f>
        <v>-11689.543567331124</v>
      </c>
      <c r="T710">
        <f t="shared" ref="T710:T766" si="1003">S710/1000</f>
        <v>-11.689543567331125</v>
      </c>
    </row>
    <row r="711" spans="1:20" x14ac:dyDescent="0.25">
      <c r="A711" s="5">
        <v>43879</v>
      </c>
      <c r="B711">
        <v>2.4559999999999998E-3</v>
      </c>
      <c r="C711">
        <v>2.8890000000000001E-3</v>
      </c>
      <c r="D711">
        <v>2.4480000000000001E-3</v>
      </c>
      <c r="E711">
        <v>2.826E-3</v>
      </c>
      <c r="F711">
        <v>146250588</v>
      </c>
      <c r="G711">
        <v>0</v>
      </c>
      <c r="L711" t="s">
        <v>7</v>
      </c>
      <c r="M711" t="s">
        <v>7</v>
      </c>
      <c r="N711" t="s">
        <v>8</v>
      </c>
      <c r="P711">
        <f t="shared" si="999"/>
        <v>0.71428571428571375</v>
      </c>
      <c r="Q711">
        <f t="shared" si="1000"/>
        <v>104464705.71428564</v>
      </c>
      <c r="R711">
        <f t="shared" si="1001"/>
        <v>-1066713292.4059064</v>
      </c>
      <c r="S711">
        <f t="shared" si="1002"/>
        <v>-10667.132924059064</v>
      </c>
      <c r="T711">
        <f t="shared" si="1003"/>
        <v>-10.667132924059064</v>
      </c>
    </row>
    <row r="712" spans="1:20" x14ac:dyDescent="0.25">
      <c r="A712" s="5">
        <v>43878</v>
      </c>
      <c r="B712">
        <v>2.467E-3</v>
      </c>
      <c r="C712">
        <v>3.0569999999999998E-3</v>
      </c>
      <c r="D712">
        <v>2.3500000000000001E-3</v>
      </c>
      <c r="E712">
        <v>2.47E-3</v>
      </c>
      <c r="F712">
        <v>338381581</v>
      </c>
      <c r="G712">
        <v>0</v>
      </c>
      <c r="L712" t="s">
        <v>8</v>
      </c>
      <c r="M712" t="s">
        <v>8</v>
      </c>
      <c r="N712" t="s">
        <v>8</v>
      </c>
      <c r="P712">
        <f t="shared" si="999"/>
        <v>-0.6605374823196607</v>
      </c>
      <c r="Q712">
        <f t="shared" si="1000"/>
        <v>-223513717.57708633</v>
      </c>
      <c r="R712">
        <f t="shared" si="1001"/>
        <v>-1171177998.1201921</v>
      </c>
      <c r="S712">
        <f t="shared" si="1002"/>
        <v>-11711.77998120192</v>
      </c>
      <c r="T712">
        <f t="shared" si="1003"/>
        <v>-11.71177998120192</v>
      </c>
    </row>
    <row r="713" spans="1:20" x14ac:dyDescent="0.25">
      <c r="A713" s="5">
        <v>43877</v>
      </c>
      <c r="B713">
        <v>2.382E-3</v>
      </c>
      <c r="C713">
        <v>2.6970000000000002E-3</v>
      </c>
      <c r="D713">
        <v>2.2599999999999999E-3</v>
      </c>
      <c r="E713">
        <v>2.4870000000000001E-3</v>
      </c>
      <c r="F713">
        <v>672375324</v>
      </c>
      <c r="G713">
        <v>0</v>
      </c>
      <c r="L713" t="s">
        <v>8</v>
      </c>
      <c r="M713" t="s">
        <v>7</v>
      </c>
      <c r="N713" t="s">
        <v>8</v>
      </c>
      <c r="P713">
        <f t="shared" si="999"/>
        <v>3.8901601830663789E-2</v>
      </c>
      <c r="Q713">
        <f t="shared" si="1000"/>
        <v>26156477.135011557</v>
      </c>
      <c r="R713">
        <f t="shared" si="1001"/>
        <v>-947664280.54310572</v>
      </c>
      <c r="S713">
        <f t="shared" si="1002"/>
        <v>-9476.6428054310563</v>
      </c>
      <c r="T713">
        <f t="shared" si="1003"/>
        <v>-9.476642805431057</v>
      </c>
    </row>
    <row r="714" spans="1:20" x14ac:dyDescent="0.25">
      <c r="A714" s="5">
        <v>43876</v>
      </c>
      <c r="B714">
        <v>2.614E-3</v>
      </c>
      <c r="C714">
        <v>2.8E-3</v>
      </c>
      <c r="D714">
        <v>2.2759999999999998E-3</v>
      </c>
      <c r="E714">
        <v>2.3999999999999998E-3</v>
      </c>
      <c r="F714">
        <v>211842934</v>
      </c>
      <c r="G714">
        <v>0</v>
      </c>
      <c r="L714" t="s">
        <v>7</v>
      </c>
      <c r="M714" t="s">
        <v>8</v>
      </c>
      <c r="N714" t="s">
        <v>8</v>
      </c>
      <c r="P714">
        <f t="shared" si="999"/>
        <v>-0.52671755725190861</v>
      </c>
      <c r="Q714">
        <f t="shared" si="1000"/>
        <v>-111581392.7175573</v>
      </c>
      <c r="R714">
        <f t="shared" si="1001"/>
        <v>-973820757.67811728</v>
      </c>
      <c r="S714">
        <f t="shared" si="1002"/>
        <v>-9738.207576781173</v>
      </c>
      <c r="T714">
        <f t="shared" si="1003"/>
        <v>-9.7382075767811731</v>
      </c>
    </row>
    <row r="715" spans="1:20" x14ac:dyDescent="0.25">
      <c r="A715" s="5">
        <v>43875</v>
      </c>
      <c r="B715">
        <v>2.447E-3</v>
      </c>
      <c r="C715">
        <v>2.7030000000000001E-3</v>
      </c>
      <c r="D715">
        <v>2.3709999999999998E-3</v>
      </c>
      <c r="E715">
        <v>2.627E-3</v>
      </c>
      <c r="F715">
        <v>98639774</v>
      </c>
      <c r="G715">
        <v>0</v>
      </c>
      <c r="L715" t="s">
        <v>7</v>
      </c>
      <c r="M715" t="s">
        <v>7</v>
      </c>
      <c r="N715" t="s">
        <v>8</v>
      </c>
      <c r="P715">
        <f t="shared" si="999"/>
        <v>0.54216867469879482</v>
      </c>
      <c r="Q715">
        <f t="shared" si="1000"/>
        <v>53479395.54216864</v>
      </c>
      <c r="R715">
        <f t="shared" si="1001"/>
        <v>-862239364.96055996</v>
      </c>
      <c r="S715">
        <f t="shared" si="1002"/>
        <v>-8622.3936496055994</v>
      </c>
      <c r="T715">
        <f t="shared" si="1003"/>
        <v>-8.6223936496056002</v>
      </c>
    </row>
    <row r="716" spans="1:20" x14ac:dyDescent="0.25">
      <c r="A716" s="5">
        <v>43874</v>
      </c>
      <c r="B716">
        <v>2.598E-3</v>
      </c>
      <c r="C716">
        <v>2.8080000000000002E-3</v>
      </c>
      <c r="D716">
        <v>2.3389999999999999E-3</v>
      </c>
      <c r="E716">
        <v>2.4610000000000001E-3</v>
      </c>
      <c r="F716">
        <v>152737482</v>
      </c>
      <c r="G716">
        <v>0</v>
      </c>
      <c r="L716" t="s">
        <v>8</v>
      </c>
      <c r="M716" t="s">
        <v>7</v>
      </c>
      <c r="N716" t="s">
        <v>8</v>
      </c>
      <c r="P716">
        <f t="shared" si="999"/>
        <v>-0.47974413646055403</v>
      </c>
      <c r="Q716">
        <f t="shared" si="1000"/>
        <v>-73274911.407249421</v>
      </c>
      <c r="R716">
        <f t="shared" si="1001"/>
        <v>-915718760.50272858</v>
      </c>
      <c r="S716">
        <f t="shared" si="1002"/>
        <v>-9157.1876050272858</v>
      </c>
      <c r="T716">
        <f t="shared" si="1003"/>
        <v>-9.1571876050272856</v>
      </c>
    </row>
    <row r="717" spans="1:20" x14ac:dyDescent="0.25">
      <c r="A717" s="5">
        <v>43873</v>
      </c>
      <c r="B717">
        <v>2.3379999999999998E-3</v>
      </c>
      <c r="C717">
        <v>2.7680000000000001E-3</v>
      </c>
      <c r="D717">
        <v>2.3270000000000001E-3</v>
      </c>
      <c r="E717">
        <v>2.5920000000000001E-3</v>
      </c>
      <c r="F717">
        <v>178401620</v>
      </c>
      <c r="G717">
        <v>0</v>
      </c>
      <c r="L717" t="s">
        <v>8</v>
      </c>
      <c r="M717" t="s">
        <v>8</v>
      </c>
      <c r="N717" t="s">
        <v>8</v>
      </c>
      <c r="P717">
        <f t="shared" si="999"/>
        <v>0.20181405895691634</v>
      </c>
      <c r="Q717">
        <f t="shared" si="1000"/>
        <v>36003955.056689389</v>
      </c>
      <c r="R717">
        <f t="shared" si="1001"/>
        <v>-842443849.09547913</v>
      </c>
      <c r="S717">
        <f t="shared" si="1002"/>
        <v>-8424.4384909547916</v>
      </c>
      <c r="T717">
        <f t="shared" si="1003"/>
        <v>-8.4244384909547918</v>
      </c>
    </row>
    <row r="718" spans="1:20" x14ac:dyDescent="0.25">
      <c r="A718" s="5">
        <v>43872</v>
      </c>
      <c r="B718">
        <v>2.225E-3</v>
      </c>
      <c r="C718">
        <v>2.5929999999999998E-3</v>
      </c>
      <c r="D718">
        <v>2.1879999999999998E-3</v>
      </c>
      <c r="E718">
        <v>2.3280000000000002E-3</v>
      </c>
      <c r="F718">
        <v>188184701</v>
      </c>
      <c r="G718">
        <v>0</v>
      </c>
      <c r="L718" t="s">
        <v>8</v>
      </c>
      <c r="M718" t="s">
        <v>8</v>
      </c>
      <c r="N718" t="s">
        <v>8</v>
      </c>
      <c r="P718">
        <f t="shared" si="999"/>
        <v>-0.30864197530864013</v>
      </c>
      <c r="Q718">
        <f t="shared" si="1000"/>
        <v>-58081697.839505821</v>
      </c>
      <c r="R718">
        <f t="shared" si="1001"/>
        <v>-878447804.15216851</v>
      </c>
      <c r="S718">
        <f t="shared" si="1002"/>
        <v>-8784.4780415216846</v>
      </c>
      <c r="T718">
        <f t="shared" si="1003"/>
        <v>-8.7844780415216839</v>
      </c>
    </row>
    <row r="719" spans="1:20" x14ac:dyDescent="0.25">
      <c r="A719" s="5">
        <v>43871</v>
      </c>
      <c r="B719">
        <v>2.3400000000000001E-3</v>
      </c>
      <c r="C719">
        <v>2.366E-3</v>
      </c>
      <c r="D719">
        <v>2.1080000000000001E-3</v>
      </c>
      <c r="E719">
        <v>2.225E-3</v>
      </c>
      <c r="F719">
        <v>64597469</v>
      </c>
      <c r="G719">
        <v>0</v>
      </c>
      <c r="L719" t="s">
        <v>7</v>
      </c>
      <c r="M719" t="s">
        <v>7</v>
      </c>
      <c r="N719" t="s">
        <v>8</v>
      </c>
      <c r="P719">
        <f t="shared" si="999"/>
        <v>-9.302325581395407E-2</v>
      </c>
      <c r="Q719">
        <f t="shared" si="1000"/>
        <v>-6009066.8837209679</v>
      </c>
      <c r="R719">
        <f t="shared" si="1001"/>
        <v>-820366106.31266272</v>
      </c>
      <c r="S719">
        <f t="shared" si="1002"/>
        <v>-8203.6610631266267</v>
      </c>
      <c r="T719">
        <f t="shared" si="1003"/>
        <v>-8.203661063126626</v>
      </c>
    </row>
    <row r="720" spans="1:20" x14ac:dyDescent="0.25">
      <c r="A720" s="5">
        <v>43870</v>
      </c>
      <c r="B720">
        <v>2.2950000000000002E-3</v>
      </c>
      <c r="C720">
        <v>2.4550000000000002E-3</v>
      </c>
      <c r="D720">
        <v>2.2030000000000001E-3</v>
      </c>
      <c r="E720">
        <v>2.3440000000000002E-3</v>
      </c>
      <c r="F720">
        <v>82458866</v>
      </c>
      <c r="G720">
        <v>0</v>
      </c>
      <c r="L720" t="s">
        <v>8</v>
      </c>
      <c r="M720" t="s">
        <v>7</v>
      </c>
      <c r="N720" t="s">
        <v>8</v>
      </c>
      <c r="P720">
        <f t="shared" si="999"/>
        <v>0.11904761904761933</v>
      </c>
      <c r="Q720">
        <f t="shared" si="1000"/>
        <v>9816531.6666666903</v>
      </c>
      <c r="R720">
        <f t="shared" si="1001"/>
        <v>-814357039.42894173</v>
      </c>
      <c r="S720">
        <f t="shared" si="1002"/>
        <v>-8143.570394289417</v>
      </c>
      <c r="T720">
        <f t="shared" si="1003"/>
        <v>-8.1435703942894175</v>
      </c>
    </row>
    <row r="721" spans="1:20" x14ac:dyDescent="0.25">
      <c r="A721" s="5">
        <v>43869</v>
      </c>
      <c r="B721">
        <v>2.2750000000000001E-3</v>
      </c>
      <c r="C721">
        <v>2.3519999999999999E-3</v>
      </c>
      <c r="D721">
        <v>2.1930000000000001E-3</v>
      </c>
      <c r="E721">
        <v>2.2950000000000002E-3</v>
      </c>
      <c r="F721">
        <v>81975651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0.28301886792453068</v>
      </c>
      <c r="Q721">
        <f t="shared" si="1000"/>
        <v>23200655.943396423</v>
      </c>
      <c r="R721">
        <f t="shared" si="1001"/>
        <v>-824173571.09560847</v>
      </c>
      <c r="S721">
        <f t="shared" si="1002"/>
        <v>-8241.7357109560853</v>
      </c>
      <c r="T721">
        <f t="shared" si="1003"/>
        <v>-8.2417357109560854</v>
      </c>
    </row>
    <row r="722" spans="1:20" x14ac:dyDescent="0.25">
      <c r="A722" s="5">
        <v>43868</v>
      </c>
      <c r="B722">
        <v>2.323E-3</v>
      </c>
      <c r="C722">
        <v>2.7780000000000001E-3</v>
      </c>
      <c r="D722">
        <v>2.1589999999999999E-3</v>
      </c>
      <c r="E722">
        <v>2.2750000000000001E-3</v>
      </c>
      <c r="F722">
        <v>289722599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-0.62520193861066176</v>
      </c>
      <c r="Q722">
        <f t="shared" si="1000"/>
        <v>-181135130.55411938</v>
      </c>
      <c r="R722">
        <f t="shared" si="1001"/>
        <v>-847374227.03900492</v>
      </c>
      <c r="S722">
        <f t="shared" si="1002"/>
        <v>-8473.7422703900484</v>
      </c>
      <c r="T722">
        <f t="shared" si="1003"/>
        <v>-8.4737422703900478</v>
      </c>
    </row>
    <row r="723" spans="1:20" x14ac:dyDescent="0.25">
      <c r="A723" s="5">
        <v>43867</v>
      </c>
      <c r="B723">
        <v>1.9530000000000001E-3</v>
      </c>
      <c r="C723">
        <v>2.4979999999999998E-3</v>
      </c>
      <c r="D723">
        <v>1.9170000000000001E-3</v>
      </c>
      <c r="E723">
        <v>2.343E-3</v>
      </c>
      <c r="F723">
        <v>135532012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0.46643717728055134</v>
      </c>
      <c r="Q723">
        <f t="shared" si="1000"/>
        <v>63217169.108433813</v>
      </c>
      <c r="R723">
        <f t="shared" si="1001"/>
        <v>-666239096.48488557</v>
      </c>
      <c r="S723">
        <f t="shared" si="1002"/>
        <v>-6662.3909648488561</v>
      </c>
      <c r="T723">
        <f t="shared" si="1003"/>
        <v>-6.6623909648488562</v>
      </c>
    </row>
    <row r="724" spans="1:20" x14ac:dyDescent="0.25">
      <c r="A724" s="5">
        <v>43866</v>
      </c>
      <c r="B724">
        <v>1.9289999999999999E-3</v>
      </c>
      <c r="C724">
        <v>2.0660000000000001E-3</v>
      </c>
      <c r="D724">
        <v>1.8799999999999999E-3</v>
      </c>
      <c r="E724">
        <v>1.9530000000000001E-3</v>
      </c>
      <c r="F724">
        <v>68392174</v>
      </c>
      <c r="G724">
        <v>0</v>
      </c>
      <c r="L724" t="s">
        <v>8</v>
      </c>
      <c r="M724" t="s">
        <v>8</v>
      </c>
      <c r="N724" t="s">
        <v>8</v>
      </c>
      <c r="P724">
        <f t="shared" si="999"/>
        <v>-0.21505376344085941</v>
      </c>
      <c r="Q724">
        <f t="shared" si="1000"/>
        <v>-14707994.408602096</v>
      </c>
      <c r="R724">
        <f t="shared" si="1001"/>
        <v>-729456265.59331942</v>
      </c>
      <c r="S724">
        <f t="shared" si="1002"/>
        <v>-7294.562655933194</v>
      </c>
      <c r="T724">
        <f t="shared" si="1003"/>
        <v>-7.294562655933194</v>
      </c>
    </row>
    <row r="725" spans="1:20" x14ac:dyDescent="0.25">
      <c r="A725" s="5">
        <v>43865</v>
      </c>
      <c r="B725">
        <v>1.923E-3</v>
      </c>
      <c r="C725">
        <v>1.9589999999999998E-3</v>
      </c>
      <c r="D725">
        <v>1.8649999999999999E-3</v>
      </c>
      <c r="E725">
        <v>1.941E-3</v>
      </c>
      <c r="F725">
        <v>20211355</v>
      </c>
      <c r="G725">
        <v>0</v>
      </c>
      <c r="L725" t="s">
        <v>7</v>
      </c>
      <c r="M725" t="s">
        <v>8</v>
      </c>
      <c r="N725" t="s">
        <v>8</v>
      </c>
      <c r="P725">
        <f t="shared" si="999"/>
        <v>0.61702127659574879</v>
      </c>
      <c r="Q725">
        <f t="shared" si="1000"/>
        <v>12470836.063829871</v>
      </c>
      <c r="R725">
        <f t="shared" si="1001"/>
        <v>-714748271.1847173</v>
      </c>
      <c r="S725">
        <f t="shared" si="1002"/>
        <v>-7147.4827118471731</v>
      </c>
      <c r="T725">
        <f t="shared" si="1003"/>
        <v>-7.1474827118471733</v>
      </c>
    </row>
    <row r="726" spans="1:20" x14ac:dyDescent="0.25">
      <c r="A726" s="5">
        <v>43864</v>
      </c>
      <c r="B726">
        <v>1.9250000000000001E-3</v>
      </c>
      <c r="C726">
        <v>1.98E-3</v>
      </c>
      <c r="D726">
        <v>1.8680000000000001E-3</v>
      </c>
      <c r="E726">
        <v>1.9269999999999999E-3</v>
      </c>
      <c r="F726">
        <v>23403877</v>
      </c>
      <c r="G726">
        <v>0</v>
      </c>
      <c r="L726" t="s">
        <v>7</v>
      </c>
      <c r="M726" t="s">
        <v>8</v>
      </c>
      <c r="N726" t="s">
        <v>8</v>
      </c>
      <c r="P726">
        <f t="shared" si="999"/>
        <v>5.357142857142605E-2</v>
      </c>
      <c r="Q726">
        <f t="shared" si="1000"/>
        <v>1253779.1249999411</v>
      </c>
      <c r="R726">
        <f t="shared" si="1001"/>
        <v>-727219107.2485472</v>
      </c>
      <c r="S726">
        <f t="shared" si="1002"/>
        <v>-7272.1910724854715</v>
      </c>
      <c r="T726">
        <f t="shared" si="1003"/>
        <v>-7.2721910724854713</v>
      </c>
    </row>
    <row r="727" spans="1:20" x14ac:dyDescent="0.25">
      <c r="A727" s="5">
        <v>43863</v>
      </c>
      <c r="B727">
        <v>1.9710000000000001E-3</v>
      </c>
      <c r="C727">
        <v>1.9880000000000002E-3</v>
      </c>
      <c r="D727">
        <v>1.8890000000000001E-3</v>
      </c>
      <c r="E727">
        <v>1.908E-3</v>
      </c>
      <c r="F727">
        <v>46856563</v>
      </c>
      <c r="G727">
        <v>0</v>
      </c>
      <c r="L727" t="s">
        <v>7</v>
      </c>
      <c r="M727" t="s">
        <v>8</v>
      </c>
      <c r="N727" t="s">
        <v>8</v>
      </c>
      <c r="P727">
        <f t="shared" si="999"/>
        <v>-0.61616161616161824</v>
      </c>
      <c r="Q727">
        <f t="shared" si="1000"/>
        <v>-28871215.585858684</v>
      </c>
      <c r="R727">
        <f t="shared" si="1001"/>
        <v>-728472886.3735472</v>
      </c>
      <c r="S727">
        <f t="shared" si="1002"/>
        <v>-7284.7288637354723</v>
      </c>
      <c r="T727">
        <f t="shared" si="1003"/>
        <v>-7.2847288637354719</v>
      </c>
    </row>
    <row r="728" spans="1:20" x14ac:dyDescent="0.25">
      <c r="A728" s="5">
        <v>43862</v>
      </c>
      <c r="B728">
        <v>1.9840000000000001E-3</v>
      </c>
      <c r="C728">
        <v>2.0409999999999998E-3</v>
      </c>
      <c r="D728">
        <v>1.9189999999999999E-3</v>
      </c>
      <c r="E728">
        <v>1.97E-3</v>
      </c>
      <c r="F728">
        <v>31519854</v>
      </c>
      <c r="G728">
        <v>0</v>
      </c>
      <c r="L728" t="s">
        <v>7</v>
      </c>
      <c r="M728" t="s">
        <v>8</v>
      </c>
      <c r="N728" t="s">
        <v>8</v>
      </c>
      <c r="P728">
        <f t="shared" si="999"/>
        <v>-0.16393442622950694</v>
      </c>
      <c r="Q728">
        <f t="shared" si="1000"/>
        <v>-5167189.180327829</v>
      </c>
      <c r="R728">
        <f t="shared" si="1001"/>
        <v>-699601670.78768849</v>
      </c>
      <c r="S728">
        <f t="shared" si="1002"/>
        <v>-6996.0167078768845</v>
      </c>
      <c r="T728">
        <f t="shared" si="1003"/>
        <v>-6.9960167078768842</v>
      </c>
    </row>
    <row r="729" spans="1:20" x14ac:dyDescent="0.25">
      <c r="A729" s="5">
        <v>43861</v>
      </c>
      <c r="B729">
        <v>1.8799999999999999E-3</v>
      </c>
      <c r="C729">
        <v>2.0999999999999999E-3</v>
      </c>
      <c r="D729">
        <v>1.8619999999999999E-3</v>
      </c>
      <c r="E729">
        <v>1.9859999999999999E-3</v>
      </c>
      <c r="F729">
        <v>82922340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4.2016806722689197E-2</v>
      </c>
      <c r="Q729">
        <f t="shared" si="1000"/>
        <v>3484131.9327731193</v>
      </c>
      <c r="R729">
        <f t="shared" si="1001"/>
        <v>-694434481.60736072</v>
      </c>
      <c r="S729">
        <f t="shared" si="1002"/>
        <v>-6944.344816073607</v>
      </c>
      <c r="T729">
        <f t="shared" si="1003"/>
        <v>-6.944344816073607</v>
      </c>
    </row>
    <row r="730" spans="1:20" x14ac:dyDescent="0.25">
      <c r="A730" s="5">
        <v>43860</v>
      </c>
      <c r="B730">
        <v>1.902E-3</v>
      </c>
      <c r="C730">
        <v>1.949E-3</v>
      </c>
      <c r="D730">
        <v>1.8569999999999999E-3</v>
      </c>
      <c r="E730">
        <v>1.8799999999999999E-3</v>
      </c>
      <c r="F730">
        <v>22213329</v>
      </c>
      <c r="G730">
        <v>0</v>
      </c>
      <c r="L730" t="s">
        <v>7</v>
      </c>
      <c r="M730" t="s">
        <v>8</v>
      </c>
      <c r="N730" t="s">
        <v>8</v>
      </c>
      <c r="P730">
        <f t="shared" si="999"/>
        <v>-0.5</v>
      </c>
      <c r="Q730">
        <f t="shared" si="1000"/>
        <v>-11106664.5</v>
      </c>
      <c r="R730">
        <f t="shared" si="1001"/>
        <v>-697918613.54013383</v>
      </c>
      <c r="S730">
        <f t="shared" si="1002"/>
        <v>-6979.1861354013381</v>
      </c>
      <c r="T730">
        <f t="shared" si="1003"/>
        <v>-6.9791861354013385</v>
      </c>
    </row>
    <row r="731" spans="1:20" x14ac:dyDescent="0.25">
      <c r="A731" s="5">
        <v>43859</v>
      </c>
      <c r="B731">
        <v>1.9300000000000001E-3</v>
      </c>
      <c r="C731">
        <v>2.0479999999999999E-3</v>
      </c>
      <c r="D731">
        <v>1.8799999999999999E-3</v>
      </c>
      <c r="E731">
        <v>1.9220000000000001E-3</v>
      </c>
      <c r="F731">
        <v>27996609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-0.49999999999999806</v>
      </c>
      <c r="Q731">
        <f t="shared" si="1000"/>
        <v>-13998304.499999946</v>
      </c>
      <c r="R731">
        <f t="shared" si="1001"/>
        <v>-686811949.04013383</v>
      </c>
      <c r="S731">
        <f t="shared" si="1002"/>
        <v>-6868.1194904013382</v>
      </c>
      <c r="T731">
        <f t="shared" si="1003"/>
        <v>-6.8681194904013383</v>
      </c>
    </row>
    <row r="732" spans="1:20" x14ac:dyDescent="0.25">
      <c r="A732" s="5">
        <v>43858</v>
      </c>
      <c r="B732">
        <v>2.0089999999999999E-3</v>
      </c>
      <c r="C732">
        <v>2.0790000000000001E-3</v>
      </c>
      <c r="D732">
        <v>1E-3</v>
      </c>
      <c r="E732">
        <v>1.9400000000000001E-3</v>
      </c>
      <c r="F732">
        <v>98179348</v>
      </c>
      <c r="G732">
        <v>0</v>
      </c>
      <c r="L732" t="s">
        <v>7</v>
      </c>
      <c r="M732" t="s">
        <v>7</v>
      </c>
      <c r="N732" t="s">
        <v>7</v>
      </c>
      <c r="P732">
        <f t="shared" si="999"/>
        <v>0.74235403151065804</v>
      </c>
      <c r="Q732">
        <f t="shared" si="1000"/>
        <v>72883834.798887864</v>
      </c>
      <c r="R732">
        <f t="shared" si="1001"/>
        <v>-672813644.54013383</v>
      </c>
      <c r="S732">
        <f t="shared" si="1002"/>
        <v>-6728.1364454013383</v>
      </c>
      <c r="T732">
        <f t="shared" si="1003"/>
        <v>-6.7281364454013382</v>
      </c>
    </row>
    <row r="733" spans="1:20" x14ac:dyDescent="0.25">
      <c r="A733" s="5">
        <v>43857</v>
      </c>
      <c r="B733">
        <v>2.1800000000000001E-3</v>
      </c>
      <c r="C733">
        <v>2.2239999999999998E-3</v>
      </c>
      <c r="D733">
        <v>2.0079999999999998E-3</v>
      </c>
      <c r="E733">
        <v>2.0270000000000002E-3</v>
      </c>
      <c r="F733">
        <v>31299781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-0.82407407407407085</v>
      </c>
      <c r="Q733">
        <f t="shared" si="1000"/>
        <v>-25793338.046296194</v>
      </c>
      <c r="R733">
        <f t="shared" si="1001"/>
        <v>-745697479.33902168</v>
      </c>
      <c r="S733">
        <f t="shared" si="1002"/>
        <v>-7456.9747933902172</v>
      </c>
      <c r="T733">
        <f t="shared" si="1003"/>
        <v>-7.4569747933902173</v>
      </c>
    </row>
    <row r="734" spans="1:20" x14ac:dyDescent="0.25">
      <c r="A734" s="5">
        <v>43856</v>
      </c>
      <c r="B734">
        <v>2.1789999999999999E-3</v>
      </c>
      <c r="C734">
        <v>2.2599999999999999E-3</v>
      </c>
      <c r="D734">
        <v>2.1450000000000002E-3</v>
      </c>
      <c r="E734">
        <v>2.1740000000000002E-3</v>
      </c>
      <c r="F734">
        <v>14469225</v>
      </c>
      <c r="G734">
        <v>0</v>
      </c>
      <c r="L734" t="s">
        <v>8</v>
      </c>
      <c r="M734" t="s">
        <v>7</v>
      </c>
      <c r="N734" t="s">
        <v>7</v>
      </c>
      <c r="P734">
        <f t="shared" si="999"/>
        <v>-0.49565217391304289</v>
      </c>
      <c r="Q734">
        <f t="shared" si="1000"/>
        <v>-7171702.8260869477</v>
      </c>
      <c r="R734">
        <f t="shared" si="1001"/>
        <v>-719904141.29272544</v>
      </c>
      <c r="S734">
        <f t="shared" si="1002"/>
        <v>-7199.041412927254</v>
      </c>
      <c r="T734">
        <f t="shared" si="1003"/>
        <v>-7.1990414129272544</v>
      </c>
    </row>
    <row r="735" spans="1:20" x14ac:dyDescent="0.25">
      <c r="A735" s="5">
        <v>43855</v>
      </c>
      <c r="B735">
        <v>2.2100000000000002E-3</v>
      </c>
      <c r="C735">
        <v>2.2100000000000002E-3</v>
      </c>
      <c r="D735">
        <v>2.1380000000000001E-3</v>
      </c>
      <c r="E735">
        <v>2.189E-3</v>
      </c>
      <c r="F735">
        <v>14513262</v>
      </c>
      <c r="G735">
        <v>0</v>
      </c>
      <c r="L735" t="s">
        <v>7</v>
      </c>
      <c r="M735" t="s">
        <v>7</v>
      </c>
      <c r="N735" t="s">
        <v>7</v>
      </c>
      <c r="P735">
        <f t="shared" si="999"/>
        <v>0.41666666666666163</v>
      </c>
      <c r="Q735">
        <f t="shared" si="1000"/>
        <v>6047192.4999999274</v>
      </c>
      <c r="R735">
        <f t="shared" si="1001"/>
        <v>-712732438.46663845</v>
      </c>
      <c r="S735">
        <f t="shared" si="1002"/>
        <v>-7127.3243846663845</v>
      </c>
      <c r="T735">
        <f t="shared" si="1003"/>
        <v>-7.1273243846663847</v>
      </c>
    </row>
    <row r="736" spans="1:20" x14ac:dyDescent="0.25">
      <c r="A736" s="5">
        <v>43854</v>
      </c>
      <c r="B736">
        <v>2.202E-3</v>
      </c>
      <c r="C736">
        <v>2.2910000000000001E-3</v>
      </c>
      <c r="D736">
        <v>2.078E-3</v>
      </c>
      <c r="E736">
        <v>2.2100000000000002E-3</v>
      </c>
      <c r="F736">
        <v>31223572</v>
      </c>
      <c r="G736">
        <v>0</v>
      </c>
      <c r="L736" t="s">
        <v>7</v>
      </c>
      <c r="M736" t="s">
        <v>7</v>
      </c>
      <c r="N736" t="s">
        <v>7</v>
      </c>
      <c r="P736">
        <f t="shared" si="999"/>
        <v>0.23943661971831101</v>
      </c>
      <c r="Q736">
        <f t="shared" si="1000"/>
        <v>7476066.5352113033</v>
      </c>
      <c r="R736">
        <f t="shared" si="1001"/>
        <v>-718779630.96663833</v>
      </c>
      <c r="S736">
        <f t="shared" si="1002"/>
        <v>-7187.7963096663834</v>
      </c>
      <c r="T736">
        <f t="shared" si="1003"/>
        <v>-7.1877963096663837</v>
      </c>
    </row>
    <row r="737" spans="1:20" x14ac:dyDescent="0.25">
      <c r="A737" s="5">
        <v>43853</v>
      </c>
      <c r="B737">
        <v>2.441E-3</v>
      </c>
      <c r="C737">
        <v>2.5079999999999998E-3</v>
      </c>
      <c r="D737">
        <v>2.1700000000000001E-3</v>
      </c>
      <c r="E737">
        <v>2.2209999999999999E-3</v>
      </c>
      <c r="F737">
        <v>27372718</v>
      </c>
      <c r="G737">
        <v>0</v>
      </c>
      <c r="L737" t="s">
        <v>7</v>
      </c>
      <c r="M737" t="s">
        <v>7</v>
      </c>
      <c r="N737" t="s">
        <v>7</v>
      </c>
      <c r="P737">
        <f t="shared" si="999"/>
        <v>-0.69822485207100671</v>
      </c>
      <c r="Q737">
        <f t="shared" si="1000"/>
        <v>-19112311.976331383</v>
      </c>
      <c r="R737">
        <f t="shared" si="1001"/>
        <v>-726255697.50184965</v>
      </c>
      <c r="S737">
        <f t="shared" si="1002"/>
        <v>-7262.5569750184968</v>
      </c>
      <c r="T737">
        <f t="shared" si="1003"/>
        <v>-7.2625569750184971</v>
      </c>
    </row>
    <row r="738" spans="1:20" x14ac:dyDescent="0.25">
      <c r="A738" s="5">
        <v>43852</v>
      </c>
      <c r="B738">
        <v>2.444E-3</v>
      </c>
      <c r="C738">
        <v>2.627E-3</v>
      </c>
      <c r="D738">
        <v>2.4169999999999999E-3</v>
      </c>
      <c r="E738">
        <v>2.4399999999999999E-3</v>
      </c>
      <c r="F738">
        <v>50893691</v>
      </c>
      <c r="G738">
        <v>0</v>
      </c>
      <c r="L738" t="s">
        <v>8</v>
      </c>
      <c r="M738" t="s">
        <v>7</v>
      </c>
      <c r="N738" t="s">
        <v>7</v>
      </c>
      <c r="P738">
        <f t="shared" si="999"/>
        <v>-0.78095238095238095</v>
      </c>
      <c r="Q738">
        <f t="shared" si="1000"/>
        <v>-39745549.16190476</v>
      </c>
      <c r="R738">
        <f t="shared" si="1001"/>
        <v>-707143385.5255183</v>
      </c>
      <c r="S738">
        <f t="shared" si="1002"/>
        <v>-7071.4338552551826</v>
      </c>
      <c r="T738">
        <f t="shared" si="1003"/>
        <v>-7.071433855255183</v>
      </c>
    </row>
    <row r="739" spans="1:20" x14ac:dyDescent="0.25">
      <c r="A739" s="5">
        <v>43851</v>
      </c>
      <c r="B739">
        <v>2.4680000000000001E-3</v>
      </c>
      <c r="C739">
        <v>2.5379999999999999E-3</v>
      </c>
      <c r="D739">
        <v>2.33E-3</v>
      </c>
      <c r="E739">
        <v>2.4450000000000001E-3</v>
      </c>
      <c r="F739">
        <v>64801378</v>
      </c>
      <c r="G739">
        <v>0</v>
      </c>
      <c r="L739" t="s">
        <v>7</v>
      </c>
      <c r="M739" t="s">
        <v>7</v>
      </c>
      <c r="N739" t="s">
        <v>7</v>
      </c>
      <c r="P739">
        <f t="shared" si="999"/>
        <v>0.10576923076923238</v>
      </c>
      <c r="Q739">
        <f t="shared" si="1000"/>
        <v>6853991.9038462583</v>
      </c>
      <c r="R739">
        <f t="shared" si="1001"/>
        <v>-667397836.36361349</v>
      </c>
      <c r="S739">
        <f t="shared" si="1002"/>
        <v>-6673.9783636361344</v>
      </c>
      <c r="T739">
        <f t="shared" si="1003"/>
        <v>-6.6739783636361345</v>
      </c>
    </row>
    <row r="740" spans="1:20" x14ac:dyDescent="0.25">
      <c r="A740" s="5">
        <v>43850</v>
      </c>
      <c r="B740">
        <v>2.545E-3</v>
      </c>
      <c r="C740">
        <v>2.6389999999999999E-3</v>
      </c>
      <c r="D740">
        <v>2.415E-3</v>
      </c>
      <c r="E740">
        <v>2.467E-3</v>
      </c>
      <c r="F740">
        <v>37650896</v>
      </c>
      <c r="G740">
        <v>0</v>
      </c>
      <c r="L740" t="s">
        <v>7</v>
      </c>
      <c r="M740" t="s">
        <v>7</v>
      </c>
      <c r="N740" t="s">
        <v>7</v>
      </c>
      <c r="P740">
        <f t="shared" si="999"/>
        <v>-0.5357142857142857</v>
      </c>
      <c r="Q740">
        <f t="shared" si="1000"/>
        <v>-20170122.857142858</v>
      </c>
      <c r="R740">
        <f t="shared" si="1001"/>
        <v>-674251828.26745975</v>
      </c>
      <c r="S740">
        <f t="shared" si="1002"/>
        <v>-6742.5182826745977</v>
      </c>
      <c r="T740">
        <f t="shared" si="1003"/>
        <v>-6.742518282674598</v>
      </c>
    </row>
    <row r="741" spans="1:20" x14ac:dyDescent="0.25">
      <c r="A741" s="5">
        <v>43849</v>
      </c>
      <c r="B741">
        <v>2.8809999999999999E-3</v>
      </c>
      <c r="C741">
        <v>2.9989999999999999E-3</v>
      </c>
      <c r="D741">
        <v>2.506E-3</v>
      </c>
      <c r="E741">
        <v>2.5460000000000001E-3</v>
      </c>
      <c r="F741">
        <v>100021821</v>
      </c>
      <c r="G741">
        <v>0</v>
      </c>
      <c r="L741" t="s">
        <v>7</v>
      </c>
      <c r="M741" t="s">
        <v>7</v>
      </c>
      <c r="N741" t="s">
        <v>7</v>
      </c>
      <c r="P741">
        <f t="shared" si="999"/>
        <v>-0.83772819472616589</v>
      </c>
      <c r="Q741">
        <f t="shared" si="1000"/>
        <v>-83791099.539553702</v>
      </c>
      <c r="R741">
        <f t="shared" si="1001"/>
        <v>-654081705.41031694</v>
      </c>
      <c r="S741">
        <f t="shared" si="1002"/>
        <v>-6540.8170541031695</v>
      </c>
      <c r="T741">
        <f t="shared" si="1003"/>
        <v>-6.5408170541031696</v>
      </c>
    </row>
    <row r="742" spans="1:20" x14ac:dyDescent="0.25">
      <c r="A742" s="5">
        <v>43848</v>
      </c>
      <c r="B742">
        <v>3.209E-3</v>
      </c>
      <c r="C742">
        <v>3.3660000000000001E-3</v>
      </c>
      <c r="D742">
        <v>2.8500000000000001E-3</v>
      </c>
      <c r="E742">
        <v>2.8809999999999999E-3</v>
      </c>
      <c r="F742">
        <v>113198796</v>
      </c>
      <c r="G742">
        <v>0</v>
      </c>
      <c r="L742" t="s">
        <v>7</v>
      </c>
      <c r="M742" t="s">
        <v>7</v>
      </c>
      <c r="N742" t="s">
        <v>7</v>
      </c>
      <c r="P742">
        <f t="shared" si="999"/>
        <v>-0.87984496124031097</v>
      </c>
      <c r="Q742">
        <f t="shared" si="1000"/>
        <v>-99597390.279069871</v>
      </c>
      <c r="R742">
        <f t="shared" si="1001"/>
        <v>-570290605.8707633</v>
      </c>
      <c r="S742">
        <f t="shared" si="1002"/>
        <v>-5702.9060587076328</v>
      </c>
      <c r="T742">
        <f t="shared" si="1003"/>
        <v>-5.702906058707633</v>
      </c>
    </row>
    <row r="743" spans="1:20" x14ac:dyDescent="0.25">
      <c r="A743" s="5">
        <v>43847</v>
      </c>
      <c r="B743">
        <v>4.1489999999999999E-3</v>
      </c>
      <c r="C743">
        <v>4.5240000000000002E-3</v>
      </c>
      <c r="D743">
        <v>3.0109999999999998E-3</v>
      </c>
      <c r="E743">
        <v>3.2169999999999998E-3</v>
      </c>
      <c r="F743">
        <v>282987187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-0.72769332452081958</v>
      </c>
      <c r="Q743">
        <f t="shared" si="1000"/>
        <v>-205927886.90482485</v>
      </c>
      <c r="R743">
        <f t="shared" si="1001"/>
        <v>-470693215.59169346</v>
      </c>
      <c r="S743">
        <f t="shared" si="1002"/>
        <v>-4706.9321559169348</v>
      </c>
      <c r="T743">
        <f t="shared" si="1003"/>
        <v>-4.7069321559169346</v>
      </c>
    </row>
    <row r="744" spans="1:20" x14ac:dyDescent="0.25">
      <c r="A744" s="5">
        <v>43846</v>
      </c>
      <c r="B744">
        <v>3.7239999999999999E-3</v>
      </c>
      <c r="C744">
        <v>5.4599999999999996E-3</v>
      </c>
      <c r="D744">
        <v>3.6779999999999998E-3</v>
      </c>
      <c r="E744">
        <v>4.1489999999999999E-3</v>
      </c>
      <c r="F744">
        <v>561680733</v>
      </c>
      <c r="G744">
        <v>0</v>
      </c>
      <c r="P744">
        <f t="shared" si="999"/>
        <v>-0.47138047138047123</v>
      </c>
      <c r="Q744">
        <f t="shared" si="1000"/>
        <v>-264765328.68686861</v>
      </c>
      <c r="R744">
        <f t="shared" si="1001"/>
        <v>-264765328.68686861</v>
      </c>
      <c r="S744">
        <f t="shared" si="1002"/>
        <v>-2647.6532868686859</v>
      </c>
      <c r="T744">
        <f t="shared" si="1003"/>
        <v>-2.6476532868686857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7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NN603" sqref="NN60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$A$602</v>
      </c>
      <c r="D111" s="1" t="str">
        <f>ADDRESS(C121-1,D121,1,1)</f>
        <v>$NN$602</v>
      </c>
      <c r="E111"/>
    </row>
    <row r="112" spans="1:5" x14ac:dyDescent="0.25">
      <c r="A112" s="7">
        <v>12164.144957890772</v>
      </c>
      <c r="C112" s="1" t="str">
        <f>ADDRESS(C121,1,1,1)</f>
        <v>$A$603</v>
      </c>
      <c r="D112" s="1" t="str">
        <f>ADDRESS(C121,D121-1,1,1)</f>
        <v>$NM$603</v>
      </c>
      <c r="E112"/>
    </row>
    <row r="113" spans="1:5" x14ac:dyDescent="0.25">
      <c r="A113" s="7">
        <v>11925.63231165762</v>
      </c>
      <c r="C113" s="1" t="str">
        <f>ADDRESS(C121+1,1,1,1)</f>
        <v>$A$604</v>
      </c>
      <c r="D113" s="1" t="str">
        <f>ADDRESS(C121-1,D121+1,1,1)</f>
        <v>$NO$602</v>
      </c>
    </row>
    <row r="114" spans="1:5" x14ac:dyDescent="0.25">
      <c r="A114" s="7">
        <v>11691.796383978059</v>
      </c>
      <c r="C114" s="1" t="str">
        <f>ADDRESS(C121,D121,1,1)</f>
        <v>$NN$603</v>
      </c>
      <c r="D114" s="1" t="str">
        <f>ADDRESS(C121+1,D121+1,1,1)</f>
        <v>$NO$604</v>
      </c>
    </row>
    <row r="115" spans="1:5" x14ac:dyDescent="0.25">
      <c r="A115" s="7">
        <v>11462.545474488292</v>
      </c>
      <c r="C115" s="1" t="str">
        <f>ADDRESS(C121+1,D121,1,1)</f>
        <v>$NN$604</v>
      </c>
    </row>
    <row r="116" spans="1:5" x14ac:dyDescent="0.25">
      <c r="A116" s="7">
        <v>11237.789680870874</v>
      </c>
      <c r="C116" s="1">
        <f>C117-1</f>
        <v>602</v>
      </c>
    </row>
    <row r="117" spans="1:5" x14ac:dyDescent="0.25">
      <c r="A117" s="7">
        <v>11017.440863598895</v>
      </c>
      <c r="C117" s="1">
        <f>C121</f>
        <v>603</v>
      </c>
      <c r="D117" s="1">
        <f>D121</f>
        <v>378</v>
      </c>
    </row>
    <row r="118" spans="1:5" x14ac:dyDescent="0.25">
      <c r="A118" s="7">
        <v>10801.412611371465</v>
      </c>
      <c r="C118" s="1">
        <f>C117+1</f>
        <v>604</v>
      </c>
      <c r="D118" s="1">
        <f>D117+1</f>
        <v>379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603</v>
      </c>
      <c r="D121" s="19">
        <v>378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R603</v>
      </c>
      <c r="D123" s="1" t="str">
        <f>"C"&amp;D121</f>
        <v>C378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0.72844581371423456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220" x14ac:dyDescent="0.25">
      <c r="A497" s="7">
        <v>5.9431331263054545</v>
      </c>
      <c r="B497"/>
      <c r="C497"/>
      <c r="D497"/>
      <c r="E497"/>
    </row>
    <row r="498" spans="1:220" x14ac:dyDescent="0.25">
      <c r="A498" s="7">
        <v>5.8266011042210337</v>
      </c>
      <c r="B498"/>
      <c r="C498"/>
      <c r="D498"/>
      <c r="E498"/>
    </row>
    <row r="499" spans="1:220" x14ac:dyDescent="0.25">
      <c r="A499" s="7">
        <v>5.7123540237461112</v>
      </c>
      <c r="B499"/>
      <c r="C499"/>
      <c r="D499"/>
      <c r="E499"/>
    </row>
    <row r="500" spans="1:220" x14ac:dyDescent="0.25">
      <c r="A500" s="7">
        <v>5.6003470821040304</v>
      </c>
      <c r="B500"/>
      <c r="C500"/>
      <c r="D500"/>
      <c r="E500"/>
    </row>
    <row r="501" spans="1:220" x14ac:dyDescent="0.25">
      <c r="A501" s="7">
        <v>5.4905363550039512</v>
      </c>
      <c r="B501"/>
      <c r="C501"/>
      <c r="D501"/>
      <c r="E501"/>
    </row>
    <row r="502" spans="1:220" x14ac:dyDescent="0.25">
      <c r="A502" s="7">
        <v>5.3828787794156385</v>
      </c>
      <c r="B502"/>
      <c r="C502"/>
      <c r="D502"/>
      <c r="E502"/>
    </row>
    <row r="503" spans="1:220" x14ac:dyDescent="0.25">
      <c r="A503" s="7">
        <v>5.2773321366819985</v>
      </c>
      <c r="B503"/>
      <c r="C503"/>
      <c r="D503"/>
      <c r="E503"/>
    </row>
    <row r="504" spans="1:220" x14ac:dyDescent="0.25">
      <c r="A504" s="7">
        <v>5.1738550359627435</v>
      </c>
      <c r="B504"/>
      <c r="C504"/>
      <c r="D504"/>
      <c r="E504"/>
    </row>
    <row r="505" spans="1:220" x14ac:dyDescent="0.25">
      <c r="A505" s="7">
        <v>5.07240689800269</v>
      </c>
      <c r="B505"/>
      <c r="C505"/>
      <c r="D505"/>
      <c r="E505"/>
    </row>
    <row r="506" spans="1:220" x14ac:dyDescent="0.25">
      <c r="A506" s="7">
        <v>4.9729479392183231</v>
      </c>
      <c r="B506"/>
      <c r="C506"/>
      <c r="D506"/>
      <c r="E506"/>
    </row>
    <row r="507" spans="1:220" x14ac:dyDescent="0.25">
      <c r="A507" s="7">
        <v>4.8754391560963954</v>
      </c>
      <c r="B507"/>
      <c r="C507"/>
      <c r="D507"/>
      <c r="E507"/>
    </row>
    <row r="508" spans="1:220" x14ac:dyDescent="0.25">
      <c r="A508" s="7">
        <v>4.7798423098984264</v>
      </c>
      <c r="B508"/>
      <c r="C508"/>
      <c r="D508"/>
      <c r="E508"/>
      <c r="HK508" s="27" t="s">
        <v>8</v>
      </c>
    </row>
    <row r="509" spans="1:220" x14ac:dyDescent="0.25">
      <c r="A509" s="7">
        <v>4.6861199116651235</v>
      </c>
      <c r="B509"/>
      <c r="C509"/>
      <c r="D509"/>
      <c r="E509"/>
      <c r="HK509" s="27" t="s">
        <v>8</v>
      </c>
      <c r="HL509" s="27" t="s">
        <v>7</v>
      </c>
    </row>
    <row r="510" spans="1:220" x14ac:dyDescent="0.25">
      <c r="A510" s="7">
        <v>4.5942352075148269</v>
      </c>
      <c r="B510"/>
      <c r="C510"/>
      <c r="D510"/>
      <c r="E510"/>
      <c r="HK510" s="27" t="s">
        <v>8</v>
      </c>
      <c r="HL510" s="27" t="s">
        <v>7</v>
      </c>
    </row>
    <row r="511" spans="1:220" x14ac:dyDescent="0.25">
      <c r="A511" s="7">
        <v>4.5041521642302227</v>
      </c>
      <c r="B511"/>
      <c r="C511"/>
      <c r="D511"/>
      <c r="E511"/>
      <c r="HK511" s="27" t="s">
        <v>8</v>
      </c>
      <c r="HL511" s="27" t="s">
        <v>7</v>
      </c>
    </row>
    <row r="512" spans="1:220" x14ac:dyDescent="0.25">
      <c r="A512" s="7">
        <v>4.4158354551276693</v>
      </c>
      <c r="B512"/>
      <c r="C512"/>
      <c r="D512"/>
      <c r="E512"/>
      <c r="HK512" s="27" t="s">
        <v>8</v>
      </c>
      <c r="HL512" s="27" t="s">
        <v>7</v>
      </c>
    </row>
    <row r="513" spans="1:224" x14ac:dyDescent="0.25">
      <c r="A513" s="7">
        <v>4.3292504462035977</v>
      </c>
      <c r="B513"/>
      <c r="C513"/>
      <c r="D513"/>
      <c r="E513"/>
      <c r="HK513" s="27" t="s">
        <v>8</v>
      </c>
      <c r="HL513" s="27" t="s">
        <v>7</v>
      </c>
    </row>
    <row r="514" spans="1:224" x14ac:dyDescent="0.25">
      <c r="A514" s="7">
        <v>4.2443631825525463</v>
      </c>
      <c r="B514"/>
      <c r="C514"/>
      <c r="D514"/>
      <c r="E514"/>
      <c r="HK514" s="27" t="s">
        <v>8</v>
      </c>
      <c r="HL514" s="27" t="s">
        <v>7</v>
      </c>
    </row>
    <row r="515" spans="1:224" x14ac:dyDescent="0.25">
      <c r="A515" s="7">
        <v>4.1611403750515157</v>
      </c>
      <c r="B515"/>
      <c r="C515"/>
      <c r="D515"/>
      <c r="E515"/>
      <c r="HK515" s="27" t="s">
        <v>8</v>
      </c>
      <c r="HL515" s="27" t="s">
        <v>7</v>
      </c>
    </row>
    <row r="516" spans="1:224" x14ac:dyDescent="0.25">
      <c r="A516" s="7">
        <v>4.0795493873054074</v>
      </c>
      <c r="B516"/>
      <c r="C516"/>
      <c r="D516"/>
      <c r="E516"/>
      <c r="HK516" s="27" t="s">
        <v>8</v>
      </c>
      <c r="HL516" s="27" t="s">
        <v>7</v>
      </c>
    </row>
    <row r="517" spans="1:224" x14ac:dyDescent="0.25">
      <c r="A517" s="7">
        <v>3.9995582228484383</v>
      </c>
      <c r="B517"/>
      <c r="C517"/>
      <c r="D517"/>
      <c r="E517"/>
      <c r="HK517" s="27" t="s">
        <v>8</v>
      </c>
      <c r="HL517" s="27" t="s">
        <v>7</v>
      </c>
    </row>
    <row r="518" spans="1:224" x14ac:dyDescent="0.25">
      <c r="A518" s="7">
        <v>3.9211355125965079</v>
      </c>
      <c r="B518"/>
      <c r="C518"/>
      <c r="D518"/>
      <c r="E518"/>
      <c r="HK518" s="27" t="s">
        <v>8</v>
      </c>
      <c r="HL518" s="27" t="s">
        <v>7</v>
      </c>
    </row>
    <row r="519" spans="1:224" x14ac:dyDescent="0.25">
      <c r="A519" s="7">
        <v>3.844250502545596</v>
      </c>
      <c r="B519"/>
      <c r="C519"/>
      <c r="D519"/>
      <c r="E519"/>
      <c r="HK519" s="27" t="s">
        <v>8</v>
      </c>
      <c r="HL519" s="27" t="s">
        <v>7</v>
      </c>
    </row>
    <row r="520" spans="1:224" x14ac:dyDescent="0.25">
      <c r="A520" s="7">
        <v>3.7688730417113687</v>
      </c>
      <c r="B520"/>
      <c r="C520"/>
      <c r="D520"/>
      <c r="E520"/>
      <c r="HK520" s="27" t="s">
        <v>8</v>
      </c>
      <c r="HL520" s="27" t="s">
        <v>7</v>
      </c>
    </row>
    <row r="521" spans="1:224" x14ac:dyDescent="0.25">
      <c r="A521" s="7">
        <v>3.6949735703052635</v>
      </c>
      <c r="B521"/>
      <c r="C521"/>
      <c r="D521"/>
      <c r="E521"/>
      <c r="HK521" s="27" t="s">
        <v>8</v>
      </c>
      <c r="HL521" s="27" t="s">
        <v>7</v>
      </c>
    </row>
    <row r="522" spans="1:224" x14ac:dyDescent="0.25">
      <c r="A522" s="7">
        <v>3.6225231081424152</v>
      </c>
      <c r="B522"/>
      <c r="C522"/>
      <c r="D522"/>
      <c r="E522"/>
      <c r="HK522" s="27" t="s">
        <v>8</v>
      </c>
      <c r="HL522" s="27" t="s">
        <v>7</v>
      </c>
    </row>
    <row r="523" spans="1:224" x14ac:dyDescent="0.25">
      <c r="A523" s="7">
        <v>3.5514932432768775</v>
      </c>
      <c r="B523"/>
      <c r="C523"/>
      <c r="D523"/>
      <c r="E523"/>
      <c r="HK523" s="27" t="s">
        <v>8</v>
      </c>
      <c r="HL523" s="27" t="s">
        <v>7</v>
      </c>
    </row>
    <row r="524" spans="1:224" x14ac:dyDescent="0.25">
      <c r="A524" s="7">
        <v>3.4818561208596837</v>
      </c>
      <c r="B524"/>
      <c r="C524"/>
      <c r="D524"/>
      <c r="E524"/>
      <c r="HK524" s="27" t="s">
        <v>8</v>
      </c>
      <c r="HL524" s="27" t="s">
        <v>7</v>
      </c>
      <c r="HO524" s="27" t="s">
        <v>8</v>
      </c>
    </row>
    <row r="525" spans="1:224" x14ac:dyDescent="0.25">
      <c r="A525" s="7">
        <v>3.4135844322153761</v>
      </c>
      <c r="B525"/>
      <c r="C525"/>
      <c r="D525"/>
      <c r="E525"/>
      <c r="HK525" s="27" t="s">
        <v>8</v>
      </c>
      <c r="HL525" s="27" t="s">
        <v>7</v>
      </c>
      <c r="HO525" s="27" t="s">
        <v>8</v>
      </c>
      <c r="HP525" s="27" t="s">
        <v>7</v>
      </c>
    </row>
    <row r="526" spans="1:224" x14ac:dyDescent="0.25">
      <c r="A526" s="7">
        <v>3.3466514041327216</v>
      </c>
      <c r="B526"/>
      <c r="C526"/>
      <c r="D526"/>
      <c r="E526"/>
      <c r="HK526" s="27" t="s">
        <v>8</v>
      </c>
      <c r="HL526" s="27" t="s">
        <v>7</v>
      </c>
      <c r="HO526" s="27" t="s">
        <v>8</v>
      </c>
      <c r="HP526" s="27" t="s">
        <v>7</v>
      </c>
    </row>
    <row r="527" spans="1:224" x14ac:dyDescent="0.25">
      <c r="A527" s="7">
        <v>3.2810307883654133</v>
      </c>
      <c r="B527"/>
      <c r="C527"/>
      <c r="D527"/>
      <c r="E527"/>
      <c r="HK527" s="27" t="s">
        <v>8</v>
      </c>
      <c r="HL527" s="27" t="s">
        <v>7</v>
      </c>
      <c r="HO527" s="27" t="s">
        <v>8</v>
      </c>
      <c r="HP527" s="27" t="s">
        <v>7</v>
      </c>
    </row>
    <row r="528" spans="1:224" x14ac:dyDescent="0.25">
      <c r="A528" s="7">
        <v>3.2166968513386403</v>
      </c>
      <c r="B528"/>
      <c r="C528"/>
      <c r="D528"/>
      <c r="E528"/>
      <c r="HK528" s="27" t="s">
        <v>8</v>
      </c>
      <c r="HL528" s="27" t="s">
        <v>7</v>
      </c>
      <c r="HO528" s="27" t="s">
        <v>8</v>
      </c>
      <c r="HP528" s="27" t="s">
        <v>7</v>
      </c>
    </row>
    <row r="529" spans="1:226" x14ac:dyDescent="0.25">
      <c r="A529" s="7">
        <v>3.1536243640574906</v>
      </c>
      <c r="B529"/>
      <c r="C529"/>
      <c r="D529"/>
      <c r="E529"/>
      <c r="HK529" s="27" t="s">
        <v>8</v>
      </c>
      <c r="HL529" s="27" t="s">
        <v>7</v>
      </c>
      <c r="HO529" s="27" t="s">
        <v>8</v>
      </c>
      <c r="HP529" s="27" t="s">
        <v>7</v>
      </c>
    </row>
    <row r="530" spans="1:226" x14ac:dyDescent="0.25">
      <c r="A530" s="7">
        <v>3.0917885922132262</v>
      </c>
      <c r="B530"/>
      <c r="C530"/>
      <c r="D530"/>
      <c r="E530"/>
      <c r="HK530" s="27" t="s">
        <v>8</v>
      </c>
      <c r="HL530" s="27" t="s">
        <v>7</v>
      </c>
      <c r="HO530" s="27" t="s">
        <v>8</v>
      </c>
      <c r="HP530" s="27" t="s">
        <v>7</v>
      </c>
    </row>
    <row r="531" spans="1:226" x14ac:dyDescent="0.25">
      <c r="A531" s="7">
        <v>3.0311652864835552</v>
      </c>
      <c r="B531"/>
      <c r="C531"/>
      <c r="D531"/>
      <c r="E531"/>
      <c r="HK531" s="27" t="s">
        <v>8</v>
      </c>
      <c r="HL531" s="27" t="s">
        <v>7</v>
      </c>
      <c r="HO531" s="27" t="s">
        <v>8</v>
      </c>
      <c r="HP531" s="27" t="s">
        <v>7</v>
      </c>
    </row>
    <row r="532" spans="1:226" x14ac:dyDescent="0.25">
      <c r="A532" s="7">
        <v>2.9717306730230932</v>
      </c>
      <c r="B532"/>
      <c r="C532"/>
      <c r="D532"/>
      <c r="E532"/>
      <c r="HK532" s="27" t="s">
        <v>8</v>
      </c>
      <c r="HL532" s="27" t="s">
        <v>7</v>
      </c>
      <c r="HM532" s="27" t="s">
        <v>8</v>
      </c>
      <c r="HO532" s="27" t="s">
        <v>8</v>
      </c>
      <c r="HP532" s="27" t="s">
        <v>7</v>
      </c>
    </row>
    <row r="533" spans="1:226" x14ac:dyDescent="0.25">
      <c r="A533" s="7">
        <v>2.9134614441402875</v>
      </c>
      <c r="B533"/>
      <c r="C533"/>
      <c r="D533"/>
      <c r="E533"/>
      <c r="HK533" s="27" t="s">
        <v>8</v>
      </c>
      <c r="HL533" s="27" t="s">
        <v>7</v>
      </c>
      <c r="HM533" s="27" t="s">
        <v>8</v>
      </c>
      <c r="HN533" s="27" t="s">
        <v>7</v>
      </c>
      <c r="HO533" s="27" t="s">
        <v>8</v>
      </c>
      <c r="HP533" s="27" t="s">
        <v>7</v>
      </c>
    </row>
    <row r="534" spans="1:226" x14ac:dyDescent="0.25">
      <c r="A534" s="7">
        <v>2.8563347491571447</v>
      </c>
      <c r="B534"/>
      <c r="C534"/>
      <c r="D534"/>
      <c r="E534"/>
      <c r="HK534" s="27" t="s">
        <v>8</v>
      </c>
      <c r="HL534" s="27" t="s">
        <v>7</v>
      </c>
      <c r="HM534" s="27" t="s">
        <v>8</v>
      </c>
      <c r="HN534" s="27" t="s">
        <v>7</v>
      </c>
      <c r="HO534" s="27" t="s">
        <v>8</v>
      </c>
      <c r="HP534" s="27" t="s">
        <v>7</v>
      </c>
    </row>
    <row r="535" spans="1:226" x14ac:dyDescent="0.25">
      <c r="A535" s="7">
        <v>2.8003281854481812</v>
      </c>
      <c r="B535"/>
      <c r="C535"/>
      <c r="D535"/>
      <c r="E535"/>
      <c r="HK535" s="27" t="s">
        <v>8</v>
      </c>
      <c r="HL535" s="27" t="s">
        <v>7</v>
      </c>
      <c r="HM535" s="27" t="s">
        <v>8</v>
      </c>
      <c r="HN535" s="27" t="s">
        <v>7</v>
      </c>
      <c r="HO535" s="27" t="s">
        <v>8</v>
      </c>
      <c r="HP535" s="27" t="s">
        <v>7</v>
      </c>
    </row>
    <row r="536" spans="1:226" x14ac:dyDescent="0.25">
      <c r="A536" s="7">
        <v>2.7454197896550796</v>
      </c>
      <c r="B536"/>
      <c r="C536"/>
      <c r="D536"/>
      <c r="E536"/>
      <c r="HK536" s="27" t="s">
        <v>8</v>
      </c>
      <c r="HL536" s="27" t="s">
        <v>7</v>
      </c>
      <c r="HM536" s="27" t="s">
        <v>8</v>
      </c>
      <c r="HN536" s="27" t="s">
        <v>7</v>
      </c>
      <c r="HO536" s="27" t="s">
        <v>8</v>
      </c>
      <c r="HP536" s="27" t="s">
        <v>7</v>
      </c>
    </row>
    <row r="537" spans="1:226" x14ac:dyDescent="0.25">
      <c r="A537" s="7">
        <v>2.6915880290736074</v>
      </c>
      <c r="B537"/>
      <c r="C537"/>
      <c r="D537"/>
      <c r="E537"/>
      <c r="HK537" s="27" t="s">
        <v>8</v>
      </c>
      <c r="HL537" s="27" t="s">
        <v>7</v>
      </c>
      <c r="HM537" s="27" t="s">
        <v>8</v>
      </c>
      <c r="HN537" s="27" t="s">
        <v>7</v>
      </c>
      <c r="HO537" s="27" t="s">
        <v>8</v>
      </c>
      <c r="HP537" s="27" t="s">
        <v>7</v>
      </c>
    </row>
    <row r="538" spans="1:226" x14ac:dyDescent="0.25">
      <c r="A538" s="7">
        <v>2.6388117932094191</v>
      </c>
      <c r="B538"/>
      <c r="C538"/>
      <c r="D538"/>
      <c r="E538"/>
      <c r="HK538" s="27" t="s">
        <v>8</v>
      </c>
      <c r="HL538" s="27" t="s">
        <v>7</v>
      </c>
      <c r="HM538" s="27" t="s">
        <v>8</v>
      </c>
      <c r="HN538" s="27" t="s">
        <v>7</v>
      </c>
      <c r="HO538" s="27" t="s">
        <v>8</v>
      </c>
      <c r="HP538" s="27" t="s">
        <v>7</v>
      </c>
    </row>
    <row r="539" spans="1:226" x14ac:dyDescent="0.25">
      <c r="A539" s="7">
        <v>2.5870703854994304</v>
      </c>
      <c r="B539"/>
      <c r="C539"/>
      <c r="D539"/>
      <c r="E539"/>
      <c r="HK539" s="27" t="s">
        <v>8</v>
      </c>
      <c r="HL539" s="27" t="s">
        <v>7</v>
      </c>
      <c r="HM539" s="27" t="s">
        <v>8</v>
      </c>
      <c r="HN539" s="27" t="s">
        <v>7</v>
      </c>
      <c r="HO539" s="27" t="s">
        <v>8</v>
      </c>
      <c r="HP539" s="27" t="s">
        <v>7</v>
      </c>
    </row>
    <row r="540" spans="1:226" x14ac:dyDescent="0.25">
      <c r="A540" s="7">
        <v>2.53634351519552</v>
      </c>
      <c r="B540"/>
      <c r="C540"/>
      <c r="D540"/>
      <c r="E540"/>
      <c r="HK540" s="27" t="s">
        <v>8</v>
      </c>
      <c r="HL540" s="27" t="s">
        <v>7</v>
      </c>
      <c r="HN540" s="27" t="s">
        <v>7</v>
      </c>
      <c r="HO540" s="27" t="s">
        <v>8</v>
      </c>
      <c r="HP540" s="27" t="s">
        <v>7</v>
      </c>
    </row>
    <row r="541" spans="1:226" x14ac:dyDescent="0.25">
      <c r="A541" s="7">
        <v>2.4866112894073726</v>
      </c>
      <c r="B541"/>
      <c r="C541"/>
      <c r="D541"/>
      <c r="E541"/>
      <c r="HK541" s="27" t="s">
        <v>8</v>
      </c>
      <c r="HN541" s="27" t="s">
        <v>7</v>
      </c>
      <c r="HO541" s="27" t="s">
        <v>8</v>
      </c>
      <c r="HP541" s="27" t="s">
        <v>7</v>
      </c>
      <c r="HQ541" s="27" t="s">
        <v>8</v>
      </c>
    </row>
    <row r="542" spans="1:226" x14ac:dyDescent="0.25">
      <c r="A542" s="7">
        <v>2.4378542053013459</v>
      </c>
      <c r="B542"/>
      <c r="C542"/>
      <c r="D542"/>
      <c r="E542"/>
      <c r="HK542" s="27" t="s">
        <v>8</v>
      </c>
      <c r="HN542" s="27" t="s">
        <v>7</v>
      </c>
      <c r="HO542" s="27" t="s">
        <v>8</v>
      </c>
      <c r="HP542" s="27" t="s">
        <v>7</v>
      </c>
      <c r="HQ542" s="27" t="s">
        <v>8</v>
      </c>
      <c r="HR542" s="27" t="s">
        <v>7</v>
      </c>
    </row>
    <row r="543" spans="1:226" x14ac:dyDescent="0.25">
      <c r="A543" s="7">
        <v>2.3900531424522997</v>
      </c>
      <c r="B543"/>
      <c r="C543"/>
      <c r="D543"/>
      <c r="E543"/>
      <c r="HK543" s="27" t="s">
        <v>8</v>
      </c>
      <c r="HN543" s="27" t="s">
        <v>7</v>
      </c>
      <c r="HO543" s="27" t="s">
        <v>8</v>
      </c>
      <c r="HP543" s="27" t="s">
        <v>7</v>
      </c>
      <c r="HQ543" s="27" t="s">
        <v>8</v>
      </c>
      <c r="HR543" s="27" t="s">
        <v>7</v>
      </c>
    </row>
    <row r="544" spans="1:226" x14ac:dyDescent="0.25">
      <c r="A544" s="7">
        <v>2.343189355345392</v>
      </c>
      <c r="B544"/>
      <c r="C544"/>
      <c r="D544"/>
      <c r="E544"/>
      <c r="HK544" s="27" t="s">
        <v>8</v>
      </c>
      <c r="HN544" s="27" t="s">
        <v>7</v>
      </c>
      <c r="HO544" s="27" t="s">
        <v>8</v>
      </c>
      <c r="HP544" s="27" t="s">
        <v>7</v>
      </c>
      <c r="HQ544" s="27" t="s">
        <v>8</v>
      </c>
      <c r="HR544" s="27" t="s">
        <v>7</v>
      </c>
    </row>
    <row r="545" spans="1:340" x14ac:dyDescent="0.25">
      <c r="A545" s="7">
        <v>2.2972444660248938</v>
      </c>
      <c r="B545"/>
      <c r="C545"/>
      <c r="D545"/>
      <c r="E545"/>
      <c r="HK545" s="27" t="s">
        <v>8</v>
      </c>
      <c r="HN545" s="27" t="s">
        <v>7</v>
      </c>
      <c r="HO545" s="27" t="s">
        <v>8</v>
      </c>
      <c r="HP545" s="27" t="s">
        <v>7</v>
      </c>
      <c r="HQ545" s="27" t="s">
        <v>8</v>
      </c>
      <c r="HR545" s="27" t="s">
        <v>7</v>
      </c>
      <c r="HS545" s="27" t="s">
        <v>8</v>
      </c>
    </row>
    <row r="546" spans="1:340" x14ac:dyDescent="0.25">
      <c r="A546" s="7">
        <v>2.252200456887151</v>
      </c>
      <c r="B546"/>
      <c r="C546"/>
      <c r="D546"/>
      <c r="E546"/>
      <c r="HK546" s="27" t="s">
        <v>8</v>
      </c>
      <c r="HN546" s="27" t="s">
        <v>7</v>
      </c>
      <c r="HO546" s="27" t="s">
        <v>8</v>
      </c>
      <c r="HP546" s="27" t="s">
        <v>7</v>
      </c>
      <c r="HQ546" s="27" t="s">
        <v>8</v>
      </c>
      <c r="HR546" s="27" t="s">
        <v>7</v>
      </c>
      <c r="HS546" s="27" t="s">
        <v>8</v>
      </c>
      <c r="HT546" s="27" t="s">
        <v>7</v>
      </c>
    </row>
    <row r="547" spans="1:340" x14ac:dyDescent="0.25">
      <c r="A547" s="7">
        <v>2.208039663614854</v>
      </c>
      <c r="B547"/>
      <c r="C547"/>
      <c r="D547"/>
      <c r="E547"/>
      <c r="HK547" s="27" t="s">
        <v>8</v>
      </c>
      <c r="HN547" s="27" t="s">
        <v>7</v>
      </c>
      <c r="HO547" s="27" t="s">
        <v>8</v>
      </c>
      <c r="HP547" s="27" t="s">
        <v>7</v>
      </c>
      <c r="HQ547" s="27" t="s">
        <v>8</v>
      </c>
      <c r="HR547" s="27" t="s">
        <v>7</v>
      </c>
      <c r="HS547" s="27" t="s">
        <v>8</v>
      </c>
      <c r="HT547" s="27" t="s">
        <v>7</v>
      </c>
    </row>
    <row r="548" spans="1:340" x14ac:dyDescent="0.25">
      <c r="A548" s="7">
        <v>2.1647447682498568</v>
      </c>
      <c r="B548"/>
      <c r="C548"/>
      <c r="D548"/>
      <c r="E548"/>
      <c r="HK548" s="27" t="s">
        <v>8</v>
      </c>
      <c r="HN548" s="27" t="s">
        <v>7</v>
      </c>
      <c r="HO548" s="27" t="s">
        <v>8</v>
      </c>
      <c r="HP548" s="27" t="s">
        <v>7</v>
      </c>
      <c r="HR548" s="27" t="s">
        <v>7</v>
      </c>
      <c r="HS548" s="27" t="s">
        <v>8</v>
      </c>
      <c r="HT548" s="27" t="s">
        <v>7</v>
      </c>
      <c r="HU548" s="27" t="s">
        <v>8</v>
      </c>
      <c r="HW548" s="27" t="s">
        <v>8</v>
      </c>
      <c r="MA548" s="27" t="s">
        <v>8</v>
      </c>
    </row>
    <row r="549" spans="1:340" x14ac:dyDescent="0.25">
      <c r="A549" s="7">
        <v>2.1222987924018204</v>
      </c>
      <c r="B549"/>
      <c r="C549"/>
      <c r="D549"/>
      <c r="E549"/>
      <c r="HK549" s="27" t="s">
        <v>8</v>
      </c>
      <c r="HN549" s="27" t="s">
        <v>7</v>
      </c>
      <c r="HO549" s="27" t="s">
        <v>8</v>
      </c>
      <c r="HR549" s="27" t="s">
        <v>7</v>
      </c>
      <c r="HS549" s="27" t="s">
        <v>8</v>
      </c>
      <c r="HT549" s="27" t="s">
        <v>7</v>
      </c>
      <c r="HU549" s="27" t="s">
        <v>8</v>
      </c>
      <c r="HV549" s="27" t="s">
        <v>7</v>
      </c>
      <c r="HW549" s="27" t="s">
        <v>8</v>
      </c>
      <c r="HX549" s="27" t="s">
        <v>7</v>
      </c>
      <c r="MA549" s="27" t="s">
        <v>8</v>
      </c>
      <c r="MB549" s="27" t="s">
        <v>7</v>
      </c>
    </row>
    <row r="550" spans="1:340" x14ac:dyDescent="0.25">
      <c r="A550" s="7">
        <v>2.0806850905900198</v>
      </c>
      <c r="B550"/>
      <c r="C550"/>
      <c r="D550"/>
      <c r="E550"/>
      <c r="HK550" s="27" t="s">
        <v>8</v>
      </c>
      <c r="HN550" s="27" t="s">
        <v>7</v>
      </c>
      <c r="HO550" s="27" t="s">
        <v>8</v>
      </c>
      <c r="HR550" s="27" t="s">
        <v>7</v>
      </c>
      <c r="HS550" s="27" t="s">
        <v>8</v>
      </c>
      <c r="HT550" s="27" t="s">
        <v>7</v>
      </c>
      <c r="HU550" s="27" t="s">
        <v>8</v>
      </c>
      <c r="HV550" s="27" t="s">
        <v>7</v>
      </c>
      <c r="HW550" s="27" t="s">
        <v>8</v>
      </c>
      <c r="HX550" s="27" t="s">
        <v>7</v>
      </c>
      <c r="MA550" s="27" t="s">
        <v>8</v>
      </c>
      <c r="MB550" s="27" t="s">
        <v>7</v>
      </c>
    </row>
    <row r="551" spans="1:340" x14ac:dyDescent="0.25">
      <c r="A551" s="7">
        <v>2.0398873437157055</v>
      </c>
      <c r="B551"/>
      <c r="C551"/>
      <c r="D551"/>
      <c r="E551"/>
      <c r="HK551" s="27" t="s">
        <v>8</v>
      </c>
      <c r="HN551" s="27" t="s">
        <v>7</v>
      </c>
      <c r="HO551" s="27" t="s">
        <v>8</v>
      </c>
      <c r="HR551" s="27" t="s">
        <v>7</v>
      </c>
      <c r="HS551" s="27" t="s">
        <v>8</v>
      </c>
      <c r="HT551" s="27" t="s">
        <v>7</v>
      </c>
      <c r="HU551" s="27" t="s">
        <v>8</v>
      </c>
      <c r="HV551" s="27" t="s">
        <v>7</v>
      </c>
      <c r="HW551" s="27" t="s">
        <v>8</v>
      </c>
      <c r="HX551" s="27" t="s">
        <v>7</v>
      </c>
      <c r="MA551" s="27" t="s">
        <v>8</v>
      </c>
      <c r="MB551" s="27" t="s">
        <v>7</v>
      </c>
    </row>
    <row r="552" spans="1:340" x14ac:dyDescent="0.25">
      <c r="A552" s="7">
        <v>1.9998895526624565</v>
      </c>
      <c r="B552"/>
      <c r="C552"/>
      <c r="D552"/>
      <c r="E552"/>
      <c r="HK552" s="27" t="s">
        <v>8</v>
      </c>
      <c r="HN552" s="27" t="s">
        <v>7</v>
      </c>
      <c r="HO552" s="27" t="s">
        <v>8</v>
      </c>
      <c r="HR552" s="27" t="s">
        <v>7</v>
      </c>
      <c r="HT552" s="27" t="s">
        <v>7</v>
      </c>
      <c r="HU552" s="27" t="s">
        <v>8</v>
      </c>
      <c r="HV552" s="27" t="s">
        <v>7</v>
      </c>
      <c r="HW552" s="27" t="s">
        <v>8</v>
      </c>
      <c r="HX552" s="27" t="s">
        <v>7</v>
      </c>
      <c r="MA552" s="27" t="s">
        <v>8</v>
      </c>
      <c r="MB552" s="27" t="s">
        <v>7</v>
      </c>
    </row>
    <row r="553" spans="1:340" x14ac:dyDescent="0.25">
      <c r="A553" s="7">
        <v>1.9606760320220162</v>
      </c>
      <c r="B553"/>
      <c r="C553"/>
      <c r="D553"/>
      <c r="E553"/>
      <c r="HK553" s="27" t="s">
        <v>8</v>
      </c>
      <c r="HN553" s="27" t="s">
        <v>7</v>
      </c>
      <c r="HO553" s="27" t="s">
        <v>8</v>
      </c>
      <c r="HT553" s="27" t="s">
        <v>7</v>
      </c>
      <c r="HU553" s="27" t="s">
        <v>8</v>
      </c>
      <c r="HV553" s="27" t="s">
        <v>7</v>
      </c>
      <c r="HW553" s="27" t="s">
        <v>8</v>
      </c>
      <c r="HX553" s="27" t="s">
        <v>7</v>
      </c>
      <c r="MA553" s="27" t="s">
        <v>8</v>
      </c>
      <c r="MB553" s="27" t="s">
        <v>7</v>
      </c>
    </row>
    <row r="554" spans="1:340" x14ac:dyDescent="0.25">
      <c r="A554" s="7">
        <v>1.9222314039431532</v>
      </c>
      <c r="B554"/>
      <c r="C554"/>
      <c r="D554"/>
      <c r="E554"/>
      <c r="HK554" s="27" t="s">
        <v>8</v>
      </c>
      <c r="HN554" s="27" t="s">
        <v>7</v>
      </c>
      <c r="HO554" s="27" t="s">
        <v>8</v>
      </c>
      <c r="HT554" s="27" t="s">
        <v>7</v>
      </c>
      <c r="HU554" s="27" t="s">
        <v>8</v>
      </c>
      <c r="HV554" s="27" t="s">
        <v>7</v>
      </c>
      <c r="HW554" s="27" t="s">
        <v>8</v>
      </c>
      <c r="HX554" s="27" t="s">
        <v>7</v>
      </c>
      <c r="MA554" s="27" t="s">
        <v>8</v>
      </c>
      <c r="MB554" s="27" t="s">
        <v>7</v>
      </c>
    </row>
    <row r="555" spans="1:340" x14ac:dyDescent="0.25">
      <c r="A555" s="7">
        <v>1.8845405921011305</v>
      </c>
      <c r="B555"/>
      <c r="C555"/>
      <c r="D555"/>
      <c r="E555"/>
      <c r="HK555" s="27" t="s">
        <v>8</v>
      </c>
      <c r="HN555" s="27" t="s">
        <v>7</v>
      </c>
      <c r="HO555" s="27" t="s">
        <v>8</v>
      </c>
      <c r="HT555" s="27" t="s">
        <v>7</v>
      </c>
      <c r="HU555" s="27" t="s">
        <v>8</v>
      </c>
      <c r="HV555" s="27" t="s">
        <v>7</v>
      </c>
      <c r="HW555" s="27" t="s">
        <v>8</v>
      </c>
      <c r="HX555" s="27" t="s">
        <v>7</v>
      </c>
      <c r="MA555" s="27" t="s">
        <v>8</v>
      </c>
      <c r="MB555" s="27" t="s">
        <v>7</v>
      </c>
    </row>
    <row r="556" spans="1:340" x14ac:dyDescent="0.25">
      <c r="A556" s="7">
        <v>1.8475888157854219</v>
      </c>
      <c r="B556"/>
      <c r="C556"/>
      <c r="D556"/>
      <c r="E556"/>
      <c r="HK556" s="27" t="s">
        <v>8</v>
      </c>
      <c r="HN556" s="27" t="s">
        <v>7</v>
      </c>
      <c r="HO556" s="27" t="s">
        <v>8</v>
      </c>
      <c r="HT556" s="27" t="s">
        <v>7</v>
      </c>
      <c r="HV556" s="27" t="s">
        <v>7</v>
      </c>
      <c r="HW556" s="27" t="s">
        <v>8</v>
      </c>
      <c r="HX556" s="27" t="s">
        <v>7</v>
      </c>
      <c r="IC556" s="27" t="s">
        <v>8</v>
      </c>
      <c r="MA556" s="27" t="s">
        <v>8</v>
      </c>
      <c r="MB556" s="27" t="s">
        <v>7</v>
      </c>
    </row>
    <row r="557" spans="1:340" x14ac:dyDescent="0.25">
      <c r="A557" s="7">
        <v>1.8113615841033548</v>
      </c>
      <c r="B557"/>
      <c r="C557"/>
      <c r="D557"/>
      <c r="E557"/>
      <c r="HK557" s="27" t="s">
        <v>8</v>
      </c>
      <c r="HN557" s="27" t="s">
        <v>7</v>
      </c>
      <c r="HO557" s="27" t="s">
        <v>8</v>
      </c>
      <c r="HV557" s="27" t="s">
        <v>7</v>
      </c>
      <c r="HW557" s="27" t="s">
        <v>8</v>
      </c>
      <c r="HX557" s="27" t="s">
        <v>7</v>
      </c>
      <c r="IC557" s="27" t="s">
        <v>8</v>
      </c>
      <c r="ID557" s="27" t="s">
        <v>7</v>
      </c>
      <c r="MA557" s="27" t="s">
        <v>8</v>
      </c>
      <c r="MB557" s="27" t="s">
        <v>7</v>
      </c>
    </row>
    <row r="558" spans="1:340" x14ac:dyDescent="0.25">
      <c r="A558" s="7">
        <v>1.7758446902974065</v>
      </c>
      <c r="B558"/>
      <c r="C558"/>
      <c r="D558"/>
      <c r="E558"/>
      <c r="HK558" s="27" t="s">
        <v>8</v>
      </c>
      <c r="HN558" s="27" t="s">
        <v>7</v>
      </c>
      <c r="HO558" s="27" t="s">
        <v>8</v>
      </c>
      <c r="HV558" s="27" t="s">
        <v>7</v>
      </c>
      <c r="HW558" s="27" t="s">
        <v>8</v>
      </c>
      <c r="HX558" s="27" t="s">
        <v>7</v>
      </c>
      <c r="IC558" s="27" t="s">
        <v>8</v>
      </c>
      <c r="ID558" s="27" t="s">
        <v>7</v>
      </c>
      <c r="MA558" s="27" t="s">
        <v>8</v>
      </c>
      <c r="MB558" s="27" t="s">
        <v>7</v>
      </c>
    </row>
    <row r="559" spans="1:340" x14ac:dyDescent="0.25">
      <c r="A559" s="7">
        <v>1.7410242061739281</v>
      </c>
      <c r="B559"/>
      <c r="C559"/>
      <c r="D559"/>
      <c r="E559"/>
      <c r="HK559" s="27" t="s">
        <v>8</v>
      </c>
      <c r="HN559" s="27" t="s">
        <v>7</v>
      </c>
      <c r="HO559" s="27" t="s">
        <v>8</v>
      </c>
      <c r="HV559" s="27" t="s">
        <v>7</v>
      </c>
      <c r="HW559" s="27" t="s">
        <v>8</v>
      </c>
      <c r="HX559" s="27" t="s">
        <v>7</v>
      </c>
      <c r="IC559" s="27" t="s">
        <v>8</v>
      </c>
      <c r="ID559" s="27" t="s">
        <v>7</v>
      </c>
      <c r="IE559" s="27" t="s">
        <v>8</v>
      </c>
      <c r="MA559" s="27" t="s">
        <v>8</v>
      </c>
      <c r="MB559" s="27" t="s">
        <v>7</v>
      </c>
    </row>
    <row r="560" spans="1:340" x14ac:dyDescent="0.25">
      <c r="A560" s="7">
        <v>1.7068864766411058</v>
      </c>
      <c r="B560"/>
      <c r="C560"/>
      <c r="D560"/>
      <c r="E560"/>
      <c r="HK560" s="27" t="s">
        <v>8</v>
      </c>
      <c r="HN560" s="27" t="s">
        <v>7</v>
      </c>
      <c r="HO560" s="27" t="s">
        <v>8</v>
      </c>
      <c r="HV560" s="27" t="s">
        <v>7</v>
      </c>
      <c r="HW560" s="27" t="s">
        <v>8</v>
      </c>
      <c r="HX560" s="27" t="s">
        <v>7</v>
      </c>
      <c r="IC560" s="27" t="s">
        <v>8</v>
      </c>
      <c r="ID560" s="27" t="s">
        <v>7</v>
      </c>
      <c r="IE560" s="27" t="s">
        <v>8</v>
      </c>
      <c r="IF560" s="27" t="s">
        <v>7</v>
      </c>
      <c r="MA560" s="27" t="s">
        <v>8</v>
      </c>
      <c r="MB560" s="27" t="s">
        <v>7</v>
      </c>
    </row>
    <row r="561" spans="1:366" x14ac:dyDescent="0.25">
      <c r="A561" s="7">
        <v>1.6734181143540252</v>
      </c>
      <c r="B561"/>
      <c r="C561"/>
      <c r="D561"/>
      <c r="E561"/>
      <c r="HK561" s="27" t="s">
        <v>8</v>
      </c>
      <c r="HN561" s="27" t="s">
        <v>7</v>
      </c>
      <c r="HV561" s="27" t="s">
        <v>7</v>
      </c>
      <c r="HW561" s="27" t="s">
        <v>8</v>
      </c>
      <c r="HX561" s="27" t="s">
        <v>7</v>
      </c>
      <c r="IC561" s="27" t="s">
        <v>8</v>
      </c>
      <c r="ID561" s="27" t="s">
        <v>7</v>
      </c>
      <c r="IE561" s="27" t="s">
        <v>8</v>
      </c>
      <c r="IF561" s="27" t="s">
        <v>7</v>
      </c>
      <c r="IG561" s="27" t="s">
        <v>8</v>
      </c>
      <c r="MA561" s="27" t="s">
        <v>8</v>
      </c>
      <c r="MB561" s="27" t="s">
        <v>7</v>
      </c>
    </row>
    <row r="562" spans="1:366" x14ac:dyDescent="0.25">
      <c r="A562" s="7">
        <v>1.6406059944647307</v>
      </c>
      <c r="B562"/>
      <c r="C562"/>
      <c r="D562"/>
      <c r="E562"/>
      <c r="HK562" s="27" t="s">
        <v>8</v>
      </c>
      <c r="HV562" s="27" t="s">
        <v>7</v>
      </c>
      <c r="HW562" s="27" t="s">
        <v>8</v>
      </c>
      <c r="HX562" s="27" t="s">
        <v>7</v>
      </c>
      <c r="IA562" s="27" t="s">
        <v>8</v>
      </c>
      <c r="IC562" s="27" t="s">
        <v>8</v>
      </c>
      <c r="ID562" s="27" t="s">
        <v>7</v>
      </c>
      <c r="IE562" s="27" t="s">
        <v>8</v>
      </c>
      <c r="IF562" s="27" t="s">
        <v>7</v>
      </c>
      <c r="IG562" s="27" t="s">
        <v>8</v>
      </c>
      <c r="IH562" s="27" t="s">
        <v>7</v>
      </c>
      <c r="MA562" s="27" t="s">
        <v>8</v>
      </c>
      <c r="MB562" s="27" t="s">
        <v>7</v>
      </c>
    </row>
    <row r="563" spans="1:366" x14ac:dyDescent="0.25">
      <c r="A563" s="7">
        <v>1.6084372494752261</v>
      </c>
      <c r="B563"/>
      <c r="C563"/>
      <c r="D563"/>
      <c r="E563"/>
      <c r="HK563" s="27" t="s">
        <v>8</v>
      </c>
      <c r="HV563" s="27" t="s">
        <v>7</v>
      </c>
      <c r="HW563" s="27" t="s">
        <v>8</v>
      </c>
      <c r="HX563" s="27" t="s">
        <v>7</v>
      </c>
      <c r="IA563" s="27" t="s">
        <v>8</v>
      </c>
      <c r="IB563" s="27" t="s">
        <v>7</v>
      </c>
      <c r="IC563" s="27" t="s">
        <v>8</v>
      </c>
      <c r="ID563" s="27" t="s">
        <v>7</v>
      </c>
      <c r="IF563" s="27" t="s">
        <v>7</v>
      </c>
      <c r="IG563" s="27" t="s">
        <v>8</v>
      </c>
      <c r="IH563" s="27" t="s">
        <v>7</v>
      </c>
      <c r="MA563" s="27" t="s">
        <v>8</v>
      </c>
      <c r="MB563" s="27" t="s">
        <v>7</v>
      </c>
    </row>
    <row r="564" spans="1:366" x14ac:dyDescent="0.25">
      <c r="A564" s="7">
        <v>1.5768992641913981</v>
      </c>
      <c r="B564"/>
      <c r="C564"/>
      <c r="D564"/>
      <c r="E564"/>
      <c r="HK564" s="27" t="s">
        <v>8</v>
      </c>
      <c r="HV564" s="27" t="s">
        <v>7</v>
      </c>
      <c r="HW564" s="27" t="s">
        <v>8</v>
      </c>
      <c r="HX564" s="27" t="s">
        <v>7</v>
      </c>
      <c r="IA564" s="27" t="s">
        <v>8</v>
      </c>
      <c r="IB564" s="27" t="s">
        <v>7</v>
      </c>
      <c r="IC564" s="27" t="s">
        <v>8</v>
      </c>
      <c r="IF564" s="27" t="s">
        <v>7</v>
      </c>
      <c r="IG564" s="27" t="s">
        <v>8</v>
      </c>
      <c r="IH564" s="27" t="s">
        <v>7</v>
      </c>
      <c r="MA564" s="27" t="s">
        <v>8</v>
      </c>
      <c r="MB564" s="27" t="s">
        <v>7</v>
      </c>
    </row>
    <row r="565" spans="1:366" x14ac:dyDescent="0.25">
      <c r="A565" s="7">
        <v>1.5459796707758806</v>
      </c>
      <c r="B565"/>
      <c r="C565"/>
      <c r="D565"/>
      <c r="E565"/>
      <c r="HK565" s="27" t="s">
        <v>8</v>
      </c>
      <c r="HV565" s="27" t="s">
        <v>7</v>
      </c>
      <c r="HX565" s="27" t="s">
        <v>7</v>
      </c>
      <c r="IA565" s="27" t="s">
        <v>8</v>
      </c>
      <c r="IB565" s="27" t="s">
        <v>7</v>
      </c>
      <c r="IC565" s="27" t="s">
        <v>8</v>
      </c>
      <c r="IF565" s="27" t="s">
        <v>7</v>
      </c>
      <c r="IG565" s="27" t="s">
        <v>8</v>
      </c>
      <c r="IH565" s="27" t="s">
        <v>7</v>
      </c>
      <c r="MA565" s="27" t="s">
        <v>8</v>
      </c>
      <c r="MB565" s="27" t="s">
        <v>7</v>
      </c>
      <c r="MC565" s="27" t="s">
        <v>8</v>
      </c>
      <c r="NA565" s="27" t="s">
        <v>8</v>
      </c>
    </row>
    <row r="566" spans="1:366" x14ac:dyDescent="0.25">
      <c r="A566" s="7">
        <v>1.5156663438979221</v>
      </c>
      <c r="B566"/>
      <c r="C566"/>
      <c r="D566"/>
      <c r="E566"/>
      <c r="HK566" s="27" t="s">
        <v>8</v>
      </c>
      <c r="HX566" s="27" t="s">
        <v>7</v>
      </c>
      <c r="IA566" s="27" t="s">
        <v>8</v>
      </c>
      <c r="IB566" s="27" t="s">
        <v>7</v>
      </c>
      <c r="IC566" s="27" t="s">
        <v>8</v>
      </c>
      <c r="IF566" s="27" t="s">
        <v>7</v>
      </c>
      <c r="IG566" s="27" t="s">
        <v>8</v>
      </c>
      <c r="IH566" s="27" t="s">
        <v>7</v>
      </c>
      <c r="MA566" s="27" t="s">
        <v>8</v>
      </c>
      <c r="MB566" s="27" t="s">
        <v>7</v>
      </c>
      <c r="MC566" s="27" t="s">
        <v>8</v>
      </c>
      <c r="MD566" s="27" t="s">
        <v>7</v>
      </c>
      <c r="NA566" s="27" t="s">
        <v>8</v>
      </c>
      <c r="NB566" s="27" t="s">
        <v>7</v>
      </c>
    </row>
    <row r="567" spans="1:366" x14ac:dyDescent="0.25">
      <c r="A567" s="7">
        <v>1.4859473959783549</v>
      </c>
      <c r="B567"/>
      <c r="C567"/>
      <c r="D567"/>
      <c r="E567"/>
      <c r="HK567" s="27" t="s">
        <v>8</v>
      </c>
      <c r="HX567" s="27" t="s">
        <v>7</v>
      </c>
      <c r="IA567" s="27" t="s">
        <v>8</v>
      </c>
      <c r="IB567" s="27" t="s">
        <v>7</v>
      </c>
      <c r="IC567" s="27" t="s">
        <v>8</v>
      </c>
      <c r="IF567" s="27" t="s">
        <v>7</v>
      </c>
      <c r="IG567" s="27" t="s">
        <v>8</v>
      </c>
      <c r="IH567" s="27" t="s">
        <v>7</v>
      </c>
      <c r="MA567" s="27" t="s">
        <v>8</v>
      </c>
      <c r="MB567" s="27" t="s">
        <v>7</v>
      </c>
      <c r="MC567" s="27" t="s">
        <v>8</v>
      </c>
      <c r="MD567" s="27" t="s">
        <v>7</v>
      </c>
      <c r="ME567" s="27" t="s">
        <v>8</v>
      </c>
      <c r="NA567" s="27" t="s">
        <v>8</v>
      </c>
      <c r="NB567" s="27" t="s">
        <v>7</v>
      </c>
    </row>
    <row r="568" spans="1:366" x14ac:dyDescent="0.25">
      <c r="A568" s="7">
        <v>1.4568111725277988</v>
      </c>
      <c r="B568"/>
      <c r="C568"/>
      <c r="D568"/>
      <c r="E568"/>
      <c r="HK568" s="27" t="s">
        <v>8</v>
      </c>
      <c r="HX568" s="27" t="s">
        <v>7</v>
      </c>
      <c r="IA568" s="27" t="s">
        <v>8</v>
      </c>
      <c r="IB568" s="27" t="s">
        <v>7</v>
      </c>
      <c r="IC568" s="27" t="s">
        <v>8</v>
      </c>
      <c r="IF568" s="27" t="s">
        <v>7</v>
      </c>
      <c r="IG568" s="27" t="s">
        <v>8</v>
      </c>
      <c r="IH568" s="27" t="s">
        <v>7</v>
      </c>
      <c r="MA568" s="27" t="s">
        <v>8</v>
      </c>
      <c r="MB568" s="27" t="s">
        <v>7</v>
      </c>
      <c r="MC568" s="27" t="s">
        <v>8</v>
      </c>
      <c r="MD568" s="27" t="s">
        <v>7</v>
      </c>
      <c r="ME568" s="27" t="s">
        <v>8</v>
      </c>
      <c r="MF568" s="27" t="s">
        <v>7</v>
      </c>
      <c r="NA568" s="27" t="s">
        <v>8</v>
      </c>
      <c r="NB568" s="27" t="s">
        <v>7</v>
      </c>
    </row>
    <row r="569" spans="1:366" x14ac:dyDescent="0.25">
      <c r="A569" s="7">
        <v>1.4282462475762734</v>
      </c>
      <c r="B569"/>
      <c r="C569"/>
      <c r="D569"/>
      <c r="E569"/>
      <c r="HK569" s="27" t="s">
        <v>8</v>
      </c>
      <c r="HX569" s="27" t="s">
        <v>7</v>
      </c>
      <c r="IA569" s="27" t="s">
        <v>8</v>
      </c>
      <c r="IB569" s="27" t="s">
        <v>7</v>
      </c>
      <c r="IC569" s="27" t="s">
        <v>8</v>
      </c>
      <c r="IF569" s="27" t="s">
        <v>7</v>
      </c>
      <c r="IG569" s="27" t="s">
        <v>8</v>
      </c>
      <c r="IH569" s="27" t="s">
        <v>7</v>
      </c>
      <c r="MA569" s="27" t="s">
        <v>8</v>
      </c>
      <c r="MB569" s="27" t="s">
        <v>7</v>
      </c>
      <c r="MC569" s="27" t="s">
        <v>8</v>
      </c>
      <c r="MD569" s="27" t="s">
        <v>7</v>
      </c>
      <c r="ME569" s="27" t="s">
        <v>8</v>
      </c>
      <c r="MF569" s="27" t="s">
        <v>7</v>
      </c>
      <c r="NA569" s="27" t="s">
        <v>8</v>
      </c>
      <c r="NB569" s="27" t="s">
        <v>7</v>
      </c>
    </row>
    <row r="570" spans="1:366" x14ac:dyDescent="0.25">
      <c r="A570" s="7">
        <v>1.4002414191924248</v>
      </c>
      <c r="B570"/>
      <c r="C570"/>
      <c r="D570"/>
      <c r="E570"/>
      <c r="HK570" s="27" t="s">
        <v>8</v>
      </c>
      <c r="HX570" s="27" t="s">
        <v>7</v>
      </c>
      <c r="IA570" s="27" t="s">
        <v>8</v>
      </c>
      <c r="IB570" s="27" t="s">
        <v>7</v>
      </c>
      <c r="IC570" s="27" t="s">
        <v>8</v>
      </c>
      <c r="IF570" s="27" t="s">
        <v>7</v>
      </c>
      <c r="IH570" s="27" t="s">
        <v>7</v>
      </c>
      <c r="II570" s="27" t="s">
        <v>8</v>
      </c>
      <c r="MA570" s="27" t="s">
        <v>8</v>
      </c>
      <c r="MB570" s="27" t="s">
        <v>7</v>
      </c>
      <c r="MC570" s="27" t="s">
        <v>8</v>
      </c>
      <c r="MD570" s="27" t="s">
        <v>7</v>
      </c>
      <c r="ME570" s="27" t="s">
        <v>8</v>
      </c>
      <c r="MF570" s="27" t="s">
        <v>7</v>
      </c>
      <c r="NA570" s="27" t="s">
        <v>8</v>
      </c>
      <c r="NB570" s="27" t="s">
        <v>7</v>
      </c>
    </row>
    <row r="571" spans="1:366" x14ac:dyDescent="0.25">
      <c r="A571" s="7">
        <v>1.3727857050906125</v>
      </c>
      <c r="B571"/>
      <c r="C571"/>
      <c r="D571"/>
      <c r="E571"/>
      <c r="HK571" s="27" t="s">
        <v>8</v>
      </c>
      <c r="HX571" s="27" t="s">
        <v>7</v>
      </c>
      <c r="IA571" s="27" t="s">
        <v>8</v>
      </c>
      <c r="IB571" s="27" t="s">
        <v>7</v>
      </c>
      <c r="IC571" s="27" t="s">
        <v>8</v>
      </c>
      <c r="IH571" s="27" t="s">
        <v>7</v>
      </c>
      <c r="II571" s="27" t="s">
        <v>8</v>
      </c>
      <c r="IJ571" s="27" t="s">
        <v>7</v>
      </c>
      <c r="MA571" s="27" t="s">
        <v>8</v>
      </c>
      <c r="MB571" s="27" t="s">
        <v>7</v>
      </c>
      <c r="MC571" s="27" t="s">
        <v>8</v>
      </c>
      <c r="MD571" s="27" t="s">
        <v>7</v>
      </c>
      <c r="ME571" s="27" t="s">
        <v>8</v>
      </c>
      <c r="MF571" s="27" t="s">
        <v>7</v>
      </c>
      <c r="NA571" s="27" t="s">
        <v>8</v>
      </c>
      <c r="NB571" s="27" t="s">
        <v>7</v>
      </c>
    </row>
    <row r="572" spans="1:366" x14ac:dyDescent="0.25">
      <c r="A572" s="7">
        <v>1.3458683383241299</v>
      </c>
      <c r="B572"/>
      <c r="C572"/>
      <c r="D572"/>
      <c r="E572"/>
      <c r="HK572" s="27" t="s">
        <v>8</v>
      </c>
      <c r="HX572" s="27" t="s">
        <v>7</v>
      </c>
      <c r="IA572" s="27" t="s">
        <v>8</v>
      </c>
      <c r="IB572" s="27" t="s">
        <v>7</v>
      </c>
      <c r="IC572" s="27" t="s">
        <v>8</v>
      </c>
      <c r="IH572" s="27" t="s">
        <v>7</v>
      </c>
      <c r="II572" s="27" t="s">
        <v>8</v>
      </c>
      <c r="IJ572" s="27" t="s">
        <v>7</v>
      </c>
      <c r="MA572" s="27" t="s">
        <v>8</v>
      </c>
      <c r="MB572" s="27" t="s">
        <v>7</v>
      </c>
      <c r="MC572" s="27" t="s">
        <v>8</v>
      </c>
      <c r="MD572" s="27" t="s">
        <v>7</v>
      </c>
      <c r="ME572" s="27" t="s">
        <v>8</v>
      </c>
      <c r="MF572" s="27" t="s">
        <v>7</v>
      </c>
      <c r="MG572" s="27" t="s">
        <v>8</v>
      </c>
      <c r="MU572" s="27" t="s">
        <v>8</v>
      </c>
      <c r="MY572" s="27" t="s">
        <v>8</v>
      </c>
      <c r="NA572" s="27" t="s">
        <v>8</v>
      </c>
      <c r="NB572" s="27" t="s">
        <v>7</v>
      </c>
    </row>
    <row r="573" spans="1:366" x14ac:dyDescent="0.25">
      <c r="A573" s="7">
        <v>1.3194787630628724</v>
      </c>
      <c r="B573"/>
      <c r="C573"/>
      <c r="D573"/>
      <c r="E573"/>
      <c r="HK573" s="27" t="s">
        <v>8</v>
      </c>
      <c r="HX573" s="27" t="s">
        <v>7</v>
      </c>
      <c r="HY573" s="27" t="s">
        <v>8</v>
      </c>
      <c r="IA573" s="27" t="s">
        <v>8</v>
      </c>
      <c r="IB573" s="27" t="s">
        <v>7</v>
      </c>
      <c r="IH573" s="27" t="s">
        <v>7</v>
      </c>
      <c r="II573" s="27" t="s">
        <v>8</v>
      </c>
      <c r="IJ573" s="27" t="s">
        <v>7</v>
      </c>
      <c r="MA573" s="27" t="s">
        <v>8</v>
      </c>
      <c r="MB573" s="27" t="s">
        <v>7</v>
      </c>
      <c r="MC573" s="27" t="s">
        <v>8</v>
      </c>
      <c r="MD573" s="27" t="s">
        <v>7</v>
      </c>
      <c r="ME573" s="27" t="s">
        <v>8</v>
      </c>
      <c r="MF573" s="27" t="s">
        <v>7</v>
      </c>
      <c r="MG573" s="27" t="s">
        <v>8</v>
      </c>
      <c r="MH573" s="27" t="s">
        <v>7</v>
      </c>
      <c r="MU573" s="27" t="s">
        <v>8</v>
      </c>
      <c r="MV573" s="27" t="s">
        <v>7</v>
      </c>
      <c r="MY573" s="27" t="s">
        <v>8</v>
      </c>
      <c r="MZ573" s="27" t="s">
        <v>7</v>
      </c>
      <c r="NA573" s="27" t="s">
        <v>8</v>
      </c>
      <c r="NB573" s="27" t="s">
        <v>7</v>
      </c>
    </row>
    <row r="574" spans="1:366" x14ac:dyDescent="0.25">
      <c r="A574" s="7">
        <v>1.2936066304537963</v>
      </c>
      <c r="B574"/>
      <c r="C574"/>
      <c r="D574"/>
      <c r="E574"/>
      <c r="HK574" s="27" t="s">
        <v>8</v>
      </c>
      <c r="HX574" s="27" t="s">
        <v>7</v>
      </c>
      <c r="HY574" s="27" t="s">
        <v>8</v>
      </c>
      <c r="HZ574" s="27" t="s">
        <v>7</v>
      </c>
      <c r="IA574" s="27" t="s">
        <v>8</v>
      </c>
      <c r="IH574" s="27" t="s">
        <v>7</v>
      </c>
      <c r="II574" s="27" t="s">
        <v>8</v>
      </c>
      <c r="IJ574" s="27" t="s">
        <v>7</v>
      </c>
      <c r="MA574" s="27" t="s">
        <v>8</v>
      </c>
      <c r="MB574" s="27" t="s">
        <v>7</v>
      </c>
      <c r="MC574" s="27" t="s">
        <v>8</v>
      </c>
      <c r="MD574" s="27" t="s">
        <v>7</v>
      </c>
      <c r="ME574" s="27" t="s">
        <v>8</v>
      </c>
      <c r="MF574" s="27" t="s">
        <v>7</v>
      </c>
      <c r="MG574" s="27" t="s">
        <v>8</v>
      </c>
      <c r="MH574" s="27" t="s">
        <v>7</v>
      </c>
      <c r="MU574" s="27" t="s">
        <v>8</v>
      </c>
      <c r="MV574" s="27" t="s">
        <v>7</v>
      </c>
      <c r="MY574" s="27" t="s">
        <v>8</v>
      </c>
      <c r="MZ574" s="27" t="s">
        <v>7</v>
      </c>
      <c r="NA574" s="27" t="s">
        <v>8</v>
      </c>
      <c r="NB574" s="27" t="s">
        <v>7</v>
      </c>
    </row>
    <row r="575" spans="1:366" x14ac:dyDescent="0.25">
      <c r="A575" s="7">
        <v>1.2682417945625455</v>
      </c>
      <c r="B575"/>
      <c r="C575"/>
      <c r="D575"/>
      <c r="E575"/>
      <c r="HK575" s="27" t="s">
        <v>8</v>
      </c>
      <c r="HX575" s="27" t="s">
        <v>7</v>
      </c>
      <c r="HY575" s="27" t="s">
        <v>8</v>
      </c>
      <c r="HZ575" s="27" t="s">
        <v>7</v>
      </c>
      <c r="IA575" s="27" t="s">
        <v>8</v>
      </c>
      <c r="IH575" s="27" t="s">
        <v>7</v>
      </c>
      <c r="IJ575" s="27" t="s">
        <v>7</v>
      </c>
      <c r="MA575" s="27" t="s">
        <v>8</v>
      </c>
      <c r="MB575" s="27" t="s">
        <v>7</v>
      </c>
      <c r="MC575" s="27" t="s">
        <v>8</v>
      </c>
      <c r="MD575" s="27" t="s">
        <v>7</v>
      </c>
      <c r="ME575" s="27" t="s">
        <v>8</v>
      </c>
      <c r="MF575" s="27" t="s">
        <v>7</v>
      </c>
      <c r="MG575" s="27" t="s">
        <v>8</v>
      </c>
      <c r="MH575" s="27" t="s">
        <v>7</v>
      </c>
      <c r="MU575" s="27" t="s">
        <v>8</v>
      </c>
      <c r="MV575" s="27" t="s">
        <v>7</v>
      </c>
      <c r="MY575" s="27" t="s">
        <v>8</v>
      </c>
      <c r="MZ575" s="27" t="s">
        <v>7</v>
      </c>
      <c r="NA575" s="27" t="s">
        <v>8</v>
      </c>
      <c r="NB575" s="27" t="s">
        <v>7</v>
      </c>
    </row>
    <row r="576" spans="1:366" x14ac:dyDescent="0.25">
      <c r="A576" s="7">
        <v>1.2433743083946525</v>
      </c>
      <c r="B576"/>
      <c r="C576"/>
      <c r="D576"/>
      <c r="E576"/>
      <c r="HK576" s="27" t="s">
        <v>8</v>
      </c>
      <c r="HX576" s="27" t="s">
        <v>7</v>
      </c>
      <c r="HY576" s="27" t="s">
        <v>8</v>
      </c>
      <c r="HZ576" s="27" t="s">
        <v>7</v>
      </c>
      <c r="IA576" s="27" t="s">
        <v>8</v>
      </c>
      <c r="IJ576" s="27" t="s">
        <v>7</v>
      </c>
      <c r="MA576" s="27" t="s">
        <v>8</v>
      </c>
      <c r="MB576" s="27" t="s">
        <v>7</v>
      </c>
      <c r="MC576" s="27" t="s">
        <v>8</v>
      </c>
      <c r="MD576" s="27" t="s">
        <v>7</v>
      </c>
      <c r="ME576" s="27" t="s">
        <v>8</v>
      </c>
      <c r="MF576" s="27" t="s">
        <v>7</v>
      </c>
      <c r="MG576" s="27" t="s">
        <v>8</v>
      </c>
      <c r="MH576" s="27" t="s">
        <v>7</v>
      </c>
      <c r="MU576" s="27" t="s">
        <v>8</v>
      </c>
      <c r="MV576" s="27" t="s">
        <v>7</v>
      </c>
      <c r="MY576" s="27" t="s">
        <v>8</v>
      </c>
      <c r="MZ576" s="27" t="s">
        <v>7</v>
      </c>
      <c r="NA576" s="27" t="s">
        <v>8</v>
      </c>
      <c r="NB576" s="27" t="s">
        <v>7</v>
      </c>
    </row>
    <row r="577" spans="1:374" x14ac:dyDescent="0.25">
      <c r="A577" s="7">
        <v>1.2189944199947573</v>
      </c>
      <c r="B577"/>
      <c r="C577"/>
      <c r="D577"/>
      <c r="E577"/>
      <c r="HK577" s="27" t="s">
        <v>8</v>
      </c>
      <c r="HX577" s="27" t="s">
        <v>7</v>
      </c>
      <c r="HY577" s="27" t="s">
        <v>8</v>
      </c>
      <c r="HZ577" s="27" t="s">
        <v>7</v>
      </c>
      <c r="IA577" s="27" t="s">
        <v>8</v>
      </c>
      <c r="IJ577" s="27" t="s">
        <v>7</v>
      </c>
      <c r="MA577" s="27" t="s">
        <v>8</v>
      </c>
      <c r="MB577" s="27" t="s">
        <v>7</v>
      </c>
      <c r="MC577" s="27" t="s">
        <v>8</v>
      </c>
      <c r="MD577" s="27" t="s">
        <v>7</v>
      </c>
      <c r="ME577" s="27" t="s">
        <v>8</v>
      </c>
      <c r="MF577" s="27" t="s">
        <v>7</v>
      </c>
      <c r="MG577" s="27" t="s">
        <v>8</v>
      </c>
      <c r="MH577" s="27" t="s">
        <v>7</v>
      </c>
      <c r="MU577" s="27" t="s">
        <v>8</v>
      </c>
      <c r="MV577" s="27" t="s">
        <v>7</v>
      </c>
      <c r="MY577" s="27" t="s">
        <v>8</v>
      </c>
      <c r="MZ577" s="27" t="s">
        <v>7</v>
      </c>
      <c r="NA577" s="27" t="s">
        <v>8</v>
      </c>
      <c r="NB577" s="27" t="s">
        <v>7</v>
      </c>
      <c r="NC577" s="27" t="s">
        <v>8</v>
      </c>
      <c r="NG577" s="27" t="s">
        <v>8</v>
      </c>
    </row>
    <row r="578" spans="1:374" x14ac:dyDescent="0.25">
      <c r="A578" s="7">
        <v>1.1950925686223111</v>
      </c>
      <c r="B578"/>
      <c r="C578"/>
      <c r="D578"/>
      <c r="E578"/>
      <c r="HK578" s="27" t="s">
        <v>8</v>
      </c>
      <c r="HX578" s="27" t="s">
        <v>7</v>
      </c>
      <c r="HY578" s="27" t="s">
        <v>8</v>
      </c>
      <c r="HZ578" s="27" t="s">
        <v>7</v>
      </c>
      <c r="IA578" s="27" t="s">
        <v>8</v>
      </c>
      <c r="IJ578" s="27" t="s">
        <v>7</v>
      </c>
      <c r="MA578" s="27" t="s">
        <v>8</v>
      </c>
      <c r="MB578" s="27" t="s">
        <v>7</v>
      </c>
      <c r="MC578" s="27" t="s">
        <v>8</v>
      </c>
      <c r="MD578" s="27" t="s">
        <v>7</v>
      </c>
      <c r="ME578" s="27" t="s">
        <v>8</v>
      </c>
      <c r="MF578" s="27" t="s">
        <v>7</v>
      </c>
      <c r="MG578" s="27" t="s">
        <v>8</v>
      </c>
      <c r="MH578" s="27" t="s">
        <v>7</v>
      </c>
      <c r="MU578" s="27" t="s">
        <v>8</v>
      </c>
      <c r="MV578" s="27" t="s">
        <v>7</v>
      </c>
      <c r="MY578" s="27" t="s">
        <v>8</v>
      </c>
      <c r="MZ578" s="27" t="s">
        <v>7</v>
      </c>
      <c r="NA578" s="27" t="s">
        <v>8</v>
      </c>
      <c r="NB578" s="27" t="s">
        <v>7</v>
      </c>
      <c r="NC578" s="27" t="s">
        <v>8</v>
      </c>
      <c r="ND578" s="27" t="s">
        <v>7</v>
      </c>
      <c r="NG578" s="27" t="s">
        <v>8</v>
      </c>
      <c r="NH578" s="27" t="s">
        <v>7</v>
      </c>
    </row>
    <row r="579" spans="1:374" x14ac:dyDescent="0.25">
      <c r="A579" s="7">
        <v>1.1716593810022657</v>
      </c>
      <c r="B579"/>
      <c r="C579"/>
      <c r="D579"/>
      <c r="E579"/>
      <c r="HK579" s="27" t="s">
        <v>8</v>
      </c>
      <c r="HX579" s="27" t="s">
        <v>7</v>
      </c>
      <c r="HY579" s="27" t="s">
        <v>8</v>
      </c>
      <c r="HZ579" s="27" t="s">
        <v>7</v>
      </c>
      <c r="IA579" s="27" t="s">
        <v>8</v>
      </c>
      <c r="IJ579" s="27" t="s">
        <v>7</v>
      </c>
      <c r="IK579" s="27" t="s">
        <v>8</v>
      </c>
      <c r="MA579" s="27" t="s">
        <v>8</v>
      </c>
      <c r="MB579" s="27" t="s">
        <v>7</v>
      </c>
      <c r="MC579" s="27" t="s">
        <v>8</v>
      </c>
      <c r="MD579" s="27" t="s">
        <v>7</v>
      </c>
      <c r="ME579" s="27" t="s">
        <v>8</v>
      </c>
      <c r="MF579" s="27" t="s">
        <v>7</v>
      </c>
      <c r="MG579" s="27" t="s">
        <v>8</v>
      </c>
      <c r="MH579" s="27" t="s">
        <v>7</v>
      </c>
      <c r="MU579" s="27" t="s">
        <v>8</v>
      </c>
      <c r="MV579" s="27" t="s">
        <v>7</v>
      </c>
      <c r="MW579" s="27" t="s">
        <v>8</v>
      </c>
      <c r="MY579" s="27" t="s">
        <v>8</v>
      </c>
      <c r="MZ579" s="27" t="s">
        <v>7</v>
      </c>
      <c r="NA579" s="27" t="s">
        <v>8</v>
      </c>
      <c r="NB579" s="27" t="s">
        <v>7</v>
      </c>
      <c r="NC579" s="27" t="s">
        <v>8</v>
      </c>
      <c r="ND579" s="27" t="s">
        <v>7</v>
      </c>
      <c r="NG579" s="27" t="s">
        <v>8</v>
      </c>
      <c r="NH579" s="27" t="s">
        <v>7</v>
      </c>
    </row>
    <row r="580" spans="1:374" x14ac:dyDescent="0.25">
      <c r="A580" s="7">
        <v>1.14868566764928</v>
      </c>
      <c r="B580"/>
      <c r="C580"/>
      <c r="D580"/>
      <c r="E580"/>
      <c r="HK580" s="27" t="s">
        <v>8</v>
      </c>
      <c r="HX580" s="27" t="s">
        <v>7</v>
      </c>
      <c r="HY580" s="27" t="s">
        <v>8</v>
      </c>
      <c r="HZ580" s="27" t="s">
        <v>7</v>
      </c>
      <c r="IA580" s="27" t="s">
        <v>8</v>
      </c>
      <c r="IJ580" s="27" t="s">
        <v>7</v>
      </c>
      <c r="IK580" s="27" t="s">
        <v>8</v>
      </c>
      <c r="IL580" s="27" t="s">
        <v>7</v>
      </c>
      <c r="MA580" s="27" t="s">
        <v>8</v>
      </c>
      <c r="MB580" s="27" t="s">
        <v>7</v>
      </c>
      <c r="MC580" s="27" t="s">
        <v>8</v>
      </c>
      <c r="MD580" s="27" t="s">
        <v>7</v>
      </c>
      <c r="ME580" s="27" t="s">
        <v>8</v>
      </c>
      <c r="MF580" s="27" t="s">
        <v>7</v>
      </c>
      <c r="MG580" s="27" t="s">
        <v>8</v>
      </c>
      <c r="MH580" s="27" t="s">
        <v>7</v>
      </c>
      <c r="MU580" s="27" t="s">
        <v>8</v>
      </c>
      <c r="MV580" s="27" t="s">
        <v>7</v>
      </c>
      <c r="MW580" s="27" t="s">
        <v>8</v>
      </c>
      <c r="MX580" s="27" t="s">
        <v>7</v>
      </c>
      <c r="MY580" s="27" t="s">
        <v>8</v>
      </c>
      <c r="MZ580" s="27" t="s">
        <v>7</v>
      </c>
      <c r="NB580" s="27" t="s">
        <v>7</v>
      </c>
      <c r="NC580" s="27" t="s">
        <v>8</v>
      </c>
      <c r="ND580" s="27" t="s">
        <v>7</v>
      </c>
      <c r="NG580" s="27" t="s">
        <v>8</v>
      </c>
      <c r="NH580" s="27" t="s">
        <v>7</v>
      </c>
    </row>
    <row r="581" spans="1:374" x14ac:dyDescent="0.25">
      <c r="A581" s="7">
        <v>1.1261624192640001</v>
      </c>
      <c r="B581"/>
      <c r="C581"/>
      <c r="D581"/>
      <c r="E581"/>
      <c r="HK581" s="27" t="s">
        <v>8</v>
      </c>
      <c r="HX581" s="27" t="s">
        <v>7</v>
      </c>
      <c r="HY581" s="27" t="s">
        <v>8</v>
      </c>
      <c r="HZ581" s="27" t="s">
        <v>7</v>
      </c>
      <c r="IA581" s="27" t="s">
        <v>8</v>
      </c>
      <c r="IJ581" s="27" t="s">
        <v>7</v>
      </c>
      <c r="IK581" s="27" t="s">
        <v>8</v>
      </c>
      <c r="IL581" s="27" t="s">
        <v>7</v>
      </c>
      <c r="MA581" s="27" t="s">
        <v>8</v>
      </c>
      <c r="MB581" s="27" t="s">
        <v>7</v>
      </c>
      <c r="MC581" s="27" t="s">
        <v>8</v>
      </c>
      <c r="MD581" s="27" t="s">
        <v>7</v>
      </c>
      <c r="ME581" s="27" t="s">
        <v>8</v>
      </c>
      <c r="MF581" s="27" t="s">
        <v>7</v>
      </c>
      <c r="MG581" s="27" t="s">
        <v>8</v>
      </c>
      <c r="MH581" s="27" t="s">
        <v>7</v>
      </c>
      <c r="MI581" s="27" t="s">
        <v>8</v>
      </c>
      <c r="MU581" s="27" t="s">
        <v>8</v>
      </c>
      <c r="MV581" s="27" t="s">
        <v>7</v>
      </c>
      <c r="MW581" s="27" t="s">
        <v>8</v>
      </c>
      <c r="MX581" s="27" t="s">
        <v>7</v>
      </c>
      <c r="MY581" s="27" t="s">
        <v>8</v>
      </c>
      <c r="NB581" s="27" t="s">
        <v>7</v>
      </c>
      <c r="NC581" s="27" t="s">
        <v>8</v>
      </c>
      <c r="ND581" s="27" t="s">
        <v>7</v>
      </c>
      <c r="NG581" s="27" t="s">
        <v>8</v>
      </c>
      <c r="NH581" s="27" t="s">
        <v>7</v>
      </c>
    </row>
    <row r="582" spans="1:374" x14ac:dyDescent="0.25">
      <c r="A582" s="7">
        <v>1.1040808032</v>
      </c>
      <c r="B582"/>
      <c r="C582"/>
      <c r="D582"/>
      <c r="E582"/>
      <c r="HK582" s="27" t="s">
        <v>8</v>
      </c>
      <c r="HX582" s="27" t="s">
        <v>7</v>
      </c>
      <c r="HZ582" s="27" t="s">
        <v>7</v>
      </c>
      <c r="IA582" s="27" t="s">
        <v>8</v>
      </c>
      <c r="IJ582" s="27" t="s">
        <v>7</v>
      </c>
      <c r="IK582" s="27" t="s">
        <v>8</v>
      </c>
      <c r="IL582" s="27" t="s">
        <v>7</v>
      </c>
      <c r="MA582" s="27" t="s">
        <v>8</v>
      </c>
      <c r="MB582" s="27" t="s">
        <v>7</v>
      </c>
      <c r="MC582" s="27" t="s">
        <v>8</v>
      </c>
      <c r="MD582" s="27" t="s">
        <v>7</v>
      </c>
      <c r="ME582" s="27" t="s">
        <v>8</v>
      </c>
      <c r="MF582" s="27" t="s">
        <v>7</v>
      </c>
      <c r="MG582" s="27" t="s">
        <v>8</v>
      </c>
      <c r="MH582" s="27" t="s">
        <v>7</v>
      </c>
      <c r="MI582" s="27" t="s">
        <v>8</v>
      </c>
      <c r="MJ582" s="27" t="s">
        <v>7</v>
      </c>
      <c r="MU582" s="27" t="s">
        <v>8</v>
      </c>
      <c r="MV582" s="27" t="s">
        <v>7</v>
      </c>
      <c r="MW582" s="27" t="s">
        <v>8</v>
      </c>
      <c r="MX582" s="27" t="s">
        <v>7</v>
      </c>
      <c r="MY582" s="27" t="s">
        <v>8</v>
      </c>
      <c r="NB582" s="27" t="s">
        <v>7</v>
      </c>
      <c r="NC582" s="27" t="s">
        <v>8</v>
      </c>
      <c r="ND582" s="27" t="s">
        <v>7</v>
      </c>
      <c r="NE582" s="27" t="s">
        <v>8</v>
      </c>
      <c r="NG582" s="27" t="s">
        <v>8</v>
      </c>
      <c r="NH582" s="27" t="s">
        <v>7</v>
      </c>
    </row>
    <row r="583" spans="1:374" x14ac:dyDescent="0.25">
      <c r="A583" s="7">
        <v>1.08243216</v>
      </c>
      <c r="B583"/>
      <c r="C583"/>
      <c r="D583"/>
      <c r="E583"/>
      <c r="HK583" s="27" t="s">
        <v>8</v>
      </c>
      <c r="HZ583" s="27" t="s">
        <v>7</v>
      </c>
      <c r="IJ583" s="27" t="s">
        <v>7</v>
      </c>
      <c r="IK583" s="27" t="s">
        <v>8</v>
      </c>
      <c r="IL583" s="27" t="s">
        <v>7</v>
      </c>
      <c r="IM583" s="27" t="s">
        <v>8</v>
      </c>
      <c r="MA583" s="27" t="s">
        <v>8</v>
      </c>
      <c r="MB583" s="27" t="s">
        <v>7</v>
      </c>
      <c r="MC583" s="27" t="s">
        <v>8</v>
      </c>
      <c r="MD583" s="27" t="s">
        <v>7</v>
      </c>
      <c r="ME583" s="27" t="s">
        <v>8</v>
      </c>
      <c r="MF583" s="27" t="s">
        <v>7</v>
      </c>
      <c r="MG583" s="27" t="s">
        <v>8</v>
      </c>
      <c r="MH583" s="27" t="s">
        <v>7</v>
      </c>
      <c r="MI583" s="27" t="s">
        <v>8</v>
      </c>
      <c r="MJ583" s="27" t="s">
        <v>7</v>
      </c>
      <c r="MU583" s="27" t="s">
        <v>8</v>
      </c>
      <c r="MV583" s="27" t="s">
        <v>7</v>
      </c>
      <c r="MW583" s="27" t="s">
        <v>8</v>
      </c>
      <c r="MX583" s="27" t="s">
        <v>7</v>
      </c>
      <c r="MY583" s="27" t="s">
        <v>8</v>
      </c>
      <c r="NB583" s="27" t="s">
        <v>7</v>
      </c>
      <c r="NC583" s="27" t="s">
        <v>8</v>
      </c>
      <c r="ND583" s="27" t="s">
        <v>7</v>
      </c>
      <c r="NE583" s="27" t="s">
        <v>8</v>
      </c>
      <c r="NF583" s="27" t="s">
        <v>7</v>
      </c>
      <c r="NG583" s="27" t="s">
        <v>8</v>
      </c>
      <c r="NH583" s="27" t="s">
        <v>7</v>
      </c>
    </row>
    <row r="584" spans="1:374" x14ac:dyDescent="0.25">
      <c r="A584" s="7">
        <v>1.0612079999999999</v>
      </c>
      <c r="B584"/>
      <c r="C584"/>
      <c r="D584"/>
      <c r="E584"/>
      <c r="HK584" s="27" t="s">
        <v>8</v>
      </c>
      <c r="IJ584" s="27" t="s">
        <v>7</v>
      </c>
      <c r="IK584" s="27" t="s">
        <v>8</v>
      </c>
      <c r="IL584" s="27" t="s">
        <v>7</v>
      </c>
      <c r="IM584" s="27" t="s">
        <v>8</v>
      </c>
      <c r="IN584" s="27" t="s">
        <v>7</v>
      </c>
      <c r="MA584" s="27" t="s">
        <v>8</v>
      </c>
      <c r="MB584" s="27" t="s">
        <v>7</v>
      </c>
      <c r="MC584" s="27" t="s">
        <v>8</v>
      </c>
      <c r="MD584" s="27" t="s">
        <v>7</v>
      </c>
      <c r="ME584" s="27" t="s">
        <v>8</v>
      </c>
      <c r="MF584" s="27" t="s">
        <v>7</v>
      </c>
      <c r="MG584" s="27" t="s">
        <v>8</v>
      </c>
      <c r="MH584" s="27" t="s">
        <v>7</v>
      </c>
      <c r="MI584" s="27" t="s">
        <v>8</v>
      </c>
      <c r="MJ584" s="27" t="s">
        <v>7</v>
      </c>
      <c r="MU584" s="27" t="s">
        <v>8</v>
      </c>
      <c r="MV584" s="27" t="s">
        <v>7</v>
      </c>
      <c r="MW584" s="27" t="s">
        <v>8</v>
      </c>
      <c r="MX584" s="27" t="s">
        <v>7</v>
      </c>
      <c r="MY584" s="27" t="s">
        <v>8</v>
      </c>
      <c r="NB584" s="27" t="s">
        <v>7</v>
      </c>
      <c r="ND584" s="27" t="s">
        <v>7</v>
      </c>
      <c r="NE584" s="27" t="s">
        <v>8</v>
      </c>
      <c r="NF584" s="27" t="s">
        <v>7</v>
      </c>
      <c r="NG584" s="27" t="s">
        <v>8</v>
      </c>
      <c r="NH584" s="27" t="s">
        <v>7</v>
      </c>
    </row>
    <row r="585" spans="1:374" x14ac:dyDescent="0.25">
      <c r="A585" s="7">
        <v>1.0404</v>
      </c>
      <c r="B585"/>
      <c r="C585"/>
      <c r="D585"/>
      <c r="E585"/>
      <c r="HK585" s="27" t="s">
        <v>8</v>
      </c>
      <c r="IJ585" s="27" t="s">
        <v>7</v>
      </c>
      <c r="IK585" s="27" t="s">
        <v>8</v>
      </c>
      <c r="IL585" s="27" t="s">
        <v>7</v>
      </c>
      <c r="IM585" s="27" t="s">
        <v>8</v>
      </c>
      <c r="IN585" s="27" t="s">
        <v>7</v>
      </c>
      <c r="MA585" s="27" t="s">
        <v>8</v>
      </c>
      <c r="MB585" s="27" t="s">
        <v>7</v>
      </c>
      <c r="MC585" s="27" t="s">
        <v>8</v>
      </c>
      <c r="MD585" s="27" t="s">
        <v>7</v>
      </c>
      <c r="ME585" s="27" t="s">
        <v>8</v>
      </c>
      <c r="MF585" s="27" t="s">
        <v>7</v>
      </c>
      <c r="MG585" s="27" t="s">
        <v>8</v>
      </c>
      <c r="MH585" s="27" t="s">
        <v>7</v>
      </c>
      <c r="MI585" s="27" t="s">
        <v>8</v>
      </c>
      <c r="MJ585" s="27" t="s">
        <v>7</v>
      </c>
      <c r="MK585" s="27" t="s">
        <v>8</v>
      </c>
      <c r="MU585" s="27" t="s">
        <v>8</v>
      </c>
      <c r="MV585" s="27" t="s">
        <v>7</v>
      </c>
      <c r="MW585" s="27" t="s">
        <v>8</v>
      </c>
      <c r="MX585" s="27" t="s">
        <v>7</v>
      </c>
      <c r="MY585" s="27" t="s">
        <v>8</v>
      </c>
      <c r="ND585" s="27" t="s">
        <v>7</v>
      </c>
      <c r="NE585" s="27" t="s">
        <v>8</v>
      </c>
      <c r="NF585" s="27" t="s">
        <v>7</v>
      </c>
      <c r="NG585" s="27" t="s">
        <v>8</v>
      </c>
      <c r="NH585" s="27" t="s">
        <v>7</v>
      </c>
    </row>
    <row r="586" spans="1:374" x14ac:dyDescent="0.25">
      <c r="A586" s="7">
        <v>1.02</v>
      </c>
      <c r="B586"/>
      <c r="C586"/>
      <c r="D586"/>
      <c r="E586"/>
      <c r="HK586" s="27" t="s">
        <v>8</v>
      </c>
      <c r="IJ586" s="27" t="s">
        <v>7</v>
      </c>
      <c r="IL586" s="27" t="s">
        <v>7</v>
      </c>
      <c r="IM586" s="27" t="s">
        <v>8</v>
      </c>
      <c r="IN586" s="27" t="s">
        <v>7</v>
      </c>
      <c r="MA586" s="27" t="s">
        <v>8</v>
      </c>
      <c r="MB586" s="27" t="s">
        <v>7</v>
      </c>
      <c r="MC586" s="27" t="s">
        <v>8</v>
      </c>
      <c r="MD586" s="27" t="s">
        <v>7</v>
      </c>
      <c r="ME586" s="27" t="s">
        <v>8</v>
      </c>
      <c r="MF586" s="27" t="s">
        <v>7</v>
      </c>
      <c r="MG586" s="27" t="s">
        <v>8</v>
      </c>
      <c r="MH586" s="27" t="s">
        <v>7</v>
      </c>
      <c r="MI586" s="27" t="s">
        <v>8</v>
      </c>
      <c r="MJ586" s="27" t="s">
        <v>7</v>
      </c>
      <c r="MK586" s="27" t="s">
        <v>8</v>
      </c>
      <c r="ML586" s="27" t="s">
        <v>7</v>
      </c>
      <c r="MU586" s="27" t="s">
        <v>8</v>
      </c>
      <c r="MV586" s="27" t="s">
        <v>7</v>
      </c>
      <c r="MW586" s="27" t="s">
        <v>8</v>
      </c>
      <c r="MX586" s="27" t="s">
        <v>7</v>
      </c>
      <c r="MY586" s="27" t="s">
        <v>8</v>
      </c>
      <c r="ND586" s="27" t="s">
        <v>7</v>
      </c>
      <c r="NE586" s="27" t="s">
        <v>8</v>
      </c>
      <c r="NF586" s="27" t="s">
        <v>7</v>
      </c>
      <c r="NG586" s="27" t="s">
        <v>8</v>
      </c>
      <c r="NH586" s="27" t="s">
        <v>7</v>
      </c>
      <c r="NI586" s="27" t="s">
        <v>8</v>
      </c>
    </row>
    <row r="587" spans="1:374" x14ac:dyDescent="0.25">
      <c r="A587" s="7">
        <v>1</v>
      </c>
      <c r="B587"/>
      <c r="C587"/>
      <c r="D587"/>
      <c r="E587" s="29" t="s">
        <v>8</v>
      </c>
      <c r="HK587" s="27" t="s">
        <v>8</v>
      </c>
      <c r="IL587" s="27" t="s">
        <v>7</v>
      </c>
      <c r="IM587" s="27" t="s">
        <v>8</v>
      </c>
      <c r="IN587" s="27" t="s">
        <v>7</v>
      </c>
      <c r="MA587" s="27" t="s">
        <v>8</v>
      </c>
      <c r="MB587" s="27" t="s">
        <v>7</v>
      </c>
      <c r="MC587" s="27" t="s">
        <v>8</v>
      </c>
      <c r="MD587" s="27" t="s">
        <v>7</v>
      </c>
      <c r="ME587" s="27" t="s">
        <v>8</v>
      </c>
      <c r="MF587" s="27" t="s">
        <v>7</v>
      </c>
      <c r="MG587" s="27" t="s">
        <v>8</v>
      </c>
      <c r="MH587" s="27" t="s">
        <v>7</v>
      </c>
      <c r="MI587" s="27" t="s">
        <v>8</v>
      </c>
      <c r="MJ587" s="27" t="s">
        <v>7</v>
      </c>
      <c r="MK587" s="27" t="s">
        <v>8</v>
      </c>
      <c r="ML587" s="27" t="s">
        <v>7</v>
      </c>
      <c r="MU587" s="27" t="s">
        <v>8</v>
      </c>
      <c r="MV587" s="27" t="s">
        <v>7</v>
      </c>
      <c r="MW587" s="27" t="s">
        <v>8</v>
      </c>
      <c r="MX587" s="27" t="s">
        <v>7</v>
      </c>
      <c r="ND587" s="27" t="s">
        <v>7</v>
      </c>
      <c r="NE587" s="27" t="s">
        <v>8</v>
      </c>
      <c r="NF587" s="27" t="s">
        <v>7</v>
      </c>
      <c r="NG587" s="27" t="s">
        <v>8</v>
      </c>
      <c r="NH587" s="27" t="s">
        <v>7</v>
      </c>
      <c r="NI587" s="27" t="s">
        <v>8</v>
      </c>
      <c r="NJ587" s="27" t="s">
        <v>7</v>
      </c>
    </row>
    <row r="588" spans="1:374" x14ac:dyDescent="0.25">
      <c r="A588" s="7">
        <v>0.98039215686274506</v>
      </c>
      <c r="B588"/>
      <c r="C588"/>
      <c r="D588"/>
      <c r="E588"/>
      <c r="F588" s="27" t="s">
        <v>7</v>
      </c>
      <c r="HK588" s="27" t="s">
        <v>8</v>
      </c>
      <c r="IL588" s="27" t="s">
        <v>7</v>
      </c>
      <c r="IM588" s="27" t="s">
        <v>8</v>
      </c>
      <c r="IN588" s="27" t="s">
        <v>7</v>
      </c>
      <c r="KQ588" s="27" t="s">
        <v>8</v>
      </c>
      <c r="MA588" s="27" t="s">
        <v>8</v>
      </c>
      <c r="MB588" s="27" t="s">
        <v>7</v>
      </c>
      <c r="MD588" s="27" t="s">
        <v>7</v>
      </c>
      <c r="ME588" s="27" t="s">
        <v>8</v>
      </c>
      <c r="MF588" s="27" t="s">
        <v>7</v>
      </c>
      <c r="MH588" s="27" t="s">
        <v>7</v>
      </c>
      <c r="MI588" s="27" t="s">
        <v>8</v>
      </c>
      <c r="MJ588" s="27" t="s">
        <v>7</v>
      </c>
      <c r="MK588" s="27" t="s">
        <v>8</v>
      </c>
      <c r="ML588" s="27" t="s">
        <v>7</v>
      </c>
      <c r="MU588" s="27" t="s">
        <v>8</v>
      </c>
      <c r="MV588" s="27" t="s">
        <v>7</v>
      </c>
      <c r="MW588" s="27" t="s">
        <v>8</v>
      </c>
      <c r="ND588" s="27" t="s">
        <v>7</v>
      </c>
      <c r="NF588" s="27" t="s">
        <v>7</v>
      </c>
      <c r="NG588" s="27" t="s">
        <v>8</v>
      </c>
      <c r="NH588" s="27" t="s">
        <v>7</v>
      </c>
      <c r="NI588" s="27" t="s">
        <v>8</v>
      </c>
      <c r="NJ588" s="27" t="s">
        <v>7</v>
      </c>
    </row>
    <row r="589" spans="1:374" x14ac:dyDescent="0.25">
      <c r="A589" s="7">
        <v>0.96116878123798544</v>
      </c>
      <c r="B589"/>
      <c r="C589"/>
      <c r="D589"/>
      <c r="E589"/>
      <c r="F589" s="27" t="s">
        <v>7</v>
      </c>
      <c r="HK589" s="27" t="s">
        <v>8</v>
      </c>
      <c r="IL589" s="27" t="s">
        <v>7</v>
      </c>
      <c r="IM589" s="27" t="s">
        <v>8</v>
      </c>
      <c r="IN589" s="27" t="s">
        <v>7</v>
      </c>
      <c r="KA589" s="27" t="s">
        <v>8</v>
      </c>
      <c r="KQ589" s="27" t="s">
        <v>8</v>
      </c>
      <c r="KR589" s="27" t="s">
        <v>7</v>
      </c>
      <c r="MA589" s="27" t="s">
        <v>8</v>
      </c>
      <c r="MD589" s="27" t="s">
        <v>7</v>
      </c>
      <c r="ME589" s="27" t="s">
        <v>8</v>
      </c>
      <c r="MH589" s="27" t="s">
        <v>7</v>
      </c>
      <c r="MI589" s="27" t="s">
        <v>8</v>
      </c>
      <c r="MJ589" s="27" t="s">
        <v>7</v>
      </c>
      <c r="MK589" s="27" t="s">
        <v>8</v>
      </c>
      <c r="ML589" s="27" t="s">
        <v>7</v>
      </c>
      <c r="MU589" s="27" t="s">
        <v>8</v>
      </c>
      <c r="MV589" s="27" t="s">
        <v>7</v>
      </c>
      <c r="MW589" s="27" t="s">
        <v>8</v>
      </c>
      <c r="NF589" s="27" t="s">
        <v>7</v>
      </c>
      <c r="NH589" s="27" t="s">
        <v>7</v>
      </c>
      <c r="NI589" s="27" t="s">
        <v>8</v>
      </c>
      <c r="NJ589" s="27" t="s">
        <v>7</v>
      </c>
    </row>
    <row r="590" spans="1:374" x14ac:dyDescent="0.25">
      <c r="A590" s="7">
        <v>0.94232233454704462</v>
      </c>
      <c r="B590"/>
      <c r="C590"/>
      <c r="D590"/>
      <c r="E590"/>
      <c r="F590" s="27" t="s">
        <v>7</v>
      </c>
      <c r="HK590" s="27" t="s">
        <v>8</v>
      </c>
      <c r="IL590" s="27" t="s">
        <v>7</v>
      </c>
      <c r="IM590" s="27" t="s">
        <v>8</v>
      </c>
      <c r="IN590" s="27" t="s">
        <v>7</v>
      </c>
      <c r="KA590" s="27" t="s">
        <v>8</v>
      </c>
      <c r="KB590" s="27" t="s">
        <v>7</v>
      </c>
      <c r="KQ590" s="27" t="s">
        <v>8</v>
      </c>
      <c r="KR590" s="27" t="s">
        <v>7</v>
      </c>
      <c r="LM590" s="27" t="s">
        <v>8</v>
      </c>
      <c r="MA590" s="27" t="s">
        <v>8</v>
      </c>
      <c r="MD590" s="27" t="s">
        <v>7</v>
      </c>
      <c r="ME590" s="27" t="s">
        <v>8</v>
      </c>
      <c r="MH590" s="27" t="s">
        <v>7</v>
      </c>
      <c r="MI590" s="27" t="s">
        <v>8</v>
      </c>
      <c r="MJ590" s="27" t="s">
        <v>7</v>
      </c>
      <c r="MK590" s="27" t="s">
        <v>8</v>
      </c>
      <c r="ML590" s="27" t="s">
        <v>7</v>
      </c>
      <c r="MQ590" s="27" t="s">
        <v>8</v>
      </c>
      <c r="MU590" s="27" t="s">
        <v>8</v>
      </c>
      <c r="MV590" s="27" t="s">
        <v>7</v>
      </c>
      <c r="MW590" s="27" t="s">
        <v>8</v>
      </c>
      <c r="NH590" s="27" t="s">
        <v>7</v>
      </c>
      <c r="NI590" s="27" t="s">
        <v>8</v>
      </c>
      <c r="NJ590" s="27" t="s">
        <v>7</v>
      </c>
    </row>
    <row r="591" spans="1:374" x14ac:dyDescent="0.25">
      <c r="A591" s="7">
        <v>0.92384542602651432</v>
      </c>
      <c r="B591"/>
      <c r="C591"/>
      <c r="D591"/>
      <c r="E591"/>
      <c r="F591" s="27" t="s">
        <v>7</v>
      </c>
      <c r="HK591" s="27" t="s">
        <v>8</v>
      </c>
      <c r="IL591" s="27" t="s">
        <v>7</v>
      </c>
      <c r="IN591" s="27" t="s">
        <v>7</v>
      </c>
      <c r="KA591" s="27" t="s">
        <v>8</v>
      </c>
      <c r="KB591" s="27" t="s">
        <v>7</v>
      </c>
      <c r="KQ591" s="27" t="s">
        <v>8</v>
      </c>
      <c r="KR591" s="27" t="s">
        <v>7</v>
      </c>
      <c r="LM591" s="27" t="s">
        <v>8</v>
      </c>
      <c r="LN591" s="27" t="s">
        <v>7</v>
      </c>
      <c r="MA591" s="27" t="s">
        <v>8</v>
      </c>
      <c r="MD591" s="27" t="s">
        <v>7</v>
      </c>
      <c r="ME591" s="27" t="s">
        <v>8</v>
      </c>
      <c r="MH591" s="27" t="s">
        <v>7</v>
      </c>
      <c r="MI591" s="27" t="s">
        <v>8</v>
      </c>
      <c r="MJ591" s="27" t="s">
        <v>7</v>
      </c>
      <c r="ML591" s="27" t="s">
        <v>7</v>
      </c>
      <c r="MM591" s="27" t="s">
        <v>8</v>
      </c>
      <c r="MQ591" s="27" t="s">
        <v>8</v>
      </c>
      <c r="MR591" s="27" t="s">
        <v>7</v>
      </c>
      <c r="MS591" s="27" t="s">
        <v>8</v>
      </c>
      <c r="MU591" s="27" t="s">
        <v>8</v>
      </c>
      <c r="MV591" s="27" t="s">
        <v>7</v>
      </c>
      <c r="MW591" s="27" t="s">
        <v>8</v>
      </c>
      <c r="NH591" s="27" t="s">
        <v>7</v>
      </c>
      <c r="NJ591" s="27" t="s">
        <v>7</v>
      </c>
    </row>
    <row r="592" spans="1:374" x14ac:dyDescent="0.25">
      <c r="A592" s="7">
        <v>0.90573080982991594</v>
      </c>
      <c r="B592"/>
      <c r="C592"/>
      <c r="D592"/>
      <c r="E592"/>
      <c r="F592" s="27" t="s">
        <v>7</v>
      </c>
      <c r="HK592" s="27" t="s">
        <v>8</v>
      </c>
      <c r="IN592" s="27" t="s">
        <v>7</v>
      </c>
      <c r="KA592" s="27" t="s">
        <v>8</v>
      </c>
      <c r="KB592" s="27" t="s">
        <v>7</v>
      </c>
      <c r="KQ592" s="27" t="s">
        <v>8</v>
      </c>
      <c r="KR592" s="27" t="s">
        <v>7</v>
      </c>
      <c r="KU592" s="27" t="s">
        <v>8</v>
      </c>
      <c r="LM592" s="27" t="s">
        <v>8</v>
      </c>
      <c r="LN592" s="27" t="s">
        <v>7</v>
      </c>
      <c r="MA592" s="27" t="s">
        <v>8</v>
      </c>
      <c r="MD592" s="27" t="s">
        <v>7</v>
      </c>
      <c r="MH592" s="27" t="s">
        <v>7</v>
      </c>
      <c r="MI592" s="27" t="s">
        <v>8</v>
      </c>
      <c r="ML592" s="27" t="s">
        <v>7</v>
      </c>
      <c r="MM592" s="27" t="s">
        <v>8</v>
      </c>
      <c r="MN592" s="27" t="s">
        <v>7</v>
      </c>
      <c r="MQ592" s="27" t="s">
        <v>8</v>
      </c>
      <c r="MR592" s="27" t="s">
        <v>7</v>
      </c>
      <c r="MS592" s="27" t="s">
        <v>8</v>
      </c>
      <c r="MT592" s="27" t="s">
        <v>7</v>
      </c>
      <c r="MU592" s="27" t="s">
        <v>8</v>
      </c>
      <c r="MV592" s="27" t="s">
        <v>7</v>
      </c>
      <c r="MW592" s="27" t="s">
        <v>8</v>
      </c>
      <c r="NJ592" s="27" t="s">
        <v>7</v>
      </c>
    </row>
    <row r="593" spans="1:378" x14ac:dyDescent="0.25">
      <c r="A593" s="7">
        <v>0.8879713821861922</v>
      </c>
      <c r="B593"/>
      <c r="C593"/>
      <c r="D593"/>
      <c r="E593"/>
      <c r="F593" s="27" t="s">
        <v>7</v>
      </c>
      <c r="HK593" s="27" t="s">
        <v>8</v>
      </c>
      <c r="IN593" s="27" t="s">
        <v>7</v>
      </c>
      <c r="KA593" s="27" t="s">
        <v>8</v>
      </c>
      <c r="KB593" s="27" t="s">
        <v>7</v>
      </c>
      <c r="KQ593" s="27" t="s">
        <v>8</v>
      </c>
      <c r="KR593" s="27" t="s">
        <v>7</v>
      </c>
      <c r="KU593" s="27" t="s">
        <v>8</v>
      </c>
      <c r="KV593" s="27" t="s">
        <v>7</v>
      </c>
      <c r="LM593" s="27" t="s">
        <v>8</v>
      </c>
      <c r="LN593" s="27" t="s">
        <v>7</v>
      </c>
      <c r="MA593" s="27" t="s">
        <v>8</v>
      </c>
      <c r="MH593" s="27" t="s">
        <v>7</v>
      </c>
      <c r="MI593" s="27" t="s">
        <v>8</v>
      </c>
      <c r="ML593" s="27" t="s">
        <v>7</v>
      </c>
      <c r="MM593" s="27" t="s">
        <v>8</v>
      </c>
      <c r="MN593" s="27" t="s">
        <v>7</v>
      </c>
      <c r="MO593" s="27" t="s">
        <v>8</v>
      </c>
      <c r="MQ593" s="27" t="s">
        <v>8</v>
      </c>
      <c r="MR593" s="27" t="s">
        <v>7</v>
      </c>
      <c r="MS593" s="27" t="s">
        <v>8</v>
      </c>
      <c r="MT593" s="27" t="s">
        <v>7</v>
      </c>
      <c r="MU593" s="27" t="s">
        <v>8</v>
      </c>
      <c r="MV593" s="27" t="s">
        <v>7</v>
      </c>
      <c r="MW593" s="27" t="s">
        <v>8</v>
      </c>
      <c r="NJ593" s="27" t="s">
        <v>7</v>
      </c>
    </row>
    <row r="594" spans="1:378" x14ac:dyDescent="0.25">
      <c r="A594" s="7">
        <v>0.87056017861391399</v>
      </c>
      <c r="B594"/>
      <c r="C594"/>
      <c r="D594"/>
      <c r="E594"/>
      <c r="F594" s="27" t="s">
        <v>7</v>
      </c>
      <c r="HK594" s="27" t="s">
        <v>8</v>
      </c>
      <c r="IN594" s="27" t="s">
        <v>7</v>
      </c>
      <c r="IU594" s="27" t="s">
        <v>8</v>
      </c>
      <c r="KA594" s="27" t="s">
        <v>8</v>
      </c>
      <c r="KB594" s="27" t="s">
        <v>7</v>
      </c>
      <c r="KQ594" s="27" t="s">
        <v>8</v>
      </c>
      <c r="KR594" s="27" t="s">
        <v>7</v>
      </c>
      <c r="KS594" s="27" t="s">
        <v>8</v>
      </c>
      <c r="KU594" s="27" t="s">
        <v>8</v>
      </c>
      <c r="KV594" s="27" t="s">
        <v>7</v>
      </c>
      <c r="LM594" s="27" t="s">
        <v>8</v>
      </c>
      <c r="LN594" s="27" t="s">
        <v>7</v>
      </c>
      <c r="MA594" s="27" t="s">
        <v>8</v>
      </c>
      <c r="MH594" s="27" t="s">
        <v>7</v>
      </c>
      <c r="MI594" s="27" t="s">
        <v>8</v>
      </c>
      <c r="ML594" s="27" t="s">
        <v>7</v>
      </c>
      <c r="MM594" s="27" t="s">
        <v>8</v>
      </c>
      <c r="MN594" s="27" t="s">
        <v>7</v>
      </c>
      <c r="MO594" s="27" t="s">
        <v>8</v>
      </c>
      <c r="MP594" s="27" t="s">
        <v>7</v>
      </c>
      <c r="MQ594" s="27" t="s">
        <v>8</v>
      </c>
      <c r="MR594" s="27" t="s">
        <v>7</v>
      </c>
      <c r="MS594" s="27" t="s">
        <v>8</v>
      </c>
      <c r="MT594" s="27" t="s">
        <v>7</v>
      </c>
      <c r="MU594" s="27" t="s">
        <v>8</v>
      </c>
      <c r="MV594" s="27" t="s">
        <v>7</v>
      </c>
      <c r="NJ594" s="27" t="s">
        <v>7</v>
      </c>
    </row>
    <row r="595" spans="1:378" x14ac:dyDescent="0.25">
      <c r="A595" s="7">
        <v>0.85349037119011173</v>
      </c>
      <c r="B595"/>
      <c r="C595"/>
      <c r="D595"/>
      <c r="E595"/>
      <c r="F595" s="27" t="s">
        <v>7</v>
      </c>
      <c r="HK595" s="27" t="s">
        <v>8</v>
      </c>
      <c r="IN595" s="27" t="s">
        <v>7</v>
      </c>
      <c r="IU595" s="27" t="s">
        <v>8</v>
      </c>
      <c r="IV595" s="27" t="s">
        <v>7</v>
      </c>
      <c r="KA595" s="27" t="s">
        <v>8</v>
      </c>
      <c r="KB595" s="27" t="s">
        <v>7</v>
      </c>
      <c r="KQ595" s="27" t="s">
        <v>8</v>
      </c>
      <c r="KR595" s="27" t="s">
        <v>7</v>
      </c>
      <c r="KS595" s="27" t="s">
        <v>8</v>
      </c>
      <c r="KT595" s="27" t="s">
        <v>7</v>
      </c>
      <c r="KU595" s="27" t="s">
        <v>8</v>
      </c>
      <c r="KV595" s="27" t="s">
        <v>7</v>
      </c>
      <c r="LM595" s="27" t="s">
        <v>8</v>
      </c>
      <c r="LN595" s="27" t="s">
        <v>7</v>
      </c>
      <c r="LW595" s="27" t="s">
        <v>8</v>
      </c>
      <c r="MA595" s="27" t="s">
        <v>8</v>
      </c>
      <c r="MH595" s="27" t="s">
        <v>7</v>
      </c>
      <c r="MI595" s="27" t="s">
        <v>8</v>
      </c>
      <c r="ML595" s="27" t="s">
        <v>7</v>
      </c>
      <c r="MM595" s="27" t="s">
        <v>8</v>
      </c>
      <c r="MN595" s="27" t="s">
        <v>7</v>
      </c>
      <c r="MO595" s="27" t="s">
        <v>8</v>
      </c>
      <c r="MP595" s="27" t="s">
        <v>7</v>
      </c>
      <c r="MQ595" s="27" t="s">
        <v>8</v>
      </c>
      <c r="MR595" s="27" t="s">
        <v>7</v>
      </c>
      <c r="MS595" s="27" t="s">
        <v>8</v>
      </c>
      <c r="MT595" s="27" t="s">
        <v>7</v>
      </c>
      <c r="MU595" s="27" t="s">
        <v>8</v>
      </c>
      <c r="NJ595" s="27" t="s">
        <v>7</v>
      </c>
      <c r="NK595" s="27" t="s">
        <v>8</v>
      </c>
    </row>
    <row r="596" spans="1:378" x14ac:dyDescent="0.25">
      <c r="A596" s="7">
        <v>0.83675526587265858</v>
      </c>
      <c r="B596"/>
      <c r="C596"/>
      <c r="D596"/>
      <c r="E596"/>
      <c r="F596" s="27" t="s">
        <v>7</v>
      </c>
      <c r="HK596" s="27" t="s">
        <v>8</v>
      </c>
      <c r="IN596" s="27" t="s">
        <v>7</v>
      </c>
      <c r="IU596" s="27" t="s">
        <v>8</v>
      </c>
      <c r="IV596" s="27" t="s">
        <v>7</v>
      </c>
      <c r="KA596" s="27" t="s">
        <v>8</v>
      </c>
      <c r="KB596" s="27" t="s">
        <v>7</v>
      </c>
      <c r="KK596" s="27" t="s">
        <v>8</v>
      </c>
      <c r="KQ596" s="27" t="s">
        <v>8</v>
      </c>
      <c r="KR596" s="27" t="s">
        <v>7</v>
      </c>
      <c r="KS596" s="27" t="s">
        <v>8</v>
      </c>
      <c r="KT596" s="27" t="s">
        <v>7</v>
      </c>
      <c r="KU596" s="27" t="s">
        <v>8</v>
      </c>
      <c r="KV596" s="27" t="s">
        <v>7</v>
      </c>
      <c r="LM596" s="27" t="s">
        <v>8</v>
      </c>
      <c r="LN596" s="27" t="s">
        <v>7</v>
      </c>
      <c r="LW596" s="27" t="s">
        <v>8</v>
      </c>
      <c r="LX596" s="27" t="s">
        <v>7</v>
      </c>
      <c r="LY596" s="27" t="s">
        <v>8</v>
      </c>
      <c r="MA596" s="27" t="s">
        <v>8</v>
      </c>
      <c r="MH596" s="27" t="s">
        <v>7</v>
      </c>
      <c r="MI596" s="27" t="s">
        <v>8</v>
      </c>
      <c r="ML596" s="27" t="s">
        <v>7</v>
      </c>
      <c r="MM596" s="27" t="s">
        <v>8</v>
      </c>
      <c r="MN596" s="27" t="s">
        <v>7</v>
      </c>
      <c r="MO596" s="27" t="s">
        <v>8</v>
      </c>
      <c r="MP596" s="27" t="s">
        <v>7</v>
      </c>
      <c r="MQ596" s="27" t="s">
        <v>8</v>
      </c>
      <c r="MR596" s="27" t="s">
        <v>7</v>
      </c>
      <c r="MS596" s="27" t="s">
        <v>8</v>
      </c>
      <c r="MT596" s="27" t="s">
        <v>7</v>
      </c>
      <c r="NJ596" s="27" t="s">
        <v>7</v>
      </c>
      <c r="NK596" s="27" t="s">
        <v>8</v>
      </c>
      <c r="NL596" s="27" t="s">
        <v>7</v>
      </c>
    </row>
    <row r="597" spans="1:378" x14ac:dyDescent="0.25">
      <c r="A597" s="7">
        <v>0.82034829987515545</v>
      </c>
      <c r="B597"/>
      <c r="C597"/>
      <c r="D597"/>
      <c r="E597"/>
      <c r="F597" s="27" t="s">
        <v>7</v>
      </c>
      <c r="HK597" s="27" t="s">
        <v>8</v>
      </c>
      <c r="IN597" s="27" t="s">
        <v>7</v>
      </c>
      <c r="IU597" s="27" t="s">
        <v>8</v>
      </c>
      <c r="IV597" s="27" t="s">
        <v>7</v>
      </c>
      <c r="KA597" s="27" t="s">
        <v>8</v>
      </c>
      <c r="KB597" s="27" t="s">
        <v>7</v>
      </c>
      <c r="KK597" s="27" t="s">
        <v>8</v>
      </c>
      <c r="KL597" s="27" t="s">
        <v>7</v>
      </c>
      <c r="KQ597" s="27" t="s">
        <v>8</v>
      </c>
      <c r="KR597" s="27" t="s">
        <v>7</v>
      </c>
      <c r="KS597" s="27" t="s">
        <v>8</v>
      </c>
      <c r="KT597" s="27" t="s">
        <v>7</v>
      </c>
      <c r="KU597" s="27" t="s">
        <v>8</v>
      </c>
      <c r="KV597" s="27" t="s">
        <v>7</v>
      </c>
      <c r="LM597" s="27" t="s">
        <v>8</v>
      </c>
      <c r="LN597" s="27" t="s">
        <v>7</v>
      </c>
      <c r="LW597" s="27" t="s">
        <v>8</v>
      </c>
      <c r="LX597" s="27" t="s">
        <v>7</v>
      </c>
      <c r="LY597" s="27" t="s">
        <v>8</v>
      </c>
      <c r="LZ597" s="27" t="s">
        <v>7</v>
      </c>
      <c r="MA597" s="27" t="s">
        <v>8</v>
      </c>
      <c r="MH597" s="27" t="s">
        <v>7</v>
      </c>
      <c r="MI597" s="27" t="s">
        <v>8</v>
      </c>
      <c r="ML597" s="27" t="s">
        <v>7</v>
      </c>
      <c r="MM597" s="27" t="s">
        <v>8</v>
      </c>
      <c r="MN597" s="27" t="s">
        <v>7</v>
      </c>
      <c r="MO597" s="27" t="s">
        <v>8</v>
      </c>
      <c r="MP597" s="27" t="s">
        <v>7</v>
      </c>
      <c r="MQ597" s="27" t="s">
        <v>8</v>
      </c>
      <c r="MR597" s="27" t="s">
        <v>7</v>
      </c>
      <c r="MS597" s="27" t="s">
        <v>8</v>
      </c>
      <c r="NJ597" s="27" t="s">
        <v>7</v>
      </c>
      <c r="NK597" s="27" t="s">
        <v>8</v>
      </c>
      <c r="NL597" s="27" t="s">
        <v>7</v>
      </c>
    </row>
    <row r="598" spans="1:378" x14ac:dyDescent="0.25">
      <c r="A598" s="7">
        <v>0.80426303909328967</v>
      </c>
      <c r="B598"/>
      <c r="C598"/>
      <c r="D598"/>
      <c r="E598"/>
      <c r="F598" s="27" t="s">
        <v>7</v>
      </c>
      <c r="HK598" s="27" t="s">
        <v>8</v>
      </c>
      <c r="IN598" s="27" t="s">
        <v>7</v>
      </c>
      <c r="IU598" s="27" t="s">
        <v>8</v>
      </c>
      <c r="IV598" s="27" t="s">
        <v>7</v>
      </c>
      <c r="KA598" s="27" t="s">
        <v>8</v>
      </c>
      <c r="KB598" s="27" t="s">
        <v>7</v>
      </c>
      <c r="KK598" s="27" t="s">
        <v>8</v>
      </c>
      <c r="KL598" s="27" t="s">
        <v>7</v>
      </c>
      <c r="KO598" s="27" t="s">
        <v>8</v>
      </c>
      <c r="KQ598" s="27" t="s">
        <v>8</v>
      </c>
      <c r="KR598" s="27" t="s">
        <v>7</v>
      </c>
      <c r="KS598" s="27" t="s">
        <v>8</v>
      </c>
      <c r="KT598" s="27" t="s">
        <v>7</v>
      </c>
      <c r="KU598" s="27" t="s">
        <v>8</v>
      </c>
      <c r="KV598" s="27" t="s">
        <v>7</v>
      </c>
      <c r="LK598" s="27" t="s">
        <v>8</v>
      </c>
      <c r="LM598" s="27" t="s">
        <v>8</v>
      </c>
      <c r="LN598" s="27" t="s">
        <v>7</v>
      </c>
      <c r="LW598" s="27" t="s">
        <v>8</v>
      </c>
      <c r="LX598" s="27" t="s">
        <v>7</v>
      </c>
      <c r="LY598" s="27" t="s">
        <v>8</v>
      </c>
      <c r="LZ598" s="27" t="s">
        <v>7</v>
      </c>
      <c r="MA598" s="27" t="s">
        <v>8</v>
      </c>
      <c r="MH598" s="27" t="s">
        <v>7</v>
      </c>
      <c r="MI598" s="27" t="s">
        <v>8</v>
      </c>
      <c r="ML598" s="27" t="s">
        <v>7</v>
      </c>
      <c r="MM598" s="27" t="s">
        <v>8</v>
      </c>
      <c r="MN598" s="27" t="s">
        <v>7</v>
      </c>
      <c r="MO598" s="27" t="s">
        <v>8</v>
      </c>
      <c r="MP598" s="27" t="s">
        <v>7</v>
      </c>
      <c r="MR598" s="27" t="s">
        <v>7</v>
      </c>
      <c r="MS598" s="27" t="s">
        <v>8</v>
      </c>
      <c r="NJ598" s="27" t="s">
        <v>7</v>
      </c>
      <c r="NK598" s="27" t="s">
        <v>8</v>
      </c>
      <c r="NL598" s="27" t="s">
        <v>7</v>
      </c>
    </row>
    <row r="599" spans="1:378" x14ac:dyDescent="0.25">
      <c r="A599" s="7">
        <v>0.78849317558165644</v>
      </c>
      <c r="B599"/>
      <c r="C599"/>
      <c r="D599"/>
      <c r="E599"/>
      <c r="F599" s="27" t="s">
        <v>7</v>
      </c>
      <c r="HK599" s="27" t="s">
        <v>8</v>
      </c>
      <c r="IN599" s="27" t="s">
        <v>7</v>
      </c>
      <c r="IU599" s="27" t="s">
        <v>8</v>
      </c>
      <c r="IV599" s="27" t="s">
        <v>7</v>
      </c>
      <c r="KA599" s="27" t="s">
        <v>8</v>
      </c>
      <c r="KB599" s="27" t="s">
        <v>7</v>
      </c>
      <c r="KK599" s="27" t="s">
        <v>8</v>
      </c>
      <c r="KL599" s="27" t="s">
        <v>7</v>
      </c>
      <c r="KO599" s="27" t="s">
        <v>8</v>
      </c>
      <c r="KP599" s="27" t="s">
        <v>7</v>
      </c>
      <c r="KQ599" s="27" t="s">
        <v>8</v>
      </c>
      <c r="KR599" s="27" t="s">
        <v>7</v>
      </c>
      <c r="KS599" s="27" t="s">
        <v>8</v>
      </c>
      <c r="KT599" s="27" t="s">
        <v>7</v>
      </c>
      <c r="KU599" s="27" t="s">
        <v>8</v>
      </c>
      <c r="KV599" s="27" t="s">
        <v>7</v>
      </c>
      <c r="LI599" s="27" t="s">
        <v>8</v>
      </c>
      <c r="LK599" s="27" t="s">
        <v>8</v>
      </c>
      <c r="LL599" s="27" t="s">
        <v>7</v>
      </c>
      <c r="LM599" s="27" t="s">
        <v>8</v>
      </c>
      <c r="LN599" s="27" t="s">
        <v>7</v>
      </c>
      <c r="LO599" s="27" t="s">
        <v>8</v>
      </c>
      <c r="LW599" s="27" t="s">
        <v>8</v>
      </c>
      <c r="LX599" s="27" t="s">
        <v>7</v>
      </c>
      <c r="LY599" s="27" t="s">
        <v>8</v>
      </c>
      <c r="LZ599" s="27" t="s">
        <v>7</v>
      </c>
      <c r="MA599" s="27" t="s">
        <v>8</v>
      </c>
      <c r="MH599" s="27" t="s">
        <v>7</v>
      </c>
      <c r="MI599" s="27" t="s">
        <v>8</v>
      </c>
      <c r="ML599" s="27" t="s">
        <v>7</v>
      </c>
      <c r="MN599" s="27" t="s">
        <v>7</v>
      </c>
      <c r="MO599" s="27" t="s">
        <v>8</v>
      </c>
      <c r="MR599" s="27" t="s">
        <v>7</v>
      </c>
      <c r="MS599" s="27" t="s">
        <v>8</v>
      </c>
      <c r="NJ599" s="27" t="s">
        <v>7</v>
      </c>
      <c r="NK599" s="27" t="s">
        <v>8</v>
      </c>
      <c r="NL599" s="27" t="s">
        <v>7</v>
      </c>
      <c r="NM599" s="27" t="s">
        <v>8</v>
      </c>
    </row>
    <row r="600" spans="1:378" x14ac:dyDescent="0.25">
      <c r="A600" s="7">
        <v>0.77303252508005538</v>
      </c>
      <c r="B600"/>
      <c r="C600"/>
      <c r="D600"/>
      <c r="E600"/>
      <c r="F600" s="27" t="s">
        <v>7</v>
      </c>
      <c r="HK600" s="27" t="s">
        <v>8</v>
      </c>
      <c r="IN600" s="27" t="s">
        <v>7</v>
      </c>
      <c r="IU600" s="27" t="s">
        <v>8</v>
      </c>
      <c r="IV600" s="27" t="s">
        <v>7</v>
      </c>
      <c r="KA600" s="27" t="s">
        <v>8</v>
      </c>
      <c r="KB600" s="27" t="s">
        <v>7</v>
      </c>
      <c r="KK600" s="27" t="s">
        <v>8</v>
      </c>
      <c r="KL600" s="27" t="s">
        <v>7</v>
      </c>
      <c r="KO600" s="27" t="s">
        <v>8</v>
      </c>
      <c r="KP600" s="27" t="s">
        <v>7</v>
      </c>
      <c r="KQ600" s="27" t="s">
        <v>8</v>
      </c>
      <c r="KR600" s="27" t="s">
        <v>7</v>
      </c>
      <c r="KS600" s="27" t="s">
        <v>8</v>
      </c>
      <c r="KT600" s="27" t="s">
        <v>7</v>
      </c>
      <c r="KV600" s="27" t="s">
        <v>7</v>
      </c>
      <c r="LA600" s="27" t="s">
        <v>8</v>
      </c>
      <c r="LI600" s="27" t="s">
        <v>8</v>
      </c>
      <c r="LJ600" s="27" t="s">
        <v>7</v>
      </c>
      <c r="LK600" s="27" t="s">
        <v>8</v>
      </c>
      <c r="LL600" s="27" t="s">
        <v>7</v>
      </c>
      <c r="LM600" s="27" t="s">
        <v>8</v>
      </c>
      <c r="LN600" s="27" t="s">
        <v>7</v>
      </c>
      <c r="LO600" s="27" t="s">
        <v>8</v>
      </c>
      <c r="LP600" s="27" t="s">
        <v>7</v>
      </c>
      <c r="LW600" s="27" t="s">
        <v>8</v>
      </c>
      <c r="LX600" s="27" t="s">
        <v>7</v>
      </c>
      <c r="LY600" s="27" t="s">
        <v>8</v>
      </c>
      <c r="LZ600" s="27" t="s">
        <v>7</v>
      </c>
      <c r="MA600" s="27" t="s">
        <v>8</v>
      </c>
      <c r="MH600" s="27" t="s">
        <v>7</v>
      </c>
      <c r="MI600" s="27" t="s">
        <v>8</v>
      </c>
      <c r="MN600" s="27" t="s">
        <v>7</v>
      </c>
      <c r="MO600" s="27" t="s">
        <v>8</v>
      </c>
      <c r="MR600" s="27" t="s">
        <v>7</v>
      </c>
      <c r="NJ600" s="27" t="s">
        <v>7</v>
      </c>
      <c r="NK600" s="27" t="s">
        <v>8</v>
      </c>
      <c r="NL600" s="27" t="s">
        <v>7</v>
      </c>
      <c r="NM600" s="27" t="s">
        <v>8</v>
      </c>
      <c r="NN600" s="27" t="s">
        <v>7</v>
      </c>
    </row>
    <row r="601" spans="1:378" x14ac:dyDescent="0.25">
      <c r="A601" s="7">
        <v>0.75787502458828959</v>
      </c>
      <c r="B601"/>
      <c r="C601"/>
      <c r="D601"/>
      <c r="E601"/>
      <c r="F601" s="27" t="s">
        <v>7</v>
      </c>
      <c r="HK601" s="27" t="s">
        <v>8</v>
      </c>
      <c r="IN601" s="27" t="s">
        <v>7</v>
      </c>
      <c r="IU601" s="27" t="s">
        <v>8</v>
      </c>
      <c r="IV601" s="27" t="s">
        <v>7</v>
      </c>
      <c r="IY601" s="27" t="s">
        <v>8</v>
      </c>
      <c r="JC601" s="27" t="s">
        <v>8</v>
      </c>
      <c r="KA601" s="27" t="s">
        <v>8</v>
      </c>
      <c r="KB601" s="27" t="s">
        <v>7</v>
      </c>
      <c r="KK601" s="27" t="s">
        <v>8</v>
      </c>
      <c r="KL601" s="27" t="s">
        <v>7</v>
      </c>
      <c r="KM601" s="27" t="s">
        <v>8</v>
      </c>
      <c r="KO601" s="27" t="s">
        <v>8</v>
      </c>
      <c r="KP601" s="27" t="s">
        <v>7</v>
      </c>
      <c r="KQ601" s="27" t="s">
        <v>8</v>
      </c>
      <c r="KR601" s="27" t="s">
        <v>7</v>
      </c>
      <c r="KS601" s="27" t="s">
        <v>8</v>
      </c>
      <c r="KV601" s="27" t="s">
        <v>7</v>
      </c>
      <c r="LA601" s="27" t="s">
        <v>8</v>
      </c>
      <c r="LB601" s="27" t="s">
        <v>7</v>
      </c>
      <c r="LI601" s="27" t="s">
        <v>8</v>
      </c>
      <c r="LJ601" s="27" t="s">
        <v>7</v>
      </c>
      <c r="LK601" s="27" t="s">
        <v>8</v>
      </c>
      <c r="LL601" s="27" t="s">
        <v>7</v>
      </c>
      <c r="LM601" s="27" t="s">
        <v>8</v>
      </c>
      <c r="LN601" s="27" t="s">
        <v>7</v>
      </c>
      <c r="LO601" s="27" t="s">
        <v>8</v>
      </c>
      <c r="LP601" s="27" t="s">
        <v>7</v>
      </c>
      <c r="LQ601" s="27" t="s">
        <v>8</v>
      </c>
      <c r="LW601" s="27" t="s">
        <v>8</v>
      </c>
      <c r="LX601" s="27" t="s">
        <v>7</v>
      </c>
      <c r="LY601" s="27" t="s">
        <v>8</v>
      </c>
      <c r="LZ601" s="27" t="s">
        <v>7</v>
      </c>
      <c r="MA601" s="27" t="s">
        <v>8</v>
      </c>
      <c r="MH601" s="27" t="s">
        <v>7</v>
      </c>
      <c r="MI601" s="27" t="s">
        <v>8</v>
      </c>
      <c r="MN601" s="27" t="s">
        <v>7</v>
      </c>
      <c r="MO601" s="27" t="s">
        <v>8</v>
      </c>
      <c r="NJ601" s="27" t="s">
        <v>7</v>
      </c>
      <c r="NK601" s="27" t="s">
        <v>8</v>
      </c>
      <c r="NL601" s="27" t="s">
        <v>7</v>
      </c>
      <c r="NM601" s="27" t="s">
        <v>8</v>
      </c>
      <c r="NN601" s="27" t="s">
        <v>7</v>
      </c>
    </row>
    <row r="602" spans="1:378" x14ac:dyDescent="0.25">
      <c r="A602" s="7">
        <v>0.74301472998851925</v>
      </c>
      <c r="B602"/>
      <c r="C602"/>
      <c r="D602"/>
      <c r="E602"/>
      <c r="F602" s="27" t="s">
        <v>7</v>
      </c>
      <c r="HK602" s="27" t="s">
        <v>8</v>
      </c>
      <c r="IN602" s="27" t="s">
        <v>7</v>
      </c>
      <c r="IO602" s="27" t="s">
        <v>8</v>
      </c>
      <c r="IU602" s="27" t="s">
        <v>8</v>
      </c>
      <c r="IV602" s="27" t="s">
        <v>7</v>
      </c>
      <c r="IY602" s="27" t="s">
        <v>8</v>
      </c>
      <c r="IZ602" s="27" t="s">
        <v>7</v>
      </c>
      <c r="JC602" s="27" t="s">
        <v>8</v>
      </c>
      <c r="JD602" s="27" t="s">
        <v>7</v>
      </c>
      <c r="KA602" s="27" t="s">
        <v>8</v>
      </c>
      <c r="KB602" s="27" t="s">
        <v>7</v>
      </c>
      <c r="KK602" s="27" t="s">
        <v>8</v>
      </c>
      <c r="KL602" s="27" t="s">
        <v>7</v>
      </c>
      <c r="KM602" s="27" t="s">
        <v>8</v>
      </c>
      <c r="KN602" s="27" t="s">
        <v>7</v>
      </c>
      <c r="KO602" s="27" t="s">
        <v>8</v>
      </c>
      <c r="KP602" s="27" t="s">
        <v>7</v>
      </c>
      <c r="KQ602" s="27" t="s">
        <v>8</v>
      </c>
      <c r="KR602" s="27" t="s">
        <v>7</v>
      </c>
      <c r="KS602" s="27" t="s">
        <v>8</v>
      </c>
      <c r="KV602" s="27" t="s">
        <v>7</v>
      </c>
      <c r="KW602" s="27" t="s">
        <v>8</v>
      </c>
      <c r="LA602" s="27" t="s">
        <v>8</v>
      </c>
      <c r="LB602" s="27" t="s">
        <v>7</v>
      </c>
      <c r="LI602" s="27" t="s">
        <v>8</v>
      </c>
      <c r="LJ602" s="27" t="s">
        <v>7</v>
      </c>
      <c r="LK602" s="27" t="s">
        <v>8</v>
      </c>
      <c r="LL602" s="27" t="s">
        <v>7</v>
      </c>
      <c r="LM602" s="27" t="s">
        <v>8</v>
      </c>
      <c r="LN602" s="27" t="s">
        <v>7</v>
      </c>
      <c r="LO602" s="27" t="s">
        <v>8</v>
      </c>
      <c r="LP602" s="27" t="s">
        <v>7</v>
      </c>
      <c r="LQ602" s="27" t="s">
        <v>8</v>
      </c>
      <c r="LR602" s="27" t="s">
        <v>7</v>
      </c>
      <c r="LW602" s="27" t="s">
        <v>8</v>
      </c>
      <c r="LX602" s="27" t="s">
        <v>7</v>
      </c>
      <c r="LY602" s="27" t="s">
        <v>8</v>
      </c>
      <c r="LZ602" s="27" t="s">
        <v>7</v>
      </c>
      <c r="MA602" s="27" t="s">
        <v>8</v>
      </c>
      <c r="MH602" s="27" t="s">
        <v>7</v>
      </c>
      <c r="MI602" s="27" t="s">
        <v>8</v>
      </c>
      <c r="MN602" s="27" t="s">
        <v>7</v>
      </c>
      <c r="MO602" s="27" t="s">
        <v>8</v>
      </c>
      <c r="NJ602" s="27" t="s">
        <v>7</v>
      </c>
      <c r="NK602" s="27" t="s">
        <v>8</v>
      </c>
      <c r="NL602" s="27" t="s">
        <v>7</v>
      </c>
      <c r="NM602" s="27" t="s">
        <v>8</v>
      </c>
      <c r="NN602" s="27" t="s">
        <v>7</v>
      </c>
    </row>
    <row r="603" spans="1:378" x14ac:dyDescent="0.25">
      <c r="A603" s="7">
        <v>0.72844581371423456</v>
      </c>
      <c r="B603"/>
      <c r="C603"/>
      <c r="D603"/>
      <c r="E603"/>
      <c r="F603" s="27" t="s">
        <v>7</v>
      </c>
      <c r="HK603" s="27" t="s">
        <v>8</v>
      </c>
      <c r="IN603" s="27" t="s">
        <v>7</v>
      </c>
      <c r="IO603" s="27" t="s">
        <v>8</v>
      </c>
      <c r="IP603" s="27" t="s">
        <v>7</v>
      </c>
      <c r="IU603" s="27" t="s">
        <v>8</v>
      </c>
      <c r="IV603" s="27" t="s">
        <v>7</v>
      </c>
      <c r="IY603" s="27" t="s">
        <v>8</v>
      </c>
      <c r="IZ603" s="27" t="s">
        <v>7</v>
      </c>
      <c r="JC603" s="27" t="s">
        <v>8</v>
      </c>
      <c r="JD603" s="27" t="s">
        <v>7</v>
      </c>
      <c r="KA603" s="27" t="s">
        <v>8</v>
      </c>
      <c r="KB603" s="27" t="s">
        <v>7</v>
      </c>
      <c r="KK603" s="27" t="s">
        <v>8</v>
      </c>
      <c r="KL603" s="27" t="s">
        <v>7</v>
      </c>
      <c r="KM603" s="27" t="s">
        <v>8</v>
      </c>
      <c r="KN603" s="27" t="s">
        <v>7</v>
      </c>
      <c r="KO603" s="27" t="s">
        <v>8</v>
      </c>
      <c r="KP603" s="27" t="s">
        <v>7</v>
      </c>
      <c r="KQ603" s="27" t="s">
        <v>8</v>
      </c>
      <c r="KR603" s="27" t="s">
        <v>7</v>
      </c>
      <c r="KV603" s="27" t="s">
        <v>7</v>
      </c>
      <c r="KW603" s="27" t="s">
        <v>8</v>
      </c>
      <c r="KX603" s="27" t="s">
        <v>7</v>
      </c>
      <c r="LA603" s="27" t="s">
        <v>8</v>
      </c>
      <c r="LB603" s="27" t="s">
        <v>7</v>
      </c>
      <c r="LI603" s="27" t="s">
        <v>8</v>
      </c>
      <c r="LJ603" s="27" t="s">
        <v>7</v>
      </c>
      <c r="LK603" s="27" t="s">
        <v>8</v>
      </c>
      <c r="LL603" s="27" t="s">
        <v>7</v>
      </c>
      <c r="LM603" s="27" t="s">
        <v>8</v>
      </c>
      <c r="LN603" s="27" t="s">
        <v>7</v>
      </c>
      <c r="LO603" s="27" t="s">
        <v>8</v>
      </c>
      <c r="LP603" s="27" t="s">
        <v>7</v>
      </c>
      <c r="LQ603" s="27" t="s">
        <v>8</v>
      </c>
      <c r="LR603" s="27" t="s">
        <v>7</v>
      </c>
      <c r="LW603" s="27" t="s">
        <v>8</v>
      </c>
      <c r="LX603" s="27" t="s">
        <v>7</v>
      </c>
      <c r="LY603" s="27" t="s">
        <v>8</v>
      </c>
      <c r="LZ603" s="27" t="s">
        <v>7</v>
      </c>
      <c r="MA603" s="27" t="s">
        <v>8</v>
      </c>
      <c r="MH603" s="27" t="s">
        <v>7</v>
      </c>
      <c r="MN603" s="27" t="s">
        <v>7</v>
      </c>
      <c r="MO603" s="27" t="s">
        <v>8</v>
      </c>
      <c r="NJ603" s="27" t="s">
        <v>7</v>
      </c>
      <c r="NK603" s="27" t="s">
        <v>8</v>
      </c>
      <c r="NL603" s="27" t="s">
        <v>7</v>
      </c>
      <c r="NM603" s="27" t="s">
        <v>8</v>
      </c>
      <c r="NN603" s="27" t="s">
        <v>7</v>
      </c>
    </row>
    <row r="604" spans="1:378" x14ac:dyDescent="0.25">
      <c r="A604" s="7">
        <v>0.71416256246493581</v>
      </c>
      <c r="B604"/>
      <c r="C604"/>
      <c r="D604"/>
      <c r="E604"/>
      <c r="F604" s="27" t="s">
        <v>7</v>
      </c>
      <c r="HK604" s="27" t="s">
        <v>8</v>
      </c>
      <c r="IN604" s="27" t="s">
        <v>7</v>
      </c>
      <c r="IO604" s="27" t="s">
        <v>8</v>
      </c>
      <c r="IP604" s="27" t="s">
        <v>7</v>
      </c>
      <c r="IU604" s="27" t="s">
        <v>8</v>
      </c>
      <c r="IV604" s="27" t="s">
        <v>7</v>
      </c>
      <c r="IY604" s="27" t="s">
        <v>8</v>
      </c>
      <c r="IZ604" s="27" t="s">
        <v>7</v>
      </c>
      <c r="JC604" s="27" t="s">
        <v>8</v>
      </c>
      <c r="JD604" s="27" t="s">
        <v>7</v>
      </c>
      <c r="KA604" s="27" t="s">
        <v>8</v>
      </c>
      <c r="KB604" s="27" t="s">
        <v>7</v>
      </c>
      <c r="KK604" s="27" t="s">
        <v>8</v>
      </c>
      <c r="KL604" s="27" t="s">
        <v>7</v>
      </c>
      <c r="KM604" s="27" t="s">
        <v>8</v>
      </c>
      <c r="KN604" s="27" t="s">
        <v>7</v>
      </c>
      <c r="KO604" s="27" t="s">
        <v>8</v>
      </c>
      <c r="KP604" s="27" t="s">
        <v>7</v>
      </c>
      <c r="KQ604" s="27" t="s">
        <v>8</v>
      </c>
      <c r="KV604" s="27" t="s">
        <v>7</v>
      </c>
      <c r="KW604" s="27" t="s">
        <v>8</v>
      </c>
      <c r="KX604" s="27" t="s">
        <v>7</v>
      </c>
      <c r="LA604" s="27" t="s">
        <v>8</v>
      </c>
      <c r="LB604" s="27" t="s">
        <v>7</v>
      </c>
      <c r="LI604" s="27" t="s">
        <v>8</v>
      </c>
      <c r="LJ604" s="27" t="s">
        <v>7</v>
      </c>
      <c r="LK604" s="27" t="s">
        <v>8</v>
      </c>
      <c r="LL604" s="27" t="s">
        <v>7</v>
      </c>
      <c r="LM604" s="27" t="s">
        <v>8</v>
      </c>
      <c r="LN604" s="27" t="s">
        <v>7</v>
      </c>
      <c r="LO604" s="27" t="s">
        <v>8</v>
      </c>
      <c r="LP604" s="27" t="s">
        <v>7</v>
      </c>
      <c r="LQ604" s="27" t="s">
        <v>8</v>
      </c>
      <c r="LR604" s="27" t="s">
        <v>7</v>
      </c>
      <c r="LS604" s="27" t="s">
        <v>8</v>
      </c>
      <c r="LU604" s="27" t="s">
        <v>8</v>
      </c>
      <c r="LW604" s="27" t="s">
        <v>8</v>
      </c>
      <c r="LX604" s="27" t="s">
        <v>7</v>
      </c>
      <c r="LY604" s="27" t="s">
        <v>8</v>
      </c>
      <c r="LZ604" s="27" t="s">
        <v>7</v>
      </c>
      <c r="MA604" s="27" t="s">
        <v>8</v>
      </c>
      <c r="MN604" s="27" t="s">
        <v>7</v>
      </c>
      <c r="MO604" s="27" t="s">
        <v>8</v>
      </c>
      <c r="NJ604" s="27" t="s">
        <v>7</v>
      </c>
      <c r="NK604" s="27" t="s">
        <v>8</v>
      </c>
      <c r="NL604" s="27" t="s">
        <v>7</v>
      </c>
      <c r="NM604" s="27" t="s">
        <v>8</v>
      </c>
    </row>
    <row r="605" spans="1:378" x14ac:dyDescent="0.25">
      <c r="A605" s="7">
        <v>0.7001593749656233</v>
      </c>
      <c r="B605"/>
      <c r="C605"/>
      <c r="D605"/>
      <c r="E605"/>
      <c r="F605" s="27" t="s">
        <v>7</v>
      </c>
      <c r="HK605" s="27" t="s">
        <v>8</v>
      </c>
      <c r="IN605" s="27" t="s">
        <v>7</v>
      </c>
      <c r="IO605" s="27" t="s">
        <v>8</v>
      </c>
      <c r="IP605" s="27" t="s">
        <v>7</v>
      </c>
      <c r="IU605" s="27" t="s">
        <v>8</v>
      </c>
      <c r="IV605" s="27" t="s">
        <v>7</v>
      </c>
      <c r="IW605" s="27" t="s">
        <v>8</v>
      </c>
      <c r="IY605" s="27" t="s">
        <v>8</v>
      </c>
      <c r="IZ605" s="27" t="s">
        <v>7</v>
      </c>
      <c r="JC605" s="27" t="s">
        <v>8</v>
      </c>
      <c r="JD605" s="27" t="s">
        <v>7</v>
      </c>
      <c r="KA605" s="27" t="s">
        <v>8</v>
      </c>
      <c r="KB605" s="27" t="s">
        <v>7</v>
      </c>
      <c r="KK605" s="27" t="s">
        <v>8</v>
      </c>
      <c r="KL605" s="27" t="s">
        <v>7</v>
      </c>
      <c r="KM605" s="27" t="s">
        <v>8</v>
      </c>
      <c r="KN605" s="27" t="s">
        <v>7</v>
      </c>
      <c r="KO605" s="27" t="s">
        <v>8</v>
      </c>
      <c r="KP605" s="27" t="s">
        <v>7</v>
      </c>
      <c r="KQ605" s="27" t="s">
        <v>8</v>
      </c>
      <c r="KV605" s="27" t="s">
        <v>7</v>
      </c>
      <c r="KW605" s="27" t="s">
        <v>8</v>
      </c>
      <c r="KX605" s="27" t="s">
        <v>7</v>
      </c>
      <c r="KY605" s="27" t="s">
        <v>8</v>
      </c>
      <c r="LA605" s="27" t="s">
        <v>8</v>
      </c>
      <c r="LB605" s="27" t="s">
        <v>7</v>
      </c>
      <c r="LI605" s="27" t="s">
        <v>8</v>
      </c>
      <c r="LJ605" s="27" t="s">
        <v>7</v>
      </c>
      <c r="LK605" s="27" t="s">
        <v>8</v>
      </c>
      <c r="LL605" s="27" t="s">
        <v>7</v>
      </c>
      <c r="LM605" s="27" t="s">
        <v>8</v>
      </c>
      <c r="LN605" s="27" t="s">
        <v>7</v>
      </c>
      <c r="LO605" s="27" t="s">
        <v>8</v>
      </c>
      <c r="LP605" s="27" t="s">
        <v>7</v>
      </c>
      <c r="LQ605" s="27" t="s">
        <v>8</v>
      </c>
      <c r="LR605" s="27" t="s">
        <v>7</v>
      </c>
      <c r="LS605" s="27" t="s">
        <v>8</v>
      </c>
      <c r="LT605" s="27" t="s">
        <v>7</v>
      </c>
      <c r="LU605" s="27" t="s">
        <v>8</v>
      </c>
      <c r="LV605" s="27" t="s">
        <v>7</v>
      </c>
      <c r="LW605" s="27" t="s">
        <v>8</v>
      </c>
      <c r="LX605" s="27" t="s">
        <v>7</v>
      </c>
      <c r="LY605" s="27" t="s">
        <v>8</v>
      </c>
      <c r="LZ605" s="27" t="s">
        <v>7</v>
      </c>
      <c r="MA605" s="27" t="s">
        <v>8</v>
      </c>
      <c r="MN605" s="27" t="s">
        <v>7</v>
      </c>
      <c r="MO605" s="27" t="s">
        <v>8</v>
      </c>
      <c r="NJ605" s="27" t="s">
        <v>7</v>
      </c>
      <c r="NK605" s="27" t="s">
        <v>8</v>
      </c>
      <c r="NL605" s="27" t="s">
        <v>7</v>
      </c>
    </row>
    <row r="606" spans="1:378" x14ac:dyDescent="0.25">
      <c r="A606" s="7">
        <v>0.68643075977021883</v>
      </c>
      <c r="B606"/>
      <c r="C606"/>
      <c r="D606"/>
      <c r="E606"/>
      <c r="F606" s="27" t="s">
        <v>7</v>
      </c>
      <c r="HK606" s="27" t="s">
        <v>8</v>
      </c>
      <c r="IN606" s="27" t="s">
        <v>7</v>
      </c>
      <c r="IO606" s="27" t="s">
        <v>8</v>
      </c>
      <c r="IP606" s="27" t="s">
        <v>7</v>
      </c>
      <c r="IU606" s="27" t="s">
        <v>8</v>
      </c>
      <c r="IV606" s="27" t="s">
        <v>7</v>
      </c>
      <c r="IW606" s="27" t="s">
        <v>8</v>
      </c>
      <c r="IX606" s="27" t="s">
        <v>7</v>
      </c>
      <c r="IY606" s="27" t="s">
        <v>8</v>
      </c>
      <c r="IZ606" s="27" t="s">
        <v>7</v>
      </c>
      <c r="JC606" s="27" t="s">
        <v>8</v>
      </c>
      <c r="JD606" s="27" t="s">
        <v>7</v>
      </c>
      <c r="JG606" s="27" t="s">
        <v>8</v>
      </c>
      <c r="KA606" s="27" t="s">
        <v>8</v>
      </c>
      <c r="KB606" s="27" t="s">
        <v>7</v>
      </c>
      <c r="KI606" s="27" t="s">
        <v>8</v>
      </c>
      <c r="KK606" s="27" t="s">
        <v>8</v>
      </c>
      <c r="KL606" s="27" t="s">
        <v>7</v>
      </c>
      <c r="KM606" s="27" t="s">
        <v>8</v>
      </c>
      <c r="KN606" s="27" t="s">
        <v>7</v>
      </c>
      <c r="KO606" s="27" t="s">
        <v>8</v>
      </c>
      <c r="KP606" s="27" t="s">
        <v>7</v>
      </c>
      <c r="KQ606" s="27" t="s">
        <v>8</v>
      </c>
      <c r="KV606" s="27" t="s">
        <v>7</v>
      </c>
      <c r="KW606" s="27" t="s">
        <v>8</v>
      </c>
      <c r="KX606" s="27" t="s">
        <v>7</v>
      </c>
      <c r="KY606" s="27" t="s">
        <v>8</v>
      </c>
      <c r="KZ606" s="27" t="s">
        <v>7</v>
      </c>
      <c r="LA606" s="27" t="s">
        <v>8</v>
      </c>
      <c r="LB606" s="27" t="s">
        <v>7</v>
      </c>
      <c r="LI606" s="27" t="s">
        <v>8</v>
      </c>
      <c r="LJ606" s="27" t="s">
        <v>7</v>
      </c>
      <c r="LK606" s="27" t="s">
        <v>8</v>
      </c>
      <c r="LL606" s="27" t="s">
        <v>7</v>
      </c>
      <c r="LM606" s="27" t="s">
        <v>8</v>
      </c>
      <c r="LN606" s="27" t="s">
        <v>7</v>
      </c>
      <c r="LO606" s="27" t="s">
        <v>8</v>
      </c>
      <c r="LP606" s="27" t="s">
        <v>7</v>
      </c>
      <c r="LQ606" s="27" t="s">
        <v>8</v>
      </c>
      <c r="LR606" s="27" t="s">
        <v>7</v>
      </c>
      <c r="LS606" s="27" t="s">
        <v>8</v>
      </c>
      <c r="LT606" s="27" t="s">
        <v>7</v>
      </c>
      <c r="LU606" s="27" t="s">
        <v>8</v>
      </c>
      <c r="LV606" s="27" t="s">
        <v>7</v>
      </c>
      <c r="LW606" s="27" t="s">
        <v>8</v>
      </c>
      <c r="LX606" s="27" t="s">
        <v>7</v>
      </c>
      <c r="LZ606" s="27" t="s">
        <v>7</v>
      </c>
      <c r="MA606" s="27" t="s">
        <v>8</v>
      </c>
      <c r="MN606" s="27" t="s">
        <v>7</v>
      </c>
      <c r="NJ606" s="27" t="s">
        <v>7</v>
      </c>
      <c r="NK606" s="27" t="s">
        <v>8</v>
      </c>
    </row>
    <row r="607" spans="1:378" x14ac:dyDescent="0.25">
      <c r="A607" s="7">
        <v>0.67297133310805768</v>
      </c>
      <c r="B607"/>
      <c r="C607"/>
      <c r="D607"/>
      <c r="E607"/>
      <c r="F607" s="27" t="s">
        <v>7</v>
      </c>
      <c r="HK607" s="27" t="s">
        <v>8</v>
      </c>
      <c r="IN607" s="27" t="s">
        <v>7</v>
      </c>
      <c r="IO607" s="27" t="s">
        <v>8</v>
      </c>
      <c r="IP607" s="27" t="s">
        <v>7</v>
      </c>
      <c r="IU607" s="27" t="s">
        <v>8</v>
      </c>
      <c r="IV607" s="27" t="s">
        <v>7</v>
      </c>
      <c r="IW607" s="27" t="s">
        <v>8</v>
      </c>
      <c r="IX607" s="27" t="s">
        <v>7</v>
      </c>
      <c r="IY607" s="27" t="s">
        <v>8</v>
      </c>
      <c r="IZ607" s="27" t="s">
        <v>7</v>
      </c>
      <c r="JC607" s="27" t="s">
        <v>8</v>
      </c>
      <c r="JD607" s="27" t="s">
        <v>7</v>
      </c>
      <c r="JG607" s="27" t="s">
        <v>8</v>
      </c>
      <c r="JH607" s="27" t="s">
        <v>7</v>
      </c>
      <c r="KA607" s="27" t="s">
        <v>8</v>
      </c>
      <c r="KB607" s="27" t="s">
        <v>7</v>
      </c>
      <c r="KI607" s="27" t="s">
        <v>8</v>
      </c>
      <c r="KJ607" s="27" t="s">
        <v>7</v>
      </c>
      <c r="KK607" s="27" t="s">
        <v>8</v>
      </c>
      <c r="KL607" s="27" t="s">
        <v>7</v>
      </c>
      <c r="KM607" s="27" t="s">
        <v>8</v>
      </c>
      <c r="KN607" s="27" t="s">
        <v>7</v>
      </c>
      <c r="KO607" s="27" t="s">
        <v>8</v>
      </c>
      <c r="KP607" s="27" t="s">
        <v>7</v>
      </c>
      <c r="KV607" s="27" t="s">
        <v>7</v>
      </c>
      <c r="KW607" s="27" t="s">
        <v>8</v>
      </c>
      <c r="KX607" s="27" t="s">
        <v>7</v>
      </c>
      <c r="KY607" s="27" t="s">
        <v>8</v>
      </c>
      <c r="KZ607" s="27" t="s">
        <v>7</v>
      </c>
      <c r="LA607" s="27" t="s">
        <v>8</v>
      </c>
      <c r="LB607" s="27" t="s">
        <v>7</v>
      </c>
      <c r="LE607" s="27" t="s">
        <v>8</v>
      </c>
      <c r="LI607" s="27" t="s">
        <v>8</v>
      </c>
      <c r="LJ607" s="27" t="s">
        <v>7</v>
      </c>
      <c r="LK607" s="27" t="s">
        <v>8</v>
      </c>
      <c r="LL607" s="27" t="s">
        <v>7</v>
      </c>
      <c r="LN607" s="27" t="s">
        <v>7</v>
      </c>
      <c r="LO607" s="27" t="s">
        <v>8</v>
      </c>
      <c r="LP607" s="27" t="s">
        <v>7</v>
      </c>
      <c r="LR607" s="27" t="s">
        <v>7</v>
      </c>
      <c r="LS607" s="27" t="s">
        <v>8</v>
      </c>
      <c r="LT607" s="27" t="s">
        <v>7</v>
      </c>
      <c r="LU607" s="27" t="s">
        <v>8</v>
      </c>
      <c r="LV607" s="27" t="s">
        <v>7</v>
      </c>
      <c r="LW607" s="27" t="s">
        <v>8</v>
      </c>
      <c r="LZ607" s="27" t="s">
        <v>7</v>
      </c>
      <c r="MA607" s="27" t="s">
        <v>8</v>
      </c>
      <c r="NJ607" s="27" t="s">
        <v>7</v>
      </c>
    </row>
    <row r="608" spans="1:378" x14ac:dyDescent="0.25">
      <c r="A608" s="7">
        <v>0.65977581677260566</v>
      </c>
      <c r="B608"/>
      <c r="C608"/>
      <c r="D608"/>
      <c r="E608"/>
      <c r="F608" s="27" t="s">
        <v>7</v>
      </c>
      <c r="HK608" s="27" t="s">
        <v>8</v>
      </c>
      <c r="IN608" s="27" t="s">
        <v>7</v>
      </c>
      <c r="IO608" s="27" t="s">
        <v>8</v>
      </c>
      <c r="IP608" s="27" t="s">
        <v>7</v>
      </c>
      <c r="IU608" s="27" t="s">
        <v>8</v>
      </c>
      <c r="IV608" s="27" t="s">
        <v>7</v>
      </c>
      <c r="IW608" s="27" t="s">
        <v>8</v>
      </c>
      <c r="IX608" s="27" t="s">
        <v>7</v>
      </c>
      <c r="IY608" s="27" t="s">
        <v>8</v>
      </c>
      <c r="IZ608" s="27" t="s">
        <v>7</v>
      </c>
      <c r="JC608" s="27" t="s">
        <v>8</v>
      </c>
      <c r="JD608" s="27" t="s">
        <v>7</v>
      </c>
      <c r="JG608" s="27" t="s">
        <v>8</v>
      </c>
      <c r="JH608" s="27" t="s">
        <v>7</v>
      </c>
      <c r="KA608" s="27" t="s">
        <v>8</v>
      </c>
      <c r="KB608" s="27" t="s">
        <v>7</v>
      </c>
      <c r="KI608" s="27" t="s">
        <v>8</v>
      </c>
      <c r="KJ608" s="27" t="s">
        <v>7</v>
      </c>
      <c r="KK608" s="27" t="s">
        <v>8</v>
      </c>
      <c r="KL608" s="27" t="s">
        <v>7</v>
      </c>
      <c r="KN608" s="27" t="s">
        <v>7</v>
      </c>
      <c r="KO608" s="27" t="s">
        <v>8</v>
      </c>
      <c r="KV608" s="27" t="s">
        <v>7</v>
      </c>
      <c r="KW608" s="27" t="s">
        <v>8</v>
      </c>
      <c r="KX608" s="27" t="s">
        <v>7</v>
      </c>
      <c r="KY608" s="27" t="s">
        <v>8</v>
      </c>
      <c r="KZ608" s="27" t="s">
        <v>7</v>
      </c>
      <c r="LA608" s="27" t="s">
        <v>8</v>
      </c>
      <c r="LB608" s="27" t="s">
        <v>7</v>
      </c>
      <c r="LE608" s="27" t="s">
        <v>8</v>
      </c>
      <c r="LF608" s="27" t="s">
        <v>7</v>
      </c>
      <c r="LI608" s="27" t="s">
        <v>8</v>
      </c>
      <c r="LJ608" s="27" t="s">
        <v>7</v>
      </c>
      <c r="LK608" s="27" t="s">
        <v>8</v>
      </c>
      <c r="LN608" s="27" t="s">
        <v>7</v>
      </c>
      <c r="LO608" s="27" t="s">
        <v>8</v>
      </c>
      <c r="LR608" s="27" t="s">
        <v>7</v>
      </c>
      <c r="LS608" s="27" t="s">
        <v>8</v>
      </c>
      <c r="LT608" s="27" t="s">
        <v>7</v>
      </c>
      <c r="LU608" s="27" t="s">
        <v>8</v>
      </c>
      <c r="LV608" s="27" t="s">
        <v>7</v>
      </c>
      <c r="LZ608" s="27" t="s">
        <v>7</v>
      </c>
      <c r="MA608" s="27" t="s">
        <v>8</v>
      </c>
    </row>
    <row r="609" spans="1:339" x14ac:dyDescent="0.25">
      <c r="A609" s="7">
        <v>0.64683903605157422</v>
      </c>
      <c r="B609"/>
      <c r="C609"/>
      <c r="D609"/>
      <c r="E609"/>
      <c r="F609" s="27" t="s">
        <v>7</v>
      </c>
      <c r="HK609" s="27" t="s">
        <v>8</v>
      </c>
      <c r="IN609" s="27" t="s">
        <v>7</v>
      </c>
      <c r="IO609" s="27" t="s">
        <v>8</v>
      </c>
      <c r="IP609" s="27" t="s">
        <v>7</v>
      </c>
      <c r="IU609" s="27" t="s">
        <v>8</v>
      </c>
      <c r="IV609" s="27" t="s">
        <v>7</v>
      </c>
      <c r="IW609" s="27" t="s">
        <v>8</v>
      </c>
      <c r="IX609" s="27" t="s">
        <v>7</v>
      </c>
      <c r="IY609" s="27" t="s">
        <v>8</v>
      </c>
      <c r="IZ609" s="27" t="s">
        <v>7</v>
      </c>
      <c r="JA609" s="27" t="s">
        <v>8</v>
      </c>
      <c r="JC609" s="27" t="s">
        <v>8</v>
      </c>
      <c r="JD609" s="27" t="s">
        <v>7</v>
      </c>
      <c r="JG609" s="27" t="s">
        <v>8</v>
      </c>
      <c r="JH609" s="27" t="s">
        <v>7</v>
      </c>
      <c r="KA609" s="27" t="s">
        <v>8</v>
      </c>
      <c r="KB609" s="27" t="s">
        <v>7</v>
      </c>
      <c r="KG609" s="27" t="s">
        <v>8</v>
      </c>
      <c r="KI609" s="27" t="s">
        <v>8</v>
      </c>
      <c r="KJ609" s="27" t="s">
        <v>7</v>
      </c>
      <c r="KK609" s="27" t="s">
        <v>8</v>
      </c>
      <c r="KN609" s="27" t="s">
        <v>7</v>
      </c>
      <c r="KV609" s="27" t="s">
        <v>7</v>
      </c>
      <c r="KW609" s="27" t="s">
        <v>8</v>
      </c>
      <c r="KX609" s="27" t="s">
        <v>7</v>
      </c>
      <c r="KY609" s="27" t="s">
        <v>8</v>
      </c>
      <c r="KZ609" s="27" t="s">
        <v>7</v>
      </c>
      <c r="LA609" s="27" t="s">
        <v>8</v>
      </c>
      <c r="LB609" s="27" t="s">
        <v>7</v>
      </c>
      <c r="LC609" s="27" t="s">
        <v>8</v>
      </c>
      <c r="LE609" s="27" t="s">
        <v>8</v>
      </c>
      <c r="LF609" s="27" t="s">
        <v>7</v>
      </c>
      <c r="LG609" s="27" t="s">
        <v>8</v>
      </c>
      <c r="LI609" s="27" t="s">
        <v>8</v>
      </c>
      <c r="LJ609" s="27" t="s">
        <v>7</v>
      </c>
      <c r="LK609" s="27" t="s">
        <v>8</v>
      </c>
      <c r="LN609" s="27" t="s">
        <v>7</v>
      </c>
      <c r="LO609" s="27" t="s">
        <v>8</v>
      </c>
      <c r="LR609" s="27" t="s">
        <v>7</v>
      </c>
      <c r="LS609" s="27" t="s">
        <v>8</v>
      </c>
      <c r="LT609" s="27" t="s">
        <v>7</v>
      </c>
      <c r="LZ609" s="27" t="s">
        <v>7</v>
      </c>
      <c r="MA609" s="27" t="s">
        <v>8</v>
      </c>
    </row>
    <row r="610" spans="1:339" x14ac:dyDescent="0.25">
      <c r="A610" s="7">
        <v>0.63415591769762181</v>
      </c>
      <c r="B610"/>
      <c r="C610"/>
      <c r="D610"/>
      <c r="E610"/>
      <c r="F610" s="27" t="s">
        <v>7</v>
      </c>
      <c r="HK610" s="27" t="s">
        <v>8</v>
      </c>
      <c r="IN610" s="27" t="s">
        <v>7</v>
      </c>
      <c r="IO610" s="27" t="s">
        <v>8</v>
      </c>
      <c r="IP610" s="27" t="s">
        <v>7</v>
      </c>
      <c r="IS610" s="27" t="s">
        <v>8</v>
      </c>
      <c r="IU610" s="27" t="s">
        <v>8</v>
      </c>
      <c r="IV610" s="27" t="s">
        <v>7</v>
      </c>
      <c r="IW610" s="27" t="s">
        <v>8</v>
      </c>
      <c r="IX610" s="27" t="s">
        <v>7</v>
      </c>
      <c r="IY610" s="27" t="s">
        <v>8</v>
      </c>
      <c r="IZ610" s="27" t="s">
        <v>7</v>
      </c>
      <c r="JA610" s="27" t="s">
        <v>8</v>
      </c>
      <c r="JB610" s="27" t="s">
        <v>7</v>
      </c>
      <c r="JC610" s="27" t="s">
        <v>8</v>
      </c>
      <c r="JD610" s="27" t="s">
        <v>7</v>
      </c>
      <c r="JG610" s="27" t="s">
        <v>8</v>
      </c>
      <c r="JH610" s="27" t="s">
        <v>7</v>
      </c>
      <c r="KA610" s="27" t="s">
        <v>8</v>
      </c>
      <c r="KB610" s="27" t="s">
        <v>7</v>
      </c>
      <c r="KG610" s="27" t="s">
        <v>8</v>
      </c>
      <c r="KH610" s="27" t="s">
        <v>7</v>
      </c>
      <c r="KI610" s="27" t="s">
        <v>8</v>
      </c>
      <c r="KJ610" s="27" t="s">
        <v>7</v>
      </c>
      <c r="KK610" s="27" t="s">
        <v>8</v>
      </c>
      <c r="KV610" s="27" t="s">
        <v>7</v>
      </c>
      <c r="KW610" s="27" t="s">
        <v>8</v>
      </c>
      <c r="KX610" s="27" t="s">
        <v>7</v>
      </c>
      <c r="KY610" s="27" t="s">
        <v>8</v>
      </c>
      <c r="KZ610" s="27" t="s">
        <v>7</v>
      </c>
      <c r="LA610" s="27" t="s">
        <v>8</v>
      </c>
      <c r="LB610" s="27" t="s">
        <v>7</v>
      </c>
      <c r="LC610" s="27" t="s">
        <v>8</v>
      </c>
      <c r="LD610" s="27" t="s">
        <v>7</v>
      </c>
      <c r="LE610" s="27" t="s">
        <v>8</v>
      </c>
      <c r="LF610" s="27" t="s">
        <v>7</v>
      </c>
      <c r="LG610" s="27" t="s">
        <v>8</v>
      </c>
      <c r="LH610" s="27" t="s">
        <v>7</v>
      </c>
      <c r="LI610" s="27" t="s">
        <v>8</v>
      </c>
      <c r="LJ610" s="27" t="s">
        <v>7</v>
      </c>
      <c r="LK610" s="27" t="s">
        <v>8</v>
      </c>
      <c r="LN610" s="27" t="s">
        <v>7</v>
      </c>
      <c r="LO610" s="27" t="s">
        <v>8</v>
      </c>
      <c r="LR610" s="27" t="s">
        <v>7</v>
      </c>
      <c r="LS610" s="27" t="s">
        <v>8</v>
      </c>
      <c r="LZ610" s="27" t="s">
        <v>7</v>
      </c>
    </row>
    <row r="611" spans="1:339" x14ac:dyDescent="0.25">
      <c r="A611" s="7">
        <v>0.62172148793884496</v>
      </c>
      <c r="B611"/>
      <c r="C611"/>
      <c r="D611"/>
      <c r="E611"/>
      <c r="F611" s="27" t="s">
        <v>7</v>
      </c>
      <c r="HK611" s="27" t="s">
        <v>8</v>
      </c>
      <c r="IN611" s="27" t="s">
        <v>7</v>
      </c>
      <c r="IO611" s="27" t="s">
        <v>8</v>
      </c>
      <c r="IP611" s="27" t="s">
        <v>7</v>
      </c>
      <c r="IS611" s="27" t="s">
        <v>8</v>
      </c>
      <c r="IT611" s="27" t="s">
        <v>7</v>
      </c>
      <c r="IU611" s="27" t="s">
        <v>8</v>
      </c>
      <c r="IV611" s="27" t="s">
        <v>7</v>
      </c>
      <c r="IW611" s="27" t="s">
        <v>8</v>
      </c>
      <c r="IX611" s="27" t="s">
        <v>7</v>
      </c>
      <c r="IY611" s="27" t="s">
        <v>8</v>
      </c>
      <c r="IZ611" s="27" t="s">
        <v>7</v>
      </c>
      <c r="JA611" s="27" t="s">
        <v>8</v>
      </c>
      <c r="JB611" s="27" t="s">
        <v>7</v>
      </c>
      <c r="JC611" s="27" t="s">
        <v>8</v>
      </c>
      <c r="JD611" s="27" t="s">
        <v>7</v>
      </c>
      <c r="JG611" s="27" t="s">
        <v>8</v>
      </c>
      <c r="JH611" s="27" t="s">
        <v>7</v>
      </c>
      <c r="KA611" s="27" t="s">
        <v>8</v>
      </c>
      <c r="KB611" s="27" t="s">
        <v>7</v>
      </c>
      <c r="KG611" s="27" t="s">
        <v>8</v>
      </c>
      <c r="KH611" s="27" t="s">
        <v>7</v>
      </c>
      <c r="KI611" s="27" t="s">
        <v>8</v>
      </c>
      <c r="KJ611" s="27" t="s">
        <v>7</v>
      </c>
      <c r="KK611" s="27" t="s">
        <v>8</v>
      </c>
      <c r="KV611" s="27" t="s">
        <v>7</v>
      </c>
      <c r="KW611" s="27" t="s">
        <v>8</v>
      </c>
      <c r="KX611" s="27" t="s">
        <v>7</v>
      </c>
      <c r="KY611" s="27" t="s">
        <v>8</v>
      </c>
      <c r="KZ611" s="27" t="s">
        <v>7</v>
      </c>
      <c r="LA611" s="27" t="s">
        <v>8</v>
      </c>
      <c r="LB611" s="27" t="s">
        <v>7</v>
      </c>
      <c r="LC611" s="27" t="s">
        <v>8</v>
      </c>
      <c r="LD611" s="27" t="s">
        <v>7</v>
      </c>
      <c r="LE611" s="27" t="s">
        <v>8</v>
      </c>
      <c r="LF611" s="27" t="s">
        <v>7</v>
      </c>
      <c r="LG611" s="27" t="s">
        <v>8</v>
      </c>
      <c r="LH611" s="27" t="s">
        <v>7</v>
      </c>
      <c r="LI611" s="27" t="s">
        <v>8</v>
      </c>
      <c r="LJ611" s="27" t="s">
        <v>7</v>
      </c>
      <c r="LK611" s="27" t="s">
        <v>8</v>
      </c>
      <c r="LN611" s="27" t="s">
        <v>7</v>
      </c>
      <c r="LO611" s="27" t="s">
        <v>8</v>
      </c>
      <c r="LR611" s="27" t="s">
        <v>7</v>
      </c>
      <c r="LS611" s="27" t="s">
        <v>8</v>
      </c>
    </row>
    <row r="612" spans="1:339" x14ac:dyDescent="0.25">
      <c r="A612" s="7">
        <v>0.60953087052827937</v>
      </c>
      <c r="B612"/>
      <c r="C612"/>
      <c r="D612"/>
      <c r="E612"/>
      <c r="F612" s="27" t="s">
        <v>7</v>
      </c>
      <c r="HK612" s="27" t="s">
        <v>8</v>
      </c>
      <c r="IN612" s="27" t="s">
        <v>7</v>
      </c>
      <c r="IO612" s="27" t="s">
        <v>8</v>
      </c>
      <c r="IP612" s="27" t="s">
        <v>7</v>
      </c>
      <c r="IQ612" s="27" t="s">
        <v>8</v>
      </c>
      <c r="IS612" s="27" t="s">
        <v>8</v>
      </c>
      <c r="IT612" s="27" t="s">
        <v>7</v>
      </c>
      <c r="IU612" s="27" t="s">
        <v>8</v>
      </c>
      <c r="IV612" s="27" t="s">
        <v>7</v>
      </c>
      <c r="IW612" s="27" t="s">
        <v>8</v>
      </c>
      <c r="IX612" s="27" t="s">
        <v>7</v>
      </c>
      <c r="IY612" s="27" t="s">
        <v>8</v>
      </c>
      <c r="IZ612" s="27" t="s">
        <v>7</v>
      </c>
      <c r="JA612" s="27" t="s">
        <v>8</v>
      </c>
      <c r="JB612" s="27" t="s">
        <v>7</v>
      </c>
      <c r="JC612" s="27" t="s">
        <v>8</v>
      </c>
      <c r="JD612" s="27" t="s">
        <v>7</v>
      </c>
      <c r="JG612" s="27" t="s">
        <v>8</v>
      </c>
      <c r="JH612" s="27" t="s">
        <v>7</v>
      </c>
      <c r="KA612" s="27" t="s">
        <v>8</v>
      </c>
      <c r="KB612" s="27" t="s">
        <v>7</v>
      </c>
      <c r="KG612" s="27" t="s">
        <v>8</v>
      </c>
      <c r="KH612" s="27" t="s">
        <v>7</v>
      </c>
      <c r="KI612" s="27" t="s">
        <v>8</v>
      </c>
      <c r="KJ612" s="27" t="s">
        <v>7</v>
      </c>
      <c r="KV612" s="27" t="s">
        <v>7</v>
      </c>
      <c r="KW612" s="27" t="s">
        <v>8</v>
      </c>
      <c r="KX612" s="27" t="s">
        <v>7</v>
      </c>
      <c r="KZ612" s="27" t="s">
        <v>7</v>
      </c>
      <c r="LB612" s="27" t="s">
        <v>7</v>
      </c>
      <c r="LC612" s="27" t="s">
        <v>8</v>
      </c>
      <c r="LD612" s="27" t="s">
        <v>7</v>
      </c>
      <c r="LE612" s="27" t="s">
        <v>8</v>
      </c>
      <c r="LF612" s="27" t="s">
        <v>7</v>
      </c>
      <c r="LG612" s="27" t="s">
        <v>8</v>
      </c>
      <c r="LH612" s="27" t="s">
        <v>7</v>
      </c>
      <c r="LI612" s="27" t="s">
        <v>8</v>
      </c>
      <c r="LJ612" s="27" t="s">
        <v>7</v>
      </c>
      <c r="LK612" s="27" t="s">
        <v>8</v>
      </c>
      <c r="LN612" s="27" t="s">
        <v>7</v>
      </c>
      <c r="LO612" s="27" t="s">
        <v>8</v>
      </c>
      <c r="LR612" s="27" t="s">
        <v>7</v>
      </c>
    </row>
    <row r="613" spans="1:339" x14ac:dyDescent="0.25">
      <c r="A613" s="7">
        <v>0.59757928483164646</v>
      </c>
      <c r="B613"/>
      <c r="C613"/>
      <c r="D613"/>
      <c r="E613"/>
      <c r="F613" s="27" t="s">
        <v>7</v>
      </c>
      <c r="HK613" s="27" t="s">
        <v>8</v>
      </c>
      <c r="IN613" s="27" t="s">
        <v>7</v>
      </c>
      <c r="IO613" s="27" t="s">
        <v>8</v>
      </c>
      <c r="IP613" s="27" t="s">
        <v>7</v>
      </c>
      <c r="IQ613" s="27" t="s">
        <v>8</v>
      </c>
      <c r="IR613" s="27" t="s">
        <v>7</v>
      </c>
      <c r="IS613" s="27" t="s">
        <v>8</v>
      </c>
      <c r="IT613" s="27" t="s">
        <v>7</v>
      </c>
      <c r="IU613" s="27" t="s">
        <v>8</v>
      </c>
      <c r="IV613" s="27" t="s">
        <v>7</v>
      </c>
      <c r="IW613" s="27" t="s">
        <v>8</v>
      </c>
      <c r="IX613" s="27" t="s">
        <v>7</v>
      </c>
      <c r="IZ613" s="27" t="s">
        <v>7</v>
      </c>
      <c r="JA613" s="27" t="s">
        <v>8</v>
      </c>
      <c r="JB613" s="27" t="s">
        <v>7</v>
      </c>
      <c r="JC613" s="27" t="s">
        <v>8</v>
      </c>
      <c r="JD613" s="27" t="s">
        <v>7</v>
      </c>
      <c r="JE613" s="27" t="s">
        <v>8</v>
      </c>
      <c r="JG613" s="27" t="s">
        <v>8</v>
      </c>
      <c r="JH613" s="27" t="s">
        <v>7</v>
      </c>
      <c r="JY613" s="27" t="s">
        <v>8</v>
      </c>
      <c r="KA613" s="27" t="s">
        <v>8</v>
      </c>
      <c r="KB613" s="27" t="s">
        <v>7</v>
      </c>
      <c r="KG613" s="27" t="s">
        <v>8</v>
      </c>
      <c r="KH613" s="27" t="s">
        <v>7</v>
      </c>
      <c r="KI613" s="27" t="s">
        <v>8</v>
      </c>
      <c r="KV613" s="27" t="s">
        <v>7</v>
      </c>
      <c r="LB613" s="27" t="s">
        <v>7</v>
      </c>
      <c r="LC613" s="27" t="s">
        <v>8</v>
      </c>
      <c r="LD613" s="27" t="s">
        <v>7</v>
      </c>
      <c r="LE613" s="27" t="s">
        <v>8</v>
      </c>
      <c r="LF613" s="27" t="s">
        <v>7</v>
      </c>
      <c r="LG613" s="27" t="s">
        <v>8</v>
      </c>
      <c r="LH613" s="27" t="s">
        <v>7</v>
      </c>
      <c r="LI613" s="27" t="s">
        <v>8</v>
      </c>
      <c r="LJ613" s="27" t="s">
        <v>7</v>
      </c>
      <c r="LN613" s="27" t="s">
        <v>7</v>
      </c>
      <c r="LO613" s="27" t="s">
        <v>8</v>
      </c>
    </row>
    <row r="614" spans="1:339" x14ac:dyDescent="0.25">
      <c r="A614" s="7">
        <v>0.58586204395259456</v>
      </c>
      <c r="B614"/>
      <c r="C614"/>
      <c r="D614"/>
      <c r="E614"/>
      <c r="F614" s="27" t="s">
        <v>7</v>
      </c>
      <c r="HK614" s="27" t="s">
        <v>8</v>
      </c>
      <c r="IN614" s="27" t="s">
        <v>7</v>
      </c>
      <c r="IO614" s="27" t="s">
        <v>8</v>
      </c>
      <c r="IP614" s="27" t="s">
        <v>7</v>
      </c>
      <c r="IQ614" s="27" t="s">
        <v>8</v>
      </c>
      <c r="IR614" s="27" t="s">
        <v>7</v>
      </c>
      <c r="IS614" s="27" t="s">
        <v>8</v>
      </c>
      <c r="IT614" s="27" t="s">
        <v>7</v>
      </c>
      <c r="IU614" s="27" t="s">
        <v>8</v>
      </c>
      <c r="IV614" s="27" t="s">
        <v>7</v>
      </c>
      <c r="IZ614" s="27" t="s">
        <v>7</v>
      </c>
      <c r="JA614" s="27" t="s">
        <v>8</v>
      </c>
      <c r="JB614" s="27" t="s">
        <v>7</v>
      </c>
      <c r="JC614" s="27" t="s">
        <v>8</v>
      </c>
      <c r="JD614" s="27" t="s">
        <v>7</v>
      </c>
      <c r="JE614" s="27" t="s">
        <v>8</v>
      </c>
      <c r="JF614" s="27" t="s">
        <v>7</v>
      </c>
      <c r="JG614" s="27" t="s">
        <v>8</v>
      </c>
      <c r="JH614" s="27" t="s">
        <v>7</v>
      </c>
      <c r="JY614" s="27" t="s">
        <v>8</v>
      </c>
      <c r="JZ614" s="27" t="s">
        <v>7</v>
      </c>
      <c r="KA614" s="27" t="s">
        <v>8</v>
      </c>
      <c r="KB614" s="27" t="s">
        <v>7</v>
      </c>
      <c r="KG614" s="27" t="s">
        <v>8</v>
      </c>
      <c r="KH614" s="27" t="s">
        <v>7</v>
      </c>
      <c r="LB614" s="27" t="s">
        <v>7</v>
      </c>
      <c r="LC614" s="27" t="s">
        <v>8</v>
      </c>
      <c r="LD614" s="27" t="s">
        <v>7</v>
      </c>
      <c r="LE614" s="27" t="s">
        <v>8</v>
      </c>
      <c r="LF614" s="27" t="s">
        <v>7</v>
      </c>
      <c r="LG614" s="27" t="s">
        <v>8</v>
      </c>
      <c r="LH614" s="27" t="s">
        <v>7</v>
      </c>
      <c r="LI614" s="27" t="s">
        <v>8</v>
      </c>
      <c r="LN614" s="27" t="s">
        <v>7</v>
      </c>
    </row>
    <row r="615" spans="1:339" x14ac:dyDescent="0.25">
      <c r="A615" s="7">
        <v>0.57437455289470052</v>
      </c>
      <c r="B615"/>
      <c r="C615"/>
      <c r="D615"/>
      <c r="E615"/>
      <c r="F615" s="27" t="s">
        <v>7</v>
      </c>
      <c r="HK615" s="27" t="s">
        <v>8</v>
      </c>
      <c r="IN615" s="27" t="s">
        <v>7</v>
      </c>
      <c r="IO615" s="27" t="s">
        <v>8</v>
      </c>
      <c r="IP615" s="27" t="s">
        <v>7</v>
      </c>
      <c r="IQ615" s="27" t="s">
        <v>8</v>
      </c>
      <c r="IR615" s="27" t="s">
        <v>7</v>
      </c>
      <c r="IS615" s="27" t="s">
        <v>8</v>
      </c>
      <c r="IT615" s="27" t="s">
        <v>7</v>
      </c>
      <c r="IU615" s="27" t="s">
        <v>8</v>
      </c>
      <c r="IZ615" s="27" t="s">
        <v>7</v>
      </c>
      <c r="JA615" s="27" t="s">
        <v>8</v>
      </c>
      <c r="JB615" s="27" t="s">
        <v>7</v>
      </c>
      <c r="JC615" s="27" t="s">
        <v>8</v>
      </c>
      <c r="JD615" s="27" t="s">
        <v>7</v>
      </c>
      <c r="JE615" s="27" t="s">
        <v>8</v>
      </c>
      <c r="JF615" s="27" t="s">
        <v>7</v>
      </c>
      <c r="JG615" s="27" t="s">
        <v>8</v>
      </c>
      <c r="JH615" s="27" t="s">
        <v>7</v>
      </c>
      <c r="JY615" s="27" t="s">
        <v>8</v>
      </c>
      <c r="JZ615" s="27" t="s">
        <v>7</v>
      </c>
      <c r="KA615" s="27" t="s">
        <v>8</v>
      </c>
      <c r="KB615" s="27" t="s">
        <v>7</v>
      </c>
      <c r="KG615" s="27" t="s">
        <v>8</v>
      </c>
      <c r="LB615" s="27" t="s">
        <v>7</v>
      </c>
      <c r="LC615" s="27" t="s">
        <v>8</v>
      </c>
      <c r="LD615" s="27" t="s">
        <v>7</v>
      </c>
      <c r="LE615" s="27" t="s">
        <v>8</v>
      </c>
      <c r="LF615" s="27" t="s">
        <v>7</v>
      </c>
      <c r="LG615" s="27" t="s">
        <v>8</v>
      </c>
      <c r="LH615" s="27" t="s">
        <v>7</v>
      </c>
      <c r="LI615" s="27" t="s">
        <v>8</v>
      </c>
    </row>
    <row r="616" spans="1:339" x14ac:dyDescent="0.25">
      <c r="A616" s="7">
        <v>0.56311230675951029</v>
      </c>
      <c r="B616"/>
      <c r="C616"/>
      <c r="D616"/>
      <c r="E616"/>
      <c r="F616" s="27" t="s">
        <v>7</v>
      </c>
      <c r="HK616" s="27" t="s">
        <v>8</v>
      </c>
      <c r="IN616" s="27" t="s">
        <v>7</v>
      </c>
      <c r="IO616" s="27" t="s">
        <v>8</v>
      </c>
      <c r="IP616" s="27" t="s">
        <v>7</v>
      </c>
      <c r="IQ616" s="27" t="s">
        <v>8</v>
      </c>
      <c r="IR616" s="27" t="s">
        <v>7</v>
      </c>
      <c r="IS616" s="27" t="s">
        <v>8</v>
      </c>
      <c r="IT616" s="27" t="s">
        <v>7</v>
      </c>
      <c r="IU616" s="27" t="s">
        <v>8</v>
      </c>
      <c r="IZ616" s="27" t="s">
        <v>7</v>
      </c>
      <c r="JA616" s="27" t="s">
        <v>8</v>
      </c>
      <c r="JB616" s="27" t="s">
        <v>7</v>
      </c>
      <c r="JC616" s="27" t="s">
        <v>8</v>
      </c>
      <c r="JD616" s="27" t="s">
        <v>7</v>
      </c>
      <c r="JE616" s="27" t="s">
        <v>8</v>
      </c>
      <c r="JF616" s="27" t="s">
        <v>7</v>
      </c>
      <c r="JG616" s="27" t="s">
        <v>8</v>
      </c>
      <c r="JH616" s="27" t="s">
        <v>7</v>
      </c>
      <c r="JY616" s="27" t="s">
        <v>8</v>
      </c>
      <c r="JZ616" s="27" t="s">
        <v>7</v>
      </c>
      <c r="KA616" s="27" t="s">
        <v>8</v>
      </c>
      <c r="KB616" s="27" t="s">
        <v>7</v>
      </c>
      <c r="KG616" s="27" t="s">
        <v>8</v>
      </c>
      <c r="LB616" s="27" t="s">
        <v>7</v>
      </c>
      <c r="LC616" s="27" t="s">
        <v>8</v>
      </c>
      <c r="LD616" s="27" t="s">
        <v>7</v>
      </c>
      <c r="LE616" s="27" t="s">
        <v>8</v>
      </c>
      <c r="LF616" s="27" t="s">
        <v>7</v>
      </c>
      <c r="LG616" s="27" t="s">
        <v>8</v>
      </c>
      <c r="LH616" s="27" t="s">
        <v>7</v>
      </c>
      <c r="LI616" s="27" t="s">
        <v>8</v>
      </c>
    </row>
    <row r="617" spans="1:339" x14ac:dyDescent="0.25">
      <c r="A617" s="7">
        <v>0.55207088897991208</v>
      </c>
      <c r="B617"/>
      <c r="C617"/>
      <c r="D617"/>
      <c r="E617"/>
      <c r="F617" s="27" t="s">
        <v>7</v>
      </c>
      <c r="HK617" s="27" t="s">
        <v>8</v>
      </c>
      <c r="IN617" s="27" t="s">
        <v>7</v>
      </c>
      <c r="IO617" s="27" t="s">
        <v>8</v>
      </c>
      <c r="IP617" s="27" t="s">
        <v>7</v>
      </c>
      <c r="IQ617" s="27" t="s">
        <v>8</v>
      </c>
      <c r="IR617" s="27" t="s">
        <v>7</v>
      </c>
      <c r="IS617" s="27" t="s">
        <v>8</v>
      </c>
      <c r="IT617" s="27" t="s">
        <v>7</v>
      </c>
      <c r="IU617" s="27" t="s">
        <v>8</v>
      </c>
      <c r="IZ617" s="27" t="s">
        <v>7</v>
      </c>
      <c r="JB617" s="27" t="s">
        <v>7</v>
      </c>
      <c r="JC617" s="27" t="s">
        <v>8</v>
      </c>
      <c r="JD617" s="27" t="s">
        <v>7</v>
      </c>
      <c r="JE617" s="27" t="s">
        <v>8</v>
      </c>
      <c r="JF617" s="27" t="s">
        <v>7</v>
      </c>
      <c r="JH617" s="27" t="s">
        <v>7</v>
      </c>
      <c r="JY617" s="27" t="s">
        <v>8</v>
      </c>
      <c r="JZ617" s="27" t="s">
        <v>7</v>
      </c>
      <c r="KA617" s="27" t="s">
        <v>8</v>
      </c>
      <c r="KB617" s="27" t="s">
        <v>7</v>
      </c>
      <c r="KG617" s="27" t="s">
        <v>8</v>
      </c>
      <c r="LB617" s="27" t="s">
        <v>7</v>
      </c>
      <c r="LC617" s="27" t="s">
        <v>8</v>
      </c>
      <c r="LD617" s="27" t="s">
        <v>7</v>
      </c>
      <c r="LE617" s="27" t="s">
        <v>8</v>
      </c>
      <c r="LF617" s="27" t="s">
        <v>7</v>
      </c>
      <c r="LG617" s="27" t="s">
        <v>8</v>
      </c>
      <c r="LH617" s="27" t="s">
        <v>7</v>
      </c>
      <c r="LI617" s="27" t="s">
        <v>8</v>
      </c>
    </row>
    <row r="618" spans="1:339" x14ac:dyDescent="0.25">
      <c r="A618" s="7">
        <v>0.54124596958814908</v>
      </c>
      <c r="B618"/>
      <c r="C618"/>
      <c r="D618"/>
      <c r="E618"/>
      <c r="F618" s="27" t="s">
        <v>7</v>
      </c>
      <c r="HK618" s="27" t="s">
        <v>8</v>
      </c>
      <c r="IN618" s="27" t="s">
        <v>7</v>
      </c>
      <c r="IO618" s="27" t="s">
        <v>8</v>
      </c>
      <c r="IP618" s="27" t="s">
        <v>7</v>
      </c>
      <c r="IQ618" s="27" t="s">
        <v>8</v>
      </c>
      <c r="IR618" s="27" t="s">
        <v>7</v>
      </c>
      <c r="IS618" s="27" t="s">
        <v>8</v>
      </c>
      <c r="IT618" s="27" t="s">
        <v>7</v>
      </c>
      <c r="IU618" s="27" t="s">
        <v>8</v>
      </c>
      <c r="JB618" s="27" t="s">
        <v>7</v>
      </c>
      <c r="JC618" s="27" t="s">
        <v>8</v>
      </c>
      <c r="JD618" s="27" t="s">
        <v>7</v>
      </c>
      <c r="JE618" s="27" t="s">
        <v>8</v>
      </c>
      <c r="JH618" s="27" t="s">
        <v>7</v>
      </c>
      <c r="JY618" s="27" t="s">
        <v>8</v>
      </c>
      <c r="JZ618" s="27" t="s">
        <v>7</v>
      </c>
      <c r="KA618" s="27" t="s">
        <v>8</v>
      </c>
      <c r="KB618" s="27" t="s">
        <v>7</v>
      </c>
      <c r="KE618" s="27" t="s">
        <v>8</v>
      </c>
      <c r="KG618" s="27" t="s">
        <v>8</v>
      </c>
      <c r="LB618" s="27" t="s">
        <v>7</v>
      </c>
      <c r="LC618" s="27" t="s">
        <v>8</v>
      </c>
      <c r="LD618" s="27" t="s">
        <v>7</v>
      </c>
      <c r="LE618" s="27" t="s">
        <v>8</v>
      </c>
      <c r="LF618" s="27" t="s">
        <v>7</v>
      </c>
      <c r="LG618" s="27" t="s">
        <v>8</v>
      </c>
      <c r="LH618" s="27" t="s">
        <v>7</v>
      </c>
    </row>
    <row r="619" spans="1:339" x14ac:dyDescent="0.25">
      <c r="A619" s="7">
        <v>0.53063330351779314</v>
      </c>
      <c r="B619"/>
      <c r="C619"/>
      <c r="D619"/>
      <c r="E619"/>
      <c r="F619" s="27" t="s">
        <v>7</v>
      </c>
      <c r="HK619" s="27" t="s">
        <v>8</v>
      </c>
      <c r="IN619" s="27" t="s">
        <v>7</v>
      </c>
      <c r="IO619" s="27" t="s">
        <v>8</v>
      </c>
      <c r="IP619" s="27" t="s">
        <v>7</v>
      </c>
      <c r="IQ619" s="27" t="s">
        <v>8</v>
      </c>
      <c r="IR619" s="27" t="s">
        <v>7</v>
      </c>
      <c r="IS619" s="27" t="s">
        <v>8</v>
      </c>
      <c r="IT619" s="27" t="s">
        <v>7</v>
      </c>
      <c r="IU619" s="27" t="s">
        <v>8</v>
      </c>
      <c r="JB619" s="27" t="s">
        <v>7</v>
      </c>
      <c r="JC619" s="27" t="s">
        <v>8</v>
      </c>
      <c r="JD619" s="27" t="s">
        <v>7</v>
      </c>
      <c r="JE619" s="27" t="s">
        <v>8</v>
      </c>
      <c r="JH619" s="27" t="s">
        <v>7</v>
      </c>
      <c r="JI619" s="27" t="s">
        <v>8</v>
      </c>
      <c r="JY619" s="27" t="s">
        <v>8</v>
      </c>
      <c r="JZ619" s="27" t="s">
        <v>7</v>
      </c>
      <c r="KA619" s="27" t="s">
        <v>8</v>
      </c>
      <c r="KB619" s="27" t="s">
        <v>7</v>
      </c>
      <c r="KC619" s="27" t="s">
        <v>8</v>
      </c>
      <c r="KE619" s="27" t="s">
        <v>8</v>
      </c>
      <c r="KF619" s="27" t="s">
        <v>7</v>
      </c>
      <c r="KG619" s="27" t="s">
        <v>8</v>
      </c>
      <c r="LB619" s="27" t="s">
        <v>7</v>
      </c>
      <c r="LC619" s="27" t="s">
        <v>8</v>
      </c>
      <c r="LD619" s="27" t="s">
        <v>7</v>
      </c>
      <c r="LE619" s="27" t="s">
        <v>8</v>
      </c>
      <c r="LF619" s="27" t="s">
        <v>7</v>
      </c>
      <c r="LG619" s="27" t="s">
        <v>8</v>
      </c>
    </row>
    <row r="620" spans="1:339" x14ac:dyDescent="0.25">
      <c r="A620" s="7">
        <v>0.52022872893901284</v>
      </c>
      <c r="B620"/>
      <c r="C620"/>
      <c r="D620"/>
      <c r="E620"/>
      <c r="F620" s="27" t="s">
        <v>7</v>
      </c>
      <c r="HK620" s="27" t="s">
        <v>8</v>
      </c>
      <c r="IN620" s="27" t="s">
        <v>7</v>
      </c>
      <c r="IO620" s="27" t="s">
        <v>8</v>
      </c>
      <c r="IP620" s="27" t="s">
        <v>7</v>
      </c>
      <c r="IQ620" s="27" t="s">
        <v>8</v>
      </c>
      <c r="IR620" s="27" t="s">
        <v>7</v>
      </c>
      <c r="IS620" s="27" t="s">
        <v>8</v>
      </c>
      <c r="IT620" s="27" t="s">
        <v>7</v>
      </c>
      <c r="IU620" s="27" t="s">
        <v>8</v>
      </c>
      <c r="JB620" s="27" t="s">
        <v>7</v>
      </c>
      <c r="JC620" s="27" t="s">
        <v>8</v>
      </c>
      <c r="JD620" s="27" t="s">
        <v>7</v>
      </c>
      <c r="JE620" s="27" t="s">
        <v>8</v>
      </c>
      <c r="JH620" s="27" t="s">
        <v>7</v>
      </c>
      <c r="JI620" s="27" t="s">
        <v>8</v>
      </c>
      <c r="JJ620" s="27" t="s">
        <v>7</v>
      </c>
      <c r="JM620" s="27" t="s">
        <v>8</v>
      </c>
      <c r="JY620" s="27" t="s">
        <v>8</v>
      </c>
      <c r="JZ620" s="27" t="s">
        <v>7</v>
      </c>
      <c r="KA620" s="27" t="s">
        <v>8</v>
      </c>
      <c r="KB620" s="27" t="s">
        <v>7</v>
      </c>
      <c r="KC620" s="27" t="s">
        <v>8</v>
      </c>
      <c r="KD620" s="27" t="s">
        <v>7</v>
      </c>
      <c r="KE620" s="27" t="s">
        <v>8</v>
      </c>
      <c r="KF620" s="27" t="s">
        <v>7</v>
      </c>
      <c r="KG620" s="27" t="s">
        <v>8</v>
      </c>
      <c r="LB620" s="27" t="s">
        <v>7</v>
      </c>
      <c r="LD620" s="27" t="s">
        <v>7</v>
      </c>
      <c r="LE620" s="27" t="s">
        <v>8</v>
      </c>
      <c r="LF620" s="27" t="s">
        <v>7</v>
      </c>
      <c r="LG620" s="27" t="s">
        <v>8</v>
      </c>
    </row>
    <row r="621" spans="1:339" x14ac:dyDescent="0.25">
      <c r="A621" s="7">
        <v>0.51002816562648323</v>
      </c>
      <c r="B621"/>
      <c r="C621"/>
      <c r="D621"/>
      <c r="E621"/>
      <c r="F621" s="27" t="s">
        <v>7</v>
      </c>
      <c r="HK621" s="27" t="s">
        <v>8</v>
      </c>
      <c r="IN621" s="27" t="s">
        <v>7</v>
      </c>
      <c r="IO621" s="27" t="s">
        <v>8</v>
      </c>
      <c r="IP621" s="27" t="s">
        <v>7</v>
      </c>
      <c r="IR621" s="27" t="s">
        <v>7</v>
      </c>
      <c r="IS621" s="27" t="s">
        <v>8</v>
      </c>
      <c r="IT621" s="27" t="s">
        <v>7</v>
      </c>
      <c r="IU621" s="27" t="s">
        <v>8</v>
      </c>
      <c r="JB621" s="27" t="s">
        <v>7</v>
      </c>
      <c r="JC621" s="27" t="s">
        <v>8</v>
      </c>
      <c r="JD621" s="27" t="s">
        <v>7</v>
      </c>
      <c r="JH621" s="27" t="s">
        <v>7</v>
      </c>
      <c r="JI621" s="27" t="s">
        <v>8</v>
      </c>
      <c r="JJ621" s="27" t="s">
        <v>7</v>
      </c>
      <c r="JM621" s="27" t="s">
        <v>8</v>
      </c>
      <c r="JN621" s="27" t="s">
        <v>7</v>
      </c>
      <c r="JQ621" s="27" t="s">
        <v>8</v>
      </c>
      <c r="JY621" s="27" t="s">
        <v>8</v>
      </c>
      <c r="JZ621" s="27" t="s">
        <v>7</v>
      </c>
      <c r="KA621" s="27" t="s">
        <v>8</v>
      </c>
      <c r="KB621" s="27" t="s">
        <v>7</v>
      </c>
      <c r="KC621" s="27" t="s">
        <v>8</v>
      </c>
      <c r="KD621" s="27" t="s">
        <v>7</v>
      </c>
      <c r="KE621" s="27" t="s">
        <v>8</v>
      </c>
      <c r="KF621" s="27" t="s">
        <v>7</v>
      </c>
      <c r="KG621" s="27" t="s">
        <v>8</v>
      </c>
      <c r="LD621" s="27" t="s">
        <v>7</v>
      </c>
      <c r="LE621" s="27" t="s">
        <v>8</v>
      </c>
      <c r="LF621" s="27" t="s">
        <v>7</v>
      </c>
      <c r="LG621" s="27" t="s">
        <v>8</v>
      </c>
    </row>
    <row r="622" spans="1:339" x14ac:dyDescent="0.25">
      <c r="A622" s="7">
        <v>0.50002761335929735</v>
      </c>
      <c r="B622"/>
      <c r="C622"/>
      <c r="D622"/>
      <c r="E622"/>
      <c r="F622" s="27" t="s">
        <v>7</v>
      </c>
      <c r="HK622" s="27" t="s">
        <v>8</v>
      </c>
      <c r="IN622" s="27" t="s">
        <v>7</v>
      </c>
      <c r="IO622" s="27" t="s">
        <v>8</v>
      </c>
      <c r="IR622" s="27" t="s">
        <v>7</v>
      </c>
      <c r="IS622" s="27" t="s">
        <v>8</v>
      </c>
      <c r="IT622" s="27" t="s">
        <v>7</v>
      </c>
      <c r="IU622" s="27" t="s">
        <v>8</v>
      </c>
      <c r="JB622" s="27" t="s">
        <v>7</v>
      </c>
      <c r="JC622" s="27" t="s">
        <v>8</v>
      </c>
      <c r="JH622" s="27" t="s">
        <v>7</v>
      </c>
      <c r="JJ622" s="27" t="s">
        <v>7</v>
      </c>
      <c r="JM622" s="27" t="s">
        <v>8</v>
      </c>
      <c r="JN622" s="27" t="s">
        <v>7</v>
      </c>
      <c r="JQ622" s="27" t="s">
        <v>8</v>
      </c>
      <c r="JR622" s="27" t="s">
        <v>7</v>
      </c>
      <c r="JY622" s="27" t="s">
        <v>8</v>
      </c>
      <c r="JZ622" s="27" t="s">
        <v>7</v>
      </c>
      <c r="KA622" s="27" t="s">
        <v>8</v>
      </c>
      <c r="KB622" s="27" t="s">
        <v>7</v>
      </c>
      <c r="KD622" s="27" t="s">
        <v>7</v>
      </c>
      <c r="KE622" s="27" t="s">
        <v>8</v>
      </c>
      <c r="KF622" s="27" t="s">
        <v>7</v>
      </c>
      <c r="KG622" s="27" t="s">
        <v>8</v>
      </c>
      <c r="LD622" s="27" t="s">
        <v>7</v>
      </c>
      <c r="LF622" s="27" t="s">
        <v>7</v>
      </c>
    </row>
    <row r="623" spans="1:339" x14ac:dyDescent="0.25">
      <c r="A623" s="7">
        <v>0.49022315035225228</v>
      </c>
      <c r="B623"/>
      <c r="C623"/>
      <c r="D623"/>
      <c r="E623"/>
      <c r="F623" s="27" t="s">
        <v>7</v>
      </c>
      <c r="HK623" s="27" t="s">
        <v>8</v>
      </c>
      <c r="IN623" s="27" t="s">
        <v>7</v>
      </c>
      <c r="IO623" s="27" t="s">
        <v>8</v>
      </c>
      <c r="IR623" s="27" t="s">
        <v>7</v>
      </c>
      <c r="IS623" s="27" t="s">
        <v>8</v>
      </c>
      <c r="IT623" s="27" t="s">
        <v>7</v>
      </c>
      <c r="JB623" s="27" t="s">
        <v>7</v>
      </c>
      <c r="JC623" s="27" t="s">
        <v>8</v>
      </c>
      <c r="JJ623" s="27" t="s">
        <v>7</v>
      </c>
      <c r="JM623" s="27" t="s">
        <v>8</v>
      </c>
      <c r="JN623" s="27" t="s">
        <v>7</v>
      </c>
      <c r="JQ623" s="27" t="s">
        <v>8</v>
      </c>
      <c r="JR623" s="27" t="s">
        <v>7</v>
      </c>
      <c r="JY623" s="27" t="s">
        <v>8</v>
      </c>
      <c r="JZ623" s="27" t="s">
        <v>7</v>
      </c>
      <c r="KA623" s="27" t="s">
        <v>8</v>
      </c>
      <c r="KD623" s="27" t="s">
        <v>7</v>
      </c>
      <c r="KF623" s="27" t="s">
        <v>7</v>
      </c>
      <c r="KG623" s="27" t="s">
        <v>8</v>
      </c>
    </row>
    <row r="624" spans="1:339" x14ac:dyDescent="0.25">
      <c r="A624" s="7">
        <v>0.48061093171789437</v>
      </c>
      <c r="B624"/>
      <c r="C624"/>
      <c r="D624"/>
      <c r="E624"/>
      <c r="F624" s="27" t="s">
        <v>7</v>
      </c>
      <c r="HK624" s="27" t="s">
        <v>8</v>
      </c>
      <c r="IN624" s="27" t="s">
        <v>7</v>
      </c>
      <c r="IO624" s="27" t="s">
        <v>8</v>
      </c>
      <c r="IR624" s="27" t="s">
        <v>7</v>
      </c>
      <c r="IS624" s="27" t="s">
        <v>8</v>
      </c>
      <c r="JB624" s="27" t="s">
        <v>7</v>
      </c>
      <c r="JC624" s="27" t="s">
        <v>8</v>
      </c>
      <c r="JJ624" s="27" t="s">
        <v>7</v>
      </c>
      <c r="JM624" s="27" t="s">
        <v>8</v>
      </c>
      <c r="JN624" s="27" t="s">
        <v>7</v>
      </c>
      <c r="JQ624" s="27" t="s">
        <v>8</v>
      </c>
      <c r="JR624" s="27" t="s">
        <v>7</v>
      </c>
      <c r="JY624" s="27" t="s">
        <v>8</v>
      </c>
      <c r="JZ624" s="27" t="s">
        <v>7</v>
      </c>
      <c r="KA624" s="18" t="s">
        <v>8</v>
      </c>
      <c r="KF624" s="27" t="s">
        <v>7</v>
      </c>
    </row>
    <row r="625" spans="1:287" x14ac:dyDescent="0.25">
      <c r="A625" s="7">
        <v>0.47118718795871994</v>
      </c>
      <c r="B625"/>
      <c r="C625"/>
      <c r="D625"/>
      <c r="E625"/>
      <c r="F625" s="27" t="s">
        <v>7</v>
      </c>
      <c r="HK625" s="27" t="s">
        <v>8</v>
      </c>
      <c r="IN625" s="27" t="s">
        <v>7</v>
      </c>
      <c r="IO625" s="27" t="s">
        <v>8</v>
      </c>
      <c r="IR625" s="27" t="s">
        <v>7</v>
      </c>
      <c r="IS625" s="27" t="s">
        <v>8</v>
      </c>
      <c r="JB625" s="27" t="s">
        <v>7</v>
      </c>
      <c r="JJ625" s="27" t="s">
        <v>7</v>
      </c>
      <c r="JM625" s="27" t="s">
        <v>8</v>
      </c>
      <c r="JN625" s="27" t="s">
        <v>7</v>
      </c>
      <c r="JQ625" s="27" t="s">
        <v>8</v>
      </c>
      <c r="JR625" s="27" t="s">
        <v>7</v>
      </c>
      <c r="JS625" s="27" t="s">
        <v>8</v>
      </c>
      <c r="JY625" s="27" t="s">
        <v>8</v>
      </c>
      <c r="JZ625" s="27" t="s">
        <v>7</v>
      </c>
      <c r="KA625" s="27" t="s">
        <v>8</v>
      </c>
    </row>
    <row r="626" spans="1:287" x14ac:dyDescent="0.25">
      <c r="A626" s="7">
        <v>0.46194822348894116</v>
      </c>
      <c r="B626"/>
      <c r="C626"/>
      <c r="D626"/>
      <c r="E626"/>
      <c r="F626" s="27" t="s">
        <v>7</v>
      </c>
      <c r="HK626" s="27" t="s">
        <v>8</v>
      </c>
      <c r="IN626" s="27" t="s">
        <v>7</v>
      </c>
      <c r="IO626" s="27" t="s">
        <v>8</v>
      </c>
      <c r="IR626" s="27" t="s">
        <v>7</v>
      </c>
      <c r="IS626" s="27" t="s">
        <v>8</v>
      </c>
      <c r="JJ626" s="27" t="s">
        <v>7</v>
      </c>
      <c r="JM626" s="27" t="s">
        <v>8</v>
      </c>
      <c r="JN626" s="27" t="s">
        <v>7</v>
      </c>
      <c r="JQ626" s="27" t="s">
        <v>8</v>
      </c>
      <c r="JR626" s="27" t="s">
        <v>7</v>
      </c>
      <c r="JS626" s="27" t="s">
        <v>8</v>
      </c>
      <c r="JT626" s="27" t="s">
        <v>7</v>
      </c>
      <c r="JW626" s="27" t="s">
        <v>8</v>
      </c>
      <c r="JY626" s="27" t="s">
        <v>8</v>
      </c>
      <c r="JZ626" s="27" t="s">
        <v>7</v>
      </c>
      <c r="KA626" s="27" t="s">
        <v>8</v>
      </c>
    </row>
    <row r="627" spans="1:287" x14ac:dyDescent="0.25">
      <c r="A627" s="7">
        <v>0.45289041518523643</v>
      </c>
      <c r="B627"/>
      <c r="C627"/>
      <c r="D627"/>
      <c r="E627"/>
      <c r="F627" s="27" t="s">
        <v>7</v>
      </c>
      <c r="HK627" s="27" t="s">
        <v>8</v>
      </c>
      <c r="IN627" s="27" t="s">
        <v>7</v>
      </c>
      <c r="IR627" s="27" t="s">
        <v>7</v>
      </c>
      <c r="IS627" s="27" t="s">
        <v>8</v>
      </c>
      <c r="JJ627" s="27" t="s">
        <v>7</v>
      </c>
      <c r="JM627" s="27" t="s">
        <v>8</v>
      </c>
      <c r="JN627" s="27" t="s">
        <v>7</v>
      </c>
      <c r="JQ627" s="27" t="s">
        <v>8</v>
      </c>
      <c r="JR627" s="27" t="s">
        <v>7</v>
      </c>
      <c r="JS627" s="27" t="s">
        <v>8</v>
      </c>
      <c r="JT627" s="27" t="s">
        <v>7</v>
      </c>
      <c r="JW627" s="27" t="s">
        <v>8</v>
      </c>
      <c r="JX627" s="27" t="s">
        <v>7</v>
      </c>
      <c r="JY627" s="27" t="s">
        <v>8</v>
      </c>
      <c r="JZ627" s="27" t="s">
        <v>7</v>
      </c>
      <c r="KA627" s="27" t="s">
        <v>8</v>
      </c>
    </row>
    <row r="628" spans="1:287" x14ac:dyDescent="0.25">
      <c r="A628" s="7">
        <v>0.44401021096591808</v>
      </c>
      <c r="B628"/>
      <c r="C628"/>
      <c r="D628"/>
      <c r="E628"/>
      <c r="F628" s="27" t="s">
        <v>7</v>
      </c>
      <c r="HK628" s="27" t="s">
        <v>8</v>
      </c>
      <c r="IR628" s="27" t="s">
        <v>7</v>
      </c>
      <c r="IS628" s="27" t="s">
        <v>8</v>
      </c>
      <c r="JJ628" s="27" t="s">
        <v>7</v>
      </c>
      <c r="JK628" s="27" t="s">
        <v>8</v>
      </c>
      <c r="JM628" s="27" t="s">
        <v>8</v>
      </c>
      <c r="JN628" s="27" t="s">
        <v>7</v>
      </c>
      <c r="JQ628" s="27" t="s">
        <v>8</v>
      </c>
      <c r="JR628" s="27" t="s">
        <v>7</v>
      </c>
      <c r="JS628" s="27" t="s">
        <v>8</v>
      </c>
      <c r="JT628" s="27" t="s">
        <v>7</v>
      </c>
      <c r="JW628" s="27" t="s">
        <v>8</v>
      </c>
      <c r="JX628" s="27" t="s">
        <v>7</v>
      </c>
      <c r="JY628" s="27" t="s">
        <v>8</v>
      </c>
      <c r="JZ628" s="27" t="s">
        <v>7</v>
      </c>
      <c r="KA628" s="27" t="s">
        <v>8</v>
      </c>
    </row>
    <row r="629" spans="1:287" x14ac:dyDescent="0.25">
      <c r="A629" s="7">
        <v>0.4353041283979589</v>
      </c>
      <c r="B629"/>
      <c r="C629"/>
      <c r="D629"/>
      <c r="E629"/>
      <c r="F629" s="27" t="s">
        <v>7</v>
      </c>
      <c r="HK629" s="27" t="s">
        <v>8</v>
      </c>
      <c r="IR629" s="27" t="s">
        <v>7</v>
      </c>
      <c r="IS629" s="27" t="s">
        <v>8</v>
      </c>
      <c r="JJ629" s="27" t="s">
        <v>7</v>
      </c>
      <c r="JK629" s="27" t="s">
        <v>8</v>
      </c>
      <c r="JL629" s="27" t="s">
        <v>7</v>
      </c>
      <c r="JM629" s="27" t="s">
        <v>8</v>
      </c>
      <c r="JN629" s="27" t="s">
        <v>7</v>
      </c>
      <c r="JQ629" s="27" t="s">
        <v>8</v>
      </c>
      <c r="JR629" s="27" t="s">
        <v>7</v>
      </c>
      <c r="JS629" s="27" t="s">
        <v>8</v>
      </c>
      <c r="JT629" s="27" t="s">
        <v>7</v>
      </c>
      <c r="JU629" s="27" t="s">
        <v>8</v>
      </c>
      <c r="JW629" s="27" t="s">
        <v>8</v>
      </c>
      <c r="JX629" s="27" t="s">
        <v>7</v>
      </c>
      <c r="JY629" s="27" t="s">
        <v>8</v>
      </c>
      <c r="JZ629" s="27" t="s">
        <v>7</v>
      </c>
      <c r="KA629" s="27" t="s">
        <v>8</v>
      </c>
    </row>
    <row r="630" spans="1:287" x14ac:dyDescent="0.25">
      <c r="A630" s="7">
        <v>0.4267687533313323</v>
      </c>
      <c r="B630"/>
      <c r="C630"/>
      <c r="D630"/>
      <c r="E630"/>
      <c r="F630" s="27" t="s">
        <v>7</v>
      </c>
      <c r="HK630" s="27" t="s">
        <v>8</v>
      </c>
      <c r="IR630" s="27" t="s">
        <v>7</v>
      </c>
      <c r="IS630" s="27" t="s">
        <v>8</v>
      </c>
      <c r="JJ630" s="27" t="s">
        <v>7</v>
      </c>
      <c r="JK630" s="27" t="s">
        <v>8</v>
      </c>
      <c r="JL630" s="27" t="s">
        <v>7</v>
      </c>
      <c r="JM630" s="27" t="s">
        <v>8</v>
      </c>
      <c r="JN630" s="27" t="s">
        <v>7</v>
      </c>
      <c r="JQ630" s="27" t="s">
        <v>8</v>
      </c>
      <c r="JR630" s="27" t="s">
        <v>7</v>
      </c>
      <c r="JS630" s="27" t="s">
        <v>8</v>
      </c>
      <c r="JT630" s="27" t="s">
        <v>7</v>
      </c>
      <c r="JU630" s="27" t="s">
        <v>8</v>
      </c>
      <c r="JV630" s="27" t="s">
        <v>7</v>
      </c>
      <c r="JW630" s="27" t="s">
        <v>8</v>
      </c>
      <c r="JX630" s="27" t="s">
        <v>7</v>
      </c>
      <c r="JY630" s="27" t="s">
        <v>8</v>
      </c>
      <c r="JZ630" s="27" t="s">
        <v>7</v>
      </c>
    </row>
    <row r="631" spans="1:287" x14ac:dyDescent="0.25">
      <c r="A631" s="7">
        <v>0.41840073856012971</v>
      </c>
      <c r="B631"/>
      <c r="C631"/>
      <c r="D631"/>
      <c r="E631"/>
      <c r="F631" s="27" t="s">
        <v>7</v>
      </c>
      <c r="HK631" s="27" t="s">
        <v>8</v>
      </c>
      <c r="IR631" s="27" t="s">
        <v>7</v>
      </c>
      <c r="IS631" s="27" t="s">
        <v>8</v>
      </c>
      <c r="JJ631" s="27" t="s">
        <v>7</v>
      </c>
      <c r="JK631" s="27" t="s">
        <v>8</v>
      </c>
      <c r="JL631" s="27" t="s">
        <v>7</v>
      </c>
      <c r="JM631" s="27" t="s">
        <v>8</v>
      </c>
      <c r="JN631" s="27" t="s">
        <v>7</v>
      </c>
      <c r="JO631" s="27" t="s">
        <v>8</v>
      </c>
      <c r="JQ631" s="27" t="s">
        <v>8</v>
      </c>
      <c r="JR631" s="27" t="s">
        <v>7</v>
      </c>
      <c r="JS631" s="27" t="s">
        <v>8</v>
      </c>
      <c r="JT631" s="27" t="s">
        <v>7</v>
      </c>
      <c r="JU631" s="27" t="s">
        <v>8</v>
      </c>
      <c r="JV631" s="27" t="s">
        <v>7</v>
      </c>
      <c r="JW631" s="27" t="s">
        <v>8</v>
      </c>
      <c r="JX631" s="27" t="s">
        <v>7</v>
      </c>
      <c r="JY631" s="27" t="s">
        <v>8</v>
      </c>
    </row>
    <row r="632" spans="1:287" x14ac:dyDescent="0.25">
      <c r="A632" s="7">
        <v>0.41019680250993112</v>
      </c>
      <c r="B632"/>
      <c r="C632"/>
      <c r="D632"/>
      <c r="E632"/>
      <c r="F632" s="27" t="s">
        <v>7</v>
      </c>
      <c r="HK632" s="27" t="s">
        <v>8</v>
      </c>
      <c r="IR632" s="27" t="s">
        <v>7</v>
      </c>
      <c r="IS632" s="27" t="s">
        <v>8</v>
      </c>
      <c r="JJ632" s="27" t="s">
        <v>7</v>
      </c>
      <c r="JK632" s="27" t="s">
        <v>8</v>
      </c>
      <c r="JL632" s="27" t="s">
        <v>7</v>
      </c>
      <c r="JM632" s="27" t="s">
        <v>8</v>
      </c>
      <c r="JN632" s="27" t="s">
        <v>7</v>
      </c>
      <c r="JO632" s="27" t="s">
        <v>8</v>
      </c>
      <c r="JP632" s="27" t="s">
        <v>7</v>
      </c>
      <c r="JQ632" s="27" t="s">
        <v>8</v>
      </c>
      <c r="JR632" s="27" t="s">
        <v>7</v>
      </c>
      <c r="JT632" s="27" t="s">
        <v>7</v>
      </c>
      <c r="JV632" s="27" t="s">
        <v>7</v>
      </c>
      <c r="JW632" s="27" t="s">
        <v>8</v>
      </c>
      <c r="JX632" s="27" t="s">
        <v>7</v>
      </c>
      <c r="JY632" s="27" t="s">
        <v>8</v>
      </c>
    </row>
    <row r="633" spans="1:287" x14ac:dyDescent="0.25">
      <c r="A633" s="7">
        <v>0.40215372795091286</v>
      </c>
      <c r="B633"/>
      <c r="C633"/>
      <c r="D633"/>
      <c r="E633"/>
      <c r="F633" s="27" t="s">
        <v>7</v>
      </c>
      <c r="HK633" s="27" t="s">
        <v>8</v>
      </c>
      <c r="IR633" s="27" t="s">
        <v>7</v>
      </c>
      <c r="IS633" s="27" t="s">
        <v>8</v>
      </c>
      <c r="JJ633" s="27" t="s">
        <v>7</v>
      </c>
      <c r="JK633" s="27" t="s">
        <v>8</v>
      </c>
      <c r="JL633" s="27" t="s">
        <v>7</v>
      </c>
      <c r="JM633" s="27" t="s">
        <v>8</v>
      </c>
      <c r="JN633" s="27" t="s">
        <v>7</v>
      </c>
      <c r="JO633" s="27" t="s">
        <v>8</v>
      </c>
      <c r="JP633" s="27" t="s">
        <v>7</v>
      </c>
      <c r="JQ633" s="27" t="s">
        <v>8</v>
      </c>
      <c r="JV633" s="27" t="s">
        <v>7</v>
      </c>
      <c r="JX633" s="27" t="s">
        <v>7</v>
      </c>
    </row>
    <row r="634" spans="1:287" x14ac:dyDescent="0.25">
      <c r="A634" s="7">
        <v>0.39426836073618904</v>
      </c>
      <c r="B634"/>
      <c r="C634"/>
      <c r="D634"/>
      <c r="E634"/>
      <c r="F634" s="27" t="s">
        <v>7</v>
      </c>
      <c r="HK634" s="27" t="s">
        <v>8</v>
      </c>
      <c r="IR634" s="27" t="s">
        <v>7</v>
      </c>
      <c r="IS634" s="27" t="s">
        <v>8</v>
      </c>
      <c r="JJ634" s="27" t="s">
        <v>7</v>
      </c>
      <c r="JK634" s="27" t="s">
        <v>8</v>
      </c>
      <c r="JL634" s="27" t="s">
        <v>7</v>
      </c>
      <c r="JM634" s="27" t="s">
        <v>8</v>
      </c>
      <c r="JN634" s="27" t="s">
        <v>7</v>
      </c>
      <c r="JO634" s="27" t="s">
        <v>8</v>
      </c>
      <c r="JP634" s="27" t="s">
        <v>7</v>
      </c>
      <c r="JQ634" s="27" t="s">
        <v>8</v>
      </c>
    </row>
    <row r="635" spans="1:287" x14ac:dyDescent="0.25">
      <c r="A635" s="7">
        <v>0.38653760856489122</v>
      </c>
      <c r="B635"/>
      <c r="C635"/>
      <c r="D635"/>
      <c r="E635"/>
      <c r="F635" s="27" t="s">
        <v>7</v>
      </c>
      <c r="HK635" s="27" t="s">
        <v>8</v>
      </c>
      <c r="IR635" s="27" t="s">
        <v>7</v>
      </c>
      <c r="IS635" s="27" t="s">
        <v>8</v>
      </c>
      <c r="JJ635" s="27" t="s">
        <v>7</v>
      </c>
      <c r="JK635" s="27" t="s">
        <v>8</v>
      </c>
      <c r="JL635" s="27" t="s">
        <v>7</v>
      </c>
      <c r="JM635" s="27" t="s">
        <v>8</v>
      </c>
      <c r="JN635" s="27" t="s">
        <v>7</v>
      </c>
      <c r="JO635" s="27" t="s">
        <v>8</v>
      </c>
      <c r="JP635" s="27" t="s">
        <v>7</v>
      </c>
      <c r="JQ635" s="27" t="s">
        <v>8</v>
      </c>
    </row>
    <row r="636" spans="1:287" x14ac:dyDescent="0.25">
      <c r="A636" s="7">
        <v>0.37895843976950117</v>
      </c>
      <c r="B636"/>
      <c r="C636"/>
      <c r="D636"/>
      <c r="E636"/>
      <c r="F636" s="27" t="s">
        <v>7</v>
      </c>
      <c r="HK636" s="27" t="s">
        <v>8</v>
      </c>
      <c r="IR636" s="27" t="s">
        <v>7</v>
      </c>
      <c r="IS636" s="27" t="s">
        <v>8</v>
      </c>
      <c r="JJ636" s="27" t="s">
        <v>7</v>
      </c>
      <c r="JK636" s="27" t="s">
        <v>8</v>
      </c>
      <c r="JL636" s="27" t="s">
        <v>7</v>
      </c>
      <c r="JM636" s="27" t="s">
        <v>8</v>
      </c>
      <c r="JN636" s="27" t="s">
        <v>7</v>
      </c>
      <c r="JO636" s="27" t="s">
        <v>8</v>
      </c>
      <c r="JP636" s="27" t="s">
        <v>7</v>
      </c>
      <c r="JQ636" s="27" t="s">
        <v>8</v>
      </c>
    </row>
    <row r="637" spans="1:287" x14ac:dyDescent="0.25">
      <c r="A637" s="7">
        <v>0.37152788212696197</v>
      </c>
      <c r="B637"/>
      <c r="C637"/>
      <c r="D637"/>
      <c r="E637"/>
      <c r="F637" s="27" t="s">
        <v>7</v>
      </c>
      <c r="HK637" s="27" t="s">
        <v>8</v>
      </c>
      <c r="IR637" s="27" t="s">
        <v>7</v>
      </c>
      <c r="IS637" s="27" t="s">
        <v>8</v>
      </c>
      <c r="JJ637" s="27" t="s">
        <v>7</v>
      </c>
      <c r="JK637" s="27" t="s">
        <v>8</v>
      </c>
      <c r="JL637" s="27" t="s">
        <v>7</v>
      </c>
      <c r="JM637" s="27" t="s">
        <v>8</v>
      </c>
      <c r="JN637" s="27" t="s">
        <v>7</v>
      </c>
      <c r="JO637" s="27" t="s">
        <v>8</v>
      </c>
      <c r="JP637" s="27" t="s">
        <v>7</v>
      </c>
      <c r="JQ637" s="27" t="s">
        <v>8</v>
      </c>
    </row>
    <row r="638" spans="1:287" x14ac:dyDescent="0.25">
      <c r="A638" s="7">
        <v>0.36424302169310002</v>
      </c>
      <c r="B638"/>
      <c r="C638"/>
      <c r="D638"/>
      <c r="E638"/>
      <c r="F638" s="27" t="s">
        <v>7</v>
      </c>
      <c r="HK638" s="27" t="s">
        <v>8</v>
      </c>
      <c r="IR638" s="27" t="s">
        <v>7</v>
      </c>
      <c r="JJ638" s="27" t="s">
        <v>7</v>
      </c>
      <c r="JK638" s="27" t="s">
        <v>8</v>
      </c>
      <c r="JL638" s="27" t="s">
        <v>7</v>
      </c>
      <c r="JM638" s="27" t="s">
        <v>8</v>
      </c>
      <c r="JN638" s="27" t="s">
        <v>7</v>
      </c>
      <c r="JP638" s="27" t="s">
        <v>7</v>
      </c>
      <c r="JQ638" s="27" t="s">
        <v>8</v>
      </c>
    </row>
    <row r="639" spans="1:287" x14ac:dyDescent="0.25">
      <c r="A639" s="7">
        <v>0.35710100165990194</v>
      </c>
      <c r="B639"/>
      <c r="C639"/>
      <c r="D639"/>
      <c r="E639"/>
      <c r="F639" s="27" t="s">
        <v>7</v>
      </c>
      <c r="HK639" s="27" t="s">
        <v>8</v>
      </c>
      <c r="JJ639" s="27" t="s">
        <v>7</v>
      </c>
      <c r="JK639" s="27" t="s">
        <v>8</v>
      </c>
      <c r="JL639" s="27" t="s">
        <v>7</v>
      </c>
      <c r="JM639" s="27" t="s">
        <v>8</v>
      </c>
      <c r="JP639" s="27" t="s">
        <v>7</v>
      </c>
    </row>
    <row r="640" spans="1:287" x14ac:dyDescent="0.25">
      <c r="A640" s="7">
        <v>0.35009902123519804</v>
      </c>
      <c r="B640"/>
      <c r="C640"/>
      <c r="D640"/>
      <c r="E640"/>
      <c r="F640" s="27" t="s">
        <v>7</v>
      </c>
      <c r="HK640" s="27" t="s">
        <v>8</v>
      </c>
      <c r="JJ640" s="27" t="s">
        <v>7</v>
      </c>
      <c r="JK640" s="27" t="s">
        <v>8</v>
      </c>
      <c r="JL640" s="27" t="s">
        <v>7</v>
      </c>
      <c r="JM640" s="27" t="s">
        <v>8</v>
      </c>
    </row>
    <row r="641" spans="1:273" x14ac:dyDescent="0.25">
      <c r="A641" s="7">
        <v>0.34323433454431179</v>
      </c>
      <c r="B641"/>
      <c r="C641"/>
      <c r="D641"/>
      <c r="E641"/>
      <c r="F641" s="27" t="s">
        <v>7</v>
      </c>
      <c r="HK641" s="27" t="s">
        <v>8</v>
      </c>
      <c r="JJ641" s="27" t="s">
        <v>7</v>
      </c>
      <c r="JK641" s="27" t="s">
        <v>8</v>
      </c>
      <c r="JL641" s="27" t="s">
        <v>7</v>
      </c>
      <c r="JM641" s="27" t="s">
        <v>8</v>
      </c>
    </row>
    <row r="642" spans="1:273" x14ac:dyDescent="0.25">
      <c r="A642" s="7">
        <v>0.33650424955324681</v>
      </c>
      <c r="B642"/>
      <c r="C642"/>
      <c r="D642"/>
      <c r="E642"/>
      <c r="F642" s="27" t="s">
        <v>7</v>
      </c>
      <c r="HK642" s="27" t="s">
        <v>8</v>
      </c>
      <c r="JJ642" s="27" t="s">
        <v>7</v>
      </c>
      <c r="JK642" s="27" t="s">
        <v>8</v>
      </c>
      <c r="JL642" s="27" t="s">
        <v>7</v>
      </c>
      <c r="JM642" s="27" t="s">
        <v>8</v>
      </c>
    </row>
    <row r="643" spans="1:273" x14ac:dyDescent="0.25">
      <c r="A643" s="7">
        <v>0.3299061270129871</v>
      </c>
      <c r="B643"/>
      <c r="C643"/>
      <c r="D643"/>
      <c r="E643"/>
      <c r="F643" s="27" t="s">
        <v>7</v>
      </c>
      <c r="HK643" s="27" t="s">
        <v>8</v>
      </c>
      <c r="JJ643" s="27" t="s">
        <v>7</v>
      </c>
      <c r="JL643" s="27" t="s">
        <v>7</v>
      </c>
      <c r="JM643" s="27" t="s">
        <v>8</v>
      </c>
    </row>
    <row r="644" spans="1:273" x14ac:dyDescent="0.25">
      <c r="A644" s="7">
        <v>0.32343737942449713</v>
      </c>
      <c r="B644"/>
      <c r="C644"/>
      <c r="D644"/>
      <c r="E644"/>
      <c r="F644" s="27" t="s">
        <v>7</v>
      </c>
      <c r="HK644" s="27" t="s">
        <v>8</v>
      </c>
      <c r="JL644" s="27" t="s">
        <v>7</v>
      </c>
      <c r="JM644" s="27" t="s">
        <v>8</v>
      </c>
    </row>
    <row r="645" spans="1:273" x14ac:dyDescent="0.25">
      <c r="A645" s="7">
        <v>0.31709547002401678</v>
      </c>
      <c r="B645"/>
      <c r="C645"/>
      <c r="D645"/>
      <c r="E645"/>
      <c r="F645" s="27" t="s">
        <v>7</v>
      </c>
      <c r="HK645" s="27" t="s">
        <v>8</v>
      </c>
      <c r="JL645" s="27" t="s">
        <v>7</v>
      </c>
    </row>
    <row r="646" spans="1:273" x14ac:dyDescent="0.25">
      <c r="A646" s="7">
        <v>0.31087791178825175</v>
      </c>
      <c r="B646"/>
      <c r="C646"/>
      <c r="D646"/>
      <c r="E646"/>
      <c r="F646" s="27" t="s">
        <v>7</v>
      </c>
      <c r="HK646" s="27" t="s">
        <v>8</v>
      </c>
    </row>
    <row r="647" spans="1:273" x14ac:dyDescent="0.25">
      <c r="A647" s="7">
        <v>0.30478226645907036</v>
      </c>
      <c r="B647"/>
      <c r="C647"/>
      <c r="D647"/>
      <c r="E647"/>
      <c r="F647" s="27" t="s">
        <v>7</v>
      </c>
      <c r="HK647" s="27" t="s">
        <v>8</v>
      </c>
    </row>
    <row r="648" spans="1:273" x14ac:dyDescent="0.25">
      <c r="A648" s="7">
        <v>0.29880614358732388</v>
      </c>
      <c r="B648"/>
      <c r="C648"/>
      <c r="D648"/>
      <c r="E648"/>
      <c r="F648" s="27" t="s">
        <v>7</v>
      </c>
      <c r="HK648" s="27" t="s">
        <v>8</v>
      </c>
    </row>
    <row r="649" spans="1:273" x14ac:dyDescent="0.25">
      <c r="A649" s="7">
        <v>0.2929471995954156</v>
      </c>
      <c r="B649"/>
      <c r="C649"/>
      <c r="D649"/>
      <c r="E649"/>
      <c r="F649" s="27" t="s">
        <v>7</v>
      </c>
      <c r="HK649" s="27" t="s">
        <v>8</v>
      </c>
    </row>
    <row r="650" spans="1:273" x14ac:dyDescent="0.25">
      <c r="A650" s="7">
        <v>0.28720313685825055</v>
      </c>
      <c r="B650"/>
      <c r="C650"/>
      <c r="D650"/>
      <c r="E650"/>
      <c r="F650" s="27" t="s">
        <v>7</v>
      </c>
      <c r="HK650" s="27" t="s">
        <v>8</v>
      </c>
    </row>
    <row r="651" spans="1:273" x14ac:dyDescent="0.25">
      <c r="A651" s="7">
        <v>0.28157170280220645</v>
      </c>
      <c r="B651"/>
      <c r="C651"/>
      <c r="D651"/>
      <c r="E651"/>
      <c r="F651" s="27" t="s">
        <v>7</v>
      </c>
      <c r="HK651" s="27" t="s">
        <v>8</v>
      </c>
    </row>
    <row r="652" spans="1:273" x14ac:dyDescent="0.25">
      <c r="A652" s="7">
        <v>0.27605068902177105</v>
      </c>
      <c r="B652"/>
      <c r="C652"/>
      <c r="D652"/>
      <c r="E652"/>
      <c r="F652" s="27" t="s">
        <v>7</v>
      </c>
      <c r="HK652" s="27" t="s">
        <v>8</v>
      </c>
    </row>
    <row r="653" spans="1:273" x14ac:dyDescent="0.25">
      <c r="A653" s="7">
        <v>0.27063793041350104</v>
      </c>
      <c r="B653"/>
      <c r="C653"/>
      <c r="D653"/>
      <c r="E653"/>
      <c r="F653" s="27" t="s">
        <v>7</v>
      </c>
      <c r="HK653" s="27" t="s">
        <v>8</v>
      </c>
    </row>
    <row r="654" spans="1:273" x14ac:dyDescent="0.25">
      <c r="A654" s="7">
        <v>0.26533130432696184</v>
      </c>
      <c r="B654"/>
      <c r="C654"/>
      <c r="D654"/>
      <c r="E654"/>
      <c r="F654" s="27" t="s">
        <v>7</v>
      </c>
      <c r="HK654" s="27" t="s">
        <v>8</v>
      </c>
    </row>
    <row r="655" spans="1:273" x14ac:dyDescent="0.25">
      <c r="A655" s="7">
        <v>0.26012872973231554</v>
      </c>
      <c r="B655"/>
      <c r="C655"/>
      <c r="D655"/>
      <c r="E655"/>
      <c r="F655" s="27" t="s">
        <v>7</v>
      </c>
      <c r="HK655" s="27" t="s">
        <v>8</v>
      </c>
    </row>
    <row r="656" spans="1:273" x14ac:dyDescent="0.25">
      <c r="A656" s="7">
        <v>0.25502816640423093</v>
      </c>
      <c r="B656"/>
      <c r="C656"/>
      <c r="D656"/>
      <c r="E656"/>
      <c r="F656" s="27" t="s">
        <v>7</v>
      </c>
      <c r="HK656" s="27" t="s">
        <v>8</v>
      </c>
    </row>
    <row r="657" spans="1:219" x14ac:dyDescent="0.25">
      <c r="A657" s="7">
        <v>0.25002761412179503</v>
      </c>
      <c r="B657"/>
      <c r="C657"/>
      <c r="D657"/>
      <c r="E657"/>
      <c r="F657" s="27" t="s">
        <v>7</v>
      </c>
      <c r="HK657" s="27" t="s">
        <v>8</v>
      </c>
    </row>
    <row r="658" spans="1:219" x14ac:dyDescent="0.25">
      <c r="A658" s="7">
        <v>0.24512511188411276</v>
      </c>
      <c r="B658"/>
      <c r="C658"/>
      <c r="D658"/>
      <c r="E658"/>
      <c r="F658" s="27" t="s">
        <v>7</v>
      </c>
      <c r="HK658" s="27" t="s">
        <v>8</v>
      </c>
    </row>
    <row r="659" spans="1:219" x14ac:dyDescent="0.25">
      <c r="A659" s="7">
        <v>0.24031873714128701</v>
      </c>
      <c r="B659"/>
      <c r="C659"/>
      <c r="D659"/>
      <c r="E659"/>
      <c r="F659" s="27" t="s">
        <v>7</v>
      </c>
      <c r="HK659" s="27" t="s">
        <v>8</v>
      </c>
    </row>
    <row r="660" spans="1:219" x14ac:dyDescent="0.25">
      <c r="A660" s="7">
        <v>0.23560660504047748</v>
      </c>
      <c r="B660"/>
      <c r="C660"/>
      <c r="D660"/>
      <c r="E660"/>
      <c r="F660" s="27" t="s">
        <v>7</v>
      </c>
      <c r="HK660" s="27" t="s">
        <v>8</v>
      </c>
    </row>
    <row r="661" spans="1:219" x14ac:dyDescent="0.25">
      <c r="A661" s="7">
        <v>0.23098686768674265</v>
      </c>
      <c r="B661"/>
      <c r="C661"/>
      <c r="D661"/>
      <c r="E661"/>
      <c r="F661" s="27" t="s">
        <v>7</v>
      </c>
      <c r="HK661" s="27" t="s">
        <v>8</v>
      </c>
    </row>
    <row r="662" spans="1:219" x14ac:dyDescent="0.25">
      <c r="A662" s="7">
        <v>0.22645771341837515</v>
      </c>
      <c r="B662"/>
      <c r="C662"/>
      <c r="D662"/>
      <c r="E662"/>
      <c r="F662" s="27" t="s">
        <v>7</v>
      </c>
      <c r="HK662" s="27" t="s">
        <v>8</v>
      </c>
    </row>
    <row r="663" spans="1:219" x14ac:dyDescent="0.25">
      <c r="A663" s="7">
        <v>0.22201736609644623</v>
      </c>
      <c r="B663"/>
      <c r="C663"/>
      <c r="D663"/>
      <c r="E663"/>
      <c r="F663" s="27" t="s">
        <v>7</v>
      </c>
      <c r="HK663" s="27" t="s">
        <v>8</v>
      </c>
    </row>
    <row r="664" spans="1:219" x14ac:dyDescent="0.25">
      <c r="A664" s="7">
        <v>0.21766408440828061</v>
      </c>
      <c r="B664"/>
      <c r="C664"/>
      <c r="D664"/>
      <c r="E664"/>
      <c r="F664" s="27" t="s">
        <v>7</v>
      </c>
      <c r="HK664" s="27" t="s">
        <v>8</v>
      </c>
    </row>
    <row r="665" spans="1:219" x14ac:dyDescent="0.25">
      <c r="A665" s="7">
        <v>0.21339616118458882</v>
      </c>
      <c r="B665"/>
      <c r="C665"/>
      <c r="D665"/>
      <c r="E665"/>
      <c r="F665" s="27" t="s">
        <v>7</v>
      </c>
      <c r="HK665" s="27" t="s">
        <v>8</v>
      </c>
    </row>
    <row r="666" spans="1:219" x14ac:dyDescent="0.25">
      <c r="A666" s="7">
        <v>0.20921192272998904</v>
      </c>
      <c r="B666"/>
      <c r="C666"/>
      <c r="D666"/>
      <c r="E666"/>
      <c r="F666" s="27" t="s">
        <v>7</v>
      </c>
      <c r="HK666" s="27" t="s">
        <v>8</v>
      </c>
    </row>
    <row r="667" spans="1:219" x14ac:dyDescent="0.25">
      <c r="A667" s="7">
        <v>0.20510972816665593</v>
      </c>
      <c r="B667"/>
      <c r="C667"/>
      <c r="D667"/>
      <c r="E667"/>
      <c r="F667" s="27" t="s">
        <v>7</v>
      </c>
      <c r="HK667" s="27" t="s">
        <v>8</v>
      </c>
    </row>
    <row r="668" spans="1:219" x14ac:dyDescent="0.25">
      <c r="A668" s="7">
        <v>0.20108796879083912</v>
      </c>
      <c r="B668"/>
      <c r="C668"/>
      <c r="D668"/>
      <c r="E668"/>
      <c r="F668" s="27" t="s">
        <v>7</v>
      </c>
      <c r="HK668" s="27" t="s">
        <v>8</v>
      </c>
    </row>
    <row r="669" spans="1:219" x14ac:dyDescent="0.25">
      <c r="A669" s="7">
        <v>0.19714506744199917</v>
      </c>
      <c r="B669"/>
      <c r="C669"/>
      <c r="D669"/>
      <c r="E669"/>
      <c r="F669" s="27" t="s">
        <v>7</v>
      </c>
      <c r="HK669" s="27" t="s">
        <v>8</v>
      </c>
    </row>
    <row r="670" spans="1:219" x14ac:dyDescent="0.25">
      <c r="A670" s="7">
        <v>0.19327947788431293</v>
      </c>
      <c r="B670"/>
      <c r="C670"/>
      <c r="D670"/>
      <c r="E670"/>
      <c r="F670" s="27" t="s">
        <v>7</v>
      </c>
      <c r="HK670" s="27" t="s">
        <v>8</v>
      </c>
    </row>
    <row r="671" spans="1:219" x14ac:dyDescent="0.25">
      <c r="A671" s="7">
        <v>0.18948968420030682</v>
      </c>
      <c r="B671"/>
      <c r="C671"/>
      <c r="D671"/>
      <c r="E671"/>
      <c r="F671" s="27" t="s">
        <v>7</v>
      </c>
      <c r="HK671" s="27" t="s">
        <v>8</v>
      </c>
    </row>
    <row r="672" spans="1:219" x14ac:dyDescent="0.25">
      <c r="A672" s="7">
        <v>0.18577420019637925</v>
      </c>
      <c r="B672"/>
      <c r="C672"/>
      <c r="D672"/>
      <c r="E672"/>
      <c r="F672" s="27" t="s">
        <v>7</v>
      </c>
      <c r="HK672" s="27" t="s">
        <v>8</v>
      </c>
    </row>
    <row r="673" spans="1:219" x14ac:dyDescent="0.25">
      <c r="A673" s="7">
        <v>0.18213156881997963</v>
      </c>
      <c r="B673"/>
      <c r="C673"/>
      <c r="D673"/>
      <c r="E673"/>
      <c r="F673" s="27" t="s">
        <v>7</v>
      </c>
      <c r="HK673" s="27" t="s">
        <v>8</v>
      </c>
    </row>
    <row r="674" spans="1:219" x14ac:dyDescent="0.25">
      <c r="A674" s="7">
        <v>0.17856036158821534</v>
      </c>
      <c r="B674"/>
      <c r="C674"/>
      <c r="D674"/>
      <c r="E674"/>
      <c r="F674" s="27" t="s">
        <v>7</v>
      </c>
      <c r="HK674" s="27" t="s">
        <v>8</v>
      </c>
    </row>
    <row r="675" spans="1:219" x14ac:dyDescent="0.25">
      <c r="A675" s="7">
        <v>0.17505917802766208</v>
      </c>
      <c r="B675"/>
      <c r="C675"/>
      <c r="D675"/>
      <c r="E675"/>
      <c r="F675" s="27" t="s">
        <v>7</v>
      </c>
      <c r="HK675" s="27" t="s">
        <v>8</v>
      </c>
    </row>
    <row r="676" spans="1:219" x14ac:dyDescent="0.25">
      <c r="A676" s="7">
        <v>0.17162664512515888</v>
      </c>
      <c r="B676"/>
      <c r="C676"/>
      <c r="D676"/>
      <c r="E676"/>
      <c r="F676" s="27" t="s">
        <v>7</v>
      </c>
      <c r="HK676" s="27" t="s">
        <v>8</v>
      </c>
    </row>
    <row r="677" spans="1:219" x14ac:dyDescent="0.25">
      <c r="A677" s="7">
        <v>0.16826141678937145</v>
      </c>
      <c r="B677"/>
      <c r="C677"/>
      <c r="D677"/>
      <c r="E677"/>
      <c r="F677" s="27" t="s">
        <v>7</v>
      </c>
      <c r="HK677" s="27" t="s">
        <v>8</v>
      </c>
    </row>
    <row r="678" spans="1:219" x14ac:dyDescent="0.25">
      <c r="A678" s="7">
        <v>0.16496217332291319</v>
      </c>
      <c r="B678"/>
      <c r="C678"/>
      <c r="D678"/>
      <c r="E678"/>
      <c r="F678" s="27" t="s">
        <v>7</v>
      </c>
      <c r="HK678" s="27" t="s">
        <v>8</v>
      </c>
    </row>
    <row r="679" spans="1:219" x14ac:dyDescent="0.25">
      <c r="A679" s="7">
        <v>0.16172762090481685</v>
      </c>
      <c r="B679"/>
      <c r="C679"/>
      <c r="D679"/>
      <c r="E679"/>
      <c r="F679" s="27" t="s">
        <v>7</v>
      </c>
      <c r="HK679" s="27" t="s">
        <v>8</v>
      </c>
    </row>
    <row r="680" spans="1:219" x14ac:dyDescent="0.25">
      <c r="A680" s="7">
        <v>0.15855649108315376</v>
      </c>
      <c r="B680"/>
      <c r="C680"/>
      <c r="D680"/>
      <c r="E680"/>
      <c r="F680" s="27" t="s">
        <v>7</v>
      </c>
      <c r="HK680" s="27" t="s">
        <v>8</v>
      </c>
    </row>
    <row r="681" spans="1:219" x14ac:dyDescent="0.25">
      <c r="A681" s="7">
        <v>0.15544754027760171</v>
      </c>
      <c r="B681"/>
      <c r="C681"/>
      <c r="D681"/>
      <c r="E681"/>
      <c r="F681" s="27" t="s">
        <v>7</v>
      </c>
      <c r="HK681" s="27" t="s">
        <v>8</v>
      </c>
    </row>
    <row r="682" spans="1:219" x14ac:dyDescent="0.25">
      <c r="A682" s="7">
        <v>0.15239954929176638</v>
      </c>
      <c r="B682"/>
      <c r="C682"/>
      <c r="D682"/>
      <c r="E682"/>
      <c r="F682" s="27" t="s">
        <v>7</v>
      </c>
      <c r="HK682" s="27" t="s">
        <v>8</v>
      </c>
    </row>
    <row r="683" spans="1:219" x14ac:dyDescent="0.25">
      <c r="A683" s="7">
        <v>0.14941132283506509</v>
      </c>
      <c r="B683"/>
      <c r="C683"/>
      <c r="D683"/>
      <c r="E683"/>
      <c r="F683" s="27" t="s">
        <v>7</v>
      </c>
      <c r="HK683" s="27" t="s">
        <v>8</v>
      </c>
    </row>
    <row r="684" spans="1:219" x14ac:dyDescent="0.25">
      <c r="A684" s="7">
        <v>0.14648168905398537</v>
      </c>
      <c r="B684"/>
      <c r="C684"/>
      <c r="D684"/>
      <c r="E684"/>
      <c r="F684" s="27" t="s">
        <v>7</v>
      </c>
      <c r="HK684" s="27" t="s">
        <v>8</v>
      </c>
    </row>
    <row r="685" spans="1:219" x14ac:dyDescent="0.25">
      <c r="A685" s="7">
        <v>0.14360949907253467</v>
      </c>
      <c r="B685"/>
      <c r="C685"/>
      <c r="D685"/>
      <c r="E685"/>
      <c r="F685" s="27" t="s">
        <v>7</v>
      </c>
      <c r="HK685" s="27" t="s">
        <v>8</v>
      </c>
    </row>
    <row r="686" spans="1:219" x14ac:dyDescent="0.25">
      <c r="A686" s="7">
        <v>0.14079362654170066</v>
      </c>
      <c r="B686"/>
      <c r="C686"/>
      <c r="D686"/>
      <c r="E686"/>
      <c r="F686" s="27" t="s">
        <v>7</v>
      </c>
      <c r="HK686" s="27" t="s">
        <v>8</v>
      </c>
    </row>
    <row r="687" spans="1:219" x14ac:dyDescent="0.25">
      <c r="A687" s="7">
        <v>0.13803296719774574</v>
      </c>
      <c r="B687"/>
      <c r="C687"/>
      <c r="D687"/>
      <c r="E687"/>
      <c r="F687" s="27" t="s">
        <v>7</v>
      </c>
      <c r="HK687" s="27" t="s">
        <v>8</v>
      </c>
    </row>
    <row r="688" spans="1:219" x14ac:dyDescent="0.25">
      <c r="A688" s="7">
        <v>0.1353264384291625</v>
      </c>
      <c r="B688"/>
      <c r="C688"/>
      <c r="D688"/>
      <c r="E688"/>
      <c r="F688" s="27" t="s">
        <v>7</v>
      </c>
      <c r="HK688" s="27" t="s">
        <v>8</v>
      </c>
    </row>
    <row r="689" spans="1:219" x14ac:dyDescent="0.25">
      <c r="A689" s="7">
        <v>0.13267297885212009</v>
      </c>
      <c r="B689"/>
      <c r="C689"/>
      <c r="D689"/>
      <c r="E689"/>
      <c r="F689" s="27" t="s">
        <v>7</v>
      </c>
      <c r="HK689" s="27" t="s">
        <v>8</v>
      </c>
    </row>
    <row r="690" spans="1:219" x14ac:dyDescent="0.25">
      <c r="A690" s="7">
        <v>0.13007154789423539</v>
      </c>
      <c r="B690"/>
      <c r="C690"/>
      <c r="D690"/>
      <c r="E690"/>
      <c r="F690" s="27" t="s">
        <v>7</v>
      </c>
      <c r="HK690" s="27" t="s">
        <v>8</v>
      </c>
    </row>
    <row r="691" spans="1:219" x14ac:dyDescent="0.25">
      <c r="A691" s="7">
        <v>0.12752112538650529</v>
      </c>
      <c r="B691"/>
      <c r="C691"/>
      <c r="D691"/>
      <c r="E691"/>
      <c r="F691" s="27" t="s">
        <v>7</v>
      </c>
      <c r="HK691" s="27" t="s">
        <v>8</v>
      </c>
    </row>
    <row r="692" spans="1:219" x14ac:dyDescent="0.25">
      <c r="A692" s="7">
        <v>0.12502071116324048</v>
      </c>
      <c r="B692"/>
      <c r="C692"/>
      <c r="D692"/>
      <c r="E692"/>
      <c r="F692" s="27" t="s">
        <v>7</v>
      </c>
      <c r="HK692" s="27" t="s">
        <v>8</v>
      </c>
    </row>
    <row r="693" spans="1:219" x14ac:dyDescent="0.25">
      <c r="A693" s="7">
        <v>0.1225693246698436</v>
      </c>
      <c r="B693"/>
      <c r="C693"/>
      <c r="D693"/>
      <c r="E693"/>
      <c r="F693" s="27" t="s">
        <v>7</v>
      </c>
      <c r="HK693" s="27" t="s">
        <v>8</v>
      </c>
    </row>
    <row r="694" spans="1:219" x14ac:dyDescent="0.25">
      <c r="A694" s="7">
        <v>0.12016600457827803</v>
      </c>
      <c r="B694"/>
      <c r="C694"/>
      <c r="D694"/>
      <c r="E694"/>
      <c r="F694" s="27" t="s">
        <v>7</v>
      </c>
      <c r="HK694" s="27" t="s">
        <v>8</v>
      </c>
    </row>
    <row r="695" spans="1:219" x14ac:dyDescent="0.25">
      <c r="A695" s="7">
        <v>0.1178098084100765</v>
      </c>
      <c r="B695"/>
      <c r="C695"/>
      <c r="D695"/>
      <c r="E695"/>
      <c r="F695" s="27" t="s">
        <v>7</v>
      </c>
      <c r="HK695" s="27" t="s">
        <v>8</v>
      </c>
    </row>
    <row r="696" spans="1:219" x14ac:dyDescent="0.25">
      <c r="A696" s="7">
        <v>0.11549981216674166</v>
      </c>
      <c r="B696"/>
      <c r="C696"/>
      <c r="D696"/>
      <c r="E696"/>
      <c r="F696" s="27" t="s">
        <v>7</v>
      </c>
      <c r="HK696" s="27" t="s">
        <v>8</v>
      </c>
    </row>
    <row r="697" spans="1:219" x14ac:dyDescent="0.25">
      <c r="A697" s="7">
        <v>0.11323510996739378</v>
      </c>
      <c r="B697"/>
      <c r="C697"/>
      <c r="D697"/>
      <c r="E697"/>
      <c r="F697" s="27" t="s">
        <v>7</v>
      </c>
      <c r="HK697" s="27" t="s">
        <v>8</v>
      </c>
    </row>
    <row r="698" spans="1:219" x14ac:dyDescent="0.25">
      <c r="A698" s="7">
        <v>0.11101481369352331</v>
      </c>
      <c r="B698"/>
      <c r="C698"/>
      <c r="D698"/>
      <c r="E698"/>
      <c r="F698" s="27" t="s">
        <v>7</v>
      </c>
      <c r="HK698" s="27" t="s">
        <v>8</v>
      </c>
    </row>
    <row r="699" spans="1:219" x14ac:dyDescent="0.25">
      <c r="A699" s="7">
        <v>0.10883805264070913</v>
      </c>
      <c r="B699"/>
      <c r="C699"/>
      <c r="D699"/>
      <c r="E699"/>
      <c r="F699" s="27" t="s">
        <v>7</v>
      </c>
      <c r="HK699" s="27" t="s">
        <v>8</v>
      </c>
    </row>
    <row r="700" spans="1:219" x14ac:dyDescent="0.25">
      <c r="A700" s="7">
        <v>0.10670397317716582</v>
      </c>
      <c r="B700"/>
      <c r="C700"/>
      <c r="D700"/>
      <c r="E700"/>
      <c r="F700" s="27" t="s">
        <v>7</v>
      </c>
      <c r="HK700" s="27" t="s">
        <v>8</v>
      </c>
    </row>
    <row r="701" spans="1:219" x14ac:dyDescent="0.25">
      <c r="A701" s="7">
        <v>0.1046117384089861</v>
      </c>
      <c r="B701"/>
      <c r="C701"/>
      <c r="D701"/>
      <c r="E701"/>
      <c r="F701" s="27" t="s">
        <v>7</v>
      </c>
      <c r="HK701" s="27" t="s">
        <v>8</v>
      </c>
    </row>
    <row r="702" spans="1:219" x14ac:dyDescent="0.25">
      <c r="A702" s="7">
        <v>0.10256052785194716</v>
      </c>
      <c r="B702"/>
      <c r="C702"/>
      <c r="D702"/>
      <c r="E702"/>
      <c r="F702" s="27" t="s">
        <v>7</v>
      </c>
      <c r="HK702" s="27" t="s">
        <v>8</v>
      </c>
    </row>
    <row r="703" spans="1:219" x14ac:dyDescent="0.25">
      <c r="A703" s="7">
        <v>0.10054953710975212</v>
      </c>
      <c r="B703"/>
      <c r="C703"/>
      <c r="D703"/>
      <c r="E703"/>
      <c r="F703" s="27" t="s">
        <v>7</v>
      </c>
      <c r="HK703" s="27" t="s">
        <v>8</v>
      </c>
    </row>
    <row r="704" spans="1:219" x14ac:dyDescent="0.25">
      <c r="A704" s="7">
        <v>9.8577977558580512E-2</v>
      </c>
      <c r="B704"/>
      <c r="C704"/>
      <c r="D704"/>
      <c r="E704"/>
      <c r="F704" s="27" t="s">
        <v>7</v>
      </c>
      <c r="HK704" s="27" t="s">
        <v>8</v>
      </c>
    </row>
    <row r="705" spans="1:219" x14ac:dyDescent="0.25">
      <c r="A705" s="7">
        <v>9.6645076037824032E-2</v>
      </c>
      <c r="B705"/>
      <c r="C705"/>
      <c r="D705"/>
      <c r="E705"/>
      <c r="F705" s="27" t="s">
        <v>7</v>
      </c>
      <c r="HK705" s="27" t="s">
        <v>8</v>
      </c>
    </row>
    <row r="706" spans="1:219" x14ac:dyDescent="0.25">
      <c r="A706" s="7">
        <v>9.4750074546886304E-2</v>
      </c>
      <c r="B706"/>
      <c r="C706"/>
      <c r="D706"/>
      <c r="E706"/>
      <c r="F706" s="27" t="s">
        <v>7</v>
      </c>
      <c r="HK706" s="27" t="s">
        <v>8</v>
      </c>
    </row>
    <row r="707" spans="1:219" x14ac:dyDescent="0.25">
      <c r="A707" s="7">
        <v>9.2892229947927743E-2</v>
      </c>
      <c r="B707"/>
      <c r="C707"/>
      <c r="D707"/>
      <c r="E707"/>
      <c r="F707" s="27" t="s">
        <v>7</v>
      </c>
      <c r="HK707" s="27" t="s">
        <v>8</v>
      </c>
    </row>
    <row r="708" spans="1:219" x14ac:dyDescent="0.25">
      <c r="A708" s="7">
        <v>9.1070813674438963E-2</v>
      </c>
      <c r="B708"/>
      <c r="C708"/>
      <c r="D708"/>
      <c r="E708"/>
      <c r="F708" s="27" t="s">
        <v>7</v>
      </c>
      <c r="HK708" s="27" t="s">
        <v>8</v>
      </c>
    </row>
    <row r="709" spans="1:219" x14ac:dyDescent="0.25">
      <c r="A709" s="7">
        <v>8.9285111445528392E-2</v>
      </c>
      <c r="B709"/>
      <c r="C709"/>
      <c r="D709"/>
      <c r="E709"/>
      <c r="F709" s="27" t="s">
        <v>7</v>
      </c>
      <c r="HK709" s="27" t="s">
        <v>8</v>
      </c>
    </row>
    <row r="710" spans="1:219" x14ac:dyDescent="0.25">
      <c r="A710" s="7">
        <v>8.7534422985812155E-2</v>
      </c>
      <c r="B710"/>
      <c r="C710"/>
      <c r="D710"/>
      <c r="E710"/>
      <c r="F710" s="27" t="s">
        <v>7</v>
      </c>
      <c r="HK710" s="27" t="s">
        <v>8</v>
      </c>
    </row>
    <row r="711" spans="1:219" x14ac:dyDescent="0.25">
      <c r="A711" s="7">
        <v>8.5818061750796232E-2</v>
      </c>
      <c r="B711"/>
      <c r="C711"/>
      <c r="D711"/>
      <c r="E711"/>
      <c r="F711" s="27" t="s">
        <v>7</v>
      </c>
      <c r="HK711" s="27" t="s">
        <v>8</v>
      </c>
    </row>
    <row r="712" spans="1:219" x14ac:dyDescent="0.25">
      <c r="A712" s="7">
        <v>8.4135354657643366E-2</v>
      </c>
      <c r="B712"/>
      <c r="C712"/>
      <c r="D712"/>
      <c r="E712"/>
      <c r="F712" s="27" t="s">
        <v>7</v>
      </c>
      <c r="HK712" s="27" t="s">
        <v>8</v>
      </c>
    </row>
    <row r="713" spans="1:219" x14ac:dyDescent="0.25">
      <c r="A713" s="7">
        <v>8.248564182121898E-2</v>
      </c>
      <c r="B713"/>
      <c r="C713"/>
      <c r="D713"/>
      <c r="E713"/>
      <c r="F713" s="27" t="s">
        <v>7</v>
      </c>
      <c r="HK713" s="27" t="s">
        <v>8</v>
      </c>
    </row>
    <row r="714" spans="1:219" x14ac:dyDescent="0.25">
      <c r="A714" s="7">
        <v>8.0868276295312735E-2</v>
      </c>
      <c r="B714"/>
      <c r="C714"/>
      <c r="D714"/>
      <c r="E714"/>
      <c r="F714" s="27" t="s">
        <v>7</v>
      </c>
      <c r="HK714" s="27" t="s">
        <v>8</v>
      </c>
    </row>
    <row r="715" spans="1:219" x14ac:dyDescent="0.25">
      <c r="A715" s="7">
        <v>7.9282623818934056E-2</v>
      </c>
      <c r="B715"/>
      <c r="C715"/>
      <c r="D715"/>
      <c r="E715"/>
      <c r="F715" s="27" t="s">
        <v>7</v>
      </c>
      <c r="HK715" s="27" t="s">
        <v>8</v>
      </c>
    </row>
    <row r="716" spans="1:219" x14ac:dyDescent="0.25">
      <c r="A716" s="7">
        <v>7.7728062567582412E-2</v>
      </c>
      <c r="B716"/>
      <c r="C716"/>
      <c r="D716"/>
      <c r="E716"/>
      <c r="F716" s="27" t="s">
        <v>7</v>
      </c>
      <c r="HK716" s="27" t="s">
        <v>8</v>
      </c>
    </row>
    <row r="717" spans="1:219" x14ac:dyDescent="0.25">
      <c r="A717" s="7">
        <v>7.6203982909394521E-2</v>
      </c>
      <c r="B717"/>
      <c r="C717"/>
      <c r="D717"/>
      <c r="E717"/>
      <c r="F717" s="27" t="s">
        <v>7</v>
      </c>
      <c r="HK717" s="27" t="s">
        <v>8</v>
      </c>
    </row>
    <row r="718" spans="1:219" x14ac:dyDescent="0.25">
      <c r="A718" s="7">
        <v>7.4709787166073058E-2</v>
      </c>
      <c r="B718"/>
      <c r="C718"/>
      <c r="D718"/>
      <c r="E718"/>
      <c r="F718" s="27" t="s">
        <v>7</v>
      </c>
      <c r="HK718" s="27" t="s">
        <v>8</v>
      </c>
    </row>
    <row r="719" spans="1:219" x14ac:dyDescent="0.25">
      <c r="A719" s="7">
        <v>7.3244889378503E-2</v>
      </c>
      <c r="B719"/>
      <c r="C719"/>
      <c r="D719"/>
      <c r="E719"/>
      <c r="F719" s="27" t="s">
        <v>7</v>
      </c>
      <c r="HK719" s="27" t="s">
        <v>8</v>
      </c>
    </row>
    <row r="720" spans="1:219" x14ac:dyDescent="0.25">
      <c r="A720" s="7">
        <v>7.1808715076963722E-2</v>
      </c>
      <c r="B720"/>
      <c r="C720"/>
      <c r="D720"/>
      <c r="E720"/>
      <c r="F720" s="27" t="s">
        <v>7</v>
      </c>
      <c r="HK720" s="27" t="s">
        <v>8</v>
      </c>
    </row>
    <row r="721" spans="1:219" x14ac:dyDescent="0.25">
      <c r="A721" s="7">
        <v>7.0400701055846782E-2</v>
      </c>
      <c r="B721"/>
      <c r="C721"/>
      <c r="D721"/>
      <c r="E721"/>
      <c r="F721" s="27" t="s">
        <v>7</v>
      </c>
      <c r="HK721" s="27" t="s">
        <v>8</v>
      </c>
    </row>
    <row r="722" spans="1:219" x14ac:dyDescent="0.25">
      <c r="A722" s="7">
        <v>6.9020295152790956E-2</v>
      </c>
      <c r="B722"/>
      <c r="C722"/>
      <c r="D722"/>
      <c r="E722"/>
      <c r="F722" s="27" t="s">
        <v>7</v>
      </c>
      <c r="HK722" s="27" t="s">
        <v>8</v>
      </c>
    </row>
    <row r="723" spans="1:219" x14ac:dyDescent="0.25">
      <c r="A723" s="7">
        <v>6.7666956032147993E-2</v>
      </c>
      <c r="B723"/>
      <c r="C723"/>
      <c r="D723"/>
      <c r="E723"/>
      <c r="F723" s="27" t="s">
        <v>7</v>
      </c>
      <c r="HK723" s="27" t="s">
        <v>8</v>
      </c>
    </row>
    <row r="724" spans="1:219" x14ac:dyDescent="0.25">
      <c r="A724" s="7">
        <v>6.6340152972694105E-2</v>
      </c>
      <c r="B724"/>
      <c r="C724"/>
      <c r="D724"/>
      <c r="E724"/>
      <c r="F724" s="27" t="s">
        <v>7</v>
      </c>
      <c r="HK724" s="27" t="s">
        <v>8</v>
      </c>
    </row>
    <row r="725" spans="1:219" x14ac:dyDescent="0.25">
      <c r="A725" s="7">
        <v>6.5039365659504023E-2</v>
      </c>
      <c r="B725"/>
      <c r="C725"/>
      <c r="D725"/>
      <c r="E725"/>
      <c r="F725" s="27" t="s">
        <v>7</v>
      </c>
      <c r="HK725" s="27" t="s">
        <v>8</v>
      </c>
    </row>
    <row r="726" spans="1:219" x14ac:dyDescent="0.25">
      <c r="A726" s="7">
        <v>6.3764083979905906E-2</v>
      </c>
      <c r="B726"/>
      <c r="C726"/>
      <c r="D726"/>
      <c r="E726"/>
      <c r="F726" s="27" t="s">
        <v>7</v>
      </c>
      <c r="HK726" s="27" t="s">
        <v>8</v>
      </c>
    </row>
    <row r="727" spans="1:219" x14ac:dyDescent="0.25">
      <c r="A727" s="7">
        <v>6.251380782343717E-2</v>
      </c>
      <c r="B727"/>
      <c r="C727"/>
      <c r="D727"/>
      <c r="E727"/>
      <c r="F727" s="27" t="s">
        <v>7</v>
      </c>
      <c r="HK727" s="27" t="s">
        <v>8</v>
      </c>
    </row>
    <row r="728" spans="1:219" x14ac:dyDescent="0.25">
      <c r="A728" s="7">
        <v>6.1288046885722716E-2</v>
      </c>
      <c r="B728"/>
      <c r="C728"/>
      <c r="D728"/>
      <c r="E728"/>
      <c r="F728" s="27" t="s">
        <v>7</v>
      </c>
      <c r="HK728" s="27" t="s">
        <v>8</v>
      </c>
    </row>
    <row r="729" spans="1:219" x14ac:dyDescent="0.25">
      <c r="A729" s="7">
        <v>6.0086320476198739E-2</v>
      </c>
      <c r="B729"/>
      <c r="C729"/>
      <c r="D729"/>
      <c r="E729"/>
      <c r="F729" s="27" t="s">
        <v>7</v>
      </c>
      <c r="HK729" s="27" t="s">
        <v>8</v>
      </c>
    </row>
    <row r="730" spans="1:219" x14ac:dyDescent="0.25">
      <c r="A730" s="7">
        <v>5.8908157329606609E-2</v>
      </c>
      <c r="B730"/>
      <c r="C730"/>
      <c r="D730"/>
      <c r="E730"/>
      <c r="F730" s="27" t="s">
        <v>7</v>
      </c>
      <c r="HK730" s="27" t="s">
        <v>8</v>
      </c>
    </row>
    <row r="731" spans="1:219" x14ac:dyDescent="0.25">
      <c r="A731" s="7">
        <v>5.7753095421182947E-2</v>
      </c>
      <c r="B731"/>
      <c r="C731"/>
      <c r="D731"/>
      <c r="E731"/>
      <c r="F731" s="27" t="s">
        <v>7</v>
      </c>
      <c r="HK731" s="27" t="s">
        <v>8</v>
      </c>
    </row>
    <row r="732" spans="1:219" x14ac:dyDescent="0.25">
      <c r="A732" s="7">
        <v>5.6620681785473484E-2</v>
      </c>
      <c r="B732"/>
      <c r="C732"/>
      <c r="D732"/>
      <c r="E732"/>
      <c r="F732" s="27" t="s">
        <v>7</v>
      </c>
      <c r="HK732" s="27" t="s">
        <v>8</v>
      </c>
    </row>
    <row r="733" spans="1:219" x14ac:dyDescent="0.25">
      <c r="A733" s="7">
        <v>5.5510472338699497E-2</v>
      </c>
      <c r="B733"/>
      <c r="C733"/>
      <c r="D733"/>
      <c r="E733"/>
      <c r="F733" s="27" t="s">
        <v>7</v>
      </c>
      <c r="HK733" s="27" t="s">
        <v>8</v>
      </c>
    </row>
    <row r="734" spans="1:219" x14ac:dyDescent="0.25">
      <c r="A734" s="7">
        <v>5.4422031704607354E-2</v>
      </c>
      <c r="B734"/>
      <c r="C734"/>
      <c r="D734"/>
      <c r="E734"/>
      <c r="F734" s="27" t="s">
        <v>7</v>
      </c>
      <c r="HK734" s="27" t="s">
        <v>8</v>
      </c>
    </row>
    <row r="735" spans="1:219" x14ac:dyDescent="0.25">
      <c r="A735" s="7">
        <v>5.3354933043732705E-2</v>
      </c>
      <c r="B735"/>
      <c r="C735"/>
      <c r="D735"/>
      <c r="E735"/>
      <c r="F735" s="27" t="s">
        <v>7</v>
      </c>
      <c r="HK735" s="27" t="s">
        <v>8</v>
      </c>
    </row>
    <row r="736" spans="1:219" x14ac:dyDescent="0.25">
      <c r="A736" s="7">
        <v>5.2308757886012455E-2</v>
      </c>
      <c r="B736"/>
      <c r="C736"/>
      <c r="D736"/>
      <c r="E736"/>
      <c r="F736" s="27" t="s">
        <v>7</v>
      </c>
      <c r="HK736" s="27" t="s">
        <v>8</v>
      </c>
    </row>
    <row r="737" spans="1:219" x14ac:dyDescent="0.25">
      <c r="A737" s="7">
        <v>5.1283095966678877E-2</v>
      </c>
      <c r="B737"/>
      <c r="C737"/>
      <c r="D737"/>
      <c r="E737"/>
      <c r="F737" s="27" t="s">
        <v>7</v>
      </c>
      <c r="HK737" s="27" t="s">
        <v>8</v>
      </c>
    </row>
    <row r="738" spans="1:219" x14ac:dyDescent="0.25">
      <c r="A738" s="7">
        <v>5.0277545065371444E-2</v>
      </c>
      <c r="B738"/>
      <c r="C738"/>
      <c r="D738"/>
      <c r="E738"/>
      <c r="F738" s="27" t="s">
        <v>7</v>
      </c>
      <c r="HK738" s="27" t="s">
        <v>8</v>
      </c>
    </row>
    <row r="739" spans="1:219" x14ac:dyDescent="0.25">
      <c r="A739" s="7">
        <v>4.9291710848403378E-2</v>
      </c>
      <c r="B739"/>
      <c r="C739"/>
      <c r="D739"/>
      <c r="E739"/>
      <c r="F739" s="27" t="s">
        <v>7</v>
      </c>
      <c r="HK739" s="27" t="s">
        <v>8</v>
      </c>
    </row>
    <row r="740" spans="1:219" x14ac:dyDescent="0.25">
      <c r="A740" s="7">
        <v>4.8325206714120959E-2</v>
      </c>
      <c r="B740"/>
      <c r="C740"/>
      <c r="D740"/>
      <c r="E740"/>
      <c r="F740" s="27" t="s">
        <v>7</v>
      </c>
      <c r="HK740" s="27" t="s">
        <v>8</v>
      </c>
    </row>
    <row r="741" spans="1:219" x14ac:dyDescent="0.25">
      <c r="A741" s="7">
        <v>4.7377653641295057E-2</v>
      </c>
      <c r="B741"/>
      <c r="C741"/>
      <c r="D741"/>
      <c r="E741"/>
      <c r="F741" s="27" t="s">
        <v>7</v>
      </c>
      <c r="HK741" s="27" t="s">
        <v>8</v>
      </c>
    </row>
    <row r="742" spans="1:219" x14ac:dyDescent="0.25">
      <c r="A742" s="7">
        <v>4.644868004048535E-2</v>
      </c>
      <c r="B742"/>
      <c r="C742"/>
      <c r="D742"/>
      <c r="E742"/>
      <c r="F742" s="27" t="s">
        <v>7</v>
      </c>
      <c r="HK742" s="27" t="s">
        <v>8</v>
      </c>
    </row>
    <row r="743" spans="1:219" x14ac:dyDescent="0.25">
      <c r="A743" s="7">
        <v>4.5537921608318974E-2</v>
      </c>
      <c r="B743"/>
      <c r="C743"/>
      <c r="D743"/>
      <c r="E743"/>
      <c r="F743" s="27" t="s">
        <v>7</v>
      </c>
      <c r="HK743" s="27" t="s">
        <v>8</v>
      </c>
    </row>
    <row r="744" spans="1:219" x14ac:dyDescent="0.25">
      <c r="A744" s="7">
        <v>4.4645021184626446E-2</v>
      </c>
      <c r="B744"/>
      <c r="C744"/>
      <c r="D744"/>
      <c r="E744"/>
      <c r="F744" s="27" t="s">
        <v>7</v>
      </c>
      <c r="HK744" s="27" t="s">
        <v>8</v>
      </c>
    </row>
    <row r="745" spans="1:219" x14ac:dyDescent="0.25">
      <c r="A745" s="7">
        <v>4.3769628612378868E-2</v>
      </c>
      <c r="B745"/>
      <c r="C745"/>
      <c r="D745"/>
      <c r="E745"/>
      <c r="F745" s="27" t="s">
        <v>7</v>
      </c>
      <c r="HK745" s="27" t="s">
        <v>8</v>
      </c>
    </row>
    <row r="746" spans="1:219" x14ac:dyDescent="0.25">
      <c r="A746" s="7">
        <v>4.2911400600371442E-2</v>
      </c>
      <c r="B746"/>
      <c r="C746"/>
      <c r="D746"/>
      <c r="E746"/>
      <c r="F746" s="27" t="s">
        <v>7</v>
      </c>
      <c r="HK746" s="27" t="s">
        <v>8</v>
      </c>
    </row>
    <row r="747" spans="1:219" x14ac:dyDescent="0.25">
      <c r="A747" s="7">
        <v>4.2070000588599457E-2</v>
      </c>
      <c r="B747"/>
      <c r="C747"/>
      <c r="D747"/>
      <c r="E747"/>
      <c r="F747" s="27" t="s">
        <v>7</v>
      </c>
      <c r="HK747" s="27" t="s">
        <v>8</v>
      </c>
    </row>
    <row r="748" spans="1:219" x14ac:dyDescent="0.25">
      <c r="A748" s="7">
        <v>4.1245098616273977E-2</v>
      </c>
      <c r="B748"/>
      <c r="C748"/>
      <c r="D748"/>
      <c r="E748"/>
      <c r="F748" s="27" t="s">
        <v>7</v>
      </c>
      <c r="HK748" s="27" t="s">
        <v>8</v>
      </c>
    </row>
    <row r="749" spans="1:219" x14ac:dyDescent="0.25">
      <c r="A749" s="7">
        <v>4.043637119242547E-2</v>
      </c>
      <c r="B749"/>
      <c r="C749"/>
      <c r="D749"/>
      <c r="E749"/>
      <c r="F749" s="27" t="s">
        <v>7</v>
      </c>
      <c r="HK749" s="27" t="s">
        <v>8</v>
      </c>
    </row>
    <row r="750" spans="1:219" x14ac:dyDescent="0.25">
      <c r="A750" s="7">
        <v>3.9643501169044582E-2</v>
      </c>
      <c r="B750"/>
      <c r="C750"/>
      <c r="D750"/>
      <c r="E750"/>
      <c r="F750" s="27" t="s">
        <v>7</v>
      </c>
      <c r="HK750" s="27" t="s">
        <v>8</v>
      </c>
    </row>
    <row r="751" spans="1:219" x14ac:dyDescent="0.25">
      <c r="A751" s="7">
        <v>3.8866177616710372E-2</v>
      </c>
      <c r="B751"/>
      <c r="C751"/>
      <c r="D751"/>
      <c r="E751"/>
      <c r="F751" s="27" t="s">
        <v>7</v>
      </c>
      <c r="HK751" s="27" t="s">
        <v>8</v>
      </c>
    </row>
    <row r="752" spans="1:219" x14ac:dyDescent="0.25">
      <c r="A752" s="7">
        <v>3.8104095702657229E-2</v>
      </c>
      <c r="B752"/>
      <c r="C752"/>
      <c r="D752"/>
      <c r="E752"/>
      <c r="F752" s="27" t="s">
        <v>7</v>
      </c>
      <c r="HK752" s="27" t="s">
        <v>8</v>
      </c>
    </row>
    <row r="753" spans="1:219" x14ac:dyDescent="0.25">
      <c r="A753" s="7">
        <v>3.7356956571232579E-2</v>
      </c>
      <c r="B753"/>
      <c r="C753"/>
      <c r="D753"/>
      <c r="E753"/>
      <c r="F753" s="27" t="s">
        <v>7</v>
      </c>
      <c r="HK753" s="27" t="s">
        <v>8</v>
      </c>
    </row>
    <row r="754" spans="1:219" x14ac:dyDescent="0.25">
      <c r="A754" s="7">
        <v>3.6624467226698605E-2</v>
      </c>
      <c r="B754"/>
      <c r="C754"/>
      <c r="D754"/>
      <c r="E754"/>
      <c r="F754" s="27" t="s">
        <v>7</v>
      </c>
      <c r="HK754" s="27" t="s">
        <v>8</v>
      </c>
    </row>
    <row r="755" spans="1:219" x14ac:dyDescent="0.25">
      <c r="A755" s="7">
        <v>3.5906340418331961E-2</v>
      </c>
      <c r="B755"/>
      <c r="C755"/>
      <c r="D755"/>
      <c r="E755"/>
      <c r="F755" s="27" t="s">
        <v>7</v>
      </c>
      <c r="HK755" s="27" t="s">
        <v>8</v>
      </c>
    </row>
    <row r="756" spans="1:219" x14ac:dyDescent="0.25">
      <c r="A756" s="7">
        <v>3.5202294527776436E-2</v>
      </c>
      <c r="B756"/>
      <c r="C756"/>
      <c r="D756"/>
      <c r="E756"/>
      <c r="F756" s="27" t="s">
        <v>7</v>
      </c>
      <c r="HK756" s="27" t="s">
        <v>8</v>
      </c>
    </row>
    <row r="757" spans="1:219" x14ac:dyDescent="0.25">
      <c r="A757" s="7">
        <v>3.451205345860435E-2</v>
      </c>
      <c r="B757"/>
      <c r="C757"/>
      <c r="D757"/>
      <c r="E757"/>
      <c r="F757" s="27" t="s">
        <v>7</v>
      </c>
      <c r="HK757" s="27" t="s">
        <v>8</v>
      </c>
    </row>
    <row r="758" spans="1:219" x14ac:dyDescent="0.25">
      <c r="A758" s="7">
        <v>3.3835346528043479E-2</v>
      </c>
      <c r="B758"/>
      <c r="C758"/>
      <c r="D758"/>
      <c r="E758"/>
      <c r="F758" s="27" t="s">
        <v>7</v>
      </c>
      <c r="HK758" s="27" t="s">
        <v>8</v>
      </c>
    </row>
    <row r="759" spans="1:219" x14ac:dyDescent="0.25">
      <c r="A759" s="7">
        <v>3.3171908360826938E-2</v>
      </c>
      <c r="B759"/>
      <c r="C759"/>
      <c r="D759"/>
      <c r="E759"/>
      <c r="F759" s="27" t="s">
        <v>7</v>
      </c>
      <c r="HK759" s="27" t="s">
        <v>8</v>
      </c>
    </row>
    <row r="760" spans="1:219" x14ac:dyDescent="0.25">
      <c r="A760" s="7">
        <v>3.2521478785124451E-2</v>
      </c>
      <c r="B760"/>
      <c r="C760"/>
      <c r="D760"/>
      <c r="E760"/>
      <c r="F760" s="27" t="s">
        <v>7</v>
      </c>
      <c r="HK760" s="27" t="s">
        <v>8</v>
      </c>
    </row>
    <row r="761" spans="1:219" x14ac:dyDescent="0.25">
      <c r="A761" s="7">
        <v>3.1883802730514173E-2</v>
      </c>
      <c r="B761"/>
      <c r="C761"/>
      <c r="D761"/>
      <c r="E761"/>
      <c r="F761" s="27" t="s">
        <v>7</v>
      </c>
      <c r="HI761" s="27" t="s">
        <v>8</v>
      </c>
      <c r="HK761" s="27" t="s">
        <v>8</v>
      </c>
    </row>
    <row r="762" spans="1:219" x14ac:dyDescent="0.25">
      <c r="A762" s="7">
        <v>3.1258630127955073E-2</v>
      </c>
      <c r="B762"/>
      <c r="C762"/>
      <c r="D762"/>
      <c r="E762"/>
      <c r="F762" s="27" t="s">
        <v>7</v>
      </c>
      <c r="HI762" s="27" t="s">
        <v>8</v>
      </c>
      <c r="HJ762" s="27" t="s">
        <v>7</v>
      </c>
      <c r="HK762" s="27" t="s">
        <v>8</v>
      </c>
    </row>
    <row r="763" spans="1:219" x14ac:dyDescent="0.25">
      <c r="A763" s="7">
        <v>3.064571581172066E-2</v>
      </c>
      <c r="B763"/>
      <c r="C763"/>
      <c r="D763"/>
      <c r="E763"/>
      <c r="F763" s="27" t="s">
        <v>7</v>
      </c>
      <c r="HI763" s="27" t="s">
        <v>8</v>
      </c>
      <c r="HJ763" s="27" t="s">
        <v>7</v>
      </c>
      <c r="HK763" s="27" t="s">
        <v>8</v>
      </c>
    </row>
    <row r="764" spans="1:219" x14ac:dyDescent="0.25">
      <c r="A764" s="7">
        <v>3.0044819423255549E-2</v>
      </c>
      <c r="B764"/>
      <c r="C764"/>
      <c r="D764"/>
      <c r="E764"/>
      <c r="F764" s="27" t="s">
        <v>7</v>
      </c>
      <c r="HI764" s="27" t="s">
        <v>8</v>
      </c>
      <c r="HJ764" s="27" t="s">
        <v>7</v>
      </c>
      <c r="HK764" s="27" t="s">
        <v>8</v>
      </c>
    </row>
    <row r="765" spans="1:219" x14ac:dyDescent="0.25">
      <c r="A765" s="7">
        <v>2.9455705316917203E-2</v>
      </c>
      <c r="B765"/>
      <c r="C765"/>
      <c r="D765"/>
      <c r="E765"/>
      <c r="F765" s="27" t="s">
        <v>7</v>
      </c>
      <c r="HI765" s="27" t="s">
        <v>8</v>
      </c>
      <c r="HJ765" s="27" t="s">
        <v>7</v>
      </c>
      <c r="HK765" s="27" t="s">
        <v>8</v>
      </c>
    </row>
    <row r="766" spans="1:219" x14ac:dyDescent="0.25">
      <c r="A766" s="7">
        <v>2.8878142467565884E-2</v>
      </c>
      <c r="B766"/>
      <c r="C766"/>
      <c r="D766"/>
      <c r="E766"/>
      <c r="F766" s="27" t="s">
        <v>7</v>
      </c>
      <c r="HI766" s="27" t="s">
        <v>8</v>
      </c>
      <c r="HJ766" s="27" t="s">
        <v>7</v>
      </c>
      <c r="HK766" s="27" t="s">
        <v>8</v>
      </c>
    </row>
    <row r="767" spans="1:219" x14ac:dyDescent="0.25">
      <c r="A767" s="7">
        <v>2.8311904379966554E-2</v>
      </c>
      <c r="B767"/>
      <c r="C767"/>
      <c r="D767"/>
      <c r="E767"/>
      <c r="F767" s="27" t="s">
        <v>7</v>
      </c>
      <c r="HI767" s="27" t="s">
        <v>8</v>
      </c>
      <c r="HJ767" s="27" t="s">
        <v>7</v>
      </c>
      <c r="HK767" s="27" t="s">
        <v>8</v>
      </c>
    </row>
    <row r="768" spans="1:219" x14ac:dyDescent="0.25">
      <c r="A768" s="7">
        <v>2.7756768999967207E-2</v>
      </c>
      <c r="B768"/>
      <c r="C768"/>
      <c r="D768"/>
      <c r="E768"/>
      <c r="F768" s="27" t="s">
        <v>7</v>
      </c>
      <c r="HI768" s="27" t="s">
        <v>8</v>
      </c>
      <c r="HJ768" s="27" t="s">
        <v>7</v>
      </c>
      <c r="HK768" s="27" t="s">
        <v>8</v>
      </c>
    </row>
    <row r="769" spans="1:219" x14ac:dyDescent="0.25">
      <c r="A769" s="7">
        <v>2.7212518627418834E-2</v>
      </c>
      <c r="B769"/>
      <c r="C769"/>
      <c r="D769"/>
      <c r="E769"/>
      <c r="F769" s="27" t="s">
        <v>7</v>
      </c>
      <c r="HI769" s="27" t="s">
        <v>8</v>
      </c>
      <c r="HJ769" s="27" t="s">
        <v>7</v>
      </c>
      <c r="HK769" s="27" t="s">
        <v>8</v>
      </c>
    </row>
    <row r="770" spans="1:219" x14ac:dyDescent="0.25">
      <c r="A770" s="7">
        <v>2.6678939830802779E-2</v>
      </c>
      <c r="B770"/>
      <c r="C770"/>
      <c r="D770"/>
      <c r="E770"/>
      <c r="F770" s="27" t="s">
        <v>7</v>
      </c>
      <c r="HI770" s="27" t="s">
        <v>8</v>
      </c>
      <c r="HJ770" s="27" t="s">
        <v>7</v>
      </c>
      <c r="HK770" s="27" t="s">
        <v>8</v>
      </c>
    </row>
    <row r="771" spans="1:219" x14ac:dyDescent="0.25">
      <c r="A771" s="7">
        <v>2.615582336353214E-2</v>
      </c>
      <c r="B771"/>
      <c r="C771"/>
      <c r="D771"/>
      <c r="E771"/>
      <c r="F771" s="27" t="s">
        <v>7</v>
      </c>
      <c r="HI771" s="27" t="s">
        <v>8</v>
      </c>
      <c r="HJ771" s="27" t="s">
        <v>7</v>
      </c>
      <c r="HK771" s="27" t="s">
        <v>8</v>
      </c>
    </row>
    <row r="772" spans="1:219" x14ac:dyDescent="0.25">
      <c r="A772" s="7">
        <v>2.5642964081894253E-2</v>
      </c>
      <c r="B772"/>
      <c r="C772"/>
      <c r="D772"/>
      <c r="E772"/>
      <c r="F772" s="27" t="s">
        <v>7</v>
      </c>
      <c r="HI772" s="27" t="s">
        <v>8</v>
      </c>
      <c r="HJ772" s="27" t="s">
        <v>7</v>
      </c>
      <c r="HK772" s="27" t="s">
        <v>8</v>
      </c>
    </row>
    <row r="773" spans="1:219" x14ac:dyDescent="0.25">
      <c r="A773" s="7">
        <v>2.5140160864602207E-2</v>
      </c>
      <c r="B773"/>
      <c r="C773"/>
      <c r="D773"/>
      <c r="E773"/>
      <c r="F773" s="27" t="s">
        <v>7</v>
      </c>
      <c r="HI773" s="27" t="s">
        <v>8</v>
      </c>
      <c r="HJ773" s="27" t="s">
        <v>7</v>
      </c>
      <c r="HK773" s="27" t="s">
        <v>8</v>
      </c>
    </row>
    <row r="774" spans="1:219" x14ac:dyDescent="0.25">
      <c r="A774" s="7">
        <v>2.4647216533923735E-2</v>
      </c>
      <c r="B774"/>
      <c r="C774"/>
      <c r="D774"/>
      <c r="E774"/>
      <c r="F774" s="27" t="s">
        <v>7</v>
      </c>
      <c r="HI774" s="27" t="s">
        <v>8</v>
      </c>
      <c r="HJ774" s="27" t="s">
        <v>7</v>
      </c>
      <c r="HK774" s="27" t="s">
        <v>8</v>
      </c>
    </row>
    <row r="775" spans="1:219" x14ac:dyDescent="0.25">
      <c r="A775" s="7">
        <v>2.4163937778356601E-2</v>
      </c>
      <c r="B775"/>
      <c r="C775"/>
      <c r="D775"/>
      <c r="E775"/>
      <c r="F775" s="27" t="s">
        <v>7</v>
      </c>
      <c r="HI775" s="27" t="s">
        <v>8</v>
      </c>
      <c r="HJ775" s="27" t="s">
        <v>7</v>
      </c>
      <c r="HK775" s="27" t="s">
        <v>8</v>
      </c>
    </row>
    <row r="776" spans="1:219" x14ac:dyDescent="0.25">
      <c r="A776" s="7">
        <v>2.3690135076820197E-2</v>
      </c>
      <c r="B776"/>
      <c r="C776"/>
      <c r="D776"/>
      <c r="E776"/>
      <c r="F776" s="27" t="s">
        <v>7</v>
      </c>
      <c r="HI776" s="27" t="s">
        <v>8</v>
      </c>
      <c r="HJ776" s="27" t="s">
        <v>7</v>
      </c>
      <c r="HK776" s="27" t="s">
        <v>8</v>
      </c>
    </row>
    <row r="777" spans="1:219" x14ac:dyDescent="0.25">
      <c r="A777" s="7">
        <v>2.3225622624333527E-2</v>
      </c>
      <c r="B777"/>
      <c r="C777"/>
      <c r="D777"/>
      <c r="E777"/>
      <c r="F777" s="27" t="s">
        <v>7</v>
      </c>
      <c r="HI777" s="27" t="s">
        <v>8</v>
      </c>
      <c r="HJ777" s="27" t="s">
        <v>7</v>
      </c>
      <c r="HK777" s="27" t="s">
        <v>8</v>
      </c>
    </row>
    <row r="778" spans="1:219" x14ac:dyDescent="0.25">
      <c r="A778" s="7">
        <v>2.2770218259150519E-2</v>
      </c>
      <c r="B778"/>
      <c r="C778"/>
      <c r="D778"/>
      <c r="E778"/>
      <c r="F778" s="27" t="s">
        <v>7</v>
      </c>
      <c r="HI778" s="27" t="s">
        <v>8</v>
      </c>
      <c r="HJ778" s="27" t="s">
        <v>7</v>
      </c>
      <c r="HK778" s="27" t="s">
        <v>8</v>
      </c>
    </row>
    <row r="779" spans="1:219" x14ac:dyDescent="0.25">
      <c r="A779" s="7">
        <v>2.2323743391324039E-2</v>
      </c>
      <c r="B779"/>
      <c r="C779"/>
      <c r="D779"/>
      <c r="E779"/>
      <c r="F779" s="27" t="s">
        <v>7</v>
      </c>
      <c r="HI779" s="27" t="s">
        <v>8</v>
      </c>
      <c r="HJ779" s="27" t="s">
        <v>7</v>
      </c>
      <c r="HK779" s="27" t="s">
        <v>8</v>
      </c>
    </row>
    <row r="780" spans="1:219" x14ac:dyDescent="0.25">
      <c r="A780" s="7">
        <v>2.188602293267063E-2</v>
      </c>
      <c r="B780"/>
      <c r="C780"/>
      <c r="D780"/>
      <c r="E780"/>
      <c r="F780" s="27" t="s">
        <v>7</v>
      </c>
      <c r="HG780" s="27" t="s">
        <v>8</v>
      </c>
      <c r="HI780" s="27" t="s">
        <v>8</v>
      </c>
      <c r="HJ780" s="27" t="s">
        <v>7</v>
      </c>
      <c r="HK780" s="27" t="s">
        <v>8</v>
      </c>
    </row>
    <row r="781" spans="1:219" x14ac:dyDescent="0.25">
      <c r="A781" s="7">
        <v>2.1456885228108461E-2</v>
      </c>
      <c r="B781"/>
      <c r="C781"/>
      <c r="D781"/>
      <c r="E781"/>
      <c r="F781" s="27" t="s">
        <v>7</v>
      </c>
      <c r="HG781" s="27" t="s">
        <v>8</v>
      </c>
      <c r="HH781" s="27" t="s">
        <v>7</v>
      </c>
      <c r="HI781" s="27" t="s">
        <v>8</v>
      </c>
      <c r="HJ781" s="27" t="s">
        <v>7</v>
      </c>
      <c r="HK781" s="27" t="s">
        <v>8</v>
      </c>
    </row>
    <row r="782" spans="1:219" x14ac:dyDescent="0.25">
      <c r="A782" s="7">
        <v>2.1036161988341632E-2</v>
      </c>
      <c r="B782"/>
      <c r="C782"/>
      <c r="D782"/>
      <c r="E782"/>
      <c r="F782" s="27" t="s">
        <v>7</v>
      </c>
      <c r="HG782" s="27" t="s">
        <v>8</v>
      </c>
      <c r="HH782" s="27" t="s">
        <v>7</v>
      </c>
      <c r="HI782" s="27" t="s">
        <v>8</v>
      </c>
      <c r="HJ782" s="27" t="s">
        <v>7</v>
      </c>
      <c r="HK782" s="27" t="s">
        <v>8</v>
      </c>
    </row>
    <row r="783" spans="1:219" x14ac:dyDescent="0.25">
      <c r="A783" s="7">
        <v>2.0623688223864345E-2</v>
      </c>
      <c r="B783"/>
      <c r="C783"/>
      <c r="D783"/>
      <c r="E783"/>
      <c r="F783" s="27" t="s">
        <v>7</v>
      </c>
      <c r="HG783" s="27" t="s">
        <v>8</v>
      </c>
      <c r="HH783" s="27" t="s">
        <v>7</v>
      </c>
      <c r="HI783" s="27" t="s">
        <v>8</v>
      </c>
      <c r="HJ783" s="27" t="s">
        <v>7</v>
      </c>
      <c r="HK783" s="27" t="s">
        <v>8</v>
      </c>
    </row>
    <row r="784" spans="1:219" x14ac:dyDescent="0.25">
      <c r="A784" s="7">
        <v>2.021930218025916E-2</v>
      </c>
      <c r="B784"/>
      <c r="C784"/>
      <c r="D784"/>
      <c r="E784"/>
      <c r="F784" s="27" t="s">
        <v>7</v>
      </c>
      <c r="HG784" s="27" t="s">
        <v>8</v>
      </c>
      <c r="HH784" s="27" t="s">
        <v>7</v>
      </c>
      <c r="HI784" s="27" t="s">
        <v>8</v>
      </c>
      <c r="HJ784" s="27" t="s">
        <v>7</v>
      </c>
      <c r="HK784" s="27" t="s">
        <v>8</v>
      </c>
    </row>
    <row r="785" spans="1:218" x14ac:dyDescent="0.25">
      <c r="A785" s="7">
        <v>1.9822845274763884E-2</v>
      </c>
      <c r="B785"/>
      <c r="C785"/>
      <c r="D785"/>
      <c r="E785"/>
      <c r="F785" s="27" t="s">
        <v>7</v>
      </c>
      <c r="HG785" s="27" t="s">
        <v>8</v>
      </c>
      <c r="HH785" s="27" t="s">
        <v>7</v>
      </c>
      <c r="HI785" s="27" t="s">
        <v>8</v>
      </c>
      <c r="HJ785" s="27" t="s">
        <v>7</v>
      </c>
    </row>
    <row r="786" spans="1:218" x14ac:dyDescent="0.25">
      <c r="A786" s="7">
        <v>1.9434162034082238E-2</v>
      </c>
      <c r="B786"/>
      <c r="C786"/>
      <c r="D786"/>
      <c r="E786"/>
      <c r="F786" s="27" t="s">
        <v>7</v>
      </c>
      <c r="HG786" s="27" t="s">
        <v>8</v>
      </c>
      <c r="HH786" s="27" t="s">
        <v>7</v>
      </c>
      <c r="HI786" s="27" t="s">
        <v>8</v>
      </c>
    </row>
    <row r="787" spans="1:218" x14ac:dyDescent="0.25">
      <c r="A787" s="7">
        <v>1.9053100033413959E-2</v>
      </c>
      <c r="B787"/>
      <c r="C787"/>
      <c r="D787"/>
      <c r="E787"/>
      <c r="F787" s="27" t="s">
        <v>7</v>
      </c>
      <c r="HG787" s="27" t="s">
        <v>8</v>
      </c>
      <c r="HH787" s="27" t="s">
        <v>7</v>
      </c>
      <c r="HI787" s="27" t="s">
        <v>8</v>
      </c>
    </row>
    <row r="788" spans="1:218" x14ac:dyDescent="0.25">
      <c r="A788" s="7">
        <v>1.867950983668035E-2</v>
      </c>
      <c r="B788"/>
      <c r="C788"/>
      <c r="D788"/>
      <c r="E788"/>
      <c r="F788" s="27" t="s">
        <v>7</v>
      </c>
      <c r="HG788" s="27" t="s">
        <v>8</v>
      </c>
      <c r="HH788" s="27" t="s">
        <v>7</v>
      </c>
    </row>
    <row r="789" spans="1:218" x14ac:dyDescent="0.25">
      <c r="A789" s="7">
        <v>1.8313244937921913E-2</v>
      </c>
      <c r="B789"/>
      <c r="C789"/>
      <c r="D789"/>
      <c r="E789"/>
      <c r="F789" s="27" t="s">
        <v>7</v>
      </c>
      <c r="HG789" s="27" t="s">
        <v>8</v>
      </c>
    </row>
    <row r="790" spans="1:218" x14ac:dyDescent="0.25">
      <c r="A790" s="7">
        <v>1.7954161703845013E-2</v>
      </c>
      <c r="B790"/>
      <c r="C790"/>
      <c r="D790"/>
      <c r="E790"/>
      <c r="F790" s="27" t="s">
        <v>7</v>
      </c>
      <c r="HG790" s="27" t="s">
        <v>8</v>
      </c>
    </row>
    <row r="791" spans="1:218" x14ac:dyDescent="0.25">
      <c r="A791" s="7">
        <v>1.7602119317495109E-2</v>
      </c>
      <c r="B791"/>
      <c r="C791"/>
      <c r="D791"/>
      <c r="E791"/>
      <c r="F791" s="27" t="s">
        <v>7</v>
      </c>
      <c r="HG791" s="27" t="s">
        <v>8</v>
      </c>
    </row>
    <row r="792" spans="1:218" x14ac:dyDescent="0.25">
      <c r="A792" s="7">
        <v>1.7256979723034419E-2</v>
      </c>
      <c r="B792"/>
      <c r="C792"/>
      <c r="D792"/>
      <c r="E792"/>
      <c r="F792" s="27" t="s">
        <v>7</v>
      </c>
      <c r="HG792" s="27" t="s">
        <v>8</v>
      </c>
    </row>
    <row r="793" spans="1:218" x14ac:dyDescent="0.25">
      <c r="A793" s="7">
        <v>1.6918607571602372E-2</v>
      </c>
      <c r="B793"/>
      <c r="C793"/>
      <c r="D793"/>
      <c r="E793"/>
      <c r="F793" s="27" t="s">
        <v>7</v>
      </c>
      <c r="HG793" s="27" t="s">
        <v>8</v>
      </c>
    </row>
    <row r="794" spans="1:218" x14ac:dyDescent="0.25">
      <c r="A794" s="7">
        <v>1.6586870168237622E-2</v>
      </c>
      <c r="B794"/>
      <c r="C794"/>
      <c r="D794"/>
      <c r="E794"/>
      <c r="F794" s="27" t="s">
        <v>7</v>
      </c>
      <c r="HE794" s="27" t="s">
        <v>8</v>
      </c>
      <c r="HG794" s="27" t="s">
        <v>8</v>
      </c>
    </row>
    <row r="795" spans="1:218" x14ac:dyDescent="0.25">
      <c r="A795" s="7">
        <v>1.6261637419840807E-2</v>
      </c>
      <c r="B795"/>
      <c r="C795"/>
      <c r="D795"/>
      <c r="E795"/>
      <c r="F795" s="27" t="s">
        <v>7</v>
      </c>
      <c r="HE795" s="27" t="s">
        <v>8</v>
      </c>
      <c r="HF795" s="27" t="s">
        <v>7</v>
      </c>
      <c r="HG795" s="27" t="s">
        <v>8</v>
      </c>
    </row>
    <row r="796" spans="1:218" x14ac:dyDescent="0.25">
      <c r="A796" s="7">
        <v>1.5942781784157655E-2</v>
      </c>
      <c r="B796"/>
      <c r="C796"/>
      <c r="D796"/>
      <c r="E796"/>
      <c r="F796" s="27" t="s">
        <v>7</v>
      </c>
      <c r="HE796" s="27" t="s">
        <v>8</v>
      </c>
      <c r="HF796" s="27" t="s">
        <v>7</v>
      </c>
      <c r="HG796" s="27" t="s">
        <v>8</v>
      </c>
    </row>
    <row r="797" spans="1:218" x14ac:dyDescent="0.25">
      <c r="A797" s="7">
        <v>1.5630178219762408E-2</v>
      </c>
      <c r="B797"/>
      <c r="C797"/>
      <c r="D797"/>
      <c r="E797"/>
      <c r="F797" s="27" t="s">
        <v>7</v>
      </c>
      <c r="HE797" s="27" t="s">
        <v>8</v>
      </c>
      <c r="HF797" s="27" t="s">
        <v>7</v>
      </c>
      <c r="HG797" s="27" t="s">
        <v>8</v>
      </c>
    </row>
    <row r="798" spans="1:218" x14ac:dyDescent="0.25">
      <c r="A798" s="7">
        <v>1.5323704137021967E-2</v>
      </c>
      <c r="B798"/>
      <c r="C798"/>
      <c r="D798"/>
      <c r="E798"/>
      <c r="F798" s="27" t="s">
        <v>7</v>
      </c>
      <c r="HE798" s="27" t="s">
        <v>8</v>
      </c>
      <c r="HF798" s="27" t="s">
        <v>7</v>
      </c>
      <c r="HG798" s="27" t="s">
        <v>8</v>
      </c>
    </row>
    <row r="799" spans="1:218" x14ac:dyDescent="0.25">
      <c r="A799" s="7">
        <v>1.5023239350021535E-2</v>
      </c>
      <c r="B799"/>
      <c r="C799"/>
      <c r="D799"/>
      <c r="E799"/>
      <c r="F799" s="27" t="s">
        <v>7</v>
      </c>
      <c r="HE799" s="27" t="s">
        <v>8</v>
      </c>
      <c r="HF799" s="27" t="s">
        <v>7</v>
      </c>
      <c r="HG799" s="27" t="s">
        <v>8</v>
      </c>
    </row>
    <row r="800" spans="1:218" x14ac:dyDescent="0.25">
      <c r="A800" s="7">
        <v>1.4728666029432878E-2</v>
      </c>
      <c r="B800"/>
      <c r="C800"/>
      <c r="D800"/>
      <c r="E800"/>
      <c r="F800" s="27" t="s">
        <v>7</v>
      </c>
      <c r="HE800" s="27" t="s">
        <v>8</v>
      </c>
      <c r="HF800" s="27" t="s">
        <v>7</v>
      </c>
      <c r="HG800" s="27" t="s">
        <v>8</v>
      </c>
    </row>
    <row r="801" spans="1:215" x14ac:dyDescent="0.25">
      <c r="A801" s="7">
        <v>1.4439868656306743E-2</v>
      </c>
      <c r="B801"/>
      <c r="C801"/>
      <c r="D801"/>
      <c r="E801"/>
      <c r="F801" s="27" t="s">
        <v>7</v>
      </c>
      <c r="HE801" s="27" t="s">
        <v>8</v>
      </c>
      <c r="HF801" s="27" t="s">
        <v>7</v>
      </c>
      <c r="HG801" s="27" t="s">
        <v>8</v>
      </c>
    </row>
    <row r="802" spans="1:215" x14ac:dyDescent="0.25">
      <c r="A802" s="7">
        <v>1.4156733976771318E-2</v>
      </c>
      <c r="B802"/>
      <c r="C802"/>
      <c r="D802"/>
      <c r="E802"/>
      <c r="F802" s="27" t="s">
        <v>7</v>
      </c>
      <c r="HE802" s="27" t="s">
        <v>8</v>
      </c>
      <c r="HF802" s="27" t="s">
        <v>7</v>
      </c>
      <c r="HG802" s="27" t="s">
        <v>8</v>
      </c>
    </row>
    <row r="803" spans="1:215" x14ac:dyDescent="0.25">
      <c r="A803" s="7">
        <v>1.3879150957618939E-2</v>
      </c>
      <c r="B803"/>
      <c r="C803"/>
      <c r="D803"/>
      <c r="E803"/>
      <c r="F803" s="27" t="s">
        <v>7</v>
      </c>
      <c r="HC803" s="27" t="s">
        <v>8</v>
      </c>
      <c r="HE803" s="27" t="s">
        <v>8</v>
      </c>
      <c r="HF803" s="27" t="s">
        <v>7</v>
      </c>
      <c r="HG803" s="27" t="s">
        <v>8</v>
      </c>
    </row>
    <row r="804" spans="1:215" x14ac:dyDescent="0.25">
      <c r="A804" s="7">
        <v>1.3607010742763666E-2</v>
      </c>
      <c r="B804"/>
      <c r="C804"/>
      <c r="D804"/>
      <c r="E804"/>
      <c r="F804" s="27" t="s">
        <v>7</v>
      </c>
      <c r="HC804" s="27" t="s">
        <v>8</v>
      </c>
      <c r="HD804" s="27" t="s">
        <v>7</v>
      </c>
      <c r="HE804" s="27" t="s">
        <v>8</v>
      </c>
      <c r="HF804" s="27" t="s">
        <v>7</v>
      </c>
    </row>
    <row r="805" spans="1:215" x14ac:dyDescent="0.25">
      <c r="A805" s="7">
        <v>1.3340206610552614E-2</v>
      </c>
      <c r="B805"/>
      <c r="C805"/>
      <c r="D805"/>
      <c r="E805"/>
      <c r="F805" s="27" t="s">
        <v>7</v>
      </c>
      <c r="HC805" s="27" t="s">
        <v>8</v>
      </c>
      <c r="HD805" s="27" t="s">
        <v>7</v>
      </c>
      <c r="HE805" s="27" t="s">
        <v>8</v>
      </c>
    </row>
    <row r="806" spans="1:215" x14ac:dyDescent="0.25">
      <c r="A806" s="7">
        <v>1.3078633931914328E-2</v>
      </c>
      <c r="B806"/>
      <c r="C806"/>
      <c r="D806"/>
      <c r="E806"/>
      <c r="F806" s="27" t="s">
        <v>7</v>
      </c>
      <c r="HC806" s="27" t="s">
        <v>8</v>
      </c>
      <c r="HD806" s="27" t="s">
        <v>7</v>
      </c>
      <c r="HE806" s="27" t="s">
        <v>8</v>
      </c>
    </row>
    <row r="807" spans="1:215" x14ac:dyDescent="0.25">
      <c r="A807" s="7">
        <v>1.2822190129327771E-2</v>
      </c>
      <c r="B807"/>
      <c r="C807"/>
      <c r="D807"/>
      <c r="E807"/>
      <c r="F807" s="27" t="s">
        <v>7</v>
      </c>
      <c r="HC807" s="27" t="s">
        <v>8</v>
      </c>
      <c r="HD807" s="27" t="s">
        <v>7</v>
      </c>
      <c r="HE807" s="27" t="s">
        <v>8</v>
      </c>
    </row>
    <row r="808" spans="1:215" x14ac:dyDescent="0.25">
      <c r="A808" s="7">
        <v>1.2570774636595854E-2</v>
      </c>
      <c r="B808"/>
      <c r="C808"/>
      <c r="D808"/>
      <c r="E808"/>
      <c r="F808" s="27" t="s">
        <v>7</v>
      </c>
      <c r="HC808" s="27" t="s">
        <v>8</v>
      </c>
      <c r="HD808" s="27" t="s">
        <v>7</v>
      </c>
      <c r="HE808" s="27" t="s">
        <v>8</v>
      </c>
    </row>
    <row r="809" spans="1:215" x14ac:dyDescent="0.25">
      <c r="A809" s="7">
        <v>1.23242888594077E-2</v>
      </c>
      <c r="B809"/>
      <c r="C809"/>
      <c r="D809"/>
      <c r="E809"/>
      <c r="F809" s="27" t="s">
        <v>7</v>
      </c>
      <c r="HC809" s="27" t="s">
        <v>8</v>
      </c>
      <c r="HD809" s="27" t="s">
        <v>7</v>
      </c>
      <c r="HE809" s="27" t="s">
        <v>8</v>
      </c>
    </row>
    <row r="810" spans="1:215" x14ac:dyDescent="0.25">
      <c r="A810" s="7">
        <v>1.2082636136674216E-2</v>
      </c>
      <c r="B810"/>
      <c r="C810"/>
      <c r="D810"/>
      <c r="E810"/>
      <c r="F810" s="27" t="s">
        <v>7</v>
      </c>
      <c r="HC810" s="27" t="s">
        <v>8</v>
      </c>
      <c r="HD810" s="27" t="s">
        <v>7</v>
      </c>
      <c r="HE810" s="27" t="s">
        <v>8</v>
      </c>
    </row>
    <row r="811" spans="1:215" x14ac:dyDescent="0.25">
      <c r="A811" s="7">
        <v>1.184572170262178E-2</v>
      </c>
      <c r="B811"/>
      <c r="C811"/>
      <c r="D811"/>
      <c r="E811"/>
      <c r="F811" s="27" t="s">
        <v>7</v>
      </c>
      <c r="HC811" s="27" t="s">
        <v>8</v>
      </c>
      <c r="HD811" s="27" t="s">
        <v>7</v>
      </c>
      <c r="HE811" s="27" t="s">
        <v>8</v>
      </c>
    </row>
    <row r="812" spans="1:215" x14ac:dyDescent="0.25">
      <c r="A812" s="7">
        <v>1.1613452649629196E-2</v>
      </c>
      <c r="B812"/>
      <c r="C812"/>
      <c r="D812"/>
      <c r="E812"/>
      <c r="F812" s="27" t="s">
        <v>7</v>
      </c>
      <c r="HC812" s="27" t="s">
        <v>8</v>
      </c>
      <c r="HD812" s="27" t="s">
        <v>7</v>
      </c>
      <c r="HE812" s="27" t="s">
        <v>8</v>
      </c>
    </row>
    <row r="813" spans="1:215" x14ac:dyDescent="0.25">
      <c r="A813" s="7">
        <v>1.138573789179333E-2</v>
      </c>
      <c r="B813"/>
      <c r="C813"/>
      <c r="D813"/>
      <c r="E813"/>
      <c r="F813" s="27" t="s">
        <v>7</v>
      </c>
      <c r="HC813" s="27" t="s">
        <v>8</v>
      </c>
      <c r="HD813" s="27" t="s">
        <v>7</v>
      </c>
      <c r="HE813" s="27" t="s">
        <v>8</v>
      </c>
    </row>
    <row r="814" spans="1:215" x14ac:dyDescent="0.25">
      <c r="A814" s="7">
        <v>1.1162488129209149E-2</v>
      </c>
      <c r="B814"/>
      <c r="C814"/>
      <c r="D814"/>
      <c r="E814"/>
      <c r="F814" s="27" t="s">
        <v>7</v>
      </c>
      <c r="HA814" s="27" t="s">
        <v>8</v>
      </c>
      <c r="HC814" s="27" t="s">
        <v>8</v>
      </c>
      <c r="HD814" s="27" t="s">
        <v>7</v>
      </c>
      <c r="HE814" s="27" t="s">
        <v>8</v>
      </c>
    </row>
    <row r="815" spans="1:215" x14ac:dyDescent="0.25">
      <c r="A815" s="7">
        <v>1.0943615812950145E-2</v>
      </c>
      <c r="B815"/>
      <c r="C815"/>
      <c r="D815"/>
      <c r="E815"/>
      <c r="F815" s="27" t="s">
        <v>7</v>
      </c>
      <c r="HA815" s="27" t="s">
        <v>8</v>
      </c>
      <c r="HB815" s="27" t="s">
        <v>7</v>
      </c>
      <c r="HC815" s="27" t="s">
        <v>8</v>
      </c>
      <c r="HD815" s="27" t="s">
        <v>7</v>
      </c>
      <c r="HE815" s="27" t="s">
        <v>8</v>
      </c>
    </row>
    <row r="816" spans="1:215" x14ac:dyDescent="0.25">
      <c r="A816" s="7">
        <v>1.0729035110735436E-2</v>
      </c>
      <c r="B816"/>
      <c r="C816"/>
      <c r="D816"/>
      <c r="E816"/>
      <c r="F816" s="27" t="s">
        <v>7</v>
      </c>
      <c r="HA816" s="27" t="s">
        <v>8</v>
      </c>
      <c r="HB816" s="27" t="s">
        <v>7</v>
      </c>
      <c r="HC816" s="27" t="s">
        <v>8</v>
      </c>
      <c r="HD816" s="27" t="s">
        <v>7</v>
      </c>
      <c r="HE816" s="27" t="s">
        <v>8</v>
      </c>
    </row>
    <row r="817" spans="1:213" x14ac:dyDescent="0.25">
      <c r="A817" s="7">
        <v>1.0518661873270036E-2</v>
      </c>
      <c r="B817"/>
      <c r="C817"/>
      <c r="D817"/>
      <c r="E817"/>
      <c r="F817" s="27" t="s">
        <v>7</v>
      </c>
      <c r="HA817" s="27" t="s">
        <v>8</v>
      </c>
      <c r="HB817" s="27" t="s">
        <v>7</v>
      </c>
      <c r="HC817" s="27" t="s">
        <v>8</v>
      </c>
      <c r="HD817" s="27" t="s">
        <v>7</v>
      </c>
      <c r="HE817" s="27" t="s">
        <v>8</v>
      </c>
    </row>
    <row r="818" spans="1:213" x14ac:dyDescent="0.25">
      <c r="A818" s="7">
        <v>1.0312413601245135E-2</v>
      </c>
      <c r="B818"/>
      <c r="C818"/>
      <c r="D818"/>
      <c r="E818"/>
      <c r="F818" s="27" t="s">
        <v>7</v>
      </c>
      <c r="HA818" s="27" t="s">
        <v>8</v>
      </c>
      <c r="HB818" s="27" t="s">
        <v>7</v>
      </c>
      <c r="HC818" s="27" t="s">
        <v>8</v>
      </c>
      <c r="HD818" s="27" t="s">
        <v>7</v>
      </c>
    </row>
    <row r="819" spans="1:213" x14ac:dyDescent="0.25">
      <c r="A819" s="7">
        <v>1.0110209412985426E-2</v>
      </c>
      <c r="B819"/>
      <c r="C819"/>
      <c r="D819"/>
      <c r="E819"/>
      <c r="F819" s="27" t="s">
        <v>7</v>
      </c>
      <c r="HA819" s="27" t="s">
        <v>8</v>
      </c>
      <c r="HB819" s="27" t="s">
        <v>7</v>
      </c>
      <c r="HC819" s="27" t="s">
        <v>8</v>
      </c>
    </row>
    <row r="820" spans="1:213" x14ac:dyDescent="0.25">
      <c r="A820" s="7">
        <v>9.9119700127308103E-3</v>
      </c>
      <c r="B820"/>
      <c r="C820"/>
      <c r="D820"/>
      <c r="E820"/>
      <c r="F820" s="27" t="s">
        <v>7</v>
      </c>
      <c r="HA820" s="27" t="s">
        <v>8</v>
      </c>
      <c r="HB820" s="27" t="s">
        <v>7</v>
      </c>
      <c r="HC820" s="27" t="s">
        <v>8</v>
      </c>
    </row>
    <row r="821" spans="1:213" x14ac:dyDescent="0.25">
      <c r="A821" s="7">
        <v>9.717617659540009E-3</v>
      </c>
      <c r="B821"/>
      <c r="C821"/>
      <c r="D821"/>
      <c r="E821"/>
      <c r="F821" s="27" t="s">
        <v>7</v>
      </c>
      <c r="HA821" s="27" t="s">
        <v>8</v>
      </c>
      <c r="HB821" s="27" t="s">
        <v>7</v>
      </c>
      <c r="HC821" s="27" t="s">
        <v>8</v>
      </c>
    </row>
    <row r="822" spans="1:213" x14ac:dyDescent="0.25">
      <c r="A822" s="7">
        <v>9.5270761368039299E-3</v>
      </c>
      <c r="B822"/>
      <c r="C822"/>
      <c r="D822"/>
      <c r="E822"/>
      <c r="F822" s="27" t="s">
        <v>7</v>
      </c>
      <c r="HA822" s="27" t="s">
        <v>8</v>
      </c>
      <c r="HB822" s="27" t="s">
        <v>7</v>
      </c>
      <c r="HC822" s="27" t="s">
        <v>8</v>
      </c>
    </row>
    <row r="823" spans="1:213" x14ac:dyDescent="0.25">
      <c r="A823" s="7">
        <v>9.3402707223567936E-3</v>
      </c>
      <c r="B823"/>
      <c r="C823"/>
      <c r="D823"/>
      <c r="E823"/>
      <c r="F823" s="27" t="s">
        <v>7</v>
      </c>
      <c r="HA823" s="27" t="s">
        <v>8</v>
      </c>
      <c r="HB823" s="27" t="s">
        <v>7</v>
      </c>
      <c r="HC823" s="27" t="s">
        <v>8</v>
      </c>
    </row>
    <row r="824" spans="1:213" x14ac:dyDescent="0.25">
      <c r="A824" s="7">
        <v>9.1571281591733261E-3</v>
      </c>
      <c r="B824"/>
      <c r="C824"/>
      <c r="D824"/>
      <c r="E824"/>
      <c r="F824" s="27" t="s">
        <v>7</v>
      </c>
      <c r="GS824" s="27" t="s">
        <v>8</v>
      </c>
      <c r="HA824" s="27" t="s">
        <v>8</v>
      </c>
      <c r="HB824" s="27" t="s">
        <v>7</v>
      </c>
      <c r="HC824" s="27" t="s">
        <v>8</v>
      </c>
    </row>
    <row r="825" spans="1:213" x14ac:dyDescent="0.25">
      <c r="A825" s="7">
        <v>8.9775766266405148E-3</v>
      </c>
      <c r="B825"/>
      <c r="C825"/>
      <c r="D825"/>
      <c r="E825"/>
      <c r="F825" s="27" t="s">
        <v>7</v>
      </c>
      <c r="GM825" s="27" t="s">
        <v>8</v>
      </c>
      <c r="GS825" s="27" t="s">
        <v>8</v>
      </c>
      <c r="GT825" s="27" t="s">
        <v>7</v>
      </c>
      <c r="HA825" s="27" t="s">
        <v>8</v>
      </c>
      <c r="HB825" s="27" t="s">
        <v>7</v>
      </c>
    </row>
    <row r="826" spans="1:213" x14ac:dyDescent="0.25">
      <c r="A826" s="7">
        <v>8.8015457123926614E-3</v>
      </c>
      <c r="B826"/>
      <c r="C826"/>
      <c r="D826"/>
      <c r="E826"/>
      <c r="F826" s="27" t="s">
        <v>7</v>
      </c>
      <c r="GM826" s="27" t="s">
        <v>8</v>
      </c>
      <c r="GN826" s="27" t="s">
        <v>7</v>
      </c>
      <c r="GS826" s="27" t="s">
        <v>8</v>
      </c>
      <c r="GT826" s="27" t="s">
        <v>7</v>
      </c>
      <c r="HA826" s="27" t="s">
        <v>8</v>
      </c>
    </row>
    <row r="827" spans="1:213" x14ac:dyDescent="0.25">
      <c r="A827" s="7">
        <v>8.6289663846986879E-3</v>
      </c>
      <c r="B827"/>
      <c r="C827"/>
      <c r="D827"/>
      <c r="E827"/>
      <c r="F827" s="27" t="s">
        <v>7</v>
      </c>
      <c r="GM827" s="27" t="s">
        <v>8</v>
      </c>
      <c r="GN827" s="27" t="s">
        <v>7</v>
      </c>
      <c r="GS827" s="27" t="s">
        <v>8</v>
      </c>
      <c r="GT827" s="27" t="s">
        <v>7</v>
      </c>
      <c r="HA827" s="27" t="s">
        <v>8</v>
      </c>
    </row>
    <row r="828" spans="1:213" x14ac:dyDescent="0.25">
      <c r="A828" s="7">
        <v>8.4597709653908715E-3</v>
      </c>
      <c r="B828"/>
      <c r="C828"/>
      <c r="D828"/>
      <c r="E828"/>
      <c r="F828" s="27" t="s">
        <v>7</v>
      </c>
      <c r="GI828" s="27" t="s">
        <v>8</v>
      </c>
      <c r="GM828" s="27" t="s">
        <v>8</v>
      </c>
      <c r="GN828" s="27" t="s">
        <v>7</v>
      </c>
      <c r="GS828" s="27" t="s">
        <v>8</v>
      </c>
      <c r="GT828" s="27" t="s">
        <v>7</v>
      </c>
      <c r="HA828" s="27" t="s">
        <v>8</v>
      </c>
    </row>
    <row r="829" spans="1:213" x14ac:dyDescent="0.25">
      <c r="A829" s="7">
        <v>8.2938931033243839E-3</v>
      </c>
      <c r="B829"/>
      <c r="C829"/>
      <c r="D829"/>
      <c r="E829"/>
      <c r="F829" s="27" t="s">
        <v>7</v>
      </c>
      <c r="GI829" s="27" t="s">
        <v>8</v>
      </c>
      <c r="GJ829" s="27" t="s">
        <v>7</v>
      </c>
      <c r="GM829" s="27" t="s">
        <v>8</v>
      </c>
      <c r="GN829" s="27" t="s">
        <v>7</v>
      </c>
      <c r="GO829" s="27" t="s">
        <v>8</v>
      </c>
      <c r="GQ829" s="27" t="s">
        <v>8</v>
      </c>
      <c r="GS829" s="27" t="s">
        <v>8</v>
      </c>
      <c r="GT829" s="27" t="s">
        <v>7</v>
      </c>
      <c r="HA829" s="27" t="s">
        <v>8</v>
      </c>
    </row>
    <row r="830" spans="1:213" x14ac:dyDescent="0.25">
      <c r="A830" s="7">
        <v>8.1312677483572383E-3</v>
      </c>
      <c r="B830"/>
      <c r="C830"/>
      <c r="D830"/>
      <c r="E830"/>
      <c r="F830" s="27" t="s">
        <v>7</v>
      </c>
      <c r="GI830" s="27" t="s">
        <v>8</v>
      </c>
      <c r="GJ830" s="27" t="s">
        <v>7</v>
      </c>
      <c r="GM830" s="27" t="s">
        <v>8</v>
      </c>
      <c r="GN830" s="27" t="s">
        <v>7</v>
      </c>
      <c r="GO830" s="27" t="s">
        <v>8</v>
      </c>
      <c r="GP830" s="27" t="s">
        <v>7</v>
      </c>
      <c r="GQ830" s="27" t="s">
        <v>8</v>
      </c>
      <c r="GR830" s="27" t="s">
        <v>7</v>
      </c>
      <c r="GS830" s="27" t="s">
        <v>8</v>
      </c>
      <c r="GT830" s="27" t="s">
        <v>7</v>
      </c>
      <c r="HA830" s="27" t="s">
        <v>8</v>
      </c>
    </row>
    <row r="831" spans="1:213" x14ac:dyDescent="0.25">
      <c r="A831" s="7">
        <v>7.9718311258404305E-3</v>
      </c>
      <c r="B831"/>
      <c r="C831"/>
      <c r="D831"/>
      <c r="E831"/>
      <c r="F831" s="27" t="s">
        <v>7</v>
      </c>
      <c r="GI831" s="27" t="s">
        <v>8</v>
      </c>
      <c r="GJ831" s="27" t="s">
        <v>7</v>
      </c>
      <c r="GM831" s="27" t="s">
        <v>8</v>
      </c>
      <c r="GN831" s="27" t="s">
        <v>7</v>
      </c>
      <c r="GO831" s="27" t="s">
        <v>8</v>
      </c>
      <c r="GP831" s="27" t="s">
        <v>7</v>
      </c>
      <c r="GQ831" s="27" t="s">
        <v>8</v>
      </c>
      <c r="GR831" s="27" t="s">
        <v>7</v>
      </c>
      <c r="GS831" s="27" t="s">
        <v>8</v>
      </c>
      <c r="GT831" s="27" t="s">
        <v>7</v>
      </c>
      <c r="HA831" s="27" t="s">
        <v>8</v>
      </c>
    </row>
    <row r="832" spans="1:213" x14ac:dyDescent="0.25">
      <c r="A832" s="7">
        <v>7.8155207116082648E-3</v>
      </c>
      <c r="B832"/>
      <c r="C832"/>
      <c r="D832"/>
      <c r="E832"/>
      <c r="F832" s="27" t="s">
        <v>7</v>
      </c>
      <c r="GI832" s="27" t="s">
        <v>8</v>
      </c>
      <c r="GJ832" s="27" t="s">
        <v>7</v>
      </c>
      <c r="GM832" s="27" t="s">
        <v>8</v>
      </c>
      <c r="GN832" s="27" t="s">
        <v>7</v>
      </c>
      <c r="GO832" s="27" t="s">
        <v>8</v>
      </c>
      <c r="GP832" s="27" t="s">
        <v>7</v>
      </c>
      <c r="GQ832" s="27" t="s">
        <v>8</v>
      </c>
      <c r="GR832" s="27" t="s">
        <v>7</v>
      </c>
      <c r="GS832" s="27" t="s">
        <v>8</v>
      </c>
      <c r="GT832" s="27" t="s">
        <v>7</v>
      </c>
      <c r="HA832" s="27" t="s">
        <v>8</v>
      </c>
    </row>
    <row r="833" spans="1:209" x14ac:dyDescent="0.25">
      <c r="A833" s="7">
        <v>7.6622752074590825E-3</v>
      </c>
      <c r="B833"/>
      <c r="C833"/>
      <c r="D833"/>
      <c r="E833"/>
      <c r="F833" s="27" t="s">
        <v>7</v>
      </c>
      <c r="GI833" s="27" t="s">
        <v>8</v>
      </c>
      <c r="GJ833" s="27" t="s">
        <v>7</v>
      </c>
      <c r="GM833" s="27" t="s">
        <v>8</v>
      </c>
      <c r="GN833" s="27" t="s">
        <v>7</v>
      </c>
      <c r="GO833" s="27" t="s">
        <v>8</v>
      </c>
      <c r="GP833" s="27" t="s">
        <v>7</v>
      </c>
      <c r="GQ833" s="27" t="s">
        <v>8</v>
      </c>
      <c r="GR833" s="27" t="s">
        <v>7</v>
      </c>
      <c r="GT833" s="27" t="s">
        <v>7</v>
      </c>
      <c r="GU833" s="27" t="s">
        <v>8</v>
      </c>
      <c r="HA833" s="27" t="s">
        <v>8</v>
      </c>
    </row>
    <row r="834" spans="1:209" x14ac:dyDescent="0.25">
      <c r="A834" s="7">
        <v>7.5120345171167469E-3</v>
      </c>
      <c r="B834"/>
      <c r="C834"/>
      <c r="D834"/>
      <c r="E834"/>
      <c r="F834" s="27" t="s">
        <v>7</v>
      </c>
      <c r="GI834" s="27" t="s">
        <v>8</v>
      </c>
      <c r="GJ834" s="27" t="s">
        <v>7</v>
      </c>
      <c r="GM834" s="27" t="s">
        <v>8</v>
      </c>
      <c r="GN834" s="27" t="s">
        <v>7</v>
      </c>
      <c r="GP834" s="27" t="s">
        <v>7</v>
      </c>
      <c r="GQ834" s="27" t="s">
        <v>8</v>
      </c>
      <c r="GT834" s="27" t="s">
        <v>7</v>
      </c>
      <c r="GU834" s="27" t="s">
        <v>8</v>
      </c>
      <c r="GV834" s="27" t="s">
        <v>7</v>
      </c>
      <c r="GY834" s="27" t="s">
        <v>8</v>
      </c>
      <c r="HA834" s="27" t="s">
        <v>8</v>
      </c>
    </row>
    <row r="835" spans="1:209" x14ac:dyDescent="0.25">
      <c r="A835" s="7">
        <v>7.3647397226634772E-3</v>
      </c>
      <c r="B835"/>
      <c r="C835"/>
      <c r="D835"/>
      <c r="E835"/>
      <c r="F835" s="27" t="s">
        <v>7</v>
      </c>
      <c r="GI835" s="27" t="s">
        <v>8</v>
      </c>
      <c r="GJ835" s="27" t="s">
        <v>7</v>
      </c>
      <c r="GM835" s="27" t="s">
        <v>8</v>
      </c>
      <c r="GP835" s="27" t="s">
        <v>7</v>
      </c>
      <c r="GT835" s="27" t="s">
        <v>7</v>
      </c>
      <c r="GU835" s="27" t="s">
        <v>8</v>
      </c>
      <c r="GV835" s="27" t="s">
        <v>7</v>
      </c>
      <c r="GY835" s="27" t="s">
        <v>8</v>
      </c>
      <c r="GZ835" s="27" t="s">
        <v>7</v>
      </c>
      <c r="HA835" s="27" t="s">
        <v>8</v>
      </c>
    </row>
    <row r="836" spans="1:209" x14ac:dyDescent="0.25">
      <c r="A836" s="7">
        <v>7.2203330614347815E-3</v>
      </c>
      <c r="B836"/>
      <c r="C836"/>
      <c r="D836"/>
      <c r="E836"/>
      <c r="F836" s="27" t="s">
        <v>7</v>
      </c>
      <c r="GI836" s="27" t="s">
        <v>8</v>
      </c>
      <c r="GJ836" s="27" t="s">
        <v>7</v>
      </c>
      <c r="GM836" s="27" t="s">
        <v>8</v>
      </c>
      <c r="GT836" s="27" t="s">
        <v>7</v>
      </c>
      <c r="GU836" s="27" t="s">
        <v>8</v>
      </c>
      <c r="GV836" s="27" t="s">
        <v>7</v>
      </c>
      <c r="GW836" s="27" t="s">
        <v>8</v>
      </c>
      <c r="GY836" s="27" t="s">
        <v>8</v>
      </c>
      <c r="GZ836" s="27" t="s">
        <v>7</v>
      </c>
      <c r="HA836" s="27" t="s">
        <v>8</v>
      </c>
    </row>
    <row r="837" spans="1:209" x14ac:dyDescent="0.25">
      <c r="A837" s="7">
        <v>7.0787579033674327E-3</v>
      </c>
      <c r="B837"/>
      <c r="C837"/>
      <c r="D837"/>
      <c r="E837"/>
      <c r="F837" s="27" t="s">
        <v>7</v>
      </c>
      <c r="GI837" s="27" t="s">
        <v>8</v>
      </c>
      <c r="GJ837" s="27" t="s">
        <v>7</v>
      </c>
      <c r="GM837" s="27" t="s">
        <v>8</v>
      </c>
      <c r="GT837" s="27" t="s">
        <v>7</v>
      </c>
      <c r="GU837" s="27" t="s">
        <v>8</v>
      </c>
      <c r="GV837" s="27" t="s">
        <v>7</v>
      </c>
      <c r="GW837" s="27" t="s">
        <v>8</v>
      </c>
      <c r="GX837" s="27" t="s">
        <v>7</v>
      </c>
      <c r="GY837" s="27" t="s">
        <v>8</v>
      </c>
      <c r="GZ837" s="27" t="s">
        <v>7</v>
      </c>
      <c r="HA837" s="27" t="s">
        <v>8</v>
      </c>
    </row>
    <row r="838" spans="1:209" x14ac:dyDescent="0.25">
      <c r="A838" s="7">
        <v>6.9399587287916013E-3</v>
      </c>
      <c r="B838"/>
      <c r="C838"/>
      <c r="D838"/>
      <c r="E838"/>
      <c r="F838" s="27" t="s">
        <v>7</v>
      </c>
      <c r="GI838" s="27" t="s">
        <v>8</v>
      </c>
      <c r="GJ838" s="27" t="s">
        <v>7</v>
      </c>
      <c r="GK838" s="27" t="s">
        <v>8</v>
      </c>
      <c r="GM838" s="27" t="s">
        <v>8</v>
      </c>
      <c r="GT838" s="27" t="s">
        <v>7</v>
      </c>
      <c r="GU838" s="27" t="s">
        <v>8</v>
      </c>
      <c r="GV838" s="27" t="s">
        <v>7</v>
      </c>
      <c r="GW838" s="27" t="s">
        <v>8</v>
      </c>
      <c r="GX838" s="27" t="s">
        <v>7</v>
      </c>
      <c r="GY838" s="27" t="s">
        <v>8</v>
      </c>
      <c r="GZ838" s="27" t="s">
        <v>7</v>
      </c>
      <c r="HA838" s="27" t="s">
        <v>8</v>
      </c>
    </row>
    <row r="839" spans="1:209" x14ac:dyDescent="0.25">
      <c r="A839" s="7">
        <v>6.8038811066584333E-3</v>
      </c>
      <c r="B839"/>
      <c r="C839"/>
      <c r="D839"/>
      <c r="E839"/>
      <c r="F839" s="27" t="s">
        <v>7</v>
      </c>
      <c r="GI839" s="27" t="s">
        <v>8</v>
      </c>
      <c r="GJ839" s="27" t="s">
        <v>7</v>
      </c>
      <c r="GK839" s="27" t="s">
        <v>8</v>
      </c>
      <c r="GL839" s="27" t="s">
        <v>7</v>
      </c>
      <c r="GM839" s="27" t="s">
        <v>8</v>
      </c>
      <c r="GT839" s="27" t="s">
        <v>7</v>
      </c>
      <c r="GU839" s="27" t="s">
        <v>8</v>
      </c>
      <c r="GV839" s="27" t="s">
        <v>7</v>
      </c>
      <c r="GW839" s="27" t="s">
        <v>8</v>
      </c>
      <c r="GX839" s="27" t="s">
        <v>7</v>
      </c>
      <c r="GY839" s="27" t="s">
        <v>8</v>
      </c>
      <c r="GZ839" s="27" t="s">
        <v>7</v>
      </c>
      <c r="HA839" s="27" t="s">
        <v>8</v>
      </c>
    </row>
    <row r="840" spans="1:209" x14ac:dyDescent="0.25">
      <c r="A840" s="7">
        <v>6.6704716731945425E-3</v>
      </c>
      <c r="B840"/>
      <c r="C840"/>
      <c r="D840"/>
      <c r="E840"/>
      <c r="F840" s="27" t="s">
        <v>7</v>
      </c>
      <c r="GI840" s="27" t="s">
        <v>8</v>
      </c>
      <c r="GJ840" s="27" t="s">
        <v>7</v>
      </c>
      <c r="GK840" s="27" t="s">
        <v>8</v>
      </c>
      <c r="GL840" s="27" t="s">
        <v>7</v>
      </c>
      <c r="GM840" s="27" t="s">
        <v>8</v>
      </c>
      <c r="GT840" s="27" t="s">
        <v>7</v>
      </c>
      <c r="GU840" s="27" t="s">
        <v>8</v>
      </c>
      <c r="GV840" s="27" t="s">
        <v>7</v>
      </c>
      <c r="GW840" s="27" t="s">
        <v>8</v>
      </c>
      <c r="GX840" s="27" t="s">
        <v>7</v>
      </c>
      <c r="GY840" s="27" t="s">
        <v>8</v>
      </c>
      <c r="GZ840" s="27" t="s">
        <v>7</v>
      </c>
    </row>
    <row r="841" spans="1:209" x14ac:dyDescent="0.25">
      <c r="A841" s="7">
        <v>6.5396781109750427E-3</v>
      </c>
      <c r="B841"/>
      <c r="C841"/>
      <c r="D841"/>
      <c r="E841"/>
      <c r="F841" s="27" t="s">
        <v>7</v>
      </c>
      <c r="GI841" s="27" t="s">
        <v>8</v>
      </c>
      <c r="GJ841" s="27" t="s">
        <v>7</v>
      </c>
      <c r="GK841" s="27" t="s">
        <v>8</v>
      </c>
      <c r="GL841" s="27" t="s">
        <v>7</v>
      </c>
      <c r="GM841" s="27" t="s">
        <v>8</v>
      </c>
      <c r="GT841" s="27" t="s">
        <v>7</v>
      </c>
      <c r="GU841" s="27" t="s">
        <v>8</v>
      </c>
      <c r="GV841" s="27" t="s">
        <v>7</v>
      </c>
      <c r="GW841" s="27" t="s">
        <v>8</v>
      </c>
      <c r="GX841" s="27" t="s">
        <v>7</v>
      </c>
      <c r="GY841" s="27" t="s">
        <v>8</v>
      </c>
    </row>
    <row r="842" spans="1:209" x14ac:dyDescent="0.25">
      <c r="A842" s="7">
        <v>6.4114491284069045E-3</v>
      </c>
      <c r="B842"/>
      <c r="C842"/>
      <c r="D842"/>
      <c r="E842"/>
      <c r="F842" s="27" t="s">
        <v>7</v>
      </c>
      <c r="GI842" s="27" t="s">
        <v>8</v>
      </c>
      <c r="GJ842" s="27" t="s">
        <v>7</v>
      </c>
      <c r="GK842" s="27" t="s">
        <v>8</v>
      </c>
      <c r="GL842" s="27" t="s">
        <v>7</v>
      </c>
      <c r="GM842" s="27" t="s">
        <v>8</v>
      </c>
      <c r="GT842" s="27" t="s">
        <v>7</v>
      </c>
      <c r="GU842" s="27" t="s">
        <v>8</v>
      </c>
      <c r="GV842" s="27" t="s">
        <v>7</v>
      </c>
      <c r="GX842" s="27" t="s">
        <v>7</v>
      </c>
      <c r="GY842" s="27" t="s">
        <v>8</v>
      </c>
    </row>
    <row r="843" spans="1:209" x14ac:dyDescent="0.25">
      <c r="A843" s="7">
        <v>6.2857344396146115E-3</v>
      </c>
      <c r="B843"/>
      <c r="C843"/>
      <c r="D843"/>
      <c r="E843"/>
      <c r="F843" s="27" t="s">
        <v>7</v>
      </c>
      <c r="GI843" s="27" t="s">
        <v>8</v>
      </c>
      <c r="GJ843" s="27" t="s">
        <v>7</v>
      </c>
      <c r="GK843" s="27" t="s">
        <v>8</v>
      </c>
      <c r="GL843" s="27" t="s">
        <v>7</v>
      </c>
      <c r="GM843" s="27" t="s">
        <v>8</v>
      </c>
      <c r="GT843" s="27" t="s">
        <v>7</v>
      </c>
      <c r="GU843" s="27" t="s">
        <v>8</v>
      </c>
      <c r="GX843" s="27" t="s">
        <v>7</v>
      </c>
      <c r="GY843" s="27" t="s">
        <v>8</v>
      </c>
    </row>
    <row r="844" spans="1:209" x14ac:dyDescent="0.25">
      <c r="A844" s="7">
        <v>6.1624847447202076E-3</v>
      </c>
      <c r="B844"/>
      <c r="C844"/>
      <c r="D844"/>
      <c r="E844"/>
      <c r="F844" s="27" t="s">
        <v>7</v>
      </c>
      <c r="GI844" s="27" t="s">
        <v>8</v>
      </c>
      <c r="GJ844" s="27" t="s">
        <v>7</v>
      </c>
      <c r="GK844" s="27" t="s">
        <v>8</v>
      </c>
      <c r="GL844" s="27" t="s">
        <v>7</v>
      </c>
      <c r="GT844" s="27" t="s">
        <v>7</v>
      </c>
      <c r="GU844" s="27" t="s">
        <v>8</v>
      </c>
      <c r="GX844" s="27" t="s">
        <v>7</v>
      </c>
      <c r="GY844" s="27" t="s">
        <v>8</v>
      </c>
    </row>
    <row r="845" spans="1:209" x14ac:dyDescent="0.25">
      <c r="A845" s="7">
        <v>6.0416517105100079E-3</v>
      </c>
      <c r="B845"/>
      <c r="C845"/>
      <c r="D845"/>
      <c r="E845"/>
      <c r="F845" s="27" t="s">
        <v>7</v>
      </c>
      <c r="GI845" s="27" t="s">
        <v>8</v>
      </c>
      <c r="GJ845" s="27" t="s">
        <v>7</v>
      </c>
      <c r="GK845" s="27" t="s">
        <v>8</v>
      </c>
      <c r="GT845" s="27" t="s">
        <v>7</v>
      </c>
      <c r="GU845" s="27" t="s">
        <v>8</v>
      </c>
      <c r="GX845" s="27" t="s">
        <v>7</v>
      </c>
      <c r="GY845" s="27" t="s">
        <v>8</v>
      </c>
    </row>
    <row r="846" spans="1:209" x14ac:dyDescent="0.25">
      <c r="A846" s="7">
        <v>5.9231879514803996E-3</v>
      </c>
      <c r="B846"/>
      <c r="C846"/>
      <c r="D846"/>
      <c r="E846"/>
      <c r="F846" s="27" t="s">
        <v>7</v>
      </c>
      <c r="GI846" s="27" t="s">
        <v>8</v>
      </c>
      <c r="GJ846" s="27" t="s">
        <v>7</v>
      </c>
      <c r="GK846" s="27" t="s">
        <v>8</v>
      </c>
      <c r="GT846" s="27" t="s">
        <v>7</v>
      </c>
      <c r="GU846" s="27" t="s">
        <v>8</v>
      </c>
      <c r="GX846" s="27" t="s">
        <v>7</v>
      </c>
      <c r="GY846" s="27" t="s">
        <v>8</v>
      </c>
    </row>
    <row r="847" spans="1:209" x14ac:dyDescent="0.25">
      <c r="A847" s="7">
        <v>5.8070470112552936E-3</v>
      </c>
      <c r="B847"/>
      <c r="C847"/>
      <c r="D847"/>
      <c r="E847"/>
      <c r="F847" s="27" t="s">
        <v>7</v>
      </c>
      <c r="FS847" s="27" t="s">
        <v>8</v>
      </c>
      <c r="GI847" s="27" t="s">
        <v>8</v>
      </c>
      <c r="GJ847" s="27" t="s">
        <v>7</v>
      </c>
      <c r="GK847" s="27" t="s">
        <v>8</v>
      </c>
      <c r="GT847" s="27" t="s">
        <v>7</v>
      </c>
      <c r="GX847" s="27" t="s">
        <v>7</v>
      </c>
    </row>
    <row r="848" spans="1:209" x14ac:dyDescent="0.25">
      <c r="A848" s="7">
        <v>5.6931833443679353E-3</v>
      </c>
      <c r="B848"/>
      <c r="C848"/>
      <c r="D848"/>
      <c r="E848"/>
      <c r="F848" s="27" t="s">
        <v>7</v>
      </c>
      <c r="FS848" s="27" t="s">
        <v>8</v>
      </c>
      <c r="FT848" s="27" t="s">
        <v>7</v>
      </c>
      <c r="GI848" s="27" t="s">
        <v>8</v>
      </c>
      <c r="GJ848" s="27" t="s">
        <v>7</v>
      </c>
      <c r="GK848" s="27" t="s">
        <v>8</v>
      </c>
    </row>
    <row r="849" spans="1:193" x14ac:dyDescent="0.25">
      <c r="A849" s="7">
        <v>5.5815522983999367E-3</v>
      </c>
      <c r="B849"/>
      <c r="C849"/>
      <c r="D849"/>
      <c r="E849"/>
      <c r="F849" s="27" t="s">
        <v>7</v>
      </c>
      <c r="FS849" s="27" t="s">
        <v>8</v>
      </c>
      <c r="FT849" s="27" t="s">
        <v>7</v>
      </c>
      <c r="FU849" s="27" t="s">
        <v>8</v>
      </c>
      <c r="GI849" s="27" t="s">
        <v>8</v>
      </c>
      <c r="GJ849" s="27" t="s">
        <v>7</v>
      </c>
      <c r="GK849" s="27" t="s">
        <v>8</v>
      </c>
    </row>
    <row r="850" spans="1:193" x14ac:dyDescent="0.25">
      <c r="A850" s="7">
        <v>5.4721100964705257E-3</v>
      </c>
      <c r="B850"/>
      <c r="C850"/>
      <c r="D850"/>
      <c r="E850"/>
      <c r="F850" s="27" t="s">
        <v>7</v>
      </c>
      <c r="FS850" s="27" t="s">
        <v>8</v>
      </c>
      <c r="FT850" s="27" t="s">
        <v>7</v>
      </c>
      <c r="FU850" s="27" t="s">
        <v>8</v>
      </c>
      <c r="FV850" s="27" t="s">
        <v>7</v>
      </c>
      <c r="GI850" s="27" t="s">
        <v>8</v>
      </c>
      <c r="GJ850" s="27" t="s">
        <v>7</v>
      </c>
      <c r="GK850" s="27" t="s">
        <v>8</v>
      </c>
    </row>
    <row r="851" spans="1:193" x14ac:dyDescent="0.25">
      <c r="A851" s="7">
        <v>5.3648138200691423E-3</v>
      </c>
      <c r="B851"/>
      <c r="C851"/>
      <c r="D851"/>
      <c r="E851"/>
      <c r="F851" s="27" t="s">
        <v>7</v>
      </c>
      <c r="FS851" s="27" t="s">
        <v>8</v>
      </c>
      <c r="FT851" s="27" t="s">
        <v>7</v>
      </c>
      <c r="FU851" s="27" t="s">
        <v>8</v>
      </c>
      <c r="FV851" s="27" t="s">
        <v>7</v>
      </c>
      <c r="GI851" s="27" t="s">
        <v>8</v>
      </c>
      <c r="GJ851" s="27" t="s">
        <v>7</v>
      </c>
      <c r="GK851" s="27" t="s">
        <v>8</v>
      </c>
    </row>
    <row r="852" spans="1:193" x14ac:dyDescent="0.25">
      <c r="A852" s="7">
        <v>5.2596213922246494E-3</v>
      </c>
      <c r="B852"/>
      <c r="C852"/>
      <c r="D852"/>
      <c r="E852"/>
      <c r="F852" s="27" t="s">
        <v>7</v>
      </c>
      <c r="FS852" s="27" t="s">
        <v>8</v>
      </c>
      <c r="FT852" s="27" t="s">
        <v>7</v>
      </c>
      <c r="FU852" s="27" t="s">
        <v>8</v>
      </c>
      <c r="FV852" s="27" t="s">
        <v>7</v>
      </c>
      <c r="GI852" s="27" t="s">
        <v>8</v>
      </c>
      <c r="GJ852" s="27" t="s">
        <v>7</v>
      </c>
      <c r="GK852" s="27" t="s">
        <v>8</v>
      </c>
    </row>
    <row r="853" spans="1:193" x14ac:dyDescent="0.25">
      <c r="A853" s="7">
        <v>5.1564915610045588E-3</v>
      </c>
      <c r="B853"/>
      <c r="C853"/>
      <c r="D853"/>
      <c r="E853"/>
      <c r="F853" s="27" t="s">
        <v>7</v>
      </c>
      <c r="FS853" s="27" t="s">
        <v>8</v>
      </c>
      <c r="FT853" s="27" t="s">
        <v>7</v>
      </c>
      <c r="FU853" s="27" t="s">
        <v>8</v>
      </c>
      <c r="FV853" s="27" t="s">
        <v>7</v>
      </c>
      <c r="GI853" s="27" t="s">
        <v>8</v>
      </c>
      <c r="GJ853" s="27" t="s">
        <v>7</v>
      </c>
      <c r="GK853" s="27" t="s">
        <v>8</v>
      </c>
    </row>
    <row r="854" spans="1:193" x14ac:dyDescent="0.25">
      <c r="A854" s="7">
        <v>5.0553838833378023E-3</v>
      </c>
      <c r="B854"/>
      <c r="C854"/>
      <c r="D854"/>
      <c r="E854"/>
      <c r="F854" s="27" t="s">
        <v>7</v>
      </c>
      <c r="BM854" s="27" t="s">
        <v>8</v>
      </c>
      <c r="FS854" s="27" t="s">
        <v>8</v>
      </c>
      <c r="FT854" s="27" t="s">
        <v>7</v>
      </c>
      <c r="FU854" s="27" t="s">
        <v>8</v>
      </c>
      <c r="FV854" s="27" t="s">
        <v>7</v>
      </c>
      <c r="GI854" s="27" t="s">
        <v>8</v>
      </c>
      <c r="GJ854" s="27" t="s">
        <v>7</v>
      </c>
      <c r="GK854" s="27" t="s">
        <v>8</v>
      </c>
    </row>
    <row r="855" spans="1:193" x14ac:dyDescent="0.25">
      <c r="A855" s="7">
        <v>4.9562587091547079E-3</v>
      </c>
      <c r="B855"/>
      <c r="C855"/>
      <c r="D855"/>
      <c r="E855"/>
      <c r="F855" s="27" t="s">
        <v>7</v>
      </c>
      <c r="BM855" s="27" t="s">
        <v>8</v>
      </c>
      <c r="BN855" s="27" t="s">
        <v>7</v>
      </c>
      <c r="CC855" s="27" t="s">
        <v>8</v>
      </c>
      <c r="FS855" s="27" t="s">
        <v>8</v>
      </c>
      <c r="FT855" s="27" t="s">
        <v>7</v>
      </c>
      <c r="FU855" s="27" t="s">
        <v>8</v>
      </c>
      <c r="FV855" s="27" t="s">
        <v>7</v>
      </c>
      <c r="GI855" s="27" t="s">
        <v>8</v>
      </c>
      <c r="GJ855" s="27" t="s">
        <v>7</v>
      </c>
      <c r="GK855" s="27" t="s">
        <v>8</v>
      </c>
    </row>
    <row r="856" spans="1:193" x14ac:dyDescent="0.25">
      <c r="A856" s="7">
        <v>4.8590771658379491E-3</v>
      </c>
      <c r="B856"/>
      <c r="C856"/>
      <c r="D856"/>
      <c r="E856"/>
      <c r="F856" s="27" t="s">
        <v>7</v>
      </c>
      <c r="BM856" s="27" t="s">
        <v>8</v>
      </c>
      <c r="BN856" s="27" t="s">
        <v>7</v>
      </c>
      <c r="CC856" s="27" t="s">
        <v>8</v>
      </c>
      <c r="CD856" s="27" t="s">
        <v>7</v>
      </c>
      <c r="FS856" s="27" t="s">
        <v>8</v>
      </c>
      <c r="FT856" s="27" t="s">
        <v>7</v>
      </c>
      <c r="FU856" s="27" t="s">
        <v>8</v>
      </c>
      <c r="FV856" s="27" t="s">
        <v>7</v>
      </c>
      <c r="GI856" s="27" t="s">
        <v>8</v>
      </c>
      <c r="GJ856" s="27" t="s">
        <v>7</v>
      </c>
      <c r="GK856" s="27" t="s">
        <v>8</v>
      </c>
    </row>
    <row r="857" spans="1:193" x14ac:dyDescent="0.25">
      <c r="A857" s="7">
        <v>4.7638011429783815E-3</v>
      </c>
      <c r="B857"/>
      <c r="C857"/>
      <c r="D857"/>
      <c r="E857"/>
      <c r="F857" s="27" t="s">
        <v>7</v>
      </c>
      <c r="BM857" s="27" t="s">
        <v>8</v>
      </c>
      <c r="BN857" s="27" t="s">
        <v>7</v>
      </c>
      <c r="CC857" s="27" t="s">
        <v>8</v>
      </c>
      <c r="CD857" s="27" t="s">
        <v>7</v>
      </c>
      <c r="FQ857" s="27" t="s">
        <v>8</v>
      </c>
      <c r="FS857" s="27" t="s">
        <v>8</v>
      </c>
      <c r="FT857" s="27" t="s">
        <v>7</v>
      </c>
      <c r="FU857" s="27" t="s">
        <v>8</v>
      </c>
      <c r="FV857" s="27" t="s">
        <v>7</v>
      </c>
      <c r="FW857" s="27" t="s">
        <v>8</v>
      </c>
      <c r="GI857" s="27" t="s">
        <v>8</v>
      </c>
      <c r="GJ857" s="27" t="s">
        <v>7</v>
      </c>
      <c r="GK857" s="27" t="s">
        <v>8</v>
      </c>
    </row>
    <row r="858" spans="1:193" x14ac:dyDescent="0.25">
      <c r="A858" s="7">
        <v>4.6703932774297859E-3</v>
      </c>
      <c r="B858"/>
      <c r="C858"/>
      <c r="D858"/>
      <c r="E858"/>
      <c r="F858" s="27" t="s">
        <v>7</v>
      </c>
      <c r="BM858" s="27" t="s">
        <v>8</v>
      </c>
      <c r="BN858" s="27" t="s">
        <v>7</v>
      </c>
      <c r="CC858" s="27" t="s">
        <v>8</v>
      </c>
      <c r="CD858" s="27" t="s">
        <v>7</v>
      </c>
      <c r="CE858" s="27" t="s">
        <v>8</v>
      </c>
      <c r="FQ858" s="27" t="s">
        <v>8</v>
      </c>
      <c r="FR858" s="27" t="s">
        <v>7</v>
      </c>
      <c r="FS858" s="27" t="s">
        <v>8</v>
      </c>
      <c r="FT858" s="27" t="s">
        <v>7</v>
      </c>
      <c r="FU858" s="27" t="s">
        <v>8</v>
      </c>
      <c r="FV858" s="27" t="s">
        <v>7</v>
      </c>
      <c r="FW858" s="27" t="s">
        <v>8</v>
      </c>
      <c r="FX858" s="27" t="s">
        <v>7</v>
      </c>
      <c r="GI858" s="27" t="s">
        <v>8</v>
      </c>
      <c r="GJ858" s="27" t="s">
        <v>7</v>
      </c>
    </row>
    <row r="859" spans="1:193" x14ac:dyDescent="0.25">
      <c r="A859" s="7">
        <v>4.5788169386566527E-3</v>
      </c>
      <c r="B859"/>
      <c r="C859"/>
      <c r="D859"/>
      <c r="E859"/>
      <c r="F859" s="27" t="s">
        <v>7</v>
      </c>
      <c r="BM859" s="27" t="s">
        <v>8</v>
      </c>
      <c r="BN859" s="27" t="s">
        <v>7</v>
      </c>
      <c r="BY859" s="27" t="s">
        <v>8</v>
      </c>
      <c r="CC859" s="27" t="s">
        <v>8</v>
      </c>
      <c r="CD859" s="27" t="s">
        <v>7</v>
      </c>
      <c r="CE859" s="27" t="s">
        <v>8</v>
      </c>
      <c r="CF859" s="27" t="s">
        <v>7</v>
      </c>
      <c r="EO859" s="27" t="s">
        <v>8</v>
      </c>
      <c r="FQ859" s="27" t="s">
        <v>8</v>
      </c>
      <c r="FR859" s="27" t="s">
        <v>7</v>
      </c>
      <c r="FS859" s="27" t="s">
        <v>8</v>
      </c>
      <c r="FT859" s="27" t="s">
        <v>7</v>
      </c>
      <c r="FU859" s="27" t="s">
        <v>8</v>
      </c>
      <c r="FV859" s="27" t="s">
        <v>7</v>
      </c>
      <c r="FW859" s="27" t="s">
        <v>8</v>
      </c>
      <c r="FX859" s="27" t="s">
        <v>7</v>
      </c>
      <c r="GI859" s="27" t="s">
        <v>8</v>
      </c>
    </row>
    <row r="860" spans="1:193" x14ac:dyDescent="0.25">
      <c r="A860" s="7">
        <v>4.4890362143692672E-3</v>
      </c>
      <c r="B860"/>
      <c r="C860"/>
      <c r="D860"/>
      <c r="E860"/>
      <c r="F860" s="27" t="s">
        <v>7</v>
      </c>
      <c r="BM860" s="27" t="s">
        <v>8</v>
      </c>
      <c r="BN860" s="27" t="s">
        <v>7</v>
      </c>
      <c r="BW860" s="27" t="s">
        <v>8</v>
      </c>
      <c r="BY860" s="27" t="s">
        <v>8</v>
      </c>
      <c r="BZ860" s="27" t="s">
        <v>7</v>
      </c>
      <c r="CC860" s="27" t="s">
        <v>8</v>
      </c>
      <c r="CD860" s="27" t="s">
        <v>7</v>
      </c>
      <c r="CE860" s="27" t="s">
        <v>8</v>
      </c>
      <c r="CF860" s="27" t="s">
        <v>7</v>
      </c>
      <c r="EO860" s="27" t="s">
        <v>8</v>
      </c>
      <c r="EP860" s="27" t="s">
        <v>7</v>
      </c>
      <c r="FQ860" s="27" t="s">
        <v>8</v>
      </c>
      <c r="FR860" s="27" t="s">
        <v>7</v>
      </c>
      <c r="FS860" s="27" t="s">
        <v>8</v>
      </c>
      <c r="FT860" s="27" t="s">
        <v>7</v>
      </c>
      <c r="FU860" s="27" t="s">
        <v>8</v>
      </c>
      <c r="FV860" s="27" t="s">
        <v>7</v>
      </c>
      <c r="FW860" s="27" t="s">
        <v>8</v>
      </c>
      <c r="FX860" s="27" t="s">
        <v>7</v>
      </c>
      <c r="GG860" s="27" t="s">
        <v>8</v>
      </c>
      <c r="GI860" s="27" t="s">
        <v>8</v>
      </c>
    </row>
    <row r="861" spans="1:193" x14ac:dyDescent="0.25">
      <c r="A861" s="7">
        <v>4.4010158964404578E-3</v>
      </c>
      <c r="B861"/>
      <c r="C861"/>
      <c r="D861"/>
      <c r="E861"/>
      <c r="F861" s="27" t="s">
        <v>7</v>
      </c>
      <c r="BM861" s="27" t="s">
        <v>8</v>
      </c>
      <c r="BN861" s="27" t="s">
        <v>7</v>
      </c>
      <c r="BW861" s="27" t="s">
        <v>8</v>
      </c>
      <c r="BX861" s="27" t="s">
        <v>7</v>
      </c>
      <c r="BY861" s="27" t="s">
        <v>8</v>
      </c>
      <c r="BZ861" s="27" t="s">
        <v>7</v>
      </c>
      <c r="CA861" s="27" t="s">
        <v>8</v>
      </c>
      <c r="CC861" s="27" t="s">
        <v>8</v>
      </c>
      <c r="CD861" s="27" t="s">
        <v>7</v>
      </c>
      <c r="CE861" s="27" t="s">
        <v>8</v>
      </c>
      <c r="CF861" s="27" t="s">
        <v>7</v>
      </c>
      <c r="EI861" s="27" t="s">
        <v>8</v>
      </c>
      <c r="EO861" s="27" t="s">
        <v>8</v>
      </c>
      <c r="EP861" s="27" t="s">
        <v>7</v>
      </c>
      <c r="FO861" s="27" t="s">
        <v>8</v>
      </c>
      <c r="FQ861" s="27" t="s">
        <v>8</v>
      </c>
      <c r="FR861" s="27" t="s">
        <v>7</v>
      </c>
      <c r="FS861" s="27" t="s">
        <v>8</v>
      </c>
      <c r="FT861" s="27" t="s">
        <v>7</v>
      </c>
      <c r="FU861" s="27" t="s">
        <v>8</v>
      </c>
      <c r="FV861" s="27" t="s">
        <v>7</v>
      </c>
      <c r="FW861" s="27" t="s">
        <v>8</v>
      </c>
      <c r="FX861" s="27" t="s">
        <v>7</v>
      </c>
      <c r="GC861" s="27" t="s">
        <v>8</v>
      </c>
      <c r="GG861" s="27" t="s">
        <v>8</v>
      </c>
      <c r="GH861" s="27" t="s">
        <v>7</v>
      </c>
      <c r="GI861" s="27" t="s">
        <v>8</v>
      </c>
    </row>
    <row r="862" spans="1:193" x14ac:dyDescent="0.25">
      <c r="A862" s="7">
        <v>4.314721467098488E-3</v>
      </c>
      <c r="B862"/>
      <c r="C862"/>
      <c r="D862"/>
      <c r="E862"/>
      <c r="F862" s="27" t="s">
        <v>7</v>
      </c>
      <c r="BM862" s="27" t="s">
        <v>8</v>
      </c>
      <c r="BN862" s="27" t="s">
        <v>7</v>
      </c>
      <c r="BW862" s="27" t="s">
        <v>8</v>
      </c>
      <c r="BX862" s="27" t="s">
        <v>7</v>
      </c>
      <c r="BY862" s="27" t="s">
        <v>8</v>
      </c>
      <c r="BZ862" s="27" t="s">
        <v>7</v>
      </c>
      <c r="CA862" s="27" t="s">
        <v>8</v>
      </c>
      <c r="CB862" s="27" t="s">
        <v>7</v>
      </c>
      <c r="CC862" s="27" t="s">
        <v>8</v>
      </c>
      <c r="CD862" s="27" t="s">
        <v>7</v>
      </c>
      <c r="CF862" s="27" t="s">
        <v>7</v>
      </c>
      <c r="EI862" s="27" t="s">
        <v>8</v>
      </c>
      <c r="EJ862" s="27" t="s">
        <v>7</v>
      </c>
      <c r="EO862" s="27" t="s">
        <v>8</v>
      </c>
      <c r="EP862" s="27" t="s">
        <v>7</v>
      </c>
      <c r="FO862" s="27" t="s">
        <v>8</v>
      </c>
      <c r="FP862" s="27" t="s">
        <v>7</v>
      </c>
      <c r="FQ862" s="27" t="s">
        <v>8</v>
      </c>
      <c r="FR862" s="27" t="s">
        <v>7</v>
      </c>
      <c r="FS862" s="27" t="s">
        <v>8</v>
      </c>
      <c r="FT862" s="27" t="s">
        <v>7</v>
      </c>
      <c r="FU862" s="27" t="s">
        <v>8</v>
      </c>
      <c r="FV862" s="27" t="s">
        <v>7</v>
      </c>
      <c r="FW862" s="27" t="s">
        <v>8</v>
      </c>
      <c r="FX862" s="27" t="s">
        <v>7</v>
      </c>
      <c r="GA862" s="27" t="s">
        <v>8</v>
      </c>
      <c r="GC862" s="27" t="s">
        <v>8</v>
      </c>
      <c r="GD862" s="27" t="s">
        <v>7</v>
      </c>
      <c r="GG862" s="27" t="s">
        <v>8</v>
      </c>
      <c r="GH862" s="27" t="s">
        <v>7</v>
      </c>
      <c r="GI862" s="27" t="s">
        <v>8</v>
      </c>
    </row>
    <row r="863" spans="1:193" x14ac:dyDescent="0.25">
      <c r="A863" s="7">
        <v>4.2301190853906746E-3</v>
      </c>
      <c r="B863"/>
      <c r="C863"/>
      <c r="D863"/>
      <c r="E863"/>
      <c r="F863" s="27" t="s">
        <v>7</v>
      </c>
      <c r="BM863" s="27" t="s">
        <v>8</v>
      </c>
      <c r="BN863" s="27" t="s">
        <v>7</v>
      </c>
      <c r="BW863" s="27" t="s">
        <v>8</v>
      </c>
      <c r="BX863" s="27" t="s">
        <v>7</v>
      </c>
      <c r="BY863" s="27" t="s">
        <v>8</v>
      </c>
      <c r="BZ863" s="27" t="s">
        <v>7</v>
      </c>
      <c r="CA863" s="27" t="s">
        <v>8</v>
      </c>
      <c r="CB863" s="27" t="s">
        <v>7</v>
      </c>
      <c r="CC863" s="27" t="s">
        <v>8</v>
      </c>
      <c r="CF863" s="27" t="s">
        <v>7</v>
      </c>
      <c r="EI863" s="27" t="s">
        <v>8</v>
      </c>
      <c r="EJ863" s="27" t="s">
        <v>7</v>
      </c>
      <c r="EK863" s="27" t="s">
        <v>8</v>
      </c>
      <c r="EM863" s="27" t="s">
        <v>8</v>
      </c>
      <c r="EO863" s="27" t="s">
        <v>8</v>
      </c>
      <c r="EP863" s="27" t="s">
        <v>7</v>
      </c>
      <c r="FO863" s="27" t="s">
        <v>8</v>
      </c>
      <c r="FP863" s="27" t="s">
        <v>7</v>
      </c>
      <c r="FQ863" s="27" t="s">
        <v>8</v>
      </c>
      <c r="FR863" s="27" t="s">
        <v>7</v>
      </c>
      <c r="FS863" s="27" t="s">
        <v>8</v>
      </c>
      <c r="FT863" s="27" t="s">
        <v>7</v>
      </c>
      <c r="FU863" s="27" t="s">
        <v>8</v>
      </c>
      <c r="FV863" s="27" t="s">
        <v>7</v>
      </c>
      <c r="FX863" s="27" t="s">
        <v>7</v>
      </c>
      <c r="GA863" s="27" t="s">
        <v>8</v>
      </c>
      <c r="GB863" s="27" t="s">
        <v>7</v>
      </c>
      <c r="GC863" s="27" t="s">
        <v>8</v>
      </c>
      <c r="GD863" s="27" t="s">
        <v>7</v>
      </c>
      <c r="GG863" s="27" t="s">
        <v>8</v>
      </c>
      <c r="GH863" s="27" t="s">
        <v>7</v>
      </c>
      <c r="GI863" s="27" t="s">
        <v>8</v>
      </c>
    </row>
    <row r="864" spans="1:193" x14ac:dyDescent="0.25">
      <c r="A864" s="7">
        <v>4.1471755739124266E-3</v>
      </c>
      <c r="B864"/>
      <c r="C864"/>
      <c r="D864"/>
      <c r="E864"/>
      <c r="F864" s="27" t="s">
        <v>7</v>
      </c>
      <c r="BM864" s="27" t="s">
        <v>8</v>
      </c>
      <c r="BN864" s="27" t="s">
        <v>7</v>
      </c>
      <c r="BW864" s="27" t="s">
        <v>8</v>
      </c>
      <c r="BX864" s="27" t="s">
        <v>7</v>
      </c>
      <c r="BY864" s="27" t="s">
        <v>8</v>
      </c>
      <c r="BZ864" s="27" t="s">
        <v>7</v>
      </c>
      <c r="CA864" s="27" t="s">
        <v>8</v>
      </c>
      <c r="CB864" s="27" t="s">
        <v>7</v>
      </c>
      <c r="CC864" s="27" t="s">
        <v>8</v>
      </c>
      <c r="CF864" s="27" t="s">
        <v>7</v>
      </c>
      <c r="EI864" s="27" t="s">
        <v>8</v>
      </c>
      <c r="EJ864" s="27" t="s">
        <v>7</v>
      </c>
      <c r="EK864" s="27" t="s">
        <v>8</v>
      </c>
      <c r="EL864" s="27" t="s">
        <v>7</v>
      </c>
      <c r="EM864" s="27" t="s">
        <v>8</v>
      </c>
      <c r="EN864" s="27" t="s">
        <v>7</v>
      </c>
      <c r="EO864" s="27" t="s">
        <v>8</v>
      </c>
      <c r="EP864" s="27" t="s">
        <v>7</v>
      </c>
      <c r="FO864" s="27" t="s">
        <v>8</v>
      </c>
      <c r="FP864" s="27" t="s">
        <v>7</v>
      </c>
      <c r="FQ864" s="27" t="s">
        <v>8</v>
      </c>
      <c r="FR864" s="27" t="s">
        <v>7</v>
      </c>
      <c r="FS864" s="27" t="s">
        <v>8</v>
      </c>
      <c r="FT864" s="27" t="s">
        <v>7</v>
      </c>
      <c r="FX864" s="27" t="s">
        <v>7</v>
      </c>
      <c r="GA864" s="27" t="s">
        <v>8</v>
      </c>
      <c r="GB864" s="27" t="s">
        <v>7</v>
      </c>
      <c r="GC864" s="27" t="s">
        <v>8</v>
      </c>
      <c r="GD864" s="27" t="s">
        <v>7</v>
      </c>
      <c r="GG864" s="27" t="s">
        <v>8</v>
      </c>
      <c r="GH864" s="27" t="s">
        <v>7</v>
      </c>
      <c r="GI864" s="27" t="s">
        <v>8</v>
      </c>
    </row>
    <row r="865" spans="1:191" x14ac:dyDescent="0.25">
      <c r="A865" s="7">
        <v>4.0658584057964966E-3</v>
      </c>
      <c r="B865"/>
      <c r="C865"/>
      <c r="D865"/>
      <c r="E865"/>
      <c r="F865" s="27" t="s">
        <v>7</v>
      </c>
      <c r="BM865" s="27" t="s">
        <v>8</v>
      </c>
      <c r="BN865" s="27" t="s">
        <v>7</v>
      </c>
      <c r="BW865" s="27" t="s">
        <v>8</v>
      </c>
      <c r="BX865" s="27" t="s">
        <v>7</v>
      </c>
      <c r="BY865" s="27" t="s">
        <v>8</v>
      </c>
      <c r="BZ865" s="27" t="s">
        <v>7</v>
      </c>
      <c r="CA865" s="27" t="s">
        <v>8</v>
      </c>
      <c r="CB865" s="27" t="s">
        <v>7</v>
      </c>
      <c r="CF865" s="27" t="s">
        <v>7</v>
      </c>
      <c r="EE865" s="27" t="s">
        <v>8</v>
      </c>
      <c r="EI865" s="27" t="s">
        <v>8</v>
      </c>
      <c r="EJ865" s="27" t="s">
        <v>7</v>
      </c>
      <c r="EK865" s="27" t="s">
        <v>8</v>
      </c>
      <c r="EL865" s="27" t="s">
        <v>7</v>
      </c>
      <c r="EM865" s="27" t="s">
        <v>8</v>
      </c>
      <c r="EN865" s="27" t="s">
        <v>7</v>
      </c>
      <c r="EO865" s="27" t="s">
        <v>8</v>
      </c>
      <c r="EP865" s="27" t="s">
        <v>7</v>
      </c>
      <c r="FO865" s="27" t="s">
        <v>8</v>
      </c>
      <c r="FP865" s="27" t="s">
        <v>7</v>
      </c>
      <c r="FQ865" s="27" t="s">
        <v>8</v>
      </c>
      <c r="FR865" s="27" t="s">
        <v>7</v>
      </c>
      <c r="FS865" s="27" t="s">
        <v>8</v>
      </c>
      <c r="FX865" s="27" t="s">
        <v>7</v>
      </c>
      <c r="GA865" s="27" t="s">
        <v>8</v>
      </c>
      <c r="GB865" s="27" t="s">
        <v>7</v>
      </c>
      <c r="GC865" s="27" t="s">
        <v>8</v>
      </c>
      <c r="GD865" s="27" t="s">
        <v>7</v>
      </c>
      <c r="GE865" s="27" t="s">
        <v>8</v>
      </c>
      <c r="GG865" s="27" t="s">
        <v>8</v>
      </c>
      <c r="GH865" s="27" t="s">
        <v>7</v>
      </c>
      <c r="GI865" s="27" t="s">
        <v>8</v>
      </c>
    </row>
    <row r="866" spans="1:191" x14ac:dyDescent="0.25">
      <c r="A866" s="7">
        <v>3.9861356919573491E-3</v>
      </c>
      <c r="B866"/>
      <c r="C866"/>
      <c r="D866"/>
      <c r="E866"/>
      <c r="F866" s="27" t="s">
        <v>7</v>
      </c>
      <c r="BM866" s="27" t="s">
        <v>8</v>
      </c>
      <c r="BN866" s="27" t="s">
        <v>7</v>
      </c>
      <c r="BS866" s="27" t="s">
        <v>8</v>
      </c>
      <c r="BW866" s="27" t="s">
        <v>8</v>
      </c>
      <c r="BX866" s="27" t="s">
        <v>7</v>
      </c>
      <c r="BY866" s="27" t="s">
        <v>8</v>
      </c>
      <c r="BZ866" s="27" t="s">
        <v>7</v>
      </c>
      <c r="CA866" s="27" t="s">
        <v>8</v>
      </c>
      <c r="CF866" s="27" t="s">
        <v>7</v>
      </c>
      <c r="DA866" s="27" t="s">
        <v>8</v>
      </c>
      <c r="EE866" s="27" t="s">
        <v>8</v>
      </c>
      <c r="EF866" s="27" t="s">
        <v>7</v>
      </c>
      <c r="EI866" s="27" t="s">
        <v>8</v>
      </c>
      <c r="EJ866" s="27" t="s">
        <v>7</v>
      </c>
      <c r="EK866" s="27" t="s">
        <v>8</v>
      </c>
      <c r="EL866" s="27" t="s">
        <v>7</v>
      </c>
      <c r="EM866" s="27" t="s">
        <v>8</v>
      </c>
      <c r="EN866" s="27" t="s">
        <v>7</v>
      </c>
      <c r="EO866" s="27" t="s">
        <v>8</v>
      </c>
      <c r="EP866" s="27" t="s">
        <v>7</v>
      </c>
      <c r="FO866" s="27" t="s">
        <v>8</v>
      </c>
      <c r="FP866" s="27" t="s">
        <v>7</v>
      </c>
      <c r="FR866" s="27" t="s">
        <v>7</v>
      </c>
      <c r="FS866" s="27" t="s">
        <v>8</v>
      </c>
      <c r="FX866" s="27" t="s">
        <v>7</v>
      </c>
      <c r="FY866" s="27" t="s">
        <v>8</v>
      </c>
      <c r="GA866" s="27" t="s">
        <v>8</v>
      </c>
      <c r="GB866" s="27" t="s">
        <v>7</v>
      </c>
      <c r="GC866" s="27" t="s">
        <v>8</v>
      </c>
      <c r="GD866" s="27" t="s">
        <v>7</v>
      </c>
      <c r="GE866" s="27" t="s">
        <v>8</v>
      </c>
      <c r="GF866" s="27" t="s">
        <v>7</v>
      </c>
      <c r="GG866" s="27" t="s">
        <v>8</v>
      </c>
      <c r="GH866" s="27" t="s">
        <v>7</v>
      </c>
      <c r="GI866" s="27" t="s">
        <v>8</v>
      </c>
    </row>
    <row r="867" spans="1:191" x14ac:dyDescent="0.25">
      <c r="A867" s="7">
        <v>3.9079761685856364E-3</v>
      </c>
      <c r="B867"/>
      <c r="C867"/>
      <c r="D867"/>
      <c r="E867"/>
      <c r="F867" s="27" t="s">
        <v>7</v>
      </c>
      <c r="BM867" s="27" t="s">
        <v>8</v>
      </c>
      <c r="BN867" s="27" t="s">
        <v>7</v>
      </c>
      <c r="BS867" s="27" t="s">
        <v>8</v>
      </c>
      <c r="BT867" s="27" t="s">
        <v>7</v>
      </c>
      <c r="BW867" s="27" t="s">
        <v>8</v>
      </c>
      <c r="BX867" s="27" t="s">
        <v>7</v>
      </c>
      <c r="BY867" s="27" t="s">
        <v>8</v>
      </c>
      <c r="BZ867" s="27" t="s">
        <v>7</v>
      </c>
      <c r="CA867" s="27" t="s">
        <v>8</v>
      </c>
      <c r="CF867" s="27" t="s">
        <v>7</v>
      </c>
      <c r="CG867" s="27" t="s">
        <v>8</v>
      </c>
      <c r="DA867" s="27" t="s">
        <v>8</v>
      </c>
      <c r="DB867" s="27" t="s">
        <v>7</v>
      </c>
      <c r="EE867" s="27" t="s">
        <v>8</v>
      </c>
      <c r="EF867" s="27" t="s">
        <v>7</v>
      </c>
      <c r="EG867" s="27" t="s">
        <v>8</v>
      </c>
      <c r="EI867" s="27" t="s">
        <v>8</v>
      </c>
      <c r="EJ867" s="27" t="s">
        <v>7</v>
      </c>
      <c r="EL867" s="27" t="s">
        <v>7</v>
      </c>
      <c r="EM867" s="27" t="s">
        <v>8</v>
      </c>
      <c r="EN867" s="27" t="s">
        <v>7</v>
      </c>
      <c r="EO867" s="27" t="s">
        <v>8</v>
      </c>
      <c r="EP867" s="27" t="s">
        <v>7</v>
      </c>
      <c r="FO867" s="27" t="s">
        <v>8</v>
      </c>
      <c r="FR867" s="27" t="s">
        <v>7</v>
      </c>
      <c r="FS867" s="27" t="s">
        <v>8</v>
      </c>
      <c r="FX867" s="27" t="s">
        <v>7</v>
      </c>
      <c r="FY867" s="27" t="s">
        <v>8</v>
      </c>
      <c r="FZ867" s="27" t="s">
        <v>7</v>
      </c>
      <c r="GA867" s="27" t="s">
        <v>8</v>
      </c>
      <c r="GB867" s="27" t="s">
        <v>7</v>
      </c>
      <c r="GC867" s="27" t="s">
        <v>8</v>
      </c>
      <c r="GD867" s="27" t="s">
        <v>7</v>
      </c>
      <c r="GE867" s="27" t="s">
        <v>8</v>
      </c>
      <c r="GF867" s="27" t="s">
        <v>7</v>
      </c>
      <c r="GG867" s="27" t="s">
        <v>8</v>
      </c>
      <c r="GH867" s="27" t="s">
        <v>7</v>
      </c>
      <c r="GI867" s="27" t="s">
        <v>8</v>
      </c>
    </row>
    <row r="868" spans="1:191" x14ac:dyDescent="0.25">
      <c r="A868" s="7">
        <v>3.8313491848878793E-3</v>
      </c>
      <c r="B868"/>
      <c r="C868"/>
      <c r="D868"/>
      <c r="E868"/>
      <c r="F868" s="27" t="s">
        <v>7</v>
      </c>
      <c r="BM868" s="27" t="s">
        <v>8</v>
      </c>
      <c r="BN868" s="27" t="s">
        <v>7</v>
      </c>
      <c r="BS868" s="27" t="s">
        <v>8</v>
      </c>
      <c r="BT868" s="27" t="s">
        <v>7</v>
      </c>
      <c r="BU868" s="27" t="s">
        <v>8</v>
      </c>
      <c r="BW868" s="27" t="s">
        <v>8</v>
      </c>
      <c r="BX868" s="27" t="s">
        <v>7</v>
      </c>
      <c r="BY868" s="27" t="s">
        <v>8</v>
      </c>
      <c r="BZ868" s="27" t="s">
        <v>7</v>
      </c>
      <c r="CF868" s="27" t="s">
        <v>7</v>
      </c>
      <c r="CG868" s="27" t="s">
        <v>8</v>
      </c>
      <c r="CH868" s="27" t="s">
        <v>7</v>
      </c>
      <c r="DA868" s="27" t="s">
        <v>8</v>
      </c>
      <c r="DB868" s="27" t="s">
        <v>7</v>
      </c>
      <c r="EC868" s="27" t="s">
        <v>8</v>
      </c>
      <c r="EE868" s="27" t="s">
        <v>8</v>
      </c>
      <c r="EF868" s="27" t="s">
        <v>7</v>
      </c>
      <c r="EG868" s="27" t="s">
        <v>8</v>
      </c>
      <c r="EH868" s="27" t="s">
        <v>7</v>
      </c>
      <c r="EI868" s="27" t="s">
        <v>8</v>
      </c>
      <c r="EL868" s="27" t="s">
        <v>7</v>
      </c>
      <c r="EM868" s="27" t="s">
        <v>8</v>
      </c>
      <c r="EN868" s="27" t="s">
        <v>7</v>
      </c>
      <c r="EP868" s="27" t="s">
        <v>7</v>
      </c>
      <c r="FK868" s="27" t="s">
        <v>8</v>
      </c>
      <c r="FO868" s="27" t="s">
        <v>8</v>
      </c>
      <c r="FR868" s="27" t="s">
        <v>7</v>
      </c>
      <c r="FS868" s="27" t="s">
        <v>8</v>
      </c>
      <c r="FX868" s="27" t="s">
        <v>7</v>
      </c>
      <c r="FY868" s="27" t="s">
        <v>8</v>
      </c>
      <c r="FZ868" s="27" t="s">
        <v>7</v>
      </c>
      <c r="GA868" s="27" t="s">
        <v>8</v>
      </c>
      <c r="GB868" s="27" t="s">
        <v>7</v>
      </c>
      <c r="GC868" s="27" t="s">
        <v>8</v>
      </c>
      <c r="GD868" s="27" t="s">
        <v>7</v>
      </c>
      <c r="GE868" s="27" t="s">
        <v>8</v>
      </c>
      <c r="GF868" s="27" t="s">
        <v>7</v>
      </c>
      <c r="GG868" s="27" t="s">
        <v>8</v>
      </c>
      <c r="GH868" s="27" t="s">
        <v>7</v>
      </c>
    </row>
    <row r="869" spans="1:191" x14ac:dyDescent="0.25">
      <c r="A869" s="7">
        <v>3.7562246910665485E-3</v>
      </c>
      <c r="B869"/>
      <c r="C869"/>
      <c r="D869"/>
      <c r="E869"/>
      <c r="F869" s="27" t="s">
        <v>7</v>
      </c>
      <c r="BM869" s="27" t="s">
        <v>8</v>
      </c>
      <c r="BN869" s="27" t="s">
        <v>7</v>
      </c>
      <c r="BS869" s="27" t="s">
        <v>8</v>
      </c>
      <c r="BT869" s="27" t="s">
        <v>7</v>
      </c>
      <c r="BU869" s="27" t="s">
        <v>8</v>
      </c>
      <c r="BV869" s="27" t="s">
        <v>7</v>
      </c>
      <c r="BW869" s="27" t="s">
        <v>8</v>
      </c>
      <c r="BX869" s="27" t="s">
        <v>7</v>
      </c>
      <c r="BY869" s="27" t="s">
        <v>8</v>
      </c>
      <c r="CF869" s="27" t="s">
        <v>7</v>
      </c>
      <c r="CG869" s="27" t="s">
        <v>8</v>
      </c>
      <c r="CH869" s="27" t="s">
        <v>7</v>
      </c>
      <c r="CI869" s="27" t="s">
        <v>8</v>
      </c>
      <c r="DA869" s="27" t="s">
        <v>8</v>
      </c>
      <c r="DB869" s="27" t="s">
        <v>7</v>
      </c>
      <c r="EC869" s="27" t="s">
        <v>8</v>
      </c>
      <c r="ED869" s="27" t="s">
        <v>7</v>
      </c>
      <c r="EE869" s="27" t="s">
        <v>8</v>
      </c>
      <c r="EF869" s="27" t="s">
        <v>7</v>
      </c>
      <c r="EG869" s="27" t="s">
        <v>8</v>
      </c>
      <c r="EH869" s="27" t="s">
        <v>7</v>
      </c>
      <c r="EI869" s="27" t="s">
        <v>8</v>
      </c>
      <c r="EL869" s="27" t="s">
        <v>7</v>
      </c>
      <c r="EP869" s="27" t="s">
        <v>7</v>
      </c>
      <c r="FK869" s="27" t="s">
        <v>8</v>
      </c>
      <c r="FL869" s="27" t="s">
        <v>7</v>
      </c>
      <c r="FO869" s="27" t="s">
        <v>8</v>
      </c>
      <c r="FR869" s="27" t="s">
        <v>7</v>
      </c>
      <c r="FS869" s="27" t="s">
        <v>8</v>
      </c>
      <c r="FX869" s="27" t="s">
        <v>7</v>
      </c>
      <c r="FY869" s="27" t="s">
        <v>8</v>
      </c>
      <c r="FZ869" s="27" t="s">
        <v>7</v>
      </c>
      <c r="GA869" s="27" t="s">
        <v>8</v>
      </c>
      <c r="GB869" s="27" t="s">
        <v>7</v>
      </c>
      <c r="GD869" s="27" t="s">
        <v>7</v>
      </c>
      <c r="GF869" s="27" t="s">
        <v>7</v>
      </c>
      <c r="GG869" s="27" t="s">
        <v>8</v>
      </c>
    </row>
    <row r="870" spans="1:191" x14ac:dyDescent="0.25">
      <c r="A870" s="7">
        <v>3.6825732265358315E-3</v>
      </c>
      <c r="B870"/>
      <c r="C870"/>
      <c r="D870"/>
      <c r="E870"/>
      <c r="F870" s="27" t="s">
        <v>7</v>
      </c>
      <c r="BM870" s="27" t="s">
        <v>8</v>
      </c>
      <c r="BN870" s="27" t="s">
        <v>7</v>
      </c>
      <c r="BS870" s="27" t="s">
        <v>8</v>
      </c>
      <c r="BT870" s="27" t="s">
        <v>7</v>
      </c>
      <c r="BU870" s="27" t="s">
        <v>8</v>
      </c>
      <c r="BV870" s="27" t="s">
        <v>7</v>
      </c>
      <c r="BW870" s="27" t="s">
        <v>8</v>
      </c>
      <c r="BX870" s="27" t="s">
        <v>7</v>
      </c>
      <c r="BY870" s="27" t="s">
        <v>8</v>
      </c>
      <c r="CF870" s="27" t="s">
        <v>7</v>
      </c>
      <c r="CG870" s="27" t="s">
        <v>8</v>
      </c>
      <c r="CH870" s="27" t="s">
        <v>7</v>
      </c>
      <c r="CI870" s="27" t="s">
        <v>8</v>
      </c>
      <c r="CJ870" s="27" t="s">
        <v>7</v>
      </c>
      <c r="DA870" s="27" t="s">
        <v>8</v>
      </c>
      <c r="DB870" s="27" t="s">
        <v>7</v>
      </c>
      <c r="EC870" s="27" t="s">
        <v>8</v>
      </c>
      <c r="ED870" s="27" t="s">
        <v>7</v>
      </c>
      <c r="EE870" s="27" t="s">
        <v>8</v>
      </c>
      <c r="EF870" s="27" t="s">
        <v>7</v>
      </c>
      <c r="EG870" s="27" t="s">
        <v>8</v>
      </c>
      <c r="EH870" s="27" t="s">
        <v>7</v>
      </c>
      <c r="EI870" s="27" t="s">
        <v>8</v>
      </c>
      <c r="EP870" s="27" t="s">
        <v>7</v>
      </c>
      <c r="FC870" s="27" t="s">
        <v>8</v>
      </c>
      <c r="FK870" s="27" t="s">
        <v>8</v>
      </c>
      <c r="FL870" s="27" t="s">
        <v>7</v>
      </c>
      <c r="FO870" s="27" t="s">
        <v>8</v>
      </c>
      <c r="FR870" s="27" t="s">
        <v>7</v>
      </c>
      <c r="FX870" s="27" t="s">
        <v>7</v>
      </c>
      <c r="FY870" s="27" t="s">
        <v>8</v>
      </c>
      <c r="FZ870" s="27" t="s">
        <v>7</v>
      </c>
      <c r="GF870" s="27" t="s">
        <v>7</v>
      </c>
      <c r="GG870" s="27" t="s">
        <v>8</v>
      </c>
    </row>
    <row r="871" spans="1:191" x14ac:dyDescent="0.25">
      <c r="A871" s="7">
        <v>3.6103659083684624E-3</v>
      </c>
      <c r="B871"/>
      <c r="C871"/>
      <c r="D871"/>
      <c r="E871"/>
      <c r="F871" s="27" t="s">
        <v>7</v>
      </c>
      <c r="BM871" s="27" t="s">
        <v>8</v>
      </c>
      <c r="BN871" s="27" t="s">
        <v>7</v>
      </c>
      <c r="BS871" s="27" t="s">
        <v>8</v>
      </c>
      <c r="BT871" s="27" t="s">
        <v>7</v>
      </c>
      <c r="BU871" s="27" t="s">
        <v>8</v>
      </c>
      <c r="BV871" s="27" t="s">
        <v>7</v>
      </c>
      <c r="BW871" s="27" t="s">
        <v>8</v>
      </c>
      <c r="BX871" s="27" t="s">
        <v>7</v>
      </c>
      <c r="BY871" s="27" t="s">
        <v>8</v>
      </c>
      <c r="CF871" s="27" t="s">
        <v>7</v>
      </c>
      <c r="CH871" s="27" t="s">
        <v>7</v>
      </c>
      <c r="CI871" s="27" t="s">
        <v>8</v>
      </c>
      <c r="CJ871" s="27" t="s">
        <v>7</v>
      </c>
      <c r="DA871" s="27" t="s">
        <v>8</v>
      </c>
      <c r="DB871" s="27" t="s">
        <v>7</v>
      </c>
      <c r="EC871" s="27" t="s">
        <v>8</v>
      </c>
      <c r="ED871" s="27" t="s">
        <v>7</v>
      </c>
      <c r="EE871" s="27" t="s">
        <v>8</v>
      </c>
      <c r="EF871" s="27" t="s">
        <v>7</v>
      </c>
      <c r="EG871" s="27" t="s">
        <v>8</v>
      </c>
      <c r="EH871" s="27" t="s">
        <v>7</v>
      </c>
      <c r="EI871" s="27" t="s">
        <v>8</v>
      </c>
      <c r="EP871" s="27" t="s">
        <v>7</v>
      </c>
      <c r="FA871" s="27" t="s">
        <v>8</v>
      </c>
      <c r="FC871" s="27" t="s">
        <v>8</v>
      </c>
      <c r="FD871" s="27" t="s">
        <v>7</v>
      </c>
      <c r="FK871" s="27" t="s">
        <v>8</v>
      </c>
      <c r="FL871" s="27" t="s">
        <v>7</v>
      </c>
      <c r="FM871" s="27" t="s">
        <v>8</v>
      </c>
      <c r="FO871" s="27" t="s">
        <v>8</v>
      </c>
      <c r="FX871" s="27" t="s">
        <v>7</v>
      </c>
      <c r="FY871" s="27" t="s">
        <v>8</v>
      </c>
      <c r="GF871" s="27" t="s">
        <v>7</v>
      </c>
      <c r="GG871" s="27" t="s">
        <v>8</v>
      </c>
    </row>
    <row r="872" spans="1:191" x14ac:dyDescent="0.25">
      <c r="A872" s="7">
        <v>3.539574419969081E-3</v>
      </c>
      <c r="B872"/>
      <c r="C872"/>
      <c r="D872"/>
      <c r="E872"/>
      <c r="F872" s="27" t="s">
        <v>7</v>
      </c>
      <c r="BM872" s="27" t="s">
        <v>8</v>
      </c>
      <c r="BN872" s="27" t="s">
        <v>7</v>
      </c>
      <c r="BS872" s="27" t="s">
        <v>8</v>
      </c>
      <c r="BT872" s="27" t="s">
        <v>7</v>
      </c>
      <c r="BU872" s="27" t="s">
        <v>8</v>
      </c>
      <c r="BV872" s="27" t="s">
        <v>7</v>
      </c>
      <c r="BW872" s="27" t="s">
        <v>8</v>
      </c>
      <c r="BX872" s="27" t="s">
        <v>7</v>
      </c>
      <c r="CH872" s="27" t="s">
        <v>7</v>
      </c>
      <c r="CI872" s="27" t="s">
        <v>8</v>
      </c>
      <c r="CJ872" s="27" t="s">
        <v>7</v>
      </c>
      <c r="DA872" s="27" t="s">
        <v>8</v>
      </c>
      <c r="DB872" s="27" t="s">
        <v>7</v>
      </c>
      <c r="EC872" s="27" t="s">
        <v>8</v>
      </c>
      <c r="ED872" s="27" t="s">
        <v>7</v>
      </c>
      <c r="EE872" s="27" t="s">
        <v>8</v>
      </c>
      <c r="EF872" s="27" t="s">
        <v>7</v>
      </c>
      <c r="EG872" s="27" t="s">
        <v>8</v>
      </c>
      <c r="EH872" s="27" t="s">
        <v>7</v>
      </c>
      <c r="EP872" s="27" t="s">
        <v>7</v>
      </c>
      <c r="ES872" s="27" t="s">
        <v>8</v>
      </c>
      <c r="FA872" s="27" t="s">
        <v>8</v>
      </c>
      <c r="FB872" s="27" t="s">
        <v>7</v>
      </c>
      <c r="FC872" s="27" t="s">
        <v>8</v>
      </c>
      <c r="FD872" s="27" t="s">
        <v>7</v>
      </c>
      <c r="FK872" s="27" t="s">
        <v>8</v>
      </c>
      <c r="FL872" s="27" t="s">
        <v>7</v>
      </c>
      <c r="FM872" s="27" t="s">
        <v>8</v>
      </c>
      <c r="FN872" s="27" t="s">
        <v>7</v>
      </c>
      <c r="FO872" s="27" t="s">
        <v>8</v>
      </c>
      <c r="FX872" s="27" t="s">
        <v>7</v>
      </c>
      <c r="FY872" s="27" t="s">
        <v>8</v>
      </c>
      <c r="GF872" s="27" t="s">
        <v>7</v>
      </c>
    </row>
    <row r="873" spans="1:191" x14ac:dyDescent="0.25">
      <c r="A873" s="7">
        <v>3.4701709999696872E-3</v>
      </c>
      <c r="B873"/>
      <c r="C873"/>
      <c r="D873"/>
      <c r="E873"/>
      <c r="F873" s="27" t="s">
        <v>7</v>
      </c>
      <c r="BM873" s="27" t="s">
        <v>8</v>
      </c>
      <c r="BN873" s="27" t="s">
        <v>7</v>
      </c>
      <c r="BO873" s="27" t="s">
        <v>8</v>
      </c>
      <c r="BS873" s="27" t="s">
        <v>8</v>
      </c>
      <c r="BT873" s="27" t="s">
        <v>7</v>
      </c>
      <c r="BV873" s="27" t="s">
        <v>7</v>
      </c>
      <c r="CH873" s="27" t="s">
        <v>7</v>
      </c>
      <c r="CI873" s="27" t="s">
        <v>8</v>
      </c>
      <c r="CJ873" s="27" t="s">
        <v>7</v>
      </c>
      <c r="DA873" s="27" t="s">
        <v>8</v>
      </c>
      <c r="DB873" s="27" t="s">
        <v>7</v>
      </c>
      <c r="DY873" s="27" t="s">
        <v>8</v>
      </c>
      <c r="EA873" s="27" t="s">
        <v>8</v>
      </c>
      <c r="EC873" s="27" t="s">
        <v>8</v>
      </c>
      <c r="ED873" s="27" t="s">
        <v>7</v>
      </c>
      <c r="EE873" s="27" t="s">
        <v>8</v>
      </c>
      <c r="EF873" s="27" t="s">
        <v>7</v>
      </c>
      <c r="EG873" s="27" t="s">
        <v>8</v>
      </c>
      <c r="EP873" s="27" t="s">
        <v>7</v>
      </c>
      <c r="ES873" s="27" t="s">
        <v>8</v>
      </c>
      <c r="ET873" s="27" t="s">
        <v>7</v>
      </c>
      <c r="FA873" s="27" t="s">
        <v>8</v>
      </c>
      <c r="FB873" s="27" t="s">
        <v>7</v>
      </c>
      <c r="FC873" s="27" t="s">
        <v>8</v>
      </c>
      <c r="FD873" s="27" t="s">
        <v>7</v>
      </c>
      <c r="FK873" s="27" t="s">
        <v>8</v>
      </c>
      <c r="FL873" s="27" t="s">
        <v>7</v>
      </c>
      <c r="FM873" s="27" t="s">
        <v>8</v>
      </c>
      <c r="FN873" s="27" t="s">
        <v>7</v>
      </c>
      <c r="FO873" s="27" t="s">
        <v>8</v>
      </c>
      <c r="FX873" s="27" t="s">
        <v>7</v>
      </c>
    </row>
    <row r="874" spans="1:191" x14ac:dyDescent="0.25">
      <c r="A874" s="7">
        <v>3.4021284313428307E-3</v>
      </c>
      <c r="B874"/>
      <c r="C874"/>
      <c r="D874"/>
      <c r="E874"/>
      <c r="F874" s="27" t="s">
        <v>7</v>
      </c>
      <c r="BM874" s="27" t="s">
        <v>8</v>
      </c>
      <c r="BN874" s="27" t="s">
        <v>7</v>
      </c>
      <c r="BO874" s="27" t="s">
        <v>8</v>
      </c>
      <c r="BP874" s="27" t="s">
        <v>7</v>
      </c>
      <c r="BQ874" s="27" t="s">
        <v>8</v>
      </c>
      <c r="BS874" s="27" t="s">
        <v>8</v>
      </c>
      <c r="CH874" s="27" t="s">
        <v>7</v>
      </c>
      <c r="CI874" s="27" t="s">
        <v>8</v>
      </c>
      <c r="CJ874" s="27" t="s">
        <v>7</v>
      </c>
      <c r="DA874" s="27" t="s">
        <v>8</v>
      </c>
      <c r="DB874" s="27" t="s">
        <v>7</v>
      </c>
      <c r="DY874" s="27" t="s">
        <v>8</v>
      </c>
      <c r="DZ874" s="27" t="s">
        <v>7</v>
      </c>
      <c r="EA874" s="27" t="s">
        <v>8</v>
      </c>
      <c r="EB874" s="27" t="s">
        <v>7</v>
      </c>
      <c r="EC874" s="27" t="s">
        <v>8</v>
      </c>
      <c r="ED874" s="27" t="s">
        <v>7</v>
      </c>
      <c r="EE874" s="27" t="s">
        <v>8</v>
      </c>
      <c r="EF874" s="27" t="s">
        <v>7</v>
      </c>
      <c r="EP874" s="27" t="s">
        <v>7</v>
      </c>
      <c r="ES874" s="27" t="s">
        <v>8</v>
      </c>
      <c r="ET874" s="27" t="s">
        <v>7</v>
      </c>
      <c r="FA874" s="27" t="s">
        <v>8</v>
      </c>
      <c r="FB874" s="27" t="s">
        <v>7</v>
      </c>
      <c r="FC874" s="27" t="s">
        <v>8</v>
      </c>
      <c r="FD874" s="27" t="s">
        <v>7</v>
      </c>
      <c r="FK874" s="27" t="s">
        <v>8</v>
      </c>
      <c r="FL874" s="27" t="s">
        <v>7</v>
      </c>
      <c r="FM874" s="27" t="s">
        <v>8</v>
      </c>
      <c r="FN874" s="27" t="s">
        <v>7</v>
      </c>
      <c r="FO874" s="27" t="s">
        <v>8</v>
      </c>
    </row>
    <row r="875" spans="1:191" x14ac:dyDescent="0.25">
      <c r="A875" s="7">
        <v>3.3354200307282654E-3</v>
      </c>
      <c r="B875"/>
      <c r="C875"/>
      <c r="D875"/>
      <c r="E875"/>
      <c r="F875" s="27" t="s">
        <v>7</v>
      </c>
      <c r="AC875" s="27" t="s">
        <v>8</v>
      </c>
      <c r="BM875" s="27" t="s">
        <v>8</v>
      </c>
      <c r="BN875" s="27" t="s">
        <v>7</v>
      </c>
      <c r="BO875" s="27" t="s">
        <v>8</v>
      </c>
      <c r="BP875" s="27" t="s">
        <v>7</v>
      </c>
      <c r="BQ875" s="27" t="s">
        <v>8</v>
      </c>
      <c r="BR875" s="27" t="s">
        <v>7</v>
      </c>
      <c r="BS875" s="27" t="s">
        <v>8</v>
      </c>
      <c r="CH875" s="27" t="s">
        <v>7</v>
      </c>
      <c r="CJ875" s="27" t="s">
        <v>7</v>
      </c>
      <c r="DA875" s="27" t="s">
        <v>8</v>
      </c>
      <c r="DB875" s="27" t="s">
        <v>7</v>
      </c>
      <c r="DE875" s="27" t="s">
        <v>8</v>
      </c>
      <c r="DK875" s="27" t="s">
        <v>8</v>
      </c>
      <c r="DY875" s="27" t="s">
        <v>8</v>
      </c>
      <c r="DZ875" s="27" t="s">
        <v>7</v>
      </c>
      <c r="EA875" s="27" t="s">
        <v>8</v>
      </c>
      <c r="EB875" s="27" t="s">
        <v>7</v>
      </c>
      <c r="EC875" s="27" t="s">
        <v>8</v>
      </c>
      <c r="ED875" s="27" t="s">
        <v>7</v>
      </c>
      <c r="EE875" s="27" t="s">
        <v>8</v>
      </c>
      <c r="EP875" s="27" t="s">
        <v>7</v>
      </c>
      <c r="EQ875" s="27" t="s">
        <v>8</v>
      </c>
      <c r="ES875" s="27" t="s">
        <v>8</v>
      </c>
      <c r="ET875" s="27" t="s">
        <v>7</v>
      </c>
      <c r="EU875" s="27" t="s">
        <v>8</v>
      </c>
      <c r="EW875" s="27" t="s">
        <v>8</v>
      </c>
      <c r="FA875" s="27" t="s">
        <v>8</v>
      </c>
      <c r="FB875" s="27" t="s">
        <v>7</v>
      </c>
      <c r="FD875" s="27" t="s">
        <v>7</v>
      </c>
      <c r="FE875" s="27" t="s">
        <v>8</v>
      </c>
      <c r="FG875" s="27" t="s">
        <v>8</v>
      </c>
      <c r="FK875" s="27" t="s">
        <v>8</v>
      </c>
      <c r="FL875" s="27" t="s">
        <v>7</v>
      </c>
      <c r="FM875" s="27" t="s">
        <v>8</v>
      </c>
      <c r="FN875" s="27" t="s">
        <v>7</v>
      </c>
      <c r="FO875" s="27" t="s">
        <v>8</v>
      </c>
    </row>
    <row r="876" spans="1:191" x14ac:dyDescent="0.25">
      <c r="A876" s="7">
        <v>3.2700196379688881E-3</v>
      </c>
      <c r="B876"/>
      <c r="C876"/>
      <c r="D876"/>
      <c r="E876"/>
      <c r="F876" s="27" t="s">
        <v>7</v>
      </c>
      <c r="AC876" s="27" t="s">
        <v>8</v>
      </c>
      <c r="AD876" s="27" t="s">
        <v>7</v>
      </c>
      <c r="BM876" s="27" t="s">
        <v>8</v>
      </c>
      <c r="BN876" s="27" t="s">
        <v>7</v>
      </c>
      <c r="BO876" s="27" t="s">
        <v>8</v>
      </c>
      <c r="BP876" s="27" t="s">
        <v>7</v>
      </c>
      <c r="BQ876" s="27" t="s">
        <v>8</v>
      </c>
      <c r="BR876" s="27" t="s">
        <v>7</v>
      </c>
      <c r="BS876" s="27" t="s">
        <v>8</v>
      </c>
      <c r="CJ876" s="27" t="s">
        <v>7</v>
      </c>
      <c r="DA876" s="27" t="s">
        <v>8</v>
      </c>
      <c r="DB876" s="27" t="s">
        <v>7</v>
      </c>
      <c r="DE876" s="27" t="s">
        <v>8</v>
      </c>
      <c r="DF876" s="27" t="s">
        <v>7</v>
      </c>
      <c r="DK876" s="27" t="s">
        <v>8</v>
      </c>
      <c r="DL876" s="27" t="s">
        <v>7</v>
      </c>
      <c r="DM876" s="27" t="s">
        <v>8</v>
      </c>
      <c r="DY876" s="27" t="s">
        <v>8</v>
      </c>
      <c r="DZ876" s="27" t="s">
        <v>7</v>
      </c>
      <c r="EA876" s="27" t="s">
        <v>8</v>
      </c>
      <c r="EB876" s="27" t="s">
        <v>7</v>
      </c>
      <c r="EC876" s="27" t="s">
        <v>8</v>
      </c>
      <c r="ED876" s="27" t="s">
        <v>7</v>
      </c>
      <c r="EE876" s="27" t="s">
        <v>8</v>
      </c>
      <c r="EP876" s="27" t="s">
        <v>7</v>
      </c>
      <c r="EQ876" s="27" t="s">
        <v>8</v>
      </c>
      <c r="ER876" s="27" t="s">
        <v>7</v>
      </c>
      <c r="ES876" s="27" t="s">
        <v>8</v>
      </c>
      <c r="ET876" s="27" t="s">
        <v>7</v>
      </c>
      <c r="EU876" s="27" t="s">
        <v>8</v>
      </c>
      <c r="EV876" s="27" t="s">
        <v>7</v>
      </c>
      <c r="EW876" s="27" t="s">
        <v>8</v>
      </c>
      <c r="EX876" s="27" t="s">
        <v>7</v>
      </c>
      <c r="FA876" s="27" t="s">
        <v>8</v>
      </c>
      <c r="FD876" s="27" t="s">
        <v>7</v>
      </c>
      <c r="FE876" s="27" t="s">
        <v>8</v>
      </c>
      <c r="FF876" s="27" t="s">
        <v>7</v>
      </c>
      <c r="FG876" s="27" t="s">
        <v>8</v>
      </c>
      <c r="FH876" s="27" t="s">
        <v>7</v>
      </c>
      <c r="FK876" s="27" t="s">
        <v>8</v>
      </c>
      <c r="FL876" s="27" t="s">
        <v>7</v>
      </c>
      <c r="FM876" s="27" t="s">
        <v>8</v>
      </c>
      <c r="FN876" s="27" t="s">
        <v>7</v>
      </c>
    </row>
    <row r="877" spans="1:191" x14ac:dyDescent="0.25">
      <c r="A877" s="7">
        <v>3.205901605851851E-3</v>
      </c>
      <c r="B877"/>
      <c r="C877"/>
      <c r="D877"/>
      <c r="E877"/>
      <c r="F877" s="27" t="s">
        <v>7</v>
      </c>
      <c r="AC877" s="27" t="s">
        <v>8</v>
      </c>
      <c r="AD877" s="27" t="s">
        <v>7</v>
      </c>
      <c r="BM877" s="27" t="s">
        <v>8</v>
      </c>
      <c r="BN877" s="27" t="s">
        <v>7</v>
      </c>
      <c r="BO877" s="27" t="s">
        <v>8</v>
      </c>
      <c r="BP877" s="27" t="s">
        <v>7</v>
      </c>
      <c r="BQ877" s="27" t="s">
        <v>8</v>
      </c>
      <c r="BR877" s="27" t="s">
        <v>7</v>
      </c>
      <c r="BS877" s="27" t="s">
        <v>8</v>
      </c>
      <c r="CJ877" s="27" t="s">
        <v>7</v>
      </c>
      <c r="CK877" s="27" t="s">
        <v>8</v>
      </c>
      <c r="DA877" s="27" t="s">
        <v>8</v>
      </c>
      <c r="DB877" s="27" t="s">
        <v>7</v>
      </c>
      <c r="DC877" s="27" t="s">
        <v>8</v>
      </c>
      <c r="DE877" s="27" t="s">
        <v>8</v>
      </c>
      <c r="DF877" s="27" t="s">
        <v>7</v>
      </c>
      <c r="DK877" s="27" t="s">
        <v>8</v>
      </c>
      <c r="DL877" s="27" t="s">
        <v>7</v>
      </c>
      <c r="DM877" s="27" t="s">
        <v>8</v>
      </c>
      <c r="DN877" s="27" t="s">
        <v>7</v>
      </c>
      <c r="DY877" s="27" t="s">
        <v>8</v>
      </c>
      <c r="DZ877" s="27" t="s">
        <v>7</v>
      </c>
      <c r="EA877" s="27" t="s">
        <v>8</v>
      </c>
      <c r="EB877" s="27" t="s">
        <v>7</v>
      </c>
      <c r="ED877" s="27" t="s">
        <v>7</v>
      </c>
      <c r="EE877" s="27" t="s">
        <v>8</v>
      </c>
      <c r="EP877" s="27" t="s">
        <v>7</v>
      </c>
      <c r="EQ877" s="27" t="s">
        <v>8</v>
      </c>
      <c r="ER877" s="27" t="s">
        <v>7</v>
      </c>
      <c r="ES877" s="27" t="s">
        <v>8</v>
      </c>
      <c r="ET877" s="27" t="s">
        <v>7</v>
      </c>
      <c r="EU877" s="27" t="s">
        <v>8</v>
      </c>
      <c r="EV877" s="27" t="s">
        <v>7</v>
      </c>
      <c r="EW877" s="27" t="s">
        <v>8</v>
      </c>
      <c r="EX877" s="27" t="s">
        <v>7</v>
      </c>
      <c r="EY877" s="27" t="s">
        <v>8</v>
      </c>
      <c r="FA877" s="27" t="s">
        <v>8</v>
      </c>
      <c r="FD877" s="27" t="s">
        <v>7</v>
      </c>
      <c r="FE877" s="27" t="s">
        <v>8</v>
      </c>
      <c r="FF877" s="27" t="s">
        <v>7</v>
      </c>
      <c r="FG877" s="27" t="s">
        <v>8</v>
      </c>
      <c r="FH877" s="27" t="s">
        <v>7</v>
      </c>
      <c r="FI877" s="27" t="s">
        <v>8</v>
      </c>
      <c r="FK877" s="27" t="s">
        <v>8</v>
      </c>
      <c r="FL877" s="27" t="s">
        <v>7</v>
      </c>
    </row>
    <row r="878" spans="1:191" x14ac:dyDescent="0.25">
      <c r="A878" s="7">
        <v>3.1430407900508344E-3</v>
      </c>
      <c r="B878"/>
      <c r="C878"/>
      <c r="D878"/>
      <c r="E878"/>
      <c r="F878" s="27" t="s">
        <v>7</v>
      </c>
      <c r="AC878" s="27" t="s">
        <v>8</v>
      </c>
      <c r="AD878" s="27" t="s">
        <v>7</v>
      </c>
      <c r="BM878" s="27" t="s">
        <v>8</v>
      </c>
      <c r="BN878" s="27" t="s">
        <v>7</v>
      </c>
      <c r="BO878" s="27" t="s">
        <v>8</v>
      </c>
      <c r="BP878" s="27" t="s">
        <v>7</v>
      </c>
      <c r="BQ878" s="27" t="s">
        <v>8</v>
      </c>
      <c r="BR878" s="27" t="s">
        <v>7</v>
      </c>
      <c r="BS878" s="27" t="s">
        <v>8</v>
      </c>
      <c r="CJ878" s="27" t="s">
        <v>7</v>
      </c>
      <c r="CK878" s="27" t="s">
        <v>8</v>
      </c>
      <c r="CL878" s="27" t="s">
        <v>7</v>
      </c>
      <c r="CM878" s="27" t="s">
        <v>8</v>
      </c>
      <c r="CQ878" s="27" t="s">
        <v>8</v>
      </c>
      <c r="DA878" s="27" t="s">
        <v>8</v>
      </c>
      <c r="DB878" s="27" t="s">
        <v>7</v>
      </c>
      <c r="DC878" s="27" t="s">
        <v>8</v>
      </c>
      <c r="DD878" s="27" t="s">
        <v>7</v>
      </c>
      <c r="DE878" s="27" t="s">
        <v>8</v>
      </c>
      <c r="DF878" s="27" t="s">
        <v>7</v>
      </c>
      <c r="DK878" s="27" t="s">
        <v>8</v>
      </c>
      <c r="DL878" s="27" t="s">
        <v>7</v>
      </c>
      <c r="DM878" s="27" t="s">
        <v>8</v>
      </c>
      <c r="DN878" s="27" t="s">
        <v>7</v>
      </c>
      <c r="DY878" s="27" t="s">
        <v>8</v>
      </c>
      <c r="DZ878" s="27" t="s">
        <v>7</v>
      </c>
      <c r="EA878" s="27" t="s">
        <v>8</v>
      </c>
      <c r="ED878" s="27" t="s">
        <v>7</v>
      </c>
      <c r="EP878" s="27" t="s">
        <v>7</v>
      </c>
      <c r="EQ878" s="27" t="s">
        <v>8</v>
      </c>
      <c r="ER878" s="27" t="s">
        <v>7</v>
      </c>
      <c r="ES878" s="27" t="s">
        <v>8</v>
      </c>
      <c r="ET878" s="27" t="s">
        <v>7</v>
      </c>
      <c r="EU878" s="27" t="s">
        <v>8</v>
      </c>
      <c r="EV878" s="27" t="s">
        <v>7</v>
      </c>
      <c r="EW878" s="27" t="s">
        <v>8</v>
      </c>
      <c r="EX878" s="27" t="s">
        <v>7</v>
      </c>
      <c r="EY878" s="27" t="s">
        <v>8</v>
      </c>
      <c r="EZ878" s="27" t="s">
        <v>7</v>
      </c>
      <c r="FA878" s="27" t="s">
        <v>8</v>
      </c>
      <c r="FD878" s="27" t="s">
        <v>7</v>
      </c>
      <c r="FE878" s="27" t="s">
        <v>8</v>
      </c>
      <c r="FF878" s="27" t="s">
        <v>7</v>
      </c>
      <c r="FG878" s="27" t="s">
        <v>8</v>
      </c>
      <c r="FH878" s="27" t="s">
        <v>7</v>
      </c>
      <c r="FI878" s="27" t="s">
        <v>8</v>
      </c>
      <c r="FJ878" s="27" t="s">
        <v>7</v>
      </c>
      <c r="FK878" s="27" t="s">
        <v>8</v>
      </c>
    </row>
    <row r="879" spans="1:191" x14ac:dyDescent="0.25">
      <c r="A879" s="7">
        <v>3.0814125392655241E-3</v>
      </c>
      <c r="B879"/>
      <c r="C879"/>
      <c r="D879"/>
      <c r="E879"/>
      <c r="F879" s="27" t="s">
        <v>7</v>
      </c>
      <c r="AC879" s="27" t="s">
        <v>8</v>
      </c>
      <c r="AD879" s="27" t="s">
        <v>7</v>
      </c>
      <c r="BM879" s="27" t="s">
        <v>8</v>
      </c>
      <c r="BN879" s="27" t="s">
        <v>7</v>
      </c>
      <c r="BO879" s="27" t="s">
        <v>8</v>
      </c>
      <c r="BP879" s="27" t="s">
        <v>7</v>
      </c>
      <c r="BQ879" s="27" t="s">
        <v>8</v>
      </c>
      <c r="BR879" s="27" t="s">
        <v>7</v>
      </c>
      <c r="BS879" s="27" t="s">
        <v>8</v>
      </c>
      <c r="CJ879" s="27" t="s">
        <v>7</v>
      </c>
      <c r="CK879" s="27" t="s">
        <v>8</v>
      </c>
      <c r="CL879" s="27" t="s">
        <v>7</v>
      </c>
      <c r="CM879" s="27" t="s">
        <v>8</v>
      </c>
      <c r="CN879" s="27" t="s">
        <v>7</v>
      </c>
      <c r="CQ879" s="27" t="s">
        <v>8</v>
      </c>
      <c r="CR879" s="27" t="s">
        <v>7</v>
      </c>
      <c r="DA879" s="27" t="s">
        <v>8</v>
      </c>
      <c r="DB879" s="27" t="s">
        <v>7</v>
      </c>
      <c r="DC879" s="27" t="s">
        <v>8</v>
      </c>
      <c r="DD879" s="27" t="s">
        <v>7</v>
      </c>
      <c r="DE879" s="27" t="s">
        <v>8</v>
      </c>
      <c r="DF879" s="27" t="s">
        <v>7</v>
      </c>
      <c r="DG879" s="27" t="s">
        <v>8</v>
      </c>
      <c r="DK879" s="27" t="s">
        <v>8</v>
      </c>
      <c r="DL879" s="27" t="s">
        <v>7</v>
      </c>
      <c r="DM879" s="27" t="s">
        <v>8</v>
      </c>
      <c r="DN879" s="27" t="s">
        <v>7</v>
      </c>
      <c r="DY879" s="27" t="s">
        <v>8</v>
      </c>
      <c r="DZ879" s="27" t="s">
        <v>7</v>
      </c>
      <c r="EP879" s="27" t="s">
        <v>7</v>
      </c>
      <c r="EQ879" s="27" t="s">
        <v>8</v>
      </c>
      <c r="ER879" s="27" t="s">
        <v>7</v>
      </c>
      <c r="ES879" s="27" t="s">
        <v>8</v>
      </c>
      <c r="ET879" s="27" t="s">
        <v>7</v>
      </c>
      <c r="EU879" s="27" t="s">
        <v>8</v>
      </c>
      <c r="EV879" s="27" t="s">
        <v>7</v>
      </c>
      <c r="EW879" s="27" t="s">
        <v>8</v>
      </c>
      <c r="EX879" s="27" t="s">
        <v>7</v>
      </c>
      <c r="EY879" s="27" t="s">
        <v>8</v>
      </c>
      <c r="EZ879" s="27" t="s">
        <v>7</v>
      </c>
      <c r="FA879" s="27" t="s">
        <v>8</v>
      </c>
      <c r="FD879" s="27" t="s">
        <v>7</v>
      </c>
      <c r="FE879" s="27" t="s">
        <v>8</v>
      </c>
      <c r="FF879" s="27" t="s">
        <v>7</v>
      </c>
      <c r="FG879" s="27" t="s">
        <v>8</v>
      </c>
      <c r="FH879" s="27" t="s">
        <v>7</v>
      </c>
      <c r="FI879" s="27" t="s">
        <v>8</v>
      </c>
      <c r="FJ879" s="27" t="s">
        <v>7</v>
      </c>
      <c r="FK879" s="27" t="s">
        <v>8</v>
      </c>
    </row>
    <row r="880" spans="1:191" x14ac:dyDescent="0.25">
      <c r="A880" s="7">
        <v>3.0209926855544354E-3</v>
      </c>
      <c r="B880"/>
      <c r="C880"/>
      <c r="D880"/>
      <c r="E880"/>
      <c r="F880" s="27" t="s">
        <v>7</v>
      </c>
      <c r="U880" s="27" t="s">
        <v>8</v>
      </c>
      <c r="AC880" s="27" t="s">
        <v>8</v>
      </c>
      <c r="AD880" s="27" t="s">
        <v>7</v>
      </c>
      <c r="BM880" s="27" t="s">
        <v>8</v>
      </c>
      <c r="BN880" s="27" t="s">
        <v>7</v>
      </c>
      <c r="BO880" s="27" t="s">
        <v>8</v>
      </c>
      <c r="BP880" s="27" t="s">
        <v>7</v>
      </c>
      <c r="BQ880" s="27" t="s">
        <v>8</v>
      </c>
      <c r="BR880" s="27" t="s">
        <v>7</v>
      </c>
      <c r="CJ880" s="27" t="s">
        <v>7</v>
      </c>
      <c r="CK880" s="27" t="s">
        <v>8</v>
      </c>
      <c r="CL880" s="27" t="s">
        <v>7</v>
      </c>
      <c r="CM880" s="27" t="s">
        <v>8</v>
      </c>
      <c r="CN880" s="27" t="s">
        <v>7</v>
      </c>
      <c r="CO880" s="27" t="s">
        <v>8</v>
      </c>
      <c r="CQ880" s="27" t="s">
        <v>8</v>
      </c>
      <c r="CR880" s="27" t="s">
        <v>7</v>
      </c>
      <c r="DA880" s="27" t="s">
        <v>8</v>
      </c>
      <c r="DB880" s="27" t="s">
        <v>7</v>
      </c>
      <c r="DC880" s="27" t="s">
        <v>8</v>
      </c>
      <c r="DD880" s="27" t="s">
        <v>7</v>
      </c>
      <c r="DF880" s="27" t="s">
        <v>7</v>
      </c>
      <c r="DG880" s="27" t="s">
        <v>8</v>
      </c>
      <c r="DH880" s="27" t="s">
        <v>7</v>
      </c>
      <c r="DI880" s="27" t="s">
        <v>8</v>
      </c>
      <c r="DK880" s="27" t="s">
        <v>8</v>
      </c>
      <c r="DL880" s="27" t="s">
        <v>7</v>
      </c>
      <c r="DM880" s="27" t="s">
        <v>8</v>
      </c>
      <c r="DN880" s="27" t="s">
        <v>7</v>
      </c>
      <c r="DY880" s="27" t="s">
        <v>8</v>
      </c>
      <c r="EP880" s="27" t="s">
        <v>7</v>
      </c>
      <c r="EQ880" s="27" t="s">
        <v>8</v>
      </c>
      <c r="ER880" s="27" t="s">
        <v>7</v>
      </c>
      <c r="ES880" s="27" t="s">
        <v>8</v>
      </c>
      <c r="ET880" s="27" t="s">
        <v>7</v>
      </c>
      <c r="EU880" s="27" t="s">
        <v>8</v>
      </c>
      <c r="EV880" s="27" t="s">
        <v>7</v>
      </c>
      <c r="EX880" s="27" t="s">
        <v>7</v>
      </c>
      <c r="EY880" s="27" t="s">
        <v>8</v>
      </c>
      <c r="EZ880" s="27" t="s">
        <v>7</v>
      </c>
      <c r="FA880" s="27" t="s">
        <v>8</v>
      </c>
      <c r="FD880" s="27" t="s">
        <v>7</v>
      </c>
      <c r="FE880" s="27" t="s">
        <v>8</v>
      </c>
      <c r="FF880" s="27" t="s">
        <v>7</v>
      </c>
      <c r="FG880" s="27" t="s">
        <v>8</v>
      </c>
      <c r="FH880" s="27" t="s">
        <v>7</v>
      </c>
      <c r="FJ880" s="27" t="s">
        <v>7</v>
      </c>
      <c r="FK880" s="27" t="s">
        <v>8</v>
      </c>
    </row>
    <row r="881" spans="1:167" x14ac:dyDescent="0.25">
      <c r="A881" s="7">
        <v>2.9617575348572897E-3</v>
      </c>
      <c r="B881"/>
      <c r="C881"/>
      <c r="D881"/>
      <c r="E881"/>
      <c r="F881" s="27" t="s">
        <v>7</v>
      </c>
      <c r="U881" s="27" t="s">
        <v>8</v>
      </c>
      <c r="V881" s="27" t="s">
        <v>7</v>
      </c>
      <c r="AC881" s="27" t="s">
        <v>8</v>
      </c>
      <c r="AD881" s="27" t="s">
        <v>7</v>
      </c>
      <c r="BM881" s="27" t="s">
        <v>8</v>
      </c>
      <c r="BN881" s="27" t="s">
        <v>7</v>
      </c>
      <c r="BP881" s="27" t="s">
        <v>7</v>
      </c>
      <c r="BQ881" s="27" t="s">
        <v>8</v>
      </c>
      <c r="CJ881" s="27" t="s">
        <v>7</v>
      </c>
      <c r="CK881" s="27" t="s">
        <v>8</v>
      </c>
      <c r="CL881" s="27" t="s">
        <v>7</v>
      </c>
      <c r="CM881" s="27" t="s">
        <v>8</v>
      </c>
      <c r="CN881" s="27" t="s">
        <v>7</v>
      </c>
      <c r="CO881" s="27" t="s">
        <v>8</v>
      </c>
      <c r="CP881" s="27" t="s">
        <v>7</v>
      </c>
      <c r="CQ881" s="27" t="s">
        <v>8</v>
      </c>
      <c r="CR881" s="27" t="s">
        <v>7</v>
      </c>
      <c r="CS881" s="27" t="s">
        <v>8</v>
      </c>
      <c r="DA881" s="27" t="s">
        <v>8</v>
      </c>
      <c r="DB881" s="27" t="s">
        <v>7</v>
      </c>
      <c r="DC881" s="27" t="s">
        <v>8</v>
      </c>
      <c r="DF881" s="27" t="s">
        <v>7</v>
      </c>
      <c r="DG881" s="27" t="s">
        <v>8</v>
      </c>
      <c r="DH881" s="27" t="s">
        <v>7</v>
      </c>
      <c r="DI881" s="27" t="s">
        <v>8</v>
      </c>
      <c r="DJ881" s="27" t="s">
        <v>7</v>
      </c>
      <c r="DK881" s="27" t="s">
        <v>8</v>
      </c>
      <c r="DL881" s="27" t="s">
        <v>7</v>
      </c>
      <c r="DM881" s="27" t="s">
        <v>8</v>
      </c>
      <c r="DN881" s="27" t="s">
        <v>7</v>
      </c>
      <c r="DY881" s="27" t="s">
        <v>8</v>
      </c>
      <c r="EP881" s="27" t="s">
        <v>7</v>
      </c>
      <c r="ER881" s="27" t="s">
        <v>7</v>
      </c>
      <c r="ES881" s="27" t="s">
        <v>8</v>
      </c>
      <c r="ET881" s="27" t="s">
        <v>7</v>
      </c>
      <c r="EU881" s="27" t="s">
        <v>8</v>
      </c>
      <c r="EX881" s="27" t="s">
        <v>7</v>
      </c>
      <c r="EY881" s="27" t="s">
        <v>8</v>
      </c>
      <c r="EZ881" s="27" t="s">
        <v>7</v>
      </c>
      <c r="FA881" s="27" t="s">
        <v>8</v>
      </c>
      <c r="FD881" s="27" t="s">
        <v>7</v>
      </c>
      <c r="FE881" s="27" t="s">
        <v>8</v>
      </c>
      <c r="FF881" s="27" t="s">
        <v>7</v>
      </c>
      <c r="FJ881" s="27" t="s">
        <v>7</v>
      </c>
      <c r="FK881" s="27" t="s">
        <v>8</v>
      </c>
    </row>
    <row r="882" spans="1:167" x14ac:dyDescent="0.25">
      <c r="A882" s="7">
        <v>2.9036838577032251E-3</v>
      </c>
      <c r="B882"/>
      <c r="C882"/>
      <c r="D882"/>
      <c r="E882"/>
      <c r="F882" s="27" t="s">
        <v>7</v>
      </c>
      <c r="U882" s="27" t="s">
        <v>8</v>
      </c>
      <c r="V882" s="27" t="s">
        <v>7</v>
      </c>
      <c r="AC882" s="27" t="s">
        <v>8</v>
      </c>
      <c r="AD882" s="27" t="s">
        <v>7</v>
      </c>
      <c r="BM882" s="27" t="s">
        <v>8</v>
      </c>
      <c r="BP882" s="27" t="s">
        <v>7</v>
      </c>
      <c r="BQ882" s="27" t="s">
        <v>8</v>
      </c>
      <c r="CJ882" s="27" t="s">
        <v>7</v>
      </c>
      <c r="CK882" s="27" t="s">
        <v>8</v>
      </c>
      <c r="CL882" s="27" t="s">
        <v>7</v>
      </c>
      <c r="CM882" s="27" t="s">
        <v>8</v>
      </c>
      <c r="CN882" s="27" t="s">
        <v>7</v>
      </c>
      <c r="CO882" s="27" t="s">
        <v>8</v>
      </c>
      <c r="CP882" s="27" t="s">
        <v>7</v>
      </c>
      <c r="CQ882" s="27" t="s">
        <v>8</v>
      </c>
      <c r="CR882" s="27" t="s">
        <v>7</v>
      </c>
      <c r="CS882" s="27" t="s">
        <v>8</v>
      </c>
      <c r="CT882" s="27" t="s">
        <v>7</v>
      </c>
      <c r="CU882" s="27" t="s">
        <v>8</v>
      </c>
      <c r="DA882" s="27" t="s">
        <v>8</v>
      </c>
      <c r="DB882" s="27" t="s">
        <v>7</v>
      </c>
      <c r="DF882" s="27" t="s">
        <v>7</v>
      </c>
      <c r="DG882" s="27" t="s">
        <v>8</v>
      </c>
      <c r="DH882" s="27" t="s">
        <v>7</v>
      </c>
      <c r="DI882" s="27" t="s">
        <v>8</v>
      </c>
      <c r="DJ882" s="27" t="s">
        <v>7</v>
      </c>
      <c r="DK882" s="27" t="s">
        <v>8</v>
      </c>
      <c r="DL882" s="27" t="s">
        <v>7</v>
      </c>
      <c r="DM882" s="27" t="s">
        <v>8</v>
      </c>
      <c r="DN882" s="27" t="s">
        <v>7</v>
      </c>
      <c r="DW882" s="27" t="s">
        <v>8</v>
      </c>
      <c r="DY882" s="27" t="s">
        <v>8</v>
      </c>
      <c r="ER882" s="27" t="s">
        <v>7</v>
      </c>
      <c r="ES882" s="27" t="s">
        <v>8</v>
      </c>
      <c r="ET882" s="27" t="s">
        <v>7</v>
      </c>
      <c r="EU882" s="27" t="s">
        <v>8</v>
      </c>
      <c r="EX882" s="27" t="s">
        <v>7</v>
      </c>
      <c r="EZ882" s="27" t="s">
        <v>7</v>
      </c>
      <c r="FD882" s="27" t="s">
        <v>7</v>
      </c>
      <c r="FE882" s="27" t="s">
        <v>8</v>
      </c>
      <c r="FJ882" s="27" t="s">
        <v>7</v>
      </c>
      <c r="FK882" s="27" t="s">
        <v>8</v>
      </c>
    </row>
    <row r="883" spans="1:167" x14ac:dyDescent="0.25">
      <c r="A883" s="7">
        <v>2.8467488801012012E-3</v>
      </c>
      <c r="B883"/>
      <c r="C883"/>
      <c r="D883"/>
      <c r="E883"/>
      <c r="F883" s="27" t="s">
        <v>7</v>
      </c>
      <c r="U883" s="27" t="s">
        <v>8</v>
      </c>
      <c r="V883" s="27" t="s">
        <v>7</v>
      </c>
      <c r="AC883" s="27" t="s">
        <v>8</v>
      </c>
      <c r="AD883" s="27" t="s">
        <v>7</v>
      </c>
      <c r="BM883" s="27" t="s">
        <v>8</v>
      </c>
      <c r="BP883" s="27" t="s">
        <v>7</v>
      </c>
      <c r="BQ883" s="27" t="s">
        <v>8</v>
      </c>
      <c r="CJ883" s="27" t="s">
        <v>7</v>
      </c>
      <c r="CL883" s="27" t="s">
        <v>7</v>
      </c>
      <c r="CM883" s="27" t="s">
        <v>8</v>
      </c>
      <c r="CN883" s="27" t="s">
        <v>7</v>
      </c>
      <c r="CO883" s="27" t="s">
        <v>8</v>
      </c>
      <c r="CP883" s="27" t="s">
        <v>7</v>
      </c>
      <c r="CQ883" s="27" t="s">
        <v>8</v>
      </c>
      <c r="CR883" s="27" t="s">
        <v>7</v>
      </c>
      <c r="CS883" s="27" t="s">
        <v>8</v>
      </c>
      <c r="CT883" s="27" t="s">
        <v>7</v>
      </c>
      <c r="CU883" s="27" t="s">
        <v>8</v>
      </c>
      <c r="CV883" s="27" t="s">
        <v>7</v>
      </c>
      <c r="CW883" s="27" t="s">
        <v>8</v>
      </c>
      <c r="DA883" s="27" t="s">
        <v>8</v>
      </c>
      <c r="DF883" s="27" t="s">
        <v>7</v>
      </c>
      <c r="DH883" s="27" t="s">
        <v>7</v>
      </c>
      <c r="DI883" s="27" t="s">
        <v>8</v>
      </c>
      <c r="DJ883" s="27" t="s">
        <v>7</v>
      </c>
      <c r="DK883" s="27" t="s">
        <v>8</v>
      </c>
      <c r="DL883" s="27" t="s">
        <v>7</v>
      </c>
      <c r="DM883" s="27" t="s">
        <v>8</v>
      </c>
      <c r="DN883" s="27" t="s">
        <v>7</v>
      </c>
      <c r="DW883" s="27" t="s">
        <v>8</v>
      </c>
      <c r="DX883" s="27" t="s">
        <v>7</v>
      </c>
      <c r="DY883" s="27" t="s">
        <v>8</v>
      </c>
      <c r="ER883" s="27" t="s">
        <v>7</v>
      </c>
      <c r="ES883" s="27" t="s">
        <v>8</v>
      </c>
      <c r="ET883" s="27" t="s">
        <v>7</v>
      </c>
      <c r="FD883" s="27" t="s">
        <v>7</v>
      </c>
      <c r="FJ883" s="27" t="s">
        <v>7</v>
      </c>
    </row>
    <row r="884" spans="1:167" x14ac:dyDescent="0.25">
      <c r="A884" s="7">
        <v>2.7909302746090209E-3</v>
      </c>
      <c r="B884"/>
      <c r="C884"/>
      <c r="D884"/>
      <c r="E884"/>
      <c r="F884" s="27" t="s">
        <v>7</v>
      </c>
      <c r="S884" s="27" t="s">
        <v>8</v>
      </c>
      <c r="U884" s="27" t="s">
        <v>8</v>
      </c>
      <c r="V884" s="27" t="s">
        <v>7</v>
      </c>
      <c r="AC884" s="27" t="s">
        <v>8</v>
      </c>
      <c r="AD884" s="27" t="s">
        <v>7</v>
      </c>
      <c r="BM884" s="27" t="s">
        <v>8</v>
      </c>
      <c r="BP884" s="27" t="s">
        <v>7</v>
      </c>
      <c r="BQ884" s="27" t="s">
        <v>8</v>
      </c>
      <c r="CL884" s="27" t="s">
        <v>7</v>
      </c>
      <c r="CM884" s="27" t="s">
        <v>8</v>
      </c>
      <c r="CN884" s="27" t="s">
        <v>7</v>
      </c>
      <c r="CP884" s="27" t="s">
        <v>7</v>
      </c>
      <c r="CR884" s="27" t="s">
        <v>7</v>
      </c>
      <c r="CS884" s="27" t="s">
        <v>8</v>
      </c>
      <c r="CT884" s="27" t="s">
        <v>7</v>
      </c>
      <c r="CU884" s="27" t="s">
        <v>8</v>
      </c>
      <c r="CV884" s="27" t="s">
        <v>7</v>
      </c>
      <c r="CW884" s="27" t="s">
        <v>8</v>
      </c>
      <c r="CX884" s="27" t="s">
        <v>7</v>
      </c>
      <c r="CY884" s="27" t="s">
        <v>8</v>
      </c>
      <c r="DA884" s="27" t="s">
        <v>8</v>
      </c>
      <c r="DH884" s="27" t="s">
        <v>7</v>
      </c>
      <c r="DI884" s="27" t="s">
        <v>8</v>
      </c>
      <c r="DJ884" s="27" t="s">
        <v>7</v>
      </c>
      <c r="DL884" s="27" t="s">
        <v>7</v>
      </c>
      <c r="DM884" s="27" t="s">
        <v>8</v>
      </c>
      <c r="DN884" s="27" t="s">
        <v>7</v>
      </c>
      <c r="DS884" s="27" t="s">
        <v>8</v>
      </c>
      <c r="DU884" s="27" t="s">
        <v>8</v>
      </c>
      <c r="DW884" s="27" t="s">
        <v>8</v>
      </c>
      <c r="DX884" s="27" t="s">
        <v>7</v>
      </c>
      <c r="DY884" s="27" t="s">
        <v>8</v>
      </c>
      <c r="ER884" s="27" t="s">
        <v>7</v>
      </c>
      <c r="ES884" s="27" t="s">
        <v>8</v>
      </c>
    </row>
    <row r="885" spans="1:167" x14ac:dyDescent="0.25">
      <c r="A885" s="7">
        <v>2.7362061515774716E-3</v>
      </c>
      <c r="B885"/>
      <c r="C885"/>
      <c r="D885"/>
      <c r="E885"/>
      <c r="F885" s="27" t="s">
        <v>7</v>
      </c>
      <c r="O885" s="27" t="s">
        <v>8</v>
      </c>
      <c r="S885" s="27" t="s">
        <v>8</v>
      </c>
      <c r="T885" s="27" t="s">
        <v>7</v>
      </c>
      <c r="U885" s="27" t="s">
        <v>8</v>
      </c>
      <c r="V885" s="27" t="s">
        <v>7</v>
      </c>
      <c r="AC885" s="27" t="s">
        <v>8</v>
      </c>
      <c r="AD885" s="27" t="s">
        <v>7</v>
      </c>
      <c r="BM885" s="27" t="s">
        <v>8</v>
      </c>
      <c r="BP885" s="27" t="s">
        <v>7</v>
      </c>
      <c r="CL885" s="27" t="s">
        <v>7</v>
      </c>
      <c r="CM885" s="27" t="s">
        <v>8</v>
      </c>
      <c r="CR885" s="27" t="s">
        <v>7</v>
      </c>
      <c r="CT885" s="27" t="s">
        <v>7</v>
      </c>
      <c r="CU885" s="27" t="s">
        <v>8</v>
      </c>
      <c r="CV885" s="27" t="s">
        <v>7</v>
      </c>
      <c r="CW885" s="27" t="s">
        <v>8</v>
      </c>
      <c r="CX885" s="27" t="s">
        <v>7</v>
      </c>
      <c r="CY885" s="27" t="s">
        <v>8</v>
      </c>
      <c r="CZ885" s="27" t="s">
        <v>7</v>
      </c>
      <c r="DA885" s="27" t="s">
        <v>8</v>
      </c>
      <c r="DH885" s="27" t="s">
        <v>7</v>
      </c>
      <c r="DL885" s="27" t="s">
        <v>7</v>
      </c>
      <c r="DN885" s="27" t="s">
        <v>7</v>
      </c>
      <c r="DS885" s="27" t="s">
        <v>8</v>
      </c>
      <c r="DT885" s="27" t="s">
        <v>7</v>
      </c>
      <c r="DU885" s="27" t="s">
        <v>8</v>
      </c>
      <c r="DV885" s="27" t="s">
        <v>7</v>
      </c>
      <c r="DW885" s="27" t="s">
        <v>8</v>
      </c>
      <c r="DX885" s="27" t="s">
        <v>7</v>
      </c>
      <c r="DY885" s="27" t="s">
        <v>8</v>
      </c>
      <c r="ER885" s="27" t="s">
        <v>7</v>
      </c>
    </row>
    <row r="886" spans="1:167" x14ac:dyDescent="0.25">
      <c r="A886" s="7">
        <v>2.6825550505661486E-3</v>
      </c>
      <c r="B886"/>
      <c r="C886"/>
      <c r="D886"/>
      <c r="E886"/>
      <c r="F886" s="27" t="s">
        <v>7</v>
      </c>
      <c r="O886" s="27" t="s">
        <v>8</v>
      </c>
      <c r="P886" s="27" t="s">
        <v>7</v>
      </c>
      <c r="S886" s="27" t="s">
        <v>8</v>
      </c>
      <c r="T886" s="27" t="s">
        <v>7</v>
      </c>
      <c r="U886" s="27" t="s">
        <v>8</v>
      </c>
      <c r="V886" s="27" t="s">
        <v>7</v>
      </c>
      <c r="W886" s="27" t="s">
        <v>8</v>
      </c>
      <c r="AC886" s="27" t="s">
        <v>8</v>
      </c>
      <c r="AD886" s="27" t="s">
        <v>7</v>
      </c>
      <c r="BM886" s="27" t="s">
        <v>8</v>
      </c>
      <c r="CL886" s="27" t="s">
        <v>7</v>
      </c>
      <c r="CM886" s="27" t="s">
        <v>8</v>
      </c>
      <c r="CT886" s="27" t="s">
        <v>7</v>
      </c>
      <c r="CV886" s="27" t="s">
        <v>7</v>
      </c>
      <c r="CW886" s="27" t="s">
        <v>8</v>
      </c>
      <c r="CX886" s="27" t="s">
        <v>7</v>
      </c>
      <c r="CY886" s="27" t="s">
        <v>8</v>
      </c>
      <c r="CZ886" s="27" t="s">
        <v>7</v>
      </c>
      <c r="DA886" s="27" t="s">
        <v>8</v>
      </c>
      <c r="DN886" s="27" t="s">
        <v>7</v>
      </c>
      <c r="DQ886" s="27" t="s">
        <v>8</v>
      </c>
      <c r="DS886" s="27" t="s">
        <v>8</v>
      </c>
      <c r="DT886" s="27" t="s">
        <v>7</v>
      </c>
      <c r="DU886" s="27" t="s">
        <v>8</v>
      </c>
      <c r="DV886" s="27" t="s">
        <v>7</v>
      </c>
      <c r="DW886" s="27" t="s">
        <v>8</v>
      </c>
      <c r="DX886" s="27" t="s">
        <v>7</v>
      </c>
      <c r="DY886" s="27" t="s">
        <v>8</v>
      </c>
    </row>
    <row r="887" spans="1:167" x14ac:dyDescent="0.25">
      <c r="A887" s="7">
        <v>2.6299559319275965E-3</v>
      </c>
      <c r="B887"/>
      <c r="C887"/>
      <c r="D887"/>
      <c r="E887"/>
      <c r="F887" s="27" t="s">
        <v>7</v>
      </c>
      <c r="O887" s="27" t="s">
        <v>8</v>
      </c>
      <c r="P887" s="27" t="s">
        <v>7</v>
      </c>
      <c r="S887" s="27" t="s">
        <v>8</v>
      </c>
      <c r="T887" s="27" t="s">
        <v>7</v>
      </c>
      <c r="U887" s="27" t="s">
        <v>8</v>
      </c>
      <c r="V887" s="27" t="s">
        <v>7</v>
      </c>
      <c r="W887" s="27" t="s">
        <v>8</v>
      </c>
      <c r="X887" s="27" t="s">
        <v>7</v>
      </c>
      <c r="AC887" s="27" t="s">
        <v>8</v>
      </c>
      <c r="AD887" s="27" t="s">
        <v>7</v>
      </c>
      <c r="BM887" s="27" t="s">
        <v>8</v>
      </c>
      <c r="CL887" s="27" t="s">
        <v>7</v>
      </c>
      <c r="CM887" s="27" t="s">
        <v>8</v>
      </c>
      <c r="CV887" s="27" t="s">
        <v>7</v>
      </c>
      <c r="CW887" s="27" t="s">
        <v>8</v>
      </c>
      <c r="CX887" s="27" t="s">
        <v>7</v>
      </c>
      <c r="CY887" s="27" t="s">
        <v>8</v>
      </c>
      <c r="CZ887" s="27" t="s">
        <v>7</v>
      </c>
      <c r="DA887" s="27" t="s">
        <v>8</v>
      </c>
      <c r="DN887" s="27" t="s">
        <v>7</v>
      </c>
      <c r="DQ887" s="27" t="s">
        <v>8</v>
      </c>
      <c r="DR887" s="27" t="s">
        <v>7</v>
      </c>
      <c r="DS887" s="27" t="s">
        <v>8</v>
      </c>
      <c r="DT887" s="27" t="s">
        <v>7</v>
      </c>
      <c r="DU887" s="27" t="s">
        <v>8</v>
      </c>
      <c r="DV887" s="27" t="s">
        <v>7</v>
      </c>
      <c r="DX887" s="27" t="s">
        <v>7</v>
      </c>
    </row>
    <row r="888" spans="1:167" x14ac:dyDescent="0.25">
      <c r="A888" s="7">
        <v>2.578388168556467E-3</v>
      </c>
      <c r="B888"/>
      <c r="C888"/>
      <c r="D888"/>
      <c r="E888"/>
      <c r="F888" s="27" t="s">
        <v>7</v>
      </c>
      <c r="G888" s="27" t="s">
        <v>8</v>
      </c>
      <c r="O888" s="27" t="s">
        <v>8</v>
      </c>
      <c r="P888" s="27" t="s">
        <v>7</v>
      </c>
      <c r="S888" s="27" t="s">
        <v>8</v>
      </c>
      <c r="T888" s="27" t="s">
        <v>7</v>
      </c>
      <c r="U888" s="27" t="s">
        <v>8</v>
      </c>
      <c r="V888" s="27" t="s">
        <v>7</v>
      </c>
      <c r="W888" s="27" t="s">
        <v>8</v>
      </c>
      <c r="X888" s="27" t="s">
        <v>7</v>
      </c>
      <c r="AC888" s="27" t="s">
        <v>8</v>
      </c>
      <c r="AD888" s="27" t="s">
        <v>7</v>
      </c>
      <c r="BM888" s="27" t="s">
        <v>8</v>
      </c>
      <c r="CL888" s="27" t="s">
        <v>7</v>
      </c>
      <c r="CM888" s="27" t="s">
        <v>8</v>
      </c>
      <c r="CV888" s="27" t="s">
        <v>7</v>
      </c>
      <c r="CW888" s="27" t="s">
        <v>8</v>
      </c>
      <c r="CX888" s="27" t="s">
        <v>7</v>
      </c>
      <c r="CY888" s="27" t="s">
        <v>8</v>
      </c>
      <c r="CZ888" s="27" t="s">
        <v>7</v>
      </c>
      <c r="DN888" s="27" t="s">
        <v>7</v>
      </c>
      <c r="DO888" s="27" t="s">
        <v>8</v>
      </c>
      <c r="DQ888" s="27" t="s">
        <v>8</v>
      </c>
      <c r="DR888" s="27" t="s">
        <v>7</v>
      </c>
      <c r="DS888" s="27" t="s">
        <v>8</v>
      </c>
      <c r="DT888" s="27" t="s">
        <v>7</v>
      </c>
    </row>
    <row r="889" spans="1:167" x14ac:dyDescent="0.25">
      <c r="A889" s="7">
        <v>2.5278315378004577E-3</v>
      </c>
      <c r="B889"/>
      <c r="C889"/>
      <c r="D889"/>
      <c r="E889"/>
      <c r="F889" s="27" t="s">
        <v>7</v>
      </c>
      <c r="G889" s="27" t="s">
        <v>8</v>
      </c>
      <c r="H889" s="27" t="s">
        <v>7</v>
      </c>
      <c r="O889" s="27" t="s">
        <v>8</v>
      </c>
      <c r="P889" s="27" t="s">
        <v>7</v>
      </c>
      <c r="S889" s="27" t="s">
        <v>8</v>
      </c>
      <c r="T889" s="27" t="s">
        <v>7</v>
      </c>
      <c r="U889" s="27" t="s">
        <v>8</v>
      </c>
      <c r="V889" s="27" t="s">
        <v>7</v>
      </c>
      <c r="W889" s="27" t="s">
        <v>8</v>
      </c>
      <c r="X889" s="27" t="s">
        <v>7</v>
      </c>
      <c r="AC889" s="27" t="s">
        <v>8</v>
      </c>
      <c r="AD889" s="27" t="s">
        <v>7</v>
      </c>
      <c r="BM889" s="27" t="s">
        <v>8</v>
      </c>
      <c r="CL889" s="27" t="s">
        <v>7</v>
      </c>
      <c r="CV889" s="27" t="s">
        <v>7</v>
      </c>
      <c r="CW889" s="27" t="s">
        <v>8</v>
      </c>
      <c r="CX889" s="27" t="s">
        <v>7</v>
      </c>
      <c r="CY889" s="27" t="s">
        <v>8</v>
      </c>
      <c r="DN889" s="27" t="s">
        <v>7</v>
      </c>
      <c r="DO889" s="27" t="s">
        <v>8</v>
      </c>
      <c r="DP889" s="27" t="s">
        <v>7</v>
      </c>
      <c r="DQ889" s="27" t="s">
        <v>8</v>
      </c>
      <c r="DR889" s="27" t="s">
        <v>7</v>
      </c>
      <c r="DS889" s="27" t="s">
        <v>8</v>
      </c>
    </row>
    <row r="890" spans="1:167" x14ac:dyDescent="0.25">
      <c r="A890" s="7">
        <v>2.4782662135298603E-3</v>
      </c>
      <c r="B890"/>
      <c r="C890"/>
      <c r="D890"/>
      <c r="E890"/>
      <c r="F890" s="27" t="s">
        <v>7</v>
      </c>
      <c r="G890" s="27" t="s">
        <v>8</v>
      </c>
      <c r="H890" s="27" t="s">
        <v>7</v>
      </c>
      <c r="O890" s="27" t="s">
        <v>8</v>
      </c>
      <c r="P890" s="27" t="s">
        <v>7</v>
      </c>
      <c r="S890" s="27" t="s">
        <v>8</v>
      </c>
      <c r="T890" s="27" t="s">
        <v>7</v>
      </c>
      <c r="U890" s="27" t="s">
        <v>8</v>
      </c>
      <c r="V890" s="27" t="s">
        <v>7</v>
      </c>
      <c r="W890" s="27" t="s">
        <v>8</v>
      </c>
      <c r="X890" s="27" t="s">
        <v>7</v>
      </c>
      <c r="AC890" s="27" t="s">
        <v>8</v>
      </c>
      <c r="AD890" s="27" t="s">
        <v>7</v>
      </c>
      <c r="BM890" s="27" t="s">
        <v>8</v>
      </c>
      <c r="CV890" s="27" t="s">
        <v>7</v>
      </c>
      <c r="CW890" s="27" t="s">
        <v>8</v>
      </c>
      <c r="CX890" s="27" t="s">
        <v>7</v>
      </c>
      <c r="CY890" s="27" t="s">
        <v>8</v>
      </c>
      <c r="DN890" s="27" t="s">
        <v>7</v>
      </c>
      <c r="DO890" s="27" t="s">
        <v>8</v>
      </c>
      <c r="DP890" s="27" t="s">
        <v>7</v>
      </c>
      <c r="DQ890" s="27" t="s">
        <v>8</v>
      </c>
      <c r="DR890" s="27" t="s">
        <v>7</v>
      </c>
    </row>
    <row r="891" spans="1:167" x14ac:dyDescent="0.25">
      <c r="A891" s="7">
        <v>2.4296727583626083E-3</v>
      </c>
      <c r="B891"/>
      <c r="C891"/>
      <c r="D891"/>
      <c r="E891"/>
      <c r="F891" s="27" t="s">
        <v>7</v>
      </c>
      <c r="G891" s="27" t="s">
        <v>8</v>
      </c>
      <c r="H891" s="27" t="s">
        <v>7</v>
      </c>
      <c r="O891" s="27" t="s">
        <v>8</v>
      </c>
      <c r="P891" s="27" t="s">
        <v>7</v>
      </c>
      <c r="Q891" s="27" t="s">
        <v>8</v>
      </c>
      <c r="S891" s="27" t="s">
        <v>8</v>
      </c>
      <c r="T891" s="27" t="s">
        <v>7</v>
      </c>
      <c r="U891" s="27" t="s">
        <v>8</v>
      </c>
      <c r="V891" s="27" t="s">
        <v>7</v>
      </c>
      <c r="W891" s="27" t="s">
        <v>8</v>
      </c>
      <c r="X891" s="27" t="s">
        <v>7</v>
      </c>
      <c r="AC891" s="27" t="s">
        <v>8</v>
      </c>
      <c r="AD891" s="27" t="s">
        <v>7</v>
      </c>
      <c r="BM891" s="27" t="s">
        <v>8</v>
      </c>
      <c r="CV891" s="27" t="s">
        <v>7</v>
      </c>
      <c r="CW891" s="27" t="s">
        <v>8</v>
      </c>
      <c r="CX891" s="27" t="s">
        <v>7</v>
      </c>
      <c r="CY891" s="27" t="s">
        <v>8</v>
      </c>
      <c r="DN891" s="27" t="s">
        <v>7</v>
      </c>
      <c r="DO891" s="27" t="s">
        <v>8</v>
      </c>
      <c r="DP891" s="27" t="s">
        <v>7</v>
      </c>
    </row>
    <row r="892" spans="1:167" x14ac:dyDescent="0.25">
      <c r="A892" s="7">
        <v>2.3820321160417726E-3</v>
      </c>
      <c r="B892"/>
      <c r="C892"/>
      <c r="D892"/>
      <c r="E892"/>
      <c r="F892" s="27" t="s">
        <v>7</v>
      </c>
      <c r="G892" s="27" t="s">
        <v>8</v>
      </c>
      <c r="H892" s="27" t="s">
        <v>7</v>
      </c>
      <c r="O892" s="27" t="s">
        <v>8</v>
      </c>
      <c r="P892" s="27" t="s">
        <v>7</v>
      </c>
      <c r="Q892" s="27" t="s">
        <v>8</v>
      </c>
      <c r="R892" s="27" t="s">
        <v>7</v>
      </c>
      <c r="S892" s="27" t="s">
        <v>8</v>
      </c>
      <c r="T892" s="27" t="s">
        <v>7</v>
      </c>
      <c r="U892" s="27" t="s">
        <v>8</v>
      </c>
      <c r="V892" s="27" t="s">
        <v>7</v>
      </c>
      <c r="W892" s="27" t="s">
        <v>8</v>
      </c>
      <c r="X892" s="27" t="s">
        <v>7</v>
      </c>
      <c r="AC892" s="27" t="s">
        <v>8</v>
      </c>
      <c r="AD892" s="27" t="s">
        <v>7</v>
      </c>
      <c r="BM892" s="27" t="s">
        <v>8</v>
      </c>
      <c r="CV892" s="27" t="s">
        <v>7</v>
      </c>
      <c r="CW892" s="27" t="s">
        <v>8</v>
      </c>
      <c r="CX892" s="27" t="s">
        <v>7</v>
      </c>
      <c r="DN892" s="27" t="s">
        <v>7</v>
      </c>
      <c r="DO892" s="27" t="s">
        <v>8</v>
      </c>
    </row>
    <row r="893" spans="1:167" x14ac:dyDescent="0.25">
      <c r="A893" s="7">
        <v>2.3353256039625224E-3</v>
      </c>
      <c r="B893"/>
      <c r="C893"/>
      <c r="D893"/>
      <c r="E893"/>
      <c r="F893" s="27" t="s">
        <v>7</v>
      </c>
      <c r="H893" s="27" t="s">
        <v>7</v>
      </c>
      <c r="O893" s="27" t="s">
        <v>8</v>
      </c>
      <c r="P893" s="27" t="s">
        <v>7</v>
      </c>
      <c r="Q893" s="27" t="s">
        <v>8</v>
      </c>
      <c r="R893" s="27" t="s">
        <v>7</v>
      </c>
      <c r="S893" s="27" t="s">
        <v>8</v>
      </c>
      <c r="T893" s="27" t="s">
        <v>7</v>
      </c>
      <c r="U893" s="27" t="s">
        <v>8</v>
      </c>
      <c r="V893" s="27" t="s">
        <v>7</v>
      </c>
      <c r="W893" s="27" t="s">
        <v>8</v>
      </c>
      <c r="X893" s="27" t="s">
        <v>7</v>
      </c>
      <c r="AC893" s="27" t="s">
        <v>8</v>
      </c>
      <c r="AD893" s="27" t="s">
        <v>7</v>
      </c>
      <c r="BM893" s="27" t="s">
        <v>8</v>
      </c>
      <c r="CV893" s="27" t="s">
        <v>7</v>
      </c>
      <c r="CW893" s="27" t="s">
        <v>8</v>
      </c>
      <c r="DN893" s="27" t="s">
        <v>7</v>
      </c>
      <c r="DO893" s="27" t="s">
        <v>8</v>
      </c>
    </row>
    <row r="894" spans="1:167" x14ac:dyDescent="0.25">
      <c r="A894" s="7">
        <v>2.2895349058456101E-3</v>
      </c>
      <c r="B894"/>
      <c r="C894"/>
      <c r="D894"/>
      <c r="E894"/>
      <c r="H894" s="27" t="s">
        <v>7</v>
      </c>
      <c r="O894" s="27" t="s">
        <v>8</v>
      </c>
      <c r="P894" s="27" t="s">
        <v>7</v>
      </c>
      <c r="Q894" s="27" t="s">
        <v>8</v>
      </c>
      <c r="R894" s="27" t="s">
        <v>7</v>
      </c>
      <c r="S894" s="27" t="s">
        <v>8</v>
      </c>
      <c r="T894" s="27" t="s">
        <v>7</v>
      </c>
      <c r="V894" s="27" t="s">
        <v>7</v>
      </c>
      <c r="W894" s="27" t="s">
        <v>8</v>
      </c>
      <c r="X894" s="27" t="s">
        <v>7</v>
      </c>
      <c r="AA894" s="27" t="s">
        <v>8</v>
      </c>
      <c r="AC894" s="27" t="s">
        <v>8</v>
      </c>
      <c r="AD894" s="27" t="s">
        <v>7</v>
      </c>
      <c r="BM894" s="27" t="s">
        <v>8</v>
      </c>
      <c r="CV894" s="27" t="s">
        <v>7</v>
      </c>
      <c r="DN894" s="27" t="s">
        <v>7</v>
      </c>
    </row>
    <row r="895" spans="1:167" x14ac:dyDescent="0.25">
      <c r="A895" s="7">
        <v>2.24464206455452E-3</v>
      </c>
      <c r="B895"/>
      <c r="C895"/>
      <c r="D895"/>
      <c r="E895"/>
      <c r="H895" s="27" t="s">
        <v>7</v>
      </c>
      <c r="I895" s="27" t="s">
        <v>8</v>
      </c>
      <c r="O895" s="27" t="s">
        <v>8</v>
      </c>
      <c r="P895" s="27" t="s">
        <v>7</v>
      </c>
      <c r="Q895" s="27" t="s">
        <v>8</v>
      </c>
      <c r="R895" s="27" t="s">
        <v>7</v>
      </c>
      <c r="S895" s="27" t="s">
        <v>8</v>
      </c>
      <c r="V895" s="27" t="s">
        <v>7</v>
      </c>
      <c r="X895" s="27" t="s">
        <v>7</v>
      </c>
      <c r="AA895" s="27" t="s">
        <v>8</v>
      </c>
      <c r="AB895" s="27" t="s">
        <v>7</v>
      </c>
      <c r="AC895" s="27" t="s">
        <v>8</v>
      </c>
      <c r="AD895" s="27" t="s">
        <v>7</v>
      </c>
      <c r="BK895" s="27" t="s">
        <v>8</v>
      </c>
      <c r="BM895" s="27" t="s">
        <v>8</v>
      </c>
    </row>
    <row r="896" spans="1:167" x14ac:dyDescent="0.25">
      <c r="A896" s="7">
        <v>2.200629475053451E-3</v>
      </c>
      <c r="B896"/>
      <c r="C896"/>
      <c r="D896"/>
      <c r="E896"/>
      <c r="H896" s="27" t="s">
        <v>7</v>
      </c>
      <c r="I896" s="27" t="s">
        <v>8</v>
      </c>
      <c r="J896" s="27" t="s">
        <v>7</v>
      </c>
      <c r="O896" s="27" t="s">
        <v>8</v>
      </c>
      <c r="P896" s="27" t="s">
        <v>7</v>
      </c>
      <c r="R896" s="27" t="s">
        <v>7</v>
      </c>
      <c r="S896" s="27" t="s">
        <v>8</v>
      </c>
      <c r="X896" s="27" t="s">
        <v>7</v>
      </c>
      <c r="AA896" s="27" t="s">
        <v>8</v>
      </c>
      <c r="AB896" s="27" t="s">
        <v>7</v>
      </c>
      <c r="AC896" s="27" t="s">
        <v>8</v>
      </c>
      <c r="AD896" s="27" t="s">
        <v>7</v>
      </c>
      <c r="BK896" s="27" t="s">
        <v>8</v>
      </c>
      <c r="BL896" s="27" t="s">
        <v>7</v>
      </c>
      <c r="BM896" s="27" t="s">
        <v>8</v>
      </c>
    </row>
    <row r="897" spans="1:65" x14ac:dyDescent="0.25">
      <c r="A897" s="7">
        <v>2.1574798775033832E-3</v>
      </c>
      <c r="B897"/>
      <c r="C897"/>
      <c r="D897"/>
      <c r="E897"/>
      <c r="H897" s="27" t="s">
        <v>7</v>
      </c>
      <c r="I897" s="27" t="s">
        <v>8</v>
      </c>
      <c r="J897" s="27" t="s">
        <v>7</v>
      </c>
      <c r="O897" s="27" t="s">
        <v>8</v>
      </c>
      <c r="R897" s="27" t="s">
        <v>7</v>
      </c>
      <c r="S897" s="27" t="s">
        <v>8</v>
      </c>
      <c r="X897" s="27" t="s">
        <v>7</v>
      </c>
      <c r="Y897" s="27" t="s">
        <v>8</v>
      </c>
      <c r="AA897" s="27" t="s">
        <v>8</v>
      </c>
      <c r="AB897" s="27" t="s">
        <v>7</v>
      </c>
      <c r="AD897" s="27" t="s">
        <v>7</v>
      </c>
      <c r="BK897" s="27" t="s">
        <v>8</v>
      </c>
      <c r="BL897" s="27" t="s">
        <v>7</v>
      </c>
      <c r="BM897" s="27" t="s">
        <v>8</v>
      </c>
    </row>
    <row r="898" spans="1:65" x14ac:dyDescent="0.25">
      <c r="A898" s="7">
        <v>2.115176350493513E-3</v>
      </c>
      <c r="B898"/>
      <c r="C898"/>
      <c r="D898"/>
      <c r="E898"/>
      <c r="H898" s="27" t="s">
        <v>7</v>
      </c>
      <c r="J898" s="27" t="s">
        <v>7</v>
      </c>
      <c r="O898" s="27" t="s">
        <v>8</v>
      </c>
      <c r="R898" s="27" t="s">
        <v>7</v>
      </c>
      <c r="X898" s="27" t="s">
        <v>7</v>
      </c>
      <c r="Y898" s="27" t="s">
        <v>8</v>
      </c>
      <c r="Z898" s="27" t="s">
        <v>7</v>
      </c>
      <c r="AA898" s="27" t="s">
        <v>8</v>
      </c>
      <c r="AD898" s="27" t="s">
        <v>7</v>
      </c>
      <c r="AE898" s="27" t="s">
        <v>8</v>
      </c>
      <c r="BI898" s="27" t="s">
        <v>8</v>
      </c>
      <c r="BK898" s="27" t="s">
        <v>8</v>
      </c>
      <c r="BL898" s="27" t="s">
        <v>7</v>
      </c>
      <c r="BM898" s="27" t="s">
        <v>8</v>
      </c>
    </row>
    <row r="899" spans="1:65" x14ac:dyDescent="0.25">
      <c r="A899" s="7">
        <v>2.0737023044054047E-3</v>
      </c>
      <c r="B899"/>
      <c r="C899"/>
      <c r="D899"/>
      <c r="E899"/>
      <c r="J899" s="27" t="s">
        <v>7</v>
      </c>
      <c r="M899" s="27" t="s">
        <v>8</v>
      </c>
      <c r="O899" s="27" t="s">
        <v>8</v>
      </c>
      <c r="X899" s="27" t="s">
        <v>7</v>
      </c>
      <c r="Y899" s="27" t="s">
        <v>8</v>
      </c>
      <c r="Z899" s="27" t="s">
        <v>7</v>
      </c>
      <c r="AA899" s="27" t="s">
        <v>8</v>
      </c>
      <c r="AD899" s="27" t="s">
        <v>7</v>
      </c>
      <c r="AE899" s="27" t="s">
        <v>8</v>
      </c>
      <c r="AF899" s="27" t="s">
        <v>7</v>
      </c>
      <c r="BI899" s="27" t="s">
        <v>8</v>
      </c>
      <c r="BJ899" s="27" t="s">
        <v>7</v>
      </c>
      <c r="BK899" s="27" t="s">
        <v>8</v>
      </c>
      <c r="BL899" s="27" t="s">
        <v>7</v>
      </c>
      <c r="BM899" s="27" t="s">
        <v>8</v>
      </c>
    </row>
    <row r="900" spans="1:65" x14ac:dyDescent="0.25">
      <c r="A900" s="7">
        <v>2.0330414749072595E-3</v>
      </c>
      <c r="B900"/>
      <c r="C900"/>
      <c r="D900"/>
      <c r="E900"/>
      <c r="J900" s="27" t="s">
        <v>7</v>
      </c>
      <c r="K900" s="27" t="s">
        <v>8</v>
      </c>
      <c r="M900" s="27" t="s">
        <v>8</v>
      </c>
      <c r="N900" s="27" t="s">
        <v>7</v>
      </c>
      <c r="O900" s="27" t="s">
        <v>8</v>
      </c>
      <c r="X900" s="27" t="s">
        <v>7</v>
      </c>
      <c r="Y900" s="27" t="s">
        <v>8</v>
      </c>
      <c r="Z900" s="27" t="s">
        <v>7</v>
      </c>
      <c r="AA900" s="27" t="s">
        <v>8</v>
      </c>
      <c r="AD900" s="27" t="s">
        <v>7</v>
      </c>
      <c r="AE900" s="27" t="s">
        <v>8</v>
      </c>
      <c r="AF900" s="27" t="s">
        <v>7</v>
      </c>
      <c r="BI900" s="27" t="s">
        <v>8</v>
      </c>
      <c r="BJ900" s="27" t="s">
        <v>7</v>
      </c>
      <c r="BK900" s="27" t="s">
        <v>8</v>
      </c>
      <c r="BL900" s="27" t="s">
        <v>7</v>
      </c>
    </row>
    <row r="901" spans="1:65" x14ac:dyDescent="0.25">
      <c r="A901" s="7">
        <v>1.9931779165757446E-3</v>
      </c>
      <c r="B901"/>
      <c r="C901"/>
      <c r="D901"/>
      <c r="E901"/>
      <c r="J901" s="27" t="s">
        <v>7</v>
      </c>
      <c r="K901" s="27" t="s">
        <v>8</v>
      </c>
      <c r="L901" s="27" t="s">
        <v>7</v>
      </c>
      <c r="M901" s="27" t="s">
        <v>8</v>
      </c>
      <c r="N901" s="27" t="s">
        <v>7</v>
      </c>
      <c r="O901" s="27" t="s">
        <v>8</v>
      </c>
      <c r="X901" s="27" t="s">
        <v>7</v>
      </c>
      <c r="Y901" s="27" t="s">
        <v>8</v>
      </c>
      <c r="Z901" s="27" t="s">
        <v>7</v>
      </c>
      <c r="AA901" s="27" t="s">
        <v>8</v>
      </c>
      <c r="AD901" s="27" t="s">
        <v>7</v>
      </c>
      <c r="AE901" s="27" t="s">
        <v>8</v>
      </c>
      <c r="AF901" s="27" t="s">
        <v>7</v>
      </c>
      <c r="BI901" s="27" t="s">
        <v>8</v>
      </c>
      <c r="BJ901" s="27" t="s">
        <v>7</v>
      </c>
      <c r="BK901" s="27" t="s">
        <v>8</v>
      </c>
    </row>
    <row r="902" spans="1:65" x14ac:dyDescent="0.25">
      <c r="A902" s="7">
        <v>1.954095996642887E-3</v>
      </c>
      <c r="B902"/>
      <c r="C902"/>
      <c r="D902"/>
      <c r="E902"/>
      <c r="J902" s="27" t="s">
        <v>7</v>
      </c>
      <c r="K902" s="27" t="s">
        <v>8</v>
      </c>
      <c r="L902" s="27" t="s">
        <v>7</v>
      </c>
      <c r="M902" s="27" t="s">
        <v>8</v>
      </c>
      <c r="N902" s="27" t="s">
        <v>7</v>
      </c>
      <c r="O902" s="27" t="s">
        <v>8</v>
      </c>
      <c r="X902" s="27" t="s">
        <v>7</v>
      </c>
      <c r="Y902" s="27" t="s">
        <v>8</v>
      </c>
      <c r="Z902" s="27" t="s">
        <v>7</v>
      </c>
      <c r="AD902" s="27" t="s">
        <v>7</v>
      </c>
      <c r="AE902" s="27" t="s">
        <v>8</v>
      </c>
      <c r="AF902" s="27" t="s">
        <v>7</v>
      </c>
      <c r="BI902" s="27" t="s">
        <v>8</v>
      </c>
      <c r="BJ902" s="27" t="s">
        <v>7</v>
      </c>
    </row>
    <row r="903" spans="1:65" x14ac:dyDescent="0.25">
      <c r="A903" s="7">
        <v>1.9157803888655755E-3</v>
      </c>
      <c r="B903"/>
      <c r="C903"/>
      <c r="D903"/>
      <c r="E903"/>
      <c r="J903" s="27" t="s">
        <v>7</v>
      </c>
      <c r="K903" s="27" t="s">
        <v>8</v>
      </c>
      <c r="L903" s="27" t="s">
        <v>7</v>
      </c>
      <c r="M903" s="27" t="s">
        <v>8</v>
      </c>
      <c r="N903" s="27" t="s">
        <v>7</v>
      </c>
      <c r="O903" s="27" t="s">
        <v>8</v>
      </c>
      <c r="X903" s="27" t="s">
        <v>7</v>
      </c>
      <c r="Y903" s="27" t="s">
        <v>8</v>
      </c>
      <c r="AD903" s="27" t="s">
        <v>7</v>
      </c>
      <c r="AE903" s="27" t="s">
        <v>8</v>
      </c>
      <c r="AF903" s="27" t="s">
        <v>7</v>
      </c>
      <c r="BG903" s="27" t="s">
        <v>8</v>
      </c>
      <c r="BI903" s="27" t="s">
        <v>8</v>
      </c>
    </row>
    <row r="904" spans="1:65" x14ac:dyDescent="0.25">
      <c r="A904" s="7">
        <v>1.8782160675152703E-3</v>
      </c>
      <c r="B904"/>
      <c r="C904"/>
      <c r="D904"/>
      <c r="E904"/>
      <c r="J904" s="27" t="s">
        <v>7</v>
      </c>
      <c r="K904" s="27" t="s">
        <v>8</v>
      </c>
      <c r="L904" s="27" t="s">
        <v>7</v>
      </c>
      <c r="N904" s="27" t="s">
        <v>7</v>
      </c>
      <c r="X904" s="27" t="s">
        <v>7</v>
      </c>
      <c r="Y904" s="27" t="s">
        <v>8</v>
      </c>
      <c r="AD904" s="27" t="s">
        <v>7</v>
      </c>
      <c r="AE904" s="27" t="s">
        <v>8</v>
      </c>
      <c r="AF904" s="27" t="s">
        <v>7</v>
      </c>
      <c r="BE904" s="27" t="s">
        <v>8</v>
      </c>
      <c r="BG904" s="27" t="s">
        <v>8</v>
      </c>
      <c r="BH904" s="27" t="s">
        <v>7</v>
      </c>
      <c r="BI904" s="27" t="s">
        <v>8</v>
      </c>
    </row>
    <row r="905" spans="1:65" x14ac:dyDescent="0.25">
      <c r="A905" s="7">
        <v>1.8413883014855592E-3</v>
      </c>
      <c r="B905"/>
      <c r="C905"/>
      <c r="D905"/>
      <c r="E905"/>
      <c r="J905" s="27" t="s">
        <v>7</v>
      </c>
      <c r="K905" s="27" t="s">
        <v>8</v>
      </c>
      <c r="X905" s="27" t="s">
        <v>7</v>
      </c>
      <c r="Y905" s="27" t="s">
        <v>8</v>
      </c>
      <c r="AD905" s="27" t="s">
        <v>7</v>
      </c>
      <c r="AE905" s="27" t="s">
        <v>8</v>
      </c>
      <c r="AF905" s="27" t="s">
        <v>7</v>
      </c>
      <c r="BE905" s="27" t="s">
        <v>8</v>
      </c>
      <c r="BF905" s="27" t="s">
        <v>7</v>
      </c>
      <c r="BG905" s="27" t="s">
        <v>8</v>
      </c>
      <c r="BH905" s="27" t="s">
        <v>7</v>
      </c>
      <c r="BI905" s="27" t="s">
        <v>8</v>
      </c>
    </row>
    <row r="906" spans="1:65" x14ac:dyDescent="0.25">
      <c r="A906" s="7">
        <v>1.8052826485152542E-3</v>
      </c>
      <c r="B906"/>
      <c r="C906"/>
      <c r="D906"/>
      <c r="E906"/>
      <c r="J906" s="27" t="s">
        <v>7</v>
      </c>
      <c r="K906" s="27" t="s">
        <v>8</v>
      </c>
      <c r="X906" s="27" t="s">
        <v>7</v>
      </c>
      <c r="Y906" s="27" t="s">
        <v>8</v>
      </c>
      <c r="AD906" s="27" t="s">
        <v>7</v>
      </c>
      <c r="AF906" s="27" t="s">
        <v>7</v>
      </c>
      <c r="BE906" s="27" t="s">
        <v>8</v>
      </c>
      <c r="BF906" s="27" t="s">
        <v>7</v>
      </c>
      <c r="BG906" s="27" t="s">
        <v>8</v>
      </c>
      <c r="BH906" s="27" t="s">
        <v>7</v>
      </c>
    </row>
    <row r="907" spans="1:65" x14ac:dyDescent="0.25">
      <c r="A907" s="7">
        <v>1.7698849495247592E-3</v>
      </c>
      <c r="B907"/>
      <c r="C907"/>
      <c r="D907"/>
      <c r="E907"/>
      <c r="J907" s="27" t="s">
        <v>7</v>
      </c>
      <c r="K907" s="27" t="s">
        <v>8</v>
      </c>
      <c r="X907" s="27" t="s">
        <v>7</v>
      </c>
      <c r="Y907" s="27" t="s">
        <v>8</v>
      </c>
      <c r="AF907" s="27" t="s">
        <v>7</v>
      </c>
      <c r="BE907" s="27" t="s">
        <v>8</v>
      </c>
      <c r="BF907" s="27" t="s">
        <v>7</v>
      </c>
      <c r="BG907" s="27" t="s">
        <v>8</v>
      </c>
    </row>
    <row r="908" spans="1:65" x14ac:dyDescent="0.25">
      <c r="A908" s="7">
        <v>1.7351813230634893E-3</v>
      </c>
      <c r="B908"/>
      <c r="C908"/>
      <c r="D908"/>
      <c r="E908"/>
      <c r="J908" s="27" t="s">
        <v>7</v>
      </c>
      <c r="K908" s="27" t="s">
        <v>8</v>
      </c>
      <c r="X908" s="27" t="s">
        <v>7</v>
      </c>
      <c r="AF908" s="27" t="s">
        <v>7</v>
      </c>
      <c r="BE908" s="27" t="s">
        <v>8</v>
      </c>
      <c r="BF908" s="27" t="s">
        <v>7</v>
      </c>
      <c r="BG908" s="27" t="s">
        <v>8</v>
      </c>
    </row>
    <row r="909" spans="1:65" x14ac:dyDescent="0.25">
      <c r="A909" s="7">
        <v>1.701158159866166E-3</v>
      </c>
      <c r="B909"/>
      <c r="C909"/>
      <c r="D909"/>
      <c r="E909"/>
      <c r="J909" s="27" t="s">
        <v>7</v>
      </c>
      <c r="K909" s="27" t="s">
        <v>8</v>
      </c>
      <c r="AF909" s="27" t="s">
        <v>7</v>
      </c>
      <c r="BE909" s="27" t="s">
        <v>8</v>
      </c>
      <c r="BF909" s="27" t="s">
        <v>7</v>
      </c>
      <c r="BG909" s="27" t="s">
        <v>8</v>
      </c>
    </row>
    <row r="910" spans="1:65" x14ac:dyDescent="0.25">
      <c r="A910" s="7">
        <v>1.6678021175158492E-3</v>
      </c>
      <c r="B910"/>
      <c r="C910"/>
      <c r="D910"/>
      <c r="E910"/>
      <c r="J910" s="27" t="s">
        <v>7</v>
      </c>
      <c r="K910" s="27" t="s">
        <v>8</v>
      </c>
      <c r="AF910" s="27" t="s">
        <v>7</v>
      </c>
      <c r="BE910" s="27" t="s">
        <v>8</v>
      </c>
      <c r="BF910" s="27" t="s">
        <v>7</v>
      </c>
      <c r="BG910" s="27" t="s">
        <v>8</v>
      </c>
    </row>
    <row r="911" spans="1:65" x14ac:dyDescent="0.25">
      <c r="A911" s="7">
        <v>1.6351001152116167E-3</v>
      </c>
      <c r="B911"/>
      <c r="C911"/>
      <c r="D911"/>
      <c r="E911"/>
      <c r="J911" s="27" t="s">
        <v>7</v>
      </c>
      <c r="K911" s="27" t="s">
        <v>8</v>
      </c>
      <c r="AF911" s="27" t="s">
        <v>7</v>
      </c>
      <c r="BE911" s="27" t="s">
        <v>8</v>
      </c>
      <c r="BF911" s="27" t="s">
        <v>7</v>
      </c>
      <c r="BG911" s="27" t="s">
        <v>8</v>
      </c>
    </row>
    <row r="912" spans="1:65" x14ac:dyDescent="0.25">
      <c r="A912" s="7">
        <v>1.60303932863884E-3</v>
      </c>
      <c r="B912"/>
      <c r="C912"/>
      <c r="D912"/>
      <c r="E912"/>
      <c r="J912" s="27" t="s">
        <v>7</v>
      </c>
      <c r="K912" s="27" t="s">
        <v>8</v>
      </c>
      <c r="AF912" s="27" t="s">
        <v>7</v>
      </c>
      <c r="BE912" s="27" t="s">
        <v>8</v>
      </c>
      <c r="BF912" s="27" t="s">
        <v>7</v>
      </c>
      <c r="BG912" s="27" t="s">
        <v>8</v>
      </c>
    </row>
    <row r="913" spans="1:59" x14ac:dyDescent="0.25">
      <c r="A913" s="7">
        <v>1.5716071849400392E-3</v>
      </c>
      <c r="B913"/>
      <c r="C913"/>
      <c r="D913"/>
      <c r="E913"/>
      <c r="J913" s="27" t="s">
        <v>7</v>
      </c>
      <c r="K913" s="27" t="s">
        <v>8</v>
      </c>
      <c r="AF913" s="27" t="s">
        <v>7</v>
      </c>
      <c r="BE913" s="27" t="s">
        <v>8</v>
      </c>
      <c r="BF913" s="27" t="s">
        <v>7</v>
      </c>
      <c r="BG913" s="27" t="s">
        <v>8</v>
      </c>
    </row>
    <row r="914" spans="1:59" x14ac:dyDescent="0.25">
      <c r="A914" s="7">
        <v>1.5407913577843522E-3</v>
      </c>
      <c r="B914"/>
      <c r="C914"/>
      <c r="D914"/>
      <c r="E914"/>
      <c r="J914" s="27" t="s">
        <v>7</v>
      </c>
      <c r="K914" s="27" t="s">
        <v>8</v>
      </c>
      <c r="AF914" s="27" t="s">
        <v>7</v>
      </c>
      <c r="AW914" s="27" t="s">
        <v>8</v>
      </c>
      <c r="BE914" s="27" t="s">
        <v>8</v>
      </c>
      <c r="BF914" s="27" t="s">
        <v>7</v>
      </c>
      <c r="BG914" s="27" t="s">
        <v>8</v>
      </c>
    </row>
    <row r="915" spans="1:59" x14ac:dyDescent="0.25">
      <c r="A915" s="7">
        <v>1.5105797625336785E-3</v>
      </c>
      <c r="B915"/>
      <c r="C915"/>
      <c r="D915"/>
      <c r="E915"/>
      <c r="J915" s="27" t="s">
        <v>7</v>
      </c>
      <c r="K915" s="27" t="s">
        <v>8</v>
      </c>
      <c r="AF915" s="27" t="s">
        <v>7</v>
      </c>
      <c r="AW915" s="27" t="s">
        <v>8</v>
      </c>
      <c r="AX915" s="27" t="s">
        <v>7</v>
      </c>
      <c r="BA915" s="27" t="s">
        <v>8</v>
      </c>
      <c r="BE915" s="27" t="s">
        <v>8</v>
      </c>
      <c r="BF915" s="27" t="s">
        <v>7</v>
      </c>
      <c r="BG915" s="27" t="s">
        <v>8</v>
      </c>
    </row>
    <row r="916" spans="1:59" x14ac:dyDescent="0.25">
      <c r="A916" s="7">
        <v>1.4809605515036064E-3</v>
      </c>
      <c r="B916"/>
      <c r="C916"/>
      <c r="D916"/>
      <c r="E916"/>
      <c r="J916" s="27" t="s">
        <v>7</v>
      </c>
      <c r="K916" s="27" t="s">
        <v>8</v>
      </c>
      <c r="AF916" s="27" t="s">
        <v>7</v>
      </c>
      <c r="AW916" s="27" t="s">
        <v>8</v>
      </c>
      <c r="AX916" s="27" t="s">
        <v>7</v>
      </c>
      <c r="BA916" s="27" t="s">
        <v>8</v>
      </c>
      <c r="BB916" s="27" t="s">
        <v>7</v>
      </c>
      <c r="BC916" s="27" t="s">
        <v>8</v>
      </c>
      <c r="BE916" s="27" t="s">
        <v>8</v>
      </c>
      <c r="BF916" s="27" t="s">
        <v>7</v>
      </c>
      <c r="BG916" s="27" t="s">
        <v>8</v>
      </c>
    </row>
    <row r="917" spans="1:59" x14ac:dyDescent="0.25">
      <c r="A917" s="7">
        <v>1.4519221093172612E-3</v>
      </c>
      <c r="B917"/>
      <c r="C917"/>
      <c r="D917"/>
      <c r="E917"/>
      <c r="J917" s="27" t="s">
        <v>7</v>
      </c>
      <c r="K917" s="27" t="s">
        <v>8</v>
      </c>
      <c r="AF917" s="27" t="s">
        <v>7</v>
      </c>
      <c r="AW917" s="27" t="s">
        <v>8</v>
      </c>
      <c r="AX917" s="27" t="s">
        <v>7</v>
      </c>
      <c r="BA917" s="27" t="s">
        <v>8</v>
      </c>
      <c r="BB917" s="27" t="s">
        <v>7</v>
      </c>
      <c r="BC917" s="27" t="s">
        <v>8</v>
      </c>
      <c r="BD917" s="27" t="s">
        <v>7</v>
      </c>
      <c r="BE917" s="27" t="s">
        <v>8</v>
      </c>
      <c r="BF917" s="27" t="s">
        <v>7</v>
      </c>
      <c r="BG917" s="27" t="s">
        <v>8</v>
      </c>
    </row>
    <row r="918" spans="1:59" x14ac:dyDescent="0.25">
      <c r="A918" s="7">
        <v>1.423453048350256E-3</v>
      </c>
      <c r="B918"/>
      <c r="C918"/>
      <c r="D918"/>
      <c r="E918"/>
      <c r="J918" s="27" t="s">
        <v>7</v>
      </c>
      <c r="K918" s="27" t="s">
        <v>8</v>
      </c>
      <c r="AF918" s="27" t="s">
        <v>7</v>
      </c>
      <c r="AW918" s="27" t="s">
        <v>8</v>
      </c>
      <c r="AX918" s="27" t="s">
        <v>7</v>
      </c>
      <c r="BA918" s="27" t="s">
        <v>8</v>
      </c>
      <c r="BB918" s="27" t="s">
        <v>7</v>
      </c>
      <c r="BC918" s="27" t="s">
        <v>8</v>
      </c>
      <c r="BD918" s="27" t="s">
        <v>7</v>
      </c>
      <c r="BE918" s="27" t="s">
        <v>8</v>
      </c>
      <c r="BF918" s="27" t="s">
        <v>7</v>
      </c>
      <c r="BG918" s="27" t="s">
        <v>8</v>
      </c>
    </row>
    <row r="919" spans="1:59" x14ac:dyDescent="0.25">
      <c r="A919" s="7">
        <v>1.3955422042649568E-3</v>
      </c>
      <c r="B919"/>
      <c r="C919"/>
      <c r="D919"/>
      <c r="E919"/>
      <c r="J919" s="27" t="s">
        <v>7</v>
      </c>
      <c r="K919" s="27" t="s">
        <v>8</v>
      </c>
      <c r="AF919" s="27" t="s">
        <v>7</v>
      </c>
      <c r="AW919" s="27" t="s">
        <v>8</v>
      </c>
      <c r="AX919" s="27" t="s">
        <v>7</v>
      </c>
      <c r="BA919" s="27" t="s">
        <v>8</v>
      </c>
      <c r="BB919" s="27" t="s">
        <v>7</v>
      </c>
      <c r="BD919" s="27" t="s">
        <v>7</v>
      </c>
      <c r="BF919" s="27" t="s">
        <v>7</v>
      </c>
      <c r="BG919" s="27" t="s">
        <v>8</v>
      </c>
    </row>
    <row r="920" spans="1:59" x14ac:dyDescent="0.25">
      <c r="A920" s="7">
        <v>1.3681786316323105E-3</v>
      </c>
      <c r="B920"/>
      <c r="C920"/>
      <c r="D920"/>
      <c r="E920"/>
      <c r="J920" s="27" t="s">
        <v>7</v>
      </c>
      <c r="K920" s="27" t="s">
        <v>8</v>
      </c>
      <c r="AF920" s="27" t="s">
        <v>7</v>
      </c>
      <c r="AQ920" s="27" t="s">
        <v>8</v>
      </c>
      <c r="AS920" s="27" t="s">
        <v>8</v>
      </c>
      <c r="AW920" s="27" t="s">
        <v>8</v>
      </c>
      <c r="AX920" s="27" t="s">
        <v>7</v>
      </c>
      <c r="BA920" s="27" t="s">
        <v>8</v>
      </c>
      <c r="BF920" s="27" t="s">
        <v>7</v>
      </c>
    </row>
    <row r="921" spans="1:59" x14ac:dyDescent="0.25">
      <c r="A921" s="7">
        <v>1.3413515996395203E-3</v>
      </c>
      <c r="B921"/>
      <c r="C921"/>
      <c r="D921"/>
      <c r="E921"/>
      <c r="J921" s="27" t="s">
        <v>7</v>
      </c>
      <c r="K921" s="27" t="s">
        <v>8</v>
      </c>
      <c r="AF921" s="27" t="s">
        <v>7</v>
      </c>
      <c r="AQ921" s="27" t="s">
        <v>8</v>
      </c>
      <c r="AR921" s="27" t="s">
        <v>7</v>
      </c>
      <c r="AS921" s="27" t="s">
        <v>8</v>
      </c>
      <c r="AT921" s="27" t="s">
        <v>7</v>
      </c>
      <c r="AW921" s="27" t="s">
        <v>8</v>
      </c>
      <c r="AX921" s="27" t="s">
        <v>7</v>
      </c>
      <c r="AY921" s="27" t="s">
        <v>8</v>
      </c>
      <c r="BA921" s="27" t="s">
        <v>8</v>
      </c>
    </row>
    <row r="922" spans="1:59" x14ac:dyDescent="0.25">
      <c r="A922" s="7">
        <v>1.3150505878818826E-3</v>
      </c>
      <c r="B922"/>
      <c r="C922"/>
      <c r="D922"/>
      <c r="E922"/>
      <c r="J922" s="27" t="s">
        <v>7</v>
      </c>
      <c r="K922" s="27" t="s">
        <v>8</v>
      </c>
      <c r="AF922" s="27" t="s">
        <v>7</v>
      </c>
      <c r="AI922" s="27" t="s">
        <v>8</v>
      </c>
      <c r="AO922" s="27" t="s">
        <v>8</v>
      </c>
      <c r="AQ922" s="27" t="s">
        <v>8</v>
      </c>
      <c r="AR922" s="27" t="s">
        <v>7</v>
      </c>
      <c r="AS922" s="27" t="s">
        <v>8</v>
      </c>
      <c r="AT922" s="27" t="s">
        <v>7</v>
      </c>
      <c r="AU922" s="27" t="s">
        <v>8</v>
      </c>
      <c r="AW922" s="27" t="s">
        <v>8</v>
      </c>
      <c r="AX922" s="27" t="s">
        <v>7</v>
      </c>
      <c r="AY922" s="27" t="s">
        <v>8</v>
      </c>
      <c r="AZ922" s="27" t="s">
        <v>7</v>
      </c>
      <c r="BA922" s="27" t="s">
        <v>8</v>
      </c>
    </row>
    <row r="923" spans="1:59" x14ac:dyDescent="0.25">
      <c r="A923" s="7">
        <v>1.2892652822371396E-3</v>
      </c>
      <c r="B923"/>
      <c r="C923"/>
      <c r="D923"/>
      <c r="E923"/>
      <c r="J923" s="27" t="s">
        <v>7</v>
      </c>
      <c r="K923" s="27" t="s">
        <v>8</v>
      </c>
      <c r="AF923" s="27" t="s">
        <v>7</v>
      </c>
      <c r="AI923" s="27" t="s">
        <v>8</v>
      </c>
      <c r="AJ923" s="27" t="s">
        <v>7</v>
      </c>
      <c r="AO923" s="27" t="s">
        <v>8</v>
      </c>
      <c r="AP923" s="27" t="s">
        <v>7</v>
      </c>
      <c r="AQ923" s="27" t="s">
        <v>8</v>
      </c>
      <c r="AR923" s="27" t="s">
        <v>7</v>
      </c>
      <c r="AT923" s="27" t="s">
        <v>7</v>
      </c>
      <c r="AU923" s="27" t="s">
        <v>8</v>
      </c>
      <c r="AV923" s="27" t="s">
        <v>7</v>
      </c>
      <c r="AW923" s="27" t="s">
        <v>8</v>
      </c>
      <c r="AX923" s="27" t="s">
        <v>7</v>
      </c>
      <c r="AY923" s="27" t="s">
        <v>8</v>
      </c>
      <c r="AZ923" s="27" t="s">
        <v>7</v>
      </c>
      <c r="BA923" s="27" t="s">
        <v>8</v>
      </c>
    </row>
    <row r="924" spans="1:59" x14ac:dyDescent="0.25">
      <c r="A924" s="7">
        <v>1.2639855708207251E-3</v>
      </c>
      <c r="B924"/>
      <c r="C924"/>
      <c r="D924"/>
      <c r="E924"/>
      <c r="J924" s="27" t="s">
        <v>7</v>
      </c>
      <c r="K924" s="27" t="s">
        <v>8</v>
      </c>
      <c r="AF924" s="27" t="s">
        <v>7</v>
      </c>
      <c r="AI924" s="27" t="s">
        <v>8</v>
      </c>
      <c r="AJ924" s="27" t="s">
        <v>7</v>
      </c>
      <c r="AK924" s="27" t="s">
        <v>8</v>
      </c>
      <c r="AM924" s="27" t="s">
        <v>8</v>
      </c>
      <c r="AO924" s="27" t="s">
        <v>8</v>
      </c>
      <c r="AP924" s="27" t="s">
        <v>7</v>
      </c>
      <c r="AQ924" s="27" t="s">
        <v>8</v>
      </c>
      <c r="AT924" s="27" t="s">
        <v>7</v>
      </c>
      <c r="AU924" s="27" t="s">
        <v>8</v>
      </c>
      <c r="AV924" s="27" t="s">
        <v>7</v>
      </c>
      <c r="AW924" s="27" t="s">
        <v>8</v>
      </c>
      <c r="AX924" s="27" t="s">
        <v>7</v>
      </c>
      <c r="AY924" s="27" t="s">
        <v>8</v>
      </c>
      <c r="AZ924" s="27" t="s">
        <v>7</v>
      </c>
    </row>
    <row r="925" spans="1:59" x14ac:dyDescent="0.25">
      <c r="A925" s="7">
        <v>1.2392015400203187E-3</v>
      </c>
      <c r="B925"/>
      <c r="C925"/>
      <c r="D925"/>
      <c r="E925"/>
      <c r="J925" s="27" t="s">
        <v>7</v>
      </c>
      <c r="K925" s="27" t="s">
        <v>8</v>
      </c>
      <c r="AF925" s="27" t="s">
        <v>7</v>
      </c>
      <c r="AG925" s="27" t="s">
        <v>8</v>
      </c>
      <c r="AI925" s="27" t="s">
        <v>8</v>
      </c>
      <c r="AJ925" s="27" t="s">
        <v>7</v>
      </c>
      <c r="AK925" s="27" t="s">
        <v>8</v>
      </c>
      <c r="AL925" s="27" t="s">
        <v>7</v>
      </c>
      <c r="AM925" s="27" t="s">
        <v>8</v>
      </c>
      <c r="AN925" s="27" t="s">
        <v>7</v>
      </c>
      <c r="AO925" s="27" t="s">
        <v>8</v>
      </c>
      <c r="AP925" s="27" t="s">
        <v>7</v>
      </c>
      <c r="AQ925" s="27" t="s">
        <v>8</v>
      </c>
      <c r="AT925" s="27" t="s">
        <v>7</v>
      </c>
      <c r="AU925" s="27" t="s">
        <v>8</v>
      </c>
      <c r="AV925" s="27" t="s">
        <v>7</v>
      </c>
      <c r="AW925" s="27" t="s">
        <v>8</v>
      </c>
      <c r="AX925" s="27" t="s">
        <v>7</v>
      </c>
      <c r="AY925" s="27" t="s">
        <v>8</v>
      </c>
    </row>
    <row r="926" spans="1:59" x14ac:dyDescent="0.25">
      <c r="A926" s="7">
        <v>1.2149034706081556E-3</v>
      </c>
      <c r="B926"/>
      <c r="C926"/>
      <c r="D926"/>
      <c r="E926"/>
      <c r="J926" s="27" t="s">
        <v>7</v>
      </c>
      <c r="K926" s="27" t="s">
        <v>8</v>
      </c>
      <c r="AF926" s="27" t="s">
        <v>7</v>
      </c>
      <c r="AG926" s="27" t="s">
        <v>8</v>
      </c>
      <c r="AH926" s="27" t="s">
        <v>7</v>
      </c>
      <c r="AI926" s="27" t="s">
        <v>8</v>
      </c>
      <c r="AJ926" s="27" t="s">
        <v>7</v>
      </c>
      <c r="AK926" s="27" t="s">
        <v>8</v>
      </c>
      <c r="AL926" s="27" t="s">
        <v>7</v>
      </c>
      <c r="AM926" s="27" t="s">
        <v>8</v>
      </c>
      <c r="AN926" s="27" t="s">
        <v>7</v>
      </c>
      <c r="AO926" s="27" t="s">
        <v>8</v>
      </c>
      <c r="AP926" s="27" t="s">
        <v>7</v>
      </c>
      <c r="AQ926" s="27" t="s">
        <v>8</v>
      </c>
      <c r="AT926" s="27" t="s">
        <v>7</v>
      </c>
      <c r="AU926" s="27" t="s">
        <v>8</v>
      </c>
      <c r="AV926" s="27" t="s">
        <v>7</v>
      </c>
      <c r="AW926" s="27" t="s">
        <v>8</v>
      </c>
      <c r="AX926" s="27" t="s">
        <v>7</v>
      </c>
    </row>
    <row r="927" spans="1:59" x14ac:dyDescent="0.25">
      <c r="A927" s="7">
        <v>1.1910818339295644E-3</v>
      </c>
      <c r="B927"/>
      <c r="C927"/>
      <c r="D927"/>
      <c r="E927"/>
      <c r="J927" s="27" t="s">
        <v>7</v>
      </c>
      <c r="K927" s="27" t="s">
        <v>8</v>
      </c>
      <c r="AF927" s="27" t="s">
        <v>7</v>
      </c>
      <c r="AG927" s="27" t="s">
        <v>8</v>
      </c>
      <c r="AH927" s="27" t="s">
        <v>7</v>
      </c>
      <c r="AI927" s="27" t="s">
        <v>8</v>
      </c>
      <c r="AJ927" s="27" t="s">
        <v>7</v>
      </c>
      <c r="AK927" s="27" t="s">
        <v>8</v>
      </c>
      <c r="AL927" s="27" t="s">
        <v>7</v>
      </c>
      <c r="AM927" s="27" t="s">
        <v>8</v>
      </c>
      <c r="AN927" s="27" t="s">
        <v>7</v>
      </c>
      <c r="AO927" s="27" t="s">
        <v>8</v>
      </c>
      <c r="AP927" s="27" t="s">
        <v>7</v>
      </c>
      <c r="AQ927" s="27" t="s">
        <v>8</v>
      </c>
      <c r="AT927" s="27" t="s">
        <v>7</v>
      </c>
      <c r="AU927" s="27" t="s">
        <v>8</v>
      </c>
      <c r="AV927" s="27" t="s">
        <v>7</v>
      </c>
      <c r="AW927" s="27" t="s">
        <v>8</v>
      </c>
    </row>
    <row r="928" spans="1:59" x14ac:dyDescent="0.25">
      <c r="A928" s="7">
        <v>1.1677272881662395E-3</v>
      </c>
      <c r="B928"/>
      <c r="C928"/>
      <c r="D928"/>
      <c r="E928"/>
      <c r="J928" s="27" t="s">
        <v>7</v>
      </c>
      <c r="K928" s="27" t="s">
        <v>8</v>
      </c>
      <c r="AF928" s="27" t="s">
        <v>7</v>
      </c>
      <c r="AG928" s="27" t="s">
        <v>8</v>
      </c>
      <c r="AH928" s="27" t="s">
        <v>7</v>
      </c>
      <c r="AI928" s="27" t="s">
        <v>8</v>
      </c>
      <c r="AJ928" s="27" t="s">
        <v>7</v>
      </c>
      <c r="AK928" s="27" t="s">
        <v>8</v>
      </c>
      <c r="AL928" s="27" t="s">
        <v>7</v>
      </c>
      <c r="AM928" s="27" t="s">
        <v>8</v>
      </c>
      <c r="AN928" s="27" t="s">
        <v>7</v>
      </c>
      <c r="AO928" s="27" t="s">
        <v>8</v>
      </c>
      <c r="AP928" s="27" t="s">
        <v>7</v>
      </c>
      <c r="AQ928" s="27" t="s">
        <v>8</v>
      </c>
      <c r="AT928" s="27" t="s">
        <v>7</v>
      </c>
      <c r="AU928" s="27" t="s">
        <v>8</v>
      </c>
      <c r="AV928" s="27" t="s">
        <v>7</v>
      </c>
    </row>
    <row r="929" spans="1:47" x14ac:dyDescent="0.25">
      <c r="A929" s="7">
        <v>1.1448306746727837E-3</v>
      </c>
      <c r="B929"/>
      <c r="C929"/>
      <c r="D929"/>
      <c r="E929"/>
      <c r="J929" s="27" t="s">
        <v>7</v>
      </c>
      <c r="K929" s="27" t="s">
        <v>8</v>
      </c>
      <c r="AF929" s="27" t="s">
        <v>7</v>
      </c>
      <c r="AG929" s="27" t="s">
        <v>8</v>
      </c>
      <c r="AH929" s="27" t="s">
        <v>7</v>
      </c>
      <c r="AI929" s="27" t="s">
        <v>8</v>
      </c>
      <c r="AJ929" s="27" t="s">
        <v>7</v>
      </c>
      <c r="AK929" s="27" t="s">
        <v>8</v>
      </c>
      <c r="AL929" s="27" t="s">
        <v>7</v>
      </c>
      <c r="AM929" s="27" t="s">
        <v>8</v>
      </c>
      <c r="AN929" s="27" t="s">
        <v>7</v>
      </c>
      <c r="AO929" s="27" t="s">
        <v>8</v>
      </c>
      <c r="AP929" s="27" t="s">
        <v>7</v>
      </c>
      <c r="AT929" s="27" t="s">
        <v>7</v>
      </c>
      <c r="AU929" s="27" t="s">
        <v>8</v>
      </c>
    </row>
    <row r="930" spans="1:47" x14ac:dyDescent="0.25">
      <c r="A930" s="7">
        <v>1.1223830143850821E-3</v>
      </c>
      <c r="B930"/>
      <c r="C930"/>
      <c r="D930"/>
      <c r="E930"/>
      <c r="J930" s="27" t="s">
        <v>7</v>
      </c>
      <c r="K930" s="27" t="s">
        <v>8</v>
      </c>
      <c r="AF930" s="27" t="s">
        <v>7</v>
      </c>
      <c r="AG930" s="27" t="s">
        <v>8</v>
      </c>
      <c r="AH930" s="27" t="s">
        <v>7</v>
      </c>
      <c r="AI930" s="27" t="s">
        <v>8</v>
      </c>
      <c r="AJ930" s="27" t="s">
        <v>7</v>
      </c>
      <c r="AK930" s="27" t="s">
        <v>8</v>
      </c>
      <c r="AL930" s="27" t="s">
        <v>7</v>
      </c>
      <c r="AM930" s="27" t="s">
        <v>8</v>
      </c>
      <c r="AN930" s="27" t="s">
        <v>7</v>
      </c>
      <c r="AO930" s="27" t="s">
        <v>8</v>
      </c>
      <c r="AT930" s="27" t="s">
        <v>7</v>
      </c>
      <c r="AU930" s="27" t="s">
        <v>8</v>
      </c>
    </row>
    <row r="931" spans="1:47" x14ac:dyDescent="0.25">
      <c r="A931" s="7">
        <v>1.1003755042991001E-3</v>
      </c>
      <c r="B931"/>
      <c r="C931"/>
      <c r="D931"/>
      <c r="E931"/>
      <c r="J931" s="27" t="s">
        <v>7</v>
      </c>
      <c r="K931" s="27" t="s">
        <v>8</v>
      </c>
      <c r="AF931" s="27" t="s">
        <v>7</v>
      </c>
      <c r="AG931" s="27" t="s">
        <v>8</v>
      </c>
      <c r="AH931" s="27" t="s">
        <v>7</v>
      </c>
      <c r="AI931" s="27" t="s">
        <v>8</v>
      </c>
      <c r="AJ931" s="27" t="s">
        <v>7</v>
      </c>
      <c r="AK931" s="27" t="s">
        <v>8</v>
      </c>
      <c r="AL931" s="27" t="s">
        <v>7</v>
      </c>
      <c r="AN931" s="27" t="s">
        <v>7</v>
      </c>
      <c r="AO931" s="27" t="s">
        <v>8</v>
      </c>
      <c r="AT931" s="27" t="s">
        <v>7</v>
      </c>
      <c r="AU931" s="27" t="s">
        <v>8</v>
      </c>
    </row>
    <row r="932" spans="1:47" x14ac:dyDescent="0.25">
      <c r="A932" s="7">
        <v>1.0787995140187257E-3</v>
      </c>
      <c r="B932"/>
      <c r="C932"/>
      <c r="D932"/>
      <c r="E932"/>
      <c r="J932" s="27" t="s">
        <v>7</v>
      </c>
      <c r="K932" s="27" t="s">
        <v>8</v>
      </c>
      <c r="AF932" s="27" t="s">
        <v>7</v>
      </c>
      <c r="AG932" s="27" t="s">
        <v>8</v>
      </c>
      <c r="AH932" s="27" t="s">
        <v>7</v>
      </c>
      <c r="AI932" s="27" t="s">
        <v>8</v>
      </c>
      <c r="AJ932" s="27" t="s">
        <v>7</v>
      </c>
      <c r="AK932" s="27" t="s">
        <v>8</v>
      </c>
      <c r="AN932" s="27" t="s">
        <v>7</v>
      </c>
      <c r="AO932" s="27" t="s">
        <v>8</v>
      </c>
      <c r="AT932" s="27" t="s">
        <v>7</v>
      </c>
    </row>
    <row r="933" spans="1:47" x14ac:dyDescent="0.25">
      <c r="A933" s="7">
        <v>1.0576465823712996E-3</v>
      </c>
      <c r="B933"/>
      <c r="C933"/>
      <c r="D933"/>
      <c r="E933"/>
      <c r="J933" s="27" t="s">
        <v>7</v>
      </c>
      <c r="K933" s="27" t="s">
        <v>8</v>
      </c>
      <c r="AF933" s="27" t="s">
        <v>7</v>
      </c>
      <c r="AG933" s="27" t="s">
        <v>8</v>
      </c>
      <c r="AH933" s="27" t="s">
        <v>7</v>
      </c>
      <c r="AI933" s="27" t="s">
        <v>8</v>
      </c>
      <c r="AJ933" s="27" t="s">
        <v>7</v>
      </c>
      <c r="AK933" s="27" t="s">
        <v>8</v>
      </c>
      <c r="AN933" s="27" t="s">
        <v>7</v>
      </c>
      <c r="AO933" s="27" t="s">
        <v>8</v>
      </c>
    </row>
    <row r="934" spans="1:47" x14ac:dyDescent="0.25">
      <c r="A934" s="7">
        <v>1.0369084140895094E-3</v>
      </c>
      <c r="B934"/>
      <c r="C934"/>
      <c r="D934"/>
      <c r="E934"/>
      <c r="J934" s="27" t="s">
        <v>7</v>
      </c>
      <c r="K934" s="27" t="s">
        <v>8</v>
      </c>
      <c r="AF934" s="27" t="s">
        <v>7</v>
      </c>
      <c r="AG934" s="27" t="s">
        <v>8</v>
      </c>
      <c r="AH934" s="27" t="s">
        <v>7</v>
      </c>
      <c r="AI934" s="27" t="s">
        <v>8</v>
      </c>
      <c r="AJ934" s="27" t="s">
        <v>7</v>
      </c>
      <c r="AK934" s="27" t="s">
        <v>8</v>
      </c>
      <c r="AN934" s="27" t="s">
        <v>7</v>
      </c>
      <c r="AO934" s="27" t="s">
        <v>8</v>
      </c>
    </row>
    <row r="935" spans="1:47" x14ac:dyDescent="0.25">
      <c r="A935" s="7">
        <v>1.0165768765583426E-3</v>
      </c>
      <c r="B935"/>
      <c r="C935"/>
      <c r="D935"/>
      <c r="E935"/>
      <c r="J935" s="27" t="s">
        <v>7</v>
      </c>
      <c r="AF935" s="27" t="s">
        <v>7</v>
      </c>
      <c r="AG935" s="27" t="s">
        <v>8</v>
      </c>
      <c r="AH935" s="27" t="s">
        <v>7</v>
      </c>
      <c r="AI935" s="27" t="s">
        <v>8</v>
      </c>
      <c r="AJ935" s="27" t="s">
        <v>7</v>
      </c>
      <c r="AK935" s="27" t="s">
        <v>8</v>
      </c>
      <c r="AN935" s="27" t="s">
        <v>7</v>
      </c>
      <c r="AO935" s="27" t="s">
        <v>8</v>
      </c>
    </row>
    <row r="936" spans="1:47" x14ac:dyDescent="0.25">
      <c r="A936" s="7">
        <v>9.966439966258261E-4</v>
      </c>
      <c r="B936"/>
      <c r="C936"/>
      <c r="D936"/>
      <c r="E936"/>
      <c r="AF936" s="27" t="s">
        <v>7</v>
      </c>
      <c r="AG936" s="27" t="s">
        <v>8</v>
      </c>
      <c r="AH936" s="27" t="s">
        <v>7</v>
      </c>
      <c r="AI936" s="27" t="s">
        <v>8</v>
      </c>
      <c r="AJ936" s="27" t="s">
        <v>7</v>
      </c>
      <c r="AK936" s="27" t="s">
        <v>8</v>
      </c>
      <c r="AN936" s="27" t="s">
        <v>7</v>
      </c>
    </row>
    <row r="937" spans="1:47" x14ac:dyDescent="0.25">
      <c r="AF937" s="27" t="s">
        <v>7</v>
      </c>
      <c r="AH937" s="27" t="s">
        <v>7</v>
      </c>
      <c r="AJ937" s="27" t="s">
        <v>7</v>
      </c>
    </row>
  </sheetData>
  <conditionalFormatting sqref="C27">
    <cfRule type="cellIs" dxfId="90" priority="1145" operator="equal">
      <formula>$U$1</formula>
    </cfRule>
    <cfRule type="cellIs" dxfId="89" priority="1146" operator="equal">
      <formula>$S$1</formula>
    </cfRule>
  </conditionalFormatting>
  <conditionalFormatting sqref="D27">
    <cfRule type="cellIs" dxfId="88" priority="1143" operator="equal">
      <formula>$S$1</formula>
    </cfRule>
    <cfRule type="cellIs" dxfId="87" priority="1144" operator="equal">
      <formula>$U$1</formula>
    </cfRule>
  </conditionalFormatting>
  <conditionalFormatting sqref="C164">
    <cfRule type="cellIs" dxfId="86" priority="1141" operator="equal">
      <formula>$U$1</formula>
    </cfRule>
    <cfRule type="cellIs" dxfId="85" priority="1142" operator="equal">
      <formula>$S$1</formula>
    </cfRule>
  </conditionalFormatting>
  <conditionalFormatting sqref="D164">
    <cfRule type="cellIs" dxfId="84" priority="1139" operator="equal">
      <formula>$S$1</formula>
    </cfRule>
    <cfRule type="cellIs" dxfId="83" priority="1140" operator="equal">
      <formula>$U$1</formula>
    </cfRule>
  </conditionalFormatting>
  <conditionalFormatting sqref="C55">
    <cfRule type="cellIs" dxfId="82" priority="1137" operator="equal">
      <formula>$U$1</formula>
    </cfRule>
    <cfRule type="cellIs" dxfId="81" priority="1138" operator="equal">
      <formula>$S$1</formula>
    </cfRule>
  </conditionalFormatting>
  <conditionalFormatting sqref="D55">
    <cfRule type="cellIs" dxfId="80" priority="1135" operator="equal">
      <formula>$S$1</formula>
    </cfRule>
    <cfRule type="cellIs" dxfId="79" priority="1136" operator="equal">
      <formula>$U$1</formula>
    </cfRule>
  </conditionalFormatting>
  <conditionalFormatting sqref="C89">
    <cfRule type="cellIs" dxfId="78" priority="1133" operator="equal">
      <formula>$U$1</formula>
    </cfRule>
    <cfRule type="cellIs" dxfId="77" priority="1134" operator="equal">
      <formula>$S$1</formula>
    </cfRule>
  </conditionalFormatting>
  <conditionalFormatting sqref="D89">
    <cfRule type="cellIs" dxfId="76" priority="1131" operator="equal">
      <formula>$S$1</formula>
    </cfRule>
    <cfRule type="cellIs" dxfId="75" priority="1132" operator="equal">
      <formula>$U$1</formula>
    </cfRule>
  </conditionalFormatting>
  <conditionalFormatting sqref="C136">
    <cfRule type="cellIs" dxfId="74" priority="1129" operator="equal">
      <formula>$U$1</formula>
    </cfRule>
    <cfRule type="cellIs" dxfId="73" priority="1130" operator="equal">
      <formula>$S$1</formula>
    </cfRule>
  </conditionalFormatting>
  <conditionalFormatting sqref="D136">
    <cfRule type="cellIs" dxfId="72" priority="1127" operator="equal">
      <formula>$S$1</formula>
    </cfRule>
    <cfRule type="cellIs" dxfId="71" priority="1128" operator="equal">
      <formula>$U$1</formula>
    </cfRule>
  </conditionalFormatting>
  <conditionalFormatting sqref="C1">
    <cfRule type="cellIs" dxfId="70" priority="1126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52" zoomScale="85" zoomScaleNormal="85" workbookViewId="0">
      <pane xSplit="4" topLeftCell="CI1" activePane="topRight" state="frozen"/>
      <selection activeCell="A109" sqref="A109"/>
      <selection pane="topRight" activeCell="GN247" sqref="GN247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$A$246</v>
      </c>
      <c r="D111" s="1" t="str">
        <f>ADDRESS(C121-1,D121,1,1)</f>
        <v>$GN$246</v>
      </c>
      <c r="E111"/>
    </row>
    <row r="112" spans="1:5" x14ac:dyDescent="0.25">
      <c r="A112" s="30">
        <v>515.50191262726139</v>
      </c>
      <c r="C112" s="1" t="str">
        <f>ADDRESS(C121,1,1,1)</f>
        <v>$A$247</v>
      </c>
      <c r="D112" s="1" t="str">
        <f>ADDRESS(C121,D121-1,1,1)</f>
        <v>$GM$247</v>
      </c>
      <c r="E112"/>
    </row>
    <row r="113" spans="1:5" x14ac:dyDescent="0.25">
      <c r="A113" s="30">
        <v>490.95420250215363</v>
      </c>
      <c r="C113" s="1" t="str">
        <f>ADDRESS(C121+1,1,1,1)</f>
        <v>$A$248</v>
      </c>
      <c r="D113" s="1" t="str">
        <f>ADDRESS(C121-1,D121+1,1,1)</f>
        <v>$GO$246</v>
      </c>
    </row>
    <row r="114" spans="1:5" x14ac:dyDescent="0.25">
      <c r="A114" s="30">
        <v>467.57543095443202</v>
      </c>
      <c r="C114" s="1" t="str">
        <f>ADDRESS(C121,D121,1,1)</f>
        <v>$GN$247</v>
      </c>
      <c r="D114" s="1" t="str">
        <f>ADDRESS(C121+1,D121+1,1,1)</f>
        <v>$GO$248</v>
      </c>
    </row>
    <row r="115" spans="1:5" x14ac:dyDescent="0.25">
      <c r="A115" s="30">
        <v>445.30993424231622</v>
      </c>
      <c r="C115" s="1" t="str">
        <f>ADDRESS(C121+1,D121,1,1)</f>
        <v>$GN$248</v>
      </c>
    </row>
    <row r="116" spans="1:5" x14ac:dyDescent="0.25">
      <c r="A116" s="30">
        <v>424.10469927839637</v>
      </c>
      <c r="C116" s="1">
        <f>C117-1</f>
        <v>246</v>
      </c>
    </row>
    <row r="117" spans="1:5" x14ac:dyDescent="0.25">
      <c r="A117" s="30">
        <v>403.9092374079965</v>
      </c>
      <c r="C117" s="1">
        <f>C121</f>
        <v>247</v>
      </c>
      <c r="D117" s="1">
        <f>D121</f>
        <v>196</v>
      </c>
    </row>
    <row r="118" spans="1:5" x14ac:dyDescent="0.25">
      <c r="A118" s="30">
        <v>384.6754641980919</v>
      </c>
      <c r="C118" s="1">
        <f>C117+1</f>
        <v>248</v>
      </c>
      <c r="D118" s="1">
        <f>D117+1</f>
        <v>197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247</v>
      </c>
      <c r="D121" s="19">
        <v>196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R247</v>
      </c>
      <c r="D123" s="1" t="str">
        <f>"C"&amp;D121</f>
        <v>C196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0.71068133013011958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95" x14ac:dyDescent="0.25">
      <c r="A193" s="30">
        <v>9.9059710923258422</v>
      </c>
      <c r="E193"/>
    </row>
    <row r="194" spans="1:95" x14ac:dyDescent="0.25">
      <c r="A194" s="30">
        <v>9.4342581831674686</v>
      </c>
      <c r="E194"/>
    </row>
    <row r="195" spans="1:95" x14ac:dyDescent="0.25">
      <c r="A195" s="30">
        <v>8.9850077934928265</v>
      </c>
      <c r="E195"/>
    </row>
    <row r="196" spans="1:95" x14ac:dyDescent="0.25">
      <c r="A196" s="30">
        <v>8.5571502795169767</v>
      </c>
      <c r="E196"/>
    </row>
    <row r="197" spans="1:95" x14ac:dyDescent="0.25">
      <c r="A197" s="30">
        <v>8.1496669328733109</v>
      </c>
      <c r="E197"/>
    </row>
    <row r="198" spans="1:95" x14ac:dyDescent="0.25">
      <c r="A198" s="30">
        <v>7.7615875551174378</v>
      </c>
      <c r="E198"/>
    </row>
    <row r="199" spans="1:95" x14ac:dyDescent="0.25">
      <c r="A199" s="30">
        <v>7.3919881477308929</v>
      </c>
      <c r="E199"/>
    </row>
    <row r="200" spans="1:95" x14ac:dyDescent="0.25">
      <c r="A200" s="30">
        <v>7.0399887121246598</v>
      </c>
      <c r="E200"/>
    </row>
    <row r="201" spans="1:95" x14ac:dyDescent="0.25">
      <c r="A201" s="30">
        <v>6.7047511544044376</v>
      </c>
      <c r="E201"/>
    </row>
    <row r="202" spans="1:95" x14ac:dyDescent="0.25">
      <c r="A202" s="30">
        <v>6.3854772899089882</v>
      </c>
      <c r="E202"/>
    </row>
    <row r="203" spans="1:95" x14ac:dyDescent="0.25">
      <c r="A203" s="30">
        <v>6.0814069427704647</v>
      </c>
      <c r="C203" s="7"/>
      <c r="D203"/>
      <c r="E203"/>
    </row>
    <row r="204" spans="1:95" x14ac:dyDescent="0.25">
      <c r="A204" s="30">
        <v>5.7918161359718709</v>
      </c>
      <c r="E204"/>
    </row>
    <row r="205" spans="1:95" x14ac:dyDescent="0.25">
      <c r="A205" s="30">
        <v>5.5160153675922574</v>
      </c>
      <c r="E205"/>
    </row>
    <row r="206" spans="1:95" x14ac:dyDescent="0.25">
      <c r="A206" s="30">
        <v>5.2533479691354827</v>
      </c>
      <c r="C206"/>
      <c r="D206"/>
      <c r="E206"/>
    </row>
    <row r="207" spans="1:95" x14ac:dyDescent="0.25">
      <c r="A207" s="30">
        <v>5.0031885420337927</v>
      </c>
      <c r="E207"/>
    </row>
    <row r="208" spans="1:95" x14ac:dyDescent="0.25">
      <c r="A208" s="30">
        <v>4.7649414686036122</v>
      </c>
      <c r="E208"/>
      <c r="CQ208" s="27" t="s">
        <v>8</v>
      </c>
    </row>
    <row r="209" spans="1:173" x14ac:dyDescent="0.25">
      <c r="A209" s="30">
        <v>4.5380394939082018</v>
      </c>
      <c r="E209"/>
      <c r="CQ209" s="27" t="s">
        <v>8</v>
      </c>
      <c r="CR209" s="27" t="s">
        <v>7</v>
      </c>
    </row>
    <row r="210" spans="1:173" x14ac:dyDescent="0.25">
      <c r="A210" s="30">
        <v>4.3219423751506678</v>
      </c>
      <c r="C210"/>
      <c r="E210"/>
      <c r="CQ210" s="27" t="s">
        <v>8</v>
      </c>
      <c r="CR210" s="27" t="s">
        <v>7</v>
      </c>
    </row>
    <row r="211" spans="1:173" x14ac:dyDescent="0.25">
      <c r="A211" s="30">
        <v>4.1161355953815884</v>
      </c>
      <c r="E211"/>
      <c r="CQ211" s="27" t="s">
        <v>8</v>
      </c>
      <c r="CR211" s="27" t="s">
        <v>7</v>
      </c>
    </row>
    <row r="212" spans="1:173" x14ac:dyDescent="0.25">
      <c r="A212" s="30">
        <v>3.9201291384586554</v>
      </c>
      <c r="E212"/>
      <c r="CQ212" s="27" t="s">
        <v>8</v>
      </c>
      <c r="CR212" s="27" t="s">
        <v>7</v>
      </c>
    </row>
    <row r="213" spans="1:173" x14ac:dyDescent="0.25">
      <c r="A213" s="30">
        <v>3.7334563223415764</v>
      </c>
      <c r="E213"/>
      <c r="CQ213" s="27" t="s">
        <v>8</v>
      </c>
      <c r="CR213" s="27" t="s">
        <v>7</v>
      </c>
    </row>
    <row r="214" spans="1:173" x14ac:dyDescent="0.25">
      <c r="A214" s="30">
        <v>3.5556726879443583</v>
      </c>
      <c r="E214"/>
      <c r="CQ214" s="27" t="s">
        <v>8</v>
      </c>
      <c r="CR214" s="27" t="s">
        <v>7</v>
      </c>
    </row>
    <row r="215" spans="1:173" x14ac:dyDescent="0.25">
      <c r="A215" s="30">
        <v>3.3863549408993889</v>
      </c>
      <c r="E215"/>
      <c r="CQ215" s="27" t="s">
        <v>8</v>
      </c>
      <c r="CR215" s="27" t="s">
        <v>7</v>
      </c>
      <c r="CU215" s="27" t="s">
        <v>8</v>
      </c>
    </row>
    <row r="216" spans="1:173" x14ac:dyDescent="0.25">
      <c r="A216" s="30">
        <v>3.2250999437137038</v>
      </c>
      <c r="E216"/>
      <c r="CQ216" s="27" t="s">
        <v>8</v>
      </c>
      <c r="CR216" s="27" t="s">
        <v>7</v>
      </c>
      <c r="CU216" s="27" t="s">
        <v>8</v>
      </c>
      <c r="CV216" s="27" t="s">
        <v>7</v>
      </c>
    </row>
    <row r="217" spans="1:173" x14ac:dyDescent="0.25">
      <c r="A217" s="30">
        <v>3.0715237559178128</v>
      </c>
      <c r="E217"/>
      <c r="CQ217" s="27" t="s">
        <v>8</v>
      </c>
      <c r="CR217" s="27" t="s">
        <v>7</v>
      </c>
      <c r="CU217" s="27" t="s">
        <v>8</v>
      </c>
      <c r="CV217" s="27" t="s">
        <v>7</v>
      </c>
    </row>
    <row r="218" spans="1:173" x14ac:dyDescent="0.25">
      <c r="A218" s="30">
        <v>2.9252607199217264</v>
      </c>
      <c r="E218"/>
      <c r="CQ218" s="27" t="s">
        <v>8</v>
      </c>
      <c r="CR218" s="27" t="s">
        <v>7</v>
      </c>
      <c r="CS218" s="27" t="s">
        <v>8</v>
      </c>
      <c r="CU218" s="27" t="s">
        <v>8</v>
      </c>
      <c r="CV218" s="27" t="s">
        <v>7</v>
      </c>
    </row>
    <row r="219" spans="1:173" x14ac:dyDescent="0.25">
      <c r="A219" s="30">
        <v>2.7859625904016441</v>
      </c>
      <c r="E219"/>
      <c r="CQ219" s="27" t="s">
        <v>8</v>
      </c>
      <c r="CR219" s="27" t="s">
        <v>7</v>
      </c>
      <c r="CS219" s="27" t="s">
        <v>8</v>
      </c>
      <c r="CT219" s="27" t="s">
        <v>7</v>
      </c>
      <c r="CU219" s="27" t="s">
        <v>8</v>
      </c>
      <c r="CV219" s="27" t="s">
        <v>7</v>
      </c>
    </row>
    <row r="220" spans="1:173" x14ac:dyDescent="0.25">
      <c r="A220" s="30">
        <v>2.6532977051444226</v>
      </c>
      <c r="E220"/>
      <c r="CQ220" s="27" t="s">
        <v>8</v>
      </c>
      <c r="CR220" s="27" t="s">
        <v>7</v>
      </c>
      <c r="CS220" s="27" t="s">
        <v>8</v>
      </c>
      <c r="CT220" s="27" t="s">
        <v>7</v>
      </c>
      <c r="CU220" s="27" t="s">
        <v>8</v>
      </c>
      <c r="CV220" s="27" t="s">
        <v>7</v>
      </c>
    </row>
    <row r="221" spans="1:173" x14ac:dyDescent="0.25">
      <c r="A221" s="30">
        <v>2.5269501953756404</v>
      </c>
      <c r="E221"/>
      <c r="CQ221" s="27" t="s">
        <v>8</v>
      </c>
      <c r="CR221" s="27" t="s">
        <v>7</v>
      </c>
      <c r="CT221" s="27" t="s">
        <v>7</v>
      </c>
      <c r="CU221" s="27" t="s">
        <v>8</v>
      </c>
      <c r="CV221" s="27" t="s">
        <v>7</v>
      </c>
    </row>
    <row r="222" spans="1:173" x14ac:dyDescent="0.25">
      <c r="A222" s="30">
        <v>2.4066192336910861</v>
      </c>
      <c r="E222"/>
      <c r="CQ222" s="27" t="s">
        <v>8</v>
      </c>
      <c r="CT222" s="27" t="s">
        <v>7</v>
      </c>
      <c r="CU222" s="27" t="s">
        <v>8</v>
      </c>
      <c r="CV222" s="27" t="s">
        <v>7</v>
      </c>
    </row>
    <row r="223" spans="1:173" x14ac:dyDescent="0.25">
      <c r="A223" s="30">
        <v>2.2920183178010345</v>
      </c>
      <c r="E223"/>
      <c r="CQ223" s="27" t="s">
        <v>8</v>
      </c>
      <c r="CT223" s="27" t="s">
        <v>7</v>
      </c>
      <c r="CU223" s="27" t="s">
        <v>8</v>
      </c>
      <c r="CV223" s="27" t="s">
        <v>7</v>
      </c>
      <c r="CW223" s="27" t="s">
        <v>8</v>
      </c>
    </row>
    <row r="224" spans="1:173" x14ac:dyDescent="0.25">
      <c r="A224" s="30">
        <v>2.1828745883819374</v>
      </c>
      <c r="E224"/>
      <c r="CQ224" s="27" t="s">
        <v>8</v>
      </c>
      <c r="CT224" s="27" t="s">
        <v>7</v>
      </c>
      <c r="CU224" s="27" t="s">
        <v>8</v>
      </c>
      <c r="CV224" s="27" t="s">
        <v>7</v>
      </c>
      <c r="CW224" s="27" t="s">
        <v>8</v>
      </c>
      <c r="CX224" s="27" t="s">
        <v>7</v>
      </c>
      <c r="FQ224" s="27" t="s">
        <v>8</v>
      </c>
    </row>
    <row r="225" spans="1:194" x14ac:dyDescent="0.25">
      <c r="A225" s="30">
        <v>2.0789281794113688</v>
      </c>
      <c r="E225"/>
      <c r="CQ225" s="27" t="s">
        <v>8</v>
      </c>
      <c r="CT225" s="27" t="s">
        <v>7</v>
      </c>
      <c r="CU225" s="27" t="s">
        <v>8</v>
      </c>
      <c r="CV225" s="27" t="s">
        <v>7</v>
      </c>
      <c r="CW225" s="27" t="s">
        <v>8</v>
      </c>
      <c r="CX225" s="27" t="s">
        <v>7</v>
      </c>
      <c r="CY225" s="27" t="s">
        <v>8</v>
      </c>
      <c r="FQ225" s="27" t="s">
        <v>8</v>
      </c>
      <c r="FR225" s="27" t="s">
        <v>7</v>
      </c>
    </row>
    <row r="226" spans="1:194" x14ac:dyDescent="0.25">
      <c r="A226" s="30">
        <v>1.9799315994393987</v>
      </c>
      <c r="E226"/>
      <c r="CQ226" s="27" t="s">
        <v>8</v>
      </c>
      <c r="CT226" s="27" t="s">
        <v>7</v>
      </c>
      <c r="CU226" s="27" t="s">
        <v>8</v>
      </c>
      <c r="CV226" s="27" t="s">
        <v>7</v>
      </c>
      <c r="CX226" s="27" t="s">
        <v>7</v>
      </c>
      <c r="CY226" s="27" t="s">
        <v>8</v>
      </c>
      <c r="CZ226" s="27" t="s">
        <v>7</v>
      </c>
      <c r="FQ226" s="27" t="s">
        <v>8</v>
      </c>
      <c r="FR226" s="27" t="s">
        <v>7</v>
      </c>
    </row>
    <row r="227" spans="1:194" x14ac:dyDescent="0.25">
      <c r="A227" s="30">
        <v>1.8856491423232367</v>
      </c>
      <c r="E227"/>
      <c r="CQ227" s="27" t="s">
        <v>8</v>
      </c>
      <c r="CT227" s="27" t="s">
        <v>7</v>
      </c>
      <c r="CU227" s="27" t="s">
        <v>8</v>
      </c>
      <c r="CX227" s="27" t="s">
        <v>7</v>
      </c>
      <c r="CY227" s="27" t="s">
        <v>8</v>
      </c>
      <c r="CZ227" s="27" t="s">
        <v>7</v>
      </c>
      <c r="FQ227" s="27" t="s">
        <v>8</v>
      </c>
      <c r="FR227" s="27" t="s">
        <v>7</v>
      </c>
    </row>
    <row r="228" spans="1:194" x14ac:dyDescent="0.25">
      <c r="A228" s="30">
        <v>1.7958563260221301</v>
      </c>
      <c r="C228" s="7"/>
      <c r="D228"/>
      <c r="E228"/>
      <c r="CQ228" s="27" t="s">
        <v>8</v>
      </c>
      <c r="CT228" s="27" t="s">
        <v>7</v>
      </c>
      <c r="CU228" s="27" t="s">
        <v>8</v>
      </c>
      <c r="CX228" s="27" t="s">
        <v>7</v>
      </c>
      <c r="CY228" s="27" t="s">
        <v>8</v>
      </c>
      <c r="CZ228" s="27" t="s">
        <v>7</v>
      </c>
      <c r="DE228" s="27" t="s">
        <v>8</v>
      </c>
      <c r="FQ228" s="27" t="s">
        <v>8</v>
      </c>
      <c r="FR228" s="27" t="s">
        <v>7</v>
      </c>
    </row>
    <row r="229" spans="1:194" x14ac:dyDescent="0.25">
      <c r="A229" s="30">
        <v>1.7103393581163142</v>
      </c>
      <c r="E229"/>
      <c r="CQ229" s="27" t="s">
        <v>8</v>
      </c>
      <c r="CT229" s="27" t="s">
        <v>7</v>
      </c>
      <c r="CX229" s="27" t="s">
        <v>7</v>
      </c>
      <c r="CY229" s="27" t="s">
        <v>8</v>
      </c>
      <c r="CZ229" s="27" t="s">
        <v>7</v>
      </c>
      <c r="DE229" s="27" t="s">
        <v>8</v>
      </c>
      <c r="DF229" s="27" t="s">
        <v>7</v>
      </c>
      <c r="FQ229" s="27" t="s">
        <v>8</v>
      </c>
      <c r="FR229" s="27" t="s">
        <v>7</v>
      </c>
    </row>
    <row r="230" spans="1:194" x14ac:dyDescent="0.25">
      <c r="A230" s="30">
        <v>1.628894626777442</v>
      </c>
      <c r="E230"/>
      <c r="CQ230" s="27" t="s">
        <v>8</v>
      </c>
      <c r="CX230" s="27" t="s">
        <v>7</v>
      </c>
      <c r="CY230" s="27" t="s">
        <v>8</v>
      </c>
      <c r="CZ230" s="27" t="s">
        <v>7</v>
      </c>
      <c r="DC230" s="27" t="s">
        <v>8</v>
      </c>
      <c r="DE230" s="27" t="s">
        <v>8</v>
      </c>
      <c r="DF230" s="27" t="s">
        <v>7</v>
      </c>
      <c r="DG230" s="27" t="s">
        <v>8</v>
      </c>
      <c r="FQ230" s="27" t="s">
        <v>8</v>
      </c>
      <c r="FR230" s="27" t="s">
        <v>7</v>
      </c>
    </row>
    <row r="231" spans="1:194" x14ac:dyDescent="0.25">
      <c r="A231" s="30">
        <v>1.5513282159785162</v>
      </c>
      <c r="C231"/>
      <c r="D231"/>
      <c r="E231"/>
      <c r="CQ231" s="27" t="s">
        <v>8</v>
      </c>
      <c r="CX231" s="27" t="s">
        <v>7</v>
      </c>
      <c r="CZ231" s="27" t="s">
        <v>7</v>
      </c>
      <c r="DC231" s="27" t="s">
        <v>8</v>
      </c>
      <c r="DD231" s="27" t="s">
        <v>7</v>
      </c>
      <c r="DE231" s="27" t="s">
        <v>8</v>
      </c>
      <c r="DF231" s="27" t="s">
        <v>7</v>
      </c>
      <c r="DG231" s="27" t="s">
        <v>8</v>
      </c>
      <c r="DH231" s="27" t="s">
        <v>7</v>
      </c>
      <c r="FQ231" s="27" t="s">
        <v>8</v>
      </c>
      <c r="FR231" s="27" t="s">
        <v>7</v>
      </c>
      <c r="FS231" s="27" t="s">
        <v>8</v>
      </c>
      <c r="GG231" s="27" t="s">
        <v>8</v>
      </c>
    </row>
    <row r="232" spans="1:194" x14ac:dyDescent="0.25">
      <c r="A232" s="30">
        <v>1.477455443789063</v>
      </c>
      <c r="E232"/>
      <c r="CQ232" s="27" t="s">
        <v>8</v>
      </c>
      <c r="CZ232" s="27" t="s">
        <v>7</v>
      </c>
      <c r="DC232" s="27" t="s">
        <v>8</v>
      </c>
      <c r="DD232" s="27" t="s">
        <v>7</v>
      </c>
      <c r="DE232" s="27" t="s">
        <v>8</v>
      </c>
      <c r="DF232" s="27" t="s">
        <v>7</v>
      </c>
      <c r="DG232" s="27" t="s">
        <v>8</v>
      </c>
      <c r="DH232" s="27" t="s">
        <v>7</v>
      </c>
      <c r="FQ232" s="27" t="s">
        <v>8</v>
      </c>
      <c r="FR232" s="27" t="s">
        <v>7</v>
      </c>
      <c r="FS232" s="27" t="s">
        <v>8</v>
      </c>
      <c r="FT232" s="27" t="s">
        <v>7</v>
      </c>
      <c r="FU232" s="27" t="s">
        <v>8</v>
      </c>
      <c r="GG232" s="27" t="s">
        <v>8</v>
      </c>
      <c r="GH232" s="27" t="s">
        <v>7</v>
      </c>
    </row>
    <row r="233" spans="1:194" x14ac:dyDescent="0.25">
      <c r="A233" s="30">
        <v>1.4071004226562505</v>
      </c>
      <c r="E233"/>
      <c r="CQ233" s="27" t="s">
        <v>8</v>
      </c>
      <c r="CZ233" s="27" t="s">
        <v>7</v>
      </c>
      <c r="DC233" s="27" t="s">
        <v>8</v>
      </c>
      <c r="DD233" s="27" t="s">
        <v>7</v>
      </c>
      <c r="DE233" s="27" t="s">
        <v>8</v>
      </c>
      <c r="DF233" s="27" t="s">
        <v>7</v>
      </c>
      <c r="DH233" s="27" t="s">
        <v>7</v>
      </c>
      <c r="FQ233" s="27" t="s">
        <v>8</v>
      </c>
      <c r="FR233" s="27" t="s">
        <v>7</v>
      </c>
      <c r="FS233" s="27" t="s">
        <v>8</v>
      </c>
      <c r="FT233" s="27" t="s">
        <v>7</v>
      </c>
      <c r="FU233" s="27" t="s">
        <v>8</v>
      </c>
      <c r="FV233" s="27" t="s">
        <v>7</v>
      </c>
      <c r="GG233" s="27" t="s">
        <v>8</v>
      </c>
      <c r="GH233" s="27" t="s">
        <v>7</v>
      </c>
    </row>
    <row r="234" spans="1:194" x14ac:dyDescent="0.25">
      <c r="A234" s="30">
        <v>1.3400956406250004</v>
      </c>
      <c r="E234"/>
      <c r="CQ234" s="27" t="s">
        <v>8</v>
      </c>
      <c r="CZ234" s="27" t="s">
        <v>7</v>
      </c>
      <c r="DA234" s="27" t="s">
        <v>8</v>
      </c>
      <c r="DC234" s="27" t="s">
        <v>8</v>
      </c>
      <c r="DD234" s="27" t="s">
        <v>7</v>
      </c>
      <c r="DH234" s="27" t="s">
        <v>7</v>
      </c>
      <c r="FQ234" s="27" t="s">
        <v>8</v>
      </c>
      <c r="FR234" s="27" t="s">
        <v>7</v>
      </c>
      <c r="FS234" s="27" t="s">
        <v>8</v>
      </c>
      <c r="FT234" s="27" t="s">
        <v>7</v>
      </c>
      <c r="FU234" s="27" t="s">
        <v>8</v>
      </c>
      <c r="FV234" s="27" t="s">
        <v>7</v>
      </c>
      <c r="FW234" s="27" t="s">
        <v>8</v>
      </c>
      <c r="GC234" s="27" t="s">
        <v>8</v>
      </c>
      <c r="GG234" s="27" t="s">
        <v>8</v>
      </c>
      <c r="GH234" s="27" t="s">
        <v>7</v>
      </c>
    </row>
    <row r="235" spans="1:194" x14ac:dyDescent="0.25">
      <c r="A235" s="30">
        <v>1.2762815625000004</v>
      </c>
      <c r="C235"/>
      <c r="E235"/>
      <c r="CQ235" s="27" t="s">
        <v>8</v>
      </c>
      <c r="CZ235" s="27" t="s">
        <v>7</v>
      </c>
      <c r="DA235" s="27" t="s">
        <v>8</v>
      </c>
      <c r="DB235" s="27" t="s">
        <v>7</v>
      </c>
      <c r="DC235" s="27" t="s">
        <v>8</v>
      </c>
      <c r="DH235" s="27" t="s">
        <v>7</v>
      </c>
      <c r="FQ235" s="27" t="s">
        <v>8</v>
      </c>
      <c r="FR235" s="27" t="s">
        <v>7</v>
      </c>
      <c r="FS235" s="27" t="s">
        <v>8</v>
      </c>
      <c r="FT235" s="27" t="s">
        <v>7</v>
      </c>
      <c r="FU235" s="27" t="s">
        <v>8</v>
      </c>
      <c r="FV235" s="27" t="s">
        <v>7</v>
      </c>
      <c r="FW235" s="27" t="s">
        <v>8</v>
      </c>
      <c r="FX235" s="27" t="s">
        <v>7</v>
      </c>
      <c r="GC235" s="27" t="s">
        <v>8</v>
      </c>
      <c r="GD235" s="27" t="s">
        <v>7</v>
      </c>
      <c r="GG235" s="27" t="s">
        <v>8</v>
      </c>
      <c r="GH235" s="27" t="s">
        <v>7</v>
      </c>
      <c r="GI235" s="27" t="s">
        <v>8</v>
      </c>
    </row>
    <row r="236" spans="1:194" x14ac:dyDescent="0.25">
      <c r="A236" s="30">
        <v>1.2155062500000002</v>
      </c>
      <c r="E236"/>
      <c r="CQ236" s="27" t="s">
        <v>8</v>
      </c>
      <c r="CZ236" s="27" t="s">
        <v>7</v>
      </c>
      <c r="DA236" s="27" t="s">
        <v>8</v>
      </c>
      <c r="DB236" s="27" t="s">
        <v>7</v>
      </c>
      <c r="DC236" s="27" t="s">
        <v>8</v>
      </c>
      <c r="DH236" s="27" t="s">
        <v>7</v>
      </c>
      <c r="FQ236" s="27" t="s">
        <v>8</v>
      </c>
      <c r="FR236" s="27" t="s">
        <v>7</v>
      </c>
      <c r="FS236" s="27" t="s">
        <v>8</v>
      </c>
      <c r="FT236" s="27" t="s">
        <v>7</v>
      </c>
      <c r="FU236" s="27" t="s">
        <v>8</v>
      </c>
      <c r="FV236" s="27" t="s">
        <v>7</v>
      </c>
      <c r="FW236" s="27" t="s">
        <v>8</v>
      </c>
      <c r="FX236" s="27" t="s">
        <v>7</v>
      </c>
      <c r="GC236" s="27" t="s">
        <v>8</v>
      </c>
      <c r="GD236" s="27" t="s">
        <v>7</v>
      </c>
      <c r="GG236" s="27" t="s">
        <v>8</v>
      </c>
      <c r="GH236" s="27" t="s">
        <v>7</v>
      </c>
      <c r="GI236" s="27" t="s">
        <v>8</v>
      </c>
      <c r="GJ236" s="27" t="s">
        <v>7</v>
      </c>
      <c r="GK236" s="27" t="s">
        <v>8</v>
      </c>
    </row>
    <row r="237" spans="1:19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CQ237" s="27" t="s">
        <v>8</v>
      </c>
      <c r="CZ237" s="27" t="s">
        <v>7</v>
      </c>
      <c r="DA237" s="27" t="s">
        <v>8</v>
      </c>
      <c r="DB237" s="27" t="s">
        <v>7</v>
      </c>
      <c r="DC237" s="27" t="s">
        <v>8</v>
      </c>
      <c r="DH237" s="27" t="s">
        <v>7</v>
      </c>
      <c r="FQ237" s="27" t="s">
        <v>8</v>
      </c>
      <c r="FR237" s="27" t="s">
        <v>7</v>
      </c>
      <c r="FS237" s="27" t="s">
        <v>8</v>
      </c>
      <c r="FT237" s="27" t="s">
        <v>7</v>
      </c>
      <c r="FU237" s="27" t="s">
        <v>8</v>
      </c>
      <c r="FV237" s="27" t="s">
        <v>7</v>
      </c>
      <c r="FW237" s="27" t="s">
        <v>8</v>
      </c>
      <c r="FX237" s="27" t="s">
        <v>7</v>
      </c>
      <c r="GC237" s="27" t="s">
        <v>8</v>
      </c>
      <c r="GD237" s="27" t="s">
        <v>7</v>
      </c>
      <c r="GE237" s="27" t="s">
        <v>8</v>
      </c>
      <c r="GG237" s="27" t="s">
        <v>8</v>
      </c>
      <c r="GH237" s="27" t="s">
        <v>7</v>
      </c>
      <c r="GI237" s="27" t="s">
        <v>8</v>
      </c>
      <c r="GJ237" s="27" t="s">
        <v>7</v>
      </c>
      <c r="GK237" s="27" t="s">
        <v>8</v>
      </c>
      <c r="GL237" s="27" t="s">
        <v>7</v>
      </c>
    </row>
    <row r="238" spans="1:194" x14ac:dyDescent="0.25">
      <c r="A238" s="30">
        <v>1.1025</v>
      </c>
      <c r="E238"/>
      <c r="CQ238" s="27" t="s">
        <v>8</v>
      </c>
      <c r="CZ238" s="27" t="s">
        <v>7</v>
      </c>
      <c r="DB238" s="27" t="s">
        <v>7</v>
      </c>
      <c r="DH238" s="27" t="s">
        <v>7</v>
      </c>
      <c r="FQ238" s="27" t="s">
        <v>8</v>
      </c>
      <c r="FR238" s="27" t="s">
        <v>7</v>
      </c>
      <c r="FS238" s="27" t="s">
        <v>8</v>
      </c>
      <c r="FT238" s="27" t="s">
        <v>7</v>
      </c>
      <c r="FU238" s="27" t="s">
        <v>8</v>
      </c>
      <c r="FV238" s="27" t="s">
        <v>7</v>
      </c>
      <c r="FW238" s="27" t="s">
        <v>8</v>
      </c>
      <c r="FX238" s="27" t="s">
        <v>7</v>
      </c>
      <c r="FY238" s="27" t="s">
        <v>8</v>
      </c>
      <c r="GC238" s="27" t="s">
        <v>8</v>
      </c>
      <c r="GD238" s="27" t="s">
        <v>7</v>
      </c>
      <c r="GE238" s="27" t="s">
        <v>8</v>
      </c>
      <c r="GF238" s="27" t="s">
        <v>7</v>
      </c>
      <c r="GG238" s="27" t="s">
        <v>8</v>
      </c>
      <c r="GH238" s="27" t="s">
        <v>7</v>
      </c>
      <c r="GJ238" s="27" t="s">
        <v>7</v>
      </c>
      <c r="GK238" s="27" t="s">
        <v>8</v>
      </c>
      <c r="GL238" s="27" t="s">
        <v>7</v>
      </c>
    </row>
    <row r="239" spans="1:194" x14ac:dyDescent="0.25">
      <c r="A239" s="30">
        <v>1.05</v>
      </c>
      <c r="E239"/>
      <c r="CQ239" s="27" t="s">
        <v>8</v>
      </c>
      <c r="DH239" s="27" t="s">
        <v>7</v>
      </c>
      <c r="FQ239" s="27" t="s">
        <v>8</v>
      </c>
      <c r="FR239" s="27" t="s">
        <v>7</v>
      </c>
      <c r="FS239" s="27" t="s">
        <v>8</v>
      </c>
      <c r="FT239" s="27" t="s">
        <v>7</v>
      </c>
      <c r="FU239" s="27" t="s">
        <v>8</v>
      </c>
      <c r="FV239" s="27" t="s">
        <v>7</v>
      </c>
      <c r="FW239" s="27" t="s">
        <v>8</v>
      </c>
      <c r="FX239" s="27" t="s">
        <v>7</v>
      </c>
      <c r="FY239" s="27" t="s">
        <v>8</v>
      </c>
      <c r="FZ239" s="27" t="s">
        <v>7</v>
      </c>
      <c r="GC239" s="27" t="s">
        <v>8</v>
      </c>
      <c r="GD239" s="27" t="s">
        <v>7</v>
      </c>
      <c r="GE239" s="27" t="s">
        <v>8</v>
      </c>
      <c r="GF239" s="27" t="s">
        <v>7</v>
      </c>
      <c r="GG239" s="27" t="s">
        <v>8</v>
      </c>
      <c r="GJ239" s="27" t="s">
        <v>7</v>
      </c>
      <c r="GK239" s="27" t="s">
        <v>8</v>
      </c>
      <c r="GL239" s="27" t="s">
        <v>7</v>
      </c>
    </row>
    <row r="240" spans="1:194" x14ac:dyDescent="0.25">
      <c r="A240" s="30">
        <v>1</v>
      </c>
      <c r="E240" s="29" t="s">
        <v>8</v>
      </c>
      <c r="CQ240" s="27" t="s">
        <v>8</v>
      </c>
      <c r="DH240" s="27" t="s">
        <v>7</v>
      </c>
      <c r="FQ240" s="27" t="s">
        <v>8</v>
      </c>
      <c r="FR240" s="27" t="s">
        <v>7</v>
      </c>
      <c r="FT240" s="27" t="s">
        <v>7</v>
      </c>
      <c r="FU240" s="27" t="s">
        <v>8</v>
      </c>
      <c r="FV240" s="27" t="s">
        <v>7</v>
      </c>
      <c r="FX240" s="27" t="s">
        <v>7</v>
      </c>
      <c r="FY240" s="27" t="s">
        <v>8</v>
      </c>
      <c r="FZ240" s="27" t="s">
        <v>7</v>
      </c>
      <c r="GC240" s="27" t="s">
        <v>8</v>
      </c>
      <c r="GD240" s="27" t="s">
        <v>7</v>
      </c>
      <c r="GE240" s="27" t="s">
        <v>8</v>
      </c>
      <c r="GF240" s="27" t="s">
        <v>7</v>
      </c>
      <c r="GJ240" s="27" t="s">
        <v>7</v>
      </c>
      <c r="GL240" s="27" t="s">
        <v>7</v>
      </c>
    </row>
    <row r="241" spans="1:196" x14ac:dyDescent="0.25">
      <c r="A241" s="30">
        <v>0.952380952380952</v>
      </c>
      <c r="B241"/>
      <c r="C241"/>
      <c r="D241"/>
      <c r="E241"/>
      <c r="F241" s="27" t="s">
        <v>7</v>
      </c>
      <c r="CQ241" s="27" t="s">
        <v>8</v>
      </c>
      <c r="DH241" s="27" t="s">
        <v>7</v>
      </c>
      <c r="EK241" s="27" t="s">
        <v>8</v>
      </c>
      <c r="EQ241" s="27" t="s">
        <v>8</v>
      </c>
      <c r="FI241" s="27" t="s">
        <v>8</v>
      </c>
      <c r="FQ241" s="27" t="s">
        <v>8</v>
      </c>
      <c r="FT241" s="27" t="s">
        <v>7</v>
      </c>
      <c r="FU241" s="27" t="s">
        <v>8</v>
      </c>
      <c r="FX241" s="27" t="s">
        <v>7</v>
      </c>
      <c r="FY241" s="27" t="s">
        <v>8</v>
      </c>
      <c r="FZ241" s="27" t="s">
        <v>7</v>
      </c>
      <c r="GC241" s="27" t="s">
        <v>8</v>
      </c>
      <c r="GD241" s="27" t="s">
        <v>7</v>
      </c>
      <c r="GE241" s="27" t="s">
        <v>8</v>
      </c>
      <c r="GL241" s="27" t="s">
        <v>7</v>
      </c>
    </row>
    <row r="242" spans="1:196" x14ac:dyDescent="0.25">
      <c r="A242" s="30">
        <v>0.90702947845804915</v>
      </c>
      <c r="B242"/>
      <c r="C242"/>
      <c r="D242"/>
      <c r="E242"/>
      <c r="F242" s="27" t="s">
        <v>7</v>
      </c>
      <c r="CQ242" s="27" t="s">
        <v>8</v>
      </c>
      <c r="DH242" s="27" t="s">
        <v>7</v>
      </c>
      <c r="EK242" s="27" t="s">
        <v>8</v>
      </c>
      <c r="EL242" s="27" t="s">
        <v>7</v>
      </c>
      <c r="EQ242" s="27" t="s">
        <v>8</v>
      </c>
      <c r="ER242" s="27" t="s">
        <v>7</v>
      </c>
      <c r="ES242" s="27" t="s">
        <v>8</v>
      </c>
      <c r="FI242" s="27" t="s">
        <v>8</v>
      </c>
      <c r="FJ242" s="27" t="s">
        <v>7</v>
      </c>
      <c r="FQ242" s="27" t="s">
        <v>8</v>
      </c>
      <c r="FT242" s="27" t="s">
        <v>7</v>
      </c>
      <c r="FX242" s="27" t="s">
        <v>7</v>
      </c>
      <c r="FY242" s="27" t="s">
        <v>8</v>
      </c>
      <c r="FZ242" s="27" t="s">
        <v>7</v>
      </c>
      <c r="GA242" s="27" t="s">
        <v>8</v>
      </c>
      <c r="GC242" s="27" t="s">
        <v>8</v>
      </c>
      <c r="GD242" s="27" t="s">
        <v>7</v>
      </c>
      <c r="GE242" s="27" t="s">
        <v>8</v>
      </c>
      <c r="GL242" s="27" t="s">
        <v>7</v>
      </c>
    </row>
    <row r="243" spans="1:196" x14ac:dyDescent="0.25">
      <c r="A243" s="30">
        <v>0.86383759853147501</v>
      </c>
      <c r="B243"/>
      <c r="C243"/>
      <c r="D243"/>
      <c r="E243"/>
      <c r="F243" s="27" t="s">
        <v>7</v>
      </c>
      <c r="CQ243" s="27" t="s">
        <v>8</v>
      </c>
      <c r="DH243" s="27" t="s">
        <v>7</v>
      </c>
      <c r="DQ243" s="27" t="s">
        <v>8</v>
      </c>
      <c r="EK243" s="27" t="s">
        <v>8</v>
      </c>
      <c r="EL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FI243" s="27" t="s">
        <v>8</v>
      </c>
      <c r="FJ243" s="27" t="s">
        <v>7</v>
      </c>
      <c r="FM243" s="27" t="s">
        <v>8</v>
      </c>
      <c r="FQ243" s="27" t="s">
        <v>8</v>
      </c>
      <c r="FX243" s="27" t="s">
        <v>7</v>
      </c>
      <c r="FY243" s="27" t="s">
        <v>8</v>
      </c>
      <c r="FZ243" s="27" t="s">
        <v>7</v>
      </c>
      <c r="GA243" s="27" t="s">
        <v>8</v>
      </c>
      <c r="GB243" s="27" t="s">
        <v>7</v>
      </c>
      <c r="GC243" s="27" t="s">
        <v>8</v>
      </c>
      <c r="GD243" s="27" t="s">
        <v>7</v>
      </c>
      <c r="GL243" s="27" t="s">
        <v>7</v>
      </c>
    </row>
    <row r="244" spans="1:196" x14ac:dyDescent="0.25">
      <c r="A244" s="30">
        <v>0.82270247479188063</v>
      </c>
      <c r="B244"/>
      <c r="C244"/>
      <c r="D244"/>
      <c r="E244"/>
      <c r="F244" s="27" t="s">
        <v>7</v>
      </c>
      <c r="CQ244" s="27" t="s">
        <v>8</v>
      </c>
      <c r="DH244" s="27" t="s">
        <v>7</v>
      </c>
      <c r="DQ244" s="27" t="s">
        <v>8</v>
      </c>
      <c r="DR244" s="27" t="s">
        <v>7</v>
      </c>
      <c r="EK244" s="27" t="s">
        <v>8</v>
      </c>
      <c r="EL244" s="27" t="s">
        <v>7</v>
      </c>
      <c r="EM244" s="27" t="s">
        <v>8</v>
      </c>
      <c r="EQ244" s="27" t="s">
        <v>8</v>
      </c>
      <c r="ER244" s="27" t="s">
        <v>7</v>
      </c>
      <c r="ES244" s="27" t="s">
        <v>8</v>
      </c>
      <c r="ET244" s="27" t="s">
        <v>7</v>
      </c>
      <c r="FI244" s="27" t="s">
        <v>8</v>
      </c>
      <c r="FJ244" s="27" t="s">
        <v>7</v>
      </c>
      <c r="FM244" s="27" t="s">
        <v>8</v>
      </c>
      <c r="FN244" s="27" t="s">
        <v>7</v>
      </c>
      <c r="FO244" s="27" t="s">
        <v>8</v>
      </c>
      <c r="FQ244" s="27" t="s">
        <v>8</v>
      </c>
      <c r="FX244" s="27" t="s">
        <v>7</v>
      </c>
      <c r="FY244" s="27" t="s">
        <v>8</v>
      </c>
      <c r="FZ244" s="27" t="s">
        <v>7</v>
      </c>
      <c r="GA244" s="27" t="s">
        <v>8</v>
      </c>
      <c r="GB244" s="27" t="s">
        <v>7</v>
      </c>
      <c r="GC244" s="27" t="s">
        <v>8</v>
      </c>
      <c r="GL244" s="27" t="s">
        <v>7</v>
      </c>
      <c r="GM244" s="27" t="s">
        <v>8</v>
      </c>
    </row>
    <row r="245" spans="1:196" x14ac:dyDescent="0.25">
      <c r="A245" s="30">
        <v>0.78352616646845741</v>
      </c>
      <c r="B245"/>
      <c r="C245"/>
      <c r="D245"/>
      <c r="E245"/>
      <c r="F245" s="27" t="s">
        <v>7</v>
      </c>
      <c r="CQ245" s="27" t="s">
        <v>8</v>
      </c>
      <c r="DH245" s="27" t="s">
        <v>7</v>
      </c>
      <c r="DQ245" s="27" t="s">
        <v>8</v>
      </c>
      <c r="DR245" s="27" t="s">
        <v>7</v>
      </c>
      <c r="EK245" s="27" t="s">
        <v>8</v>
      </c>
      <c r="EL245" s="27" t="s">
        <v>7</v>
      </c>
      <c r="EM245" s="27" t="s">
        <v>8</v>
      </c>
      <c r="EN245" s="27" t="s">
        <v>7</v>
      </c>
      <c r="EO245" s="27" t="s">
        <v>8</v>
      </c>
      <c r="EQ245" s="27" t="s">
        <v>8</v>
      </c>
      <c r="ER245" s="27" t="s">
        <v>7</v>
      </c>
      <c r="ES245" s="27" t="s">
        <v>8</v>
      </c>
      <c r="ET245" s="27" t="s">
        <v>7</v>
      </c>
      <c r="EW245" s="27" t="s">
        <v>8</v>
      </c>
      <c r="FE245" s="27" t="s">
        <v>8</v>
      </c>
      <c r="FG245" s="27" t="s">
        <v>8</v>
      </c>
      <c r="FI245" s="27" t="s">
        <v>8</v>
      </c>
      <c r="FJ245" s="27" t="s">
        <v>7</v>
      </c>
      <c r="FK245" s="27" t="s">
        <v>8</v>
      </c>
      <c r="FM245" s="27" t="s">
        <v>8</v>
      </c>
      <c r="FN245" s="27" t="s">
        <v>7</v>
      </c>
      <c r="FO245" s="27" t="s">
        <v>8</v>
      </c>
      <c r="FP245" s="27" t="s">
        <v>7</v>
      </c>
      <c r="FQ245" s="27" t="s">
        <v>8</v>
      </c>
      <c r="FX245" s="27" t="s">
        <v>7</v>
      </c>
      <c r="FY245" s="27" t="s">
        <v>8</v>
      </c>
      <c r="FZ245" s="27" t="s">
        <v>7</v>
      </c>
      <c r="GA245" s="27" t="s">
        <v>8</v>
      </c>
      <c r="GB245" s="27" t="s">
        <v>7</v>
      </c>
      <c r="GL245" s="27" t="s">
        <v>7</v>
      </c>
      <c r="GM245" s="27" t="s">
        <v>8</v>
      </c>
      <c r="GN245" s="27" t="s">
        <v>7</v>
      </c>
    </row>
    <row r="246" spans="1:196" x14ac:dyDescent="0.25">
      <c r="A246" s="30">
        <v>0.74621539663662584</v>
      </c>
      <c r="B246"/>
      <c r="C246"/>
      <c r="D246"/>
      <c r="E246"/>
      <c r="F246" s="27" t="s">
        <v>7</v>
      </c>
      <c r="CQ246" s="27" t="s">
        <v>8</v>
      </c>
      <c r="DH246" s="27" t="s">
        <v>7</v>
      </c>
      <c r="DI246" s="27" t="s">
        <v>8</v>
      </c>
      <c r="DQ246" s="27" t="s">
        <v>8</v>
      </c>
      <c r="DR246" s="27" t="s">
        <v>7</v>
      </c>
      <c r="DS246" s="27" t="s">
        <v>8</v>
      </c>
      <c r="DW246" s="27" t="s">
        <v>8</v>
      </c>
      <c r="EK246" s="27" t="s">
        <v>8</v>
      </c>
      <c r="EL246" s="27" t="s">
        <v>7</v>
      </c>
      <c r="EM246" s="27" t="s">
        <v>8</v>
      </c>
      <c r="EN246" s="27" t="s">
        <v>7</v>
      </c>
      <c r="EO246" s="27" t="s">
        <v>8</v>
      </c>
      <c r="EP246" s="27" t="s">
        <v>7</v>
      </c>
      <c r="EQ246" s="27" t="s">
        <v>8</v>
      </c>
      <c r="ER246" s="27" t="s">
        <v>7</v>
      </c>
      <c r="ET246" s="27" t="s">
        <v>7</v>
      </c>
      <c r="EW246" s="27" t="s">
        <v>8</v>
      </c>
      <c r="EX246" s="27" t="s">
        <v>7</v>
      </c>
      <c r="FE246" s="27" t="s">
        <v>8</v>
      </c>
      <c r="FF246" s="27" t="s">
        <v>7</v>
      </c>
      <c r="FG246" s="27" t="s">
        <v>8</v>
      </c>
      <c r="FH246" s="27" t="s">
        <v>7</v>
      </c>
      <c r="FI246" s="27" t="s">
        <v>8</v>
      </c>
      <c r="FJ246" s="27" t="s">
        <v>7</v>
      </c>
      <c r="FK246" s="27" t="s">
        <v>8</v>
      </c>
      <c r="FL246" s="27" t="s">
        <v>7</v>
      </c>
      <c r="FM246" s="27" t="s">
        <v>8</v>
      </c>
      <c r="FN246" s="27" t="s">
        <v>7</v>
      </c>
      <c r="FO246" s="27" t="s">
        <v>8</v>
      </c>
      <c r="FP246" s="27" t="s">
        <v>7</v>
      </c>
      <c r="FQ246" s="27" t="s">
        <v>8</v>
      </c>
      <c r="FX246" s="27" t="s">
        <v>7</v>
      </c>
      <c r="FZ246" s="27" t="s">
        <v>7</v>
      </c>
      <c r="GA246" s="27" t="s">
        <v>8</v>
      </c>
      <c r="GL246" s="27" t="s">
        <v>7</v>
      </c>
      <c r="GM246" s="27" t="s">
        <v>8</v>
      </c>
      <c r="GN246" s="27" t="s">
        <v>7</v>
      </c>
    </row>
    <row r="247" spans="1:196" x14ac:dyDescent="0.25">
      <c r="A247" s="30">
        <v>0.71068133013011958</v>
      </c>
      <c r="B247"/>
      <c r="C247"/>
      <c r="D247"/>
      <c r="E247"/>
      <c r="F247" s="27" t="s">
        <v>7</v>
      </c>
      <c r="CQ247" s="27" t="s">
        <v>8</v>
      </c>
      <c r="DH247" s="27" t="s">
        <v>7</v>
      </c>
      <c r="DI247" s="27" t="s">
        <v>8</v>
      </c>
      <c r="DJ247" s="27" t="s">
        <v>7</v>
      </c>
      <c r="DQ247" s="27" t="s">
        <v>8</v>
      </c>
      <c r="DR247" s="27" t="s">
        <v>7</v>
      </c>
      <c r="DS247" s="27" t="s">
        <v>8</v>
      </c>
      <c r="DT247" s="27" t="s">
        <v>7</v>
      </c>
      <c r="DW247" s="27" t="s">
        <v>8</v>
      </c>
      <c r="DX247" s="27" t="s">
        <v>7</v>
      </c>
      <c r="EK247" s="27" t="s">
        <v>8</v>
      </c>
      <c r="EL247" s="27" t="s">
        <v>7</v>
      </c>
      <c r="EM247" s="27" t="s">
        <v>8</v>
      </c>
      <c r="EN247" s="27" t="s">
        <v>7</v>
      </c>
      <c r="EO247" s="27" t="s">
        <v>8</v>
      </c>
      <c r="EP247" s="27" t="s">
        <v>7</v>
      </c>
      <c r="EQ247" s="27" t="s">
        <v>8</v>
      </c>
      <c r="ET247" s="27" t="s">
        <v>7</v>
      </c>
      <c r="EU247" s="27" t="s">
        <v>8</v>
      </c>
      <c r="EW247" s="27" t="s">
        <v>8</v>
      </c>
      <c r="EX247" s="27" t="s">
        <v>7</v>
      </c>
      <c r="FE247" s="27" t="s">
        <v>8</v>
      </c>
      <c r="FF247" s="27" t="s">
        <v>7</v>
      </c>
      <c r="FG247" s="27" t="s">
        <v>8</v>
      </c>
      <c r="FH247" s="27" t="s">
        <v>7</v>
      </c>
      <c r="FI247" s="27" t="s">
        <v>8</v>
      </c>
      <c r="FJ247" s="27" t="s">
        <v>7</v>
      </c>
      <c r="FK247" s="27" t="s">
        <v>8</v>
      </c>
      <c r="FL247" s="27" t="s">
        <v>7</v>
      </c>
      <c r="FM247" s="27" t="s">
        <v>8</v>
      </c>
      <c r="FN247" s="27" t="s">
        <v>7</v>
      </c>
      <c r="FP247" s="27" t="s">
        <v>7</v>
      </c>
      <c r="FQ247" s="27" t="s">
        <v>8</v>
      </c>
      <c r="FZ247" s="27" t="s">
        <v>7</v>
      </c>
      <c r="GL247" s="27" t="s">
        <v>7</v>
      </c>
      <c r="GM247" s="27" t="s">
        <v>8</v>
      </c>
      <c r="GN247" s="27" t="s">
        <v>7</v>
      </c>
    </row>
    <row r="248" spans="1:196" x14ac:dyDescent="0.25">
      <c r="A248" s="30">
        <v>0.676839362028685</v>
      </c>
      <c r="B248"/>
      <c r="C248"/>
      <c r="D248"/>
      <c r="E248"/>
      <c r="F248" s="27" t="s">
        <v>7</v>
      </c>
      <c r="CQ248" s="27" t="s">
        <v>8</v>
      </c>
      <c r="DH248" s="27" t="s">
        <v>7</v>
      </c>
      <c r="DI248" s="27" t="s">
        <v>8</v>
      </c>
      <c r="DJ248" s="27" t="s">
        <v>7</v>
      </c>
      <c r="DQ248" s="27" t="s">
        <v>8</v>
      </c>
      <c r="DR248" s="27" t="s">
        <v>7</v>
      </c>
      <c r="DS248" s="27" t="s">
        <v>8</v>
      </c>
      <c r="DT248" s="27" t="s">
        <v>7</v>
      </c>
      <c r="DW248" s="27" t="s">
        <v>8</v>
      </c>
      <c r="DX248" s="27" t="s">
        <v>7</v>
      </c>
      <c r="DY248" s="27" t="s">
        <v>8</v>
      </c>
      <c r="EK248" s="27" t="s">
        <v>8</v>
      </c>
      <c r="EL248" s="27" t="s">
        <v>7</v>
      </c>
      <c r="EM248" s="27" t="s">
        <v>8</v>
      </c>
      <c r="EN248" s="27" t="s">
        <v>7</v>
      </c>
      <c r="EO248" s="27" t="s">
        <v>8</v>
      </c>
      <c r="EP248" s="27" t="s">
        <v>7</v>
      </c>
      <c r="ET248" s="27" t="s">
        <v>7</v>
      </c>
      <c r="EU248" s="27" t="s">
        <v>8</v>
      </c>
      <c r="EV248" s="27" t="s">
        <v>7</v>
      </c>
      <c r="EW248" s="27" t="s">
        <v>8</v>
      </c>
      <c r="EX248" s="27" t="s">
        <v>7</v>
      </c>
      <c r="FE248" s="27" t="s">
        <v>8</v>
      </c>
      <c r="FF248" s="27" t="s">
        <v>7</v>
      </c>
      <c r="FG248" s="27" t="s">
        <v>8</v>
      </c>
      <c r="FH248" s="27" t="s">
        <v>7</v>
      </c>
      <c r="FJ248" s="27" t="s">
        <v>7</v>
      </c>
      <c r="FK248" s="27" t="s">
        <v>8</v>
      </c>
      <c r="FL248" s="27" t="s">
        <v>7</v>
      </c>
      <c r="FM248" s="27" t="s">
        <v>8</v>
      </c>
      <c r="FP248" s="27" t="s">
        <v>7</v>
      </c>
      <c r="FQ248" s="27" t="s">
        <v>8</v>
      </c>
      <c r="GL248" s="27" t="s">
        <v>7</v>
      </c>
    </row>
    <row r="249" spans="1:196" x14ac:dyDescent="0.25">
      <c r="A249" s="30">
        <v>0.64460891621779492</v>
      </c>
      <c r="B249"/>
      <c r="C249"/>
      <c r="D249"/>
      <c r="E249"/>
      <c r="F249" s="27" t="s">
        <v>7</v>
      </c>
      <c r="CQ249" s="27" t="s">
        <v>8</v>
      </c>
      <c r="DH249" s="27" t="s">
        <v>7</v>
      </c>
      <c r="DI249" s="27" t="s">
        <v>8</v>
      </c>
      <c r="DJ249" s="27" t="s">
        <v>7</v>
      </c>
      <c r="DQ249" s="27" t="s">
        <v>8</v>
      </c>
      <c r="DR249" s="27" t="s">
        <v>7</v>
      </c>
      <c r="DS249" s="27" t="s">
        <v>8</v>
      </c>
      <c r="DT249" s="27" t="s">
        <v>7</v>
      </c>
      <c r="DU249" s="27" t="s">
        <v>8</v>
      </c>
      <c r="DW249" s="27" t="s">
        <v>8</v>
      </c>
      <c r="DX249" s="27" t="s">
        <v>7</v>
      </c>
      <c r="DY249" s="27" t="s">
        <v>8</v>
      </c>
      <c r="DZ249" s="27" t="s">
        <v>7</v>
      </c>
      <c r="EK249" s="27" t="s">
        <v>8</v>
      </c>
      <c r="EL249" s="27" t="s">
        <v>7</v>
      </c>
      <c r="EM249" s="27" t="s">
        <v>8</v>
      </c>
      <c r="EN249" s="27" t="s">
        <v>7</v>
      </c>
      <c r="ET249" s="27" t="s">
        <v>7</v>
      </c>
      <c r="EU249" s="27" t="s">
        <v>8</v>
      </c>
      <c r="EV249" s="27" t="s">
        <v>7</v>
      </c>
      <c r="EW249" s="27" t="s">
        <v>8</v>
      </c>
      <c r="EX249" s="27" t="s">
        <v>7</v>
      </c>
      <c r="EY249" s="27" t="s">
        <v>8</v>
      </c>
      <c r="FA249" s="27" t="s">
        <v>8</v>
      </c>
      <c r="FC249" s="27" t="s">
        <v>8</v>
      </c>
      <c r="FE249" s="27" t="s">
        <v>8</v>
      </c>
      <c r="FF249" s="27" t="s">
        <v>7</v>
      </c>
      <c r="FG249" s="27" t="s">
        <v>8</v>
      </c>
      <c r="FJ249" s="27" t="s">
        <v>7</v>
      </c>
      <c r="FK249" s="27" t="s">
        <v>8</v>
      </c>
      <c r="FL249" s="27" t="s">
        <v>7</v>
      </c>
      <c r="FM249" s="27" t="s">
        <v>8</v>
      </c>
      <c r="FP249" s="27" t="s">
        <v>7</v>
      </c>
    </row>
    <row r="250" spans="1:196" x14ac:dyDescent="0.25">
      <c r="A250" s="30">
        <v>0.61391325354075688</v>
      </c>
      <c r="B250"/>
      <c r="C250"/>
      <c r="D250"/>
      <c r="E250"/>
      <c r="F250" s="27" t="s">
        <v>7</v>
      </c>
      <c r="CQ250" s="27" t="s">
        <v>8</v>
      </c>
      <c r="DH250" s="27" t="s">
        <v>7</v>
      </c>
      <c r="DI250" s="27" t="s">
        <v>8</v>
      </c>
      <c r="DJ250" s="27" t="s">
        <v>7</v>
      </c>
      <c r="DK250" s="27" t="s">
        <v>8</v>
      </c>
      <c r="DO250" s="27" t="s">
        <v>8</v>
      </c>
      <c r="DQ250" s="27" t="s">
        <v>8</v>
      </c>
      <c r="DR250" s="27" t="s">
        <v>7</v>
      </c>
      <c r="DT250" s="27" t="s">
        <v>7</v>
      </c>
      <c r="DU250" s="27" t="s">
        <v>8</v>
      </c>
      <c r="DV250" s="27" t="s">
        <v>7</v>
      </c>
      <c r="DW250" s="27" t="s">
        <v>8</v>
      </c>
      <c r="DX250" s="27" t="s">
        <v>7</v>
      </c>
      <c r="DY250" s="27" t="s">
        <v>8</v>
      </c>
      <c r="DZ250" s="27" t="s">
        <v>7</v>
      </c>
      <c r="EK250" s="27" t="s">
        <v>8</v>
      </c>
      <c r="EL250" s="27" t="s">
        <v>7</v>
      </c>
      <c r="EM250" s="27" t="s">
        <v>8</v>
      </c>
      <c r="ET250" s="27" t="s">
        <v>7</v>
      </c>
      <c r="EV250" s="27" t="s">
        <v>7</v>
      </c>
      <c r="EX250" s="27" t="s">
        <v>7</v>
      </c>
      <c r="EY250" s="27" t="s">
        <v>8</v>
      </c>
      <c r="EZ250" s="27" t="s">
        <v>7</v>
      </c>
      <c r="FA250" s="27" t="s">
        <v>8</v>
      </c>
      <c r="FB250" s="27" t="s">
        <v>7</v>
      </c>
      <c r="FC250" s="27" t="s">
        <v>8</v>
      </c>
      <c r="FD250" s="27" t="s">
        <v>7</v>
      </c>
      <c r="FE250" s="27" t="s">
        <v>8</v>
      </c>
      <c r="FF250" s="27" t="s">
        <v>7</v>
      </c>
      <c r="FJ250" s="27" t="s">
        <v>7</v>
      </c>
      <c r="FK250" s="27" t="s">
        <v>8</v>
      </c>
      <c r="FL250" s="27" t="s">
        <v>7</v>
      </c>
    </row>
    <row r="251" spans="1:196" x14ac:dyDescent="0.25">
      <c r="A251" s="30">
        <v>0.58467928908643485</v>
      </c>
      <c r="B251"/>
      <c r="C251"/>
      <c r="D251"/>
      <c r="E251"/>
      <c r="F251" s="27" t="s">
        <v>7</v>
      </c>
      <c r="CQ251" s="27" t="s">
        <v>8</v>
      </c>
      <c r="DH251" s="27" t="s">
        <v>7</v>
      </c>
      <c r="DI251" s="27" t="s">
        <v>8</v>
      </c>
      <c r="DJ251" s="27" t="s">
        <v>7</v>
      </c>
      <c r="DK251" s="27" t="s">
        <v>8</v>
      </c>
      <c r="DL251" s="27" t="s">
        <v>7</v>
      </c>
      <c r="DO251" s="27" t="s">
        <v>8</v>
      </c>
      <c r="DP251" s="27" t="s">
        <v>7</v>
      </c>
      <c r="DQ251" s="27" t="s">
        <v>8</v>
      </c>
      <c r="DT251" s="27" t="s">
        <v>7</v>
      </c>
      <c r="DU251" s="27" t="s">
        <v>8</v>
      </c>
      <c r="DV251" s="27" t="s">
        <v>7</v>
      </c>
      <c r="DW251" s="27" t="s">
        <v>8</v>
      </c>
      <c r="DX251" s="27" t="s">
        <v>7</v>
      </c>
      <c r="DY251" s="27" t="s">
        <v>8</v>
      </c>
      <c r="DZ251" s="27" t="s">
        <v>7</v>
      </c>
      <c r="EG251" s="27" t="s">
        <v>8</v>
      </c>
      <c r="EK251" s="27" t="s">
        <v>8</v>
      </c>
      <c r="EL251" s="27" t="s">
        <v>7</v>
      </c>
      <c r="EM251" s="27" t="s">
        <v>8</v>
      </c>
      <c r="EX251" s="27" t="s">
        <v>7</v>
      </c>
      <c r="EY251" s="27" t="s">
        <v>8</v>
      </c>
      <c r="EZ251" s="27" t="s">
        <v>7</v>
      </c>
      <c r="FA251" s="27" t="s">
        <v>8</v>
      </c>
      <c r="FB251" s="27" t="s">
        <v>7</v>
      </c>
      <c r="FC251" s="27" t="s">
        <v>8</v>
      </c>
      <c r="FD251" s="27" t="s">
        <v>7</v>
      </c>
      <c r="FE251" s="27" t="s">
        <v>8</v>
      </c>
      <c r="FJ251" s="27" t="s">
        <v>7</v>
      </c>
    </row>
    <row r="252" spans="1:196" x14ac:dyDescent="0.25">
      <c r="A252" s="30">
        <v>0.55683741817755672</v>
      </c>
      <c r="B252"/>
      <c r="C252"/>
      <c r="D252"/>
      <c r="E252"/>
      <c r="F252" s="27" t="s">
        <v>7</v>
      </c>
      <c r="CQ252" s="27" t="s">
        <v>8</v>
      </c>
      <c r="DH252" s="27" t="s">
        <v>7</v>
      </c>
      <c r="DI252" s="27" t="s">
        <v>8</v>
      </c>
      <c r="DJ252" s="27" t="s">
        <v>7</v>
      </c>
      <c r="DK252" s="27" t="s">
        <v>8</v>
      </c>
      <c r="DL252" s="27" t="s">
        <v>7</v>
      </c>
      <c r="DO252" s="27" t="s">
        <v>8</v>
      </c>
      <c r="DP252" s="27" t="s">
        <v>7</v>
      </c>
      <c r="DQ252" s="27" t="s">
        <v>8</v>
      </c>
      <c r="DT252" s="27" t="s">
        <v>7</v>
      </c>
      <c r="DV252" s="27" t="s">
        <v>7</v>
      </c>
      <c r="DW252" s="27" t="s">
        <v>8</v>
      </c>
      <c r="DX252" s="27" t="s">
        <v>7</v>
      </c>
      <c r="DY252" s="27" t="s">
        <v>8</v>
      </c>
      <c r="DZ252" s="27" t="s">
        <v>7</v>
      </c>
      <c r="EG252" s="27" t="s">
        <v>8</v>
      </c>
      <c r="EH252" s="27" t="s">
        <v>7</v>
      </c>
      <c r="EK252" s="27" t="s">
        <v>8</v>
      </c>
      <c r="EL252" s="27" t="s">
        <v>7</v>
      </c>
      <c r="EM252" s="27" t="s">
        <v>8</v>
      </c>
      <c r="EX252" s="27" t="s">
        <v>7</v>
      </c>
      <c r="EY252" s="27" t="s">
        <v>8</v>
      </c>
      <c r="EZ252" s="27" t="s">
        <v>7</v>
      </c>
      <c r="FA252" s="27" t="s">
        <v>8</v>
      </c>
      <c r="FB252" s="27" t="s">
        <v>7</v>
      </c>
      <c r="FC252" s="27" t="s">
        <v>8</v>
      </c>
      <c r="FD252" s="27" t="s">
        <v>7</v>
      </c>
    </row>
    <row r="253" spans="1:196" x14ac:dyDescent="0.25">
      <c r="A253" s="30">
        <v>0.53032135064529184</v>
      </c>
      <c r="B253"/>
      <c r="C253"/>
      <c r="D253"/>
      <c r="E253"/>
      <c r="F253" s="27" t="s">
        <v>7</v>
      </c>
      <c r="CQ253" s="27" t="s">
        <v>8</v>
      </c>
      <c r="DH253" s="27" t="s">
        <v>7</v>
      </c>
      <c r="DI253" s="27" t="s">
        <v>8</v>
      </c>
      <c r="DJ253" s="27" t="s">
        <v>7</v>
      </c>
      <c r="DL253" s="27" t="s">
        <v>7</v>
      </c>
      <c r="DM253" s="27" t="s">
        <v>8</v>
      </c>
      <c r="DO253" s="27" t="s">
        <v>8</v>
      </c>
      <c r="DP253" s="27" t="s">
        <v>7</v>
      </c>
      <c r="DQ253" s="27" t="s">
        <v>8</v>
      </c>
      <c r="DV253" s="27" t="s">
        <v>7</v>
      </c>
      <c r="DW253" s="27" t="s">
        <v>8</v>
      </c>
      <c r="DX253" s="27" t="s">
        <v>7</v>
      </c>
      <c r="DZ253" s="27" t="s">
        <v>7</v>
      </c>
      <c r="EG253" s="27" t="s">
        <v>8</v>
      </c>
      <c r="EH253" s="27" t="s">
        <v>7</v>
      </c>
      <c r="EK253" s="27" t="s">
        <v>8</v>
      </c>
      <c r="EL253" s="27" t="s">
        <v>7</v>
      </c>
      <c r="EM253" s="27" t="s">
        <v>8</v>
      </c>
      <c r="EX253" s="27" t="s">
        <v>7</v>
      </c>
      <c r="EZ253" s="27" t="s">
        <v>7</v>
      </c>
      <c r="FA253" s="27" t="s">
        <v>8</v>
      </c>
      <c r="FB253" s="27" t="s">
        <v>7</v>
      </c>
      <c r="FC253" s="27" t="s">
        <v>8</v>
      </c>
    </row>
    <row r="254" spans="1:196" x14ac:dyDescent="0.25">
      <c r="A254" s="30">
        <v>0.50506795299551588</v>
      </c>
      <c r="B254"/>
      <c r="C254"/>
      <c r="D254"/>
      <c r="E254"/>
      <c r="F254" s="27" t="s">
        <v>7</v>
      </c>
      <c r="CQ254" s="27" t="s">
        <v>8</v>
      </c>
      <c r="DH254" s="27" t="s">
        <v>7</v>
      </c>
      <c r="DI254" s="27" t="s">
        <v>8</v>
      </c>
      <c r="DL254" s="27" t="s">
        <v>7</v>
      </c>
      <c r="DM254" s="27" t="s">
        <v>8</v>
      </c>
      <c r="DN254" s="27" t="s">
        <v>7</v>
      </c>
      <c r="DO254" s="27" t="s">
        <v>8</v>
      </c>
      <c r="DP254" s="27" t="s">
        <v>7</v>
      </c>
      <c r="DV254" s="27" t="s">
        <v>7</v>
      </c>
      <c r="DW254" s="27" t="s">
        <v>8</v>
      </c>
      <c r="DZ254" s="27" t="s">
        <v>7</v>
      </c>
      <c r="EC254" s="27" t="s">
        <v>8</v>
      </c>
      <c r="EE254" s="27" t="s">
        <v>8</v>
      </c>
      <c r="EG254" s="27" t="s">
        <v>8</v>
      </c>
      <c r="EH254" s="27" t="s">
        <v>7</v>
      </c>
      <c r="EI254" s="27" t="s">
        <v>8</v>
      </c>
      <c r="EK254" s="27" t="s">
        <v>8</v>
      </c>
      <c r="EL254" s="27" t="s">
        <v>7</v>
      </c>
      <c r="EM254" s="27" t="s">
        <v>8</v>
      </c>
      <c r="EZ254" s="27" t="s">
        <v>7</v>
      </c>
      <c r="FB254" s="27" t="s">
        <v>7</v>
      </c>
    </row>
    <row r="255" spans="1:196" x14ac:dyDescent="0.25">
      <c r="A255" s="30">
        <v>0.48101709809096732</v>
      </c>
      <c r="E255"/>
      <c r="F255" s="27" t="s">
        <v>7</v>
      </c>
      <c r="CQ255" s="27" t="s">
        <v>8</v>
      </c>
      <c r="DH255" s="27" t="s">
        <v>7</v>
      </c>
      <c r="DI255" s="27" t="s">
        <v>8</v>
      </c>
      <c r="DL255" s="27" t="s">
        <v>7</v>
      </c>
      <c r="DM255" s="27" t="s">
        <v>8</v>
      </c>
      <c r="DN255" s="27" t="s">
        <v>7</v>
      </c>
      <c r="DO255" s="27" t="s">
        <v>8</v>
      </c>
      <c r="DV255" s="27" t="s">
        <v>7</v>
      </c>
      <c r="DZ255" s="27" t="s">
        <v>7</v>
      </c>
      <c r="EC255" s="27" t="s">
        <v>8</v>
      </c>
      <c r="ED255" s="27" t="s">
        <v>7</v>
      </c>
      <c r="EE255" s="27" t="s">
        <v>8</v>
      </c>
      <c r="EF255" s="27" t="s">
        <v>7</v>
      </c>
      <c r="EG255" s="27" t="s">
        <v>8</v>
      </c>
      <c r="EH255" s="27" t="s">
        <v>7</v>
      </c>
      <c r="EI255" s="27" t="s">
        <v>8</v>
      </c>
      <c r="EJ255" s="27" t="s">
        <v>7</v>
      </c>
      <c r="EK255" s="27" t="s">
        <v>8</v>
      </c>
      <c r="EL255" s="27" t="s">
        <v>7</v>
      </c>
    </row>
    <row r="256" spans="1:196" x14ac:dyDescent="0.25">
      <c r="A256" s="30">
        <v>0.45811152199139726</v>
      </c>
      <c r="E256"/>
      <c r="F256" s="27" t="s">
        <v>7</v>
      </c>
      <c r="CQ256" s="27" t="s">
        <v>8</v>
      </c>
      <c r="DH256" s="27" t="s">
        <v>7</v>
      </c>
      <c r="DL256" s="27" t="s">
        <v>7</v>
      </c>
      <c r="DM256" s="27" t="s">
        <v>8</v>
      </c>
      <c r="DN256" s="27" t="s">
        <v>7</v>
      </c>
      <c r="DZ256" s="27" t="s">
        <v>7</v>
      </c>
      <c r="EC256" s="27" t="s">
        <v>8</v>
      </c>
      <c r="ED256" s="27" t="s">
        <v>7</v>
      </c>
      <c r="EE256" s="27" t="s">
        <v>8</v>
      </c>
      <c r="EF256" s="27" t="s">
        <v>7</v>
      </c>
      <c r="EG256" s="27" t="s">
        <v>8</v>
      </c>
      <c r="EH256" s="27" t="s">
        <v>7</v>
      </c>
      <c r="EI256" s="27" t="s">
        <v>8</v>
      </c>
      <c r="EJ256" s="27" t="s">
        <v>7</v>
      </c>
      <c r="EK256" s="27" t="s">
        <v>8</v>
      </c>
    </row>
    <row r="257" spans="1:140" x14ac:dyDescent="0.25">
      <c r="A257" s="30">
        <v>0.43629668761085438</v>
      </c>
      <c r="B257"/>
      <c r="C257"/>
      <c r="D257"/>
      <c r="E257"/>
      <c r="F257" s="27" t="s">
        <v>7</v>
      </c>
      <c r="CQ257" s="27" t="s">
        <v>8</v>
      </c>
      <c r="DL257" s="27" t="s">
        <v>7</v>
      </c>
      <c r="DM257" s="27" t="s">
        <v>8</v>
      </c>
      <c r="DZ257" s="27" t="s">
        <v>7</v>
      </c>
      <c r="EA257" s="27" t="s">
        <v>8</v>
      </c>
      <c r="EC257" s="27" t="s">
        <v>8</v>
      </c>
      <c r="ED257" s="27" t="s">
        <v>7</v>
      </c>
      <c r="EE257" s="27" t="s">
        <v>8</v>
      </c>
      <c r="EF257" s="27" t="s">
        <v>7</v>
      </c>
      <c r="EG257" s="27" t="s">
        <v>8</v>
      </c>
      <c r="EH257" s="18" t="s">
        <v>7</v>
      </c>
      <c r="EJ257" s="27" t="s">
        <v>7</v>
      </c>
    </row>
    <row r="258" spans="1:140" x14ac:dyDescent="0.25">
      <c r="A258" s="30">
        <v>0.41552065486748019</v>
      </c>
      <c r="B258"/>
      <c r="C258"/>
      <c r="D258"/>
      <c r="E258"/>
      <c r="F258" s="27" t="s">
        <v>7</v>
      </c>
      <c r="CQ258" s="27" t="s">
        <v>8</v>
      </c>
      <c r="DL258" s="27" t="s">
        <v>7</v>
      </c>
      <c r="DM258" s="27" t="s">
        <v>8</v>
      </c>
      <c r="DZ258" s="27" t="s">
        <v>7</v>
      </c>
      <c r="EA258" s="27" t="s">
        <v>8</v>
      </c>
      <c r="EB258" s="27" t="s">
        <v>7</v>
      </c>
      <c r="EC258" s="27" t="s">
        <v>8</v>
      </c>
      <c r="ED258" s="27" t="s">
        <v>7</v>
      </c>
      <c r="EE258" s="27" t="s">
        <v>8</v>
      </c>
      <c r="EF258" s="27" t="s">
        <v>7</v>
      </c>
    </row>
    <row r="259" spans="1:140" x14ac:dyDescent="0.25">
      <c r="A259" s="30">
        <v>0.39573395701664765</v>
      </c>
      <c r="B259"/>
      <c r="C259"/>
      <c r="D259"/>
      <c r="E259"/>
      <c r="F259" s="27" t="s">
        <v>7</v>
      </c>
      <c r="CQ259" s="27" t="s">
        <v>8</v>
      </c>
      <c r="DL259" s="27" t="s">
        <v>7</v>
      </c>
      <c r="DM259" s="27" t="s">
        <v>8</v>
      </c>
      <c r="DZ259" s="27" t="s">
        <v>7</v>
      </c>
      <c r="EA259" s="27" t="s">
        <v>8</v>
      </c>
      <c r="EB259" s="27" t="s">
        <v>7</v>
      </c>
      <c r="EC259" s="27" t="s">
        <v>8</v>
      </c>
      <c r="ED259" s="27" t="s">
        <v>7</v>
      </c>
      <c r="EE259" s="27" t="s">
        <v>8</v>
      </c>
    </row>
    <row r="260" spans="1:140" x14ac:dyDescent="0.25">
      <c r="A260" s="30">
        <v>0.37688948287299762</v>
      </c>
      <c r="B260"/>
      <c r="C260"/>
      <c r="D260"/>
      <c r="E260"/>
      <c r="F260" s="27" t="s">
        <v>7</v>
      </c>
      <c r="CQ260" s="27" t="s">
        <v>8</v>
      </c>
      <c r="DL260" s="27" t="s">
        <v>7</v>
      </c>
      <c r="DZ260" s="27" t="s">
        <v>7</v>
      </c>
      <c r="EA260" s="27" t="s">
        <v>8</v>
      </c>
      <c r="EB260" s="27" t="s">
        <v>7</v>
      </c>
      <c r="EC260" s="27" t="s">
        <v>8</v>
      </c>
      <c r="ED260" s="27" t="s">
        <v>7</v>
      </c>
      <c r="EE260" s="27" t="s">
        <v>8</v>
      </c>
    </row>
    <row r="261" spans="1:140" x14ac:dyDescent="0.25">
      <c r="A261" s="30">
        <v>0.35894236464094997</v>
      </c>
      <c r="B261"/>
      <c r="C261"/>
      <c r="D261"/>
      <c r="E261"/>
      <c r="F261" s="27" t="s">
        <v>7</v>
      </c>
      <c r="CQ261" s="27" t="s">
        <v>8</v>
      </c>
      <c r="DZ261" s="27" t="s">
        <v>7</v>
      </c>
      <c r="EA261" s="27" t="s">
        <v>8</v>
      </c>
      <c r="EB261" s="27" t="s">
        <v>7</v>
      </c>
      <c r="EC261" s="27" t="s">
        <v>8</v>
      </c>
      <c r="ED261" s="27" t="s">
        <v>7</v>
      </c>
    </row>
    <row r="262" spans="1:140" x14ac:dyDescent="0.25">
      <c r="A262" s="30">
        <v>0.34184987108661891</v>
      </c>
      <c r="B262"/>
      <c r="C262"/>
      <c r="D262"/>
      <c r="E262"/>
      <c r="F262" s="27" t="s">
        <v>7</v>
      </c>
      <c r="CQ262" s="27" t="s">
        <v>8</v>
      </c>
      <c r="DZ262" s="27" t="s">
        <v>7</v>
      </c>
      <c r="EB262" s="27" t="s">
        <v>7</v>
      </c>
      <c r="EC262" s="27" t="s">
        <v>8</v>
      </c>
    </row>
    <row r="263" spans="1:140" x14ac:dyDescent="0.25">
      <c r="A263" s="30">
        <v>0.32557130579677979</v>
      </c>
      <c r="B263"/>
      <c r="C263"/>
      <c r="D263"/>
      <c r="E263"/>
      <c r="F263" s="27" t="s">
        <v>7</v>
      </c>
      <c r="CQ263" s="27" t="s">
        <v>8</v>
      </c>
      <c r="EB263" s="27" t="s">
        <v>7</v>
      </c>
    </row>
    <row r="264" spans="1:140" x14ac:dyDescent="0.25">
      <c r="A264" s="30">
        <v>0.3100679102826473</v>
      </c>
      <c r="B264"/>
      <c r="C264"/>
      <c r="D264"/>
      <c r="E264"/>
      <c r="F264" s="27" t="s">
        <v>7</v>
      </c>
      <c r="CQ264" s="27" t="s">
        <v>8</v>
      </c>
    </row>
    <row r="265" spans="1:140" x14ac:dyDescent="0.25">
      <c r="A265" s="30">
        <v>0.2953027716977592</v>
      </c>
      <c r="B265"/>
      <c r="C265"/>
      <c r="D265"/>
      <c r="E265"/>
      <c r="F265" s="27" t="s">
        <v>7</v>
      </c>
      <c r="CQ265" s="27" t="s">
        <v>8</v>
      </c>
    </row>
    <row r="266" spans="1:140" x14ac:dyDescent="0.25">
      <c r="A266" s="30">
        <v>0.28124073495024676</v>
      </c>
      <c r="B266"/>
      <c r="C266"/>
      <c r="D266"/>
      <c r="E266"/>
      <c r="F266" s="27" t="s">
        <v>7</v>
      </c>
      <c r="CQ266" s="27" t="s">
        <v>8</v>
      </c>
    </row>
    <row r="267" spans="1:140" x14ac:dyDescent="0.25">
      <c r="A267" s="30">
        <v>0.26784831900023492</v>
      </c>
      <c r="B267"/>
      <c r="C267"/>
      <c r="D267"/>
      <c r="E267"/>
      <c r="F267" s="27" t="s">
        <v>7</v>
      </c>
      <c r="CQ267" s="27" t="s">
        <v>8</v>
      </c>
    </row>
    <row r="268" spans="1:140" x14ac:dyDescent="0.25">
      <c r="A268" s="30">
        <v>0.25509363714308075</v>
      </c>
      <c r="B268"/>
      <c r="C268"/>
      <c r="D268"/>
      <c r="E268"/>
      <c r="F268" s="27" t="s">
        <v>7</v>
      </c>
      <c r="CQ268" s="27" t="s">
        <v>8</v>
      </c>
    </row>
    <row r="269" spans="1:140" x14ac:dyDescent="0.25">
      <c r="A269" s="30">
        <v>0.24294632108864825</v>
      </c>
      <c r="B269"/>
      <c r="C269"/>
      <c r="D269"/>
      <c r="E269"/>
      <c r="F269" s="27" t="s">
        <v>7</v>
      </c>
      <c r="CQ269" s="27" t="s">
        <v>8</v>
      </c>
    </row>
    <row r="270" spans="1:140" x14ac:dyDescent="0.25">
      <c r="A270" s="30">
        <v>0.23137744865585538</v>
      </c>
      <c r="B270"/>
      <c r="C270"/>
      <c r="D270"/>
      <c r="E270"/>
      <c r="F270" s="27" t="s">
        <v>7</v>
      </c>
      <c r="CQ270" s="27" t="s">
        <v>8</v>
      </c>
    </row>
    <row r="271" spans="1:140" x14ac:dyDescent="0.25">
      <c r="A271" s="30">
        <v>0.22035947491033836</v>
      </c>
      <c r="B271"/>
      <c r="C271"/>
      <c r="D271"/>
      <c r="E271"/>
      <c r="F271" s="27" t="s">
        <v>7</v>
      </c>
      <c r="CQ271" s="27" t="s">
        <v>8</v>
      </c>
    </row>
    <row r="272" spans="1:140" x14ac:dyDescent="0.25">
      <c r="A272" s="30">
        <v>0.20986616658127455</v>
      </c>
      <c r="B272"/>
      <c r="C272"/>
      <c r="D272"/>
      <c r="E272"/>
      <c r="F272" s="27" t="s">
        <v>7</v>
      </c>
      <c r="CQ272" s="27" t="s">
        <v>8</v>
      </c>
    </row>
    <row r="273" spans="1:95" x14ac:dyDescent="0.25">
      <c r="A273" s="30">
        <v>0.19987253960121379</v>
      </c>
      <c r="B273"/>
      <c r="C273"/>
      <c r="D273"/>
      <c r="E273"/>
      <c r="F273" s="27" t="s">
        <v>7</v>
      </c>
      <c r="CQ273" s="27" t="s">
        <v>8</v>
      </c>
    </row>
    <row r="274" spans="1:95" x14ac:dyDescent="0.25">
      <c r="A274" s="30">
        <v>0.19035479962020352</v>
      </c>
      <c r="B274"/>
      <c r="C274"/>
      <c r="D274"/>
      <c r="E274"/>
      <c r="F274" s="27" t="s">
        <v>7</v>
      </c>
      <c r="CQ274" s="27" t="s">
        <v>8</v>
      </c>
    </row>
    <row r="275" spans="1:95" x14ac:dyDescent="0.25">
      <c r="A275" s="30">
        <v>0.18129028535257471</v>
      </c>
      <c r="B275"/>
      <c r="C275"/>
      <c r="D275"/>
      <c r="E275"/>
      <c r="F275" s="27" t="s">
        <v>7</v>
      </c>
      <c r="CQ275" s="27" t="s">
        <v>8</v>
      </c>
    </row>
    <row r="276" spans="1:95" x14ac:dyDescent="0.25">
      <c r="A276" s="30">
        <v>0.17265741462149967</v>
      </c>
      <c r="B276"/>
      <c r="C276"/>
      <c r="D276"/>
      <c r="E276"/>
      <c r="F276" s="27" t="s">
        <v>7</v>
      </c>
      <c r="CQ276" s="27" t="s">
        <v>8</v>
      </c>
    </row>
    <row r="277" spans="1:95" x14ac:dyDescent="0.25">
      <c r="A277" s="30">
        <v>0.16443563297285677</v>
      </c>
      <c r="B277"/>
      <c r="C277"/>
      <c r="D277"/>
      <c r="E277"/>
      <c r="F277" s="27" t="s">
        <v>7</v>
      </c>
      <c r="CQ277" s="27" t="s">
        <v>8</v>
      </c>
    </row>
    <row r="278" spans="1:95" x14ac:dyDescent="0.25">
      <c r="A278" s="30">
        <v>0.15660536473605399</v>
      </c>
      <c r="B278"/>
      <c r="C278"/>
      <c r="D278"/>
      <c r="E278"/>
      <c r="F278" s="27" t="s">
        <v>7</v>
      </c>
      <c r="CQ278" s="27" t="s">
        <v>8</v>
      </c>
    </row>
    <row r="279" spans="1:95" x14ac:dyDescent="0.25">
      <c r="A279" s="30">
        <v>0.14914796641528946</v>
      </c>
      <c r="B279"/>
      <c r="C279"/>
      <c r="D279"/>
      <c r="E279"/>
      <c r="F279" s="27" t="s">
        <v>7</v>
      </c>
      <c r="CQ279" s="27" t="s">
        <v>8</v>
      </c>
    </row>
    <row r="280" spans="1:95" x14ac:dyDescent="0.25">
      <c r="A280" s="30">
        <v>0.14204568230027562</v>
      </c>
      <c r="B280"/>
      <c r="C280"/>
      <c r="D280"/>
      <c r="E280"/>
      <c r="F280" s="27" t="s">
        <v>7</v>
      </c>
      <c r="CQ280" s="27" t="s">
        <v>8</v>
      </c>
    </row>
    <row r="281" spans="1:95" x14ac:dyDescent="0.25">
      <c r="A281" s="30">
        <v>0.13528160219073862</v>
      </c>
      <c r="B281"/>
      <c r="C281"/>
      <c r="D281"/>
      <c r="E281"/>
      <c r="F281" s="27" t="s">
        <v>7</v>
      </c>
      <c r="CQ281" s="27" t="s">
        <v>8</v>
      </c>
    </row>
    <row r="282" spans="1:95" x14ac:dyDescent="0.25">
      <c r="A282" s="30">
        <v>0.12883962113403674</v>
      </c>
      <c r="B282"/>
      <c r="C282"/>
      <c r="D282"/>
      <c r="E282"/>
      <c r="F282" s="27" t="s">
        <v>7</v>
      </c>
      <c r="CQ282" s="27" t="s">
        <v>8</v>
      </c>
    </row>
    <row r="283" spans="1:95" x14ac:dyDescent="0.25">
      <c r="A283" s="30">
        <v>0.12270440108003494</v>
      </c>
      <c r="B283"/>
      <c r="C283"/>
      <c r="D283"/>
      <c r="E283"/>
      <c r="F283" s="27" t="s">
        <v>7</v>
      </c>
      <c r="CQ283" s="27" t="s">
        <v>8</v>
      </c>
    </row>
    <row r="284" spans="1:95" x14ac:dyDescent="0.25">
      <c r="A284" s="30">
        <v>0.11686133436193799</v>
      </c>
      <c r="B284"/>
      <c r="C284"/>
      <c r="D284"/>
      <c r="E284"/>
      <c r="F284" s="27" t="s">
        <v>7</v>
      </c>
      <c r="CQ284" s="27" t="s">
        <v>8</v>
      </c>
    </row>
    <row r="285" spans="1:95" x14ac:dyDescent="0.25">
      <c r="A285" s="30">
        <v>0.11129650891613138</v>
      </c>
      <c r="B285"/>
      <c r="C285"/>
      <c r="D285"/>
      <c r="E285"/>
      <c r="F285" s="27" t="s">
        <v>7</v>
      </c>
      <c r="CQ285" s="27" t="s">
        <v>8</v>
      </c>
    </row>
    <row r="286" spans="1:95" x14ac:dyDescent="0.25">
      <c r="A286" s="30">
        <v>0.10599667515822032</v>
      </c>
      <c r="B286"/>
      <c r="C286"/>
      <c r="D286"/>
      <c r="E286"/>
      <c r="F286" s="27" t="s">
        <v>7</v>
      </c>
      <c r="CQ286" s="27" t="s">
        <v>8</v>
      </c>
    </row>
    <row r="287" spans="1:95" x14ac:dyDescent="0.25">
      <c r="A287" s="30">
        <v>0.10094921443640027</v>
      </c>
      <c r="B287"/>
      <c r="C287"/>
      <c r="D287"/>
      <c r="E287"/>
      <c r="F287" s="27" t="s">
        <v>7</v>
      </c>
      <c r="CQ287" s="27" t="s">
        <v>8</v>
      </c>
    </row>
    <row r="288" spans="1:95" x14ac:dyDescent="0.25">
      <c r="A288" s="30">
        <v>9.6142108987047836E-2</v>
      </c>
      <c r="B288"/>
      <c r="C288"/>
      <c r="D288"/>
      <c r="E288"/>
      <c r="F288" s="27" t="s">
        <v>7</v>
      </c>
      <c r="CQ288" s="27" t="s">
        <v>8</v>
      </c>
    </row>
    <row r="289" spans="1:141" x14ac:dyDescent="0.25">
      <c r="A289" s="30">
        <v>9.1563913320997906E-2</v>
      </c>
      <c r="B289"/>
      <c r="C289"/>
      <c r="D289"/>
      <c r="E289"/>
      <c r="F289" s="27" t="s">
        <v>7</v>
      </c>
      <c r="CQ289" s="27" t="s">
        <v>8</v>
      </c>
    </row>
    <row r="290" spans="1:141" x14ac:dyDescent="0.25">
      <c r="A290" s="30">
        <v>8.7203726972378923E-2</v>
      </c>
      <c r="B290"/>
      <c r="C290"/>
      <c r="D290"/>
      <c r="E290"/>
      <c r="F290" s="27" t="s">
        <v>7</v>
      </c>
      <c r="CQ290" s="27" t="s">
        <v>8</v>
      </c>
    </row>
    <row r="291" spans="1:141" x14ac:dyDescent="0.25">
      <c r="A291" s="30">
        <v>8.3051168545122747E-2</v>
      </c>
      <c r="B291"/>
      <c r="C291"/>
      <c r="D291"/>
      <c r="E291"/>
      <c r="F291" s="27" t="s">
        <v>7</v>
      </c>
      <c r="CQ291" s="27" t="s">
        <v>8</v>
      </c>
      <c r="EK291" s="31"/>
    </row>
    <row r="292" spans="1:141" x14ac:dyDescent="0.25">
      <c r="A292" s="30">
        <v>7.9096350995354961E-2</v>
      </c>
      <c r="B292"/>
      <c r="C292"/>
      <c r="D292"/>
      <c r="E292"/>
      <c r="F292" s="27" t="s">
        <v>7</v>
      </c>
      <c r="CQ292" s="27" t="s">
        <v>8</v>
      </c>
    </row>
    <row r="293" spans="1:141" x14ac:dyDescent="0.25">
      <c r="A293" s="30">
        <v>7.5329858090814217E-2</v>
      </c>
      <c r="B293"/>
      <c r="C293"/>
      <c r="D293"/>
      <c r="E293"/>
      <c r="F293" s="27" t="s">
        <v>7</v>
      </c>
      <c r="CQ293" s="27" t="s">
        <v>8</v>
      </c>
    </row>
    <row r="294" spans="1:141" x14ac:dyDescent="0.25">
      <c r="A294" s="30">
        <v>7.1742721991251604E-2</v>
      </c>
      <c r="B294"/>
      <c r="C294"/>
      <c r="D294"/>
      <c r="E294"/>
      <c r="F294" s="27" t="s">
        <v>7</v>
      </c>
      <c r="CQ294" s="27" t="s">
        <v>8</v>
      </c>
    </row>
    <row r="295" spans="1:141" x14ac:dyDescent="0.25">
      <c r="A295" s="30">
        <v>6.8326401896430078E-2</v>
      </c>
      <c r="B295"/>
      <c r="C295"/>
      <c r="D295"/>
      <c r="E295"/>
      <c r="F295" s="27" t="s">
        <v>7</v>
      </c>
      <c r="CQ295" s="27" t="s">
        <v>8</v>
      </c>
    </row>
    <row r="296" spans="1:141" x14ac:dyDescent="0.25">
      <c r="A296" s="30">
        <v>6.5072763710885759E-2</v>
      </c>
      <c r="B296"/>
      <c r="C296"/>
      <c r="D296"/>
      <c r="E296"/>
      <c r="F296" s="27" t="s">
        <v>7</v>
      </c>
      <c r="CQ296" s="27" t="s">
        <v>8</v>
      </c>
      <c r="EF296" s="31"/>
    </row>
    <row r="297" spans="1:141" x14ac:dyDescent="0.25">
      <c r="A297" s="30">
        <v>6.197406067703403E-2</v>
      </c>
      <c r="B297"/>
      <c r="C297"/>
      <c r="D297"/>
      <c r="E297"/>
      <c r="F297" s="27" t="s">
        <v>7</v>
      </c>
      <c r="CQ297" s="27" t="s">
        <v>8</v>
      </c>
      <c r="EE297" s="31"/>
    </row>
    <row r="298" spans="1:141" x14ac:dyDescent="0.25">
      <c r="A298" s="30">
        <v>5.9022914930508576E-2</v>
      </c>
      <c r="B298"/>
      <c r="C298"/>
      <c r="D298"/>
      <c r="E298"/>
      <c r="F298" s="27" t="s">
        <v>7</v>
      </c>
      <c r="CQ298" s="27" t="s">
        <v>8</v>
      </c>
    </row>
    <row r="299" spans="1:141" x14ac:dyDescent="0.25">
      <c r="A299" s="30">
        <v>5.6212299933817669E-2</v>
      </c>
      <c r="B299"/>
      <c r="C299"/>
      <c r="D299"/>
      <c r="E299"/>
      <c r="F299" s="27" t="s">
        <v>7</v>
      </c>
      <c r="CQ299" s="27" t="s">
        <v>8</v>
      </c>
      <c r="EC299" s="31"/>
    </row>
    <row r="300" spans="1:141" x14ac:dyDescent="0.25">
      <c r="A300" s="30">
        <v>5.3535523746492994E-2</v>
      </c>
      <c r="B300"/>
      <c r="C300"/>
      <c r="D300"/>
      <c r="E300"/>
      <c r="F300" s="27" t="s">
        <v>7</v>
      </c>
      <c r="CQ300" s="27" t="s">
        <v>8</v>
      </c>
    </row>
    <row r="301" spans="1:141" x14ac:dyDescent="0.25">
      <c r="A301" s="30">
        <v>5.0986213091898068E-2</v>
      </c>
      <c r="B301"/>
      <c r="C301"/>
      <c r="D301"/>
      <c r="E301"/>
      <c r="F301" s="27" t="s">
        <v>7</v>
      </c>
      <c r="CQ301" s="27" t="s">
        <v>8</v>
      </c>
    </row>
    <row r="302" spans="1:141" x14ac:dyDescent="0.25">
      <c r="A302" s="30">
        <v>4.8558298182760043E-2</v>
      </c>
      <c r="B302"/>
      <c r="C302"/>
      <c r="D302"/>
      <c r="E302"/>
      <c r="F302" s="27" t="s">
        <v>7</v>
      </c>
      <c r="CQ302" s="27" t="s">
        <v>8</v>
      </c>
    </row>
    <row r="303" spans="1:141" x14ac:dyDescent="0.25">
      <c r="A303" s="30">
        <v>4.6245998269295263E-2</v>
      </c>
      <c r="B303"/>
      <c r="C303"/>
      <c r="D303"/>
      <c r="E303"/>
      <c r="F303" s="27" t="s">
        <v>7</v>
      </c>
      <c r="CQ303" s="27" t="s">
        <v>8</v>
      </c>
    </row>
    <row r="304" spans="1:141" x14ac:dyDescent="0.25">
      <c r="A304" s="30">
        <v>4.4043807875519279E-2</v>
      </c>
      <c r="B304"/>
      <c r="C304"/>
      <c r="D304"/>
      <c r="E304"/>
      <c r="F304" s="27" t="s">
        <v>7</v>
      </c>
      <c r="CQ304" s="27" t="s">
        <v>8</v>
      </c>
      <c r="DX304" s="31"/>
    </row>
    <row r="305" spans="1:125" x14ac:dyDescent="0.25">
      <c r="A305" s="30">
        <v>4.1946483690970725E-2</v>
      </c>
      <c r="B305"/>
      <c r="C305"/>
      <c r="D305"/>
      <c r="E305"/>
      <c r="F305" s="27" t="s">
        <v>7</v>
      </c>
      <c r="CQ305" s="27" t="s">
        <v>8</v>
      </c>
    </row>
    <row r="306" spans="1:125" x14ac:dyDescent="0.25">
      <c r="A306" s="30">
        <v>3.9949032086638768E-2</v>
      </c>
      <c r="B306"/>
      <c r="C306"/>
      <c r="D306"/>
      <c r="E306"/>
      <c r="F306" s="27" t="s">
        <v>7</v>
      </c>
      <c r="CQ306" s="27" t="s">
        <v>8</v>
      </c>
    </row>
    <row r="307" spans="1:125" x14ac:dyDescent="0.25">
      <c r="A307" s="30">
        <v>3.8046697225370241E-2</v>
      </c>
      <c r="B307"/>
      <c r="C307"/>
      <c r="D307"/>
      <c r="E307"/>
      <c r="F307" s="27" t="s">
        <v>7</v>
      </c>
      <c r="CQ307" s="27" t="s">
        <v>8</v>
      </c>
      <c r="DU307" s="31"/>
    </row>
    <row r="308" spans="1:125" x14ac:dyDescent="0.25">
      <c r="A308" s="30">
        <v>3.6234949738447833E-2</v>
      </c>
      <c r="B308"/>
      <c r="C308"/>
      <c r="D308"/>
      <c r="E308"/>
      <c r="F308" s="27" t="s">
        <v>7</v>
      </c>
      <c r="CQ308" s="27" t="s">
        <v>8</v>
      </c>
    </row>
    <row r="309" spans="1:125" x14ac:dyDescent="0.25">
      <c r="A309" s="30">
        <v>3.4509475941378875E-2</v>
      </c>
      <c r="B309"/>
      <c r="C309"/>
      <c r="D309"/>
      <c r="E309"/>
      <c r="F309" s="27" t="s">
        <v>7</v>
      </c>
      <c r="CQ309" s="27" t="s">
        <v>8</v>
      </c>
    </row>
    <row r="310" spans="1:125" x14ac:dyDescent="0.25">
      <c r="A310" s="30">
        <v>3.286616756321796E-2</v>
      </c>
      <c r="B310"/>
      <c r="C310"/>
      <c r="D310"/>
      <c r="E310"/>
      <c r="F310" s="27" t="s">
        <v>7</v>
      </c>
      <c r="CQ310" s="27" t="s">
        <v>8</v>
      </c>
    </row>
    <row r="311" spans="1:125" x14ac:dyDescent="0.25">
      <c r="A311" s="30">
        <v>3.1301111964969472E-2</v>
      </c>
      <c r="B311"/>
      <c r="C311"/>
      <c r="D311"/>
      <c r="E311"/>
      <c r="F311" s="27" t="s">
        <v>7</v>
      </c>
      <c r="CM311" s="27" t="s">
        <v>8</v>
      </c>
      <c r="CQ311" s="27" t="s">
        <v>8</v>
      </c>
    </row>
    <row r="312" spans="1:125" x14ac:dyDescent="0.25">
      <c r="A312" s="30">
        <v>2.9810582823780438E-2</v>
      </c>
      <c r="B312"/>
      <c r="C312"/>
      <c r="D312"/>
      <c r="E312"/>
      <c r="F312" s="27" t="s">
        <v>7</v>
      </c>
      <c r="CM312" s="27" t="s">
        <v>8</v>
      </c>
      <c r="CN312" s="27" t="s">
        <v>7</v>
      </c>
      <c r="CQ312" s="27" t="s">
        <v>8</v>
      </c>
    </row>
    <row r="313" spans="1:125" x14ac:dyDescent="0.25">
      <c r="A313" s="30">
        <v>2.8391031260743264E-2</v>
      </c>
      <c r="B313"/>
      <c r="C313"/>
      <c r="D313"/>
      <c r="E313"/>
      <c r="F313" s="27" t="s">
        <v>7</v>
      </c>
      <c r="CM313" s="27" t="s">
        <v>8</v>
      </c>
      <c r="CN313" s="27" t="s">
        <v>7</v>
      </c>
      <c r="CQ313" s="27" t="s">
        <v>8</v>
      </c>
    </row>
    <row r="314" spans="1:125" x14ac:dyDescent="0.25">
      <c r="A314" s="30">
        <v>2.7039077391184052E-2</v>
      </c>
      <c r="B314"/>
      <c r="C314"/>
      <c r="D314"/>
      <c r="E314"/>
      <c r="F314" s="27" t="s">
        <v>7</v>
      </c>
      <c r="CM314" s="27" t="s">
        <v>8</v>
      </c>
      <c r="CN314" s="27" t="s">
        <v>7</v>
      </c>
      <c r="CQ314" s="27" t="s">
        <v>8</v>
      </c>
      <c r="DN314" s="31"/>
    </row>
    <row r="315" spans="1:125" x14ac:dyDescent="0.25">
      <c r="A315" s="30">
        <v>2.5751502277318133E-2</v>
      </c>
      <c r="B315"/>
      <c r="C315"/>
      <c r="D315"/>
      <c r="E315"/>
      <c r="F315" s="27" t="s">
        <v>7</v>
      </c>
      <c r="CM315" s="27" t="s">
        <v>8</v>
      </c>
      <c r="CN315" s="27" t="s">
        <v>7</v>
      </c>
      <c r="CQ315" s="27" t="s">
        <v>8</v>
      </c>
    </row>
    <row r="316" spans="1:125" x14ac:dyDescent="0.25">
      <c r="A316" s="30">
        <v>2.4525240264112496E-2</v>
      </c>
      <c r="B316"/>
      <c r="C316"/>
      <c r="D316"/>
      <c r="E316"/>
      <c r="F316" s="27" t="s">
        <v>7</v>
      </c>
      <c r="CM316" s="27" t="s">
        <v>8</v>
      </c>
      <c r="CN316" s="27" t="s">
        <v>7</v>
      </c>
      <c r="CO316" s="27" t="s">
        <v>8</v>
      </c>
      <c r="CQ316" s="27" t="s">
        <v>8</v>
      </c>
    </row>
    <row r="317" spans="1:125" x14ac:dyDescent="0.25">
      <c r="A317" s="30">
        <v>2.3357371680107129E-2</v>
      </c>
      <c r="B317"/>
      <c r="C317"/>
      <c r="D317"/>
      <c r="E317"/>
      <c r="F317" s="27" t="s">
        <v>7</v>
      </c>
      <c r="CM317" s="27" t="s">
        <v>8</v>
      </c>
      <c r="CN317" s="27" t="s">
        <v>7</v>
      </c>
      <c r="CO317" s="27" t="s">
        <v>8</v>
      </c>
      <c r="CP317" s="27" t="s">
        <v>7</v>
      </c>
      <c r="CQ317" s="27" t="s">
        <v>8</v>
      </c>
    </row>
    <row r="318" spans="1:125" x14ac:dyDescent="0.25">
      <c r="A318" s="30">
        <v>2.2245115885816305E-2</v>
      </c>
      <c r="B318"/>
      <c r="C318"/>
      <c r="D318"/>
      <c r="E318"/>
      <c r="F318" s="27" t="s">
        <v>7</v>
      </c>
      <c r="CM318" s="27" t="s">
        <v>8</v>
      </c>
      <c r="CN318" s="27" t="s">
        <v>7</v>
      </c>
      <c r="CO318" s="27" t="s">
        <v>8</v>
      </c>
      <c r="CP318" s="27" t="s">
        <v>7</v>
      </c>
      <c r="CQ318" s="27" t="s">
        <v>8</v>
      </c>
    </row>
    <row r="319" spans="1:125" x14ac:dyDescent="0.25">
      <c r="A319" s="30">
        <v>2.1185824653158377E-2</v>
      </c>
      <c r="B319"/>
      <c r="C319"/>
      <c r="D319"/>
      <c r="E319"/>
      <c r="F319" s="27" t="s">
        <v>7</v>
      </c>
      <c r="CM319" s="27" t="s">
        <v>8</v>
      </c>
      <c r="CN319" s="27" t="s">
        <v>7</v>
      </c>
      <c r="CP319" s="27" t="s">
        <v>7</v>
      </c>
      <c r="CQ319" s="27" t="s">
        <v>8</v>
      </c>
      <c r="DI319" s="31"/>
    </row>
    <row r="320" spans="1:125" x14ac:dyDescent="0.25">
      <c r="A320" s="30">
        <v>2.0176975860150829E-2</v>
      </c>
      <c r="B320"/>
      <c r="C320"/>
      <c r="D320"/>
      <c r="E320"/>
      <c r="F320" s="27" t="s">
        <v>7</v>
      </c>
      <c r="CM320" s="27" t="s">
        <v>8</v>
      </c>
      <c r="CP320" s="27" t="s">
        <v>7</v>
      </c>
    </row>
    <row r="321" spans="1:106" x14ac:dyDescent="0.25">
      <c r="A321" s="30">
        <v>1.9216167485857926E-2</v>
      </c>
      <c r="B321"/>
      <c r="C321"/>
      <c r="D321"/>
      <c r="E321"/>
      <c r="F321" s="27" t="s">
        <v>7</v>
      </c>
      <c r="CM321" s="27" t="s">
        <v>8</v>
      </c>
    </row>
    <row r="322" spans="1:106" x14ac:dyDescent="0.25">
      <c r="A322" s="30">
        <v>1.8301111891293256E-2</v>
      </c>
      <c r="B322"/>
      <c r="C322"/>
      <c r="D322"/>
      <c r="E322"/>
      <c r="F322" s="27" t="s">
        <v>7</v>
      </c>
      <c r="CM322" s="27" t="s">
        <v>8</v>
      </c>
    </row>
    <row r="323" spans="1:106" x14ac:dyDescent="0.25">
      <c r="A323" s="30">
        <v>1.7429630372660238E-2</v>
      </c>
      <c r="B323"/>
      <c r="C323"/>
      <c r="D323"/>
      <c r="E323"/>
      <c r="F323" s="27" t="s">
        <v>7</v>
      </c>
      <c r="CM323" s="27" t="s">
        <v>8</v>
      </c>
    </row>
    <row r="324" spans="1:106" x14ac:dyDescent="0.25">
      <c r="A324" s="30">
        <v>1.6599647973962125E-2</v>
      </c>
      <c r="B324"/>
      <c r="C324"/>
      <c r="D324"/>
      <c r="E324"/>
      <c r="F324" s="27" t="s">
        <v>7</v>
      </c>
      <c r="CM324" s="27" t="s">
        <v>8</v>
      </c>
    </row>
    <row r="325" spans="1:106" x14ac:dyDescent="0.25">
      <c r="A325" s="30">
        <v>1.580918854663059E-2</v>
      </c>
      <c r="B325"/>
      <c r="C325"/>
      <c r="D325"/>
      <c r="E325"/>
      <c r="F325" s="27" t="s">
        <v>7</v>
      </c>
      <c r="CM325" s="27" t="s">
        <v>8</v>
      </c>
    </row>
    <row r="326" spans="1:106" x14ac:dyDescent="0.25">
      <c r="A326" s="30">
        <v>1.5056370044410079E-2</v>
      </c>
      <c r="B326"/>
      <c r="C326"/>
      <c r="D326"/>
      <c r="E326"/>
      <c r="F326" s="27" t="s">
        <v>7</v>
      </c>
      <c r="CM326" s="27" t="s">
        <v>8</v>
      </c>
      <c r="DB326" s="31"/>
    </row>
    <row r="327" spans="1:106" x14ac:dyDescent="0.25">
      <c r="A327" s="30">
        <v>1.4339400042295308E-2</v>
      </c>
      <c r="B327"/>
      <c r="C327"/>
      <c r="D327"/>
      <c r="E327"/>
      <c r="F327" s="27" t="s">
        <v>7</v>
      </c>
      <c r="CM327" s="27" t="s">
        <v>8</v>
      </c>
    </row>
    <row r="328" spans="1:106" x14ac:dyDescent="0.25">
      <c r="A328" s="30">
        <v>1.365657146885267E-2</v>
      </c>
      <c r="B328"/>
      <c r="C328"/>
      <c r="D328"/>
      <c r="E328"/>
      <c r="F328" s="27" t="s">
        <v>7</v>
      </c>
      <c r="CK328" s="27" t="s">
        <v>8</v>
      </c>
      <c r="CM328" s="27" t="s">
        <v>8</v>
      </c>
    </row>
    <row r="329" spans="1:106" x14ac:dyDescent="0.25">
      <c r="A329" s="30">
        <v>1.3006258541764442E-2</v>
      </c>
      <c r="B329"/>
      <c r="C329"/>
      <c r="D329"/>
      <c r="E329"/>
      <c r="F329" s="27" t="s">
        <v>7</v>
      </c>
      <c r="CK329" s="27" t="s">
        <v>8</v>
      </c>
      <c r="CL329" s="27" t="s">
        <v>7</v>
      </c>
      <c r="CM329" s="27" t="s">
        <v>8</v>
      </c>
    </row>
    <row r="330" spans="1:106" x14ac:dyDescent="0.25">
      <c r="A330" s="30">
        <v>1.2386912896918512E-2</v>
      </c>
      <c r="B330"/>
      <c r="C330"/>
      <c r="D330"/>
      <c r="E330"/>
      <c r="F330" s="27" t="s">
        <v>7</v>
      </c>
      <c r="CK330" s="27" t="s">
        <v>8</v>
      </c>
      <c r="CL330" s="27" t="s">
        <v>7</v>
      </c>
      <c r="CM330" s="27" t="s">
        <v>8</v>
      </c>
    </row>
    <row r="331" spans="1:106" x14ac:dyDescent="0.25">
      <c r="A331" s="30">
        <v>1.179705990182715E-2</v>
      </c>
      <c r="B331"/>
      <c r="C331"/>
      <c r="D331"/>
      <c r="E331"/>
      <c r="F331" s="27" t="s">
        <v>7</v>
      </c>
      <c r="CK331" s="27" t="s">
        <v>8</v>
      </c>
      <c r="CL331" s="27" t="s">
        <v>7</v>
      </c>
      <c r="CM331" s="27" t="s">
        <v>8</v>
      </c>
    </row>
    <row r="332" spans="1:106" x14ac:dyDescent="0.25">
      <c r="A332" s="30">
        <v>1.1235295144597281E-2</v>
      </c>
      <c r="B332"/>
      <c r="C332"/>
      <c r="D332"/>
      <c r="E332"/>
      <c r="F332" s="27" t="s">
        <v>7</v>
      </c>
      <c r="CI332" s="27" t="s">
        <v>8</v>
      </c>
      <c r="CK332" s="27" t="s">
        <v>8</v>
      </c>
      <c r="CL332" s="27" t="s">
        <v>7</v>
      </c>
      <c r="CM332" s="27" t="s">
        <v>8</v>
      </c>
    </row>
    <row r="333" spans="1:106" x14ac:dyDescent="0.25">
      <c r="A333" s="30">
        <v>1.0700281090092644E-2</v>
      </c>
      <c r="B333"/>
      <c r="C333"/>
      <c r="D333"/>
      <c r="E333"/>
      <c r="F333" s="27" t="s">
        <v>7</v>
      </c>
      <c r="CI333" s="27" t="s">
        <v>8</v>
      </c>
      <c r="CJ333" s="27" t="s">
        <v>7</v>
      </c>
      <c r="CK333" s="27" t="s">
        <v>8</v>
      </c>
      <c r="CL333" s="27" t="s">
        <v>7</v>
      </c>
      <c r="CU333" s="31"/>
    </row>
    <row r="334" spans="1:106" x14ac:dyDescent="0.25">
      <c r="A334" s="30">
        <v>1.0190743895326324E-2</v>
      </c>
      <c r="B334"/>
      <c r="C334"/>
      <c r="D334"/>
      <c r="E334"/>
      <c r="F334" s="27" t="s">
        <v>7</v>
      </c>
      <c r="CI334" s="27" t="s">
        <v>8</v>
      </c>
      <c r="CJ334" s="27" t="s">
        <v>7</v>
      </c>
      <c r="CK334" s="27" t="s">
        <v>8</v>
      </c>
    </row>
    <row r="335" spans="1:106" x14ac:dyDescent="0.25">
      <c r="A335" s="30">
        <v>9.7054703765012563E-3</v>
      </c>
      <c r="B335"/>
      <c r="C335"/>
      <c r="D335"/>
      <c r="E335"/>
      <c r="F335" s="27" t="s">
        <v>7</v>
      </c>
      <c r="CI335" s="27" t="s">
        <v>8</v>
      </c>
      <c r="CJ335" s="27" t="s">
        <v>7</v>
      </c>
      <c r="CK335" s="27" t="s">
        <v>8</v>
      </c>
    </row>
    <row r="336" spans="1:106" x14ac:dyDescent="0.25">
      <c r="A336" s="30">
        <v>9.2433051204773835E-3</v>
      </c>
      <c r="B336"/>
      <c r="C336"/>
      <c r="D336"/>
      <c r="E336"/>
      <c r="F336" s="27" t="s">
        <v>7</v>
      </c>
      <c r="CE336" s="27" t="s">
        <v>8</v>
      </c>
      <c r="CI336" s="27" t="s">
        <v>8</v>
      </c>
      <c r="CJ336" s="27" t="s">
        <v>7</v>
      </c>
    </row>
    <row r="337" spans="1:94" x14ac:dyDescent="0.25">
      <c r="A337" s="30">
        <v>8.8031477337879808E-3</v>
      </c>
      <c r="B337"/>
      <c r="C337"/>
      <c r="D337"/>
      <c r="E337"/>
      <c r="F337" s="27" t="s">
        <v>7</v>
      </c>
      <c r="CC337" s="27" t="s">
        <v>8</v>
      </c>
      <c r="CE337" s="27" t="s">
        <v>8</v>
      </c>
      <c r="CF337" s="27" t="s">
        <v>7</v>
      </c>
      <c r="CI337" s="27" t="s">
        <v>8</v>
      </c>
    </row>
    <row r="338" spans="1:94" x14ac:dyDescent="0.25">
      <c r="A338" s="30">
        <v>8.3839502226552166E-3</v>
      </c>
      <c r="B338"/>
      <c r="C338"/>
      <c r="D338"/>
      <c r="E338"/>
      <c r="F338" s="27" t="s">
        <v>7</v>
      </c>
      <c r="CA338" s="27" t="s">
        <v>8</v>
      </c>
      <c r="CC338" s="27" t="s">
        <v>8</v>
      </c>
      <c r="CD338" s="27" t="s">
        <v>7</v>
      </c>
      <c r="CE338" s="27" t="s">
        <v>8</v>
      </c>
      <c r="CF338" s="27" t="s">
        <v>7</v>
      </c>
      <c r="CI338" s="27" t="s">
        <v>8</v>
      </c>
      <c r="CP338" s="31"/>
    </row>
    <row r="339" spans="1:94" x14ac:dyDescent="0.25">
      <c r="A339" s="30">
        <v>7.9847144977668698E-3</v>
      </c>
      <c r="B339"/>
      <c r="C339"/>
      <c r="D339"/>
      <c r="E339"/>
      <c r="F339" s="27" t="s">
        <v>7</v>
      </c>
      <c r="CA339" s="27" t="s">
        <v>8</v>
      </c>
      <c r="CB339" s="27" t="s">
        <v>7</v>
      </c>
      <c r="CC339" s="27" t="s">
        <v>8</v>
      </c>
      <c r="CD339" s="27" t="s">
        <v>7</v>
      </c>
      <c r="CE339" s="27" t="s">
        <v>8</v>
      </c>
      <c r="CF339" s="27" t="s">
        <v>7</v>
      </c>
      <c r="CI339" s="27" t="s">
        <v>8</v>
      </c>
      <c r="CO339" s="31"/>
    </row>
    <row r="340" spans="1:94" x14ac:dyDescent="0.25">
      <c r="A340" s="30">
        <v>7.6044899978732058E-3</v>
      </c>
      <c r="B340"/>
      <c r="C340"/>
      <c r="D340"/>
      <c r="E340"/>
      <c r="F340" s="27" t="s">
        <v>7</v>
      </c>
      <c r="CA340" s="27" t="s">
        <v>8</v>
      </c>
      <c r="CB340" s="27" t="s">
        <v>7</v>
      </c>
      <c r="CC340" s="27" t="s">
        <v>8</v>
      </c>
      <c r="CD340" s="27" t="s">
        <v>7</v>
      </c>
      <c r="CF340" s="27" t="s">
        <v>7</v>
      </c>
      <c r="CG340" s="27" t="s">
        <v>8</v>
      </c>
      <c r="CI340" s="27" t="s">
        <v>8</v>
      </c>
      <c r="CN340" s="31"/>
    </row>
    <row r="341" spans="1:94" x14ac:dyDescent="0.25">
      <c r="A341" s="30">
        <v>7.2423714265459072E-3</v>
      </c>
      <c r="B341"/>
      <c r="C341"/>
      <c r="D341"/>
      <c r="E341"/>
      <c r="F341" s="27" t="s">
        <v>7</v>
      </c>
      <c r="CA341" s="27" t="s">
        <v>8</v>
      </c>
      <c r="CB341" s="27" t="s">
        <v>7</v>
      </c>
      <c r="CC341" s="27" t="s">
        <v>8</v>
      </c>
      <c r="CF341" s="27" t="s">
        <v>7</v>
      </c>
      <c r="CG341" s="27" t="s">
        <v>8</v>
      </c>
      <c r="CH341" s="27" t="s">
        <v>7</v>
      </c>
      <c r="CI341" s="27" t="s">
        <v>8</v>
      </c>
      <c r="CM341" s="31"/>
    </row>
    <row r="342" spans="1:94" x14ac:dyDescent="0.25">
      <c r="A342" s="30">
        <v>6.8974965967103846E-3</v>
      </c>
      <c r="B342"/>
      <c r="C342"/>
      <c r="D342"/>
      <c r="E342"/>
      <c r="F342" s="27" t="s">
        <v>7</v>
      </c>
      <c r="CA342" s="27" t="s">
        <v>8</v>
      </c>
      <c r="CB342" s="27" t="s">
        <v>7</v>
      </c>
      <c r="CC342" s="27" t="s">
        <v>8</v>
      </c>
      <c r="CF342" s="27" t="s">
        <v>7</v>
      </c>
      <c r="CG342" s="27" t="s">
        <v>8</v>
      </c>
      <c r="CH342" s="27" t="s">
        <v>7</v>
      </c>
      <c r="CI342" s="27" t="s">
        <v>8</v>
      </c>
      <c r="CL342" s="31"/>
    </row>
    <row r="343" spans="1:94" x14ac:dyDescent="0.25">
      <c r="A343" s="30">
        <v>6.5690443778194116E-3</v>
      </c>
      <c r="B343"/>
      <c r="C343"/>
      <c r="D343"/>
      <c r="E343"/>
      <c r="F343" s="27" t="s">
        <v>7</v>
      </c>
      <c r="CA343" s="27" t="s">
        <v>8</v>
      </c>
      <c r="CB343" s="27" t="s">
        <v>7</v>
      </c>
      <c r="CC343" s="27" t="s">
        <v>8</v>
      </c>
      <c r="CF343" s="27" t="s">
        <v>7</v>
      </c>
      <c r="CG343" s="27" t="s">
        <v>8</v>
      </c>
      <c r="CH343" s="27" t="s">
        <v>7</v>
      </c>
      <c r="CI343" s="27" t="s">
        <v>8</v>
      </c>
      <c r="CK343" s="31"/>
    </row>
    <row r="344" spans="1:94" x14ac:dyDescent="0.25">
      <c r="A344" s="30">
        <v>6.2562327407803897E-3</v>
      </c>
      <c r="B344"/>
      <c r="C344"/>
      <c r="D344"/>
      <c r="E344"/>
      <c r="F344" s="27" t="s">
        <v>7</v>
      </c>
      <c r="CA344" s="27" t="s">
        <v>8</v>
      </c>
      <c r="CB344" s="27" t="s">
        <v>7</v>
      </c>
      <c r="CC344" s="27" t="s">
        <v>8</v>
      </c>
      <c r="CF344" s="27" t="s">
        <v>7</v>
      </c>
      <c r="CG344" s="27" t="s">
        <v>8</v>
      </c>
      <c r="CH344" s="27" t="s">
        <v>7</v>
      </c>
      <c r="CI344" s="27" t="s">
        <v>8</v>
      </c>
      <c r="CJ344" s="31"/>
    </row>
    <row r="345" spans="1:94" x14ac:dyDescent="0.25">
      <c r="A345" s="30">
        <v>5.9583168959813212E-3</v>
      </c>
      <c r="B345"/>
      <c r="C345"/>
      <c r="D345"/>
      <c r="E345"/>
      <c r="F345" s="27" t="s">
        <v>7</v>
      </c>
      <c r="CA345" s="27" t="s">
        <v>8</v>
      </c>
      <c r="CB345" s="27" t="s">
        <v>7</v>
      </c>
      <c r="CC345" s="27" t="s">
        <v>8</v>
      </c>
      <c r="CF345" s="27" t="s">
        <v>7</v>
      </c>
      <c r="CH345" s="27" t="s">
        <v>7</v>
      </c>
      <c r="CI345" s="31"/>
    </row>
    <row r="346" spans="1:94" x14ac:dyDescent="0.25">
      <c r="A346" s="30">
        <v>5.6745875199822084E-3</v>
      </c>
      <c r="B346"/>
      <c r="C346"/>
      <c r="D346"/>
      <c r="E346"/>
      <c r="F346" s="27" t="s">
        <v>7</v>
      </c>
      <c r="BS346" s="27" t="s">
        <v>8</v>
      </c>
      <c r="CA346" s="27" t="s">
        <v>8</v>
      </c>
      <c r="CB346" s="27" t="s">
        <v>7</v>
      </c>
      <c r="CC346" s="27" t="s">
        <v>8</v>
      </c>
      <c r="CH346" s="31"/>
    </row>
    <row r="347" spans="1:94" x14ac:dyDescent="0.25">
      <c r="A347" s="30">
        <v>5.4043690666497205E-3</v>
      </c>
      <c r="B347"/>
      <c r="C347"/>
      <c r="D347"/>
      <c r="E347"/>
      <c r="F347" s="27" t="s">
        <v>7</v>
      </c>
      <c r="BS347" s="27" t="s">
        <v>8</v>
      </c>
      <c r="BT347" s="27" t="s">
        <v>7</v>
      </c>
      <c r="BU347" s="27" t="s">
        <v>8</v>
      </c>
      <c r="CA347" s="27" t="s">
        <v>8</v>
      </c>
      <c r="CB347" s="27" t="s">
        <v>7</v>
      </c>
      <c r="CC347" s="27" t="s">
        <v>8</v>
      </c>
      <c r="CG347" s="31"/>
    </row>
    <row r="348" spans="1:94" x14ac:dyDescent="0.25">
      <c r="A348" s="30">
        <v>5.1470181587140174E-3</v>
      </c>
      <c r="B348"/>
      <c r="C348"/>
      <c r="D348"/>
      <c r="E348"/>
      <c r="F348" s="27" t="s">
        <v>7</v>
      </c>
      <c r="BS348" s="27" t="s">
        <v>8</v>
      </c>
      <c r="BT348" s="27" t="s">
        <v>7</v>
      </c>
      <c r="BU348" s="27" t="s">
        <v>8</v>
      </c>
      <c r="BV348" s="27" t="s">
        <v>7</v>
      </c>
      <c r="CA348" s="27" t="s">
        <v>8</v>
      </c>
      <c r="CB348" s="27" t="s">
        <v>7</v>
      </c>
      <c r="CC348" s="27" t="s">
        <v>8</v>
      </c>
      <c r="CF348" s="31"/>
    </row>
    <row r="349" spans="1:94" x14ac:dyDescent="0.25">
      <c r="A349" s="30">
        <v>4.9019220559181099E-3</v>
      </c>
      <c r="B349"/>
      <c r="C349"/>
      <c r="D349"/>
      <c r="E349"/>
      <c r="F349" s="27" t="s">
        <v>7</v>
      </c>
      <c r="AE349" s="27" t="s">
        <v>8</v>
      </c>
      <c r="AO349" s="27" t="s">
        <v>8</v>
      </c>
      <c r="BS349" s="27" t="s">
        <v>8</v>
      </c>
      <c r="BT349" s="27" t="s">
        <v>7</v>
      </c>
      <c r="BU349" s="27" t="s">
        <v>8</v>
      </c>
      <c r="BV349" s="27" t="s">
        <v>7</v>
      </c>
      <c r="CA349" s="27" t="s">
        <v>8</v>
      </c>
      <c r="CB349" s="27" t="s">
        <v>7</v>
      </c>
      <c r="CC349" s="27" t="s">
        <v>8</v>
      </c>
      <c r="CE349" s="31"/>
    </row>
    <row r="350" spans="1:94" x14ac:dyDescent="0.25">
      <c r="A350" s="30">
        <v>4.6684971961124836E-3</v>
      </c>
      <c r="B350"/>
      <c r="C350"/>
      <c r="D350"/>
      <c r="E350"/>
      <c r="F350" s="27" t="s">
        <v>7</v>
      </c>
      <c r="AE350" s="27" t="s">
        <v>8</v>
      </c>
      <c r="AF350" s="27" t="s">
        <v>7</v>
      </c>
      <c r="AO350" s="27" t="s">
        <v>8</v>
      </c>
      <c r="AP350" s="27" t="s">
        <v>7</v>
      </c>
      <c r="BQ350" s="27" t="s">
        <v>8</v>
      </c>
      <c r="BS350" s="27" t="s">
        <v>8</v>
      </c>
      <c r="BT350" s="27" t="s">
        <v>7</v>
      </c>
      <c r="BU350" s="27" t="s">
        <v>8</v>
      </c>
      <c r="BV350" s="27" t="s">
        <v>7</v>
      </c>
      <c r="CA350" s="27" t="s">
        <v>8</v>
      </c>
      <c r="CB350" s="27" t="s">
        <v>7</v>
      </c>
      <c r="CD350" s="31"/>
    </row>
    <row r="351" spans="1:94" x14ac:dyDescent="0.25">
      <c r="A351" s="30">
        <v>4.4461878058214112E-3</v>
      </c>
      <c r="B351"/>
      <c r="C351"/>
      <c r="D351"/>
      <c r="E351"/>
      <c r="F351" s="27" t="s">
        <v>7</v>
      </c>
      <c r="AE351" s="27" t="s">
        <v>8</v>
      </c>
      <c r="AF351" s="27" t="s">
        <v>7</v>
      </c>
      <c r="AK351" s="27" t="s">
        <v>8</v>
      </c>
      <c r="AM351" s="27" t="s">
        <v>8</v>
      </c>
      <c r="AO351" s="27" t="s">
        <v>8</v>
      </c>
      <c r="AP351" s="27" t="s">
        <v>7</v>
      </c>
      <c r="BE351" s="27" t="s">
        <v>8</v>
      </c>
      <c r="BQ351" s="27" t="s">
        <v>8</v>
      </c>
      <c r="BR351" s="27" t="s">
        <v>7</v>
      </c>
      <c r="BS351" s="27" t="s">
        <v>8</v>
      </c>
      <c r="BT351" s="27" t="s">
        <v>7</v>
      </c>
      <c r="BU351" s="27" t="s">
        <v>8</v>
      </c>
      <c r="BV351" s="27" t="s">
        <v>7</v>
      </c>
      <c r="BY351" s="27" t="s">
        <v>8</v>
      </c>
      <c r="CA351" s="27" t="s">
        <v>8</v>
      </c>
      <c r="CC351" s="31"/>
    </row>
    <row r="352" spans="1:94" x14ac:dyDescent="0.25">
      <c r="A352" s="30">
        <v>4.2344645769727711E-3</v>
      </c>
      <c r="B352"/>
      <c r="C352"/>
      <c r="D352"/>
      <c r="E352"/>
      <c r="F352" s="27" t="s">
        <v>7</v>
      </c>
      <c r="AE352" s="27" t="s">
        <v>8</v>
      </c>
      <c r="AF352" s="27" t="s">
        <v>7</v>
      </c>
      <c r="AK352" s="27" t="s">
        <v>8</v>
      </c>
      <c r="AL352" s="27" t="s">
        <v>7</v>
      </c>
      <c r="AM352" s="27" t="s">
        <v>8</v>
      </c>
      <c r="AN352" s="27" t="s">
        <v>7</v>
      </c>
      <c r="AO352" s="27" t="s">
        <v>8</v>
      </c>
      <c r="AP352" s="27" t="s">
        <v>7</v>
      </c>
      <c r="BE352" s="27" t="s">
        <v>8</v>
      </c>
      <c r="BF352" s="27" t="s">
        <v>7</v>
      </c>
      <c r="BQ352" s="27" t="s">
        <v>8</v>
      </c>
      <c r="BR352" s="27" t="s">
        <v>7</v>
      </c>
      <c r="BS352" s="27" t="s">
        <v>8</v>
      </c>
      <c r="BT352" s="27" t="s">
        <v>7</v>
      </c>
      <c r="BV352" s="27" t="s">
        <v>7</v>
      </c>
      <c r="BW352" s="27" t="s">
        <v>8</v>
      </c>
      <c r="BY352" s="27" t="s">
        <v>8</v>
      </c>
      <c r="BZ352" s="27" t="s">
        <v>7</v>
      </c>
      <c r="CA352" s="27" t="s">
        <v>8</v>
      </c>
      <c r="CB352" s="31"/>
    </row>
    <row r="353" spans="1:79" x14ac:dyDescent="0.25">
      <c r="A353" s="30">
        <v>4.0328234066407329E-3</v>
      </c>
      <c r="B353"/>
      <c r="C353"/>
      <c r="D353"/>
      <c r="E353"/>
      <c r="F353" s="27" t="s">
        <v>7</v>
      </c>
      <c r="AE353" s="27" t="s">
        <v>8</v>
      </c>
      <c r="AF353" s="27" t="s">
        <v>7</v>
      </c>
      <c r="AI353" s="27" t="s">
        <v>8</v>
      </c>
      <c r="AK353" s="27" t="s">
        <v>8</v>
      </c>
      <c r="AL353" s="27" t="s">
        <v>7</v>
      </c>
      <c r="AM353" s="27" t="s">
        <v>8</v>
      </c>
      <c r="AN353" s="27" t="s">
        <v>7</v>
      </c>
      <c r="AO353" s="27" t="s">
        <v>8</v>
      </c>
      <c r="AP353" s="27" t="s">
        <v>7</v>
      </c>
      <c r="AU353" s="27" t="s">
        <v>8</v>
      </c>
      <c r="BC353" s="27" t="s">
        <v>8</v>
      </c>
      <c r="BE353" s="27" t="s">
        <v>8</v>
      </c>
      <c r="BF353" s="27" t="s">
        <v>7</v>
      </c>
      <c r="BQ353" s="27" t="s">
        <v>8</v>
      </c>
      <c r="BR353" s="27" t="s">
        <v>7</v>
      </c>
      <c r="BS353" s="27" t="s">
        <v>8</v>
      </c>
      <c r="BV353" s="27" t="s">
        <v>7</v>
      </c>
      <c r="BW353" s="27" t="s">
        <v>8</v>
      </c>
      <c r="BX353" s="27" t="s">
        <v>7</v>
      </c>
      <c r="BY353" s="27" t="s">
        <v>8</v>
      </c>
      <c r="BZ353" s="27" t="s">
        <v>7</v>
      </c>
      <c r="CA353" s="31" t="s">
        <v>8</v>
      </c>
    </row>
    <row r="354" spans="1:79" x14ac:dyDescent="0.25">
      <c r="A354" s="30">
        <v>3.8407841968006963E-3</v>
      </c>
      <c r="B354"/>
      <c r="C354"/>
      <c r="D354"/>
      <c r="E354"/>
      <c r="F354" s="27" t="s">
        <v>7</v>
      </c>
      <c r="AE354" s="27" t="s">
        <v>8</v>
      </c>
      <c r="AF354" s="27" t="s">
        <v>7</v>
      </c>
      <c r="AI354" s="27" t="s">
        <v>8</v>
      </c>
      <c r="AJ354" s="27" t="s">
        <v>7</v>
      </c>
      <c r="AK354" s="27" t="s">
        <v>8</v>
      </c>
      <c r="AL354" s="27" t="s">
        <v>7</v>
      </c>
      <c r="AM354" s="27" t="s">
        <v>8</v>
      </c>
      <c r="AN354" s="27" t="s">
        <v>7</v>
      </c>
      <c r="AP354" s="27" t="s">
        <v>7</v>
      </c>
      <c r="AU354" s="27" t="s">
        <v>8</v>
      </c>
      <c r="AV354" s="27" t="s">
        <v>7</v>
      </c>
      <c r="BA354" s="27" t="s">
        <v>8</v>
      </c>
      <c r="BC354" s="27" t="s">
        <v>8</v>
      </c>
      <c r="BD354" s="27" t="s">
        <v>7</v>
      </c>
      <c r="BE354" s="27" t="s">
        <v>8</v>
      </c>
      <c r="BF354" s="27" t="s">
        <v>7</v>
      </c>
      <c r="BM354" s="27" t="s">
        <v>8</v>
      </c>
      <c r="BO354" s="27" t="s">
        <v>8</v>
      </c>
      <c r="BQ354" s="27" t="s">
        <v>8</v>
      </c>
      <c r="BR354" s="27" t="s">
        <v>7</v>
      </c>
      <c r="BS354" s="27" t="s">
        <v>8</v>
      </c>
      <c r="BV354" s="27" t="s">
        <v>7</v>
      </c>
      <c r="BW354" s="27" t="s">
        <v>8</v>
      </c>
      <c r="BX354" s="27" t="s">
        <v>7</v>
      </c>
      <c r="BY354" s="27" t="s">
        <v>8</v>
      </c>
      <c r="BZ354" s="31" t="s">
        <v>7</v>
      </c>
    </row>
    <row r="355" spans="1:79" x14ac:dyDescent="0.25">
      <c r="A355" s="30">
        <v>3.6578897112387568E-3</v>
      </c>
      <c r="B355"/>
      <c r="C355"/>
      <c r="D355"/>
      <c r="E355"/>
      <c r="F355" s="27" t="s">
        <v>7</v>
      </c>
      <c r="AE355" s="27" t="s">
        <v>8</v>
      </c>
      <c r="AF355" s="27" t="s">
        <v>7</v>
      </c>
      <c r="AI355" s="27" t="s">
        <v>8</v>
      </c>
      <c r="AJ355" s="27" t="s">
        <v>7</v>
      </c>
      <c r="AK355" s="27" t="s">
        <v>8</v>
      </c>
      <c r="AL355" s="27" t="s">
        <v>7</v>
      </c>
      <c r="AP355" s="27" t="s">
        <v>7</v>
      </c>
      <c r="AU355" s="27" t="s">
        <v>8</v>
      </c>
      <c r="AV355" s="27" t="s">
        <v>7</v>
      </c>
      <c r="BA355" s="27" t="s">
        <v>8</v>
      </c>
      <c r="BB355" s="27" t="s">
        <v>7</v>
      </c>
      <c r="BC355" s="27" t="s">
        <v>8</v>
      </c>
      <c r="BD355" s="27" t="s">
        <v>7</v>
      </c>
      <c r="BE355" s="27" t="s">
        <v>8</v>
      </c>
      <c r="BF355" s="27" t="s">
        <v>7</v>
      </c>
      <c r="BI355" s="27" t="s">
        <v>8</v>
      </c>
      <c r="BM355" s="27" t="s">
        <v>8</v>
      </c>
      <c r="BN355" s="27" t="s">
        <v>7</v>
      </c>
      <c r="BO355" s="27" t="s">
        <v>8</v>
      </c>
      <c r="BP355" s="27" t="s">
        <v>7</v>
      </c>
      <c r="BQ355" s="27" t="s">
        <v>8</v>
      </c>
      <c r="BR355" s="27" t="s">
        <v>7</v>
      </c>
      <c r="BV355" s="27" t="s">
        <v>7</v>
      </c>
      <c r="BW355" s="27" t="s">
        <v>8</v>
      </c>
      <c r="BX355" s="27" t="s">
        <v>7</v>
      </c>
    </row>
    <row r="356" spans="1:79" x14ac:dyDescent="0.25">
      <c r="A356" s="30">
        <v>3.4837044868940526E-3</v>
      </c>
      <c r="B356"/>
      <c r="C356"/>
      <c r="D356"/>
      <c r="E356"/>
      <c r="F356" s="27" t="s">
        <v>7</v>
      </c>
      <c r="AE356" s="27" t="s">
        <v>8</v>
      </c>
      <c r="AF356" s="27" t="s">
        <v>7</v>
      </c>
      <c r="AG356" s="27" t="s">
        <v>8</v>
      </c>
      <c r="AI356" s="27" t="s">
        <v>8</v>
      </c>
      <c r="AJ356" s="27" t="s">
        <v>7</v>
      </c>
      <c r="AP356" s="27" t="s">
        <v>7</v>
      </c>
      <c r="AU356" s="27" t="s">
        <v>8</v>
      </c>
      <c r="AV356" s="27" t="s">
        <v>7</v>
      </c>
      <c r="BA356" s="27" t="s">
        <v>8</v>
      </c>
      <c r="BB356" s="27" t="s">
        <v>7</v>
      </c>
      <c r="BC356" s="27" t="s">
        <v>8</v>
      </c>
      <c r="BD356" s="27" t="s">
        <v>7</v>
      </c>
      <c r="BF356" s="27" t="s">
        <v>7</v>
      </c>
      <c r="BG356" s="27" t="s">
        <v>8</v>
      </c>
      <c r="BI356" s="27" t="s">
        <v>8</v>
      </c>
      <c r="BJ356" s="27" t="s">
        <v>7</v>
      </c>
      <c r="BM356" s="27" t="s">
        <v>8</v>
      </c>
      <c r="BN356" s="27" t="s">
        <v>7</v>
      </c>
      <c r="BO356" s="27" t="s">
        <v>8</v>
      </c>
      <c r="BP356" s="27" t="s">
        <v>7</v>
      </c>
      <c r="BQ356" s="27" t="s">
        <v>8</v>
      </c>
      <c r="BV356" s="27" t="s">
        <v>7</v>
      </c>
    </row>
    <row r="357" spans="1:79" x14ac:dyDescent="0.25">
      <c r="A357" s="30">
        <v>3.3178137970419535E-3</v>
      </c>
      <c r="B357"/>
      <c r="C357"/>
      <c r="D357"/>
      <c r="E357"/>
      <c r="F357" s="27" t="s">
        <v>7</v>
      </c>
      <c r="Q357" s="27" t="s">
        <v>8</v>
      </c>
      <c r="AE357" s="27" t="s">
        <v>8</v>
      </c>
      <c r="AF357" s="27" t="s">
        <v>7</v>
      </c>
      <c r="AG357" s="27" t="s">
        <v>8</v>
      </c>
      <c r="AH357" s="27" t="s">
        <v>7</v>
      </c>
      <c r="AI357" s="27" t="s">
        <v>8</v>
      </c>
      <c r="AP357" s="27" t="s">
        <v>7</v>
      </c>
      <c r="AU357" s="27" t="s">
        <v>8</v>
      </c>
      <c r="AV357" s="27" t="s">
        <v>7</v>
      </c>
      <c r="AW357" s="27" t="s">
        <v>8</v>
      </c>
      <c r="BA357" s="27" t="s">
        <v>8</v>
      </c>
      <c r="BB357" s="27" t="s">
        <v>7</v>
      </c>
      <c r="BC357" s="27" t="s">
        <v>8</v>
      </c>
      <c r="BF357" s="27" t="s">
        <v>7</v>
      </c>
      <c r="BG357" s="27" t="s">
        <v>8</v>
      </c>
      <c r="BH357" s="27" t="s">
        <v>7</v>
      </c>
      <c r="BI357" s="27" t="s">
        <v>8</v>
      </c>
      <c r="BJ357" s="27" t="s">
        <v>7</v>
      </c>
      <c r="BK357" s="27" t="s">
        <v>8</v>
      </c>
      <c r="BM357" s="27" t="s">
        <v>8</v>
      </c>
      <c r="BN357" s="27" t="s">
        <v>7</v>
      </c>
      <c r="BP357" s="27" t="s">
        <v>7</v>
      </c>
    </row>
    <row r="358" spans="1:79" x14ac:dyDescent="0.25">
      <c r="A358" s="30">
        <v>3.1598226638494781E-3</v>
      </c>
      <c r="B358"/>
      <c r="C358"/>
      <c r="D358"/>
      <c r="E358"/>
      <c r="F358" s="27" t="s">
        <v>7</v>
      </c>
      <c r="Q358" s="27" t="s">
        <v>8</v>
      </c>
      <c r="R358" s="27" t="s">
        <v>7</v>
      </c>
      <c r="AE358" s="27" t="s">
        <v>8</v>
      </c>
      <c r="AF358" s="27" t="s">
        <v>7</v>
      </c>
      <c r="AG358" s="27" t="s">
        <v>8</v>
      </c>
      <c r="AH358" s="27" t="s">
        <v>7</v>
      </c>
      <c r="AI358" s="27" t="s">
        <v>8</v>
      </c>
      <c r="AP358" s="27" t="s">
        <v>7</v>
      </c>
      <c r="AQ358" s="27" t="s">
        <v>8</v>
      </c>
      <c r="AU358" s="27" t="s">
        <v>8</v>
      </c>
      <c r="AV358" s="27" t="s">
        <v>7</v>
      </c>
      <c r="AW358" s="27" t="s">
        <v>8</v>
      </c>
      <c r="AX358" s="27" t="s">
        <v>7</v>
      </c>
      <c r="AY358" s="27" t="s">
        <v>8</v>
      </c>
      <c r="BA358" s="27" t="s">
        <v>8</v>
      </c>
      <c r="BB358" s="27" t="s">
        <v>7</v>
      </c>
      <c r="BF358" s="27" t="s">
        <v>7</v>
      </c>
      <c r="BG358" s="27" t="s">
        <v>8</v>
      </c>
      <c r="BH358" s="27" t="s">
        <v>7</v>
      </c>
      <c r="BI358" s="27" t="s">
        <v>8</v>
      </c>
      <c r="BJ358" s="27" t="s">
        <v>7</v>
      </c>
      <c r="BK358" s="27" t="s">
        <v>8</v>
      </c>
      <c r="BL358" s="27" t="s">
        <v>7</v>
      </c>
      <c r="BM358" s="27" t="s">
        <v>8</v>
      </c>
    </row>
    <row r="359" spans="1:79" x14ac:dyDescent="0.25">
      <c r="A359" s="30">
        <v>3.0093549179518826E-3</v>
      </c>
      <c r="B359"/>
      <c r="C359"/>
      <c r="D359"/>
      <c r="E359"/>
      <c r="F359" s="27" t="s">
        <v>7</v>
      </c>
      <c r="M359" s="27" t="s">
        <v>8</v>
      </c>
      <c r="Q359" s="27" t="s">
        <v>8</v>
      </c>
      <c r="R359" s="27" t="s">
        <v>7</v>
      </c>
      <c r="AE359" s="27" t="s">
        <v>8</v>
      </c>
      <c r="AF359" s="27" t="s">
        <v>7</v>
      </c>
      <c r="AH359" s="27" t="s">
        <v>7</v>
      </c>
      <c r="AI359" s="27" t="s">
        <v>8</v>
      </c>
      <c r="AP359" s="27" t="s">
        <v>7</v>
      </c>
      <c r="AQ359" s="27" t="s">
        <v>8</v>
      </c>
      <c r="AR359" s="27" t="s">
        <v>7</v>
      </c>
      <c r="AU359" s="27" t="s">
        <v>8</v>
      </c>
      <c r="AV359" s="27" t="s">
        <v>7</v>
      </c>
      <c r="AW359" s="27" t="s">
        <v>8</v>
      </c>
      <c r="AX359" s="27" t="s">
        <v>7</v>
      </c>
      <c r="AY359" s="27" t="s">
        <v>8</v>
      </c>
      <c r="AZ359" s="27" t="s">
        <v>7</v>
      </c>
      <c r="BA359" s="27" t="s">
        <v>8</v>
      </c>
      <c r="BF359" s="27" t="s">
        <v>7</v>
      </c>
      <c r="BG359" s="27" t="s">
        <v>8</v>
      </c>
      <c r="BH359" s="27" t="s">
        <v>7</v>
      </c>
      <c r="BI359" s="27" t="s">
        <v>8</v>
      </c>
      <c r="BJ359" s="27" t="s">
        <v>7</v>
      </c>
      <c r="BK359" s="27" t="s">
        <v>8</v>
      </c>
      <c r="BL359" s="27" t="s">
        <v>7</v>
      </c>
      <c r="BM359" s="27" t="s">
        <v>8</v>
      </c>
    </row>
    <row r="360" spans="1:79" x14ac:dyDescent="0.25">
      <c r="A360" s="30">
        <v>2.8660523028113155E-3</v>
      </c>
      <c r="B360"/>
      <c r="C360"/>
      <c r="D360"/>
      <c r="E360"/>
      <c r="F360" s="27" t="s">
        <v>7</v>
      </c>
      <c r="M360" s="27" t="s">
        <v>8</v>
      </c>
      <c r="N360" s="27" t="s">
        <v>7</v>
      </c>
      <c r="Q360" s="27" t="s">
        <v>8</v>
      </c>
      <c r="R360" s="27" t="s">
        <v>7</v>
      </c>
      <c r="AE360" s="27" t="s">
        <v>8</v>
      </c>
      <c r="AH360" s="27" t="s">
        <v>7</v>
      </c>
      <c r="AI360" s="27" t="s">
        <v>8</v>
      </c>
      <c r="AP360" s="27" t="s">
        <v>7</v>
      </c>
      <c r="AQ360" s="27" t="s">
        <v>8</v>
      </c>
      <c r="AR360" s="27" t="s">
        <v>7</v>
      </c>
      <c r="AS360" s="27" t="s">
        <v>8</v>
      </c>
      <c r="AU360" s="27" t="s">
        <v>8</v>
      </c>
      <c r="AV360" s="27" t="s">
        <v>7</v>
      </c>
      <c r="AW360" s="27" t="s">
        <v>8</v>
      </c>
      <c r="AX360" s="27" t="s">
        <v>7</v>
      </c>
      <c r="AY360" s="27" t="s">
        <v>8</v>
      </c>
      <c r="AZ360" s="27" t="s">
        <v>7</v>
      </c>
      <c r="BA360" s="27" t="s">
        <v>8</v>
      </c>
      <c r="BF360" s="27" t="s">
        <v>7</v>
      </c>
      <c r="BG360" s="27" t="s">
        <v>8</v>
      </c>
      <c r="BH360" s="27" t="s">
        <v>7</v>
      </c>
      <c r="BJ360" s="27" t="s">
        <v>7</v>
      </c>
      <c r="BL360" s="27" t="s">
        <v>7</v>
      </c>
    </row>
    <row r="361" spans="1:79" x14ac:dyDescent="0.25">
      <c r="A361" s="30">
        <v>2.7295736217250611E-3</v>
      </c>
      <c r="B361"/>
      <c r="C361"/>
      <c r="D361"/>
      <c r="E361"/>
      <c r="F361" s="27" t="s">
        <v>7</v>
      </c>
      <c r="G361" s="27" t="s">
        <v>8</v>
      </c>
      <c r="I361" s="27" t="s">
        <v>8</v>
      </c>
      <c r="K361" s="27" t="s">
        <v>8</v>
      </c>
      <c r="M361" s="27" t="s">
        <v>8</v>
      </c>
      <c r="N361" s="27" t="s">
        <v>7</v>
      </c>
      <c r="Q361" s="27" t="s">
        <v>8</v>
      </c>
      <c r="R361" s="27" t="s">
        <v>7</v>
      </c>
      <c r="AE361" s="27" t="s">
        <v>8</v>
      </c>
      <c r="AH361" s="27" t="s">
        <v>7</v>
      </c>
      <c r="AP361" s="27" t="s">
        <v>7</v>
      </c>
      <c r="AQ361" s="27" t="s">
        <v>8</v>
      </c>
      <c r="AR361" s="27" t="s">
        <v>7</v>
      </c>
      <c r="AS361" s="27" t="s">
        <v>8</v>
      </c>
      <c r="AT361" s="27" t="s">
        <v>7</v>
      </c>
      <c r="AU361" s="27" t="s">
        <v>8</v>
      </c>
      <c r="AV361" s="27" t="s">
        <v>7</v>
      </c>
      <c r="AX361" s="27" t="s">
        <v>7</v>
      </c>
      <c r="AZ361" s="27" t="s">
        <v>7</v>
      </c>
      <c r="BA361" s="27" t="s">
        <v>8</v>
      </c>
      <c r="BF361" s="27" t="s">
        <v>7</v>
      </c>
    </row>
    <row r="362" spans="1:79" x14ac:dyDescent="0.25">
      <c r="A362" s="30">
        <v>2.5995939254524381E-3</v>
      </c>
      <c r="B362"/>
      <c r="C362"/>
      <c r="D362"/>
      <c r="E362"/>
      <c r="F362" s="27" t="s">
        <v>7</v>
      </c>
      <c r="G362" s="27" t="s">
        <v>8</v>
      </c>
      <c r="H362" s="27" t="s">
        <v>7</v>
      </c>
      <c r="I362" s="27" t="s">
        <v>8</v>
      </c>
      <c r="J362" s="27" t="s">
        <v>7</v>
      </c>
      <c r="K362" s="27" t="s">
        <v>8</v>
      </c>
      <c r="L362" s="27" t="s">
        <v>7</v>
      </c>
      <c r="M362" s="27" t="s">
        <v>8</v>
      </c>
      <c r="N362" s="27" t="s">
        <v>7</v>
      </c>
      <c r="O362" s="27" t="s">
        <v>8</v>
      </c>
      <c r="Q362" s="27" t="s">
        <v>8</v>
      </c>
      <c r="R362" s="27" t="s">
        <v>7</v>
      </c>
      <c r="AE362" s="27" t="s">
        <v>8</v>
      </c>
      <c r="AP362" s="27" t="s">
        <v>7</v>
      </c>
      <c r="AR362" s="27" t="s">
        <v>7</v>
      </c>
      <c r="AS362" s="27" t="s">
        <v>8</v>
      </c>
      <c r="AT362" s="27" t="s">
        <v>7</v>
      </c>
      <c r="AU362" s="27" t="s">
        <v>8</v>
      </c>
      <c r="AZ362" s="27" t="s">
        <v>7</v>
      </c>
      <c r="BA362" s="27" t="s">
        <v>8</v>
      </c>
    </row>
    <row r="363" spans="1:79" x14ac:dyDescent="0.25">
      <c r="A363" s="30">
        <v>2.4758037385261304E-3</v>
      </c>
      <c r="B363"/>
      <c r="C363"/>
      <c r="D363"/>
      <c r="E363"/>
      <c r="F363" s="27" t="s">
        <v>7</v>
      </c>
      <c r="G363" s="27" t="s">
        <v>8</v>
      </c>
      <c r="H363" s="27" t="s">
        <v>7</v>
      </c>
      <c r="I363" s="27" t="s">
        <v>8</v>
      </c>
      <c r="J363" s="27" t="s">
        <v>7</v>
      </c>
      <c r="K363" s="27" t="s">
        <v>8</v>
      </c>
      <c r="L363" s="27" t="s">
        <v>7</v>
      </c>
      <c r="M363" s="27" t="s">
        <v>8</v>
      </c>
      <c r="N363" s="27" t="s">
        <v>7</v>
      </c>
      <c r="O363" s="27" t="s">
        <v>8</v>
      </c>
      <c r="P363" s="27" t="s">
        <v>7</v>
      </c>
      <c r="Q363" s="27" t="s">
        <v>8</v>
      </c>
      <c r="R363" s="27" t="s">
        <v>7</v>
      </c>
      <c r="AE363" s="27" t="s">
        <v>8</v>
      </c>
      <c r="AR363" s="27" t="s">
        <v>7</v>
      </c>
      <c r="AS363" s="27" t="s">
        <v>8</v>
      </c>
      <c r="AT363" s="27" t="s">
        <v>7</v>
      </c>
      <c r="AU363" s="27" t="s">
        <v>8</v>
      </c>
      <c r="AZ363" s="27" t="s">
        <v>7</v>
      </c>
      <c r="BA363" s="27" t="s">
        <v>8</v>
      </c>
    </row>
    <row r="364" spans="1:79" x14ac:dyDescent="0.25">
      <c r="A364" s="30">
        <v>2.3579083224058374E-3</v>
      </c>
      <c r="B364"/>
      <c r="C364"/>
      <c r="D364"/>
      <c r="E364"/>
      <c r="F364" s="27" t="s">
        <v>7</v>
      </c>
      <c r="G364" s="27" t="s">
        <v>8</v>
      </c>
      <c r="H364" s="27" t="s">
        <v>7</v>
      </c>
      <c r="I364" s="27" t="s">
        <v>8</v>
      </c>
      <c r="J364" s="27" t="s">
        <v>7</v>
      </c>
      <c r="L364" s="27" t="s">
        <v>7</v>
      </c>
      <c r="N364" s="27" t="s">
        <v>7</v>
      </c>
      <c r="O364" s="27" t="s">
        <v>8</v>
      </c>
      <c r="P364" s="27" t="s">
        <v>7</v>
      </c>
      <c r="Q364" s="27" t="s">
        <v>8</v>
      </c>
      <c r="R364" s="27" t="s">
        <v>7</v>
      </c>
      <c r="AE364" s="27" t="s">
        <v>8</v>
      </c>
      <c r="AR364" s="27" t="s">
        <v>7</v>
      </c>
      <c r="AT364" s="27" t="s">
        <v>7</v>
      </c>
      <c r="AZ364" s="27" t="s">
        <v>7</v>
      </c>
    </row>
    <row r="365" spans="1:79" x14ac:dyDescent="0.25">
      <c r="A365" s="30">
        <v>2.245626973719844E-3</v>
      </c>
      <c r="B365"/>
      <c r="C365"/>
      <c r="D365"/>
      <c r="E365"/>
      <c r="F365" s="27" t="s">
        <v>7</v>
      </c>
      <c r="G365" s="27" t="s">
        <v>8</v>
      </c>
      <c r="H365" s="27" t="s">
        <v>7</v>
      </c>
      <c r="I365" s="27" t="s">
        <v>8</v>
      </c>
      <c r="N365" s="27" t="s">
        <v>7</v>
      </c>
      <c r="P365" s="27" t="s">
        <v>7</v>
      </c>
      <c r="Q365" s="27" t="s">
        <v>8</v>
      </c>
      <c r="R365" s="27" t="s">
        <v>7</v>
      </c>
      <c r="AE365" s="27" t="s">
        <v>8</v>
      </c>
    </row>
    <row r="366" spans="1:79" x14ac:dyDescent="0.25">
      <c r="A366" s="30">
        <v>2.1386923559236601E-3</v>
      </c>
      <c r="B366"/>
      <c r="C366"/>
      <c r="D366"/>
      <c r="E366"/>
      <c r="F366" s="27" t="s">
        <v>7</v>
      </c>
      <c r="G366" s="27" t="s">
        <v>8</v>
      </c>
      <c r="H366" s="27" t="s">
        <v>7</v>
      </c>
      <c r="P366" s="27" t="s">
        <v>7</v>
      </c>
      <c r="Q366" s="27" t="s">
        <v>8</v>
      </c>
      <c r="R366" s="27" t="s">
        <v>7</v>
      </c>
      <c r="AE366" s="27" t="s">
        <v>8</v>
      </c>
    </row>
    <row r="367" spans="1:79" x14ac:dyDescent="0.25">
      <c r="A367" s="30">
        <v>2.0368498627844375E-3</v>
      </c>
      <c r="B367"/>
      <c r="C367"/>
      <c r="D367"/>
      <c r="E367"/>
      <c r="F367" s="27" t="s">
        <v>7</v>
      </c>
      <c r="G367" s="27" t="s">
        <v>8</v>
      </c>
      <c r="P367" s="27" t="s">
        <v>7</v>
      </c>
      <c r="Q367" s="27" t="s">
        <v>8</v>
      </c>
      <c r="R367" s="27" t="s">
        <v>7</v>
      </c>
      <c r="AE367" s="27" t="s">
        <v>8</v>
      </c>
    </row>
    <row r="368" spans="1:79" x14ac:dyDescent="0.25">
      <c r="A368" s="30">
        <v>1.9398570121756541E-3</v>
      </c>
      <c r="B368"/>
      <c r="C368"/>
      <c r="D368"/>
      <c r="E368"/>
      <c r="F368" s="27" t="s">
        <v>7</v>
      </c>
      <c r="G368" s="27" t="s">
        <v>8</v>
      </c>
      <c r="P368" s="27" t="s">
        <v>7</v>
      </c>
      <c r="Q368" s="27" t="s">
        <v>8</v>
      </c>
      <c r="R368" s="27" t="s">
        <v>7</v>
      </c>
      <c r="AE368" s="27" t="s">
        <v>8</v>
      </c>
    </row>
    <row r="369" spans="1:31" x14ac:dyDescent="0.25">
      <c r="A369" s="30">
        <v>1.8474828687387174E-3</v>
      </c>
      <c r="B369"/>
      <c r="C369"/>
      <c r="D369"/>
      <c r="E369"/>
      <c r="F369" s="27" t="s">
        <v>7</v>
      </c>
      <c r="G369" s="27" t="s">
        <v>8</v>
      </c>
      <c r="P369" s="27" t="s">
        <v>7</v>
      </c>
      <c r="Q369" s="27" t="s">
        <v>8</v>
      </c>
      <c r="R369" s="27" t="s">
        <v>7</v>
      </c>
      <c r="AC369" s="27" t="s">
        <v>8</v>
      </c>
      <c r="AE369" s="27" t="s">
        <v>8</v>
      </c>
    </row>
    <row r="370" spans="1:31" x14ac:dyDescent="0.25">
      <c r="A370" s="30">
        <v>1.759507494036873E-3</v>
      </c>
      <c r="B370"/>
      <c r="C370"/>
      <c r="D370"/>
      <c r="E370"/>
      <c r="F370" s="27" t="s">
        <v>7</v>
      </c>
      <c r="G370" s="27" t="s">
        <v>8</v>
      </c>
      <c r="P370" s="27" t="s">
        <v>7</v>
      </c>
      <c r="R370" s="27" t="s">
        <v>7</v>
      </c>
      <c r="AC370" s="27" t="s">
        <v>8</v>
      </c>
      <c r="AD370" s="27" t="s">
        <v>7</v>
      </c>
      <c r="AE370" s="27" t="s">
        <v>8</v>
      </c>
    </row>
    <row r="371" spans="1:31" x14ac:dyDescent="0.25">
      <c r="A371" s="30">
        <v>1.6757214228922594E-3</v>
      </c>
      <c r="B371"/>
      <c r="C371"/>
      <c r="D371"/>
      <c r="E371"/>
      <c r="F371" s="27" t="s">
        <v>7</v>
      </c>
      <c r="G371" s="27" t="s">
        <v>8</v>
      </c>
      <c r="R371" s="27" t="s">
        <v>7</v>
      </c>
      <c r="AC371" s="27" t="s">
        <v>8</v>
      </c>
      <c r="AD371" s="27" t="s">
        <v>7</v>
      </c>
      <c r="AE371" s="27" t="s">
        <v>8</v>
      </c>
    </row>
    <row r="372" spans="1:31" x14ac:dyDescent="0.25">
      <c r="A372" s="30">
        <v>1.595925164659294E-3</v>
      </c>
      <c r="B372"/>
      <c r="C372"/>
      <c r="D372"/>
      <c r="E372"/>
      <c r="F372" s="27" t="s">
        <v>7</v>
      </c>
      <c r="G372" s="27" t="s">
        <v>8</v>
      </c>
      <c r="R372" s="27" t="s">
        <v>7</v>
      </c>
      <c r="AC372" s="27" t="s">
        <v>8</v>
      </c>
      <c r="AD372" s="27" t="s">
        <v>7</v>
      </c>
      <c r="AE372" s="27" t="s">
        <v>8</v>
      </c>
    </row>
    <row r="373" spans="1:31" x14ac:dyDescent="0.25">
      <c r="A373" s="30">
        <v>1.5199287282469461E-3</v>
      </c>
      <c r="B373"/>
      <c r="C373"/>
      <c r="D373"/>
      <c r="E373"/>
      <c r="F373" s="27" t="s">
        <v>7</v>
      </c>
      <c r="G373" s="27" t="s">
        <v>8</v>
      </c>
      <c r="R373" s="27" t="s">
        <v>7</v>
      </c>
      <c r="AA373" s="27" t="s">
        <v>8</v>
      </c>
      <c r="AC373" s="27" t="s">
        <v>8</v>
      </c>
      <c r="AD373" s="27" t="s">
        <v>7</v>
      </c>
      <c r="AE373" s="27" t="s">
        <v>8</v>
      </c>
    </row>
    <row r="374" spans="1:31" x14ac:dyDescent="0.25">
      <c r="A374" s="30">
        <v>1.4475511697589958E-3</v>
      </c>
      <c r="B374"/>
      <c r="C374"/>
      <c r="D374"/>
      <c r="E374"/>
      <c r="F374" s="27" t="s">
        <v>7</v>
      </c>
      <c r="G374" s="27" t="s">
        <v>8</v>
      </c>
      <c r="R374" s="27" t="s">
        <v>7</v>
      </c>
      <c r="AA374" s="27" t="s">
        <v>8</v>
      </c>
      <c r="AB374" s="27" t="s">
        <v>7</v>
      </c>
      <c r="AC374" s="27" t="s">
        <v>8</v>
      </c>
      <c r="AD374" s="27" t="s">
        <v>7</v>
      </c>
      <c r="AE374" s="27" t="s">
        <v>8</v>
      </c>
    </row>
    <row r="375" spans="1:31" x14ac:dyDescent="0.25">
      <c r="A375" s="30">
        <v>1.3786201616752334E-3</v>
      </c>
      <c r="B375"/>
      <c r="C375"/>
      <c r="D375"/>
      <c r="E375"/>
      <c r="F375" s="27" t="s">
        <v>7</v>
      </c>
      <c r="G375" s="27" t="s">
        <v>8</v>
      </c>
      <c r="R375" s="27" t="s">
        <v>7</v>
      </c>
      <c r="Y375" s="27" t="s">
        <v>8</v>
      </c>
      <c r="AA375" s="27" t="s">
        <v>8</v>
      </c>
      <c r="AB375" s="27" t="s">
        <v>7</v>
      </c>
      <c r="AC375" s="27" t="s">
        <v>8</v>
      </c>
      <c r="AD375" s="27" t="s">
        <v>7</v>
      </c>
    </row>
    <row r="376" spans="1:31" x14ac:dyDescent="0.25">
      <c r="A376" s="30">
        <v>1.3129715825478407E-3</v>
      </c>
      <c r="B376"/>
      <c r="C376"/>
      <c r="D376"/>
      <c r="E376"/>
      <c r="F376" s="27" t="s">
        <v>7</v>
      </c>
      <c r="G376" s="27" t="s">
        <v>8</v>
      </c>
      <c r="R376" s="27" t="s">
        <v>7</v>
      </c>
      <c r="U376" s="27" t="s">
        <v>8</v>
      </c>
      <c r="Y376" s="27" t="s">
        <v>8</v>
      </c>
      <c r="Z376" s="27" t="s">
        <v>7</v>
      </c>
      <c r="AA376" s="27" t="s">
        <v>8</v>
      </c>
      <c r="AB376" s="27" t="s">
        <v>7</v>
      </c>
      <c r="AC376" s="27" t="s">
        <v>8</v>
      </c>
    </row>
    <row r="377" spans="1:31" x14ac:dyDescent="0.25">
      <c r="A377" s="30">
        <v>1.2504491262360382E-3</v>
      </c>
      <c r="B377"/>
      <c r="C377"/>
      <c r="D377"/>
      <c r="E377"/>
      <c r="F377" s="27" t="s">
        <v>7</v>
      </c>
      <c r="G377" s="27" t="s">
        <v>8</v>
      </c>
      <c r="R377" s="27" t="s">
        <v>7</v>
      </c>
      <c r="U377" s="27" t="s">
        <v>8</v>
      </c>
      <c r="V377" s="27" t="s">
        <v>7</v>
      </c>
      <c r="W377" s="27" t="s">
        <v>8</v>
      </c>
      <c r="Y377" s="27" t="s">
        <v>8</v>
      </c>
      <c r="Z377" s="27" t="s">
        <v>7</v>
      </c>
      <c r="AA377" s="27" t="s">
        <v>8</v>
      </c>
      <c r="AB377" s="27" t="s">
        <v>7</v>
      </c>
    </row>
    <row r="378" spans="1:31" x14ac:dyDescent="0.25">
      <c r="A378" s="30">
        <v>1.1909039297486072E-3</v>
      </c>
      <c r="B378"/>
      <c r="C378"/>
      <c r="D378"/>
      <c r="E378"/>
      <c r="F378" s="27" t="s">
        <v>7</v>
      </c>
      <c r="G378" s="27" t="s">
        <v>8</v>
      </c>
      <c r="R378" s="27" t="s">
        <v>7</v>
      </c>
      <c r="S378" s="27" t="s">
        <v>8</v>
      </c>
      <c r="U378" s="27" t="s">
        <v>8</v>
      </c>
      <c r="V378" s="27" t="s">
        <v>7</v>
      </c>
      <c r="W378" s="27" t="s">
        <v>8</v>
      </c>
      <c r="X378" s="27" t="s">
        <v>7</v>
      </c>
      <c r="Y378" s="27" t="s">
        <v>8</v>
      </c>
      <c r="Z378" s="27" t="s">
        <v>7</v>
      </c>
      <c r="AA378" s="27" t="s">
        <v>8</v>
      </c>
    </row>
    <row r="379" spans="1:31" x14ac:dyDescent="0.25">
      <c r="A379" s="30">
        <v>1.1341942188081969E-3</v>
      </c>
      <c r="B379"/>
      <c r="C379"/>
      <c r="D379"/>
      <c r="E379"/>
      <c r="F379" s="27" t="s">
        <v>7</v>
      </c>
      <c r="G379" s="27" t="s">
        <v>8</v>
      </c>
      <c r="R379" s="27" t="s">
        <v>7</v>
      </c>
      <c r="S379" s="27" t="s">
        <v>8</v>
      </c>
      <c r="T379" s="27" t="s">
        <v>7</v>
      </c>
      <c r="U379" s="27" t="s">
        <v>8</v>
      </c>
      <c r="V379" s="27" t="s">
        <v>7</v>
      </c>
      <c r="W379" s="27" t="s">
        <v>8</v>
      </c>
      <c r="X379" s="27" t="s">
        <v>7</v>
      </c>
      <c r="Y379" s="27" t="s">
        <v>8</v>
      </c>
      <c r="Z379" s="27" t="s">
        <v>7</v>
      </c>
      <c r="AA379" s="27" t="s">
        <v>8</v>
      </c>
    </row>
    <row r="380" spans="1:31" x14ac:dyDescent="0.25">
      <c r="A380" s="30">
        <v>1.0801849702935203E-3</v>
      </c>
      <c r="B380"/>
      <c r="C380"/>
      <c r="D380"/>
      <c r="E380"/>
      <c r="F380" s="27" t="s">
        <v>7</v>
      </c>
      <c r="G380" s="27" t="s">
        <v>8</v>
      </c>
      <c r="R380" s="27" t="s">
        <v>7</v>
      </c>
      <c r="S380" s="27" t="s">
        <v>8</v>
      </c>
      <c r="T380" s="27" t="s">
        <v>7</v>
      </c>
      <c r="U380" s="27" t="s">
        <v>8</v>
      </c>
      <c r="V380" s="27" t="s">
        <v>7</v>
      </c>
      <c r="W380" s="27" t="s">
        <v>8</v>
      </c>
      <c r="X380" s="27" t="s">
        <v>7</v>
      </c>
      <c r="Y380" s="27" t="s">
        <v>8</v>
      </c>
      <c r="Z380" s="27" t="s">
        <v>7</v>
      </c>
    </row>
    <row r="381" spans="1:31" x14ac:dyDescent="0.25">
      <c r="A381" s="30">
        <v>1.0287475907557332E-3</v>
      </c>
      <c r="B381"/>
      <c r="C381"/>
      <c r="D381"/>
      <c r="E381"/>
      <c r="F381" s="27" t="s">
        <v>7</v>
      </c>
      <c r="R381" s="27" t="s">
        <v>7</v>
      </c>
      <c r="S381" s="27" t="s">
        <v>8</v>
      </c>
      <c r="T381" s="27" t="s">
        <v>7</v>
      </c>
      <c r="U381" s="27" t="s">
        <v>8</v>
      </c>
      <c r="V381" s="27" t="s">
        <v>7</v>
      </c>
      <c r="W381" s="27" t="s">
        <v>8</v>
      </c>
      <c r="X381" s="27" t="s">
        <v>7</v>
      </c>
      <c r="Y381" s="27" t="s">
        <v>8</v>
      </c>
    </row>
    <row r="382" spans="1:31" x14ac:dyDescent="0.25">
      <c r="A382" s="30">
        <v>9.7731021121794646E-4</v>
      </c>
      <c r="R382" s="27" t="s">
        <v>7</v>
      </c>
      <c r="S382" s="27" t="s">
        <v>8</v>
      </c>
      <c r="T382" s="27" t="s">
        <v>7</v>
      </c>
      <c r="U382" s="27" t="s">
        <v>8</v>
      </c>
      <c r="V382" s="27" t="s">
        <v>7</v>
      </c>
      <c r="X382" s="27" t="s">
        <v>7</v>
      </c>
    </row>
    <row r="383" spans="1:31" x14ac:dyDescent="0.25">
      <c r="A383" s="30">
        <v>9.2844470065704904E-4</v>
      </c>
      <c r="R383" s="27" t="s">
        <v>7</v>
      </c>
      <c r="S383" s="27" t="s">
        <v>8</v>
      </c>
      <c r="T383" s="27" t="s">
        <v>7</v>
      </c>
      <c r="U383" s="27" t="s">
        <v>8</v>
      </c>
    </row>
    <row r="384" spans="1:31" x14ac:dyDescent="0.25">
      <c r="A384" s="30">
        <v>8.8202246562419653E-4</v>
      </c>
      <c r="R384" s="27" t="s">
        <v>7</v>
      </c>
      <c r="S384" s="27" t="s">
        <v>8</v>
      </c>
      <c r="T384" s="27" t="s">
        <v>7</v>
      </c>
      <c r="U384" s="27" t="s">
        <v>8</v>
      </c>
    </row>
    <row r="385" spans="1:20" x14ac:dyDescent="0.25">
      <c r="A385" s="30">
        <v>8.3792134234298668E-4</v>
      </c>
      <c r="R385" s="27" t="s">
        <v>7</v>
      </c>
      <c r="S385" s="27" t="s">
        <v>8</v>
      </c>
      <c r="T385" s="27" t="s">
        <v>7</v>
      </c>
    </row>
    <row r="386" spans="1:20" x14ac:dyDescent="0.25">
      <c r="A386" s="30">
        <v>7.9602527522583736E-4</v>
      </c>
      <c r="R386" s="27" t="s">
        <v>7</v>
      </c>
      <c r="S386" s="27" t="s">
        <v>8</v>
      </c>
    </row>
    <row r="387" spans="1:20" x14ac:dyDescent="0.25">
      <c r="A387" s="30">
        <v>7.5622401146454546E-4</v>
      </c>
      <c r="R387" s="27" t="s">
        <v>7</v>
      </c>
      <c r="S387" s="27" t="s">
        <v>8</v>
      </c>
    </row>
    <row r="388" spans="1:20" x14ac:dyDescent="0.25">
      <c r="A388" s="30">
        <v>7.1841281089131816E-4</v>
      </c>
      <c r="R388" s="27" t="s">
        <v>7</v>
      </c>
      <c r="S388" s="27" t="s">
        <v>8</v>
      </c>
    </row>
    <row r="389" spans="1:20" x14ac:dyDescent="0.25">
      <c r="A389" s="30">
        <v>6.8249217034675226E-4</v>
      </c>
      <c r="R389" s="27" t="s">
        <v>7</v>
      </c>
      <c r="S389" s="27" t="s">
        <v>8</v>
      </c>
    </row>
    <row r="390" spans="1:20" x14ac:dyDescent="0.25">
      <c r="A390" s="30">
        <v>6.4836756182941465E-4</v>
      </c>
      <c r="R390" s="27" t="s">
        <v>7</v>
      </c>
      <c r="S390" s="27" t="s">
        <v>8</v>
      </c>
    </row>
    <row r="391" spans="1:20" x14ac:dyDescent="0.25">
      <c r="A391" s="30">
        <v>6.1594918373794388E-4</v>
      </c>
      <c r="R391" s="27" t="s">
        <v>7</v>
      </c>
      <c r="S391" s="27" t="s">
        <v>8</v>
      </c>
    </row>
    <row r="392" spans="1:20" x14ac:dyDescent="0.25">
      <c r="A392" s="30">
        <v>5.8515172455104666E-4</v>
      </c>
      <c r="R392" s="27" t="s">
        <v>7</v>
      </c>
      <c r="S392" s="27" t="s">
        <v>8</v>
      </c>
    </row>
    <row r="393" spans="1:20" x14ac:dyDescent="0.25">
      <c r="A393" s="30">
        <v>5.5589413832349429E-4</v>
      </c>
      <c r="R393" s="27" t="s">
        <v>7</v>
      </c>
      <c r="S393" s="27" t="s">
        <v>8</v>
      </c>
    </row>
    <row r="394" spans="1:20" x14ac:dyDescent="0.25">
      <c r="A394" s="30">
        <v>5.2809943140731956E-4</v>
      </c>
      <c r="R394" s="27" t="s">
        <v>7</v>
      </c>
      <c r="S394" s="27" t="s">
        <v>8</v>
      </c>
    </row>
    <row r="395" spans="1:20" x14ac:dyDescent="0.25">
      <c r="A395" s="30">
        <v>5.0169445983695357E-4</v>
      </c>
      <c r="R395" s="27" t="s">
        <v>7</v>
      </c>
      <c r="S395" s="27" t="s">
        <v>8</v>
      </c>
    </row>
    <row r="396" spans="1:20" x14ac:dyDescent="0.25">
      <c r="A396" s="30">
        <v>4.7660973684510589E-4</v>
      </c>
      <c r="R396" s="27" t="s">
        <v>7</v>
      </c>
      <c r="S396" s="27" t="s">
        <v>8</v>
      </c>
    </row>
    <row r="397" spans="1:20" x14ac:dyDescent="0.25">
      <c r="A397" s="30">
        <v>4.5277925000285056E-4</v>
      </c>
      <c r="R397" s="27" t="s">
        <v>7</v>
      </c>
      <c r="S397" s="27" t="s">
        <v>8</v>
      </c>
    </row>
    <row r="398" spans="1:20" x14ac:dyDescent="0.25">
      <c r="A398" s="30">
        <v>4.3014028750270803E-4</v>
      </c>
      <c r="R398" s="27" t="s">
        <v>7</v>
      </c>
      <c r="S398" s="27" t="s">
        <v>8</v>
      </c>
    </row>
    <row r="399" spans="1:20" x14ac:dyDescent="0.25">
      <c r="A399" s="30">
        <v>4.0863327312757263E-4</v>
      </c>
      <c r="R399" s="27" t="s">
        <v>7</v>
      </c>
      <c r="S399" s="27" t="s">
        <v>8</v>
      </c>
    </row>
    <row r="400" spans="1:20" x14ac:dyDescent="0.25">
      <c r="A400" s="30">
        <v>3.8820160947119396E-4</v>
      </c>
      <c r="R400" s="27" t="s">
        <v>7</v>
      </c>
      <c r="S400" s="27" t="s">
        <v>8</v>
      </c>
    </row>
    <row r="401" spans="1:19" x14ac:dyDescent="0.25">
      <c r="A401" s="30">
        <v>3.6879152899763426E-4</v>
      </c>
      <c r="R401" s="27" t="s">
        <v>7</v>
      </c>
      <c r="S401" s="27" t="s">
        <v>8</v>
      </c>
    </row>
    <row r="402" spans="1:19" x14ac:dyDescent="0.25">
      <c r="A402" s="30">
        <v>3.5035195254775253E-4</v>
      </c>
      <c r="R402" s="27" t="s">
        <v>7</v>
      </c>
    </row>
    <row r="403" spans="1:19" x14ac:dyDescent="0.25">
      <c r="A403" s="30">
        <v>3.3283435492036491E-4</v>
      </c>
    </row>
    <row r="404" spans="1:19" x14ac:dyDescent="0.25">
      <c r="A404" s="30">
        <v>3.1619263717434668E-4</v>
      </c>
    </row>
    <row r="405" spans="1:19" x14ac:dyDescent="0.25">
      <c r="A405" s="30">
        <v>3.0038300531562933E-4</v>
      </c>
    </row>
    <row r="406" spans="1:19" x14ac:dyDescent="0.25">
      <c r="A406" s="30">
        <v>2.8536385504984783E-4</v>
      </c>
    </row>
    <row r="407" spans="1:19" x14ac:dyDescent="0.25">
      <c r="A407" s="30">
        <v>2.7109566229735542E-4</v>
      </c>
    </row>
    <row r="408" spans="1:19" x14ac:dyDescent="0.25">
      <c r="A408" s="30">
        <v>2.5754087918248761E-4</v>
      </c>
    </row>
    <row r="409" spans="1:19" x14ac:dyDescent="0.25">
      <c r="A409" s="30">
        <v>2.4466383522336323E-4</v>
      </c>
    </row>
    <row r="410" spans="1:19" x14ac:dyDescent="0.25">
      <c r="A410" s="30">
        <v>2.3243064346219506E-4</v>
      </c>
    </row>
    <row r="411" spans="1:19" x14ac:dyDescent="0.25">
      <c r="A411" s="30">
        <v>2.2080911128908529E-4</v>
      </c>
    </row>
    <row r="412" spans="1:19" x14ac:dyDescent="0.25">
      <c r="A412" s="30">
        <v>2.0976865572463102E-4</v>
      </c>
    </row>
    <row r="413" spans="1:19" x14ac:dyDescent="0.25">
      <c r="A413" s="30">
        <v>1.9928022293839946E-4</v>
      </c>
    </row>
    <row r="414" spans="1:19" x14ac:dyDescent="0.25">
      <c r="A414" s="30">
        <v>1.8931621179147948E-4</v>
      </c>
    </row>
    <row r="415" spans="1:19" x14ac:dyDescent="0.25">
      <c r="A415" s="30">
        <v>1.798504012019055E-4</v>
      </c>
    </row>
    <row r="416" spans="1:19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160" operator="equal">
      <formula>$U$1</formula>
    </cfRule>
    <cfRule type="cellIs" dxfId="67" priority="1161" operator="equal">
      <formula>$S$1</formula>
    </cfRule>
  </conditionalFormatting>
  <conditionalFormatting sqref="D136">
    <cfRule type="cellIs" dxfId="66" priority="1158" operator="equal">
      <formula>$S$1</formula>
    </cfRule>
    <cfRule type="cellIs" dxfId="65" priority="1159" operator="equal">
      <formula>$U$1</formula>
    </cfRule>
  </conditionalFormatting>
  <conditionalFormatting sqref="C162">
    <cfRule type="cellIs" dxfId="64" priority="1156" operator="equal">
      <formula>$U$1</formula>
    </cfRule>
    <cfRule type="cellIs" dxfId="63" priority="1157" operator="equal">
      <formula>$S$1</formula>
    </cfRule>
  </conditionalFormatting>
  <conditionalFormatting sqref="D162">
    <cfRule type="cellIs" dxfId="62" priority="1154" operator="equal">
      <formula>$S$1</formula>
    </cfRule>
    <cfRule type="cellIs" dxfId="61" priority="1155" operator="equal">
      <formula>$U$1</formula>
    </cfRule>
  </conditionalFormatting>
  <conditionalFormatting sqref="C187">
    <cfRule type="cellIs" dxfId="60" priority="1152" operator="equal">
      <formula>$U$1</formula>
    </cfRule>
    <cfRule type="cellIs" dxfId="59" priority="1153" operator="equal">
      <formula>$S$1</formula>
    </cfRule>
  </conditionalFormatting>
  <conditionalFormatting sqref="D187">
    <cfRule type="cellIs" dxfId="58" priority="1150" operator="equal">
      <formula>$S$1</formula>
    </cfRule>
    <cfRule type="cellIs" dxfId="57" priority="1151" operator="equal">
      <formula>$U$1</formula>
    </cfRule>
  </conditionalFormatting>
  <conditionalFormatting sqref="C212">
    <cfRule type="cellIs" dxfId="56" priority="1148" operator="equal">
      <formula>$U$1</formula>
    </cfRule>
    <cfRule type="cellIs" dxfId="55" priority="1149" operator="equal">
      <formula>$S$1</formula>
    </cfRule>
  </conditionalFormatting>
  <conditionalFormatting sqref="D212">
    <cfRule type="cellIs" dxfId="54" priority="1146" operator="equal">
      <formula>$S$1</formula>
    </cfRule>
    <cfRule type="cellIs" dxfId="53" priority="1147" operator="equal">
      <formula>$U$1</formula>
    </cfRule>
  </conditionalFormatting>
  <conditionalFormatting sqref="C237">
    <cfRule type="cellIs" dxfId="52" priority="1144" operator="equal">
      <formula>$U$1</formula>
    </cfRule>
    <cfRule type="cellIs" dxfId="51" priority="1145" operator="equal">
      <formula>$S$1</formula>
    </cfRule>
  </conditionalFormatting>
  <conditionalFormatting sqref="D237">
    <cfRule type="cellIs" dxfId="50" priority="1142" operator="equal">
      <formula>$S$1</formula>
    </cfRule>
    <cfRule type="cellIs" dxfId="49" priority="1143" operator="equal">
      <formula>$U$1</formula>
    </cfRule>
  </conditionalFormatting>
  <conditionalFormatting sqref="C106">
    <cfRule type="cellIs" dxfId="48" priority="1140" operator="equal">
      <formula>$U$1</formula>
    </cfRule>
    <cfRule type="cellIs" dxfId="47" priority="1141" operator="equal">
      <formula>$S$1</formula>
    </cfRule>
  </conditionalFormatting>
  <conditionalFormatting sqref="D106">
    <cfRule type="cellIs" dxfId="46" priority="1138" operator="equal">
      <formula>$S$1</formula>
    </cfRule>
    <cfRule type="cellIs" dxfId="45" priority="1139" operator="equal">
      <formula>$U$1</formula>
    </cfRule>
  </conditionalFormatting>
  <conditionalFormatting sqref="C81">
    <cfRule type="cellIs" dxfId="44" priority="1136" operator="equal">
      <formula>$U$1</formula>
    </cfRule>
    <cfRule type="cellIs" dxfId="43" priority="1137" operator="equal">
      <formula>$S$1</formula>
    </cfRule>
  </conditionalFormatting>
  <conditionalFormatting sqref="D81">
    <cfRule type="cellIs" dxfId="42" priority="1134" operator="equal">
      <formula>$S$1</formula>
    </cfRule>
    <cfRule type="cellIs" dxfId="41" priority="1135" operator="equal">
      <formula>$U$1</formula>
    </cfRule>
  </conditionalFormatting>
  <conditionalFormatting sqref="C56">
    <cfRule type="cellIs" dxfId="40" priority="1132" operator="equal">
      <formula>$U$1</formula>
    </cfRule>
    <cfRule type="cellIs" dxfId="39" priority="1133" operator="equal">
      <formula>$S$1</formula>
    </cfRule>
  </conditionalFormatting>
  <conditionalFormatting sqref="D56">
    <cfRule type="cellIs" dxfId="38" priority="1130" operator="equal">
      <formula>$S$1</formula>
    </cfRule>
    <cfRule type="cellIs" dxfId="37" priority="1131" operator="equal">
      <formula>$U$1</formula>
    </cfRule>
  </conditionalFormatting>
  <conditionalFormatting sqref="C31">
    <cfRule type="cellIs" dxfId="36" priority="1128" operator="equal">
      <formula>$U$1</formula>
    </cfRule>
    <cfRule type="cellIs" dxfId="35" priority="1129" operator="equal">
      <formula>$S$1</formula>
    </cfRule>
  </conditionalFormatting>
  <conditionalFormatting sqref="D31">
    <cfRule type="cellIs" dxfId="34" priority="1126" operator="equal">
      <formula>$S$1</formula>
    </cfRule>
    <cfRule type="cellIs" dxfId="33" priority="1127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28" zoomScale="70" zoomScaleNormal="70" workbookViewId="0">
      <pane xSplit="4" topLeftCell="G1" activePane="topRight" state="frozen"/>
      <selection activeCell="A109" sqref="A109"/>
      <selection pane="topRight" activeCell="BV125" sqref="BV12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8" x14ac:dyDescent="0.25">
      <c r="A97" s="30">
        <v>9.849732675807628</v>
      </c>
      <c r="E97"/>
    </row>
    <row r="98" spans="1:38" x14ac:dyDescent="0.25">
      <c r="A98" s="30">
        <v>8.9543024325523888</v>
      </c>
      <c r="C98" s="1" t="s">
        <v>13</v>
      </c>
      <c r="E98"/>
    </row>
    <row r="99" spans="1:38" x14ac:dyDescent="0.25">
      <c r="A99" s="30">
        <v>8.140274938683989</v>
      </c>
      <c r="C99" s="1">
        <f>C88</f>
        <v>0</v>
      </c>
      <c r="E99"/>
    </row>
    <row r="100" spans="1:38" x14ac:dyDescent="0.25">
      <c r="A100" s="30">
        <v>7.4002499442581717</v>
      </c>
      <c r="C100"/>
      <c r="D100"/>
      <c r="E100"/>
    </row>
    <row r="101" spans="1:38" x14ac:dyDescent="0.25">
      <c r="A101" s="30">
        <v>6.72749994932561</v>
      </c>
      <c r="C101" s="1" t="s">
        <v>14</v>
      </c>
      <c r="E101"/>
    </row>
    <row r="102" spans="1:38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8" x14ac:dyDescent="0.25">
      <c r="A103" s="30">
        <v>5.5599173134922388</v>
      </c>
      <c r="E103"/>
    </row>
    <row r="104" spans="1:38" x14ac:dyDescent="0.25">
      <c r="A104" s="30">
        <v>5.0544702849929442</v>
      </c>
      <c r="E104"/>
    </row>
    <row r="105" spans="1:38" x14ac:dyDescent="0.25">
      <c r="A105" s="30">
        <v>4.594972986357222</v>
      </c>
      <c r="E105"/>
      <c r="AI105" s="27" t="s">
        <v>8</v>
      </c>
    </row>
    <row r="106" spans="1:38" x14ac:dyDescent="0.25">
      <c r="A106" s="30">
        <v>4.1772481694156562</v>
      </c>
      <c r="E106"/>
      <c r="AI106" s="27" t="s">
        <v>8</v>
      </c>
      <c r="AJ106" s="27" t="s">
        <v>7</v>
      </c>
    </row>
    <row r="107" spans="1:38" x14ac:dyDescent="0.25">
      <c r="A107" s="30">
        <v>3.7974983358324148</v>
      </c>
      <c r="E107"/>
      <c r="AI107" s="27" t="s">
        <v>8</v>
      </c>
      <c r="AJ107" s="27" t="s">
        <v>7</v>
      </c>
    </row>
    <row r="108" spans="1:38" x14ac:dyDescent="0.25">
      <c r="A108" s="30">
        <v>3.4522712143931042</v>
      </c>
      <c r="E108"/>
      <c r="AI108" s="27" t="s">
        <v>8</v>
      </c>
      <c r="AJ108" s="27" t="s">
        <v>7</v>
      </c>
      <c r="AK108" s="27" t="s">
        <v>8</v>
      </c>
    </row>
    <row r="109" spans="1:38" x14ac:dyDescent="0.25">
      <c r="A109" s="30">
        <v>3.1384283767210035</v>
      </c>
      <c r="E109"/>
      <c r="AI109" s="27" t="s">
        <v>8</v>
      </c>
      <c r="AJ109" s="27" t="s">
        <v>7</v>
      </c>
      <c r="AK109" s="27" t="s">
        <v>8</v>
      </c>
      <c r="AL109" s="27" t="s">
        <v>7</v>
      </c>
    </row>
    <row r="110" spans="1:38" x14ac:dyDescent="0.25">
      <c r="A110" s="30">
        <v>2.8531167061100029</v>
      </c>
      <c r="E110"/>
      <c r="AI110" s="27" t="s">
        <v>8</v>
      </c>
      <c r="AJ110" s="27" t="s">
        <v>7</v>
      </c>
      <c r="AK110" s="27" t="s">
        <v>8</v>
      </c>
      <c r="AL110" s="27" t="s">
        <v>7</v>
      </c>
    </row>
    <row r="111" spans="1:38" x14ac:dyDescent="0.25">
      <c r="A111" s="30">
        <v>2.5937424601000023</v>
      </c>
      <c r="C111" s="1" t="str">
        <f>ADDRESS(C121-1,1,1,1)</f>
        <v>$A$124</v>
      </c>
      <c r="D111" s="1" t="str">
        <f>ADDRESS(C121-1,D121,1,1)</f>
        <v>$BV$124</v>
      </c>
      <c r="E111"/>
      <c r="AI111" s="27" t="s">
        <v>8</v>
      </c>
      <c r="AJ111" s="27" t="s">
        <v>7</v>
      </c>
      <c r="AK111" s="27" t="s">
        <v>8</v>
      </c>
      <c r="AL111" s="27" t="s">
        <v>7</v>
      </c>
    </row>
    <row r="112" spans="1:38" x14ac:dyDescent="0.25">
      <c r="A112" s="30">
        <v>2.3579476910000019</v>
      </c>
      <c r="C112" s="1" t="str">
        <f>ADDRESS(C121,1,1,1)</f>
        <v>$A$125</v>
      </c>
      <c r="D112" s="1" t="str">
        <f>ADDRESS(C121,D121-1,1,1)</f>
        <v>$BU$125</v>
      </c>
      <c r="E112"/>
      <c r="AI112" s="27" t="s">
        <v>8</v>
      </c>
      <c r="AJ112" s="27" t="s">
        <v>7</v>
      </c>
      <c r="AK112" s="27" t="s">
        <v>8</v>
      </c>
      <c r="AL112" s="27" t="s">
        <v>7</v>
      </c>
    </row>
    <row r="113" spans="1:74" x14ac:dyDescent="0.25">
      <c r="A113" s="30">
        <v>2.1435888100000016</v>
      </c>
      <c r="C113" s="1" t="str">
        <f>ADDRESS(C121+1,1,1,1)</f>
        <v>$A$126</v>
      </c>
      <c r="D113" s="1" t="str">
        <f>ADDRESS(C121-1,D121+1,1,1)</f>
        <v>$BW$124</v>
      </c>
      <c r="AI113" s="27" t="s">
        <v>8</v>
      </c>
      <c r="AJ113" s="27" t="s">
        <v>7</v>
      </c>
      <c r="AK113" s="27" t="s">
        <v>8</v>
      </c>
      <c r="AL113" s="27" t="s">
        <v>7</v>
      </c>
      <c r="AM113" s="27" t="s">
        <v>8</v>
      </c>
      <c r="BI113" s="27" t="s">
        <v>8</v>
      </c>
    </row>
    <row r="114" spans="1:74" x14ac:dyDescent="0.25">
      <c r="A114" s="30">
        <v>1.9487171000000014</v>
      </c>
      <c r="C114" s="1" t="str">
        <f>ADDRESS(C121,D121,1,1)</f>
        <v>$BV$125</v>
      </c>
      <c r="D114" s="1" t="str">
        <f>ADDRESS(C121+1,D121+1,1,1)</f>
        <v>$BW$126</v>
      </c>
      <c r="AI114" s="27" t="s">
        <v>8</v>
      </c>
      <c r="AJ114" s="27" t="s">
        <v>7</v>
      </c>
      <c r="AK114" s="27" t="s">
        <v>8</v>
      </c>
      <c r="AL114" s="27" t="s">
        <v>7</v>
      </c>
      <c r="AM114" s="27" t="s">
        <v>8</v>
      </c>
      <c r="AN114" s="27" t="s">
        <v>7</v>
      </c>
      <c r="BI114" s="27" t="s">
        <v>8</v>
      </c>
      <c r="BJ114" s="27" t="s">
        <v>7</v>
      </c>
    </row>
    <row r="115" spans="1:74" x14ac:dyDescent="0.25">
      <c r="A115" s="30">
        <v>1.7715610000000011</v>
      </c>
      <c r="C115" s="1" t="str">
        <f>ADDRESS(C121+1,D121,1,1)</f>
        <v>$BV$126</v>
      </c>
      <c r="AI115" s="27" t="s">
        <v>8</v>
      </c>
      <c r="AJ115" s="27" t="s">
        <v>7</v>
      </c>
      <c r="AL115" s="27" t="s">
        <v>7</v>
      </c>
      <c r="AM115" s="27" t="s">
        <v>8</v>
      </c>
      <c r="AN115" s="27" t="s">
        <v>7</v>
      </c>
      <c r="AO115" s="27" t="s">
        <v>8</v>
      </c>
      <c r="BI115" s="27" t="s">
        <v>8</v>
      </c>
      <c r="BJ115" s="27" t="s">
        <v>7</v>
      </c>
    </row>
    <row r="116" spans="1:74" x14ac:dyDescent="0.25">
      <c r="A116" s="30">
        <v>1.6105100000000008</v>
      </c>
      <c r="C116" s="1">
        <f>C117-1</f>
        <v>124</v>
      </c>
      <c r="AI116" s="27" t="s">
        <v>8</v>
      </c>
      <c r="AL116" s="27" t="s">
        <v>7</v>
      </c>
      <c r="AN116" s="27" t="s">
        <v>7</v>
      </c>
      <c r="AO116" s="27" t="s">
        <v>8</v>
      </c>
      <c r="AP116" s="27" t="s">
        <v>7</v>
      </c>
      <c r="BI116" s="27" t="s">
        <v>8</v>
      </c>
      <c r="BJ116" s="27" t="s">
        <v>7</v>
      </c>
    </row>
    <row r="117" spans="1:74" x14ac:dyDescent="0.25">
      <c r="A117" s="30">
        <v>1.4641000000000006</v>
      </c>
      <c r="C117" s="1">
        <f>C121</f>
        <v>125</v>
      </c>
      <c r="D117" s="1">
        <f>D121</f>
        <v>74</v>
      </c>
      <c r="AI117" s="27" t="s">
        <v>8</v>
      </c>
      <c r="AN117" s="27" t="s">
        <v>7</v>
      </c>
      <c r="AO117" s="27" t="s">
        <v>8</v>
      </c>
      <c r="AP117" s="27" t="s">
        <v>7</v>
      </c>
      <c r="BI117" s="27" t="s">
        <v>8</v>
      </c>
      <c r="BJ117" s="27" t="s">
        <v>7</v>
      </c>
      <c r="BK117" s="27" t="s">
        <v>8</v>
      </c>
      <c r="BM117" s="27" t="s">
        <v>8</v>
      </c>
      <c r="BU117" s="27" t="s">
        <v>8</v>
      </c>
    </row>
    <row r="118" spans="1:74" x14ac:dyDescent="0.25">
      <c r="A118" s="30">
        <v>1.3310000000000004</v>
      </c>
      <c r="C118" s="1">
        <f>C117+1</f>
        <v>126</v>
      </c>
      <c r="D118" s="1">
        <f>D117+1</f>
        <v>75</v>
      </c>
      <c r="AI118" s="27" t="s">
        <v>8</v>
      </c>
      <c r="AN118" s="27" t="s">
        <v>7</v>
      </c>
      <c r="AO118" s="27" t="s">
        <v>8</v>
      </c>
      <c r="AP118" s="27" t="s">
        <v>7</v>
      </c>
      <c r="BI118" s="27" t="s">
        <v>8</v>
      </c>
      <c r="BJ118" s="27" t="s">
        <v>7</v>
      </c>
      <c r="BK118" s="27" t="s">
        <v>8</v>
      </c>
      <c r="BL118" s="27" t="s">
        <v>7</v>
      </c>
      <c r="BM118" s="27" t="s">
        <v>8</v>
      </c>
      <c r="BN118" s="27" t="s">
        <v>7</v>
      </c>
      <c r="BO118" s="27" t="s">
        <v>8</v>
      </c>
      <c r="BS118" s="27" t="s">
        <v>8</v>
      </c>
      <c r="BU118" s="27" t="s">
        <v>8</v>
      </c>
      <c r="BV118" s="27" t="s">
        <v>7</v>
      </c>
    </row>
    <row r="119" spans="1:74" x14ac:dyDescent="0.25">
      <c r="A119" s="30">
        <v>1.2100000000000002</v>
      </c>
      <c r="AI119" s="27" t="s">
        <v>8</v>
      </c>
      <c r="AN119" s="27" t="s">
        <v>7</v>
      </c>
      <c r="AO119" s="27" t="s">
        <v>8</v>
      </c>
      <c r="AP119" s="27" t="s">
        <v>7</v>
      </c>
      <c r="BI119" s="27" t="s">
        <v>8</v>
      </c>
      <c r="BJ119" s="27" t="s">
        <v>7</v>
      </c>
      <c r="BK119" s="27" t="s">
        <v>8</v>
      </c>
      <c r="BL119" s="27" t="s">
        <v>7</v>
      </c>
      <c r="BM119" s="27" t="s">
        <v>8</v>
      </c>
      <c r="BN119" s="27" t="s">
        <v>7</v>
      </c>
      <c r="BO119" s="27" t="s">
        <v>8</v>
      </c>
      <c r="BP119" s="27" t="s">
        <v>7</v>
      </c>
      <c r="BS119" s="27" t="s">
        <v>8</v>
      </c>
      <c r="BT119" s="27" t="s">
        <v>7</v>
      </c>
      <c r="BU119" s="27" t="s">
        <v>8</v>
      </c>
      <c r="BV119" s="27" t="s">
        <v>7</v>
      </c>
    </row>
    <row r="120" spans="1:74" x14ac:dyDescent="0.25">
      <c r="A120" s="30">
        <v>1.1000000000000001</v>
      </c>
      <c r="C120" s="1" t="s">
        <v>9</v>
      </c>
      <c r="AI120" s="27" t="s">
        <v>8</v>
      </c>
      <c r="AN120" s="27" t="s">
        <v>7</v>
      </c>
      <c r="AP120" s="27" t="s">
        <v>7</v>
      </c>
      <c r="BI120" s="27" t="s">
        <v>8</v>
      </c>
      <c r="BJ120" s="27" t="s">
        <v>7</v>
      </c>
      <c r="BK120" s="27" t="s">
        <v>8</v>
      </c>
      <c r="BL120" s="27" t="s">
        <v>7</v>
      </c>
      <c r="BM120" s="27" t="s">
        <v>8</v>
      </c>
      <c r="BN120" s="27" t="s">
        <v>7</v>
      </c>
      <c r="BO120" s="27" t="s">
        <v>8</v>
      </c>
      <c r="BP120" s="27" t="s">
        <v>7</v>
      </c>
      <c r="BQ120" s="27" t="s">
        <v>8</v>
      </c>
      <c r="BS120" s="27" t="s">
        <v>8</v>
      </c>
      <c r="BT120" s="27" t="s">
        <v>7</v>
      </c>
      <c r="BU120" s="27" t="s">
        <v>8</v>
      </c>
      <c r="BV120" s="27" t="s">
        <v>7</v>
      </c>
    </row>
    <row r="121" spans="1:74" x14ac:dyDescent="0.25">
      <c r="A121" s="30">
        <v>1</v>
      </c>
      <c r="C121" s="18">
        <v>125</v>
      </c>
      <c r="D121" s="19">
        <v>74</v>
      </c>
      <c r="E121" s="18" t="s">
        <v>8</v>
      </c>
      <c r="AI121" s="27" t="s">
        <v>8</v>
      </c>
      <c r="AP121" s="27" t="s">
        <v>7</v>
      </c>
      <c r="BI121" s="27" t="s">
        <v>8</v>
      </c>
      <c r="BJ121" s="27" t="s">
        <v>7</v>
      </c>
      <c r="BL121" s="27" t="s">
        <v>7</v>
      </c>
      <c r="BM121" s="27" t="s">
        <v>8</v>
      </c>
      <c r="BN121" s="27" t="s">
        <v>7</v>
      </c>
      <c r="BP121" s="27" t="s">
        <v>7</v>
      </c>
      <c r="BQ121" s="27" t="s">
        <v>8</v>
      </c>
      <c r="BR121" s="27" t="s">
        <v>7</v>
      </c>
      <c r="BS121" s="27" t="s">
        <v>8</v>
      </c>
      <c r="BT121" s="27" t="s">
        <v>7</v>
      </c>
      <c r="BU121" s="27" t="s">
        <v>8</v>
      </c>
      <c r="BV121" s="27" t="s">
        <v>7</v>
      </c>
    </row>
    <row r="122" spans="1:74" x14ac:dyDescent="0.25">
      <c r="A122" s="30">
        <v>0.90909090909090895</v>
      </c>
      <c r="C122" s="1" t="str">
        <f>INDEX(1:1048576,C117,D117)</f>
        <v>O</v>
      </c>
      <c r="F122" s="27" t="s">
        <v>7</v>
      </c>
      <c r="AI122" s="27" t="s">
        <v>8</v>
      </c>
      <c r="AP122" s="27" t="s">
        <v>7</v>
      </c>
      <c r="BC122" s="27" t="s">
        <v>8</v>
      </c>
      <c r="BE122" s="27" t="s">
        <v>8</v>
      </c>
      <c r="BG122" s="27" t="s">
        <v>8</v>
      </c>
      <c r="BI122" s="27" t="s">
        <v>8</v>
      </c>
      <c r="BL122" s="27" t="s">
        <v>7</v>
      </c>
      <c r="BP122" s="27" t="s">
        <v>7</v>
      </c>
      <c r="BQ122" s="27" t="s">
        <v>8</v>
      </c>
      <c r="BR122" s="27" t="s">
        <v>7</v>
      </c>
      <c r="BS122" s="27" t="s">
        <v>8</v>
      </c>
      <c r="BT122" s="27" t="s">
        <v>7</v>
      </c>
      <c r="BV122" s="27" t="s">
        <v>7</v>
      </c>
    </row>
    <row r="123" spans="1:74" x14ac:dyDescent="0.25">
      <c r="A123" s="30">
        <v>0.82644628099173523</v>
      </c>
      <c r="C123" s="1" t="str">
        <f>"R"&amp;C121</f>
        <v>R125</v>
      </c>
      <c r="D123" s="1" t="str">
        <f>"C"&amp;D121</f>
        <v>C74</v>
      </c>
      <c r="F123" s="27" t="s">
        <v>7</v>
      </c>
      <c r="AI123" s="27" t="s">
        <v>8</v>
      </c>
      <c r="AP123" s="27" t="s">
        <v>7</v>
      </c>
      <c r="AS123" s="27" t="s">
        <v>8</v>
      </c>
      <c r="BC123" s="27" t="s">
        <v>8</v>
      </c>
      <c r="BD123" s="27" t="s">
        <v>7</v>
      </c>
      <c r="BE123" s="27" t="s">
        <v>8</v>
      </c>
      <c r="BF123" s="27" t="s">
        <v>7</v>
      </c>
      <c r="BG123" s="27" t="s">
        <v>8</v>
      </c>
      <c r="BH123" s="27" t="s">
        <v>7</v>
      </c>
      <c r="BI123" s="27" t="s">
        <v>8</v>
      </c>
      <c r="BP123" s="27" t="s">
        <v>7</v>
      </c>
      <c r="BQ123" s="27" t="s">
        <v>8</v>
      </c>
      <c r="BR123" s="27" t="s">
        <v>7</v>
      </c>
      <c r="BS123" s="27" t="s">
        <v>8</v>
      </c>
      <c r="BV123" s="27" t="s">
        <v>7</v>
      </c>
    </row>
    <row r="124" spans="1:7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I124" s="27" t="s">
        <v>8</v>
      </c>
      <c r="AP124" s="27" t="s">
        <v>7</v>
      </c>
      <c r="AQ124" s="27" t="s">
        <v>8</v>
      </c>
      <c r="AS124" s="27" t="s">
        <v>8</v>
      </c>
      <c r="AT124" s="27" t="s">
        <v>7</v>
      </c>
      <c r="AU124" s="27" t="s">
        <v>8</v>
      </c>
      <c r="BC124" s="27" t="s">
        <v>8</v>
      </c>
      <c r="BD124" s="27" t="s">
        <v>7</v>
      </c>
      <c r="BE124" s="27" t="s">
        <v>8</v>
      </c>
      <c r="BF124" s="27" t="s">
        <v>7</v>
      </c>
      <c r="BG124" s="27" t="s">
        <v>8</v>
      </c>
      <c r="BH124" s="27" t="s">
        <v>7</v>
      </c>
      <c r="BI124" s="27" t="s">
        <v>8</v>
      </c>
      <c r="BP124" s="27" t="s">
        <v>7</v>
      </c>
      <c r="BR124" s="27" t="s">
        <v>7</v>
      </c>
      <c r="BS124" s="27" t="s">
        <v>8</v>
      </c>
      <c r="BV124" s="27" t="s">
        <v>7</v>
      </c>
    </row>
    <row r="125" spans="1:74" x14ac:dyDescent="0.25">
      <c r="A125" s="30">
        <v>0.68301345536507019</v>
      </c>
      <c r="F125" s="27" t="s">
        <v>7</v>
      </c>
      <c r="AI125" s="27" t="s">
        <v>8</v>
      </c>
      <c r="AP125" s="27" t="s">
        <v>7</v>
      </c>
      <c r="AQ125" s="27" t="s">
        <v>8</v>
      </c>
      <c r="AR125" s="27" t="s">
        <v>7</v>
      </c>
      <c r="AS125" s="27" t="s">
        <v>8</v>
      </c>
      <c r="AT125" s="27" t="s">
        <v>7</v>
      </c>
      <c r="AU125" s="27" t="s">
        <v>8</v>
      </c>
      <c r="AV125" s="27" t="s">
        <v>7</v>
      </c>
      <c r="AW125" s="27" t="s">
        <v>8</v>
      </c>
      <c r="BC125" s="27" t="s">
        <v>8</v>
      </c>
      <c r="BD125" s="27" t="s">
        <v>7</v>
      </c>
      <c r="BE125" s="27" t="s">
        <v>8</v>
      </c>
      <c r="BF125" s="27" t="s">
        <v>7</v>
      </c>
      <c r="BG125" s="27" t="s">
        <v>8</v>
      </c>
      <c r="BH125" s="27" t="s">
        <v>7</v>
      </c>
      <c r="BI125" s="27" t="s">
        <v>8</v>
      </c>
      <c r="BR125" s="27" t="s">
        <v>7</v>
      </c>
      <c r="BV125" s="27" t="s">
        <v>7</v>
      </c>
    </row>
    <row r="126" spans="1:74" x14ac:dyDescent="0.25">
      <c r="A126" s="30">
        <v>0.6209213230591546</v>
      </c>
      <c r="C126" s="1" t="s">
        <v>10</v>
      </c>
      <c r="F126" s="27" t="s">
        <v>7</v>
      </c>
      <c r="AI126" s="27" t="s">
        <v>8</v>
      </c>
      <c r="AP126" s="27" t="s">
        <v>7</v>
      </c>
      <c r="AQ126" s="27" t="s">
        <v>8</v>
      </c>
      <c r="AR126" s="27" t="s">
        <v>7</v>
      </c>
      <c r="AS126" s="27" t="s">
        <v>8</v>
      </c>
      <c r="AT126" s="27" t="s">
        <v>7</v>
      </c>
      <c r="AU126" s="27" t="s">
        <v>8</v>
      </c>
      <c r="AV126" s="27" t="s">
        <v>7</v>
      </c>
      <c r="AW126" s="27" t="s">
        <v>8</v>
      </c>
      <c r="AX126" s="27" t="s">
        <v>7</v>
      </c>
      <c r="BC126" s="27" t="s">
        <v>8</v>
      </c>
      <c r="BD126" s="27" t="s">
        <v>7</v>
      </c>
      <c r="BE126" s="27" t="s">
        <v>8</v>
      </c>
      <c r="BF126" s="27" t="s">
        <v>7</v>
      </c>
      <c r="BG126" s="27" t="s">
        <v>8</v>
      </c>
      <c r="BH126" s="27" t="s">
        <v>7</v>
      </c>
    </row>
    <row r="127" spans="1:74" x14ac:dyDescent="0.25">
      <c r="A127" s="30">
        <v>0.56447393005377677</v>
      </c>
      <c r="C127" s="30">
        <v>0.68301345536507019</v>
      </c>
      <c r="D127"/>
      <c r="F127" s="27" t="s">
        <v>7</v>
      </c>
      <c r="AI127" s="27" t="s">
        <v>8</v>
      </c>
      <c r="AP127" s="27" t="s">
        <v>7</v>
      </c>
      <c r="AQ127" s="27" t="s">
        <v>8</v>
      </c>
      <c r="AR127" s="27" t="s">
        <v>7</v>
      </c>
      <c r="AS127" s="27" t="s">
        <v>8</v>
      </c>
      <c r="AT127" s="27" t="s">
        <v>7</v>
      </c>
      <c r="AU127" s="27" t="s">
        <v>8</v>
      </c>
      <c r="AV127" s="27" t="s">
        <v>7</v>
      </c>
      <c r="AW127" s="27" t="s">
        <v>8</v>
      </c>
      <c r="AX127" s="27" t="s">
        <v>7</v>
      </c>
      <c r="BA127" s="27" t="s">
        <v>8</v>
      </c>
      <c r="BC127" s="27" t="s">
        <v>8</v>
      </c>
      <c r="BD127" s="27" t="s">
        <v>7</v>
      </c>
      <c r="BE127" s="27" t="s">
        <v>8</v>
      </c>
      <c r="BF127" s="27" t="s">
        <v>7</v>
      </c>
      <c r="BG127" s="27" t="s">
        <v>8</v>
      </c>
    </row>
    <row r="128" spans="1:74" x14ac:dyDescent="0.25">
      <c r="A128" s="30">
        <v>0.51315811823070612</v>
      </c>
      <c r="F128" s="27" t="s">
        <v>7</v>
      </c>
      <c r="AI128" s="27" t="s">
        <v>8</v>
      </c>
      <c r="AP128" s="27" t="s">
        <v>7</v>
      </c>
      <c r="AQ128" s="27" t="s">
        <v>8</v>
      </c>
      <c r="AR128" s="27" t="s">
        <v>7</v>
      </c>
      <c r="AS128" s="27" t="s">
        <v>8</v>
      </c>
      <c r="AT128" s="27" t="s">
        <v>7</v>
      </c>
      <c r="AV128" s="27" t="s">
        <v>7</v>
      </c>
      <c r="AX128" s="27" t="s">
        <v>7</v>
      </c>
      <c r="AY128" s="27" t="s">
        <v>8</v>
      </c>
      <c r="BA128" s="27" t="s">
        <v>8</v>
      </c>
      <c r="BB128" s="27" t="s">
        <v>7</v>
      </c>
      <c r="BC128" s="27" t="s">
        <v>8</v>
      </c>
      <c r="BD128" s="27" t="s">
        <v>7</v>
      </c>
      <c r="BF128" s="27" t="s">
        <v>7</v>
      </c>
    </row>
    <row r="129" spans="1:5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I129" s="27" t="s">
        <v>8</v>
      </c>
      <c r="AP129" s="27" t="s">
        <v>7</v>
      </c>
      <c r="AR129" s="27" t="s">
        <v>7</v>
      </c>
      <c r="AS129" s="27" t="s">
        <v>8</v>
      </c>
      <c r="AX129" s="27" t="s">
        <v>7</v>
      </c>
      <c r="AY129" s="27" t="s">
        <v>8</v>
      </c>
      <c r="AZ129" s="27" t="s">
        <v>7</v>
      </c>
      <c r="BA129" s="27" t="s">
        <v>8</v>
      </c>
      <c r="BB129" s="27" t="s">
        <v>7</v>
      </c>
      <c r="BC129" s="27" t="s">
        <v>8</v>
      </c>
    </row>
    <row r="130" spans="1:55" x14ac:dyDescent="0.25">
      <c r="A130" s="30">
        <v>0.42409761837248428</v>
      </c>
      <c r="C130" s="6"/>
      <c r="D130" s="6"/>
      <c r="E130"/>
      <c r="F130" s="27" t="s">
        <v>7</v>
      </c>
      <c r="AI130" s="27" t="s">
        <v>8</v>
      </c>
      <c r="AR130" s="27" t="s">
        <v>7</v>
      </c>
      <c r="AS130" s="27" t="s">
        <v>8</v>
      </c>
      <c r="AX130" s="27" t="s">
        <v>7</v>
      </c>
      <c r="AY130" s="27" t="s">
        <v>8</v>
      </c>
      <c r="AZ130" s="27" t="s">
        <v>7</v>
      </c>
      <c r="BA130" s="27" t="s">
        <v>8</v>
      </c>
      <c r="BB130" s="18" t="s">
        <v>7</v>
      </c>
    </row>
    <row r="131" spans="1:55" x14ac:dyDescent="0.25">
      <c r="A131" s="30">
        <v>0.38554328942953109</v>
      </c>
      <c r="E131"/>
      <c r="F131" s="27" t="s">
        <v>7</v>
      </c>
      <c r="AI131" s="27" t="s">
        <v>8</v>
      </c>
      <c r="AR131" s="27" t="s">
        <v>7</v>
      </c>
      <c r="AX131" s="27" t="s">
        <v>7</v>
      </c>
      <c r="AY131" s="27" t="s">
        <v>8</v>
      </c>
      <c r="AZ131" s="27" t="s">
        <v>7</v>
      </c>
    </row>
    <row r="132" spans="1:55" x14ac:dyDescent="0.25">
      <c r="A132" s="30">
        <v>0.35049389948139187</v>
      </c>
      <c r="C132" s="1" t="s">
        <v>13</v>
      </c>
      <c r="E132"/>
      <c r="F132" s="27" t="s">
        <v>7</v>
      </c>
      <c r="AI132" s="27" t="s">
        <v>8</v>
      </c>
      <c r="AX132" s="27" t="s">
        <v>7</v>
      </c>
      <c r="AY132" s="27" t="s">
        <v>8</v>
      </c>
    </row>
    <row r="133" spans="1:55" x14ac:dyDescent="0.25">
      <c r="A133" s="30">
        <v>0.31863081771035617</v>
      </c>
      <c r="C133" s="1" t="str">
        <f>C122</f>
        <v>O</v>
      </c>
      <c r="E133"/>
      <c r="F133" s="27" t="s">
        <v>7</v>
      </c>
      <c r="AI133" s="27" t="s">
        <v>8</v>
      </c>
      <c r="AX133" s="27" t="s">
        <v>7</v>
      </c>
    </row>
    <row r="134" spans="1:55" x14ac:dyDescent="0.25">
      <c r="A134" s="30">
        <v>0.28966437973668741</v>
      </c>
      <c r="C134"/>
      <c r="D134"/>
      <c r="E134"/>
      <c r="F134" s="27" t="s">
        <v>7</v>
      </c>
      <c r="AI134" s="27" t="s">
        <v>8</v>
      </c>
    </row>
    <row r="135" spans="1:55" x14ac:dyDescent="0.25">
      <c r="A135" s="30">
        <v>0.2633312543060794</v>
      </c>
      <c r="C135" s="1" t="s">
        <v>14</v>
      </c>
      <c r="E135"/>
      <c r="F135" s="27" t="s">
        <v>7</v>
      </c>
      <c r="AI135" s="27" t="s">
        <v>8</v>
      </c>
    </row>
    <row r="136" spans="1:5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I136" s="27" t="s">
        <v>8</v>
      </c>
    </row>
    <row r="137" spans="1:55" x14ac:dyDescent="0.25">
      <c r="A137" s="30">
        <v>0.2176291357901482</v>
      </c>
      <c r="E137"/>
      <c r="F137" s="27" t="s">
        <v>7</v>
      </c>
      <c r="AI137" s="27" t="s">
        <v>8</v>
      </c>
    </row>
    <row r="138" spans="1:5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I138" s="27" t="s">
        <v>8</v>
      </c>
    </row>
    <row r="139" spans="1:55" x14ac:dyDescent="0.25">
      <c r="A139" s="30">
        <v>0.17985878990921333</v>
      </c>
      <c r="E139"/>
      <c r="F139" s="27" t="s">
        <v>7</v>
      </c>
      <c r="AI139" s="27" t="s">
        <v>8</v>
      </c>
    </row>
    <row r="140" spans="1:55" x14ac:dyDescent="0.25">
      <c r="A140" s="30">
        <v>0.16350799082655756</v>
      </c>
      <c r="C140" s="1">
        <v>0</v>
      </c>
      <c r="E140"/>
      <c r="F140" s="27" t="s">
        <v>7</v>
      </c>
      <c r="AI140" s="27" t="s">
        <v>8</v>
      </c>
    </row>
    <row r="141" spans="1:55" x14ac:dyDescent="0.25">
      <c r="A141" s="30">
        <v>0.14864362802414322</v>
      </c>
      <c r="C141" s="1">
        <v>1</v>
      </c>
      <c r="E141"/>
      <c r="F141" s="27" t="s">
        <v>7</v>
      </c>
      <c r="AI141" s="27" t="s">
        <v>8</v>
      </c>
    </row>
    <row r="142" spans="1:55" x14ac:dyDescent="0.25">
      <c r="A142" s="30">
        <v>0.13513057093103928</v>
      </c>
      <c r="C142" s="1">
        <v>2</v>
      </c>
      <c r="E142"/>
      <c r="F142" s="27" t="s">
        <v>7</v>
      </c>
      <c r="AI142" s="27" t="s">
        <v>8</v>
      </c>
    </row>
    <row r="143" spans="1:55" x14ac:dyDescent="0.25">
      <c r="A143" s="30">
        <v>0.12284597357367205</v>
      </c>
      <c r="C143" s="1">
        <v>3</v>
      </c>
      <c r="E143"/>
      <c r="F143" s="27" t="s">
        <v>7</v>
      </c>
      <c r="AI143" s="27" t="s">
        <v>8</v>
      </c>
    </row>
    <row r="144" spans="1:55" x14ac:dyDescent="0.25">
      <c r="A144" s="30">
        <v>0.11167815779424731</v>
      </c>
      <c r="C144" s="1">
        <v>4</v>
      </c>
      <c r="E144"/>
      <c r="F144" s="27" t="s">
        <v>7</v>
      </c>
      <c r="AI144" s="27" t="s">
        <v>8</v>
      </c>
    </row>
    <row r="145" spans="1:35" x14ac:dyDescent="0.25">
      <c r="A145" s="30">
        <v>0.10152559799477026</v>
      </c>
      <c r="B145"/>
      <c r="C145"/>
      <c r="D145"/>
      <c r="E145"/>
      <c r="F145" s="27" t="s">
        <v>7</v>
      </c>
      <c r="AI145" s="27" t="s">
        <v>8</v>
      </c>
    </row>
    <row r="146" spans="1:35" x14ac:dyDescent="0.25">
      <c r="A146" s="30">
        <v>9.2295998177063854E-2</v>
      </c>
      <c r="B146"/>
      <c r="C146"/>
      <c r="D146"/>
      <c r="E146"/>
      <c r="F146" s="27" t="s">
        <v>7</v>
      </c>
      <c r="AI146" s="27" t="s">
        <v>8</v>
      </c>
    </row>
    <row r="147" spans="1:35" x14ac:dyDescent="0.25">
      <c r="A147" s="30">
        <v>8.3905452888239848E-2</v>
      </c>
      <c r="B147"/>
      <c r="C147"/>
      <c r="D147"/>
      <c r="E147"/>
      <c r="F147" s="27" t="s">
        <v>7</v>
      </c>
      <c r="AI147" s="27" t="s">
        <v>8</v>
      </c>
    </row>
    <row r="148" spans="1:35" x14ac:dyDescent="0.25">
      <c r="A148" s="30">
        <v>7.6277684443854396E-2</v>
      </c>
      <c r="B148"/>
      <c r="C148"/>
      <c r="D148"/>
      <c r="E148"/>
      <c r="F148" s="27" t="s">
        <v>7</v>
      </c>
      <c r="AI148" s="27" t="s">
        <v>8</v>
      </c>
    </row>
    <row r="149" spans="1:35" x14ac:dyDescent="0.25">
      <c r="A149" s="30">
        <v>6.9343349494413078E-2</v>
      </c>
      <c r="B149"/>
      <c r="C149"/>
      <c r="D149"/>
      <c r="E149"/>
      <c r="F149" s="27" t="s">
        <v>7</v>
      </c>
      <c r="AI149" s="27" t="s">
        <v>8</v>
      </c>
    </row>
    <row r="150" spans="1:35" x14ac:dyDescent="0.25">
      <c r="A150" s="30">
        <v>6.3039408631284613E-2</v>
      </c>
      <c r="B150"/>
      <c r="C150"/>
      <c r="D150"/>
      <c r="E150"/>
      <c r="F150" s="27" t="s">
        <v>7</v>
      </c>
      <c r="AI150" s="27" t="s">
        <v>8</v>
      </c>
    </row>
    <row r="151" spans="1:35" x14ac:dyDescent="0.25">
      <c r="A151" s="30">
        <v>5.7308553301167818E-2</v>
      </c>
      <c r="B151"/>
      <c r="C151"/>
      <c r="D151"/>
      <c r="E151"/>
      <c r="F151" s="27" t="s">
        <v>7</v>
      </c>
      <c r="AI151" s="27" t="s">
        <v>8</v>
      </c>
    </row>
    <row r="152" spans="1:35" x14ac:dyDescent="0.25">
      <c r="A152" s="30">
        <v>5.2098684819243464E-2</v>
      </c>
      <c r="B152"/>
      <c r="C152"/>
      <c r="D152"/>
      <c r="E152"/>
      <c r="F152" s="27" t="s">
        <v>7</v>
      </c>
      <c r="AI152" s="27" t="s">
        <v>8</v>
      </c>
    </row>
    <row r="153" spans="1:35" x14ac:dyDescent="0.25">
      <c r="A153" s="30">
        <v>4.7362440744766775E-2</v>
      </c>
      <c r="B153"/>
      <c r="C153"/>
      <c r="D153"/>
      <c r="E153"/>
      <c r="F153" s="27" t="s">
        <v>7</v>
      </c>
      <c r="AI153" s="27" t="s">
        <v>8</v>
      </c>
    </row>
    <row r="154" spans="1:35" x14ac:dyDescent="0.25">
      <c r="A154" s="30">
        <v>4.3056764313424332E-2</v>
      </c>
      <c r="B154"/>
      <c r="C154"/>
      <c r="D154"/>
      <c r="E154"/>
      <c r="F154" s="27" t="s">
        <v>7</v>
      </c>
      <c r="AI154" s="27" t="s">
        <v>8</v>
      </c>
    </row>
    <row r="155" spans="1:35" x14ac:dyDescent="0.25">
      <c r="A155" s="30">
        <v>3.9142513012203929E-2</v>
      </c>
      <c r="B155"/>
      <c r="C155"/>
      <c r="D155"/>
      <c r="E155"/>
      <c r="F155" s="27" t="s">
        <v>7</v>
      </c>
      <c r="AI155" s="27" t="s">
        <v>8</v>
      </c>
    </row>
    <row r="156" spans="1:35" x14ac:dyDescent="0.25">
      <c r="A156" s="30">
        <v>3.55841027383672E-2</v>
      </c>
      <c r="B156"/>
      <c r="C156"/>
      <c r="D156"/>
      <c r="E156"/>
      <c r="F156" s="27" t="s">
        <v>7</v>
      </c>
      <c r="AI156" s="27" t="s">
        <v>8</v>
      </c>
    </row>
    <row r="157" spans="1:35" x14ac:dyDescent="0.25">
      <c r="A157" s="30">
        <v>3.2349184307606541E-2</v>
      </c>
      <c r="B157"/>
      <c r="C157"/>
      <c r="D157"/>
      <c r="E157"/>
      <c r="F157" s="27" t="s">
        <v>7</v>
      </c>
      <c r="AG157" s="27" t="s">
        <v>8</v>
      </c>
      <c r="AI157" s="27" t="s">
        <v>8</v>
      </c>
    </row>
    <row r="158" spans="1:35" x14ac:dyDescent="0.25">
      <c r="A158" s="30">
        <v>2.9408349370551395E-2</v>
      </c>
      <c r="B158"/>
      <c r="C158"/>
      <c r="D158"/>
      <c r="E158"/>
      <c r="F158" s="27" t="s">
        <v>7</v>
      </c>
      <c r="AG158" s="27" t="s">
        <v>8</v>
      </c>
      <c r="AH158" s="27" t="s">
        <v>7</v>
      </c>
      <c r="AI158" s="27" t="s">
        <v>8</v>
      </c>
    </row>
    <row r="159" spans="1:35" x14ac:dyDescent="0.25">
      <c r="A159" s="30">
        <v>2.6734863064137627E-2</v>
      </c>
      <c r="B159"/>
      <c r="C159"/>
      <c r="D159"/>
      <c r="E159"/>
      <c r="F159" s="27" t="s">
        <v>7</v>
      </c>
      <c r="AG159" s="27" t="s">
        <v>8</v>
      </c>
      <c r="AH159" s="27" t="s">
        <v>7</v>
      </c>
      <c r="AI159" s="27" t="s">
        <v>8</v>
      </c>
    </row>
    <row r="160" spans="1:35" x14ac:dyDescent="0.25">
      <c r="A160" s="30">
        <v>2.4304420967397839E-2</v>
      </c>
      <c r="B160"/>
      <c r="C160"/>
      <c r="D160"/>
      <c r="E160"/>
      <c r="F160" s="27" t="s">
        <v>7</v>
      </c>
      <c r="AG160" s="27" t="s">
        <v>8</v>
      </c>
      <c r="AH160" s="27" t="s">
        <v>7</v>
      </c>
      <c r="AI160" s="27" t="s">
        <v>8</v>
      </c>
    </row>
    <row r="161" spans="1:35" x14ac:dyDescent="0.25">
      <c r="A161" s="30">
        <v>2.2094928152179852E-2</v>
      </c>
      <c r="B161"/>
      <c r="C161"/>
      <c r="D161"/>
      <c r="E161"/>
      <c r="F161" s="27" t="s">
        <v>7</v>
      </c>
      <c r="AG161" s="27" t="s">
        <v>8</v>
      </c>
      <c r="AH161" s="27" t="s">
        <v>7</v>
      </c>
      <c r="AI161" s="27" t="s">
        <v>8</v>
      </c>
    </row>
    <row r="162" spans="1:35" x14ac:dyDescent="0.25">
      <c r="A162" s="30">
        <v>2.0086298320163499E-2</v>
      </c>
      <c r="B162"/>
      <c r="C162"/>
      <c r="D162"/>
      <c r="E162"/>
      <c r="F162" s="27" t="s">
        <v>7</v>
      </c>
      <c r="AG162" s="27" t="s">
        <v>8</v>
      </c>
      <c r="AH162" s="27" t="s">
        <v>7</v>
      </c>
    </row>
    <row r="163" spans="1:35" x14ac:dyDescent="0.25">
      <c r="A163" s="30">
        <v>1.8260271200148632E-2</v>
      </c>
      <c r="B163"/>
      <c r="C163"/>
      <c r="D163"/>
      <c r="E163"/>
      <c r="F163" s="27" t="s">
        <v>7</v>
      </c>
      <c r="AG163" s="27" t="s">
        <v>8</v>
      </c>
    </row>
    <row r="164" spans="1:35" x14ac:dyDescent="0.25">
      <c r="A164" s="30">
        <v>1.6600246545589663E-2</v>
      </c>
      <c r="B164"/>
      <c r="C164"/>
      <c r="D164"/>
      <c r="E164"/>
      <c r="F164" s="27" t="s">
        <v>7</v>
      </c>
      <c r="AG164" s="27" t="s">
        <v>8</v>
      </c>
    </row>
    <row r="165" spans="1:35" x14ac:dyDescent="0.25">
      <c r="A165" s="30">
        <v>1.5091133223263328E-2</v>
      </c>
      <c r="B165"/>
      <c r="C165"/>
      <c r="D165"/>
      <c r="E165"/>
      <c r="F165" s="27" t="s">
        <v>7</v>
      </c>
      <c r="AG165" s="27" t="s">
        <v>8</v>
      </c>
    </row>
    <row r="166" spans="1:35" x14ac:dyDescent="0.25">
      <c r="A166" s="30">
        <v>1.3719212021148477E-2</v>
      </c>
      <c r="B166"/>
      <c r="C166"/>
      <c r="D166"/>
      <c r="E166"/>
      <c r="F166" s="27" t="s">
        <v>7</v>
      </c>
      <c r="AE166" s="27" t="s">
        <v>8</v>
      </c>
      <c r="AG166" s="27" t="s">
        <v>8</v>
      </c>
    </row>
    <row r="167" spans="1:35" x14ac:dyDescent="0.25">
      <c r="A167" s="30">
        <v>1.2472010928316795E-2</v>
      </c>
      <c r="B167"/>
      <c r="C167"/>
      <c r="D167"/>
      <c r="E167"/>
      <c r="F167" s="27" t="s">
        <v>7</v>
      </c>
      <c r="AE167" s="27" t="s">
        <v>8</v>
      </c>
      <c r="AF167" s="27" t="s">
        <v>7</v>
      </c>
      <c r="AG167" s="27" t="s">
        <v>8</v>
      </c>
    </row>
    <row r="168" spans="1:35" x14ac:dyDescent="0.25">
      <c r="A168" s="30">
        <v>1.1338191753015267E-2</v>
      </c>
      <c r="B168"/>
      <c r="C168"/>
      <c r="D168"/>
      <c r="E168"/>
      <c r="F168" s="27" t="s">
        <v>7</v>
      </c>
      <c r="AE168" s="27" t="s">
        <v>8</v>
      </c>
      <c r="AF168" s="27" t="s">
        <v>7</v>
      </c>
      <c r="AG168" s="27" t="s">
        <v>8</v>
      </c>
    </row>
    <row r="169" spans="1:35" x14ac:dyDescent="0.25">
      <c r="A169" s="30">
        <v>1.0307447048195697E-2</v>
      </c>
      <c r="B169"/>
      <c r="C169"/>
      <c r="D169"/>
      <c r="E169"/>
      <c r="F169" s="27" t="s">
        <v>7</v>
      </c>
      <c r="AE169" s="27" t="s">
        <v>8</v>
      </c>
      <c r="AF169" s="27" t="s">
        <v>7</v>
      </c>
    </row>
    <row r="170" spans="1:35" x14ac:dyDescent="0.25">
      <c r="A170" s="30">
        <v>9.3704064074506318E-3</v>
      </c>
      <c r="B170"/>
      <c r="C170"/>
      <c r="D170"/>
      <c r="E170"/>
      <c r="F170" s="27" t="s">
        <v>7</v>
      </c>
      <c r="AC170" s="27" t="s">
        <v>8</v>
      </c>
      <c r="AE170" s="27" t="s">
        <v>8</v>
      </c>
    </row>
    <row r="171" spans="1:35" x14ac:dyDescent="0.25">
      <c r="A171" s="30">
        <v>8.5185512795005747E-3</v>
      </c>
      <c r="F171" s="27" t="s">
        <v>7</v>
      </c>
      <c r="AA171" s="27" t="s">
        <v>8</v>
      </c>
      <c r="AC171" s="27" t="s">
        <v>8</v>
      </c>
      <c r="AD171" s="27" t="s">
        <v>7</v>
      </c>
      <c r="AE171" s="27" t="s">
        <v>8</v>
      </c>
    </row>
    <row r="172" spans="1:35" x14ac:dyDescent="0.25">
      <c r="A172" s="30">
        <v>7.744137526818704E-3</v>
      </c>
      <c r="F172" s="27" t="s">
        <v>7</v>
      </c>
      <c r="AA172" s="27" t="s">
        <v>8</v>
      </c>
      <c r="AB172" s="27" t="s">
        <v>7</v>
      </c>
      <c r="AC172" s="27" t="s">
        <v>8</v>
      </c>
      <c r="AD172" s="27" t="s">
        <v>7</v>
      </c>
      <c r="AE172" s="27" t="s">
        <v>8</v>
      </c>
    </row>
    <row r="173" spans="1:35" x14ac:dyDescent="0.25">
      <c r="A173" s="30">
        <v>7.0401250243806394E-3</v>
      </c>
      <c r="F173" s="27" t="s">
        <v>7</v>
      </c>
      <c r="AA173" s="27" t="s">
        <v>8</v>
      </c>
      <c r="AB173" s="27" t="s">
        <v>7</v>
      </c>
      <c r="AC173" s="27" t="s">
        <v>8</v>
      </c>
      <c r="AD173" s="27" t="s">
        <v>7</v>
      </c>
      <c r="AE173" s="27" t="s">
        <v>8</v>
      </c>
    </row>
    <row r="174" spans="1:35" x14ac:dyDescent="0.25">
      <c r="A174" s="30">
        <v>6.4001136585278536E-3</v>
      </c>
      <c r="F174" s="27" t="s">
        <v>7</v>
      </c>
      <c r="AA174" s="27" t="s">
        <v>8</v>
      </c>
      <c r="AB174" s="27" t="s">
        <v>7</v>
      </c>
      <c r="AC174" s="27" t="s">
        <v>8</v>
      </c>
      <c r="AD174" s="27" t="s">
        <v>7</v>
      </c>
      <c r="AE174" s="27" t="s">
        <v>8</v>
      </c>
    </row>
    <row r="175" spans="1:35" x14ac:dyDescent="0.25">
      <c r="A175" s="30">
        <v>5.8182851441162305E-3</v>
      </c>
      <c r="F175" s="27" t="s">
        <v>7</v>
      </c>
      <c r="Y175" s="27" t="s">
        <v>8</v>
      </c>
      <c r="AA175" s="27" t="s">
        <v>8</v>
      </c>
      <c r="AB175" s="27" t="s">
        <v>7</v>
      </c>
      <c r="AC175" s="27" t="s">
        <v>8</v>
      </c>
      <c r="AD175" s="27" t="s">
        <v>7</v>
      </c>
    </row>
    <row r="176" spans="1:35" x14ac:dyDescent="0.25">
      <c r="A176" s="30">
        <v>5.2893501310147546E-3</v>
      </c>
      <c r="F176" s="27" t="s">
        <v>7</v>
      </c>
      <c r="Y176" s="27" t="s">
        <v>8</v>
      </c>
      <c r="Z176" s="27" t="s">
        <v>7</v>
      </c>
      <c r="AA176" s="27" t="s">
        <v>8</v>
      </c>
      <c r="AB176" s="27" t="s">
        <v>7</v>
      </c>
      <c r="AC176" s="27" t="s">
        <v>8</v>
      </c>
    </row>
    <row r="177" spans="1:28" x14ac:dyDescent="0.25">
      <c r="A177" s="30">
        <v>4.8085001191043222E-3</v>
      </c>
      <c r="F177" s="27" t="s">
        <v>7</v>
      </c>
      <c r="Q177" s="27" t="s">
        <v>8</v>
      </c>
      <c r="S177" s="27" t="s">
        <v>8</v>
      </c>
      <c r="Y177" s="27" t="s">
        <v>8</v>
      </c>
      <c r="Z177" s="27" t="s">
        <v>7</v>
      </c>
      <c r="AA177" s="27" t="s">
        <v>8</v>
      </c>
      <c r="AB177" s="27" t="s">
        <v>7</v>
      </c>
    </row>
    <row r="178" spans="1:28" x14ac:dyDescent="0.25">
      <c r="A178" s="30">
        <v>4.3713637446402926E-3</v>
      </c>
      <c r="F178" s="27" t="s">
        <v>7</v>
      </c>
      <c r="Q178" s="27" t="s">
        <v>8</v>
      </c>
      <c r="R178" s="27" t="s">
        <v>7</v>
      </c>
      <c r="S178" s="27" t="s">
        <v>8</v>
      </c>
      <c r="T178" s="27" t="s">
        <v>7</v>
      </c>
      <c r="W178" s="27" t="s">
        <v>8</v>
      </c>
      <c r="Y178" s="27" t="s">
        <v>8</v>
      </c>
      <c r="Z178" s="27" t="s">
        <v>7</v>
      </c>
      <c r="AA178" s="27" t="s">
        <v>8</v>
      </c>
    </row>
    <row r="179" spans="1:28" x14ac:dyDescent="0.25">
      <c r="A179" s="30">
        <v>3.9739670405820838E-3</v>
      </c>
      <c r="F179" s="27" t="s">
        <v>7</v>
      </c>
      <c r="Q179" s="27" t="s">
        <v>8</v>
      </c>
      <c r="R179" s="27" t="s">
        <v>7</v>
      </c>
      <c r="S179" s="27" t="s">
        <v>8</v>
      </c>
      <c r="T179" s="27" t="s">
        <v>7</v>
      </c>
      <c r="U179" s="27" t="s">
        <v>8</v>
      </c>
      <c r="W179" s="27" t="s">
        <v>8</v>
      </c>
      <c r="X179" s="27" t="s">
        <v>7</v>
      </c>
      <c r="Y179" s="27" t="s">
        <v>8</v>
      </c>
      <c r="Z179" s="27" t="s">
        <v>7</v>
      </c>
      <c r="AA179" s="27" t="s">
        <v>8</v>
      </c>
    </row>
    <row r="180" spans="1:28" x14ac:dyDescent="0.25">
      <c r="A180" s="30">
        <v>3.6126973096200759E-3</v>
      </c>
      <c r="F180" s="27" t="s">
        <v>7</v>
      </c>
      <c r="Q180" s="27" t="s">
        <v>8</v>
      </c>
      <c r="R180" s="27" t="s">
        <v>7</v>
      </c>
      <c r="S180" s="27" t="s">
        <v>8</v>
      </c>
      <c r="T180" s="27" t="s">
        <v>7</v>
      </c>
      <c r="U180" s="27" t="s">
        <v>8</v>
      </c>
      <c r="V180" s="27" t="s">
        <v>7</v>
      </c>
      <c r="W180" s="27" t="s">
        <v>8</v>
      </c>
      <c r="X180" s="27" t="s">
        <v>7</v>
      </c>
      <c r="Y180" s="27" t="s">
        <v>8</v>
      </c>
      <c r="Z180" s="27" t="s">
        <v>7</v>
      </c>
    </row>
    <row r="181" spans="1:28" x14ac:dyDescent="0.25">
      <c r="A181" s="30">
        <v>3.2842702814727962E-3</v>
      </c>
      <c r="F181" s="27" t="s">
        <v>7</v>
      </c>
      <c r="I181" s="27" t="s">
        <v>8</v>
      </c>
      <c r="Q181" s="27" t="s">
        <v>8</v>
      </c>
      <c r="R181" s="27" t="s">
        <v>7</v>
      </c>
      <c r="S181" s="27" t="s">
        <v>8</v>
      </c>
      <c r="T181" s="27" t="s">
        <v>7</v>
      </c>
      <c r="U181" s="27" t="s">
        <v>8</v>
      </c>
      <c r="V181" s="27" t="s">
        <v>7</v>
      </c>
      <c r="W181" s="27" t="s">
        <v>8</v>
      </c>
      <c r="X181" s="27" t="s">
        <v>7</v>
      </c>
      <c r="Y181" s="27" t="s">
        <v>8</v>
      </c>
    </row>
    <row r="182" spans="1:28" x14ac:dyDescent="0.25">
      <c r="A182" s="30">
        <v>2.9857002558843601E-3</v>
      </c>
      <c r="F182" s="27" t="s">
        <v>7</v>
      </c>
      <c r="G182" s="27" t="s">
        <v>8</v>
      </c>
      <c r="I182" s="27" t="s">
        <v>8</v>
      </c>
      <c r="J182" s="27" t="s">
        <v>7</v>
      </c>
      <c r="Q182" s="27" t="s">
        <v>8</v>
      </c>
      <c r="R182" s="27" t="s">
        <v>7</v>
      </c>
      <c r="S182" s="27" t="s">
        <v>8</v>
      </c>
      <c r="T182" s="27" t="s">
        <v>7</v>
      </c>
      <c r="U182" s="27" t="s">
        <v>8</v>
      </c>
      <c r="V182" s="27" t="s">
        <v>7</v>
      </c>
      <c r="W182" s="27" t="s">
        <v>8</v>
      </c>
      <c r="X182" s="27" t="s">
        <v>7</v>
      </c>
    </row>
    <row r="183" spans="1:28" x14ac:dyDescent="0.25">
      <c r="A183" s="30">
        <v>2.7142729598948726E-3</v>
      </c>
      <c r="F183" s="27" t="s">
        <v>7</v>
      </c>
      <c r="G183" s="27" t="s">
        <v>8</v>
      </c>
      <c r="H183" s="27" t="s">
        <v>7</v>
      </c>
      <c r="I183" s="27" t="s">
        <v>8</v>
      </c>
      <c r="J183" s="27" t="s">
        <v>7</v>
      </c>
      <c r="Q183" s="27" t="s">
        <v>8</v>
      </c>
      <c r="R183" s="27" t="s">
        <v>7</v>
      </c>
      <c r="T183" s="27" t="s">
        <v>7</v>
      </c>
      <c r="U183" s="27" t="s">
        <v>8</v>
      </c>
      <c r="V183" s="27" t="s">
        <v>7</v>
      </c>
      <c r="W183" s="27" t="s">
        <v>8</v>
      </c>
    </row>
    <row r="184" spans="1:28" x14ac:dyDescent="0.25">
      <c r="A184" s="30">
        <v>2.4675208726317021E-3</v>
      </c>
      <c r="F184" s="27" t="s">
        <v>7</v>
      </c>
      <c r="G184" s="27" t="s">
        <v>8</v>
      </c>
      <c r="H184" s="27" t="s">
        <v>7</v>
      </c>
      <c r="I184" s="27" t="s">
        <v>8</v>
      </c>
      <c r="J184" s="27" t="s">
        <v>7</v>
      </c>
      <c r="Q184" s="27" t="s">
        <v>8</v>
      </c>
      <c r="T184" s="27" t="s">
        <v>7</v>
      </c>
      <c r="V184" s="27" t="s">
        <v>7</v>
      </c>
    </row>
    <row r="185" spans="1:28" x14ac:dyDescent="0.25">
      <c r="A185" s="30">
        <v>2.2432007933015472E-3</v>
      </c>
      <c r="F185" s="27" t="s">
        <v>7</v>
      </c>
      <c r="G185" s="27" t="s">
        <v>8</v>
      </c>
      <c r="H185" s="27" t="s">
        <v>7</v>
      </c>
      <c r="I185" s="27" t="s">
        <v>8</v>
      </c>
      <c r="J185" s="27" t="s">
        <v>7</v>
      </c>
      <c r="Q185" s="27" t="s">
        <v>8</v>
      </c>
    </row>
    <row r="186" spans="1:28" x14ac:dyDescent="0.25">
      <c r="A186" s="30">
        <v>2.0392734484559519E-3</v>
      </c>
      <c r="F186" s="27" t="s">
        <v>7</v>
      </c>
      <c r="G186" s="27" t="s">
        <v>8</v>
      </c>
      <c r="H186" s="27" t="s">
        <v>7</v>
      </c>
      <c r="I186" s="27" t="s">
        <v>8</v>
      </c>
      <c r="J186" s="27" t="s">
        <v>7</v>
      </c>
      <c r="Q186" s="27" t="s">
        <v>8</v>
      </c>
    </row>
    <row r="187" spans="1:28" x14ac:dyDescent="0.25">
      <c r="A187" s="30">
        <v>1.8538849531417744E-3</v>
      </c>
      <c r="F187" s="27" t="s">
        <v>7</v>
      </c>
      <c r="G187" s="27" t="s">
        <v>8</v>
      </c>
      <c r="H187" s="27" t="s">
        <v>7</v>
      </c>
      <c r="J187" s="27" t="s">
        <v>7</v>
      </c>
      <c r="O187" s="27" t="s">
        <v>8</v>
      </c>
      <c r="Q187" s="27" t="s">
        <v>8</v>
      </c>
    </row>
    <row r="188" spans="1:28" x14ac:dyDescent="0.25">
      <c r="A188" s="30">
        <v>1.6853499574016129E-3</v>
      </c>
      <c r="F188" s="27" t="s">
        <v>7</v>
      </c>
      <c r="G188" s="27" t="s">
        <v>8</v>
      </c>
      <c r="J188" s="27" t="s">
        <v>7</v>
      </c>
      <c r="O188" s="27" t="s">
        <v>8</v>
      </c>
      <c r="P188" s="27" t="s">
        <v>7</v>
      </c>
      <c r="Q188" s="27" t="s">
        <v>8</v>
      </c>
    </row>
    <row r="189" spans="1:28" x14ac:dyDescent="0.25">
      <c r="A189" s="30">
        <v>1.5321363249105571E-3</v>
      </c>
      <c r="F189" s="27" t="s">
        <v>7</v>
      </c>
      <c r="G189" s="27" t="s">
        <v>8</v>
      </c>
      <c r="J189" s="27" t="s">
        <v>7</v>
      </c>
      <c r="O189" s="27" t="s">
        <v>8</v>
      </c>
      <c r="P189" s="27" t="s">
        <v>7</v>
      </c>
      <c r="Q189" s="27" t="s">
        <v>8</v>
      </c>
    </row>
    <row r="190" spans="1:28" x14ac:dyDescent="0.25">
      <c r="A190" s="30">
        <v>1.3928512044641427E-3</v>
      </c>
      <c r="F190" s="27" t="s">
        <v>7</v>
      </c>
      <c r="G190" s="27" t="s">
        <v>8</v>
      </c>
      <c r="J190" s="27" t="s">
        <v>7</v>
      </c>
      <c r="O190" s="27" t="s">
        <v>8</v>
      </c>
      <c r="P190" s="27" t="s">
        <v>7</v>
      </c>
    </row>
    <row r="191" spans="1:28" x14ac:dyDescent="0.25">
      <c r="A191" s="30">
        <v>1.2662283676946752E-3</v>
      </c>
      <c r="F191" s="27" t="s">
        <v>7</v>
      </c>
      <c r="G191" s="27" t="s">
        <v>8</v>
      </c>
      <c r="J191" s="27" t="s">
        <v>7</v>
      </c>
      <c r="M191" s="27" t="s">
        <v>8</v>
      </c>
      <c r="O191" s="27" t="s">
        <v>8</v>
      </c>
    </row>
    <row r="192" spans="1:28" x14ac:dyDescent="0.25">
      <c r="A192" s="30">
        <v>1.15111669790425E-3</v>
      </c>
      <c r="F192" s="27" t="s">
        <v>7</v>
      </c>
      <c r="G192" s="27" t="s">
        <v>8</v>
      </c>
      <c r="J192" s="27" t="s">
        <v>7</v>
      </c>
      <c r="K192" s="27" t="s">
        <v>8</v>
      </c>
      <c r="M192" s="27" t="s">
        <v>8</v>
      </c>
      <c r="N192" s="27" t="s">
        <v>7</v>
      </c>
      <c r="O192" s="27" t="s">
        <v>8</v>
      </c>
    </row>
    <row r="193" spans="1:15" x14ac:dyDescent="0.25">
      <c r="A193" s="30">
        <v>1.0464697253675E-3</v>
      </c>
      <c r="F193" s="27" t="s">
        <v>7</v>
      </c>
      <c r="J193" s="27" t="s">
        <v>7</v>
      </c>
      <c r="K193" s="27" t="s">
        <v>8</v>
      </c>
      <c r="L193" s="27" t="s">
        <v>7</v>
      </c>
      <c r="M193" s="27" t="s">
        <v>8</v>
      </c>
      <c r="N193" s="27" t="s">
        <v>7</v>
      </c>
      <c r="O193" s="27" t="s">
        <v>8</v>
      </c>
    </row>
    <row r="194" spans="1:15" x14ac:dyDescent="0.25">
      <c r="A194" s="30">
        <v>9.5133611397045449E-4</v>
      </c>
      <c r="J194" s="27" t="s">
        <v>7</v>
      </c>
      <c r="K194" s="27" t="s">
        <v>8</v>
      </c>
      <c r="L194" s="27" t="s">
        <v>7</v>
      </c>
      <c r="M194" s="27" t="s">
        <v>8</v>
      </c>
      <c r="N194" s="27" t="s">
        <v>7</v>
      </c>
    </row>
    <row r="195" spans="1:15" x14ac:dyDescent="0.25">
      <c r="A195" s="30">
        <v>8.6485101270041313E-4</v>
      </c>
      <c r="J195" s="27" t="s">
        <v>7</v>
      </c>
      <c r="K195" s="27" t="s">
        <v>8</v>
      </c>
      <c r="L195" s="27" t="s">
        <v>7</v>
      </c>
    </row>
    <row r="196" spans="1:15" x14ac:dyDescent="0.25">
      <c r="A196" s="30">
        <v>7.862281933640119E-4</v>
      </c>
      <c r="J196" s="27" t="s">
        <v>7</v>
      </c>
      <c r="K196" s="27" t="s">
        <v>8</v>
      </c>
    </row>
    <row r="197" spans="1:15" x14ac:dyDescent="0.25">
      <c r="A197" s="30">
        <v>7.0760537402761068E-4</v>
      </c>
      <c r="J197" s="27" t="s">
        <v>7</v>
      </c>
      <c r="K197" s="27" t="s">
        <v>8</v>
      </c>
    </row>
    <row r="198" spans="1:15" x14ac:dyDescent="0.25">
      <c r="A198" s="30">
        <v>6.368448366248496E-4</v>
      </c>
      <c r="J198" s="27" t="s">
        <v>7</v>
      </c>
      <c r="K198" s="27" t="s">
        <v>8</v>
      </c>
    </row>
    <row r="199" spans="1:15" x14ac:dyDescent="0.25">
      <c r="A199" s="30">
        <v>5.7316035296236471E-4</v>
      </c>
      <c r="J199" s="27" t="s">
        <v>7</v>
      </c>
      <c r="K199" s="27" t="s">
        <v>8</v>
      </c>
    </row>
    <row r="200" spans="1:15" x14ac:dyDescent="0.25">
      <c r="A200" s="30">
        <v>5.1584431766612821E-4</v>
      </c>
      <c r="J200" s="27" t="s">
        <v>7</v>
      </c>
      <c r="K200" s="27" t="s">
        <v>8</v>
      </c>
    </row>
    <row r="201" spans="1:15" x14ac:dyDescent="0.25">
      <c r="A201" s="30">
        <v>4.6425988589951538E-4</v>
      </c>
      <c r="J201" s="27" t="s">
        <v>7</v>
      </c>
      <c r="K201" s="27" t="s">
        <v>8</v>
      </c>
    </row>
    <row r="202" spans="1:15" x14ac:dyDescent="0.25">
      <c r="A202" s="30">
        <v>4.1783389730956383E-4</v>
      </c>
      <c r="J202" s="27" t="s">
        <v>7</v>
      </c>
      <c r="K202" s="27" t="s">
        <v>8</v>
      </c>
    </row>
    <row r="203" spans="1:15" x14ac:dyDescent="0.25">
      <c r="A203" s="30">
        <v>3.7605050757860746E-4</v>
      </c>
      <c r="J203" s="27" t="s">
        <v>7</v>
      </c>
    </row>
    <row r="204" spans="1:15" x14ac:dyDescent="0.25">
      <c r="A204" s="30">
        <v>3.3844545682074675E-4</v>
      </c>
    </row>
    <row r="205" spans="1:15" x14ac:dyDescent="0.25">
      <c r="A205" s="30">
        <v>3.0460091113867208E-4</v>
      </c>
    </row>
    <row r="206" spans="1:15" x14ac:dyDescent="0.25">
      <c r="A206" s="30">
        <v>2.7414082002480487E-4</v>
      </c>
    </row>
    <row r="207" spans="1:15" x14ac:dyDescent="0.25">
      <c r="A207" s="30">
        <v>2.4672673802232442E-4</v>
      </c>
    </row>
    <row r="208" spans="1:15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144" operator="equal">
      <formula>$U$1</formula>
    </cfRule>
    <cfRule type="cellIs" dxfId="30" priority="1145" operator="equal">
      <formula>$S$1</formula>
    </cfRule>
  </conditionalFormatting>
  <conditionalFormatting sqref="D136">
    <cfRule type="cellIs" dxfId="29" priority="1142" operator="equal">
      <formula>$S$1</formula>
    </cfRule>
    <cfRule type="cellIs" dxfId="28" priority="1143" operator="equal">
      <formula>$U$1</formula>
    </cfRule>
  </conditionalFormatting>
  <conditionalFormatting sqref="C102">
    <cfRule type="cellIs" dxfId="27" priority="1140" operator="equal">
      <formula>$U$1</formula>
    </cfRule>
    <cfRule type="cellIs" dxfId="26" priority="1141" operator="equal">
      <formula>$S$1</formula>
    </cfRule>
  </conditionalFormatting>
  <conditionalFormatting sqref="D102">
    <cfRule type="cellIs" dxfId="25" priority="1138" operator="equal">
      <formula>$S$1</formula>
    </cfRule>
    <cfRule type="cellIs" dxfId="24" priority="1139" operator="equal">
      <formula>$U$1</formula>
    </cfRule>
  </conditionalFormatting>
  <conditionalFormatting sqref="C77">
    <cfRule type="cellIs" dxfId="23" priority="1136" operator="equal">
      <formula>$U$1</formula>
    </cfRule>
    <cfRule type="cellIs" dxfId="22" priority="1137" operator="equal">
      <formula>$S$1</formula>
    </cfRule>
  </conditionalFormatting>
  <conditionalFormatting sqref="D77">
    <cfRule type="cellIs" dxfId="21" priority="1134" operator="equal">
      <formula>$S$1</formula>
    </cfRule>
    <cfRule type="cellIs" dxfId="20" priority="1135" operator="equal">
      <formula>$U$1</formula>
    </cfRule>
  </conditionalFormatting>
  <conditionalFormatting sqref="C52">
    <cfRule type="cellIs" dxfId="19" priority="1132" operator="equal">
      <formula>$U$1</formula>
    </cfRule>
    <cfRule type="cellIs" dxfId="18" priority="1133" operator="equal">
      <formula>$S$1</formula>
    </cfRule>
  </conditionalFormatting>
  <conditionalFormatting sqref="D52">
    <cfRule type="cellIs" dxfId="17" priority="1130" operator="equal">
      <formula>$S$1</formula>
    </cfRule>
    <cfRule type="cellIs" dxfId="16" priority="1131" operator="equal">
      <formula>$U$1</formula>
    </cfRule>
  </conditionalFormatting>
  <conditionalFormatting sqref="C26">
    <cfRule type="cellIs" dxfId="15" priority="1128" operator="equal">
      <formula>$U$1</formula>
    </cfRule>
    <cfRule type="cellIs" dxfId="14" priority="1129" operator="equal">
      <formula>$S$1</formula>
    </cfRule>
  </conditionalFormatting>
  <conditionalFormatting sqref="D26">
    <cfRule type="cellIs" dxfId="13" priority="1126" operator="equal">
      <formula>$S$1</formula>
    </cfRule>
    <cfRule type="cellIs" dxfId="12" priority="1127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2" t="s">
        <v>17</v>
      </c>
      <c r="C1" s="32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2022-01-28T01:16:06Z</dcterms:modified>
</cp:coreProperties>
</file>