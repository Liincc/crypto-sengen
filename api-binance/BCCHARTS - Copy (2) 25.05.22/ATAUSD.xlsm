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C60D70C-A1F8-4F6A-9EEB-899800B9034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C136" i="4" s="1"/>
  <c r="C122" i="3"/>
  <c r="C133" i="3" s="1"/>
  <c r="C136" i="3" s="1"/>
  <c r="C116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<sst xmlns="http://schemas.openxmlformats.org/spreadsheetml/2006/main" count="2810" uniqueCount="34">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</sst>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0.374</c:v>
                </c:pt>
                <c:pt idx="1">
                  <c:v>0.37969999999999998</c:v>
                </c:pt>
                <c:pt idx="2">
                  <c:v>0.39119999999999999</c:v>
                </c:pt>
                <c:pt idx="3">
                  <c:v>0.37390000000000001</c:v>
                </c:pt>
                <c:pt idx="4">
                  <c:v>0.39460000000000001</c:v>
                </c:pt>
                <c:pt idx="5">
                  <c:v>0.38740000000000002</c:v>
                </c:pt>
                <c:pt idx="6">
                  <c:v>0.42059999999999997</c:v>
                </c:pt>
                <c:pt idx="7">
                  <c:v>0.4849</c:v>
                </c:pt>
                <c:pt idx="8">
                  <c:v>0.51939999999999997</c:v>
                </c:pt>
                <c:pt idx="9">
                  <c:v>0.53249999999999997</c:v>
                </c:pt>
                <c:pt idx="10">
                  <c:v>0.53559999999999997</c:v>
                </c:pt>
                <c:pt idx="11">
                  <c:v>0.57509999999999994</c:v>
                </c:pt>
                <c:pt idx="12">
                  <c:v>0.56640000000000001</c:v>
                </c:pt>
                <c:pt idx="13">
                  <c:v>0.55879999999999996</c:v>
                </c:pt>
                <c:pt idx="14">
                  <c:v>0.54190000000000005</c:v>
                </c:pt>
                <c:pt idx="15">
                  <c:v>0.58009999999999995</c:v>
                </c:pt>
                <c:pt idx="16">
                  <c:v>0.55689999999999995</c:v>
                </c:pt>
                <c:pt idx="17">
                  <c:v>0.52839999999999998</c:v>
                </c:pt>
                <c:pt idx="18">
                  <c:v>0.55489999999999995</c:v>
                </c:pt>
                <c:pt idx="19">
                  <c:v>0.52990000000000004</c:v>
                </c:pt>
                <c:pt idx="20">
                  <c:v>0.55489999999999995</c:v>
                </c:pt>
                <c:pt idx="21">
                  <c:v>0.58950000000000002</c:v>
                </c:pt>
                <c:pt idx="22">
                  <c:v>0.6149</c:v>
                </c:pt>
                <c:pt idx="23">
                  <c:v>0.66359999999999997</c:v>
                </c:pt>
                <c:pt idx="24">
                  <c:v>0.65339999999999998</c:v>
                </c:pt>
                <c:pt idx="25">
                  <c:v>0.67830000000000001</c:v>
                </c:pt>
                <c:pt idx="26">
                  <c:v>0.66069999999999995</c:v>
                </c:pt>
                <c:pt idx="27">
                  <c:v>0.62519999999999998</c:v>
                </c:pt>
                <c:pt idx="28">
                  <c:v>0.64270000000000005</c:v>
                </c:pt>
                <c:pt idx="29">
                  <c:v>0.63190000000000002</c:v>
                </c:pt>
                <c:pt idx="30">
                  <c:v>0.66449999999999998</c:v>
                </c:pt>
                <c:pt idx="31">
                  <c:v>0.73380000000000001</c:v>
                </c:pt>
                <c:pt idx="32">
                  <c:v>0.71240000000000003</c:v>
                </c:pt>
                <c:pt idx="33">
                  <c:v>0.70879999999999999</c:v>
                </c:pt>
                <c:pt idx="34">
                  <c:v>0.68020000000000003</c:v>
                </c:pt>
                <c:pt idx="35">
                  <c:v>0.71399999999999997</c:v>
                </c:pt>
                <c:pt idx="36">
                  <c:v>0.65890000000000004</c:v>
                </c:pt>
                <c:pt idx="37">
                  <c:v>0.62829999999999997</c:v>
                </c:pt>
                <c:pt idx="38">
                  <c:v>0.59850000000000003</c:v>
                </c:pt>
                <c:pt idx="39">
                  <c:v>0.61550000000000005</c:v>
                </c:pt>
                <c:pt idx="40">
                  <c:v>0.6129</c:v>
                </c:pt>
                <c:pt idx="41">
                  <c:v>0.60609999999999997</c:v>
                </c:pt>
                <c:pt idx="42">
                  <c:v>0.61850000000000005</c:v>
                </c:pt>
                <c:pt idx="43">
                  <c:v>0.64770000000000005</c:v>
                </c:pt>
                <c:pt idx="44">
                  <c:v>0.64319999999999999</c:v>
                </c:pt>
                <c:pt idx="45">
                  <c:v>0.61609999999999998</c:v>
                </c:pt>
                <c:pt idx="46">
                  <c:v>0.70889999999999997</c:v>
                </c:pt>
                <c:pt idx="47">
                  <c:v>0.66949999999999998</c:v>
                </c:pt>
                <c:pt idx="48">
                  <c:v>0.66339999999999999</c:v>
                </c:pt>
                <c:pt idx="49">
                  <c:v>0.69630000000000003</c:v>
                </c:pt>
                <c:pt idx="50">
                  <c:v>0.75309999999999999</c:v>
                </c:pt>
                <c:pt idx="51">
                  <c:v>0.71760000000000002</c:v>
                </c:pt>
                <c:pt idx="52">
                  <c:v>0.72529999999999994</c:v>
                </c:pt>
                <c:pt idx="53">
                  <c:v>0.71240000000000003</c:v>
                </c:pt>
                <c:pt idx="54">
                  <c:v>0.77280000000000004</c:v>
                </c:pt>
                <c:pt idx="55">
                  <c:v>1.0004</c:v>
                </c:pt>
                <c:pt idx="56">
                  <c:v>1.0569999999999999</c:v>
                </c:pt>
                <c:pt idx="57">
                  <c:v>1.1201000000000001</c:v>
                </c:pt>
                <c:pt idx="58">
                  <c:v>1.1283000000000001</c:v>
                </c:pt>
                <c:pt idx="59">
                  <c:v>1.1096999999999999</c:v>
                </c:pt>
                <c:pt idx="60">
                  <c:v>1.1223000000000001</c:v>
                </c:pt>
                <c:pt idx="61">
                  <c:v>1.2050000000000001</c:v>
                </c:pt>
                <c:pt idx="62">
                  <c:v>1.2222</c:v>
                </c:pt>
                <c:pt idx="63">
                  <c:v>1.0426</c:v>
                </c:pt>
                <c:pt idx="64">
                  <c:v>1.0209999999999999</c:v>
                </c:pt>
                <c:pt idx="65">
                  <c:v>1.0274000000000001</c:v>
                </c:pt>
                <c:pt idx="66">
                  <c:v>0.97770000000000001</c:v>
                </c:pt>
                <c:pt idx="67">
                  <c:v>1.0528999999999999</c:v>
                </c:pt>
                <c:pt idx="68">
                  <c:v>1.0441</c:v>
                </c:pt>
                <c:pt idx="69">
                  <c:v>1.0124</c:v>
                </c:pt>
                <c:pt idx="70">
                  <c:v>0.94299999999999995</c:v>
                </c:pt>
                <c:pt idx="71">
                  <c:v>1.0815999999999999</c:v>
                </c:pt>
                <c:pt idx="72">
                  <c:v>1.0737000000000001</c:v>
                </c:pt>
                <c:pt idx="73">
                  <c:v>1.2202999999999999</c:v>
                </c:pt>
                <c:pt idx="74">
                  <c:v>1.3409</c:v>
                </c:pt>
                <c:pt idx="75">
                  <c:v>1.2859</c:v>
                </c:pt>
                <c:pt idx="76">
                  <c:v>1.3617999999999999</c:v>
                </c:pt>
                <c:pt idx="77">
                  <c:v>1.6910000000000001</c:v>
                </c:pt>
                <c:pt idx="78">
                  <c:v>1.1399999999999999</c:v>
                </c:pt>
                <c:pt idx="79">
                  <c:v>1.2176</c:v>
                </c:pt>
                <c:pt idx="80">
                  <c:v>1.1580999999999999</c:v>
                </c:pt>
                <c:pt idx="81">
                  <c:v>1.1258999999999999</c:v>
                </c:pt>
                <c:pt idx="82">
                  <c:v>1.1043000000000001</c:v>
                </c:pt>
                <c:pt idx="83">
                  <c:v>1.1261000000000001</c:v>
                </c:pt>
                <c:pt idx="84">
                  <c:v>1.1655</c:v>
                </c:pt>
                <c:pt idx="85">
                  <c:v>1.1801999999999999</c:v>
                </c:pt>
                <c:pt idx="86">
                  <c:v>1.24</c:v>
                </c:pt>
                <c:pt idx="87">
                  <c:v>1.1251</c:v>
                </c:pt>
                <c:pt idx="88">
                  <c:v>1.069</c:v>
                </c:pt>
                <c:pt idx="89">
                  <c:v>1.0041</c:v>
                </c:pt>
                <c:pt idx="90">
                  <c:v>1.0288999999999999</c:v>
                </c:pt>
                <c:pt idx="91">
                  <c:v>0.9849</c:v>
                </c:pt>
                <c:pt idx="92">
                  <c:v>0.96030000000000004</c:v>
                </c:pt>
                <c:pt idx="93">
                  <c:v>1.1009</c:v>
                </c:pt>
                <c:pt idx="94">
                  <c:v>1.0611999999999999</c:v>
                </c:pt>
                <c:pt idx="95">
                  <c:v>1.038</c:v>
                </c:pt>
                <c:pt idx="96">
                  <c:v>1.0936999999999999</c:v>
                </c:pt>
                <c:pt idx="97">
                  <c:v>1.0898000000000001</c:v>
                </c:pt>
                <c:pt idx="98">
                  <c:v>1.0860000000000001</c:v>
                </c:pt>
                <c:pt idx="99">
                  <c:v>1.1494</c:v>
                </c:pt>
                <c:pt idx="100">
                  <c:v>1.0733999999999999</c:v>
                </c:pt>
                <c:pt idx="101">
                  <c:v>1.0529999999999999</c:v>
                </c:pt>
                <c:pt idx="102">
                  <c:v>1.08</c:v>
                </c:pt>
                <c:pt idx="103">
                  <c:v>1.1637999999999999</c:v>
                </c:pt>
                <c:pt idx="104">
                  <c:v>1.0313000000000001</c:v>
                </c:pt>
                <c:pt idx="105">
                  <c:v>0.98980000000000001</c:v>
                </c:pt>
                <c:pt idx="106">
                  <c:v>0.96819999999999995</c:v>
                </c:pt>
                <c:pt idx="107">
                  <c:v>0.93469999999999998</c:v>
                </c:pt>
                <c:pt idx="108">
                  <c:v>0.93940000000000001</c:v>
                </c:pt>
                <c:pt idx="109">
                  <c:v>0.96819999999999995</c:v>
                </c:pt>
                <c:pt idx="110">
                  <c:v>0.99490000000000001</c:v>
                </c:pt>
                <c:pt idx="111">
                  <c:v>0.98629999999999995</c:v>
                </c:pt>
                <c:pt idx="112">
                  <c:v>1.0065999999999999</c:v>
                </c:pt>
                <c:pt idx="113">
                  <c:v>0.98340000000000005</c:v>
                </c:pt>
                <c:pt idx="114">
                  <c:v>1.0398000000000001</c:v>
                </c:pt>
                <c:pt idx="115">
                  <c:v>1.0324</c:v>
                </c:pt>
                <c:pt idx="116">
                  <c:v>1.0324</c:v>
                </c:pt>
                <c:pt idx="117">
                  <c:v>0.97889999999999999</c:v>
                </c:pt>
                <c:pt idx="118">
                  <c:v>0.90159999999999996</c:v>
                </c:pt>
                <c:pt idx="119">
                  <c:v>0.82879999999999998</c:v>
                </c:pt>
                <c:pt idx="120">
                  <c:v>0.78080000000000005</c:v>
                </c:pt>
                <c:pt idx="121">
                  <c:v>0.76490000000000002</c:v>
                </c:pt>
                <c:pt idx="122">
                  <c:v>0.81120000000000003</c:v>
                </c:pt>
                <c:pt idx="123">
                  <c:v>0.84789999999999999</c:v>
                </c:pt>
                <c:pt idx="124">
                  <c:v>0.89739999999999998</c:v>
                </c:pt>
                <c:pt idx="125">
                  <c:v>0.9052</c:v>
                </c:pt>
                <c:pt idx="126">
                  <c:v>1.0428999999999999</c:v>
                </c:pt>
                <c:pt idx="127">
                  <c:v>0.96630000000000005</c:v>
                </c:pt>
                <c:pt idx="128">
                  <c:v>0.85399999999999998</c:v>
                </c:pt>
                <c:pt idx="129">
                  <c:v>1.0353000000000001</c:v>
                </c:pt>
                <c:pt idx="130">
                  <c:v>1.2224999999999999</c:v>
                </c:pt>
                <c:pt idx="131">
                  <c:v>1.2071000000000001</c:v>
                </c:pt>
                <c:pt idx="132">
                  <c:v>1.1611</c:v>
                </c:pt>
                <c:pt idx="133">
                  <c:v>1.2587999999999999</c:v>
                </c:pt>
                <c:pt idx="134">
                  <c:v>1.2739</c:v>
                </c:pt>
                <c:pt idx="135">
                  <c:v>1.3197000000000001</c:v>
                </c:pt>
                <c:pt idx="136">
                  <c:v>1.1555</c:v>
                </c:pt>
                <c:pt idx="137">
                  <c:v>1.2626999999999999</c:v>
                </c:pt>
                <c:pt idx="138">
                  <c:v>1.1161000000000001</c:v>
                </c:pt>
                <c:pt idx="139">
                  <c:v>1.0384</c:v>
                </c:pt>
                <c:pt idx="140">
                  <c:v>1.1527000000000001</c:v>
                </c:pt>
                <c:pt idx="141">
                  <c:v>1.0457000000000001</c:v>
                </c:pt>
                <c:pt idx="142">
                  <c:v>1.0426</c:v>
                </c:pt>
                <c:pt idx="143">
                  <c:v>1.371</c:v>
                </c:pt>
                <c:pt idx="144">
                  <c:v>1.4089</c:v>
                </c:pt>
                <c:pt idx="145">
                  <c:v>1.3866000000000001</c:v>
                </c:pt>
                <c:pt idx="146">
                  <c:v>1.3161</c:v>
                </c:pt>
                <c:pt idx="147">
                  <c:v>1.3512</c:v>
                </c:pt>
                <c:pt idx="148">
                  <c:v>1.4059999999999999</c:v>
                </c:pt>
                <c:pt idx="149">
                  <c:v>1.3793</c:v>
                </c:pt>
                <c:pt idx="150">
                  <c:v>1.478</c:v>
                </c:pt>
                <c:pt idx="151">
                  <c:v>1.6285000000000001</c:v>
                </c:pt>
                <c:pt idx="152">
                  <c:v>1.8381000000000001</c:v>
                </c:pt>
                <c:pt idx="153">
                  <c:v>1.7411000000000001</c:v>
                </c:pt>
                <c:pt idx="154">
                  <c:v>1.3157000000000001</c:v>
                </c:pt>
                <c:pt idx="155">
                  <c:v>1.56121</c:v>
                </c:pt>
                <c:pt idx="156">
                  <c:v>0.62358000000000002</c:v>
                </c:pt>
                <c:pt idx="157">
                  <c:v>0.67232999999999998</c:v>
                </c:pt>
                <c:pt idx="158">
                  <c:v>0.71718999999999999</c:v>
                </c:pt>
                <c:pt idx="159">
                  <c:v>0.63587000000000005</c:v>
                </c:pt>
                <c:pt idx="160">
                  <c:v>0.57793000000000005</c:v>
                </c:pt>
                <c:pt idx="161">
                  <c:v>0.56416999999999995</c:v>
                </c:pt>
                <c:pt idx="162">
                  <c:v>0.52864999999999995</c:v>
                </c:pt>
                <c:pt idx="163">
                  <c:v>0.54339999999999999</c:v>
                </c:pt>
                <c:pt idx="164">
                  <c:v>0.58216000000000001</c:v>
                </c:pt>
                <c:pt idx="165">
                  <c:v>0.59662000000000004</c:v>
                </c:pt>
                <c:pt idx="166">
                  <c:v>0.59326000000000001</c:v>
                </c:pt>
                <c:pt idx="167">
                  <c:v>0.53293999999999997</c:v>
                </c:pt>
                <c:pt idx="168">
                  <c:v>0.49273</c:v>
                </c:pt>
                <c:pt idx="169">
                  <c:v>0.52802000000000004</c:v>
                </c:pt>
                <c:pt idx="170">
                  <c:v>0.51351999999999998</c:v>
                </c:pt>
                <c:pt idx="171">
                  <c:v>0.49891999999999997</c:v>
                </c:pt>
                <c:pt idx="172">
                  <c:v>0.48648000000000002</c:v>
                </c:pt>
                <c:pt idx="173">
                  <c:v>0.53469</c:v>
                </c:pt>
                <c:pt idx="174">
                  <c:v>0.53781000000000001</c:v>
                </c:pt>
                <c:pt idx="175">
                  <c:v>0.45517000000000002</c:v>
                </c:pt>
                <c:pt idx="176">
                  <c:v>0.42109000000000002</c:v>
                </c:pt>
                <c:pt idx="177">
                  <c:v>0.43769000000000002</c:v>
                </c:pt>
                <c:pt idx="178">
                  <c:v>0.38545000000000001</c:v>
                </c:pt>
                <c:pt idx="179">
                  <c:v>0.38844000000000001</c:v>
                </c:pt>
                <c:pt idx="180">
                  <c:v>0.39898</c:v>
                </c:pt>
                <c:pt idx="181">
                  <c:v>0.39511000000000002</c:v>
                </c:pt>
                <c:pt idx="182">
                  <c:v>0.37219999999999998</c:v>
                </c:pt>
                <c:pt idx="183">
                  <c:v>0.37354999999999999</c:v>
                </c:pt>
                <c:pt idx="184">
                  <c:v>0.38155</c:v>
                </c:pt>
                <c:pt idx="185">
                  <c:v>0.37944</c:v>
                </c:pt>
                <c:pt idx="186">
                  <c:v>0.38383</c:v>
                </c:pt>
                <c:pt idx="187">
                  <c:v>0.38196000000000002</c:v>
                </c:pt>
                <c:pt idx="188">
                  <c:v>0.38462000000000002</c:v>
                </c:pt>
                <c:pt idx="189">
                  <c:v>0.38168999999999997</c:v>
                </c:pt>
                <c:pt idx="190">
                  <c:v>0.37709999999999999</c:v>
                </c:pt>
                <c:pt idx="191">
                  <c:v>0.34661999999999998</c:v>
                </c:pt>
                <c:pt idx="192">
                  <c:v>0.39202999999999999</c:v>
                </c:pt>
                <c:pt idx="193">
                  <c:v>0.42680000000000001</c:v>
                </c:pt>
                <c:pt idx="194">
                  <c:v>0.45710000000000001</c:v>
                </c:pt>
                <c:pt idx="195">
                  <c:v>0.46704000000000001</c:v>
                </c:pt>
                <c:pt idx="196">
                  <c:v>0.50797999999999999</c:v>
                </c:pt>
                <c:pt idx="197">
                  <c:v>0.36841000000000002</c:v>
                </c:pt>
                <c:pt idx="198">
                  <c:v>0.36691000000000001</c:v>
                </c:pt>
                <c:pt idx="199">
                  <c:v>0.40222999999999998</c:v>
                </c:pt>
                <c:pt idx="200">
                  <c:v>0.41846</c:v>
                </c:pt>
                <c:pt idx="201">
                  <c:v>0.40991</c:v>
                </c:pt>
                <c:pt idx="202">
                  <c:v>0.42451</c:v>
                </c:pt>
                <c:pt idx="203">
                  <c:v>0.42832999999999999</c:v>
                </c:pt>
                <c:pt idx="204">
                  <c:v>0.47064</c:v>
                </c:pt>
                <c:pt idx="205">
                  <c:v>0.45358999999999999</c:v>
                </c:pt>
                <c:pt idx="206">
                  <c:v>0.44696999999999998</c:v>
                </c:pt>
                <c:pt idx="207">
                  <c:v>0.46711000000000003</c:v>
                </c:pt>
                <c:pt idx="208">
                  <c:v>0.46040999999999999</c:v>
                </c:pt>
                <c:pt idx="209">
                  <c:v>0.46328000000000003</c:v>
                </c:pt>
                <c:pt idx="210">
                  <c:v>0.46864</c:v>
                </c:pt>
                <c:pt idx="211">
                  <c:v>0.49614999999999998</c:v>
                </c:pt>
                <c:pt idx="212">
                  <c:v>0.51770000000000005</c:v>
                </c:pt>
                <c:pt idx="213">
                  <c:v>0.51078000000000001</c:v>
                </c:pt>
                <c:pt idx="214">
                  <c:v>0.47558</c:v>
                </c:pt>
                <c:pt idx="215">
                  <c:v>0.45962999999999998</c:v>
                </c:pt>
                <c:pt idx="216">
                  <c:v>0.47</c:v>
                </c:pt>
                <c:pt idx="217">
                  <c:v>0.52366999999999997</c:v>
                </c:pt>
                <c:pt idx="218">
                  <c:v>0.53741000000000005</c:v>
                </c:pt>
                <c:pt idx="219">
                  <c:v>0.49532999999999999</c:v>
                </c:pt>
                <c:pt idx="220">
                  <c:v>0.51232999999999995</c:v>
                </c:pt>
                <c:pt idx="221">
                  <c:v>0.71787000000000001</c:v>
                </c:pt>
                <c:pt idx="222">
                  <c:v>0.72016999999999998</c:v>
                </c:pt>
                <c:pt idx="223">
                  <c:v>0.73792999999999997</c:v>
                </c:pt>
                <c:pt idx="224">
                  <c:v>0.83101999999999998</c:v>
                </c:pt>
                <c:pt idx="225">
                  <c:v>0.87575000000000003</c:v>
                </c:pt>
                <c:pt idx="226">
                  <c:v>0.97241</c:v>
                </c:pt>
                <c:pt idx="227">
                  <c:v>0.94406999999999996</c:v>
                </c:pt>
                <c:pt idx="228">
                  <c:v>0.97221999999999997</c:v>
                </c:pt>
                <c:pt idx="229">
                  <c:v>0.60041</c:v>
                </c:pt>
                <c:pt idx="230">
                  <c:v>0.61334999999999995</c:v>
                </c:pt>
                <c:pt idx="231">
                  <c:v>0.74112999999999996</c:v>
                </c:pt>
                <c:pt idx="232">
                  <c:v>0.91966000000000003</c:v>
                </c:pt>
                <c:pt idx="233">
                  <c:v>1.0194099999999999</c:v>
                </c:pt>
                <c:pt idx="234">
                  <c:v>1.5120899999999999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D-43B8-B75D-CDF10AA44F4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-8.8556243990288444</c:v>
                </c:pt>
                <c:pt idx="1">
                  <c:v>-8.8488542416002751</c:v>
                </c:pt>
                <c:pt idx="2">
                  <c:v>-8.7821415336990398</c:v>
                </c:pt>
                <c:pt idx="3">
                  <c:v>-8.8106069458154419</c:v>
                </c:pt>
                <c:pt idx="4">
                  <c:v>-8.8492500571556469</c:v>
                </c:pt>
                <c:pt idx="5">
                  <c:v>-8.8423632923730384</c:v>
                </c:pt>
                <c:pt idx="6">
                  <c:v>-8.8306662792124175</c:v>
                </c:pt>
                <c:pt idx="7">
                  <c:v>-8.7240577976080722</c:v>
                </c:pt>
                <c:pt idx="8">
                  <c:v>-8.6720348089922101</c:v>
                </c:pt>
                <c:pt idx="9">
                  <c:v>-8.6573161012330146</c:v>
                </c:pt>
                <c:pt idx="10">
                  <c:v>-8.6648931711018644</c:v>
                </c:pt>
                <c:pt idx="11">
                  <c:v>-8.6387618216988802</c:v>
                </c:pt>
                <c:pt idx="12">
                  <c:v>-8.6666857598678941</c:v>
                </c:pt>
                <c:pt idx="13">
                  <c:v>-8.673985164519058</c:v>
                </c:pt>
                <c:pt idx="14">
                  <c:v>-8.7145599128781903</c:v>
                </c:pt>
                <c:pt idx="15">
                  <c:v>-8.6650611419123962</c:v>
                </c:pt>
                <c:pt idx="16">
                  <c:v>-8.6902734403074575</c:v>
                </c:pt>
                <c:pt idx="17">
                  <c:v>-8.7216905307222046</c:v>
                </c:pt>
                <c:pt idx="18">
                  <c:v>-8.7123565847158133</c:v>
                </c:pt>
                <c:pt idx="19">
                  <c:v>-8.7349719732872426</c:v>
                </c:pt>
                <c:pt idx="20">
                  <c:v>-8.6873070669777164</c:v>
                </c:pt>
                <c:pt idx="21">
                  <c:v>-8.6553991686388478</c:v>
                </c:pt>
                <c:pt idx="22">
                  <c:v>-8.6273871208300825</c:v>
                </c:pt>
                <c:pt idx="23">
                  <c:v>-8.5117979241285902</c:v>
                </c:pt>
                <c:pt idx="24">
                  <c:v>-8.478187756892817</c:v>
                </c:pt>
                <c:pt idx="25">
                  <c:v>-8.4570536945601216</c:v>
                </c:pt>
                <c:pt idx="26">
                  <c:v>-8.5109699858128209</c:v>
                </c:pt>
                <c:pt idx="27">
                  <c:v>-8.5537642863622718</c:v>
                </c:pt>
                <c:pt idx="28">
                  <c:v>-8.5240152758998438</c:v>
                </c:pt>
                <c:pt idx="29">
                  <c:v>-8.5520893254281454</c:v>
                </c:pt>
                <c:pt idx="30">
                  <c:v>-8.5061881655599407</c:v>
                </c:pt>
                <c:pt idx="31">
                  <c:v>-8.4255409727512234</c:v>
                </c:pt>
                <c:pt idx="32">
                  <c:v>-8.3541072766712237</c:v>
                </c:pt>
                <c:pt idx="33">
                  <c:v>-8.3864769474902712</c:v>
                </c:pt>
                <c:pt idx="34">
                  <c:v>-8.4189929129804675</c:v>
                </c:pt>
                <c:pt idx="35">
                  <c:v>-8.3181686619579107</c:v>
                </c:pt>
                <c:pt idx="36">
                  <c:v>-8.5247714490348336</c:v>
                </c:pt>
                <c:pt idx="37">
                  <c:v>-8.5647483136587894</c:v>
                </c:pt>
                <c:pt idx="38">
                  <c:v>-8.6145663598126365</c:v>
                </c:pt>
                <c:pt idx="39">
                  <c:v>-8.5938515740983501</c:v>
                </c:pt>
                <c:pt idx="40">
                  <c:v>-8.5934433190507296</c:v>
                </c:pt>
                <c:pt idx="41">
                  <c:v>-8.5827635090507304</c:v>
                </c:pt>
                <c:pt idx="42">
                  <c:v>-8.5571609394823849</c:v>
                </c:pt>
                <c:pt idx="43">
                  <c:v>-8.4703982513880103</c:v>
                </c:pt>
                <c:pt idx="44">
                  <c:v>-8.5213187003967583</c:v>
                </c:pt>
                <c:pt idx="45">
                  <c:v>-8.5692366189916047</c:v>
                </c:pt>
                <c:pt idx="46">
                  <c:v>-8.4949091727753903</c:v>
                </c:pt>
                <c:pt idx="47">
                  <c:v>-8.5656778963651323</c:v>
                </c:pt>
                <c:pt idx="48">
                  <c:v>-8.5695906436161273</c:v>
                </c:pt>
                <c:pt idx="49">
                  <c:v>-8.4514636146189925</c:v>
                </c:pt>
                <c:pt idx="50">
                  <c:v>-8.2094809341644481</c:v>
                </c:pt>
                <c:pt idx="51">
                  <c:v>-8.2993881161677052</c:v>
                </c:pt>
                <c:pt idx="52">
                  <c:v>-8.1869626364255321</c:v>
                </c:pt>
                <c:pt idx="53">
                  <c:v>-8.3433675147173467</c:v>
                </c:pt>
                <c:pt idx="54">
                  <c:v>-8.2831452017182414</c:v>
                </c:pt>
                <c:pt idx="55">
                  <c:v>-8.2128695518861807</c:v>
                </c:pt>
                <c:pt idx="56">
                  <c:v>-8.1594514247080614</c:v>
                </c:pt>
                <c:pt idx="57">
                  <c:v>-8.0839685660344731</c:v>
                </c:pt>
                <c:pt idx="58">
                  <c:v>-8.0164440347377717</c:v>
                </c:pt>
                <c:pt idx="59">
                  <c:v>-7.9882940614044395</c:v>
                </c:pt>
                <c:pt idx="60">
                  <c:v>-7.9065502059625778</c:v>
                </c:pt>
                <c:pt idx="61">
                  <c:v>-7.9068553924620559</c:v>
                </c:pt>
                <c:pt idx="62">
                  <c:v>-7.2036411390950743</c:v>
                </c:pt>
                <c:pt idx="63">
                  <c:v>-7.8926647439653896</c:v>
                </c:pt>
                <c:pt idx="64">
                  <c:v>-7.9455078175073739</c:v>
                </c:pt>
                <c:pt idx="65">
                  <c:v>-7.9718645052567352</c:v>
                </c:pt>
                <c:pt idx="66">
                  <c:v>-8.0467592263985175</c:v>
                </c:pt>
                <c:pt idx="67">
                  <c:v>-7.9523028367842734</c:v>
                </c:pt>
                <c:pt idx="68">
                  <c:v>-7.9623079115567705</c:v>
                </c:pt>
                <c:pt idx="69">
                  <c:v>-8.0940956985153498</c:v>
                </c:pt>
                <c:pt idx="70">
                  <c:v>-8.189930644025555</c:v>
                </c:pt>
                <c:pt idx="71">
                  <c:v>-8.0504425779849456</c:v>
                </c:pt>
                <c:pt idx="72">
                  <c:v>-8.0800465965075485</c:v>
                </c:pt>
                <c:pt idx="73">
                  <c:v>-7.9717967829701006</c:v>
                </c:pt>
                <c:pt idx="74">
                  <c:v>-7.8667473305814619</c:v>
                </c:pt>
                <c:pt idx="75">
                  <c:v>-7.9034968044632103</c:v>
                </c:pt>
                <c:pt idx="76">
                  <c:v>-7.7440742887724205</c:v>
                </c:pt>
                <c:pt idx="77">
                  <c:v>-7.2940075044823907</c:v>
                </c:pt>
                <c:pt idx="78">
                  <c:v>-8.6771436935296276</c:v>
                </c:pt>
                <c:pt idx="79">
                  <c:v>-8.4373446821155582</c:v>
                </c:pt>
                <c:pt idx="80">
                  <c:v>-8.5354437583701017</c:v>
                </c:pt>
                <c:pt idx="81">
                  <c:v>-8.5767952944495072</c:v>
                </c:pt>
                <c:pt idx="82">
                  <c:v>-8.6025282164029946</c:v>
                </c:pt>
                <c:pt idx="83">
                  <c:v>-8.6228475537216767</c:v>
                </c:pt>
                <c:pt idx="84">
                  <c:v>-8.5581865780867563</c:v>
                </c:pt>
                <c:pt idx="85">
                  <c:v>-8.4388724752916389</c:v>
                </c:pt>
                <c:pt idx="86">
                  <c:v>-8.3744795502313991</c:v>
                </c:pt>
                <c:pt idx="87">
                  <c:v>-8.5505274148326258</c:v>
                </c:pt>
                <c:pt idx="88">
                  <c:v>-8.6084210772536771</c:v>
                </c:pt>
                <c:pt idx="89">
                  <c:v>-8.7698829126867484</c:v>
                </c:pt>
                <c:pt idx="90">
                  <c:v>-8.7851476258060135</c:v>
                </c:pt>
                <c:pt idx="91">
                  <c:v>-8.8813351270255261</c:v>
                </c:pt>
                <c:pt idx="92">
                  <c:v>-8.8983438775740975</c:v>
                </c:pt>
                <c:pt idx="93">
                  <c:v>-8.6519076642611399</c:v>
                </c:pt>
                <c:pt idx="94">
                  <c:v>-8.684483541144413</c:v>
                </c:pt>
                <c:pt idx="95">
                  <c:v>-8.7095424158528374</c:v>
                </c:pt>
                <c:pt idx="96">
                  <c:v>-8.6789932042972797</c:v>
                </c:pt>
                <c:pt idx="97">
                  <c:v>-8.7093378138210902</c:v>
                </c:pt>
                <c:pt idx="98">
                  <c:v>-8.6876351370118794</c:v>
                </c:pt>
                <c:pt idx="99">
                  <c:v>-8.5797153800307466</c:v>
                </c:pt>
                <c:pt idx="100">
                  <c:v>-8.71311351336408</c:v>
                </c:pt>
                <c:pt idx="101">
                  <c:v>-8.7266136570375501</c:v>
                </c:pt>
                <c:pt idx="102">
                  <c:v>-8.6965860782729791</c:v>
                </c:pt>
                <c:pt idx="103">
                  <c:v>-8.5312947197295017</c:v>
                </c:pt>
                <c:pt idx="104">
                  <c:v>-8.8112966398267005</c:v>
                </c:pt>
                <c:pt idx="105">
                  <c:v>-8.7330069735085711</c:v>
                </c:pt>
                <c:pt idx="106">
                  <c:v>-8.650420829640737</c:v>
                </c:pt>
                <c:pt idx="107">
                  <c:v>-8.7382709442299724</c:v>
                </c:pt>
                <c:pt idx="108">
                  <c:v>-8.8404448852562876</c:v>
                </c:pt>
                <c:pt idx="109">
                  <c:v>-8.7979694052562873</c:v>
                </c:pt>
                <c:pt idx="110">
                  <c:v>-8.4855883987097833</c:v>
                </c:pt>
                <c:pt idx="111">
                  <c:v>-8.4418311898717562</c:v>
                </c:pt>
                <c:pt idx="112">
                  <c:v>-8.3334642255860416</c:v>
                </c:pt>
                <c:pt idx="113">
                  <c:v>-8.4259475868763651</c:v>
                </c:pt>
                <c:pt idx="114">
                  <c:v>-8.3361007819683888</c:v>
                </c:pt>
                <c:pt idx="115">
                  <c:v>-8.3720465459258353</c:v>
                </c:pt>
                <c:pt idx="116">
                  <c:v>-8.3029936998462031</c:v>
                </c:pt>
                <c:pt idx="117">
                  <c:v>-8.3554442408448892</c:v>
                </c:pt>
                <c:pt idx="118">
                  <c:v>-8.2706616117310237</c:v>
                </c:pt>
                <c:pt idx="119">
                  <c:v>-8.4013543540004552</c:v>
                </c:pt>
                <c:pt idx="120">
                  <c:v>-8.4775188671696853</c:v>
                </c:pt>
                <c:pt idx="121">
                  <c:v>-8.438876999161149</c:v>
                </c:pt>
                <c:pt idx="122">
                  <c:v>-8.3219572141726985</c:v>
                </c:pt>
                <c:pt idx="123">
                  <c:v>-8.1837235176855785</c:v>
                </c:pt>
                <c:pt idx="124">
                  <c:v>-8.1846774195248813</c:v>
                </c:pt>
                <c:pt idx="125">
                  <c:v>-8.1506910175834335</c:v>
                </c:pt>
                <c:pt idx="126">
                  <c:v>-8.0090853129098765</c:v>
                </c:pt>
                <c:pt idx="127">
                  <c:v>-8.1618973865085778</c:v>
                </c:pt>
                <c:pt idx="128">
                  <c:v>-8.3419482894177897</c:v>
                </c:pt>
                <c:pt idx="129">
                  <c:v>-8.1476865487316719</c:v>
                </c:pt>
                <c:pt idx="130">
                  <c:v>-7.9606942422895832</c:v>
                </c:pt>
                <c:pt idx="131">
                  <c:v>-8.0061204968523203</c:v>
                </c:pt>
                <c:pt idx="132">
                  <c:v>-8.0248021064523201</c:v>
                </c:pt>
                <c:pt idx="133">
                  <c:v>-7.9141212748888989</c:v>
                </c:pt>
                <c:pt idx="134">
                  <c:v>-7.8393124289629723</c:v>
                </c:pt>
                <c:pt idx="135">
                  <c:v>-7.732946908645272</c:v>
                </c:pt>
                <c:pt idx="136">
                  <c:v>-8.1371231459517013</c:v>
                </c:pt>
                <c:pt idx="137">
                  <c:v>-8.0286294551978319</c:v>
                </c:pt>
                <c:pt idx="138">
                  <c:v>-8.0751504789842397</c:v>
                </c:pt>
                <c:pt idx="139">
                  <c:v>-8.174900925413688</c:v>
                </c:pt>
                <c:pt idx="140">
                  <c:v>-7.9855718429017042</c:v>
                </c:pt>
                <c:pt idx="141">
                  <c:v>-8.0891172074122792</c:v>
                </c:pt>
                <c:pt idx="142">
                  <c:v>-8.1583438720649344</c:v>
                </c:pt>
                <c:pt idx="143">
                  <c:v>-7.7380347605173148</c:v>
                </c:pt>
                <c:pt idx="144">
                  <c:v>-7.5748063882354355</c:v>
                </c:pt>
                <c:pt idx="145">
                  <c:v>-7.6540864393730921</c:v>
                </c:pt>
                <c:pt idx="146">
                  <c:v>-7.3093468360181273</c:v>
                </c:pt>
                <c:pt idx="147">
                  <c:v>-7.2004793724484859</c:v>
                </c:pt>
                <c:pt idx="148">
                  <c:v>-6.9719211747254084</c:v>
                </c:pt>
                <c:pt idx="149">
                  <c:v>-7.0370239664214731</c:v>
                </c:pt>
                <c:pt idx="150">
                  <c:v>-6.6534734289214734</c:v>
                </c:pt>
                <c:pt idx="151">
                  <c:v>-6.0628901147432002</c:v>
                </c:pt>
                <c:pt idx="152">
                  <c:v>-5.7191980333778858</c:v>
                </c:pt>
                <c:pt idx="153">
                  <c:v>-6.2425661550634963</c:v>
                </c:pt>
                <c:pt idx="154">
                  <c:v>-7.7437224935337472</c:v>
                </c:pt>
                <c:pt idx="155">
                  <c:v>-4.4387186786766062</c:v>
                </c:pt>
                <c:pt idx="156">
                  <c:v>-6.5003995999437976</c:v>
                </c:pt>
                <c:pt idx="157">
                  <c:v>-6.4150575485536683</c:v>
                </c:pt>
                <c:pt idx="158">
                  <c:v>-6.3188658668367443</c:v>
                </c:pt>
                <c:pt idx="159">
                  <c:v>-6.3745263469468467</c:v>
                </c:pt>
                <c:pt idx="160">
                  <c:v>-6.4244350294376362</c:v>
                </c:pt>
                <c:pt idx="161">
                  <c:v>-6.4491371897817711</c:v>
                </c:pt>
                <c:pt idx="162">
                  <c:v>-6.5565551031946212</c:v>
                </c:pt>
                <c:pt idx="163">
                  <c:v>-6.4779065438406054</c:v>
                </c:pt>
                <c:pt idx="164">
                  <c:v>-6.363620082823183</c:v>
                </c:pt>
                <c:pt idx="165">
                  <c:v>-6.1902679547408308</c:v>
                </c:pt>
                <c:pt idx="166">
                  <c:v>-5.9668857954423347</c:v>
                </c:pt>
                <c:pt idx="167">
                  <c:v>-5.8239934944603045</c:v>
                </c:pt>
                <c:pt idx="168">
                  <c:v>-5.9157197960173908</c:v>
                </c:pt>
                <c:pt idx="169">
                  <c:v>-5.8026590544365009</c:v>
                </c:pt>
                <c:pt idx="170">
                  <c:v>-5.6646820926061867</c:v>
                </c:pt>
                <c:pt idx="171">
                  <c:v>-5.7552870651061863</c:v>
                </c:pt>
                <c:pt idx="172">
                  <c:v>-5.7441410046310972</c:v>
                </c:pt>
                <c:pt idx="173">
                  <c:v>-5.6084266605980186</c:v>
                </c:pt>
                <c:pt idx="174">
                  <c:v>-5.4849418555522567</c:v>
                </c:pt>
                <c:pt idx="175">
                  <c:v>-5.5811507733647048</c:v>
                </c:pt>
                <c:pt idx="176">
                  <c:v>-5.8364189756660743</c:v>
                </c:pt>
                <c:pt idx="177">
                  <c:v>-5.7448599406068714</c:v>
                </c:pt>
                <c:pt idx="178">
                  <c:v>-5.7933569585363998</c:v>
                </c:pt>
                <c:pt idx="179">
                  <c:v>-5.7782951598944248</c:v>
                </c:pt>
                <c:pt idx="180">
                  <c:v>-5.6345451378089209</c:v>
                </c:pt>
                <c:pt idx="181">
                  <c:v>-5.5740817405190555</c:v>
                </c:pt>
                <c:pt idx="182">
                  <c:v>-5.6806794107349017</c:v>
                </c:pt>
                <c:pt idx="183">
                  <c:v>-5.6639401891793453</c:v>
                </c:pt>
                <c:pt idx="184">
                  <c:v>-5.6039006544293448</c:v>
                </c:pt>
                <c:pt idx="185">
                  <c:v>-5.6844417888547314</c:v>
                </c:pt>
                <c:pt idx="186">
                  <c:v>-5.2728697288168425</c:v>
                </c:pt>
                <c:pt idx="187">
                  <c:v>-5.3043710852145107</c:v>
                </c:pt>
                <c:pt idx="188">
                  <c:v>-5.253653962934445</c:v>
                </c:pt>
                <c:pt idx="189">
                  <c:v>-5.3967479377789189</c:v>
                </c:pt>
                <c:pt idx="190">
                  <c:v>-5.3078672692484403</c:v>
                </c:pt>
                <c:pt idx="191">
                  <c:v>-5.3618625905889763</c:v>
                </c:pt>
                <c:pt idx="192">
                  <c:v>-5.26575280385679</c:v>
                </c:pt>
                <c:pt idx="193">
                  <c:v>-5.1474084298021134</c:v>
                </c:pt>
                <c:pt idx="194">
                  <c:v>-4.8884950184885607</c:v>
                </c:pt>
                <c:pt idx="195">
                  <c:v>-4.4499562043355567</c:v>
                </c:pt>
                <c:pt idx="196">
                  <c:v>-4.1989173706947032</c:v>
                </c:pt>
                <c:pt idx="197">
                  <c:v>-4.5826914151709284</c:v>
                </c:pt>
                <c:pt idx="198">
                  <c:v>-4.6078578643812707</c:v>
                </c:pt>
                <c:pt idx="199">
                  <c:v>-4.5324707001600517</c:v>
                </c:pt>
                <c:pt idx="200">
                  <c:v>-4.5052585472341997</c:v>
                </c:pt>
                <c:pt idx="201">
                  <c:v>-4.5272413763591457</c:v>
                </c:pt>
                <c:pt idx="202">
                  <c:v>-4.4955006980070857</c:v>
                </c:pt>
                <c:pt idx="203">
                  <c:v>-4.505137677214619</c:v>
                </c:pt>
                <c:pt idx="204">
                  <c:v>-4.4404456012644999</c:v>
                </c:pt>
                <c:pt idx="205">
                  <c:v>-4.4195741055600042</c:v>
                </c:pt>
                <c:pt idx="206">
                  <c:v>-4.4132321096161666</c:v>
                </c:pt>
                <c:pt idx="207">
                  <c:v>-4.3253248361622187</c:v>
                </c:pt>
                <c:pt idx="208">
                  <c:v>-4.3503417877751227</c:v>
                </c:pt>
                <c:pt idx="209">
                  <c:v>-4.3014081544517362</c:v>
                </c:pt>
                <c:pt idx="210">
                  <c:v>-4.2628553236479183</c:v>
                </c:pt>
                <c:pt idx="211">
                  <c:v>-4.2305322122495213</c:v>
                </c:pt>
                <c:pt idx="212">
                  <c:v>-4.209961386697195</c:v>
                </c:pt>
                <c:pt idx="213">
                  <c:v>-4.0264072432545728</c:v>
                </c:pt>
                <c:pt idx="214">
                  <c:v>-3.8010518693207755</c:v>
                </c:pt>
                <c:pt idx="215">
                  <c:v>-3.9030910944879231</c:v>
                </c:pt>
                <c:pt idx="216">
                  <c:v>-3.8870448075757098</c:v>
                </c:pt>
                <c:pt idx="217">
                  <c:v>-3.7396255112120733</c:v>
                </c:pt>
                <c:pt idx="218">
                  <c:v>-3.7212047629841436</c:v>
                </c:pt>
                <c:pt idx="219">
                  <c:v>-3.6378734554552019</c:v>
                </c:pt>
                <c:pt idx="220">
                  <c:v>-3.3079794151636048</c:v>
                </c:pt>
                <c:pt idx="221">
                  <c:v>-3.1232199347825982</c:v>
                </c:pt>
                <c:pt idx="222">
                  <c:v>-3.2333907389907073</c:v>
                </c:pt>
                <c:pt idx="223">
                  <c:v>-3.0675512939832075</c:v>
                </c:pt>
                <c:pt idx="224">
                  <c:v>-2.9449156855447511</c:v>
                </c:pt>
                <c:pt idx="225">
                  <c:v>-2.7903044513694621</c:v>
                </c:pt>
                <c:pt idx="226">
                  <c:v>-2.4729517324254457</c:v>
                </c:pt>
                <c:pt idx="227">
                  <c:v>-2.3439500107534075</c:v>
                </c:pt>
                <c:pt idx="228">
                  <c:v>-1.0369420697315337</c:v>
                </c:pt>
                <c:pt idx="229">
                  <c:v>-2.4184761284577601</c:v>
                </c:pt>
                <c:pt idx="230">
                  <c:v>-2.408772769869973</c:v>
                </c:pt>
                <c:pt idx="231">
                  <c:v>-2.1932284472923298</c:v>
                </c:pt>
                <c:pt idx="232">
                  <c:v>-1.9742074918401211</c:v>
                </c:pt>
                <c:pt idx="233">
                  <c:v>-1.91097168901272</c:v>
                </c:pt>
                <c:pt idx="234">
                  <c:v>-1.2140732516498194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5D-43B8-B75D-CDF10AA44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234015"/>
        <c:axId val="939230687"/>
      </c:lineChart>
      <c:dateAx>
        <c:axId val="9392340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30687"/>
        <c:crosses val="autoZero"/>
        <c:auto val="1"/>
        <c:lblOffset val="100"/>
        <c:baseTimeUnit val="days"/>
      </c:dateAx>
      <c:valAx>
        <c:axId val="93923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3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EFCE3BC-859C-4FBD-9917-34C2094856F2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D5D958-EFCB-4F09-A93F-480AE895322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4.5</v>
      </c>
      <c r="D2" s="4">
        <f>MIN(D3:D1912)</f>
        <v>4.1390000000000003E-2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0.37959999999999999</v>
      </c>
      <c r="C5">
        <v>0.3876</v>
      </c>
      <c r="D5">
        <v>0.37359999999999999</v>
      </c>
      <c r="E5">
        <v>0.374</v>
      </c>
      <c r="F5">
        <v>718047</v>
      </c>
      <c r="G5">
        <v>0.374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-0.94285714285714128</v>
      </c>
      <c r="Q5">
        <f t="shared" ref="Q5" si="1">F5*P5</f>
        <v>-677015.74285714177</v>
      </c>
      <c r="R5">
        <f t="shared" ref="R5" si="2">R6+Q5</f>
        <v>-885562439.90288448</v>
      </c>
      <c r="S5">
        <f t="shared" ref="S5" si="3">R5/100000</f>
        <v>-8855.624399028844</v>
      </c>
      <c r="T5">
        <f t="shared" ref="T5" si="4">S5/1000</f>
        <v>-8.8556243990288444</v>
      </c>
    </row>
    <row r="6" spans="1:20" x14ac:dyDescent="0.25">
      <c r="A6" s="5">
        <v>44587</v>
      </c>
      <c r="B6">
        <v>0.3916</v>
      </c>
      <c r="C6">
        <v>0.42180000000000001</v>
      </c>
      <c r="D6">
        <v>0.37319999999999998</v>
      </c>
      <c r="E6">
        <v>0.37969999999999998</v>
      </c>
      <c r="F6">
        <v>9107409</v>
      </c>
      <c r="G6">
        <v>0.37969999999999998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-0.73251028806584351</v>
      </c>
      <c r="Q6">
        <f t="shared" ref="Q6" si="6">F6*P6</f>
        <v>-6671270.7901234562</v>
      </c>
      <c r="R6">
        <f t="shared" ref="R6" si="7">R7+Q6</f>
        <v>-884885424.16002738</v>
      </c>
      <c r="S6">
        <f t="shared" ref="S6" si="8">R6/100000</f>
        <v>-8848.8542416002747</v>
      </c>
      <c r="T6">
        <f t="shared" ref="T6" si="9">S6/1000</f>
        <v>-8.8488542416002751</v>
      </c>
    </row>
    <row r="7" spans="1:20" x14ac:dyDescent="0.25">
      <c r="A7" s="5">
        <v>44586</v>
      </c>
      <c r="B7">
        <v>0.374</v>
      </c>
      <c r="C7">
        <v>0.40179999999999999</v>
      </c>
      <c r="D7">
        <v>0.36399999999999999</v>
      </c>
      <c r="E7">
        <v>0.39119999999999999</v>
      </c>
      <c r="F7">
        <v>6481883</v>
      </c>
      <c r="G7">
        <v>0.39119999999999999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0.43915343915343924</v>
      </c>
      <c r="Q7">
        <f t="shared" ref="Q7" si="11">F7*P7</f>
        <v>2846541.2116402122</v>
      </c>
      <c r="R7">
        <f t="shared" ref="R7" si="12">R8+Q7</f>
        <v>-878214153.36990392</v>
      </c>
      <c r="S7">
        <f t="shared" ref="S7" si="13">R7/100000</f>
        <v>-8782.1415336990394</v>
      </c>
      <c r="T7">
        <f t="shared" ref="T7" si="14">S7/1000</f>
        <v>-8.7821415336990398</v>
      </c>
    </row>
    <row r="8" spans="1:20" x14ac:dyDescent="0.25">
      <c r="A8" s="5">
        <v>44585</v>
      </c>
      <c r="B8">
        <v>0.39400000000000002</v>
      </c>
      <c r="C8">
        <v>0.39400000000000002</v>
      </c>
      <c r="D8">
        <v>0.33579999999999999</v>
      </c>
      <c r="E8">
        <v>0.37390000000000001</v>
      </c>
      <c r="F8">
        <v>12494606</v>
      </c>
      <c r="G8">
        <v>0.37390000000000001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0.30927835051546404</v>
      </c>
      <c r="Q8">
        <f t="shared" ref="Q8" si="16">F8*P8</f>
        <v>3864311.13402062</v>
      </c>
      <c r="R8">
        <f t="shared" ref="R8" si="17">R9+Q8</f>
        <v>-881060694.58154416</v>
      </c>
      <c r="S8">
        <f t="shared" ref="S8" si="18">R8/100000</f>
        <v>-8810.6069458154416</v>
      </c>
      <c r="T8">
        <f t="shared" ref="T8" si="19">S8/1000</f>
        <v>-8.8106069458154419</v>
      </c>
    </row>
    <row r="9" spans="1:20" x14ac:dyDescent="0.25">
      <c r="A9" s="5">
        <v>44584</v>
      </c>
      <c r="B9">
        <v>0.38700000000000001</v>
      </c>
      <c r="C9">
        <v>0.42180000000000001</v>
      </c>
      <c r="D9">
        <v>0.37119999999999997</v>
      </c>
      <c r="E9">
        <v>0.39460000000000001</v>
      </c>
      <c r="F9">
        <v>9170271</v>
      </c>
      <c r="G9">
        <v>0.39460000000000001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-7.509881422924837E-2</v>
      </c>
      <c r="Q9">
        <f t="shared" ref="Q9" si="21">F9*P9</f>
        <v>-688676.47826086369</v>
      </c>
      <c r="R9">
        <f t="shared" ref="R9" si="22">R10+Q9</f>
        <v>-884925005.71556473</v>
      </c>
      <c r="S9">
        <f t="shared" ref="S9" si="23">R9/100000</f>
        <v>-8849.2500571556466</v>
      </c>
      <c r="T9">
        <f t="shared" ref="T9" si="24">S9/1000</f>
        <v>-8.8492500571556469</v>
      </c>
    </row>
    <row r="10" spans="1:20" x14ac:dyDescent="0.25">
      <c r="A10" s="5">
        <v>44583</v>
      </c>
      <c r="B10">
        <v>0.4204</v>
      </c>
      <c r="C10">
        <v>0.42909999999999998</v>
      </c>
      <c r="D10">
        <v>0.35189999999999999</v>
      </c>
      <c r="E10">
        <v>0.38740000000000002</v>
      </c>
      <c r="F10">
        <v>14564668</v>
      </c>
      <c r="G10">
        <v>0.38740000000000002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-8.0310880829014622E-2</v>
      </c>
      <c r="Q10">
        <f t="shared" ref="Q10" si="26">F10*P10</f>
        <v>-1169701.3160621626</v>
      </c>
      <c r="R10">
        <f t="shared" ref="R10" si="27">R11+Q10</f>
        <v>-884236329.23730385</v>
      </c>
      <c r="S10">
        <f t="shared" ref="S10" si="28">R10/100000</f>
        <v>-8842.3632923730383</v>
      </c>
      <c r="T10">
        <f t="shared" ref="T10" si="29">S10/1000</f>
        <v>-8.8423632923730384</v>
      </c>
    </row>
    <row r="11" spans="1:20" x14ac:dyDescent="0.25">
      <c r="A11" s="5">
        <v>44582</v>
      </c>
      <c r="B11">
        <v>0.48449999999999999</v>
      </c>
      <c r="C11">
        <v>0.49330000000000002</v>
      </c>
      <c r="D11">
        <v>0.41039999999999999</v>
      </c>
      <c r="E11">
        <v>0.42059999999999997</v>
      </c>
      <c r="F11">
        <v>14140549</v>
      </c>
      <c r="G11">
        <v>0.42059999999999997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-0.75392038600723799</v>
      </c>
      <c r="Q11">
        <f t="shared" ref="Q11" si="31">F11*P11</f>
        <v>-10660848.160434263</v>
      </c>
      <c r="R11">
        <f t="shared" ref="R11" si="32">R12+Q11</f>
        <v>-883066627.92124164</v>
      </c>
      <c r="S11">
        <f t="shared" ref="S11" si="33">R11/100000</f>
        <v>-8830.6662792124171</v>
      </c>
      <c r="T11">
        <f t="shared" ref="T11" si="34">S11/1000</f>
        <v>-8.8306662792124175</v>
      </c>
    </row>
    <row r="12" spans="1:20" x14ac:dyDescent="0.25">
      <c r="A12" s="5">
        <v>44581</v>
      </c>
      <c r="B12">
        <v>0.51949999999999996</v>
      </c>
      <c r="C12">
        <v>0.54549999999999998</v>
      </c>
      <c r="D12">
        <v>0.48120000000000002</v>
      </c>
      <c r="E12">
        <v>0.4849</v>
      </c>
      <c r="F12">
        <v>5878872</v>
      </c>
      <c r="G12">
        <v>0.4849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-0.88491446345256664</v>
      </c>
      <c r="Q12">
        <f t="shared" ref="Q12" si="36">F12*P12</f>
        <v>-5202298.8615863174</v>
      </c>
      <c r="R12">
        <f t="shared" ref="R12" si="37">R13+Q12</f>
        <v>-872405779.76080739</v>
      </c>
      <c r="S12">
        <f t="shared" ref="S12" si="38">R12/100000</f>
        <v>-8724.0577976080731</v>
      </c>
      <c r="T12">
        <f t="shared" ref="T12" si="39">S12/1000</f>
        <v>-8.7240577976080722</v>
      </c>
    </row>
    <row r="13" spans="1:20" x14ac:dyDescent="0.25">
      <c r="A13" s="5">
        <v>44580</v>
      </c>
      <c r="B13">
        <v>0.5333</v>
      </c>
      <c r="C13">
        <v>0.53839999999999999</v>
      </c>
      <c r="D13">
        <v>0.50849999999999995</v>
      </c>
      <c r="E13">
        <v>0.51939999999999997</v>
      </c>
      <c r="F13">
        <v>5433202</v>
      </c>
      <c r="G13">
        <v>0.51939999999999997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-0.27090301003344436</v>
      </c>
      <c r="Q13">
        <f t="shared" ref="Q13" si="41">F13*P13</f>
        <v>-1471870.7759197298</v>
      </c>
      <c r="R13">
        <f t="shared" ref="R13" si="42">R14+Q13</f>
        <v>-867203480.89922106</v>
      </c>
      <c r="S13">
        <f t="shared" ref="S13" si="43">R13/100000</f>
        <v>-8672.0348089922099</v>
      </c>
      <c r="T13">
        <f t="shared" ref="T13" si="44">S13/1000</f>
        <v>-8.6720348089922101</v>
      </c>
    </row>
    <row r="14" spans="1:20" x14ac:dyDescent="0.25">
      <c r="A14" s="5">
        <v>44579</v>
      </c>
      <c r="B14">
        <v>0.53520000000000001</v>
      </c>
      <c r="C14">
        <v>0.54590000000000005</v>
      </c>
      <c r="D14">
        <v>0.51539999999999997</v>
      </c>
      <c r="E14">
        <v>0.53249999999999997</v>
      </c>
      <c r="F14">
        <v>6245963</v>
      </c>
      <c r="G14">
        <v>0.53249999999999997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0.12131147540983329</v>
      </c>
      <c r="Q14">
        <f t="shared" ref="Q14" si="46">F14*P14</f>
        <v>757706.98688522854</v>
      </c>
      <c r="R14">
        <f t="shared" ref="R14" si="47">R15+Q14</f>
        <v>-865731610.12330139</v>
      </c>
      <c r="S14">
        <f t="shared" ref="S14" si="48">R14/100000</f>
        <v>-8657.3161012330147</v>
      </c>
      <c r="T14">
        <f t="shared" ref="T14" si="49">S14/1000</f>
        <v>-8.6573161012330146</v>
      </c>
    </row>
    <row r="15" spans="1:20" x14ac:dyDescent="0.25">
      <c r="A15" s="5">
        <v>44578</v>
      </c>
      <c r="B15">
        <v>0.57550000000000001</v>
      </c>
      <c r="C15">
        <v>0.57720000000000005</v>
      </c>
      <c r="D15">
        <v>0.52359999999999995</v>
      </c>
      <c r="E15">
        <v>0.53559999999999997</v>
      </c>
      <c r="F15">
        <v>4731893</v>
      </c>
      <c r="G15">
        <v>0.53559999999999997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-0.55223880597014963</v>
      </c>
      <c r="Q15">
        <f t="shared" ref="Q15" si="51">F15*P15</f>
        <v>-2613134.9402985093</v>
      </c>
      <c r="R15">
        <f t="shared" ref="R15" si="52">R16+Q15</f>
        <v>-866489317.11018658</v>
      </c>
      <c r="S15">
        <f t="shared" ref="S15" si="53">R15/100000</f>
        <v>-8664.8931711018649</v>
      </c>
      <c r="T15">
        <f t="shared" ref="T15" si="54">S15/1000</f>
        <v>-8.6648931711018644</v>
      </c>
    </row>
    <row r="16" spans="1:20" x14ac:dyDescent="0.25">
      <c r="A16" s="5">
        <v>44577</v>
      </c>
      <c r="B16">
        <v>0.56640000000000001</v>
      </c>
      <c r="C16">
        <v>0.57889999999999997</v>
      </c>
      <c r="D16">
        <v>0.55759999999999998</v>
      </c>
      <c r="E16">
        <v>0.57509999999999994</v>
      </c>
      <c r="F16">
        <v>4341459</v>
      </c>
      <c r="G16">
        <v>0.57509999999999994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0.6431924882629082</v>
      </c>
      <c r="Q16">
        <f t="shared" ref="Q16" si="56">F16*P16</f>
        <v>2792393.816901397</v>
      </c>
      <c r="R16">
        <f t="shared" ref="R16" si="57">R17+Q16</f>
        <v>-863876182.16988802</v>
      </c>
      <c r="S16">
        <f t="shared" ref="S16" si="58">R16/100000</f>
        <v>-8638.7618216988794</v>
      </c>
      <c r="T16">
        <f t="shared" ref="T16" si="59">S16/1000</f>
        <v>-8.6387618216988802</v>
      </c>
    </row>
    <row r="17" spans="1:20" x14ac:dyDescent="0.25">
      <c r="A17" s="5">
        <v>44576</v>
      </c>
      <c r="B17">
        <v>0.55879999999999996</v>
      </c>
      <c r="C17">
        <v>0.57730000000000004</v>
      </c>
      <c r="D17">
        <v>0.55149999999999999</v>
      </c>
      <c r="E17">
        <v>0.56640000000000001</v>
      </c>
      <c r="F17">
        <v>4708116</v>
      </c>
      <c r="G17">
        <v>0.56640000000000001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0.15503875968992234</v>
      </c>
      <c r="Q17">
        <f t="shared" ref="Q17" si="61">F17*P17</f>
        <v>729940.46511627838</v>
      </c>
      <c r="R17">
        <f t="shared" ref="R17" si="62">R18+Q17</f>
        <v>-866668575.98678946</v>
      </c>
      <c r="S17">
        <f t="shared" ref="S17" si="63">R17/100000</f>
        <v>-8666.6857598678944</v>
      </c>
      <c r="T17">
        <f t="shared" ref="T17" si="64">S17/1000</f>
        <v>-8.6666857598678941</v>
      </c>
    </row>
    <row r="18" spans="1:20" x14ac:dyDescent="0.25">
      <c r="A18" s="5">
        <v>44575</v>
      </c>
      <c r="B18">
        <v>0.54159999999999997</v>
      </c>
      <c r="C18">
        <v>0.56240000000000001</v>
      </c>
      <c r="D18">
        <v>0.53010000000000002</v>
      </c>
      <c r="E18">
        <v>0.55879999999999996</v>
      </c>
      <c r="F18">
        <v>5221372</v>
      </c>
      <c r="G18">
        <v>0.55879999999999996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0.77708978328173073</v>
      </c>
      <c r="Q18">
        <f t="shared" ref="Q18" si="66">F18*P18</f>
        <v>4057474.8359132968</v>
      </c>
      <c r="R18">
        <f t="shared" ref="R18" si="67">R19+Q18</f>
        <v>-867398516.45190573</v>
      </c>
      <c r="S18">
        <f t="shared" ref="S18" si="68">R18/100000</f>
        <v>-8673.9851645190574</v>
      </c>
      <c r="T18">
        <f t="shared" ref="T18" si="69">S18/1000</f>
        <v>-8.673985164519058</v>
      </c>
    </row>
    <row r="19" spans="1:20" x14ac:dyDescent="0.25">
      <c r="A19" s="5">
        <v>44574</v>
      </c>
      <c r="B19">
        <v>0.58069999999999999</v>
      </c>
      <c r="C19">
        <v>0.58819999999999995</v>
      </c>
      <c r="D19">
        <v>0.53849999999999998</v>
      </c>
      <c r="E19">
        <v>0.54190000000000005</v>
      </c>
      <c r="F19">
        <v>5734473</v>
      </c>
      <c r="G19">
        <v>0.54190000000000005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-0.86317907444667719</v>
      </c>
      <c r="Q19">
        <f t="shared" ref="Q19" si="71">F19*P19</f>
        <v>-4949877.0965794604</v>
      </c>
      <c r="R19">
        <f t="shared" ref="R19" si="72">R20+Q19</f>
        <v>-871455991.28781903</v>
      </c>
      <c r="S19">
        <f t="shared" ref="S19" si="73">R19/100000</f>
        <v>-8714.5599128781905</v>
      </c>
      <c r="T19">
        <f t="shared" ref="T19" si="74">S19/1000</f>
        <v>-8.7145599128781903</v>
      </c>
    </row>
    <row r="20" spans="1:20" x14ac:dyDescent="0.25">
      <c r="A20" s="5">
        <v>44573</v>
      </c>
      <c r="B20">
        <v>0.55730000000000002</v>
      </c>
      <c r="C20">
        <v>0.58899999999999997</v>
      </c>
      <c r="D20">
        <v>0.55659999999999998</v>
      </c>
      <c r="E20">
        <v>0.58009999999999995</v>
      </c>
      <c r="F20">
        <v>5595058</v>
      </c>
      <c r="G20">
        <v>0.58009999999999995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0.45061728395061584</v>
      </c>
      <c r="Q20">
        <f t="shared" ref="Q20" si="76">F20*P20</f>
        <v>2521229.8395061647</v>
      </c>
      <c r="R20">
        <f t="shared" ref="R20" si="77">R21+Q20</f>
        <v>-866506114.1912396</v>
      </c>
      <c r="S20">
        <f t="shared" ref="S20" si="78">R20/100000</f>
        <v>-8665.0611419123961</v>
      </c>
      <c r="T20">
        <f t="shared" ref="T20" si="79">S20/1000</f>
        <v>-8.6650611419123962</v>
      </c>
    </row>
    <row r="21" spans="1:20" x14ac:dyDescent="0.25">
      <c r="A21" s="5">
        <v>44572</v>
      </c>
      <c r="B21">
        <v>0.52759999999999996</v>
      </c>
      <c r="C21">
        <v>0.56520000000000004</v>
      </c>
      <c r="D21">
        <v>0.52180000000000004</v>
      </c>
      <c r="E21">
        <v>0.55689999999999995</v>
      </c>
      <c r="F21">
        <v>5087693</v>
      </c>
      <c r="G21">
        <v>0.55689999999999995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0.61751152073732318</v>
      </c>
      <c r="Q21">
        <f t="shared" ref="Q21" si="81">F21*P21</f>
        <v>3141709.0414746339</v>
      </c>
      <c r="R21">
        <f t="shared" ref="R21" si="82">R22+Q21</f>
        <v>-869027344.03074574</v>
      </c>
      <c r="S21">
        <f t="shared" ref="S21" si="83">R21/100000</f>
        <v>-8690.2734403074573</v>
      </c>
      <c r="T21">
        <f t="shared" ref="T21" si="84">S21/1000</f>
        <v>-8.6902734403074575</v>
      </c>
    </row>
    <row r="22" spans="1:20" x14ac:dyDescent="0.25">
      <c r="A22" s="5">
        <v>44571</v>
      </c>
      <c r="B22">
        <v>0.55549999999999999</v>
      </c>
      <c r="C22">
        <v>0.56359999999999999</v>
      </c>
      <c r="D22">
        <v>0.501</v>
      </c>
      <c r="E22">
        <v>0.52839999999999998</v>
      </c>
      <c r="F22">
        <v>7491090</v>
      </c>
      <c r="G22">
        <v>0.52839999999999998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-0.12460063897763626</v>
      </c>
      <c r="Q22">
        <f t="shared" ref="Q22" si="86">F22*P22</f>
        <v>-933394.60063898121</v>
      </c>
      <c r="R22">
        <f t="shared" ref="R22" si="87">R23+Q22</f>
        <v>-872169053.07222033</v>
      </c>
      <c r="S22">
        <f t="shared" ref="S22" si="88">R22/100000</f>
        <v>-8721.6905307222041</v>
      </c>
      <c r="T22">
        <f t="shared" ref="T22" si="89">S22/1000</f>
        <v>-8.7216905307222046</v>
      </c>
    </row>
    <row r="23" spans="1:20" x14ac:dyDescent="0.25">
      <c r="A23" s="5">
        <v>44570</v>
      </c>
      <c r="B23">
        <v>0.52949999999999997</v>
      </c>
      <c r="C23">
        <v>0.56730000000000003</v>
      </c>
      <c r="D23">
        <v>0.52390000000000003</v>
      </c>
      <c r="E23">
        <v>0.55489999999999995</v>
      </c>
      <c r="F23">
        <v>5276924</v>
      </c>
      <c r="G23">
        <v>0.55489999999999995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0.42857142857142494</v>
      </c>
      <c r="Q23">
        <f t="shared" ref="Q23" si="91">F23*P23</f>
        <v>2261538.8571428382</v>
      </c>
      <c r="R23">
        <f t="shared" ref="R23" si="92">R24+Q23</f>
        <v>-871235658.47158134</v>
      </c>
      <c r="S23">
        <f t="shared" ref="S23" si="93">R23/100000</f>
        <v>-8712.3565847158134</v>
      </c>
      <c r="T23">
        <f t="shared" ref="T23" si="94">S23/1000</f>
        <v>-8.7123565847158133</v>
      </c>
    </row>
    <row r="24" spans="1:20" x14ac:dyDescent="0.25">
      <c r="A24" s="5">
        <v>44569</v>
      </c>
      <c r="B24">
        <v>0.55549999999999999</v>
      </c>
      <c r="C24">
        <v>0.57979999999999998</v>
      </c>
      <c r="D24">
        <v>0.51259999999999994</v>
      </c>
      <c r="E24">
        <v>0.52990000000000004</v>
      </c>
      <c r="F24">
        <v>9825404</v>
      </c>
      <c r="G24">
        <v>0.52990000000000004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-0.48511904761904512</v>
      </c>
      <c r="Q24">
        <f t="shared" ref="Q24" si="96">F24*P24</f>
        <v>-4766490.6309523564</v>
      </c>
      <c r="R24">
        <f t="shared" ref="R24" si="97">R25+Q24</f>
        <v>-873497197.32872415</v>
      </c>
      <c r="S24">
        <f t="shared" ref="S24" si="98">R24/100000</f>
        <v>-8734.9719732872418</v>
      </c>
      <c r="T24">
        <f t="shared" ref="T24" si="99">S24/1000</f>
        <v>-8.7349719732872426</v>
      </c>
    </row>
    <row r="25" spans="1:20" x14ac:dyDescent="0.25">
      <c r="A25" s="5">
        <v>44568</v>
      </c>
      <c r="B25">
        <v>0.58950000000000002</v>
      </c>
      <c r="C25">
        <v>0.59430000000000005</v>
      </c>
      <c r="D25">
        <v>0.53410000000000002</v>
      </c>
      <c r="E25">
        <v>0.55489999999999995</v>
      </c>
      <c r="F25">
        <v>10327180</v>
      </c>
      <c r="G25">
        <v>0.55489999999999995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-0.30897009966777678</v>
      </c>
      <c r="Q25">
        <f t="shared" ref="Q25" si="101">F25*P25</f>
        <v>-3190789.8338870709</v>
      </c>
      <c r="R25">
        <f t="shared" ref="R25" si="102">R26+Q25</f>
        <v>-868730706.69777179</v>
      </c>
      <c r="S25">
        <f t="shared" ref="S25" si="103">R25/100000</f>
        <v>-8687.3070669777171</v>
      </c>
      <c r="T25">
        <f t="shared" ref="T25" si="104">S25/1000</f>
        <v>-8.6873070669777164</v>
      </c>
    </row>
    <row r="26" spans="1:20" x14ac:dyDescent="0.25">
      <c r="A26" s="5">
        <v>44567</v>
      </c>
      <c r="B26">
        <v>0.61470000000000002</v>
      </c>
      <c r="C26">
        <v>0.621</v>
      </c>
      <c r="D26">
        <v>0.57079999999999997</v>
      </c>
      <c r="E26">
        <v>0.58950000000000002</v>
      </c>
      <c r="F26">
        <v>10985975</v>
      </c>
      <c r="G26">
        <v>0.58950000000000002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-0.25498007968127323</v>
      </c>
      <c r="Q26">
        <f t="shared" ref="Q26" si="106">F26*P26</f>
        <v>-2801204.7808764759</v>
      </c>
      <c r="R26">
        <f t="shared" ref="R26" si="107">R27+Q26</f>
        <v>-865539916.86388469</v>
      </c>
      <c r="S26">
        <f t="shared" ref="S26" si="108">R26/100000</f>
        <v>-8655.3991686388472</v>
      </c>
      <c r="T26">
        <f t="shared" ref="T26" si="109">S26/1000</f>
        <v>-8.6553991686388478</v>
      </c>
    </row>
    <row r="27" spans="1:20" x14ac:dyDescent="0.25">
      <c r="A27" s="5">
        <v>44566</v>
      </c>
      <c r="B27">
        <v>0.66359999999999997</v>
      </c>
      <c r="C27">
        <v>0.71499999999999997</v>
      </c>
      <c r="D27">
        <v>0.58099999999999996</v>
      </c>
      <c r="E27">
        <v>0.6149</v>
      </c>
      <c r="F27">
        <v>23397209</v>
      </c>
      <c r="G27">
        <v>0.6149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-0.4940298507462681</v>
      </c>
      <c r="Q27">
        <f t="shared" ref="Q27" si="111">F27*P27</f>
        <v>-11558919.670149241</v>
      </c>
      <c r="R27">
        <f t="shared" ref="R27" si="112">R28+Q27</f>
        <v>-862738712.08300817</v>
      </c>
      <c r="S27">
        <f t="shared" ref="S27" si="113">R27/100000</f>
        <v>-8627.3871208300825</v>
      </c>
      <c r="T27">
        <f t="shared" ref="T27" si="114">S27/1000</f>
        <v>-8.6273871208300825</v>
      </c>
    </row>
    <row r="28" spans="1:20" x14ac:dyDescent="0.25">
      <c r="A28" s="5">
        <v>44565</v>
      </c>
      <c r="B28">
        <v>0.65369999999999995</v>
      </c>
      <c r="C28">
        <v>0.70209999999999995</v>
      </c>
      <c r="D28">
        <v>0.64059999999999995</v>
      </c>
      <c r="E28">
        <v>0.66359999999999997</v>
      </c>
      <c r="F28">
        <v>13335647</v>
      </c>
      <c r="G28">
        <v>0.66359999999999997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-0.25203252032520257</v>
      </c>
      <c r="Q28">
        <f t="shared" ref="Q28" si="116">F28*P28</f>
        <v>-3361016.7235772265</v>
      </c>
      <c r="R28">
        <f t="shared" ref="R28" si="117">R29+Q28</f>
        <v>-851179792.41285896</v>
      </c>
      <c r="S28">
        <f t="shared" ref="S28" si="118">R28/100000</f>
        <v>-8511.7979241285902</v>
      </c>
      <c r="T28">
        <f t="shared" ref="T28" si="119">S28/1000</f>
        <v>-8.5117979241285902</v>
      </c>
    </row>
    <row r="29" spans="1:20" x14ac:dyDescent="0.25">
      <c r="A29" s="5">
        <v>44564</v>
      </c>
      <c r="B29">
        <v>0.67789999999999995</v>
      </c>
      <c r="C29">
        <v>0.68530000000000002</v>
      </c>
      <c r="D29">
        <v>0.63300000000000001</v>
      </c>
      <c r="E29">
        <v>0.65339999999999998</v>
      </c>
      <c r="F29">
        <v>9611404</v>
      </c>
      <c r="G29">
        <v>0.65339999999999998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-0.21988527724665513</v>
      </c>
      <c r="Q29">
        <f t="shared" ref="Q29" si="121">F29*P29</f>
        <v>-2113406.23326961</v>
      </c>
      <c r="R29">
        <f t="shared" ref="R29" si="122">R30+Q29</f>
        <v>-847818775.6892817</v>
      </c>
      <c r="S29">
        <f t="shared" ref="S29" si="123">R29/100000</f>
        <v>-8478.1877568928176</v>
      </c>
      <c r="T29">
        <f t="shared" ref="T29" si="124">S29/1000</f>
        <v>-8.478187756892817</v>
      </c>
    </row>
    <row r="30" spans="1:20" x14ac:dyDescent="0.25">
      <c r="A30" s="5">
        <v>44563</v>
      </c>
      <c r="B30">
        <v>0.66100000000000003</v>
      </c>
      <c r="C30">
        <v>0.69199999999999995</v>
      </c>
      <c r="D30">
        <v>0.64570000000000005</v>
      </c>
      <c r="E30">
        <v>0.67830000000000001</v>
      </c>
      <c r="F30">
        <v>13208065</v>
      </c>
      <c r="G30">
        <v>0.67830000000000001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0.40820734341252851</v>
      </c>
      <c r="Q30">
        <f t="shared" ref="Q30" si="126">F30*P30</f>
        <v>5391629.1252699988</v>
      </c>
      <c r="R30">
        <f t="shared" ref="R30" si="127">R31+Q30</f>
        <v>-845705369.45601213</v>
      </c>
      <c r="S30">
        <f t="shared" ref="S30" si="128">R30/100000</f>
        <v>-8457.0536945601216</v>
      </c>
      <c r="T30">
        <f t="shared" ref="T30" si="129">S30/1000</f>
        <v>-8.4570536945601216</v>
      </c>
    </row>
    <row r="31" spans="1:20" x14ac:dyDescent="0.25">
      <c r="A31" s="5">
        <v>44562</v>
      </c>
      <c r="B31">
        <v>0.62580000000000002</v>
      </c>
      <c r="C31">
        <v>0.66220000000000001</v>
      </c>
      <c r="D31">
        <v>0.62580000000000002</v>
      </c>
      <c r="E31">
        <v>0.66069999999999995</v>
      </c>
      <c r="F31">
        <v>4663810</v>
      </c>
      <c r="G31">
        <v>0.66069999999999995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0.91758241758241443</v>
      </c>
      <c r="Q31">
        <f t="shared" ref="Q31" si="131">F31*P31</f>
        <v>4279430.0549450405</v>
      </c>
      <c r="R31">
        <f t="shared" ref="R31" si="132">R32+Q31</f>
        <v>-851096998.58128214</v>
      </c>
      <c r="S31">
        <f t="shared" ref="S31" si="133">R31/100000</f>
        <v>-8510.9699858128206</v>
      </c>
      <c r="T31">
        <f t="shared" ref="T31" si="134">S31/1000</f>
        <v>-8.5109699858128209</v>
      </c>
    </row>
    <row r="32" spans="1:20" x14ac:dyDescent="0.25">
      <c r="A32" s="5">
        <v>44561</v>
      </c>
      <c r="B32">
        <v>0.64359999999999995</v>
      </c>
      <c r="C32">
        <v>0.6633</v>
      </c>
      <c r="D32">
        <v>0.61140000000000005</v>
      </c>
      <c r="E32">
        <v>0.62519999999999998</v>
      </c>
      <c r="F32">
        <v>6353801</v>
      </c>
      <c r="G32">
        <v>0.62519999999999998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-0.46820809248555151</v>
      </c>
      <c r="Q32">
        <f t="shared" ref="Q32" si="136">F32*P32</f>
        <v>-2974901.0462427898</v>
      </c>
      <c r="R32">
        <f t="shared" ref="R32" si="137">R33+Q32</f>
        <v>-855376428.63622713</v>
      </c>
      <c r="S32">
        <f t="shared" ref="S32" si="138">R32/100000</f>
        <v>-8553.7642863622714</v>
      </c>
      <c r="T32">
        <f t="shared" ref="T32" si="139">S32/1000</f>
        <v>-8.5537642863622718</v>
      </c>
    </row>
    <row r="33" spans="1:20" x14ac:dyDescent="0.25">
      <c r="A33" s="5">
        <v>44560</v>
      </c>
      <c r="B33">
        <v>0.63129999999999997</v>
      </c>
      <c r="C33">
        <v>0.65239999999999998</v>
      </c>
      <c r="D33">
        <v>0.61</v>
      </c>
      <c r="E33">
        <v>0.64270000000000005</v>
      </c>
      <c r="F33">
        <v>5175390</v>
      </c>
      <c r="G33">
        <v>0.64270000000000005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0.5424528301886824</v>
      </c>
      <c r="Q33">
        <f t="shared" ref="Q33" si="141">F33*P33</f>
        <v>2807404.9528302052</v>
      </c>
      <c r="R33">
        <f t="shared" ref="R33" si="142">R34+Q33</f>
        <v>-852401527.5899843</v>
      </c>
      <c r="S33">
        <f t="shared" ref="S33" si="143">R33/100000</f>
        <v>-8524.0152758998429</v>
      </c>
      <c r="T33">
        <f t="shared" ref="T33" si="144">S33/1000</f>
        <v>-8.5240152758998438</v>
      </c>
    </row>
    <row r="34" spans="1:20" x14ac:dyDescent="0.25">
      <c r="A34" s="5">
        <v>44559</v>
      </c>
      <c r="B34">
        <v>0.66449999999999998</v>
      </c>
      <c r="C34">
        <v>0.68110000000000004</v>
      </c>
      <c r="D34">
        <v>0.62039999999999995</v>
      </c>
      <c r="E34">
        <v>0.63190000000000002</v>
      </c>
      <c r="F34">
        <v>7390452</v>
      </c>
      <c r="G34">
        <v>0.63190000000000002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-0.62108731466227185</v>
      </c>
      <c r="Q34">
        <f t="shared" ref="Q34" si="146">F34*P34</f>
        <v>-4590115.9868204165</v>
      </c>
      <c r="R34">
        <f t="shared" ref="R34" si="147">R35+Q34</f>
        <v>-855208932.54281449</v>
      </c>
      <c r="S34">
        <f t="shared" ref="S34" si="148">R34/100000</f>
        <v>-8552.0893254281455</v>
      </c>
      <c r="T34">
        <f t="shared" ref="T34" si="149">S34/1000</f>
        <v>-8.5520893254281454</v>
      </c>
    </row>
    <row r="35" spans="1:20" x14ac:dyDescent="0.25">
      <c r="A35" s="5">
        <v>44558</v>
      </c>
      <c r="B35">
        <v>0.73309999999999997</v>
      </c>
      <c r="C35">
        <v>0.73370000000000002</v>
      </c>
      <c r="D35">
        <v>0.65110000000000001</v>
      </c>
      <c r="E35">
        <v>0.66449999999999998</v>
      </c>
      <c r="F35">
        <v>11938097</v>
      </c>
      <c r="G35">
        <v>0.66449999999999998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-0.67554479418886282</v>
      </c>
      <c r="Q35">
        <f t="shared" ref="Q35" si="151">F35*P35</f>
        <v>-8064719.2808716809</v>
      </c>
      <c r="R35">
        <f t="shared" ref="R35" si="152">R36+Q35</f>
        <v>-850618816.55599403</v>
      </c>
      <c r="S35">
        <f t="shared" ref="S35" si="153">R35/100000</f>
        <v>-8506.1881655599409</v>
      </c>
      <c r="T35">
        <f t="shared" ref="T35" si="154">S35/1000</f>
        <v>-8.5061881655599407</v>
      </c>
    </row>
    <row r="36" spans="1:20" x14ac:dyDescent="0.25">
      <c r="A36" s="5">
        <v>44557</v>
      </c>
      <c r="B36">
        <v>0.71220000000000006</v>
      </c>
      <c r="C36">
        <v>0.78500000000000003</v>
      </c>
      <c r="D36">
        <v>0.71</v>
      </c>
      <c r="E36">
        <v>0.73380000000000001</v>
      </c>
      <c r="F36">
        <v>19553019</v>
      </c>
      <c r="G36">
        <v>0.73380000000000001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-0.36533333333333273</v>
      </c>
      <c r="Q36">
        <f t="shared" ref="Q36" si="156">F36*P36</f>
        <v>-7143369.6079999879</v>
      </c>
      <c r="R36">
        <f t="shared" ref="R36" si="157">R37+Q36</f>
        <v>-842554097.2751224</v>
      </c>
      <c r="S36">
        <f t="shared" ref="S36" si="158">R36/100000</f>
        <v>-8425.5409727512233</v>
      </c>
      <c r="T36">
        <f t="shared" ref="T36" si="159">S36/1000</f>
        <v>-8.4255409727512234</v>
      </c>
    </row>
    <row r="37" spans="1:20" x14ac:dyDescent="0.25">
      <c r="A37" s="5">
        <v>44556</v>
      </c>
      <c r="B37">
        <v>0.70899999999999996</v>
      </c>
      <c r="C37">
        <v>0.73</v>
      </c>
      <c r="D37">
        <v>0.67749999999999999</v>
      </c>
      <c r="E37">
        <v>0.71240000000000003</v>
      </c>
      <c r="F37">
        <v>9823166</v>
      </c>
      <c r="G37">
        <v>0.71240000000000003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0.32952380952381133</v>
      </c>
      <c r="Q37">
        <f t="shared" ref="Q37" si="161">F37*P37</f>
        <v>3236967.0819047797</v>
      </c>
      <c r="R37">
        <f t="shared" ref="R37" si="162">R38+Q37</f>
        <v>-835410727.66712236</v>
      </c>
      <c r="S37">
        <f t="shared" ref="S37" si="163">R37/100000</f>
        <v>-8354.1072766712241</v>
      </c>
      <c r="T37">
        <f t="shared" ref="T37" si="164">S37/1000</f>
        <v>-8.3541072766712237</v>
      </c>
    </row>
    <row r="38" spans="1:20" x14ac:dyDescent="0.25">
      <c r="A38" s="5">
        <v>44555</v>
      </c>
      <c r="B38">
        <v>0.68020000000000003</v>
      </c>
      <c r="C38">
        <v>0.72550000000000003</v>
      </c>
      <c r="D38">
        <v>0.67449999999999999</v>
      </c>
      <c r="E38">
        <v>0.70879999999999999</v>
      </c>
      <c r="F38">
        <v>9422240</v>
      </c>
      <c r="G38">
        <v>0.70879999999999999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0.34509803921568499</v>
      </c>
      <c r="Q38">
        <f t="shared" ref="Q38" si="166">F38*P38</f>
        <v>3251596.5490195956</v>
      </c>
      <c r="R38">
        <f t="shared" ref="R38" si="167">R39+Q38</f>
        <v>-838647694.74902713</v>
      </c>
      <c r="S38">
        <f t="shared" ref="S38" si="168">R38/100000</f>
        <v>-8386.4769474902714</v>
      </c>
      <c r="T38">
        <f t="shared" ref="T38" si="169">S38/1000</f>
        <v>-8.3864769474902712</v>
      </c>
    </row>
    <row r="39" spans="1:20" x14ac:dyDescent="0.25">
      <c r="A39" s="5">
        <v>44554</v>
      </c>
      <c r="B39">
        <v>0.71399999999999997</v>
      </c>
      <c r="C39">
        <v>0.73799999999999999</v>
      </c>
      <c r="D39">
        <v>0.67149999999999999</v>
      </c>
      <c r="E39">
        <v>0.68020000000000003</v>
      </c>
      <c r="F39">
        <v>13655423</v>
      </c>
      <c r="G39">
        <v>0.68020000000000003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-0.73834586466165286</v>
      </c>
      <c r="Q39">
        <f t="shared" ref="Q39" si="171">F39*P39</f>
        <v>-10082425.102255622</v>
      </c>
      <c r="R39">
        <f t="shared" ref="R39" si="172">R40+Q39</f>
        <v>-841899291.29804671</v>
      </c>
      <c r="S39">
        <f t="shared" ref="S39" si="173">R39/100000</f>
        <v>-8418.9929129804677</v>
      </c>
      <c r="T39">
        <f t="shared" ref="T39" si="174">S39/1000</f>
        <v>-8.4189929129804675</v>
      </c>
    </row>
    <row r="40" spans="1:20" x14ac:dyDescent="0.25">
      <c r="A40" s="5">
        <v>44553</v>
      </c>
      <c r="B40">
        <v>0.65939999999999999</v>
      </c>
      <c r="C40">
        <v>0.72870000000000001</v>
      </c>
      <c r="D40">
        <v>0.65069999999999995</v>
      </c>
      <c r="E40">
        <v>0.71399999999999997</v>
      </c>
      <c r="F40">
        <v>33158472</v>
      </c>
      <c r="G40">
        <v>0.71399999999999997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0.6230769230769222</v>
      </c>
      <c r="Q40">
        <f t="shared" ref="Q40" si="176">F40*P40</f>
        <v>20660278.707692277</v>
      </c>
      <c r="R40">
        <f t="shared" ref="R40" si="177">R41+Q40</f>
        <v>-831816866.19579113</v>
      </c>
      <c r="S40">
        <f t="shared" ref="S40" si="178">R40/100000</f>
        <v>-8318.1686619579104</v>
      </c>
      <c r="T40">
        <f t="shared" ref="T40" si="179">S40/1000</f>
        <v>-8.3181686619579107</v>
      </c>
    </row>
    <row r="41" spans="1:20" x14ac:dyDescent="0.25">
      <c r="A41" s="5">
        <v>44552</v>
      </c>
      <c r="B41">
        <v>0.62870000000000004</v>
      </c>
      <c r="C41">
        <v>0.69010000000000005</v>
      </c>
      <c r="D41">
        <v>0.61829999999999996</v>
      </c>
      <c r="E41">
        <v>0.65890000000000004</v>
      </c>
      <c r="F41">
        <v>30535520</v>
      </c>
      <c r="G41">
        <v>0.65890000000000004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0.13091922005571119</v>
      </c>
      <c r="Q41">
        <f t="shared" ref="Q41" si="181">F41*P41</f>
        <v>3997686.4623955702</v>
      </c>
      <c r="R41">
        <f t="shared" ref="R41" si="182">R42+Q41</f>
        <v>-852477144.90348339</v>
      </c>
      <c r="S41">
        <f t="shared" ref="S41" si="183">R41/100000</f>
        <v>-8524.7714490348335</v>
      </c>
      <c r="T41">
        <f t="shared" ref="T41" si="184">S41/1000</f>
        <v>-8.5247714490348336</v>
      </c>
    </row>
    <row r="42" spans="1:20" x14ac:dyDescent="0.25">
      <c r="A42" s="5">
        <v>44551</v>
      </c>
      <c r="B42">
        <v>0.59899999999999998</v>
      </c>
      <c r="C42">
        <v>0.62980000000000003</v>
      </c>
      <c r="D42">
        <v>0.59079999999999999</v>
      </c>
      <c r="E42">
        <v>0.62829999999999997</v>
      </c>
      <c r="F42">
        <v>5396955</v>
      </c>
      <c r="G42">
        <v>0.62829999999999997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0.92307692307692024</v>
      </c>
      <c r="Q42">
        <f t="shared" ref="Q42" si="186">F42*P42</f>
        <v>4981804.6153846001</v>
      </c>
      <c r="R42">
        <f t="shared" ref="R42" si="187">R43+Q42</f>
        <v>-856474831.36587894</v>
      </c>
      <c r="S42">
        <f t="shared" ref="S42" si="188">R42/100000</f>
        <v>-8564.7483136587889</v>
      </c>
      <c r="T42">
        <f t="shared" ref="T42" si="189">S42/1000</f>
        <v>-8.5647483136587894</v>
      </c>
    </row>
    <row r="43" spans="1:20" x14ac:dyDescent="0.25">
      <c r="A43" s="5">
        <v>44550</v>
      </c>
      <c r="B43">
        <v>0.61460000000000004</v>
      </c>
      <c r="C43">
        <v>0.64590000000000003</v>
      </c>
      <c r="D43">
        <v>0.56610000000000005</v>
      </c>
      <c r="E43">
        <v>0.59850000000000003</v>
      </c>
      <c r="F43">
        <v>11020266</v>
      </c>
      <c r="G43">
        <v>0.59850000000000003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-0.18796992481203029</v>
      </c>
      <c r="Q43">
        <f t="shared" ref="Q43" si="191">F43*P43</f>
        <v>-2071478.5714285737</v>
      </c>
      <c r="R43">
        <f t="shared" ref="R43" si="192">R44+Q43</f>
        <v>-861456635.98126352</v>
      </c>
      <c r="S43">
        <f t="shared" ref="S43" si="193">R43/100000</f>
        <v>-8614.5663598126357</v>
      </c>
      <c r="T43">
        <f t="shared" ref="T43" si="194">S43/1000</f>
        <v>-8.6145663598126365</v>
      </c>
    </row>
    <row r="44" spans="1:20" x14ac:dyDescent="0.25">
      <c r="A44" s="5">
        <v>44549</v>
      </c>
      <c r="B44">
        <v>0.6129</v>
      </c>
      <c r="C44">
        <v>0.62609999999999999</v>
      </c>
      <c r="D44">
        <v>0.60509999999999997</v>
      </c>
      <c r="E44">
        <v>0.61550000000000005</v>
      </c>
      <c r="F44">
        <v>4286678</v>
      </c>
      <c r="G44">
        <v>0.61550000000000005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-9.5238095238031791E-3</v>
      </c>
      <c r="Q44">
        <f t="shared" ref="Q44" si="196">F44*P44</f>
        <v>-40825.504761877564</v>
      </c>
      <c r="R44">
        <f t="shared" ref="R44" si="197">R45+Q44</f>
        <v>-859385157.40983498</v>
      </c>
      <c r="S44">
        <f t="shared" ref="S44" si="198">R44/100000</f>
        <v>-8593.8515740983494</v>
      </c>
      <c r="T44">
        <f t="shared" ref="T44" si="199">S44/1000</f>
        <v>-8.5938515740983501</v>
      </c>
    </row>
    <row r="45" spans="1:20" x14ac:dyDescent="0.25">
      <c r="A45" s="5">
        <v>44548</v>
      </c>
      <c r="B45">
        <v>0.60680000000000001</v>
      </c>
      <c r="C45">
        <v>0.63460000000000005</v>
      </c>
      <c r="D45">
        <v>0.59740000000000004</v>
      </c>
      <c r="E45">
        <v>0.6129</v>
      </c>
      <c r="F45">
        <v>6407886</v>
      </c>
      <c r="G45">
        <v>0.6129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-0.16666666666666916</v>
      </c>
      <c r="Q45">
        <f t="shared" ref="Q45" si="201">F45*P45</f>
        <v>-1067981.0000000158</v>
      </c>
      <c r="R45">
        <f t="shared" ref="R45" si="202">R46+Q45</f>
        <v>-859344331.90507305</v>
      </c>
      <c r="S45">
        <f t="shared" ref="S45" si="203">R45/100000</f>
        <v>-8593.4433190507298</v>
      </c>
      <c r="T45">
        <f t="shared" ref="T45" si="204">S45/1000</f>
        <v>-8.5934433190507296</v>
      </c>
    </row>
    <row r="46" spans="1:20" x14ac:dyDescent="0.25">
      <c r="A46" s="5">
        <v>44547</v>
      </c>
      <c r="B46">
        <v>0.61819999999999997</v>
      </c>
      <c r="C46">
        <v>0.63329999999999997</v>
      </c>
      <c r="D46">
        <v>0.59160000000000001</v>
      </c>
      <c r="E46">
        <v>0.60609999999999997</v>
      </c>
      <c r="F46">
        <v>8406513</v>
      </c>
      <c r="G46">
        <v>0.60609999999999997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-0.30455635491606853</v>
      </c>
      <c r="Q46">
        <f t="shared" ref="Q46" si="206">F46*P46</f>
        <v>-2560256.956834544</v>
      </c>
      <c r="R46">
        <f t="shared" ref="R46" si="207">R47+Q46</f>
        <v>-858276350.90507305</v>
      </c>
      <c r="S46">
        <f t="shared" ref="S46" si="208">R46/100000</f>
        <v>-8582.7635090507301</v>
      </c>
      <c r="T46">
        <f t="shared" ref="T46" si="209">S46/1000</f>
        <v>-8.5827635090507304</v>
      </c>
    </row>
    <row r="47" spans="1:20" x14ac:dyDescent="0.25">
      <c r="A47" s="5">
        <v>44546</v>
      </c>
      <c r="B47">
        <v>0.64770000000000005</v>
      </c>
      <c r="C47">
        <v>0.67090000000000005</v>
      </c>
      <c r="D47">
        <v>0.61580000000000001</v>
      </c>
      <c r="E47">
        <v>0.61850000000000005</v>
      </c>
      <c r="F47">
        <v>9618962</v>
      </c>
      <c r="G47">
        <v>0.61850000000000005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-0.90199637023593349</v>
      </c>
      <c r="Q47">
        <f t="shared" ref="Q47" si="211">F47*P47</f>
        <v>-8676268.8094373755</v>
      </c>
      <c r="R47">
        <f t="shared" ref="R47" si="212">R48+Q47</f>
        <v>-855716093.94823849</v>
      </c>
      <c r="S47">
        <f t="shared" ref="S47" si="213">R47/100000</f>
        <v>-8557.1609394823845</v>
      </c>
      <c r="T47">
        <f t="shared" ref="T47" si="214">S47/1000</f>
        <v>-8.5571609394823849</v>
      </c>
    </row>
    <row r="48" spans="1:20" x14ac:dyDescent="0.25">
      <c r="A48" s="5">
        <v>44545</v>
      </c>
      <c r="B48">
        <v>0.64349999999999996</v>
      </c>
      <c r="C48">
        <v>0.6613</v>
      </c>
      <c r="D48">
        <v>0.5927</v>
      </c>
      <c r="E48">
        <v>0.64770000000000005</v>
      </c>
      <c r="F48">
        <v>8437543</v>
      </c>
      <c r="G48">
        <v>0.64770000000000005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0.60349854227405408</v>
      </c>
      <c r="Q48">
        <f t="shared" ref="Q48" si="216">F48*P48</f>
        <v>5092044.9008746492</v>
      </c>
      <c r="R48">
        <f t="shared" ref="R48" si="217">R49+Q48</f>
        <v>-847039825.1388011</v>
      </c>
      <c r="S48">
        <f t="shared" ref="S48" si="218">R48/100000</f>
        <v>-8470.398251388011</v>
      </c>
      <c r="T48">
        <f t="shared" ref="T48" si="219">S48/1000</f>
        <v>-8.4703982513880103</v>
      </c>
    </row>
    <row r="49" spans="1:20" x14ac:dyDescent="0.25">
      <c r="A49" s="5">
        <v>44544</v>
      </c>
      <c r="B49">
        <v>0.61550000000000005</v>
      </c>
      <c r="C49">
        <v>0.64900000000000002</v>
      </c>
      <c r="D49">
        <v>0.60629999999999995</v>
      </c>
      <c r="E49">
        <v>0.64319999999999999</v>
      </c>
      <c r="F49">
        <v>6579084</v>
      </c>
      <c r="G49">
        <v>0.64319999999999999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0.72833723653395699</v>
      </c>
      <c r="Q49">
        <f t="shared" ref="Q49" si="221">F49*P49</f>
        <v>4791791.8594847722</v>
      </c>
      <c r="R49">
        <f t="shared" ref="R49" si="222">R50+Q49</f>
        <v>-852131870.03967571</v>
      </c>
      <c r="S49">
        <f t="shared" ref="S49" si="223">R49/100000</f>
        <v>-8521.3187003967578</v>
      </c>
      <c r="T49">
        <f t="shared" ref="T49" si="224">S49/1000</f>
        <v>-8.5213187003967583</v>
      </c>
    </row>
    <row r="50" spans="1:20" x14ac:dyDescent="0.25">
      <c r="A50" s="5">
        <v>44543</v>
      </c>
      <c r="B50">
        <v>0.70840000000000003</v>
      </c>
      <c r="C50">
        <v>0.71850000000000003</v>
      </c>
      <c r="D50">
        <v>0.60009999999999997</v>
      </c>
      <c r="E50">
        <v>0.61609999999999998</v>
      </c>
      <c r="F50">
        <v>10185613</v>
      </c>
      <c r="G50">
        <v>0.61609999999999998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-0.7297297297297296</v>
      </c>
      <c r="Q50">
        <f t="shared" ref="Q50" si="226">F50*P50</f>
        <v>-7432744.6216216199</v>
      </c>
      <c r="R50">
        <f t="shared" ref="R50" si="227">R51+Q50</f>
        <v>-856923661.8991605</v>
      </c>
      <c r="S50">
        <f t="shared" ref="S50" si="228">R50/100000</f>
        <v>-8569.2366189916047</v>
      </c>
      <c r="T50">
        <f t="shared" ref="T50" si="229">S50/1000</f>
        <v>-8.5692366189916047</v>
      </c>
    </row>
    <row r="51" spans="1:20" x14ac:dyDescent="0.25">
      <c r="A51" s="5">
        <v>44542</v>
      </c>
      <c r="B51">
        <v>0.70230000000000004</v>
      </c>
      <c r="C51">
        <v>0.72119999999999995</v>
      </c>
      <c r="D51">
        <v>0.6744</v>
      </c>
      <c r="E51">
        <v>0.70889999999999997</v>
      </c>
      <c r="F51">
        <v>14918812</v>
      </c>
      <c r="G51">
        <v>0.70889999999999997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0.47435897435897478</v>
      </c>
      <c r="Q51">
        <f t="shared" ref="Q51" si="231">F51*P51</f>
        <v>7076872.3589743655</v>
      </c>
      <c r="R51">
        <f t="shared" ref="R51" si="232">R52+Q51</f>
        <v>-849490917.2775389</v>
      </c>
      <c r="S51">
        <f t="shared" ref="S51" si="233">R51/100000</f>
        <v>-8494.9091727753894</v>
      </c>
      <c r="T51">
        <f t="shared" ref="T51" si="234">S51/1000</f>
        <v>-8.4949091727753903</v>
      </c>
    </row>
    <row r="52" spans="1:20" x14ac:dyDescent="0.25">
      <c r="A52" s="5">
        <v>44541</v>
      </c>
      <c r="B52">
        <v>0.66300000000000003</v>
      </c>
      <c r="C52">
        <v>0.67359999999999998</v>
      </c>
      <c r="D52">
        <v>0.64849999999999997</v>
      </c>
      <c r="E52">
        <v>0.66949999999999998</v>
      </c>
      <c r="F52">
        <v>581124</v>
      </c>
      <c r="G52">
        <v>0.66949999999999998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0.67330677290836727</v>
      </c>
      <c r="Q52">
        <f t="shared" ref="Q52" si="236">F52*P52</f>
        <v>391274.72509960202</v>
      </c>
      <c r="R52">
        <f t="shared" ref="R52" si="237">R53+Q52</f>
        <v>-856567789.63651323</v>
      </c>
      <c r="S52">
        <f t="shared" ref="S52" si="238">R52/100000</f>
        <v>-8565.6778963651323</v>
      </c>
      <c r="T52">
        <f t="shared" ref="T52" si="239">S52/1000</f>
        <v>-8.5656778963651323</v>
      </c>
    </row>
    <row r="53" spans="1:20" x14ac:dyDescent="0.25">
      <c r="A53" s="5">
        <v>44540</v>
      </c>
      <c r="B53">
        <v>0.69569999999999999</v>
      </c>
      <c r="C53">
        <v>0.72699999999999998</v>
      </c>
      <c r="D53">
        <v>0.65720000000000001</v>
      </c>
      <c r="E53">
        <v>0.66339999999999999</v>
      </c>
      <c r="F53">
        <v>14364576</v>
      </c>
      <c r="G53">
        <v>0.66339999999999999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-0.82234957020057342</v>
      </c>
      <c r="Q53">
        <f t="shared" ref="Q53" si="241">F53*P53</f>
        <v>-11812702.899713472</v>
      </c>
      <c r="R53">
        <f t="shared" ref="R53" si="242">R54+Q53</f>
        <v>-856959064.3616128</v>
      </c>
      <c r="S53">
        <f t="shared" ref="S53" si="243">R53/100000</f>
        <v>-8569.5906436161276</v>
      </c>
      <c r="T53">
        <f t="shared" ref="T53" si="244">S53/1000</f>
        <v>-8.5695906436161273</v>
      </c>
    </row>
    <row r="54" spans="1:20" x14ac:dyDescent="0.25">
      <c r="A54" s="5">
        <v>44539</v>
      </c>
      <c r="B54">
        <v>0.75329999999999997</v>
      </c>
      <c r="C54">
        <v>0.80879999999999996</v>
      </c>
      <c r="D54">
        <v>0.69</v>
      </c>
      <c r="E54">
        <v>0.69630000000000003</v>
      </c>
      <c r="F54">
        <v>27069249</v>
      </c>
      <c r="G54">
        <v>0.69630000000000003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-0.89393939393939259</v>
      </c>
      <c r="Q54">
        <f t="shared" ref="Q54" si="246">F54*P54</f>
        <v>-24198268.04545451</v>
      </c>
      <c r="R54">
        <f t="shared" ref="R54" si="247">R55+Q54</f>
        <v>-845146361.46189928</v>
      </c>
      <c r="S54">
        <f t="shared" ref="S54" si="248">R54/100000</f>
        <v>-8451.4636146189932</v>
      </c>
      <c r="T54">
        <f t="shared" ref="T54" si="249">S54/1000</f>
        <v>-8.4514636146189925</v>
      </c>
    </row>
    <row r="55" spans="1:20" x14ac:dyDescent="0.25">
      <c r="A55" s="5">
        <v>44538</v>
      </c>
      <c r="B55">
        <v>0.7177</v>
      </c>
      <c r="C55">
        <v>0.79700000000000004</v>
      </c>
      <c r="D55">
        <v>0.67420000000000002</v>
      </c>
      <c r="E55">
        <v>0.75309999999999999</v>
      </c>
      <c r="F55">
        <v>31544577</v>
      </c>
      <c r="G55">
        <v>0.75309999999999999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0.28501628664495043</v>
      </c>
      <c r="Q55">
        <f t="shared" ref="Q55" si="251">F55*P55</f>
        <v>8990718.2003257107</v>
      </c>
      <c r="R55">
        <f t="shared" ref="R55" si="252">R56+Q55</f>
        <v>-820948093.41644478</v>
      </c>
      <c r="S55">
        <f t="shared" ref="S55" si="253">R55/100000</f>
        <v>-8209.4809341644486</v>
      </c>
      <c r="T55">
        <f t="shared" ref="T55" si="254">S55/1000</f>
        <v>-8.2094809341644481</v>
      </c>
    </row>
    <row r="56" spans="1:20" x14ac:dyDescent="0.25">
      <c r="A56" s="5">
        <v>44537</v>
      </c>
      <c r="B56">
        <v>0.72440000000000004</v>
      </c>
      <c r="C56">
        <v>0.75849999999999995</v>
      </c>
      <c r="D56">
        <v>0.70420000000000005</v>
      </c>
      <c r="E56">
        <v>0.71760000000000002</v>
      </c>
      <c r="F56">
        <v>22198922</v>
      </c>
      <c r="G56">
        <v>0.71760000000000002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-0.50644567219152892</v>
      </c>
      <c r="Q56">
        <f t="shared" ref="Q56" si="256">F56*P56</f>
        <v>-11242547.97421732</v>
      </c>
      <c r="R56">
        <f t="shared" ref="R56" si="257">R57+Q56</f>
        <v>-829938811.61677051</v>
      </c>
      <c r="S56">
        <f t="shared" ref="S56" si="258">R56/100000</f>
        <v>-8299.3881161677054</v>
      </c>
      <c r="T56">
        <f t="shared" ref="T56" si="259">S56/1000</f>
        <v>-8.2993881161677052</v>
      </c>
    </row>
    <row r="57" spans="1:20" x14ac:dyDescent="0.25">
      <c r="A57" s="5">
        <v>44536</v>
      </c>
      <c r="B57">
        <v>0.71360000000000001</v>
      </c>
      <c r="C57">
        <v>0.74250000000000005</v>
      </c>
      <c r="D57">
        <v>0.63009999999999999</v>
      </c>
      <c r="E57">
        <v>0.72529999999999994</v>
      </c>
      <c r="F57">
        <v>22538344</v>
      </c>
      <c r="G57">
        <v>0.72529999999999994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0.69395017793594138</v>
      </c>
      <c r="Q57">
        <f t="shared" ref="Q57" si="261">F57*P57</f>
        <v>15640487.829181457</v>
      </c>
      <c r="R57">
        <f t="shared" ref="R57" si="262">R58+Q57</f>
        <v>-818696263.64255321</v>
      </c>
      <c r="S57">
        <f t="shared" ref="S57" si="263">R57/100000</f>
        <v>-8186.9626364255319</v>
      </c>
      <c r="T57">
        <f t="shared" ref="T57" si="264">S57/1000</f>
        <v>-8.1869626364255321</v>
      </c>
    </row>
    <row r="58" spans="1:20" x14ac:dyDescent="0.25">
      <c r="A58" s="5">
        <v>44535</v>
      </c>
      <c r="B58">
        <v>0.77370000000000005</v>
      </c>
      <c r="C58">
        <v>0.78669999999999995</v>
      </c>
      <c r="D58">
        <v>0.67500000000000004</v>
      </c>
      <c r="E58">
        <v>0.71240000000000003</v>
      </c>
      <c r="F58">
        <v>18229898</v>
      </c>
      <c r="G58">
        <v>0.71240000000000003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-0.33034914950760935</v>
      </c>
      <c r="Q58">
        <f t="shared" ref="Q58" si="266">F58*P58</f>
        <v>-6022231.299910469</v>
      </c>
      <c r="R58">
        <f t="shared" ref="R58" si="267">R59+Q58</f>
        <v>-834336751.47173464</v>
      </c>
      <c r="S58">
        <f t="shared" ref="S58" si="268">R58/100000</f>
        <v>-8343.3675147173471</v>
      </c>
      <c r="T58">
        <f t="shared" ref="T58" si="269">S58/1000</f>
        <v>-8.3433675147173467</v>
      </c>
    </row>
    <row r="59" spans="1:20" x14ac:dyDescent="0.25">
      <c r="A59" s="5">
        <v>44534</v>
      </c>
      <c r="B59">
        <v>1.0004</v>
      </c>
      <c r="C59">
        <v>1.0035000000000001</v>
      </c>
      <c r="D59">
        <v>0.61050000000000004</v>
      </c>
      <c r="E59">
        <v>0.77280000000000004</v>
      </c>
      <c r="F59">
        <v>40377676</v>
      </c>
      <c r="G59">
        <v>0.77280000000000004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-0.17404580152671759</v>
      </c>
      <c r="Q59">
        <f t="shared" ref="Q59" si="271">F59*P59</f>
        <v>-7027564.9832061082</v>
      </c>
      <c r="R59">
        <f t="shared" ref="R59" si="272">R60+Q59</f>
        <v>-828314520.17182422</v>
      </c>
      <c r="S59">
        <f t="shared" ref="S59" si="273">R59/100000</f>
        <v>-8283.1452017182419</v>
      </c>
      <c r="T59">
        <f t="shared" ref="T59" si="274">S59/1000</f>
        <v>-8.2831452017182414</v>
      </c>
    </row>
    <row r="60" spans="1:20" x14ac:dyDescent="0.25">
      <c r="A60" s="5">
        <v>44533</v>
      </c>
      <c r="B60">
        <v>1.0565</v>
      </c>
      <c r="C60">
        <v>1.0999000000000001</v>
      </c>
      <c r="D60">
        <v>0.95</v>
      </c>
      <c r="E60">
        <v>1.0004</v>
      </c>
      <c r="F60">
        <v>16308304</v>
      </c>
      <c r="G60">
        <v>1.0004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-0.32755170113409005</v>
      </c>
      <c r="Q60">
        <f t="shared" ref="Q60" si="276">F60*P60</f>
        <v>-5341812.7178118853</v>
      </c>
      <c r="R60">
        <f t="shared" ref="R60" si="277">R61+Q60</f>
        <v>-821286955.18861806</v>
      </c>
      <c r="S60">
        <f t="shared" ref="S60" si="278">R60/100000</f>
        <v>-8212.8695518861805</v>
      </c>
      <c r="T60">
        <f t="shared" ref="T60" si="279">S60/1000</f>
        <v>-8.2128695518861807</v>
      </c>
    </row>
    <row r="61" spans="1:20" x14ac:dyDescent="0.25">
      <c r="A61" s="5">
        <v>44532</v>
      </c>
      <c r="B61">
        <v>1.1200000000000001</v>
      </c>
      <c r="C61">
        <v>1.1232</v>
      </c>
      <c r="D61">
        <v>1.0365</v>
      </c>
      <c r="E61">
        <v>1.0569999999999999</v>
      </c>
      <c r="F61">
        <v>14320271</v>
      </c>
      <c r="G61">
        <v>1.0569999999999999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-0.52710495963091208</v>
      </c>
      <c r="Q61">
        <f t="shared" ref="Q61" si="281">F61*P61</f>
        <v>-7548285.8673587209</v>
      </c>
      <c r="R61">
        <f t="shared" ref="R61" si="282">R62+Q61</f>
        <v>-815945142.47080612</v>
      </c>
      <c r="S61">
        <f t="shared" ref="S61" si="283">R61/100000</f>
        <v>-8159.4514247080615</v>
      </c>
      <c r="T61">
        <f t="shared" ref="T61" si="284">S61/1000</f>
        <v>-8.1594514247080614</v>
      </c>
    </row>
    <row r="62" spans="1:20" x14ac:dyDescent="0.25">
      <c r="A62" s="5">
        <v>44531</v>
      </c>
      <c r="B62">
        <v>1.1285000000000001</v>
      </c>
      <c r="C62">
        <v>1.1855</v>
      </c>
      <c r="D62">
        <v>1.0945</v>
      </c>
      <c r="E62">
        <v>1.1201000000000001</v>
      </c>
      <c r="F62">
        <v>15439026</v>
      </c>
      <c r="G62">
        <v>1.1201000000000001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-0.4373626373626357</v>
      </c>
      <c r="Q62">
        <f t="shared" ref="Q62" si="286">F62*P62</f>
        <v>-6752453.1296703042</v>
      </c>
      <c r="R62">
        <f t="shared" ref="R62" si="287">R63+Q62</f>
        <v>-808396856.60344744</v>
      </c>
      <c r="S62">
        <f t="shared" ref="S62" si="288">R62/100000</f>
        <v>-8083.968566034474</v>
      </c>
      <c r="T62">
        <f t="shared" ref="T62" si="289">S62/1000</f>
        <v>-8.0839685660344731</v>
      </c>
    </row>
    <row r="63" spans="1:20" x14ac:dyDescent="0.25">
      <c r="A63" s="5">
        <v>44530</v>
      </c>
      <c r="B63">
        <v>1.1096999999999999</v>
      </c>
      <c r="C63">
        <v>1.19</v>
      </c>
      <c r="D63">
        <v>1.0792999999999999</v>
      </c>
      <c r="E63">
        <v>1.1283000000000001</v>
      </c>
      <c r="F63">
        <v>24537024</v>
      </c>
      <c r="G63">
        <v>1.1283000000000001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-0.11472448057813649</v>
      </c>
      <c r="Q63">
        <f t="shared" ref="Q63" si="291">F63*P63</f>
        <v>-2814997.3333332688</v>
      </c>
      <c r="R63">
        <f t="shared" ref="R63" si="292">R64+Q63</f>
        <v>-801644403.47377717</v>
      </c>
      <c r="S63">
        <f t="shared" ref="S63" si="293">R63/100000</f>
        <v>-8016.4440347377722</v>
      </c>
      <c r="T63">
        <f t="shared" ref="T63" si="294">S63/1000</f>
        <v>-8.0164440347377717</v>
      </c>
    </row>
    <row r="64" spans="1:20" x14ac:dyDescent="0.25">
      <c r="A64" s="5">
        <v>44529</v>
      </c>
      <c r="B64">
        <v>1.1234999999999999</v>
      </c>
      <c r="C64">
        <v>1.196</v>
      </c>
      <c r="D64">
        <v>1.0669999999999999</v>
      </c>
      <c r="E64">
        <v>1.1096999999999999</v>
      </c>
      <c r="F64">
        <v>24185682</v>
      </c>
      <c r="G64">
        <v>1.1096999999999999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-0.33798449612403164</v>
      </c>
      <c r="Q64">
        <f t="shared" ref="Q64" si="296">F64*P64</f>
        <v>-8174385.5441860622</v>
      </c>
      <c r="R64">
        <f t="shared" ref="R64" si="297">R65+Q64</f>
        <v>-798829406.14044392</v>
      </c>
      <c r="S64">
        <f t="shared" ref="S64" si="298">R64/100000</f>
        <v>-7988.2940614044392</v>
      </c>
      <c r="T64">
        <f t="shared" ref="T64" si="299">S64/1000</f>
        <v>-7.9882940614044395</v>
      </c>
    </row>
    <row r="65" spans="1:20" x14ac:dyDescent="0.25">
      <c r="A65" s="5">
        <v>44528</v>
      </c>
      <c r="B65">
        <v>1.2061999999999999</v>
      </c>
      <c r="C65">
        <v>1.2179</v>
      </c>
      <c r="D65">
        <v>1.0265</v>
      </c>
      <c r="E65">
        <v>1.1223000000000001</v>
      </c>
      <c r="F65">
        <v>29206348</v>
      </c>
      <c r="G65">
        <v>1.1223000000000001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1.0449320794158829E-3</v>
      </c>
      <c r="Q65">
        <f t="shared" ref="Q65" si="301">F65*P65</f>
        <v>30518.649947783913</v>
      </c>
      <c r="R65">
        <f t="shared" ref="R65" si="302">R66+Q65</f>
        <v>-790655020.59625781</v>
      </c>
      <c r="S65">
        <f t="shared" ref="S65" si="303">R65/100000</f>
        <v>-7906.5502059625778</v>
      </c>
      <c r="T65">
        <f t="shared" ref="T65" si="304">S65/1000</f>
        <v>-7.9065502059625778</v>
      </c>
    </row>
    <row r="66" spans="1:20" x14ac:dyDescent="0.25">
      <c r="A66" s="5">
        <v>44527</v>
      </c>
      <c r="B66">
        <v>1.2211000000000001</v>
      </c>
      <c r="C66">
        <v>1.48</v>
      </c>
      <c r="D66">
        <v>1.1729000000000001</v>
      </c>
      <c r="E66">
        <v>1.2050000000000001</v>
      </c>
      <c r="F66">
        <v>88907821</v>
      </c>
      <c r="G66">
        <v>1.2050000000000001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-0.79094757408010408</v>
      </c>
      <c r="Q66">
        <f t="shared" ref="Q66" si="306">F66*P66</f>
        <v>-70321425.33669813</v>
      </c>
      <c r="R66">
        <f t="shared" ref="R66" si="307">R67+Q66</f>
        <v>-790685539.24620557</v>
      </c>
      <c r="S66">
        <f t="shared" ref="S66" si="308">R66/100000</f>
        <v>-7906.8553924620555</v>
      </c>
      <c r="T66">
        <f t="shared" ref="T66" si="309">S66/1000</f>
        <v>-7.9068553924620559</v>
      </c>
    </row>
    <row r="67" spans="1:20" x14ac:dyDescent="0.25">
      <c r="A67" s="5">
        <v>44526</v>
      </c>
      <c r="B67">
        <v>1.0432999999999999</v>
      </c>
      <c r="C67">
        <v>1.2776000000000001</v>
      </c>
      <c r="D67">
        <v>1</v>
      </c>
      <c r="E67">
        <v>1.2222</v>
      </c>
      <c r="F67">
        <v>114672034</v>
      </c>
      <c r="G67">
        <v>1.2222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0.60086455331412025</v>
      </c>
      <c r="Q67">
        <f t="shared" ref="Q67" si="311">F67*P67</f>
        <v>68902360.487031609</v>
      </c>
      <c r="R67">
        <f t="shared" ref="R67" si="312">R68+Q67</f>
        <v>-720364113.90950739</v>
      </c>
      <c r="S67">
        <f t="shared" ref="S67" si="313">R67/100000</f>
        <v>-7203.6411390950743</v>
      </c>
      <c r="T67">
        <f t="shared" ref="T67" si="314">S67/1000</f>
        <v>-7.2036411390950743</v>
      </c>
    </row>
    <row r="68" spans="1:20" x14ac:dyDescent="0.25">
      <c r="A68" s="5">
        <v>44525</v>
      </c>
      <c r="B68">
        <v>1.0345</v>
      </c>
      <c r="C68">
        <v>1.0640000000000001</v>
      </c>
      <c r="D68">
        <v>0.99850000000000005</v>
      </c>
      <c r="E68">
        <v>1.0426</v>
      </c>
      <c r="F68">
        <v>15247671</v>
      </c>
      <c r="G68">
        <v>1.0426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0.34656488549618064</v>
      </c>
      <c r="Q68">
        <f t="shared" ref="Q68" si="316">F68*P68</f>
        <v>5284307.3541984344</v>
      </c>
      <c r="R68">
        <f t="shared" ref="R68" si="317">R69+Q68</f>
        <v>-789266474.39653897</v>
      </c>
      <c r="S68">
        <f t="shared" ref="S68" si="318">R68/100000</f>
        <v>-7892.6647439653898</v>
      </c>
      <c r="T68">
        <f t="shared" ref="T68" si="319">S68/1000</f>
        <v>-7.8926647439653896</v>
      </c>
    </row>
    <row r="69" spans="1:20" x14ac:dyDescent="0.25">
      <c r="A69" s="5">
        <v>44524</v>
      </c>
      <c r="B69">
        <v>1.0276000000000001</v>
      </c>
      <c r="C69">
        <v>1.0282</v>
      </c>
      <c r="D69">
        <v>0.98909999999999998</v>
      </c>
      <c r="E69">
        <v>1.0209999999999999</v>
      </c>
      <c r="F69">
        <v>4172253</v>
      </c>
      <c r="G69">
        <v>1.0209999999999999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0.6317135549872076</v>
      </c>
      <c r="Q69">
        <f t="shared" ref="Q69" si="321">F69*P69</f>
        <v>2635668.7749360418</v>
      </c>
      <c r="R69">
        <f t="shared" ref="R69" si="322">R70+Q69</f>
        <v>-794550781.75073743</v>
      </c>
      <c r="S69">
        <f t="shared" ref="S69" si="323">R69/100000</f>
        <v>-7945.5078175073741</v>
      </c>
      <c r="T69">
        <f t="shared" ref="T69" si="324">S69/1000</f>
        <v>-7.9455078175073739</v>
      </c>
    </row>
    <row r="70" spans="1:20" x14ac:dyDescent="0.25">
      <c r="A70" s="5">
        <v>44523</v>
      </c>
      <c r="B70">
        <v>0.97770000000000001</v>
      </c>
      <c r="C70">
        <v>1.046</v>
      </c>
      <c r="D70">
        <v>0.96630000000000005</v>
      </c>
      <c r="E70">
        <v>1.0274000000000001</v>
      </c>
      <c r="F70">
        <v>14044963</v>
      </c>
      <c r="G70">
        <v>1.0274000000000001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0.53324968632371517</v>
      </c>
      <c r="Q70">
        <f t="shared" ref="Q70" si="326">F70*P70</f>
        <v>7489472.1141781854</v>
      </c>
      <c r="R70">
        <f t="shared" ref="R70" si="327">R71+Q70</f>
        <v>-797186450.52567351</v>
      </c>
      <c r="S70">
        <f t="shared" ref="S70" si="328">R70/100000</f>
        <v>-7971.8645052567354</v>
      </c>
      <c r="T70">
        <f t="shared" ref="T70" si="329">S70/1000</f>
        <v>-7.9718645052567352</v>
      </c>
    </row>
    <row r="71" spans="1:20" x14ac:dyDescent="0.25">
      <c r="A71" s="5">
        <v>44522</v>
      </c>
      <c r="B71">
        <v>1.0542</v>
      </c>
      <c r="C71">
        <v>1.0610999999999999</v>
      </c>
      <c r="D71">
        <v>0.96</v>
      </c>
      <c r="E71">
        <v>0.97770000000000001</v>
      </c>
      <c r="F71">
        <v>14535070</v>
      </c>
      <c r="G71">
        <v>0.97770000000000001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-0.64985163204747665</v>
      </c>
      <c r="Q71">
        <f t="shared" ref="Q71" si="331">F71*P71</f>
        <v>-9445638.9614243172</v>
      </c>
      <c r="R71">
        <f t="shared" ref="R71" si="332">R72+Q71</f>
        <v>-804675922.63985169</v>
      </c>
      <c r="S71">
        <f t="shared" ref="S71" si="333">R71/100000</f>
        <v>-8046.7592263985171</v>
      </c>
      <c r="T71">
        <f t="shared" ref="T71" si="334">S71/1000</f>
        <v>-8.0467592263985175</v>
      </c>
    </row>
    <row r="72" spans="1:20" x14ac:dyDescent="0.25">
      <c r="A72" s="5">
        <v>44521</v>
      </c>
      <c r="B72">
        <v>1.0439000000000001</v>
      </c>
      <c r="C72">
        <v>1.1001000000000001</v>
      </c>
      <c r="D72">
        <v>1.0012000000000001</v>
      </c>
      <c r="E72">
        <v>1.0528999999999999</v>
      </c>
      <c r="F72">
        <v>21988931</v>
      </c>
      <c r="G72">
        <v>1.0528999999999999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4.5500505561170142E-2</v>
      </c>
      <c r="Q72">
        <f t="shared" ref="Q72" si="336">F72*P72</f>
        <v>1000507.4772496865</v>
      </c>
      <c r="R72">
        <f t="shared" ref="R72" si="337">R73+Q72</f>
        <v>-795230283.67842734</v>
      </c>
      <c r="S72">
        <f t="shared" ref="S72" si="338">R72/100000</f>
        <v>-7952.3028367842735</v>
      </c>
      <c r="T72">
        <f t="shared" ref="T72" si="339">S72/1000</f>
        <v>-7.9523028367842734</v>
      </c>
    </row>
    <row r="73" spans="1:20" x14ac:dyDescent="0.25">
      <c r="A73" s="5">
        <v>44520</v>
      </c>
      <c r="B73">
        <v>1.0122</v>
      </c>
      <c r="C73">
        <v>1.0549999999999999</v>
      </c>
      <c r="D73">
        <v>0.97050000000000003</v>
      </c>
      <c r="E73">
        <v>1.0441</v>
      </c>
      <c r="F73">
        <v>17760874</v>
      </c>
      <c r="G73">
        <v>1.0441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0.74201183431952844</v>
      </c>
      <c r="Q73">
        <f t="shared" ref="Q73" si="341">F73*P73</f>
        <v>13178778.69585802</v>
      </c>
      <c r="R73">
        <f t="shared" ref="R73" si="342">R74+Q73</f>
        <v>-796230791.15567708</v>
      </c>
      <c r="S73">
        <f t="shared" ref="S73" si="343">R73/100000</f>
        <v>-7962.3079115567707</v>
      </c>
      <c r="T73">
        <f t="shared" ref="T73" si="344">S73/1000</f>
        <v>-7.9623079115567705</v>
      </c>
    </row>
    <row r="74" spans="1:20" x14ac:dyDescent="0.25">
      <c r="A74" s="5">
        <v>44519</v>
      </c>
      <c r="B74">
        <v>0.94279999999999997</v>
      </c>
      <c r="C74">
        <v>1.0333000000000001</v>
      </c>
      <c r="D74">
        <v>0.91569999999999996</v>
      </c>
      <c r="E74">
        <v>1.0124</v>
      </c>
      <c r="F74">
        <v>14868324</v>
      </c>
      <c r="G74">
        <v>1.0124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0.64455782312924981</v>
      </c>
      <c r="Q74">
        <f t="shared" ref="Q74" si="346">F74*P74</f>
        <v>9583494.5510203801</v>
      </c>
      <c r="R74">
        <f t="shared" ref="R74" si="347">R75+Q74</f>
        <v>-809409569.85153508</v>
      </c>
      <c r="S74">
        <f t="shared" ref="S74" si="348">R74/100000</f>
        <v>-8094.0956985153507</v>
      </c>
      <c r="T74">
        <f t="shared" ref="T74" si="349">S74/1000</f>
        <v>-8.0940956985153498</v>
      </c>
    </row>
    <row r="75" spans="1:20" x14ac:dyDescent="0.25">
      <c r="A75" s="5">
        <v>44518</v>
      </c>
      <c r="B75">
        <v>1.0824</v>
      </c>
      <c r="C75">
        <v>1.1100000000000001</v>
      </c>
      <c r="D75">
        <v>0.91300000000000003</v>
      </c>
      <c r="E75">
        <v>0.94299999999999995</v>
      </c>
      <c r="F75">
        <v>20057773</v>
      </c>
      <c r="G75">
        <v>0.94299999999999995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-0.69543147208121925</v>
      </c>
      <c r="Q75">
        <f t="shared" ref="Q75" si="351">F75*P75</f>
        <v>-13948806.604060933</v>
      </c>
      <c r="R75">
        <f t="shared" ref="R75" si="352">R76+Q75</f>
        <v>-818993064.40255547</v>
      </c>
      <c r="S75">
        <f t="shared" ref="S75" si="353">R75/100000</f>
        <v>-8189.930644025555</v>
      </c>
      <c r="T75">
        <f t="shared" ref="T75" si="354">S75/1000</f>
        <v>-8.189930644025555</v>
      </c>
    </row>
    <row r="76" spans="1:20" x14ac:dyDescent="0.25">
      <c r="A76" s="5">
        <v>44517</v>
      </c>
      <c r="B76">
        <v>1.0742</v>
      </c>
      <c r="C76">
        <v>1.1172</v>
      </c>
      <c r="D76">
        <v>1.0265</v>
      </c>
      <c r="E76">
        <v>1.0815999999999999</v>
      </c>
      <c r="F76">
        <v>13769664</v>
      </c>
      <c r="G76">
        <v>1.0815999999999999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0.21499448732083629</v>
      </c>
      <c r="Q76">
        <f t="shared" ref="Q76" si="356">F76*P76</f>
        <v>2960401.8522601756</v>
      </c>
      <c r="R76">
        <f t="shared" ref="R76" si="357">R77+Q76</f>
        <v>-805044257.79849458</v>
      </c>
      <c r="S76">
        <f t="shared" ref="S76" si="358">R76/100000</f>
        <v>-8050.4425779849462</v>
      </c>
      <c r="T76">
        <f t="shared" ref="T76" si="359">S76/1000</f>
        <v>-8.0504425779849456</v>
      </c>
    </row>
    <row r="77" spans="1:20" x14ac:dyDescent="0.25">
      <c r="A77" s="5">
        <v>44516</v>
      </c>
      <c r="B77">
        <v>1.2214</v>
      </c>
      <c r="C77">
        <v>1.2215</v>
      </c>
      <c r="D77">
        <v>1.0092000000000001</v>
      </c>
      <c r="E77">
        <v>1.0737000000000001</v>
      </c>
      <c r="F77">
        <v>27588758</v>
      </c>
      <c r="G77">
        <v>1.0737000000000001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-0.39236928874234556</v>
      </c>
      <c r="Q77">
        <f t="shared" ref="Q77" si="361">F77*P77</f>
        <v>-10824981.353744697</v>
      </c>
      <c r="R77">
        <f t="shared" ref="R77" si="362">R78+Q77</f>
        <v>-808004659.65075481</v>
      </c>
      <c r="S77">
        <f t="shared" ref="S77" si="363">R77/100000</f>
        <v>-8080.0465965075482</v>
      </c>
      <c r="T77">
        <f t="shared" ref="T77" si="364">S77/1000</f>
        <v>-8.0800465965075485</v>
      </c>
    </row>
    <row r="78" spans="1:20" x14ac:dyDescent="0.25">
      <c r="A78" s="5">
        <v>44515</v>
      </c>
      <c r="B78">
        <v>1.3408</v>
      </c>
      <c r="C78">
        <v>1.3545</v>
      </c>
      <c r="D78">
        <v>1.1996</v>
      </c>
      <c r="E78">
        <v>1.2202999999999999</v>
      </c>
      <c r="F78">
        <v>14336705</v>
      </c>
      <c r="G78">
        <v>1.2202999999999999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-0.7327307940606852</v>
      </c>
      <c r="Q78">
        <f t="shared" ref="Q78" si="366">F78*P78</f>
        <v>-10504945.238863796</v>
      </c>
      <c r="R78">
        <f t="shared" ref="R78" si="367">R79+Q78</f>
        <v>-797179678.29701006</v>
      </c>
      <c r="S78">
        <f t="shared" ref="S78" si="368">R78/100000</f>
        <v>-7971.796782970101</v>
      </c>
      <c r="T78">
        <f t="shared" ref="T78" si="369">S78/1000</f>
        <v>-7.9717967829701006</v>
      </c>
    </row>
    <row r="79" spans="1:20" x14ac:dyDescent="0.25">
      <c r="A79" s="5">
        <v>44514</v>
      </c>
      <c r="B79">
        <v>1.2857000000000001</v>
      </c>
      <c r="C79">
        <v>1.3894</v>
      </c>
      <c r="D79">
        <v>1.2726999999999999</v>
      </c>
      <c r="E79">
        <v>1.3409</v>
      </c>
      <c r="F79">
        <v>21769866</v>
      </c>
      <c r="G79">
        <v>1.3409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0.16880891173950341</v>
      </c>
      <c r="Q79">
        <f t="shared" ref="Q79" si="371">F79*P79</f>
        <v>3674947.388174816</v>
      </c>
      <c r="R79">
        <f t="shared" ref="R79" si="372">R80+Q79</f>
        <v>-786674733.05814624</v>
      </c>
      <c r="S79">
        <f t="shared" ref="S79" si="373">R79/100000</f>
        <v>-7866.7473305814619</v>
      </c>
      <c r="T79">
        <f t="shared" ref="T79" si="374">S79/1000</f>
        <v>-7.8667473305814619</v>
      </c>
    </row>
    <row r="80" spans="1:20" x14ac:dyDescent="0.25">
      <c r="A80" s="5">
        <v>44513</v>
      </c>
      <c r="B80">
        <v>1.3617999999999999</v>
      </c>
      <c r="C80">
        <v>1.3925000000000001</v>
      </c>
      <c r="D80">
        <v>1.2708999999999999</v>
      </c>
      <c r="E80">
        <v>1.2859</v>
      </c>
      <c r="F80">
        <v>21163513</v>
      </c>
      <c r="G80">
        <v>1.2859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-0.75328947368420884</v>
      </c>
      <c r="Q80">
        <f t="shared" ref="Q80" si="376">F80*P80</f>
        <v>-15942251.569078911</v>
      </c>
      <c r="R80">
        <f t="shared" ref="R80" si="377">R81+Q80</f>
        <v>-790349680.44632101</v>
      </c>
      <c r="S80">
        <f t="shared" ref="S80" si="378">R80/100000</f>
        <v>-7903.4968044632105</v>
      </c>
      <c r="T80">
        <f t="shared" ref="T80" si="379">S80/1000</f>
        <v>-7.9034968044632103</v>
      </c>
    </row>
    <row r="81" spans="1:20" x14ac:dyDescent="0.25">
      <c r="A81" s="5">
        <v>44512</v>
      </c>
      <c r="B81">
        <v>1.6909000000000001</v>
      </c>
      <c r="C81">
        <v>1.7036</v>
      </c>
      <c r="D81">
        <v>1.3064</v>
      </c>
      <c r="E81">
        <v>1.3617999999999999</v>
      </c>
      <c r="F81">
        <v>62418480</v>
      </c>
      <c r="G81">
        <v>1.3617999999999999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-0.72104733131923515</v>
      </c>
      <c r="Q81">
        <f t="shared" ref="Q81" si="381">F81*P81</f>
        <v>-45006678.429003052</v>
      </c>
      <c r="R81">
        <f t="shared" ref="R81" si="382">R82+Q81</f>
        <v>-774407428.87724209</v>
      </c>
      <c r="S81">
        <f t="shared" ref="S81" si="383">R81/100000</f>
        <v>-7744.0742887724209</v>
      </c>
      <c r="T81">
        <f t="shared" ref="T81" si="384">S81/1000</f>
        <v>-7.7440742887724205</v>
      </c>
    </row>
    <row r="82" spans="1:20" x14ac:dyDescent="0.25">
      <c r="A82" s="5">
        <v>44511</v>
      </c>
      <c r="B82">
        <v>1.1394</v>
      </c>
      <c r="C82">
        <v>1.74</v>
      </c>
      <c r="D82">
        <v>1.1154999999999999</v>
      </c>
      <c r="E82">
        <v>1.6910000000000001</v>
      </c>
      <c r="F82">
        <v>164058604</v>
      </c>
      <c r="G82">
        <v>1.6910000000000001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0.84307445956765437</v>
      </c>
      <c r="Q82">
        <f t="shared" ref="Q82" si="386">F82*P82</f>
        <v>138313618.90472382</v>
      </c>
      <c r="R82">
        <f t="shared" ref="R82" si="387">R83+Q82</f>
        <v>-729400750.44823909</v>
      </c>
      <c r="S82">
        <f t="shared" ref="S82" si="388">R82/100000</f>
        <v>-7294.0075044823907</v>
      </c>
      <c r="T82">
        <f t="shared" ref="T82" si="389">S82/1000</f>
        <v>-7.2940075044823907</v>
      </c>
    </row>
    <row r="83" spans="1:20" x14ac:dyDescent="0.25">
      <c r="A83" s="5">
        <v>44510</v>
      </c>
      <c r="B83">
        <v>1.2182999999999999</v>
      </c>
      <c r="C83">
        <v>1.3556999999999999</v>
      </c>
      <c r="D83">
        <v>1.07</v>
      </c>
      <c r="E83">
        <v>1.1399999999999999</v>
      </c>
      <c r="F83">
        <v>47021673</v>
      </c>
      <c r="G83">
        <v>1.1399999999999999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-0.50997549877493964</v>
      </c>
      <c r="Q83">
        <f t="shared" ref="Q83" si="391">F83*P83</f>
        <v>-23979901.141407114</v>
      </c>
      <c r="R83">
        <f t="shared" ref="R83" si="392">R84+Q83</f>
        <v>-867714369.35296285</v>
      </c>
      <c r="S83">
        <f t="shared" ref="S83" si="393">R83/100000</f>
        <v>-8677.1436935296279</v>
      </c>
      <c r="T83">
        <f t="shared" ref="T83" si="394">S83/1000</f>
        <v>-8.6771436935296276</v>
      </c>
    </row>
    <row r="84" spans="1:20" x14ac:dyDescent="0.25">
      <c r="A84" s="5">
        <v>44509</v>
      </c>
      <c r="B84">
        <v>1.1580999999999999</v>
      </c>
      <c r="C84">
        <v>1.25</v>
      </c>
      <c r="D84">
        <v>1.1399999999999999</v>
      </c>
      <c r="E84">
        <v>1.2176</v>
      </c>
      <c r="F84">
        <v>23873669</v>
      </c>
      <c r="G84">
        <v>1.2176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0.41090909090909172</v>
      </c>
      <c r="Q84">
        <f t="shared" ref="Q84" si="396">F84*P84</f>
        <v>9809907.6254545655</v>
      </c>
      <c r="R84">
        <f t="shared" ref="R84" si="397">R85+Q84</f>
        <v>-843734468.21155572</v>
      </c>
      <c r="S84">
        <f t="shared" ref="S84" si="398">R84/100000</f>
        <v>-8437.3446821155576</v>
      </c>
      <c r="T84">
        <f t="shared" ref="T84" si="399">S84/1000</f>
        <v>-8.4373446821155582</v>
      </c>
    </row>
    <row r="85" spans="1:20" x14ac:dyDescent="0.25">
      <c r="A85" s="5">
        <v>44508</v>
      </c>
      <c r="B85">
        <v>1.1266</v>
      </c>
      <c r="C85">
        <v>1.1847000000000001</v>
      </c>
      <c r="D85">
        <v>1.1041000000000001</v>
      </c>
      <c r="E85">
        <v>1.1580999999999999</v>
      </c>
      <c r="F85">
        <v>12163992</v>
      </c>
      <c r="G85">
        <v>1.1580999999999999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0.33995037220843233</v>
      </c>
      <c r="Q85">
        <f t="shared" ref="Q85" si="401">F85*P85</f>
        <v>4135153.607940393</v>
      </c>
      <c r="R85">
        <f t="shared" ref="R85" si="402">R86+Q85</f>
        <v>-853544375.83701026</v>
      </c>
      <c r="S85">
        <f t="shared" ref="S85" si="403">R85/100000</f>
        <v>-8535.4437583701019</v>
      </c>
      <c r="T85">
        <f t="shared" ref="T85" si="404">S85/1000</f>
        <v>-8.5354437583701017</v>
      </c>
    </row>
    <row r="86" spans="1:20" x14ac:dyDescent="0.25">
      <c r="A86" s="5">
        <v>44507</v>
      </c>
      <c r="B86">
        <v>1.1039000000000001</v>
      </c>
      <c r="C86">
        <v>1.1523000000000001</v>
      </c>
      <c r="D86">
        <v>1.0878000000000001</v>
      </c>
      <c r="E86">
        <v>1.1258999999999999</v>
      </c>
      <c r="F86">
        <v>14186098</v>
      </c>
      <c r="G86">
        <v>1.1258999999999999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0.1813953488372031</v>
      </c>
      <c r="Q86">
        <f t="shared" ref="Q86" si="406">F86*P86</f>
        <v>2573292.1953487494</v>
      </c>
      <c r="R86">
        <f t="shared" ref="R86" si="407">R87+Q86</f>
        <v>-857679529.4449507</v>
      </c>
      <c r="S86">
        <f t="shared" ref="S86" si="408">R86/100000</f>
        <v>-8576.7952944495064</v>
      </c>
      <c r="T86">
        <f t="shared" ref="T86" si="409">S86/1000</f>
        <v>-8.5767952944495072</v>
      </c>
    </row>
    <row r="87" spans="1:20" x14ac:dyDescent="0.25">
      <c r="A87" s="5">
        <v>44506</v>
      </c>
      <c r="B87">
        <v>1.1266</v>
      </c>
      <c r="C87">
        <v>1.141</v>
      </c>
      <c r="D87">
        <v>1.05</v>
      </c>
      <c r="E87">
        <v>1.1043000000000001</v>
      </c>
      <c r="F87">
        <v>10506021</v>
      </c>
      <c r="G87">
        <v>1.1043000000000001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0.19340659340659414</v>
      </c>
      <c r="Q87">
        <f t="shared" ref="Q87" si="411">F87*P87</f>
        <v>2031933.7318681395</v>
      </c>
      <c r="R87">
        <f t="shared" ref="R87" si="412">R88+Q87</f>
        <v>-860252821.64029944</v>
      </c>
      <c r="S87">
        <f t="shared" ref="S87" si="413">R87/100000</f>
        <v>-8602.5282164029941</v>
      </c>
      <c r="T87">
        <f t="shared" ref="T87" si="414">S87/1000</f>
        <v>-8.6025282164029946</v>
      </c>
    </row>
    <row r="88" spans="1:20" x14ac:dyDescent="0.25">
      <c r="A88" s="5">
        <v>44505</v>
      </c>
      <c r="B88">
        <v>1.165</v>
      </c>
      <c r="C88">
        <v>1.1896</v>
      </c>
      <c r="D88">
        <v>1.1140000000000001</v>
      </c>
      <c r="E88">
        <v>1.1261000000000001</v>
      </c>
      <c r="F88">
        <v>9510447</v>
      </c>
      <c r="G88">
        <v>1.1261000000000001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-0.67989417989417944</v>
      </c>
      <c r="Q88">
        <f t="shared" ref="Q88" si="416">F88*P88</f>
        <v>-6466097.5634920588</v>
      </c>
      <c r="R88">
        <f t="shared" ref="R88" si="417">R89+Q88</f>
        <v>-862284755.37216759</v>
      </c>
      <c r="S88">
        <f t="shared" ref="S88" si="418">R88/100000</f>
        <v>-8622.8475537216764</v>
      </c>
      <c r="T88">
        <f t="shared" ref="T88" si="419">S88/1000</f>
        <v>-8.6228475537216767</v>
      </c>
    </row>
    <row r="89" spans="1:20" x14ac:dyDescent="0.25">
      <c r="A89" s="5">
        <v>44504</v>
      </c>
      <c r="B89">
        <v>1.1819</v>
      </c>
      <c r="C89">
        <v>1.28</v>
      </c>
      <c r="D89">
        <v>1.1326000000000001</v>
      </c>
      <c r="E89">
        <v>1.1655</v>
      </c>
      <c r="F89">
        <v>21552572</v>
      </c>
      <c r="G89">
        <v>1.1655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-0.55359565807327094</v>
      </c>
      <c r="Q89">
        <f t="shared" ref="Q89" si="421">F89*P89</f>
        <v>-11931410.279511552</v>
      </c>
      <c r="R89">
        <f t="shared" ref="R89" si="422">R90+Q89</f>
        <v>-855818657.80867553</v>
      </c>
      <c r="S89">
        <f t="shared" ref="S89" si="423">R89/100000</f>
        <v>-8558.1865780867556</v>
      </c>
      <c r="T89">
        <f t="shared" ref="T89" si="424">S89/1000</f>
        <v>-8.5581865780867563</v>
      </c>
    </row>
    <row r="90" spans="1:20" x14ac:dyDescent="0.25">
      <c r="A90" s="5">
        <v>44503</v>
      </c>
      <c r="B90">
        <v>1.2413000000000001</v>
      </c>
      <c r="C90">
        <v>1.29</v>
      </c>
      <c r="D90">
        <v>1.1240000000000001</v>
      </c>
      <c r="E90">
        <v>1.1801999999999999</v>
      </c>
      <c r="F90">
        <v>19942585</v>
      </c>
      <c r="G90">
        <v>1.1801999999999999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-0.32289156626506227</v>
      </c>
      <c r="Q90">
        <f t="shared" ref="Q90" si="426">F90*P90</f>
        <v>-6439292.5060241371</v>
      </c>
      <c r="R90">
        <f t="shared" ref="R90" si="427">R91+Q90</f>
        <v>-843887247.52916396</v>
      </c>
      <c r="S90">
        <f t="shared" ref="S90" si="428">R90/100000</f>
        <v>-8438.8724752916387</v>
      </c>
      <c r="T90">
        <f t="shared" ref="T90" si="429">S90/1000</f>
        <v>-8.4388724752916389</v>
      </c>
    </row>
    <row r="91" spans="1:20" x14ac:dyDescent="0.25">
      <c r="A91" s="5">
        <v>44502</v>
      </c>
      <c r="B91">
        <v>1.1265000000000001</v>
      </c>
      <c r="C91">
        <v>1.2749999999999999</v>
      </c>
      <c r="D91">
        <v>1.1120000000000001</v>
      </c>
      <c r="E91">
        <v>1.24</v>
      </c>
      <c r="F91">
        <v>30855701</v>
      </c>
      <c r="G91">
        <v>1.24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0.57055214723926428</v>
      </c>
      <c r="Q91">
        <f t="shared" ref="Q91" si="431">F91*P91</f>
        <v>17604786.460122716</v>
      </c>
      <c r="R91">
        <f t="shared" ref="R91" si="432">R92+Q91</f>
        <v>-837447955.02313983</v>
      </c>
      <c r="S91">
        <f t="shared" ref="S91" si="433">R91/100000</f>
        <v>-8374.4795502313991</v>
      </c>
      <c r="T91">
        <f t="shared" ref="T91" si="434">S91/1000</f>
        <v>-8.3744795502313991</v>
      </c>
    </row>
    <row r="92" spans="1:20" x14ac:dyDescent="0.25">
      <c r="A92" s="5">
        <v>44501</v>
      </c>
      <c r="B92">
        <v>1.0698000000000001</v>
      </c>
      <c r="C92">
        <v>1.228</v>
      </c>
      <c r="D92">
        <v>1</v>
      </c>
      <c r="E92">
        <v>1.1251</v>
      </c>
      <c r="F92">
        <v>59458356</v>
      </c>
      <c r="G92">
        <v>1.1251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9.7368421052631576E-2</v>
      </c>
      <c r="Q92">
        <f t="shared" ref="Q92" si="436">F92*P92</f>
        <v>5789366.2421052633</v>
      </c>
      <c r="R92">
        <f t="shared" ref="R92" si="437">R93+Q92</f>
        <v>-855052741.48326254</v>
      </c>
      <c r="S92">
        <f t="shared" ref="S92" si="438">R92/100000</f>
        <v>-8550.5274148326262</v>
      </c>
      <c r="T92">
        <f t="shared" ref="T92" si="439">S92/1000</f>
        <v>-8.5505274148326258</v>
      </c>
    </row>
    <row r="93" spans="1:20" x14ac:dyDescent="0.25">
      <c r="A93" s="5">
        <v>44500</v>
      </c>
      <c r="B93">
        <v>1.0038</v>
      </c>
      <c r="C93">
        <v>1.0818000000000001</v>
      </c>
      <c r="D93">
        <v>0.98019999999999996</v>
      </c>
      <c r="E93">
        <v>1.069</v>
      </c>
      <c r="F93">
        <v>21584898</v>
      </c>
      <c r="G93">
        <v>1.069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0.74803149606298958</v>
      </c>
      <c r="Q93">
        <f t="shared" ref="Q93" si="441">F93*P93</f>
        <v>16146183.543307032</v>
      </c>
      <c r="R93">
        <f t="shared" ref="R93" si="442">R94+Q93</f>
        <v>-860842107.72536778</v>
      </c>
      <c r="S93">
        <f t="shared" ref="S93" si="443">R93/100000</f>
        <v>-8608.4210772536771</v>
      </c>
      <c r="T93">
        <f t="shared" ref="T93" si="444">S93/1000</f>
        <v>-8.6084210772536771</v>
      </c>
    </row>
    <row r="94" spans="1:20" x14ac:dyDescent="0.25">
      <c r="A94" s="5">
        <v>44499</v>
      </c>
      <c r="B94">
        <v>1.0279</v>
      </c>
      <c r="C94">
        <v>1.0335000000000001</v>
      </c>
      <c r="D94">
        <v>0.96809999999999996</v>
      </c>
      <c r="E94">
        <v>1.0041</v>
      </c>
      <c r="F94">
        <v>15125943</v>
      </c>
      <c r="G94">
        <v>1.0041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0.10091743119265943</v>
      </c>
      <c r="Q94">
        <f t="shared" ref="Q94" si="446">F94*P94</f>
        <v>1526471.3119265886</v>
      </c>
      <c r="R94">
        <f t="shared" ref="R94" si="447">R95+Q94</f>
        <v>-876988291.26867485</v>
      </c>
      <c r="S94">
        <f t="shared" ref="S94" si="448">R94/100000</f>
        <v>-8769.8829126867477</v>
      </c>
      <c r="T94">
        <f t="shared" ref="T94" si="449">S94/1000</f>
        <v>-8.7698829126867484</v>
      </c>
    </row>
    <row r="95" spans="1:20" x14ac:dyDescent="0.25">
      <c r="A95" s="5">
        <v>44498</v>
      </c>
      <c r="B95">
        <v>0.9849</v>
      </c>
      <c r="C95">
        <v>1.0392999999999999</v>
      </c>
      <c r="D95">
        <v>0.9778</v>
      </c>
      <c r="E95">
        <v>1.0288999999999999</v>
      </c>
      <c r="F95">
        <v>14534475</v>
      </c>
      <c r="G95">
        <v>1.0288999999999999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0.66178861788617938</v>
      </c>
      <c r="Q95">
        <f t="shared" ref="Q95" si="451">F95*P95</f>
        <v>9618750.1219512261</v>
      </c>
      <c r="R95">
        <f t="shared" ref="R95" si="452">R96+Q95</f>
        <v>-878514762.58060145</v>
      </c>
      <c r="S95">
        <f t="shared" ref="S95" si="453">R95/100000</f>
        <v>-8785.1476258060138</v>
      </c>
      <c r="T95">
        <f t="shared" ref="T95" si="454">S95/1000</f>
        <v>-8.7851476258060135</v>
      </c>
    </row>
    <row r="96" spans="1:20" x14ac:dyDescent="0.25">
      <c r="A96" s="5">
        <v>44497</v>
      </c>
      <c r="B96">
        <v>0.96089999999999998</v>
      </c>
      <c r="C96">
        <v>1.0249999999999999</v>
      </c>
      <c r="D96">
        <v>0.9375</v>
      </c>
      <c r="E96">
        <v>0.9849</v>
      </c>
      <c r="F96">
        <v>20387201</v>
      </c>
      <c r="G96">
        <v>0.9849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8.3428571428572476E-2</v>
      </c>
      <c r="Q96">
        <f t="shared" ref="Q96" si="456">F96*P96</f>
        <v>1700875.0548571642</v>
      </c>
      <c r="R96">
        <f t="shared" ref="R96" si="457">R97+Q96</f>
        <v>-888133512.70255268</v>
      </c>
      <c r="S96">
        <f t="shared" ref="S96" si="458">R96/100000</f>
        <v>-8881.3351270255262</v>
      </c>
      <c r="T96">
        <f t="shared" ref="T96" si="459">S96/1000</f>
        <v>-8.8813351270255261</v>
      </c>
    </row>
    <row r="97" spans="1:20" x14ac:dyDescent="0.25">
      <c r="A97" s="5">
        <v>44496</v>
      </c>
      <c r="B97">
        <v>1.1011</v>
      </c>
      <c r="C97">
        <v>1.2222</v>
      </c>
      <c r="D97">
        <v>0.89500000000000002</v>
      </c>
      <c r="E97">
        <v>0.96030000000000004</v>
      </c>
      <c r="F97">
        <v>41014206</v>
      </c>
      <c r="G97">
        <v>0.96030000000000004</v>
      </c>
      <c r="L97" t="s">
        <v>8</v>
      </c>
      <c r="M97" t="s">
        <v>8</v>
      </c>
      <c r="N97" t="s">
        <v>7</v>
      </c>
      <c r="P97">
        <f t="shared" ref="P97" si="460">IF(C97=D97,0,((E97-D97)-(C97-E97))/(C97-D97))</f>
        <v>-0.60085574572127121</v>
      </c>
      <c r="Q97">
        <f t="shared" ref="Q97" si="461">F97*P97</f>
        <v>-24643621.331295837</v>
      </c>
      <c r="R97">
        <f t="shared" ref="R97" si="462">R98+Q97</f>
        <v>-889834387.75740981</v>
      </c>
      <c r="S97">
        <f t="shared" ref="S97" si="463">R97/100000</f>
        <v>-8898.3438775740979</v>
      </c>
      <c r="T97">
        <f t="shared" ref="T97" si="464">S97/1000</f>
        <v>-8.8983438775740975</v>
      </c>
    </row>
    <row r="98" spans="1:20" x14ac:dyDescent="0.25">
      <c r="A98" s="5">
        <v>44495</v>
      </c>
      <c r="B98">
        <v>1.0609999999999999</v>
      </c>
      <c r="C98">
        <v>1.1349</v>
      </c>
      <c r="D98">
        <v>1.0518000000000001</v>
      </c>
      <c r="E98">
        <v>1.1009</v>
      </c>
      <c r="F98">
        <v>17927519</v>
      </c>
      <c r="G98">
        <v>1.1009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0.18170878459687004</v>
      </c>
      <c r="Q98">
        <f t="shared" ref="Q98" si="466">F98*P98</f>
        <v>3257587.6883272948</v>
      </c>
      <c r="R98">
        <f t="shared" ref="R98" si="467">R99+Q98</f>
        <v>-865190766.42611396</v>
      </c>
      <c r="S98">
        <f t="shared" ref="S98" si="468">R98/100000</f>
        <v>-8651.9076642611399</v>
      </c>
      <c r="T98">
        <f t="shared" ref="T98" si="469">S98/1000</f>
        <v>-8.6519076642611399</v>
      </c>
    </row>
    <row r="99" spans="1:20" x14ac:dyDescent="0.25">
      <c r="A99" s="5">
        <v>44494</v>
      </c>
      <c r="B99">
        <v>1.0387</v>
      </c>
      <c r="C99">
        <v>1.0769</v>
      </c>
      <c r="D99">
        <v>1.0306</v>
      </c>
      <c r="E99">
        <v>1.0611999999999999</v>
      </c>
      <c r="F99">
        <v>7786751</v>
      </c>
      <c r="G99">
        <v>1.0611999999999999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0.32181425485960929</v>
      </c>
      <c r="Q99">
        <f t="shared" ref="Q99" si="471">F99*P99</f>
        <v>2505887.4708423177</v>
      </c>
      <c r="R99">
        <f t="shared" ref="R99" si="472">R100+Q99</f>
        <v>-868448354.11444128</v>
      </c>
      <c r="S99">
        <f t="shared" ref="S99" si="473">R99/100000</f>
        <v>-8684.4835411444128</v>
      </c>
      <c r="T99">
        <f t="shared" ref="T99" si="474">S99/1000</f>
        <v>-8.684483541144413</v>
      </c>
    </row>
    <row r="100" spans="1:20" x14ac:dyDescent="0.25">
      <c r="A100" s="5">
        <v>44493</v>
      </c>
      <c r="B100">
        <v>1.0932999999999999</v>
      </c>
      <c r="C100">
        <v>1.1000000000000001</v>
      </c>
      <c r="D100">
        <v>1.01</v>
      </c>
      <c r="E100">
        <v>1.038</v>
      </c>
      <c r="F100">
        <v>8086556</v>
      </c>
      <c r="G100">
        <v>1.038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-0.37777777777777777</v>
      </c>
      <c r="Q100">
        <f t="shared" ref="Q100" si="476">F100*P100</f>
        <v>-3054921.1555555556</v>
      </c>
      <c r="R100">
        <f t="shared" ref="R100" si="477">R101+Q100</f>
        <v>-870954241.58528364</v>
      </c>
      <c r="S100">
        <f t="shared" ref="S100" si="478">R100/100000</f>
        <v>-8709.5424158528367</v>
      </c>
      <c r="T100">
        <f t="shared" ref="T100" si="479">S100/1000</f>
        <v>-8.7095424158528374</v>
      </c>
    </row>
    <row r="101" spans="1:20" x14ac:dyDescent="0.25">
      <c r="A101" s="5">
        <v>44492</v>
      </c>
      <c r="B101">
        <v>1.0898000000000001</v>
      </c>
      <c r="C101">
        <v>1.1061000000000001</v>
      </c>
      <c r="D101">
        <v>1.0557000000000001</v>
      </c>
      <c r="E101">
        <v>1.0936999999999999</v>
      </c>
      <c r="F101">
        <v>5974095</v>
      </c>
      <c r="G101">
        <v>1.0936999999999999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0.50793650793650047</v>
      </c>
      <c r="Q101">
        <f t="shared" ref="Q101" si="481">F101*P101</f>
        <v>3034460.9523809077</v>
      </c>
      <c r="R101">
        <f t="shared" ref="R101" si="482">R102+Q101</f>
        <v>-867899320.42972803</v>
      </c>
      <c r="S101">
        <f t="shared" ref="S101" si="483">R101/100000</f>
        <v>-8678.9932042972796</v>
      </c>
      <c r="T101">
        <f t="shared" ref="T101" si="484">S101/1000</f>
        <v>-8.6789932042972797</v>
      </c>
    </row>
    <row r="102" spans="1:20" x14ac:dyDescent="0.25">
      <c r="A102" s="5">
        <v>44491</v>
      </c>
      <c r="B102">
        <v>1.0860000000000001</v>
      </c>
      <c r="C102">
        <v>1.1267</v>
      </c>
      <c r="D102">
        <v>1.0659000000000001</v>
      </c>
      <c r="E102">
        <v>1.0898000000000001</v>
      </c>
      <c r="F102">
        <v>10150175</v>
      </c>
      <c r="G102">
        <v>1.0898000000000001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-0.21381578947368271</v>
      </c>
      <c r="Q102">
        <f t="shared" ref="Q102" si="486">F102*P102</f>
        <v>-2170267.6809210372</v>
      </c>
      <c r="R102">
        <f t="shared" ref="R102" si="487">R103+Q102</f>
        <v>-870933781.38210893</v>
      </c>
      <c r="S102">
        <f t="shared" ref="S102" si="488">R102/100000</f>
        <v>-8709.3378138210901</v>
      </c>
      <c r="T102">
        <f t="shared" ref="T102" si="489">S102/1000</f>
        <v>-8.7093378138210902</v>
      </c>
    </row>
    <row r="103" spans="1:20" x14ac:dyDescent="0.25">
      <c r="A103" s="5">
        <v>44490</v>
      </c>
      <c r="B103">
        <v>1.1511</v>
      </c>
      <c r="C103">
        <v>1.1759999999999999</v>
      </c>
      <c r="D103">
        <v>1.07</v>
      </c>
      <c r="E103">
        <v>1.0860000000000001</v>
      </c>
      <c r="F103">
        <v>15458776</v>
      </c>
      <c r="G103">
        <v>1.0860000000000001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-0.69811320754716921</v>
      </c>
      <c r="Q103">
        <f t="shared" ref="Q103" si="491">F103*P103</f>
        <v>-10791975.698113197</v>
      </c>
      <c r="R103">
        <f t="shared" ref="R103" si="492">R104+Q103</f>
        <v>-868763513.70118785</v>
      </c>
      <c r="S103">
        <f t="shared" ref="S103" si="493">R103/100000</f>
        <v>-8687.6351370118791</v>
      </c>
      <c r="T103">
        <f t="shared" ref="T103" si="494">S103/1000</f>
        <v>-8.6876351370118794</v>
      </c>
    </row>
    <row r="104" spans="1:20" x14ac:dyDescent="0.25">
      <c r="A104" s="5">
        <v>44489</v>
      </c>
      <c r="B104">
        <v>1.0755999999999999</v>
      </c>
      <c r="C104">
        <v>1.1740999999999999</v>
      </c>
      <c r="D104">
        <v>1.0487</v>
      </c>
      <c r="E104">
        <v>1.1494</v>
      </c>
      <c r="F104">
        <v>22010692</v>
      </c>
      <c r="G104">
        <v>1.1494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0.60606060606060685</v>
      </c>
      <c r="Q104">
        <f t="shared" ref="Q104" si="496">F104*P104</f>
        <v>13339813.333333351</v>
      </c>
      <c r="R104">
        <f t="shared" ref="R104" si="497">R105+Q104</f>
        <v>-857971538.00307465</v>
      </c>
      <c r="S104">
        <f t="shared" ref="S104" si="498">R104/100000</f>
        <v>-8579.715380030746</v>
      </c>
      <c r="T104">
        <f t="shared" ref="T104" si="499">S104/1000</f>
        <v>-8.5797153800307466</v>
      </c>
    </row>
    <row r="105" spans="1:20" x14ac:dyDescent="0.25">
      <c r="A105" s="5">
        <v>44488</v>
      </c>
      <c r="B105">
        <v>1.0517000000000001</v>
      </c>
      <c r="C105">
        <v>1.099</v>
      </c>
      <c r="D105">
        <v>1.0402</v>
      </c>
      <c r="E105">
        <v>1.0733999999999999</v>
      </c>
      <c r="F105">
        <v>10444848</v>
      </c>
      <c r="G105">
        <v>1.0733999999999999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0.12925170068026928</v>
      </c>
      <c r="Q105">
        <f t="shared" ref="Q105" si="501">F105*P105</f>
        <v>1350014.3673469094</v>
      </c>
      <c r="R105">
        <f t="shared" ref="R105" si="502">R106+Q105</f>
        <v>-871311351.33640802</v>
      </c>
      <c r="S105">
        <f t="shared" ref="S105" si="503">R105/100000</f>
        <v>-8713.1135133640801</v>
      </c>
      <c r="T105">
        <f t="shared" ref="T105" si="504">S105/1000</f>
        <v>-8.71311351336408</v>
      </c>
    </row>
    <row r="106" spans="1:20" x14ac:dyDescent="0.25">
      <c r="A106" s="5">
        <v>44487</v>
      </c>
      <c r="B106">
        <v>1.08</v>
      </c>
      <c r="C106">
        <v>1.109</v>
      </c>
      <c r="D106">
        <v>1.0232000000000001</v>
      </c>
      <c r="E106">
        <v>1.0529999999999999</v>
      </c>
      <c r="F106">
        <v>9833459</v>
      </c>
      <c r="G106">
        <v>1.0529999999999999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-0.3053613053613084</v>
      </c>
      <c r="Q106">
        <f t="shared" ref="Q106" si="506">F106*P106</f>
        <v>-3002757.8764569066</v>
      </c>
      <c r="R106">
        <f t="shared" ref="R106" si="507">R107+Q106</f>
        <v>-872661365.7037549</v>
      </c>
      <c r="S106">
        <f t="shared" ref="S106" si="508">R106/100000</f>
        <v>-8726.6136570375493</v>
      </c>
      <c r="T106">
        <f t="shared" ref="T106" si="509">S106/1000</f>
        <v>-8.7266136570375501</v>
      </c>
    </row>
    <row r="107" spans="1:20" x14ac:dyDescent="0.25">
      <c r="A107" s="5">
        <v>44486</v>
      </c>
      <c r="B107">
        <v>1.1649</v>
      </c>
      <c r="C107">
        <v>1.2153</v>
      </c>
      <c r="D107">
        <v>1.0313000000000001</v>
      </c>
      <c r="E107">
        <v>1.08</v>
      </c>
      <c r="F107">
        <v>35119642</v>
      </c>
      <c r="G107">
        <v>1.08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-0.4706521739130437</v>
      </c>
      <c r="Q107">
        <f t="shared" ref="Q107" si="511">F107*P107</f>
        <v>-16529135.854347834</v>
      </c>
      <c r="R107">
        <f t="shared" ref="R107" si="512">R108+Q107</f>
        <v>-869658607.82729805</v>
      </c>
      <c r="S107">
        <f t="shared" ref="S107" si="513">R107/100000</f>
        <v>-8696.5860782729796</v>
      </c>
      <c r="T107">
        <f t="shared" ref="T107" si="514">S107/1000</f>
        <v>-8.6965860782729791</v>
      </c>
    </row>
    <row r="108" spans="1:20" x14ac:dyDescent="0.25">
      <c r="A108" s="5">
        <v>44485</v>
      </c>
      <c r="B108">
        <v>1.032</v>
      </c>
      <c r="C108">
        <v>1.19</v>
      </c>
      <c r="D108">
        <v>1.0150999999999999</v>
      </c>
      <c r="E108">
        <v>1.1637999999999999</v>
      </c>
      <c r="F108">
        <v>39977417</v>
      </c>
      <c r="G108">
        <v>1.1637999999999999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0.7004002287021156</v>
      </c>
      <c r="Q108">
        <f t="shared" ref="Q108" si="516">F108*P108</f>
        <v>28000192.009719845</v>
      </c>
      <c r="R108">
        <f t="shared" ref="R108" si="517">R109+Q108</f>
        <v>-853129471.97295022</v>
      </c>
      <c r="S108">
        <f t="shared" ref="S108" si="518">R108/100000</f>
        <v>-8531.2947197295016</v>
      </c>
      <c r="T108">
        <f t="shared" ref="T108" si="519">S108/1000</f>
        <v>-8.5312947197295017</v>
      </c>
    </row>
    <row r="109" spans="1:20" x14ac:dyDescent="0.25">
      <c r="A109" s="5">
        <v>44484</v>
      </c>
      <c r="B109">
        <v>0.98899999999999999</v>
      </c>
      <c r="C109">
        <v>1.1385000000000001</v>
      </c>
      <c r="D109">
        <v>0.9587</v>
      </c>
      <c r="E109">
        <v>1.0313000000000001</v>
      </c>
      <c r="F109">
        <v>40683474</v>
      </c>
      <c r="G109">
        <v>1.0313000000000001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-0.192436040044493</v>
      </c>
      <c r="Q109">
        <f t="shared" ref="Q109" si="521">F109*P109</f>
        <v>-7828966.6318130894</v>
      </c>
      <c r="R109">
        <f t="shared" ref="R109" si="522">R110+Q109</f>
        <v>-881129663.98267007</v>
      </c>
      <c r="S109">
        <f t="shared" ref="S109" si="523">R109/100000</f>
        <v>-8811.2966398266999</v>
      </c>
      <c r="T109">
        <f t="shared" ref="T109" si="524">S109/1000</f>
        <v>-8.8112966398267005</v>
      </c>
    </row>
    <row r="110" spans="1:20" x14ac:dyDescent="0.25">
      <c r="A110" s="5">
        <v>44483</v>
      </c>
      <c r="B110">
        <v>0.96819999999999995</v>
      </c>
      <c r="C110">
        <v>1.0599000000000001</v>
      </c>
      <c r="D110">
        <v>0.95699999999999996</v>
      </c>
      <c r="E110">
        <v>0.98980000000000001</v>
      </c>
      <c r="F110">
        <v>22783148</v>
      </c>
      <c r="G110">
        <v>0.98980000000000001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-0.36248785228377028</v>
      </c>
      <c r="Q110">
        <f t="shared" ref="Q110" si="526">F110*P110</f>
        <v>-8258614.3867832767</v>
      </c>
      <c r="R110">
        <f t="shared" ref="R110" si="527">R111+Q110</f>
        <v>-873300697.35085702</v>
      </c>
      <c r="S110">
        <f t="shared" ref="S110" si="528">R110/100000</f>
        <v>-8733.0069735085708</v>
      </c>
      <c r="T110">
        <f t="shared" ref="T110" si="529">S110/1000</f>
        <v>-8.7330069735085711</v>
      </c>
    </row>
    <row r="111" spans="1:20" x14ac:dyDescent="0.25">
      <c r="A111" s="5">
        <v>44482</v>
      </c>
      <c r="B111">
        <v>0.93469999999999998</v>
      </c>
      <c r="C111">
        <v>0.98199999999999998</v>
      </c>
      <c r="D111">
        <v>0.91139999999999999</v>
      </c>
      <c r="E111">
        <v>0.96819999999999995</v>
      </c>
      <c r="F111">
        <v>14423763</v>
      </c>
      <c r="G111">
        <v>0.96819999999999995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0.60906515580736442</v>
      </c>
      <c r="Q111">
        <f t="shared" ref="Q111" si="531">F111*P111</f>
        <v>8785011.4589234982</v>
      </c>
      <c r="R111">
        <f t="shared" ref="R111" si="532">R112+Q111</f>
        <v>-865042082.96407378</v>
      </c>
      <c r="S111">
        <f t="shared" ref="S111" si="533">R111/100000</f>
        <v>-8650.4208296407378</v>
      </c>
      <c r="T111">
        <f t="shared" ref="T111" si="534">S111/1000</f>
        <v>-8.650420829640737</v>
      </c>
    </row>
    <row r="112" spans="1:20" x14ac:dyDescent="0.25">
      <c r="A112" s="5">
        <v>44481</v>
      </c>
      <c r="B112">
        <v>0.93940000000000001</v>
      </c>
      <c r="C112">
        <v>0.94399999999999995</v>
      </c>
      <c r="D112">
        <v>0.86799999999999999</v>
      </c>
      <c r="E112">
        <v>0.93469999999999998</v>
      </c>
      <c r="F112">
        <v>13528257</v>
      </c>
      <c r="G112">
        <v>0.93469999999999998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0.75526315789473741</v>
      </c>
      <c r="Q112">
        <f t="shared" ref="Q112" si="536">F112*P112</f>
        <v>10217394.102631588</v>
      </c>
      <c r="R112">
        <f t="shared" ref="R112" si="537">R113+Q112</f>
        <v>-873827094.42299724</v>
      </c>
      <c r="S112">
        <f t="shared" ref="S112" si="538">R112/100000</f>
        <v>-8738.2709442299729</v>
      </c>
      <c r="T112">
        <f t="shared" ref="T112" si="539">S112/1000</f>
        <v>-8.7382709442299724</v>
      </c>
    </row>
    <row r="113" spans="1:20" x14ac:dyDescent="0.25">
      <c r="A113" s="5">
        <v>44480</v>
      </c>
      <c r="B113">
        <v>0.96740000000000004</v>
      </c>
      <c r="C113">
        <v>0.99970000000000003</v>
      </c>
      <c r="D113">
        <v>0.90590000000000004</v>
      </c>
      <c r="E113">
        <v>0.93940000000000001</v>
      </c>
      <c r="F113">
        <v>14866418</v>
      </c>
      <c r="G113">
        <v>0.93940000000000001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-0.2857142857142862</v>
      </c>
      <c r="Q113">
        <f t="shared" ref="Q113" si="541">F113*P113</f>
        <v>-4247548.0000000075</v>
      </c>
      <c r="R113">
        <f t="shared" ref="R113" si="542">R114+Q113</f>
        <v>-884044488.52562881</v>
      </c>
      <c r="S113">
        <f t="shared" ref="S113" si="543">R113/100000</f>
        <v>-8840.4448852562873</v>
      </c>
      <c r="T113">
        <f t="shared" ref="T113" si="544">S113/1000</f>
        <v>-8.8404448852562876</v>
      </c>
    </row>
    <row r="114" spans="1:20" x14ac:dyDescent="0.25">
      <c r="A114" s="5">
        <v>44479</v>
      </c>
      <c r="B114">
        <v>0.99629999999999996</v>
      </c>
      <c r="C114">
        <v>1.097</v>
      </c>
      <c r="D114">
        <v>0.95830000000000004</v>
      </c>
      <c r="E114">
        <v>0.96819999999999995</v>
      </c>
      <c r="F114">
        <v>36440072</v>
      </c>
      <c r="G114">
        <v>0.96819999999999995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-0.85724585436193346</v>
      </c>
      <c r="Q114">
        <f t="shared" ref="Q114" si="546">F114*P114</f>
        <v>-31238100.654650368</v>
      </c>
      <c r="R114">
        <f t="shared" ref="R114" si="547">R115+Q114</f>
        <v>-879796940.52562881</v>
      </c>
      <c r="S114">
        <f t="shared" ref="S114" si="548">R114/100000</f>
        <v>-8797.9694052562882</v>
      </c>
      <c r="T114">
        <f t="shared" ref="T114" si="549">S114/1000</f>
        <v>-8.7979694052562873</v>
      </c>
    </row>
    <row r="115" spans="1:20" x14ac:dyDescent="0.25">
      <c r="A115" s="5">
        <v>44478</v>
      </c>
      <c r="B115">
        <v>0.98629999999999995</v>
      </c>
      <c r="C115">
        <v>1.0346</v>
      </c>
      <c r="D115">
        <v>0.9778</v>
      </c>
      <c r="E115">
        <v>0.99490000000000001</v>
      </c>
      <c r="F115">
        <v>10997387</v>
      </c>
      <c r="G115">
        <v>0.99490000000000001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-0.39788732394366144</v>
      </c>
      <c r="Q115">
        <f t="shared" ref="Q115" si="551">F115*P115</f>
        <v>-4375720.8838028107</v>
      </c>
      <c r="R115">
        <f t="shared" ref="R115" si="552">R116+Q115</f>
        <v>-848558839.87097847</v>
      </c>
      <c r="S115">
        <f t="shared" ref="S115" si="553">R115/100000</f>
        <v>-8485.5883987097841</v>
      </c>
      <c r="T115">
        <f t="shared" ref="T115" si="554">S115/1000</f>
        <v>-8.4855883987097833</v>
      </c>
    </row>
    <row r="116" spans="1:20" x14ac:dyDescent="0.25">
      <c r="A116" s="5">
        <v>44477</v>
      </c>
      <c r="B116">
        <v>1.0061</v>
      </c>
      <c r="C116">
        <v>1.0443</v>
      </c>
      <c r="D116">
        <v>0.97430000000000005</v>
      </c>
      <c r="E116">
        <v>0.98629999999999995</v>
      </c>
      <c r="F116">
        <v>16490625</v>
      </c>
      <c r="G116">
        <v>0.98629999999999995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-0.6571428571428598</v>
      </c>
      <c r="Q116">
        <f t="shared" ref="Q116" si="556">F116*P116</f>
        <v>-10836696.428571472</v>
      </c>
      <c r="R116">
        <f t="shared" ref="R116" si="557">R117+Q116</f>
        <v>-844183118.9871757</v>
      </c>
      <c r="S116">
        <f t="shared" ref="S116" si="558">R116/100000</f>
        <v>-8441.8311898717566</v>
      </c>
      <c r="T116">
        <f t="shared" ref="T116" si="559">S116/1000</f>
        <v>-8.4418311898717562</v>
      </c>
    </row>
    <row r="117" spans="1:20" x14ac:dyDescent="0.25">
      <c r="A117" s="5">
        <v>44476</v>
      </c>
      <c r="B117">
        <v>0.98250000000000004</v>
      </c>
      <c r="C117">
        <v>1.032</v>
      </c>
      <c r="D117">
        <v>0.94520000000000004</v>
      </c>
      <c r="E117">
        <v>1.0065999999999999</v>
      </c>
      <c r="F117">
        <v>22298766</v>
      </c>
      <c r="G117">
        <v>1.0065999999999999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0.41474654377879971</v>
      </c>
      <c r="Q117">
        <f t="shared" ref="Q117" si="561">F117*P117</f>
        <v>9248336.1290322114</v>
      </c>
      <c r="R117">
        <f t="shared" ref="R117" si="562">R118+Q117</f>
        <v>-833346422.55860424</v>
      </c>
      <c r="S117">
        <f t="shared" ref="S117" si="563">R117/100000</f>
        <v>-8333.4642255860417</v>
      </c>
      <c r="T117">
        <f t="shared" ref="T117" si="564">S117/1000</f>
        <v>-8.3334642255860416</v>
      </c>
    </row>
    <row r="118" spans="1:20" x14ac:dyDescent="0.25">
      <c r="A118" s="5">
        <v>44475</v>
      </c>
      <c r="B118">
        <v>1.0383</v>
      </c>
      <c r="C118">
        <v>1.0529999999999999</v>
      </c>
      <c r="D118">
        <v>0.95520000000000005</v>
      </c>
      <c r="E118">
        <v>0.98340000000000005</v>
      </c>
      <c r="F118">
        <v>21224680</v>
      </c>
      <c r="G118">
        <v>0.98340000000000005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-0.4233128834355821</v>
      </c>
      <c r="Q118">
        <f t="shared" ref="Q118" si="566">F118*P118</f>
        <v>-8984680.4907975309</v>
      </c>
      <c r="R118">
        <f t="shared" ref="R118" si="567">R119+Q118</f>
        <v>-842594758.68763649</v>
      </c>
      <c r="S118">
        <f t="shared" ref="S118" si="568">R118/100000</f>
        <v>-8425.9475868763657</v>
      </c>
      <c r="T118">
        <f t="shared" ref="T118" si="569">S118/1000</f>
        <v>-8.4259475868763651</v>
      </c>
    </row>
    <row r="119" spans="1:20" x14ac:dyDescent="0.25">
      <c r="A119" s="5">
        <v>44474</v>
      </c>
      <c r="B119">
        <v>1.0255000000000001</v>
      </c>
      <c r="C119">
        <v>1.0679000000000001</v>
      </c>
      <c r="D119">
        <v>0.99739999999999995</v>
      </c>
      <c r="E119">
        <v>1.0398000000000001</v>
      </c>
      <c r="F119">
        <v>17721513</v>
      </c>
      <c r="G119">
        <v>1.0398000000000001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0.20283687943262504</v>
      </c>
      <c r="Q119">
        <f t="shared" ref="Q119" si="571">F119*P119</f>
        <v>3594576.3957446972</v>
      </c>
      <c r="R119">
        <f t="shared" ref="R119" si="572">R120+Q119</f>
        <v>-833610078.19683897</v>
      </c>
      <c r="S119">
        <f t="shared" ref="S119" si="573">R119/100000</f>
        <v>-8336.1007819683891</v>
      </c>
      <c r="T119">
        <f t="shared" ref="T119" si="574">S119/1000</f>
        <v>-8.3361007819683888</v>
      </c>
    </row>
    <row r="120" spans="1:20" x14ac:dyDescent="0.25">
      <c r="A120" s="5">
        <v>44473</v>
      </c>
      <c r="B120">
        <v>1.0286</v>
      </c>
      <c r="C120">
        <v>1.1100000000000001</v>
      </c>
      <c r="D120">
        <v>0.97940000000000005</v>
      </c>
      <c r="E120">
        <v>1.0324</v>
      </c>
      <c r="F120">
        <v>36659763</v>
      </c>
      <c r="G120">
        <v>1.0324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-0.18836140888208397</v>
      </c>
      <c r="Q120">
        <f t="shared" ref="Q120" si="576">F120*P120</f>
        <v>-6905284.6079632929</v>
      </c>
      <c r="R120">
        <f t="shared" ref="R120" si="577">R121+Q120</f>
        <v>-837204654.59258366</v>
      </c>
      <c r="S120">
        <f t="shared" ref="S120" si="578">R120/100000</f>
        <v>-8372.0465459258357</v>
      </c>
      <c r="T120">
        <f t="shared" ref="T120" si="579">S120/1000</f>
        <v>-8.3720465459258353</v>
      </c>
    </row>
    <row r="121" spans="1:20" x14ac:dyDescent="0.25">
      <c r="A121" s="5">
        <v>44472</v>
      </c>
      <c r="B121">
        <v>0.97819999999999996</v>
      </c>
      <c r="C121">
        <v>1.0980000000000001</v>
      </c>
      <c r="D121">
        <v>0.94579999999999997</v>
      </c>
      <c r="E121">
        <v>1.0324</v>
      </c>
      <c r="F121">
        <v>38014154</v>
      </c>
      <c r="G121">
        <v>1.0324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0.13797634691195723</v>
      </c>
      <c r="Q121">
        <f t="shared" ref="Q121" si="581">F121*P121</f>
        <v>5245054.0998685667</v>
      </c>
      <c r="R121">
        <f t="shared" ref="R121" si="582">R122+Q121</f>
        <v>-830299369.98462033</v>
      </c>
      <c r="S121">
        <f t="shared" ref="S121" si="583">R121/100000</f>
        <v>-8302.9936998462035</v>
      </c>
      <c r="T121">
        <f t="shared" ref="T121" si="584">S121/1000</f>
        <v>-8.3029936998462031</v>
      </c>
    </row>
    <row r="122" spans="1:20" x14ac:dyDescent="0.25">
      <c r="A122" s="5">
        <v>44471</v>
      </c>
      <c r="B122">
        <v>0.90200000000000002</v>
      </c>
      <c r="C122">
        <v>1.0994999999999999</v>
      </c>
      <c r="D122">
        <v>0.88959999999999995</v>
      </c>
      <c r="E122">
        <v>0.97889999999999999</v>
      </c>
      <c r="F122">
        <v>56855827</v>
      </c>
      <c r="G122">
        <v>0.97889999999999999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-0.14911862791805569</v>
      </c>
      <c r="Q122">
        <f t="shared" ref="Q122" si="586">F122*P122</f>
        <v>-8478262.9113863446</v>
      </c>
      <c r="R122">
        <f t="shared" ref="R122" si="587">R123+Q122</f>
        <v>-835544424.08448887</v>
      </c>
      <c r="S122">
        <f t="shared" ref="S122" si="588">R122/100000</f>
        <v>-8355.4442408448886</v>
      </c>
      <c r="T122">
        <f t="shared" ref="T122" si="589">S122/1000</f>
        <v>-8.3554442408448892</v>
      </c>
    </row>
    <row r="123" spans="1:20" x14ac:dyDescent="0.25">
      <c r="A123" s="5">
        <v>44470</v>
      </c>
      <c r="B123">
        <v>0.82889999999999997</v>
      </c>
      <c r="C123">
        <v>0.91949999999999998</v>
      </c>
      <c r="D123">
        <v>0.82299999999999995</v>
      </c>
      <c r="E123">
        <v>0.90159999999999996</v>
      </c>
      <c r="F123">
        <v>20777347</v>
      </c>
      <c r="G123">
        <v>0.90159999999999996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0.62901554404145033</v>
      </c>
      <c r="Q123">
        <f t="shared" ref="Q123" si="591">F123*P123</f>
        <v>13069274.226942996</v>
      </c>
      <c r="R123">
        <f t="shared" ref="R123" si="592">R124+Q123</f>
        <v>-827066161.1731025</v>
      </c>
      <c r="S123">
        <f t="shared" ref="S123" si="593">R123/100000</f>
        <v>-8270.6616117310241</v>
      </c>
      <c r="T123">
        <f t="shared" ref="T123" si="594">S123/1000</f>
        <v>-8.2706616117310237</v>
      </c>
    </row>
    <row r="124" spans="1:20" x14ac:dyDescent="0.25">
      <c r="A124" s="5">
        <v>44469</v>
      </c>
      <c r="B124">
        <v>0.78039999999999998</v>
      </c>
      <c r="C124">
        <v>0.84099999999999997</v>
      </c>
      <c r="D124">
        <v>0.77600000000000002</v>
      </c>
      <c r="E124">
        <v>0.82879999999999998</v>
      </c>
      <c r="F124">
        <v>12193826</v>
      </c>
      <c r="G124">
        <v>0.82879999999999998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0.62461538461538468</v>
      </c>
      <c r="Q124">
        <f t="shared" ref="Q124" si="596">F124*P124</f>
        <v>7616451.3169230781</v>
      </c>
      <c r="R124">
        <f t="shared" ref="R124" si="597">R125+Q124</f>
        <v>-840135435.40004551</v>
      </c>
      <c r="S124">
        <f t="shared" ref="S124" si="598">R124/100000</f>
        <v>-8401.3543540004557</v>
      </c>
      <c r="T124">
        <f t="shared" ref="T124" si="599">S124/1000</f>
        <v>-8.4013543540004552</v>
      </c>
    </row>
    <row r="125" spans="1:20" x14ac:dyDescent="0.25">
      <c r="A125" s="5">
        <v>44468</v>
      </c>
      <c r="B125">
        <v>0.76380000000000003</v>
      </c>
      <c r="C125">
        <v>0.82799999999999996</v>
      </c>
      <c r="D125">
        <v>0.75770000000000004</v>
      </c>
      <c r="E125">
        <v>0.78080000000000005</v>
      </c>
      <c r="F125">
        <v>11271881</v>
      </c>
      <c r="G125">
        <v>0.78080000000000005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-0.34281650071123654</v>
      </c>
      <c r="Q125">
        <f t="shared" ref="Q125" si="601">F125*P125</f>
        <v>-3864186.8008534736</v>
      </c>
      <c r="R125">
        <f t="shared" ref="R125" si="602">R126+Q125</f>
        <v>-847751886.71696854</v>
      </c>
      <c r="S125">
        <f t="shared" ref="S125" si="603">R125/100000</f>
        <v>-8477.5188671696851</v>
      </c>
      <c r="T125">
        <f t="shared" ref="T125" si="604">S125/1000</f>
        <v>-8.4775188671696853</v>
      </c>
    </row>
    <row r="126" spans="1:20" x14ac:dyDescent="0.25">
      <c r="A126" s="5">
        <v>44467</v>
      </c>
      <c r="B126">
        <v>0.81079999999999997</v>
      </c>
      <c r="C126">
        <v>0.84560000000000002</v>
      </c>
      <c r="D126">
        <v>0.75900000000000001</v>
      </c>
      <c r="E126">
        <v>0.76490000000000002</v>
      </c>
      <c r="F126">
        <v>13536435</v>
      </c>
      <c r="G126">
        <v>0.76490000000000002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-0.86374133949191645</v>
      </c>
      <c r="Q126">
        <f t="shared" ref="Q126" si="606">F126*P126</f>
        <v>-11691978.498845261</v>
      </c>
      <c r="R126">
        <f t="shared" ref="R126" si="607">R127+Q126</f>
        <v>-843887699.91611505</v>
      </c>
      <c r="S126">
        <f t="shared" ref="S126" si="608">R126/100000</f>
        <v>-8438.8769991611498</v>
      </c>
      <c r="T126">
        <f t="shared" ref="T126" si="609">S126/1000</f>
        <v>-8.438876999161149</v>
      </c>
    </row>
    <row r="127" spans="1:20" x14ac:dyDescent="0.25">
      <c r="A127" s="5">
        <v>44466</v>
      </c>
      <c r="B127">
        <v>0.84809999999999997</v>
      </c>
      <c r="C127">
        <v>0.89470000000000005</v>
      </c>
      <c r="D127">
        <v>0.80930000000000002</v>
      </c>
      <c r="E127">
        <v>0.81120000000000003</v>
      </c>
      <c r="F127">
        <v>14467105</v>
      </c>
      <c r="G127">
        <v>0.81120000000000003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-0.95550351288056179</v>
      </c>
      <c r="Q127">
        <f t="shared" ref="Q127" si="611">F127*P127</f>
        <v>-13823369.64871194</v>
      </c>
      <c r="R127">
        <f t="shared" ref="R127" si="612">R128+Q127</f>
        <v>-832195721.41726983</v>
      </c>
      <c r="S127">
        <f t="shared" ref="S127" si="613">R127/100000</f>
        <v>-8321.9572141726985</v>
      </c>
      <c r="T127">
        <f t="shared" ref="T127" si="614">S127/1000</f>
        <v>-8.3219572141726985</v>
      </c>
    </row>
    <row r="128" spans="1:20" x14ac:dyDescent="0.25">
      <c r="A128" s="5">
        <v>44465</v>
      </c>
      <c r="B128">
        <v>0.89639999999999997</v>
      </c>
      <c r="C128">
        <v>0.89929999999999999</v>
      </c>
      <c r="D128">
        <v>0.79600000000000004</v>
      </c>
      <c r="E128">
        <v>0.84789999999999999</v>
      </c>
      <c r="F128">
        <v>19707612</v>
      </c>
      <c r="G128">
        <v>0.84789999999999999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4.8402710551785598E-3</v>
      </c>
      <c r="Q128">
        <f t="shared" ref="Q128" si="616">F128*P128</f>
        <v>95390.183930289641</v>
      </c>
      <c r="R128">
        <f t="shared" ref="R128" si="617">R129+Q128</f>
        <v>-818372351.76855791</v>
      </c>
      <c r="S128">
        <f t="shared" ref="S128" si="618">R128/100000</f>
        <v>-8183.7235176855793</v>
      </c>
      <c r="T128">
        <f t="shared" ref="T128" si="619">S128/1000</f>
        <v>-8.1837235176855785</v>
      </c>
    </row>
    <row r="129" spans="1:20" x14ac:dyDescent="0.25">
      <c r="A129" s="5">
        <v>44464</v>
      </c>
      <c r="B129">
        <v>0.9052</v>
      </c>
      <c r="C129">
        <v>0.9365</v>
      </c>
      <c r="D129">
        <v>0.87160000000000004</v>
      </c>
      <c r="E129">
        <v>0.89739999999999998</v>
      </c>
      <c r="F129">
        <v>16584342</v>
      </c>
      <c r="G129">
        <v>0.89739999999999998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-0.20493066255778272</v>
      </c>
      <c r="Q129">
        <f t="shared" ref="Q129" si="621">F129*P129</f>
        <v>-3398640.1941448636</v>
      </c>
      <c r="R129">
        <f t="shared" ref="R129" si="622">R130+Q129</f>
        <v>-818467741.95248818</v>
      </c>
      <c r="S129">
        <f t="shared" ref="S129" si="623">R129/100000</f>
        <v>-8184.6774195248818</v>
      </c>
      <c r="T129">
        <f t="shared" ref="T129" si="624">S129/1000</f>
        <v>-8.1846774195248813</v>
      </c>
    </row>
    <row r="130" spans="1:20" x14ac:dyDescent="0.25">
      <c r="A130" s="5">
        <v>44463</v>
      </c>
      <c r="B130">
        <v>1.0427999999999999</v>
      </c>
      <c r="C130">
        <v>1.0629</v>
      </c>
      <c r="D130">
        <v>0.85</v>
      </c>
      <c r="E130">
        <v>0.9052</v>
      </c>
      <c r="F130">
        <v>29412541</v>
      </c>
      <c r="G130">
        <v>0.9052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-0.48144668858619039</v>
      </c>
      <c r="Q130">
        <f t="shared" ref="Q130" si="626">F130*P130</f>
        <v>-14160570.467355557</v>
      </c>
      <c r="R130">
        <f t="shared" ref="R130" si="627">R131+Q130</f>
        <v>-815069101.75834334</v>
      </c>
      <c r="S130">
        <f t="shared" ref="S130" si="628">R130/100000</f>
        <v>-8150.6910175834337</v>
      </c>
      <c r="T130">
        <f t="shared" ref="T130" si="629">S130/1000</f>
        <v>-8.1506910175834335</v>
      </c>
    </row>
    <row r="131" spans="1:20" x14ac:dyDescent="0.25">
      <c r="A131" s="5">
        <v>44462</v>
      </c>
      <c r="B131">
        <v>0.96640000000000004</v>
      </c>
      <c r="C131">
        <v>1.0667</v>
      </c>
      <c r="D131">
        <v>0.94359999999999999</v>
      </c>
      <c r="E131">
        <v>1.0428999999999999</v>
      </c>
      <c r="F131">
        <v>24915452</v>
      </c>
      <c r="G131">
        <v>1.0428999999999999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0.61332250203086847</v>
      </c>
      <c r="Q131">
        <f t="shared" ref="Q131" si="631">F131*P131</f>
        <v>15281207.359870005</v>
      </c>
      <c r="R131">
        <f t="shared" ref="R131" si="632">R132+Q131</f>
        <v>-800908531.29098773</v>
      </c>
      <c r="S131">
        <f t="shared" ref="S131" si="633">R131/100000</f>
        <v>-8009.0853129098768</v>
      </c>
      <c r="T131">
        <f t="shared" ref="T131" si="634">S131/1000</f>
        <v>-8.0090853129098765</v>
      </c>
    </row>
    <row r="132" spans="1:20" x14ac:dyDescent="0.25">
      <c r="A132" s="5">
        <v>44461</v>
      </c>
      <c r="B132">
        <v>0.85419999999999996</v>
      </c>
      <c r="C132">
        <v>0.9859</v>
      </c>
      <c r="D132">
        <v>0.83499999999999996</v>
      </c>
      <c r="E132">
        <v>0.96630000000000005</v>
      </c>
      <c r="F132">
        <v>24323797</v>
      </c>
      <c r="G132">
        <v>0.96630000000000005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0.74022531477799935</v>
      </c>
      <c r="Q132">
        <f t="shared" ref="Q132" si="636">F132*P132</f>
        <v>18005090.290921155</v>
      </c>
      <c r="R132">
        <f t="shared" ref="R132" si="637">R133+Q132</f>
        <v>-816189738.65085769</v>
      </c>
      <c r="S132">
        <f t="shared" ref="S132" si="638">R132/100000</f>
        <v>-8161.8973865085773</v>
      </c>
      <c r="T132">
        <f t="shared" ref="T132" si="639">S132/1000</f>
        <v>-8.1618973865085778</v>
      </c>
    </row>
    <row r="133" spans="1:20" x14ac:dyDescent="0.25">
      <c r="A133" s="5">
        <v>44460</v>
      </c>
      <c r="B133">
        <v>0.97270000000000001</v>
      </c>
      <c r="C133">
        <v>1.0164</v>
      </c>
      <c r="D133">
        <v>0.83130000000000004</v>
      </c>
      <c r="E133">
        <v>0.85399999999999998</v>
      </c>
      <c r="F133">
        <v>25739333</v>
      </c>
      <c r="G133">
        <v>0.85399999999999998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-0.7547271745002706</v>
      </c>
      <c r="Q133">
        <f t="shared" ref="Q133" si="641">F133*P133</f>
        <v>-19426174.068611573</v>
      </c>
      <c r="R133">
        <f t="shared" ref="R133" si="642">R134+Q133</f>
        <v>-834194828.9417789</v>
      </c>
      <c r="S133">
        <f t="shared" ref="S133" si="643">R133/100000</f>
        <v>-8341.9482894177891</v>
      </c>
      <c r="T133">
        <f t="shared" ref="T133" si="644">S133/1000</f>
        <v>-8.3419482894177897</v>
      </c>
    </row>
    <row r="134" spans="1:20" x14ac:dyDescent="0.25">
      <c r="A134" s="5">
        <v>44459</v>
      </c>
      <c r="B134">
        <v>1.2235</v>
      </c>
      <c r="C134">
        <v>1.2713000000000001</v>
      </c>
      <c r="D134">
        <v>1.0071000000000001</v>
      </c>
      <c r="E134">
        <v>1.0353000000000001</v>
      </c>
      <c r="F134">
        <v>23774479</v>
      </c>
      <c r="G134">
        <v>1.0353000000000001</v>
      </c>
      <c r="L134" t="s">
        <v>8</v>
      </c>
      <c r="M134" t="s">
        <v>7</v>
      </c>
      <c r="N134" t="s">
        <v>8</v>
      </c>
      <c r="P134">
        <f t="shared" ref="P134" si="645">IF(C134=D134,0,((E134-D134)-(C134-E134))/(C134-D134))</f>
        <v>-0.78652535957607872</v>
      </c>
      <c r="Q134">
        <f t="shared" ref="Q134" si="646">F134*P134</f>
        <v>-18699230.644208934</v>
      </c>
      <c r="R134">
        <f t="shared" ref="R134" si="647">R135+Q134</f>
        <v>-814768654.87316728</v>
      </c>
      <c r="S134">
        <f t="shared" ref="S134" si="648">R134/100000</f>
        <v>-8147.6865487316727</v>
      </c>
      <c r="T134">
        <f t="shared" ref="T134" si="649">S134/1000</f>
        <v>-8.1476865487316719</v>
      </c>
    </row>
    <row r="135" spans="1:20" x14ac:dyDescent="0.25">
      <c r="A135" s="5">
        <v>44458</v>
      </c>
      <c r="B135">
        <v>1.2059</v>
      </c>
      <c r="C135">
        <v>1.2537</v>
      </c>
      <c r="D135">
        <v>1.1748000000000001</v>
      </c>
      <c r="E135">
        <v>1.2224999999999999</v>
      </c>
      <c r="F135">
        <v>21722009</v>
      </c>
      <c r="G135">
        <v>1.2224999999999999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0.20912547528516784</v>
      </c>
      <c r="Q135">
        <f t="shared" ref="Q135" si="651">F135*P135</f>
        <v>4542625.4562736936</v>
      </c>
      <c r="R135">
        <f t="shared" ref="R135" si="652">R136+Q135</f>
        <v>-796069424.22895837</v>
      </c>
      <c r="S135">
        <f t="shared" ref="S135" si="653">R135/100000</f>
        <v>-7960.6942422895836</v>
      </c>
      <c r="T135">
        <f t="shared" ref="T135" si="654">S135/1000</f>
        <v>-7.9606942422895832</v>
      </c>
    </row>
    <row r="136" spans="1:20" x14ac:dyDescent="0.25">
      <c r="A136" s="5">
        <v>44457</v>
      </c>
      <c r="B136">
        <v>1.1617999999999999</v>
      </c>
      <c r="C136">
        <v>1.26</v>
      </c>
      <c r="D136">
        <v>1.145</v>
      </c>
      <c r="E136">
        <v>1.2071000000000001</v>
      </c>
      <c r="F136">
        <v>23352012</v>
      </c>
      <c r="G136">
        <v>1.2071000000000001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8.0000000000000848E-2</v>
      </c>
      <c r="Q136">
        <f t="shared" ref="Q136" si="656">F136*P136</f>
        <v>1868160.9600000198</v>
      </c>
      <c r="R136">
        <f t="shared" ref="R136" si="657">R137+Q136</f>
        <v>-800612049.68523204</v>
      </c>
      <c r="S136">
        <f t="shared" ref="S136" si="658">R136/100000</f>
        <v>-8006.1204968523207</v>
      </c>
      <c r="T136">
        <f t="shared" ref="T136" si="659">S136/1000</f>
        <v>-8.0061204968523203</v>
      </c>
    </row>
    <row r="137" spans="1:20" x14ac:dyDescent="0.25">
      <c r="A137" s="5">
        <v>44456</v>
      </c>
      <c r="B137">
        <v>1.2588999999999999</v>
      </c>
      <c r="C137">
        <v>1.2675000000000001</v>
      </c>
      <c r="D137">
        <v>1.1318999999999999</v>
      </c>
      <c r="E137">
        <v>1.1611</v>
      </c>
      <c r="F137">
        <v>19440830</v>
      </c>
      <c r="G137">
        <v>1.1611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-0.56932153392330265</v>
      </c>
      <c r="Q137">
        <f t="shared" ref="Q137" si="661">F137*P137</f>
        <v>-11068083.15634216</v>
      </c>
      <c r="R137">
        <f t="shared" ref="R137" si="662">R138+Q137</f>
        <v>-802480210.64523208</v>
      </c>
      <c r="S137">
        <f t="shared" ref="S137" si="663">R137/100000</f>
        <v>-8024.8021064523209</v>
      </c>
      <c r="T137">
        <f t="shared" ref="T137" si="664">S137/1000</f>
        <v>-8.0248021064523201</v>
      </c>
    </row>
    <row r="138" spans="1:20" x14ac:dyDescent="0.25">
      <c r="A138" s="5">
        <v>44455</v>
      </c>
      <c r="B138">
        <v>1.2730999999999999</v>
      </c>
      <c r="C138">
        <v>1.3051999999999999</v>
      </c>
      <c r="D138">
        <v>1.2350000000000001</v>
      </c>
      <c r="E138">
        <v>1.2587999999999999</v>
      </c>
      <c r="F138">
        <v>23237084</v>
      </c>
      <c r="G138">
        <v>1.2587999999999999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-0.32193732193732527</v>
      </c>
      <c r="Q138">
        <f t="shared" ref="Q138" si="666">F138*P138</f>
        <v>-7480884.5925926697</v>
      </c>
      <c r="R138">
        <f t="shared" ref="R138" si="667">R139+Q138</f>
        <v>-791412127.48888993</v>
      </c>
      <c r="S138">
        <f t="shared" ref="S138" si="668">R138/100000</f>
        <v>-7914.1212748888993</v>
      </c>
      <c r="T138">
        <f t="shared" ref="T138" si="669">S138/1000</f>
        <v>-7.9141212748888989</v>
      </c>
    </row>
    <row r="139" spans="1:20" x14ac:dyDescent="0.25">
      <c r="A139" s="5">
        <v>44454</v>
      </c>
      <c r="B139">
        <v>1.3204</v>
      </c>
      <c r="C139">
        <v>1.3647</v>
      </c>
      <c r="D139">
        <v>1.2324999999999999</v>
      </c>
      <c r="E139">
        <v>1.2739</v>
      </c>
      <c r="F139">
        <v>28464619</v>
      </c>
      <c r="G139">
        <v>1.2739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-0.37367624810892475</v>
      </c>
      <c r="Q139">
        <f t="shared" ref="Q139" si="671">F139*P139</f>
        <v>-10636552.031770013</v>
      </c>
      <c r="R139">
        <f t="shared" ref="R139" si="672">R140+Q139</f>
        <v>-783931242.89629722</v>
      </c>
      <c r="S139">
        <f t="shared" ref="S139" si="673">R139/100000</f>
        <v>-7839.3124289629723</v>
      </c>
      <c r="T139">
        <f t="shared" ref="T139" si="674">S139/1000</f>
        <v>-7.8393124289629723</v>
      </c>
    </row>
    <row r="140" spans="1:20" x14ac:dyDescent="0.25">
      <c r="A140" s="5">
        <v>44453</v>
      </c>
      <c r="B140">
        <v>1.1556999999999999</v>
      </c>
      <c r="C140">
        <v>1.3386</v>
      </c>
      <c r="D140">
        <v>1.1254999999999999</v>
      </c>
      <c r="E140">
        <v>1.3197000000000001</v>
      </c>
      <c r="F140">
        <v>49132890</v>
      </c>
      <c r="G140">
        <v>1.3197000000000001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0.82261848897231427</v>
      </c>
      <c r="Q140">
        <f t="shared" ref="Q140" si="676">F140*P140</f>
        <v>40417623.73064293</v>
      </c>
      <c r="R140">
        <f t="shared" ref="R140" si="677">R141+Q140</f>
        <v>-773294690.86452723</v>
      </c>
      <c r="S140">
        <f t="shared" ref="S140" si="678">R140/100000</f>
        <v>-7732.9469086452718</v>
      </c>
      <c r="T140">
        <f t="shared" ref="T140" si="679">S140/1000</f>
        <v>-7.732946908645272</v>
      </c>
    </row>
    <row r="141" spans="1:20" x14ac:dyDescent="0.25">
      <c r="A141" s="5">
        <v>44452</v>
      </c>
      <c r="B141">
        <v>1.2626999999999999</v>
      </c>
      <c r="C141">
        <v>1.2873000000000001</v>
      </c>
      <c r="D141">
        <v>1.087</v>
      </c>
      <c r="E141">
        <v>1.1555</v>
      </c>
      <c r="F141">
        <v>34330626</v>
      </c>
      <c r="G141">
        <v>1.1555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-0.3160259610584128</v>
      </c>
      <c r="Q141">
        <f t="shared" ref="Q141" si="681">F141*P141</f>
        <v>-10849369.075386934</v>
      </c>
      <c r="R141">
        <f t="shared" ref="R141" si="682">R142+Q141</f>
        <v>-813712314.59517014</v>
      </c>
      <c r="S141">
        <f t="shared" ref="S141" si="683">R141/100000</f>
        <v>-8137.1231459517012</v>
      </c>
      <c r="T141">
        <f t="shared" ref="T141" si="684">S141/1000</f>
        <v>-8.1371231459517013</v>
      </c>
    </row>
    <row r="142" spans="1:20" x14ac:dyDescent="0.25">
      <c r="A142" s="5">
        <v>44451</v>
      </c>
      <c r="B142">
        <v>1.1161000000000001</v>
      </c>
      <c r="C142">
        <v>1.3998999999999999</v>
      </c>
      <c r="D142">
        <v>1.1114999999999999</v>
      </c>
      <c r="E142">
        <v>1.2626999999999999</v>
      </c>
      <c r="F142">
        <v>95833309</v>
      </c>
      <c r="G142">
        <v>1.2626999999999999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4.8543689320388397E-2</v>
      </c>
      <c r="Q142">
        <f t="shared" ref="Q142" si="686">F142*P142</f>
        <v>4652102.3786407812</v>
      </c>
      <c r="R142">
        <f t="shared" ref="R142" si="687">R143+Q142</f>
        <v>-802862945.51978326</v>
      </c>
      <c r="S142">
        <f t="shared" ref="S142" si="688">R142/100000</f>
        <v>-8028.6294551978326</v>
      </c>
      <c r="T142">
        <f t="shared" ref="T142" si="689">S142/1000</f>
        <v>-8.0286294551978319</v>
      </c>
    </row>
    <row r="143" spans="1:20" x14ac:dyDescent="0.25">
      <c r="A143" s="5">
        <v>44450</v>
      </c>
      <c r="B143">
        <v>1.0377000000000001</v>
      </c>
      <c r="C143">
        <v>1.173</v>
      </c>
      <c r="D143">
        <v>1.01</v>
      </c>
      <c r="E143">
        <v>1.1161000000000001</v>
      </c>
      <c r="F143">
        <v>33047404</v>
      </c>
      <c r="G143">
        <v>1.1161000000000001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0.30184049079754677</v>
      </c>
      <c r="Q143">
        <f t="shared" ref="Q143" si="691">F143*P143</f>
        <v>9975044.6429448109</v>
      </c>
      <c r="R143">
        <f t="shared" ref="R143" si="692">R144+Q143</f>
        <v>-807515047.89842403</v>
      </c>
      <c r="S143">
        <f t="shared" ref="S143" si="693">R143/100000</f>
        <v>-8075.1504789842402</v>
      </c>
      <c r="T143">
        <f t="shared" ref="T143" si="694">S143/1000</f>
        <v>-8.0751504789842397</v>
      </c>
    </row>
    <row r="144" spans="1:20" x14ac:dyDescent="0.25">
      <c r="A144" s="5">
        <v>44449</v>
      </c>
      <c r="B144">
        <v>1.1513</v>
      </c>
      <c r="C144">
        <v>1.2085999999999999</v>
      </c>
      <c r="D144">
        <v>1</v>
      </c>
      <c r="E144">
        <v>1.0384</v>
      </c>
      <c r="F144">
        <v>29965134</v>
      </c>
      <c r="G144">
        <v>1.0384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-0.6318312559923297</v>
      </c>
      <c r="Q144">
        <f t="shared" ref="Q144" si="696">F144*P144</f>
        <v>-18932908.251198463</v>
      </c>
      <c r="R144">
        <f t="shared" ref="R144" si="697">R145+Q144</f>
        <v>-817490092.54136884</v>
      </c>
      <c r="S144">
        <f t="shared" ref="S144" si="698">R144/100000</f>
        <v>-8174.9009254136881</v>
      </c>
      <c r="T144">
        <f t="shared" ref="T144" si="699">S144/1000</f>
        <v>-8.174900925413688</v>
      </c>
    </row>
    <row r="145" spans="1:20" x14ac:dyDescent="0.25">
      <c r="A145" s="5">
        <v>44448</v>
      </c>
      <c r="B145">
        <v>1.0457000000000001</v>
      </c>
      <c r="C145">
        <v>1.2365999999999999</v>
      </c>
      <c r="D145">
        <v>1.0333000000000001</v>
      </c>
      <c r="E145">
        <v>1.1527000000000001</v>
      </c>
      <c r="F145">
        <v>59297951</v>
      </c>
      <c r="G145">
        <v>1.1527000000000001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0.1746187899655687</v>
      </c>
      <c r="Q145">
        <f t="shared" ref="Q145" si="701">F145*P145</f>
        <v>10354536.451057585</v>
      </c>
      <c r="R145">
        <f t="shared" ref="R145" si="702">R146+Q145</f>
        <v>-798557184.29017043</v>
      </c>
      <c r="S145">
        <f t="shared" ref="S145" si="703">R145/100000</f>
        <v>-7985.5718429017043</v>
      </c>
      <c r="T145">
        <f t="shared" ref="T145" si="704">S145/1000</f>
        <v>-7.9855718429017042</v>
      </c>
    </row>
    <row r="146" spans="1:20" x14ac:dyDescent="0.25">
      <c r="A146" s="5">
        <v>44447</v>
      </c>
      <c r="B146">
        <v>1.0428999999999999</v>
      </c>
      <c r="C146">
        <v>1.1669</v>
      </c>
      <c r="D146">
        <v>0.88619999999999999</v>
      </c>
      <c r="E146">
        <v>1.0457000000000001</v>
      </c>
      <c r="F146">
        <v>50736096</v>
      </c>
      <c r="G146">
        <v>1.0457000000000001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0.13644460277876774</v>
      </c>
      <c r="Q146">
        <f t="shared" ref="Q146" si="706">F146*P146</f>
        <v>6922666.4652654268</v>
      </c>
      <c r="R146">
        <f t="shared" ref="R146" si="707">R147+Q146</f>
        <v>-808911720.74122798</v>
      </c>
      <c r="S146">
        <f t="shared" ref="S146" si="708">R146/100000</f>
        <v>-8089.1172074122796</v>
      </c>
      <c r="T146">
        <f t="shared" ref="T146" si="709">S146/1000</f>
        <v>-8.0891172074122792</v>
      </c>
    </row>
    <row r="147" spans="1:20" x14ac:dyDescent="0.25">
      <c r="A147" s="5">
        <v>44446</v>
      </c>
      <c r="B147">
        <v>1.3695999999999999</v>
      </c>
      <c r="C147">
        <v>1.4031</v>
      </c>
      <c r="D147">
        <v>0.93269999999999997</v>
      </c>
      <c r="E147">
        <v>1.0426</v>
      </c>
      <c r="F147">
        <v>78896012</v>
      </c>
      <c r="G147">
        <v>1.0426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-0.53273809523809523</v>
      </c>
      <c r="Q147">
        <f t="shared" ref="Q147" si="711">F147*P147</f>
        <v>-42030911.154761903</v>
      </c>
      <c r="R147">
        <f t="shared" ref="R147" si="712">R148+Q147</f>
        <v>-815834387.20649338</v>
      </c>
      <c r="S147">
        <f t="shared" ref="S147" si="713">R147/100000</f>
        <v>-8158.3438720649337</v>
      </c>
      <c r="T147">
        <f t="shared" ref="T147" si="714">S147/1000</f>
        <v>-8.1583438720649344</v>
      </c>
    </row>
    <row r="148" spans="1:20" x14ac:dyDescent="0.25">
      <c r="A148" s="5">
        <v>44445</v>
      </c>
      <c r="B148">
        <v>1.4089</v>
      </c>
      <c r="C148">
        <v>1.4790000000000001</v>
      </c>
      <c r="D148">
        <v>1.33</v>
      </c>
      <c r="E148">
        <v>1.371</v>
      </c>
      <c r="F148">
        <v>36300041</v>
      </c>
      <c r="G148">
        <v>1.371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-0.44966442953020241</v>
      </c>
      <c r="Q148">
        <f t="shared" ref="Q148" si="716">F148*P148</f>
        <v>-16322837.228187958</v>
      </c>
      <c r="R148">
        <f t="shared" ref="R148" si="717">R149+Q148</f>
        <v>-773803476.05173147</v>
      </c>
      <c r="S148">
        <f t="shared" ref="S148" si="718">R148/100000</f>
        <v>-7738.0347605173147</v>
      </c>
      <c r="T148">
        <f t="shared" ref="T148" si="719">S148/1000</f>
        <v>-7.7380347605173148</v>
      </c>
    </row>
    <row r="149" spans="1:20" x14ac:dyDescent="0.25">
      <c r="A149" s="5">
        <v>44444</v>
      </c>
      <c r="B149">
        <v>1.3864000000000001</v>
      </c>
      <c r="C149">
        <v>1.4426000000000001</v>
      </c>
      <c r="D149">
        <v>1.3547</v>
      </c>
      <c r="E149">
        <v>1.4089</v>
      </c>
      <c r="F149">
        <v>33993739</v>
      </c>
      <c r="G149">
        <v>1.4089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0.23321956769055679</v>
      </c>
      <c r="Q149">
        <f t="shared" ref="Q149" si="721">F149*P149</f>
        <v>7928005.1137656206</v>
      </c>
      <c r="R149">
        <f t="shared" ref="R149" si="722">R150+Q149</f>
        <v>-757480638.82354355</v>
      </c>
      <c r="S149">
        <f t="shared" ref="S149" si="723">R149/100000</f>
        <v>-7574.8063882354354</v>
      </c>
      <c r="T149">
        <f t="shared" ref="T149" si="724">S149/1000</f>
        <v>-7.5748063882354355</v>
      </c>
    </row>
    <row r="150" spans="1:20" x14ac:dyDescent="0.25">
      <c r="A150" s="5">
        <v>44443</v>
      </c>
      <c r="B150">
        <v>1.3169</v>
      </c>
      <c r="C150">
        <v>1.6</v>
      </c>
      <c r="D150">
        <v>1.2918000000000001</v>
      </c>
      <c r="E150">
        <v>1.3866000000000001</v>
      </c>
      <c r="F150">
        <v>89585789</v>
      </c>
      <c r="G150">
        <v>1.3866000000000001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-0.38481505515898778</v>
      </c>
      <c r="Q150">
        <f t="shared" ref="Q150" si="726">F150*P150</f>
        <v>-34473960.335496441</v>
      </c>
      <c r="R150">
        <f t="shared" ref="R150" si="727">R151+Q150</f>
        <v>-765408643.93730915</v>
      </c>
      <c r="S150">
        <f t="shared" ref="S150" si="728">R150/100000</f>
        <v>-7654.0864393730917</v>
      </c>
      <c r="T150">
        <f t="shared" ref="T150" si="729">S150/1000</f>
        <v>-7.6540864393730921</v>
      </c>
    </row>
    <row r="151" spans="1:20" x14ac:dyDescent="0.25">
      <c r="A151" s="5">
        <v>44442</v>
      </c>
      <c r="B151">
        <v>1.35</v>
      </c>
      <c r="C151">
        <v>1.4</v>
      </c>
      <c r="D151">
        <v>1.2801</v>
      </c>
      <c r="E151">
        <v>1.3161</v>
      </c>
      <c r="F151">
        <v>27250958</v>
      </c>
      <c r="G151">
        <v>1.3161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-0.39949958298582045</v>
      </c>
      <c r="Q151">
        <f t="shared" ref="Q151" si="731">F151*P151</f>
        <v>-10886746.356964108</v>
      </c>
      <c r="R151">
        <f t="shared" ref="R151" si="732">R152+Q151</f>
        <v>-730934683.60181272</v>
      </c>
      <c r="S151">
        <f t="shared" ref="S151" si="733">R151/100000</f>
        <v>-7309.3468360181269</v>
      </c>
      <c r="T151">
        <f t="shared" ref="T151" si="734">S151/1000</f>
        <v>-7.3093468360181273</v>
      </c>
    </row>
    <row r="152" spans="1:20" x14ac:dyDescent="0.25">
      <c r="A152" s="5">
        <v>44441</v>
      </c>
      <c r="B152">
        <v>1.4059999999999999</v>
      </c>
      <c r="C152">
        <v>1.46</v>
      </c>
      <c r="D152">
        <v>1.33</v>
      </c>
      <c r="E152">
        <v>1.3512</v>
      </c>
      <c r="F152">
        <v>33918454</v>
      </c>
      <c r="G152">
        <v>1.3512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-0.67384615384615532</v>
      </c>
      <c r="Q152">
        <f t="shared" ref="Q152" si="736">F152*P152</f>
        <v>-22855819.772307742</v>
      </c>
      <c r="R152">
        <f t="shared" ref="R152" si="737">R153+Q152</f>
        <v>-720047937.24484861</v>
      </c>
      <c r="S152">
        <f t="shared" ref="S152" si="738">R152/100000</f>
        <v>-7200.4793724484862</v>
      </c>
      <c r="T152">
        <f t="shared" ref="T152" si="739">S152/1000</f>
        <v>-7.2004793724484859</v>
      </c>
    </row>
    <row r="153" spans="1:20" x14ac:dyDescent="0.25">
      <c r="A153" s="5">
        <v>44440</v>
      </c>
      <c r="B153">
        <v>1.3793</v>
      </c>
      <c r="C153">
        <v>1.4670000000000001</v>
      </c>
      <c r="D153">
        <v>1.3196000000000001</v>
      </c>
      <c r="E153">
        <v>1.4059999999999999</v>
      </c>
      <c r="F153">
        <v>37780124</v>
      </c>
      <c r="G153">
        <v>1.4059999999999999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0.17232021709633413</v>
      </c>
      <c r="Q153">
        <f t="shared" ref="Q153" si="741">F153*P153</f>
        <v>6510279.1696064239</v>
      </c>
      <c r="R153">
        <f t="shared" ref="R153" si="742">R154+Q153</f>
        <v>-697192117.47254086</v>
      </c>
      <c r="S153">
        <f t="shared" ref="S153" si="743">R153/100000</f>
        <v>-6971.9211747254085</v>
      </c>
      <c r="T153">
        <f t="shared" ref="T153" si="744">S153/1000</f>
        <v>-6.9719211747254084</v>
      </c>
    </row>
    <row r="154" spans="1:20" x14ac:dyDescent="0.25">
      <c r="A154" s="5">
        <v>44439</v>
      </c>
      <c r="B154">
        <v>1.478</v>
      </c>
      <c r="C154">
        <v>1.67</v>
      </c>
      <c r="D154">
        <v>1.3355999999999999</v>
      </c>
      <c r="E154">
        <v>1.3793</v>
      </c>
      <c r="F154">
        <v>51926842</v>
      </c>
      <c r="G154">
        <v>1.3793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-0.7386363636363632</v>
      </c>
      <c r="Q154">
        <f t="shared" ref="Q154" si="746">F154*P154</f>
        <v>-38355053.749999978</v>
      </c>
      <c r="R154">
        <f t="shared" ref="R154" si="747">R155+Q154</f>
        <v>-703702396.6421473</v>
      </c>
      <c r="S154">
        <f t="shared" ref="S154" si="748">R154/100000</f>
        <v>-7037.0239664214732</v>
      </c>
      <c r="T154">
        <f t="shared" ref="T154" si="749">S154/1000</f>
        <v>-7.0370239664214731</v>
      </c>
    </row>
    <row r="155" spans="1:20" x14ac:dyDescent="0.25">
      <c r="A155" s="5">
        <v>44438</v>
      </c>
      <c r="B155">
        <v>1.6285000000000001</v>
      </c>
      <c r="C155">
        <v>1.7444</v>
      </c>
      <c r="D155">
        <v>1.4572000000000001</v>
      </c>
      <c r="E155">
        <v>1.478</v>
      </c>
      <c r="F155">
        <v>69061697</v>
      </c>
      <c r="G155">
        <v>1.478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-0.8551532033426188</v>
      </c>
      <c r="Q155">
        <f t="shared" ref="Q155" si="751">F155*P155</f>
        <v>-59058331.417827323</v>
      </c>
      <c r="R155">
        <f t="shared" ref="R155" si="752">R156+Q155</f>
        <v>-665347342.8921473</v>
      </c>
      <c r="S155">
        <f t="shared" ref="S155" si="753">R155/100000</f>
        <v>-6653.473428921473</v>
      </c>
      <c r="T155">
        <f t="shared" ref="T155" si="754">S155/1000</f>
        <v>-6.6534734289214734</v>
      </c>
    </row>
    <row r="156" spans="1:20" x14ac:dyDescent="0.25">
      <c r="A156" s="5">
        <v>44437</v>
      </c>
      <c r="B156">
        <v>1.8380000000000001</v>
      </c>
      <c r="C156">
        <v>1.8387</v>
      </c>
      <c r="D156">
        <v>1.5677000000000001</v>
      </c>
      <c r="E156">
        <v>1.6285000000000001</v>
      </c>
      <c r="F156">
        <v>62343075</v>
      </c>
      <c r="G156">
        <v>1.6285000000000001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-0.55129151291512923</v>
      </c>
      <c r="Q156">
        <f t="shared" ref="Q156" si="756">F156*P156</f>
        <v>-34369208.136531368</v>
      </c>
      <c r="R156">
        <f t="shared" ref="R156" si="757">R157+Q156</f>
        <v>-606289011.47431993</v>
      </c>
      <c r="S156">
        <f t="shared" ref="S156" si="758">R156/100000</f>
        <v>-6062.8901147431998</v>
      </c>
      <c r="T156">
        <f t="shared" ref="T156" si="759">S156/1000</f>
        <v>-6.0628901147432002</v>
      </c>
    </row>
    <row r="157" spans="1:20" x14ac:dyDescent="0.25">
      <c r="A157" s="5">
        <v>44436</v>
      </c>
      <c r="B157">
        <v>1.7403999999999999</v>
      </c>
      <c r="C157">
        <v>1.9913099999999999</v>
      </c>
      <c r="D157">
        <v>1.5592999999999999</v>
      </c>
      <c r="E157">
        <v>1.8381000000000001</v>
      </c>
      <c r="F157">
        <v>180030466</v>
      </c>
      <c r="G157">
        <v>1.8381000000000001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0.29071086317446426</v>
      </c>
      <c r="Q157">
        <f t="shared" ref="Q157" si="761">F157*P157</f>
        <v>52336812.168561041</v>
      </c>
      <c r="R157">
        <f t="shared" ref="R157" si="762">R158+Q157</f>
        <v>-571919803.33778858</v>
      </c>
      <c r="S157">
        <f t="shared" ref="S157" si="763">R157/100000</f>
        <v>-5719.1980333778856</v>
      </c>
      <c r="T157">
        <f t="shared" ref="T157" si="764">S157/1000</f>
        <v>-5.7191980333778858</v>
      </c>
    </row>
    <row r="158" spans="1:20" x14ac:dyDescent="0.25">
      <c r="A158" s="5">
        <v>44435</v>
      </c>
      <c r="B158">
        <v>1.3133999999999999</v>
      </c>
      <c r="C158">
        <v>1.9</v>
      </c>
      <c r="D158">
        <v>1.2730999999999999</v>
      </c>
      <c r="E158">
        <v>1.7411000000000001</v>
      </c>
      <c r="F158">
        <v>304456457</v>
      </c>
      <c r="G158">
        <v>1.7411000000000001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0.49306109427340944</v>
      </c>
      <c r="Q158">
        <f t="shared" ref="Q158" si="766">F158*P158</f>
        <v>150115633.84702522</v>
      </c>
      <c r="R158">
        <f t="shared" ref="R158" si="767">R159+Q158</f>
        <v>-624256615.50634956</v>
      </c>
      <c r="S158">
        <f t="shared" ref="S158" si="768">R158/100000</f>
        <v>-6242.5661550634959</v>
      </c>
      <c r="T158">
        <f t="shared" ref="T158" si="769">S158/1000</f>
        <v>-6.2425661550634963</v>
      </c>
    </row>
    <row r="159" spans="1:20" x14ac:dyDescent="0.25">
      <c r="A159" s="5">
        <v>44434</v>
      </c>
      <c r="B159">
        <v>1.56124</v>
      </c>
      <c r="C159">
        <v>1.88</v>
      </c>
      <c r="D159">
        <v>1.25</v>
      </c>
      <c r="E159">
        <v>1.3157000000000001</v>
      </c>
      <c r="F159">
        <v>417599760</v>
      </c>
      <c r="G159">
        <v>1.3157000000000001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-0.79142857142857115</v>
      </c>
      <c r="Q159">
        <f t="shared" ref="Q159" si="771">F159*P159</f>
        <v>-330500381.4857142</v>
      </c>
      <c r="R159">
        <f t="shared" ref="R159" si="772">R160+Q159</f>
        <v>-774372249.35337472</v>
      </c>
      <c r="S159">
        <f t="shared" ref="S159" si="773">R159/100000</f>
        <v>-7743.7224935337472</v>
      </c>
      <c r="T159">
        <f t="shared" ref="T159" si="774">S159/1000</f>
        <v>-7.7437224935337472</v>
      </c>
    </row>
    <row r="160" spans="1:20" x14ac:dyDescent="0.25">
      <c r="A160" s="5">
        <v>44433</v>
      </c>
      <c r="B160">
        <v>0.62382000000000004</v>
      </c>
      <c r="C160">
        <v>2.02</v>
      </c>
      <c r="D160">
        <v>0.60001000000000004</v>
      </c>
      <c r="E160">
        <v>1.56121</v>
      </c>
      <c r="F160">
        <v>582704622</v>
      </c>
      <c r="G160">
        <v>1.56121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0.35381235079120271</v>
      </c>
      <c r="Q160">
        <f t="shared" ref="Q160" si="776">F160*P160</f>
        <v>206168092.12671918</v>
      </c>
      <c r="R160">
        <f t="shared" ref="R160" si="777">R161+Q160</f>
        <v>-443871867.86766058</v>
      </c>
      <c r="S160">
        <f t="shared" ref="S160" si="778">R160/100000</f>
        <v>-4438.718678676606</v>
      </c>
      <c r="T160">
        <f t="shared" ref="T160" si="779">S160/1000</f>
        <v>-4.4387186786766062</v>
      </c>
    </row>
    <row r="161" spans="1:20" x14ac:dyDescent="0.25">
      <c r="A161" s="5">
        <v>44432</v>
      </c>
      <c r="B161">
        <v>0.67229000000000005</v>
      </c>
      <c r="C161">
        <v>0.68288000000000004</v>
      </c>
      <c r="D161">
        <v>0.60001000000000004</v>
      </c>
      <c r="E161">
        <v>0.62358000000000002</v>
      </c>
      <c r="F161">
        <v>19793719</v>
      </c>
      <c r="G161">
        <v>0.62358000000000002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-0.43115723422227631</v>
      </c>
      <c r="Q161">
        <f t="shared" ref="Q161" si="781">F161*P161</f>
        <v>-8534205.1390129216</v>
      </c>
      <c r="R161">
        <f t="shared" ref="R161" si="782">R162+Q161</f>
        <v>-650039959.99437976</v>
      </c>
      <c r="S161">
        <f t="shared" ref="S161" si="783">R161/100000</f>
        <v>-6500.3995999437975</v>
      </c>
      <c r="T161">
        <f t="shared" ref="T161" si="784">S161/1000</f>
        <v>-6.5003995999437976</v>
      </c>
    </row>
    <row r="162" spans="1:20" x14ac:dyDescent="0.25">
      <c r="A162" s="5">
        <v>44431</v>
      </c>
      <c r="B162">
        <v>0.66998000000000002</v>
      </c>
      <c r="C162">
        <v>0.72</v>
      </c>
      <c r="D162">
        <v>0.65500000000000003</v>
      </c>
      <c r="E162">
        <v>0.67232999999999998</v>
      </c>
      <c r="F162">
        <v>20607974</v>
      </c>
      <c r="G162">
        <v>0.67232999999999998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-0.46676923076923166</v>
      </c>
      <c r="Q162">
        <f t="shared" ref="Q162" si="786">F162*P162</f>
        <v>-9619168.1716923267</v>
      </c>
      <c r="R162">
        <f t="shared" ref="R162" si="787">R163+Q162</f>
        <v>-641505754.85536683</v>
      </c>
      <c r="S162">
        <f t="shared" ref="S162" si="788">R162/100000</f>
        <v>-6415.0575485536683</v>
      </c>
      <c r="T162">
        <f t="shared" ref="T162" si="789">S162/1000</f>
        <v>-6.4150575485536683</v>
      </c>
    </row>
    <row r="163" spans="1:20" x14ac:dyDescent="0.25">
      <c r="A163" s="5">
        <v>44430</v>
      </c>
      <c r="B163">
        <v>0.63582000000000005</v>
      </c>
      <c r="C163">
        <v>0.77776999999999996</v>
      </c>
      <c r="D163">
        <v>0.627</v>
      </c>
      <c r="E163">
        <v>0.71718999999999999</v>
      </c>
      <c r="F163">
        <v>28341542</v>
      </c>
      <c r="G163">
        <v>0.71718999999999999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0.19639185514359642</v>
      </c>
      <c r="Q163">
        <f t="shared" ref="Q163" si="791">F163*P163</f>
        <v>5566048.0110101542</v>
      </c>
      <c r="R163">
        <f t="shared" ref="R163" si="792">R164+Q163</f>
        <v>-631886586.68367445</v>
      </c>
      <c r="S163">
        <f t="shared" ref="S163" si="793">R163/100000</f>
        <v>-6318.8658668367443</v>
      </c>
      <c r="T163">
        <f t="shared" ref="T163" si="794">S163/1000</f>
        <v>-6.3188658668367443</v>
      </c>
    </row>
    <row r="164" spans="1:20" x14ac:dyDescent="0.25">
      <c r="A164" s="5">
        <v>44429</v>
      </c>
      <c r="B164">
        <v>0.57793000000000005</v>
      </c>
      <c r="C164">
        <v>0.7</v>
      </c>
      <c r="D164">
        <v>0.56157000000000001</v>
      </c>
      <c r="E164">
        <v>0.63587000000000005</v>
      </c>
      <c r="F164">
        <v>67933716</v>
      </c>
      <c r="G164">
        <v>0.63587000000000005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7.3466734089432398E-2</v>
      </c>
      <c r="Q164">
        <f t="shared" ref="Q164" si="796">F164*P164</f>
        <v>4990868.2490790188</v>
      </c>
      <c r="R164">
        <f t="shared" ref="R164" si="797">R165+Q164</f>
        <v>-637452634.69468462</v>
      </c>
      <c r="S164">
        <f t="shared" ref="S164" si="798">R164/100000</f>
        <v>-6374.5263469468464</v>
      </c>
      <c r="T164">
        <f t="shared" ref="T164" si="799">S164/1000</f>
        <v>-6.3745263469468467</v>
      </c>
    </row>
    <row r="165" spans="1:20" x14ac:dyDescent="0.25">
      <c r="A165" s="5">
        <v>44428</v>
      </c>
      <c r="B165">
        <v>0.56408000000000003</v>
      </c>
      <c r="C165">
        <v>0.59889999999999999</v>
      </c>
      <c r="D165">
        <v>0.54920999999999998</v>
      </c>
      <c r="E165">
        <v>0.57793000000000005</v>
      </c>
      <c r="F165">
        <v>15838069</v>
      </c>
      <c r="G165">
        <v>0.57793000000000005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0.15596699537130496</v>
      </c>
      <c r="Q165">
        <f t="shared" ref="Q165" si="801">F165*P165</f>
        <v>2470216.0344134085</v>
      </c>
      <c r="R165">
        <f t="shared" ref="R165" si="802">R166+Q165</f>
        <v>-642443502.94376361</v>
      </c>
      <c r="S165">
        <f t="shared" ref="S165" si="803">R165/100000</f>
        <v>-6424.4350294376363</v>
      </c>
      <c r="T165">
        <f t="shared" ref="T165" si="804">S165/1000</f>
        <v>-6.4244350294376362</v>
      </c>
    </row>
    <row r="166" spans="1:20" x14ac:dyDescent="0.25">
      <c r="A166" s="5">
        <v>44427</v>
      </c>
      <c r="B166">
        <v>0.52863000000000004</v>
      </c>
      <c r="C166">
        <v>0.56716999999999995</v>
      </c>
      <c r="D166">
        <v>0.51519000000000004</v>
      </c>
      <c r="E166">
        <v>0.56416999999999995</v>
      </c>
      <c r="F166">
        <v>12143504</v>
      </c>
      <c r="G166">
        <v>0.56416999999999995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0.88457098884186192</v>
      </c>
      <c r="Q166">
        <f t="shared" ref="Q166" si="806">F166*P166</f>
        <v>10741791.341285106</v>
      </c>
      <c r="R166">
        <f t="shared" ref="R166" si="807">R167+Q166</f>
        <v>-644913718.97817707</v>
      </c>
      <c r="S166">
        <f t="shared" ref="S166" si="808">R166/100000</f>
        <v>-6449.1371897817708</v>
      </c>
      <c r="T166">
        <f t="shared" ref="T166" si="809">S166/1000</f>
        <v>-6.4491371897817711</v>
      </c>
    </row>
    <row r="167" spans="1:20" x14ac:dyDescent="0.25">
      <c r="A167" s="5">
        <v>44426</v>
      </c>
      <c r="B167">
        <v>0.54325999999999997</v>
      </c>
      <c r="C167">
        <v>0.56706000000000001</v>
      </c>
      <c r="D167">
        <v>0.52</v>
      </c>
      <c r="E167">
        <v>0.52864999999999995</v>
      </c>
      <c r="F167">
        <v>12436832</v>
      </c>
      <c r="G167">
        <v>0.52864999999999995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-0.63238419039524274</v>
      </c>
      <c r="Q167">
        <f t="shared" ref="Q167" si="811">F167*P167</f>
        <v>-7864855.9354016474</v>
      </c>
      <c r="R167">
        <f t="shared" ref="R167" si="812">R168+Q167</f>
        <v>-655655510.31946218</v>
      </c>
      <c r="S167">
        <f t="shared" ref="S167" si="813">R167/100000</f>
        <v>-6556.5551031946216</v>
      </c>
      <c r="T167">
        <f t="shared" ref="T167" si="814">S167/1000</f>
        <v>-6.5565551031946212</v>
      </c>
    </row>
    <row r="168" spans="1:20" x14ac:dyDescent="0.25">
      <c r="A168" s="5">
        <v>44425</v>
      </c>
      <c r="B168">
        <v>0.58214999999999995</v>
      </c>
      <c r="C168">
        <v>0.59491000000000005</v>
      </c>
      <c r="D168">
        <v>0.53751000000000004</v>
      </c>
      <c r="E168">
        <v>0.54339999999999999</v>
      </c>
      <c r="F168">
        <v>14379752</v>
      </c>
      <c r="G168">
        <v>0.54339999999999999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-0.79477351916376482</v>
      </c>
      <c r="Q168">
        <f t="shared" ref="Q168" si="816">F168*P168</f>
        <v>-11428646.101742186</v>
      </c>
      <c r="R168">
        <f t="shared" ref="R168" si="817">R169+Q168</f>
        <v>-647790654.3840605</v>
      </c>
      <c r="S168">
        <f t="shared" ref="S168" si="818">R168/100000</f>
        <v>-6477.9065438406051</v>
      </c>
      <c r="T168">
        <f t="shared" ref="T168" si="819">S168/1000</f>
        <v>-6.4779065438406054</v>
      </c>
    </row>
    <row r="169" spans="1:20" x14ac:dyDescent="0.25">
      <c r="A169" s="5">
        <v>44424</v>
      </c>
      <c r="B169">
        <v>0.59662000000000004</v>
      </c>
      <c r="C169">
        <v>0.64100000000000001</v>
      </c>
      <c r="D169">
        <v>0.57299999999999995</v>
      </c>
      <c r="E169">
        <v>0.58216000000000001</v>
      </c>
      <c r="F169">
        <v>23727747</v>
      </c>
      <c r="G169">
        <v>0.58216000000000001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-0.73058823529411621</v>
      </c>
      <c r="Q169">
        <f t="shared" ref="Q169" si="821">F169*P169</f>
        <v>-17335212.808235262</v>
      </c>
      <c r="R169">
        <f t="shared" ref="R169" si="822">R170+Q169</f>
        <v>-636362008.28231835</v>
      </c>
      <c r="S169">
        <f t="shared" ref="S169" si="823">R169/100000</f>
        <v>-6363.6200828231831</v>
      </c>
      <c r="T169">
        <f t="shared" ref="T169" si="824">S169/1000</f>
        <v>-6.363620082823183</v>
      </c>
    </row>
    <row r="170" spans="1:20" x14ac:dyDescent="0.25">
      <c r="A170" s="5">
        <v>44423</v>
      </c>
      <c r="B170">
        <v>0.59326000000000001</v>
      </c>
      <c r="C170">
        <v>0.66332999999999998</v>
      </c>
      <c r="D170">
        <v>0.56554000000000004</v>
      </c>
      <c r="E170">
        <v>0.59662000000000004</v>
      </c>
      <c r="F170">
        <v>61309406</v>
      </c>
      <c r="G170">
        <v>0.59662000000000004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-0.36435218324982066</v>
      </c>
      <c r="Q170">
        <f t="shared" ref="Q170" si="826">F170*P170</f>
        <v>-22338215.929849654</v>
      </c>
      <c r="R170">
        <f t="shared" ref="R170" si="827">R171+Q170</f>
        <v>-619026795.47408307</v>
      </c>
      <c r="S170">
        <f t="shared" ref="S170" si="828">R170/100000</f>
        <v>-6190.2679547408306</v>
      </c>
      <c r="T170">
        <f t="shared" ref="T170" si="829">S170/1000</f>
        <v>-6.1902679547408308</v>
      </c>
    </row>
    <row r="171" spans="1:20" x14ac:dyDescent="0.25">
      <c r="A171" s="5">
        <v>44422</v>
      </c>
      <c r="B171">
        <v>0.53249999999999997</v>
      </c>
      <c r="C171">
        <v>0.70823999999999998</v>
      </c>
      <c r="D171">
        <v>0.50458000000000003</v>
      </c>
      <c r="E171">
        <v>0.59326000000000001</v>
      </c>
      <c r="F171">
        <v>110651886</v>
      </c>
      <c r="G171">
        <v>0.59326000000000001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-0.12913679662182068</v>
      </c>
      <c r="Q171">
        <f t="shared" ref="Q171" si="831">F171*P171</f>
        <v>-14289230.098202886</v>
      </c>
      <c r="R171">
        <f t="shared" ref="R171" si="832">R172+Q171</f>
        <v>-596688579.54423344</v>
      </c>
      <c r="S171">
        <f t="shared" ref="S171" si="833">R171/100000</f>
        <v>-5966.8857954423347</v>
      </c>
      <c r="T171">
        <f t="shared" ref="T171" si="834">S171/1000</f>
        <v>-5.9668857954423347</v>
      </c>
    </row>
    <row r="172" spans="1:20" x14ac:dyDescent="0.25">
      <c r="A172" s="5">
        <v>44421</v>
      </c>
      <c r="B172">
        <v>0.49273</v>
      </c>
      <c r="C172">
        <v>0.54</v>
      </c>
      <c r="D172">
        <v>0.49209000000000003</v>
      </c>
      <c r="E172">
        <v>0.53293999999999997</v>
      </c>
      <c r="F172">
        <v>13005644</v>
      </c>
      <c r="G172">
        <v>0.53293999999999997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0.70528073471091357</v>
      </c>
      <c r="Q172">
        <f t="shared" ref="Q172" si="836">F172*P172</f>
        <v>9172630.1557085849</v>
      </c>
      <c r="R172">
        <f t="shared" ref="R172" si="837">R173+Q172</f>
        <v>-582399349.4460305</v>
      </c>
      <c r="S172">
        <f t="shared" ref="S172" si="838">R172/100000</f>
        <v>-5823.9934944603046</v>
      </c>
      <c r="T172">
        <f t="shared" ref="T172" si="839">S172/1000</f>
        <v>-5.8239934944603045</v>
      </c>
    </row>
    <row r="173" spans="1:20" x14ac:dyDescent="0.25">
      <c r="A173" s="5">
        <v>44420</v>
      </c>
      <c r="B173">
        <v>0.52775000000000005</v>
      </c>
      <c r="C173">
        <v>0.57126999999999994</v>
      </c>
      <c r="D173">
        <v>0.46828999999999998</v>
      </c>
      <c r="E173">
        <v>0.49273</v>
      </c>
      <c r="F173">
        <v>21521248</v>
      </c>
      <c r="G173">
        <v>0.49273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-0.52534472713148128</v>
      </c>
      <c r="Q173">
        <f t="shared" ref="Q173" si="841">F173*P173</f>
        <v>-11306074.158088937</v>
      </c>
      <c r="R173">
        <f t="shared" ref="R173" si="842">R174+Q173</f>
        <v>-591571979.60173905</v>
      </c>
      <c r="S173">
        <f t="shared" ref="S173" si="843">R173/100000</f>
        <v>-5915.7197960173908</v>
      </c>
      <c r="T173">
        <f t="shared" ref="T173" si="844">S173/1000</f>
        <v>-5.9157197960173908</v>
      </c>
    </row>
    <row r="174" spans="1:20" x14ac:dyDescent="0.25">
      <c r="A174" s="5">
        <v>44419</v>
      </c>
      <c r="B174">
        <v>0.51368999999999998</v>
      </c>
      <c r="C174">
        <v>0.57484999999999997</v>
      </c>
      <c r="D174">
        <v>0.51190999999999998</v>
      </c>
      <c r="E174">
        <v>0.52802000000000004</v>
      </c>
      <c r="F174">
        <v>28269108</v>
      </c>
      <c r="G174">
        <v>0.52802000000000004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-0.48808388941849157</v>
      </c>
      <c r="Q174">
        <f t="shared" ref="Q174" si="846">F174*P174</f>
        <v>-13797696.183031395</v>
      </c>
      <c r="R174">
        <f t="shared" ref="R174" si="847">R175+Q174</f>
        <v>-580265905.44365013</v>
      </c>
      <c r="S174">
        <f t="shared" ref="S174" si="848">R174/100000</f>
        <v>-5802.6590544365008</v>
      </c>
      <c r="T174">
        <f t="shared" ref="T174" si="849">S174/1000</f>
        <v>-5.8026590544365009</v>
      </c>
    </row>
    <row r="175" spans="1:20" x14ac:dyDescent="0.25">
      <c r="A175" s="5">
        <v>44418</v>
      </c>
      <c r="B175">
        <v>0.49889</v>
      </c>
      <c r="C175">
        <v>0.52459</v>
      </c>
      <c r="D175">
        <v>0.48522999999999999</v>
      </c>
      <c r="E175">
        <v>0.51351999999999998</v>
      </c>
      <c r="F175">
        <v>20709708</v>
      </c>
      <c r="G175">
        <v>0.51351999999999998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0.43749999999999883</v>
      </c>
      <c r="Q175">
        <f t="shared" ref="Q175" si="851">F175*P175</f>
        <v>9060497.2499999758</v>
      </c>
      <c r="R175">
        <f t="shared" ref="R175" si="852">R176+Q175</f>
        <v>-566468209.26061869</v>
      </c>
      <c r="S175">
        <f t="shared" ref="S175" si="853">R175/100000</f>
        <v>-5664.6820926061864</v>
      </c>
      <c r="T175">
        <f t="shared" ref="T175" si="854">S175/1000</f>
        <v>-5.6646820926061867</v>
      </c>
    </row>
    <row r="176" spans="1:20" x14ac:dyDescent="0.25">
      <c r="A176" s="5">
        <v>44417</v>
      </c>
      <c r="B176">
        <v>0.48655999999999999</v>
      </c>
      <c r="C176">
        <v>0.53283000000000003</v>
      </c>
      <c r="D176">
        <v>0.46800000000000003</v>
      </c>
      <c r="E176">
        <v>0.49891999999999997</v>
      </c>
      <c r="F176">
        <v>24167194</v>
      </c>
      <c r="G176">
        <v>0.49891999999999997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-4.612062316828789E-2</v>
      </c>
      <c r="Q176">
        <f t="shared" ref="Q176" si="856">F176*P176</f>
        <v>-1114606.0475089082</v>
      </c>
      <c r="R176">
        <f t="shared" ref="R176" si="857">R177+Q176</f>
        <v>-575528706.51061869</v>
      </c>
      <c r="S176">
        <f t="shared" ref="S176" si="858">R176/100000</f>
        <v>-5755.2870651061867</v>
      </c>
      <c r="T176">
        <f t="shared" ref="T176" si="859">S176/1000</f>
        <v>-5.7552870651061863</v>
      </c>
    </row>
    <row r="177" spans="1:20" x14ac:dyDescent="0.25">
      <c r="A177" s="5">
        <v>44416</v>
      </c>
      <c r="B177">
        <v>0.53486</v>
      </c>
      <c r="C177">
        <v>0.53857999999999995</v>
      </c>
      <c r="D177">
        <v>0.47570000000000001</v>
      </c>
      <c r="E177">
        <v>0.48648000000000002</v>
      </c>
      <c r="F177">
        <v>20652754</v>
      </c>
      <c r="G177">
        <v>0.48648000000000002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-0.65712468193384155</v>
      </c>
      <c r="Q177">
        <f t="shared" ref="Q177" si="861">F177*P177</f>
        <v>-13571434.403307874</v>
      </c>
      <c r="R177">
        <f t="shared" ref="R177" si="862">R178+Q177</f>
        <v>-574414100.46310973</v>
      </c>
      <c r="S177">
        <f t="shared" ref="S177" si="863">R177/100000</f>
        <v>-5744.1410046310975</v>
      </c>
      <c r="T177">
        <f t="shared" ref="T177" si="864">S177/1000</f>
        <v>-5.7441410046310972</v>
      </c>
    </row>
    <row r="178" spans="1:20" x14ac:dyDescent="0.25">
      <c r="A178" s="5">
        <v>44415</v>
      </c>
      <c r="B178">
        <v>0.53734999999999999</v>
      </c>
      <c r="C178">
        <v>0.57999999999999996</v>
      </c>
      <c r="D178">
        <v>0.51334999999999997</v>
      </c>
      <c r="E178">
        <v>0.53469</v>
      </c>
      <c r="F178">
        <v>34335679</v>
      </c>
      <c r="G178">
        <v>0.53469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-0.35963990997749345</v>
      </c>
      <c r="Q178">
        <f t="shared" ref="Q178" si="866">F178*P178</f>
        <v>-12348480.504576113</v>
      </c>
      <c r="R178">
        <f t="shared" ref="R178" si="867">R179+Q178</f>
        <v>-560842666.05980182</v>
      </c>
      <c r="S178">
        <f t="shared" ref="S178" si="868">R178/100000</f>
        <v>-5608.4266605980183</v>
      </c>
      <c r="T178">
        <f t="shared" ref="T178" si="869">S178/1000</f>
        <v>-5.6084266605980186</v>
      </c>
    </row>
    <row r="179" spans="1:20" x14ac:dyDescent="0.25">
      <c r="A179" s="5">
        <v>44414</v>
      </c>
      <c r="B179">
        <v>0.45579999999999998</v>
      </c>
      <c r="C179">
        <v>0.62199000000000004</v>
      </c>
      <c r="D179">
        <v>0.44219999999999998</v>
      </c>
      <c r="E179">
        <v>0.53781000000000001</v>
      </c>
      <c r="F179">
        <v>151333345</v>
      </c>
      <c r="G179">
        <v>0.53781000000000001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6.3574169864842267E-2</v>
      </c>
      <c r="Q179">
        <f t="shared" ref="Q179" si="871">F179*P179</f>
        <v>9620891.781244779</v>
      </c>
      <c r="R179">
        <f t="shared" ref="R179" si="872">R180+Q179</f>
        <v>-548494185.55522573</v>
      </c>
      <c r="S179">
        <f t="shared" ref="S179" si="873">R179/100000</f>
        <v>-5484.941855552257</v>
      </c>
      <c r="T179">
        <f t="shared" ref="T179" si="874">S179/1000</f>
        <v>-5.4849418555522567</v>
      </c>
    </row>
    <row r="180" spans="1:20" x14ac:dyDescent="0.25">
      <c r="A180" s="5">
        <v>44413</v>
      </c>
      <c r="B180">
        <v>0.42109000000000002</v>
      </c>
      <c r="C180">
        <v>0.46</v>
      </c>
      <c r="D180">
        <v>0.40889999999999999</v>
      </c>
      <c r="E180">
        <v>0.45517000000000002</v>
      </c>
      <c r="F180">
        <v>31477329</v>
      </c>
      <c r="G180">
        <v>0.45517000000000002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0.81095890410958915</v>
      </c>
      <c r="Q180">
        <f t="shared" ref="Q180" si="876">F180*P180</f>
        <v>25526820.230136991</v>
      </c>
      <c r="R180">
        <f t="shared" ref="R180" si="877">R181+Q180</f>
        <v>-558115077.33647048</v>
      </c>
      <c r="S180">
        <f t="shared" ref="S180" si="878">R180/100000</f>
        <v>-5581.1507733647049</v>
      </c>
      <c r="T180">
        <f t="shared" ref="T180" si="879">S180/1000</f>
        <v>-5.5811507733647048</v>
      </c>
    </row>
    <row r="181" spans="1:20" x14ac:dyDescent="0.25">
      <c r="A181" s="5">
        <v>44412</v>
      </c>
      <c r="B181">
        <v>0.43807000000000001</v>
      </c>
      <c r="C181">
        <v>0.45195000000000002</v>
      </c>
      <c r="D181">
        <v>0.40550000000000003</v>
      </c>
      <c r="E181">
        <v>0.42109000000000002</v>
      </c>
      <c r="F181">
        <v>27851455</v>
      </c>
      <c r="G181">
        <v>0.42109000000000002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-0.32874058127018319</v>
      </c>
      <c r="Q181">
        <f t="shared" ref="Q181" si="881">F181*P181</f>
        <v>-9155903.5059203506</v>
      </c>
      <c r="R181">
        <f t="shared" ref="R181" si="882">R182+Q181</f>
        <v>-583641897.56660748</v>
      </c>
      <c r="S181">
        <f t="shared" ref="S181" si="883">R181/100000</f>
        <v>-5836.4189756660744</v>
      </c>
      <c r="T181">
        <f t="shared" ref="T181" si="884">S181/1000</f>
        <v>-5.8364189756660743</v>
      </c>
    </row>
    <row r="182" spans="1:20" x14ac:dyDescent="0.25">
      <c r="A182" s="5">
        <v>44411</v>
      </c>
      <c r="B182">
        <v>0.38467000000000001</v>
      </c>
      <c r="C182">
        <v>0.48834</v>
      </c>
      <c r="D182">
        <v>0.37851000000000001</v>
      </c>
      <c r="E182">
        <v>0.43769000000000002</v>
      </c>
      <c r="F182">
        <v>62443464</v>
      </c>
      <c r="G182">
        <v>0.43769000000000002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7.7665483019211862E-2</v>
      </c>
      <c r="Q182">
        <f t="shared" ref="Q182" si="886">F182*P182</f>
        <v>4849701.7929527676</v>
      </c>
      <c r="R182">
        <f t="shared" ref="R182" si="887">R183+Q182</f>
        <v>-574485994.06068718</v>
      </c>
      <c r="S182">
        <f t="shared" ref="S182" si="888">R182/100000</f>
        <v>-5744.8599406068715</v>
      </c>
      <c r="T182">
        <f t="shared" ref="T182" si="889">S182/1000</f>
        <v>-5.7448599406068714</v>
      </c>
    </row>
    <row r="183" spans="1:20" x14ac:dyDescent="0.25">
      <c r="A183" s="5">
        <v>44410</v>
      </c>
      <c r="B183">
        <v>0.38845000000000002</v>
      </c>
      <c r="C183">
        <v>0.39999000000000001</v>
      </c>
      <c r="D183">
        <v>0.37407000000000001</v>
      </c>
      <c r="E183">
        <v>0.38545000000000001</v>
      </c>
      <c r="F183">
        <v>12354488</v>
      </c>
      <c r="G183">
        <v>0.38545000000000001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-0.12191358024691344</v>
      </c>
      <c r="Q183">
        <f t="shared" ref="Q183" si="891">F183*P183</f>
        <v>-1506179.8641975292</v>
      </c>
      <c r="R183">
        <f t="shared" ref="R183" si="892">R184+Q183</f>
        <v>-579335695.85363996</v>
      </c>
      <c r="S183">
        <f t="shared" ref="S183" si="893">R183/100000</f>
        <v>-5793.3569585363994</v>
      </c>
      <c r="T183">
        <f t="shared" ref="T183" si="894">S183/1000</f>
        <v>-5.7933569585363998</v>
      </c>
    </row>
    <row r="184" spans="1:20" x14ac:dyDescent="0.25">
      <c r="A184" s="5">
        <v>44409</v>
      </c>
      <c r="B184">
        <v>0.39806000000000002</v>
      </c>
      <c r="C184">
        <v>0.42399999999999999</v>
      </c>
      <c r="D184">
        <v>0.38751000000000002</v>
      </c>
      <c r="E184">
        <v>0.38844000000000001</v>
      </c>
      <c r="F184">
        <v>15147093</v>
      </c>
      <c r="G184">
        <v>0.38844000000000001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-0.94902713072074607</v>
      </c>
      <c r="Q184">
        <f t="shared" ref="Q184" si="896">F184*P184</f>
        <v>-14375002.208550299</v>
      </c>
      <c r="R184">
        <f t="shared" ref="R184" si="897">R185+Q184</f>
        <v>-577829515.98944247</v>
      </c>
      <c r="S184">
        <f t="shared" ref="S184" si="898">R184/100000</f>
        <v>-5778.2951598944246</v>
      </c>
      <c r="T184">
        <f t="shared" ref="T184" si="899">S184/1000</f>
        <v>-5.7782951598944248</v>
      </c>
    </row>
    <row r="185" spans="1:20" x14ac:dyDescent="0.25">
      <c r="A185" s="5">
        <v>44408</v>
      </c>
      <c r="B185">
        <v>0.39585999999999999</v>
      </c>
      <c r="C185">
        <v>0.42430000000000001</v>
      </c>
      <c r="D185">
        <v>0.38611000000000001</v>
      </c>
      <c r="E185">
        <v>0.39898</v>
      </c>
      <c r="F185">
        <v>18546965</v>
      </c>
      <c r="G185">
        <v>0.39898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-0.3260015710919093</v>
      </c>
      <c r="Q185">
        <f t="shared" ref="Q185" si="901">F185*P185</f>
        <v>-6046339.7289866535</v>
      </c>
      <c r="R185">
        <f t="shared" ref="R185" si="902">R186+Q185</f>
        <v>-563454513.78089213</v>
      </c>
      <c r="S185">
        <f t="shared" ref="S185" si="903">R185/100000</f>
        <v>-5634.545137808921</v>
      </c>
      <c r="T185">
        <f t="shared" ref="T185" si="904">S185/1000</f>
        <v>-5.6345451378089209</v>
      </c>
    </row>
    <row r="186" spans="1:20" x14ac:dyDescent="0.25">
      <c r="A186" s="5">
        <v>44407</v>
      </c>
      <c r="B186">
        <v>0.37291999999999997</v>
      </c>
      <c r="C186">
        <v>0.40599000000000002</v>
      </c>
      <c r="D186">
        <v>0.36799999999999999</v>
      </c>
      <c r="E186">
        <v>0.39511000000000002</v>
      </c>
      <c r="F186">
        <v>24951605</v>
      </c>
      <c r="G186">
        <v>0.39511000000000002</v>
      </c>
      <c r="L186" t="s">
        <v>8</v>
      </c>
      <c r="M186" t="s">
        <v>7</v>
      </c>
      <c r="N186" t="s">
        <v>7</v>
      </c>
      <c r="P186">
        <f t="shared" ref="P186" si="905">IF(C186=D186,0,((E186-D186)-(C186-E186))/(C186-D186))</f>
        <v>0.42721768886549122</v>
      </c>
      <c r="Q186">
        <f t="shared" ref="Q186" si="906">F186*P186</f>
        <v>10659767.021584636</v>
      </c>
      <c r="R186">
        <f t="shared" ref="R186" si="907">R187+Q186</f>
        <v>-557408174.05190551</v>
      </c>
      <c r="S186">
        <f t="shared" ref="S186" si="908">R186/100000</f>
        <v>-5574.0817405190555</v>
      </c>
      <c r="T186">
        <f t="shared" ref="T186" si="909">S186/1000</f>
        <v>-5.5740817405190555</v>
      </c>
    </row>
    <row r="187" spans="1:20" x14ac:dyDescent="0.25">
      <c r="A187" s="5">
        <v>44406</v>
      </c>
      <c r="B187">
        <v>0.37354999999999999</v>
      </c>
      <c r="C187">
        <v>0.38500000000000001</v>
      </c>
      <c r="D187">
        <v>0.36249999999999999</v>
      </c>
      <c r="E187">
        <v>0.37219999999999998</v>
      </c>
      <c r="F187">
        <v>12149435</v>
      </c>
      <c r="G187">
        <v>0.37219999999999998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-0.13777777777777975</v>
      </c>
      <c r="Q187">
        <f t="shared" ref="Q187" si="911">F187*P187</f>
        <v>-1673922.1555555796</v>
      </c>
      <c r="R187">
        <f t="shared" ref="R187" si="912">R188+Q187</f>
        <v>-568067941.07349014</v>
      </c>
      <c r="S187">
        <f t="shared" ref="S187" si="913">R187/100000</f>
        <v>-5680.6794107349015</v>
      </c>
      <c r="T187">
        <f t="shared" ref="T187" si="914">S187/1000</f>
        <v>-5.6806794107349017</v>
      </c>
    </row>
    <row r="188" spans="1:20" x14ac:dyDescent="0.25">
      <c r="A188" s="5">
        <v>44405</v>
      </c>
      <c r="B188">
        <v>0.38070999999999999</v>
      </c>
      <c r="C188">
        <v>0.4</v>
      </c>
      <c r="D188">
        <v>0.36</v>
      </c>
      <c r="E188">
        <v>0.37354999999999999</v>
      </c>
      <c r="F188">
        <v>18616910</v>
      </c>
      <c r="G188">
        <v>0.37354999999999999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-0.32250000000000029</v>
      </c>
      <c r="Q188">
        <f t="shared" ref="Q188" si="916">F188*P188</f>
        <v>-6003953.4750000052</v>
      </c>
      <c r="R188">
        <f t="shared" ref="R188" si="917">R189+Q188</f>
        <v>-566394018.91793454</v>
      </c>
      <c r="S188">
        <f t="shared" ref="S188" si="918">R188/100000</f>
        <v>-5663.940189179345</v>
      </c>
      <c r="T188">
        <f t="shared" ref="T188" si="919">S188/1000</f>
        <v>-5.6639401891793453</v>
      </c>
    </row>
    <row r="189" spans="1:20" x14ac:dyDescent="0.25">
      <c r="A189" s="5">
        <v>44404</v>
      </c>
      <c r="B189">
        <v>0.37938</v>
      </c>
      <c r="C189">
        <v>0.38901999999999998</v>
      </c>
      <c r="D189">
        <v>0.35987000000000002</v>
      </c>
      <c r="E189">
        <v>0.38155</v>
      </c>
      <c r="F189">
        <v>16521985</v>
      </c>
      <c r="G189">
        <v>0.38155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0.48747855917667315</v>
      </c>
      <c r="Q189">
        <f t="shared" ref="Q189" si="921">F189*P189</f>
        <v>8054113.442538606</v>
      </c>
      <c r="R189">
        <f t="shared" ref="R189" si="922">R190+Q189</f>
        <v>-560390065.44293451</v>
      </c>
      <c r="S189">
        <f t="shared" ref="S189" si="923">R189/100000</f>
        <v>-5603.9006544293452</v>
      </c>
      <c r="T189">
        <f t="shared" ref="T189" si="924">S189/1000</f>
        <v>-5.6039006544293448</v>
      </c>
    </row>
    <row r="190" spans="1:20" x14ac:dyDescent="0.25">
      <c r="A190" s="5">
        <v>44403</v>
      </c>
      <c r="B190">
        <v>0.38400000000000001</v>
      </c>
      <c r="C190">
        <v>0.44890000000000002</v>
      </c>
      <c r="D190">
        <v>0.375</v>
      </c>
      <c r="E190">
        <v>0.37944</v>
      </c>
      <c r="F190">
        <v>46778184</v>
      </c>
      <c r="G190">
        <v>0.37944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-0.8798376184032477</v>
      </c>
      <c r="Q190">
        <f t="shared" ref="Q190" si="926">F190*P190</f>
        <v>-41157206.003788911</v>
      </c>
      <c r="R190">
        <f t="shared" ref="R190" si="927">R191+Q190</f>
        <v>-568444178.88547313</v>
      </c>
      <c r="S190">
        <f t="shared" ref="S190" si="928">R190/100000</f>
        <v>-5684.4417888547314</v>
      </c>
      <c r="T190">
        <f t="shared" ref="T190" si="929">S190/1000</f>
        <v>-5.6844417888547314</v>
      </c>
    </row>
    <row r="191" spans="1:20" x14ac:dyDescent="0.25">
      <c r="A191" s="5">
        <v>44402</v>
      </c>
      <c r="B191">
        <v>0.38205</v>
      </c>
      <c r="C191">
        <v>0.39750000000000002</v>
      </c>
      <c r="D191">
        <v>0.36491000000000001</v>
      </c>
      <c r="E191">
        <v>0.38383</v>
      </c>
      <c r="F191">
        <v>19554842</v>
      </c>
      <c r="G191">
        <v>0.38383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0.16109235961951443</v>
      </c>
      <c r="Q191">
        <f t="shared" ref="Q191" si="931">F191*P191</f>
        <v>3150135.6397667849</v>
      </c>
      <c r="R191">
        <f t="shared" ref="R191" si="932">R192+Q191</f>
        <v>-527286972.88168424</v>
      </c>
      <c r="S191">
        <f t="shared" ref="S191" si="933">R191/100000</f>
        <v>-5272.8697288168423</v>
      </c>
      <c r="T191">
        <f t="shared" ref="T191:T197" si="934">S191/1000</f>
        <v>-5.2728697288168425</v>
      </c>
    </row>
    <row r="192" spans="1:20" x14ac:dyDescent="0.25">
      <c r="A192" s="5">
        <v>44401</v>
      </c>
      <c r="B192">
        <v>0.38496999999999998</v>
      </c>
      <c r="C192">
        <v>0.39989999999999998</v>
      </c>
      <c r="D192">
        <v>0.36954999999999999</v>
      </c>
      <c r="E192">
        <v>0.38196000000000002</v>
      </c>
      <c r="F192">
        <v>27834804</v>
      </c>
      <c r="G192">
        <v>0.38196000000000002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-0.18220757825370432</v>
      </c>
      <c r="Q192">
        <f t="shared" ref="Q192" si="936">F192*P192</f>
        <v>-5071712.2280065222</v>
      </c>
      <c r="R192">
        <f t="shared" ref="R192" si="937">R193+Q192</f>
        <v>-530437108.52145106</v>
      </c>
      <c r="S192">
        <f t="shared" ref="S192" si="938">R192/100000</f>
        <v>-5304.3710852145105</v>
      </c>
      <c r="T192">
        <f t="shared" si="934"/>
        <v>-5.3043710852145107</v>
      </c>
    </row>
    <row r="193" spans="1:20" x14ac:dyDescent="0.25">
      <c r="A193" s="5">
        <v>44400</v>
      </c>
      <c r="B193">
        <v>0.38168999999999997</v>
      </c>
      <c r="C193">
        <v>0.39012000000000002</v>
      </c>
      <c r="D193">
        <v>0.3599</v>
      </c>
      <c r="E193">
        <v>0.38462000000000002</v>
      </c>
      <c r="F193">
        <v>22498959</v>
      </c>
      <c r="G193">
        <v>0.38462000000000002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0.63600264725347444</v>
      </c>
      <c r="Q193">
        <f t="shared" ref="Q193" si="940">F193*P193</f>
        <v>14309397.484447384</v>
      </c>
      <c r="R193">
        <f t="shared" ref="R193" si="941">R194+Q193</f>
        <v>-525365396.29344451</v>
      </c>
      <c r="S193">
        <f t="shared" ref="S193" si="942">R193/100000</f>
        <v>-5253.6539629344452</v>
      </c>
      <c r="T193">
        <f t="shared" si="934"/>
        <v>-5.253653962934445</v>
      </c>
    </row>
    <row r="194" spans="1:20" x14ac:dyDescent="0.25">
      <c r="A194" s="5">
        <v>44399</v>
      </c>
      <c r="B194">
        <v>0.37714999999999999</v>
      </c>
      <c r="C194">
        <v>0.41887999999999997</v>
      </c>
      <c r="D194">
        <v>0.36375999999999997</v>
      </c>
      <c r="E194">
        <v>0.38168999999999997</v>
      </c>
      <c r="F194">
        <v>25436669</v>
      </c>
      <c r="G194">
        <v>0.38168999999999997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-0.34941944847605222</v>
      </c>
      <c r="Q194">
        <f t="shared" ref="Q194" si="944">F194*P194</f>
        <v>-8888066.8530478943</v>
      </c>
      <c r="R194">
        <f t="shared" ref="R194" si="945">R195+Q194</f>
        <v>-539674793.77789187</v>
      </c>
      <c r="S194">
        <f t="shared" ref="S194" si="946">R194/100000</f>
        <v>-5396.7479377789186</v>
      </c>
      <c r="T194">
        <f t="shared" si="934"/>
        <v>-5.3967479377789189</v>
      </c>
    </row>
    <row r="195" spans="1:20" x14ac:dyDescent="0.25">
      <c r="A195" s="5">
        <v>44398</v>
      </c>
      <c r="B195">
        <v>0.34661999999999998</v>
      </c>
      <c r="C195">
        <v>0.39999000000000001</v>
      </c>
      <c r="D195">
        <v>0.34076000000000001</v>
      </c>
      <c r="E195">
        <v>0.37709999999999999</v>
      </c>
      <c r="F195">
        <v>23778014</v>
      </c>
      <c r="G195">
        <v>0.37709999999999999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0.22708087118014453</v>
      </c>
      <c r="Q195">
        <f t="shared" ref="Q195" si="948">F195*P195</f>
        <v>5399532.1340536727</v>
      </c>
      <c r="R195">
        <f t="shared" ref="R195" si="949">R196+Q195</f>
        <v>-530786726.92484403</v>
      </c>
      <c r="S195">
        <f t="shared" ref="S195" si="950">R195/100000</f>
        <v>-5307.8672692484406</v>
      </c>
      <c r="T195">
        <f t="shared" si="934"/>
        <v>-5.3078672692484403</v>
      </c>
    </row>
    <row r="196" spans="1:20" x14ac:dyDescent="0.25">
      <c r="A196" s="5">
        <v>44397</v>
      </c>
      <c r="B196">
        <v>0.39106999999999997</v>
      </c>
      <c r="C196">
        <v>0.39499000000000001</v>
      </c>
      <c r="D196">
        <v>0.33800999999999998</v>
      </c>
      <c r="E196">
        <v>0.34661999999999998</v>
      </c>
      <c r="F196">
        <v>13773480</v>
      </c>
      <c r="G196">
        <v>0.34661999999999998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-0.69778869778869768</v>
      </c>
      <c r="Q196">
        <f t="shared" ref="Q196" si="952">F196*P196</f>
        <v>-9610978.6732186712</v>
      </c>
      <c r="R196">
        <f t="shared" ref="R196" si="953">R197+Q196</f>
        <v>-536186259.05889767</v>
      </c>
      <c r="S196">
        <f t="shared" ref="S196" si="954">R196/100000</f>
        <v>-5361.8625905889767</v>
      </c>
      <c r="T196">
        <f t="shared" si="934"/>
        <v>-5.3618625905889763</v>
      </c>
    </row>
    <row r="197" spans="1:20" x14ac:dyDescent="0.25">
      <c r="A197" s="5">
        <v>44396</v>
      </c>
      <c r="B197">
        <v>0.42680000000000001</v>
      </c>
      <c r="C197">
        <v>0.44950000000000001</v>
      </c>
      <c r="D197">
        <v>0.38</v>
      </c>
      <c r="E197">
        <v>0.39202999999999999</v>
      </c>
      <c r="F197">
        <v>18100647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-0.65381294964028824</v>
      </c>
      <c r="Q197">
        <f t="shared" ref="Q197" si="956">F197*P197</f>
        <v>-11834437.405467635</v>
      </c>
      <c r="R197">
        <f t="shared" ref="R197" si="957">R198+Q197</f>
        <v>-526575280.38567901</v>
      </c>
      <c r="S197">
        <f t="shared" ref="S197" si="958">R197/100000</f>
        <v>-5265.7528038567898</v>
      </c>
      <c r="T197">
        <f t="shared" si="934"/>
        <v>-5.26575280385679</v>
      </c>
    </row>
    <row r="198" spans="1:20" x14ac:dyDescent="0.25">
      <c r="A198" s="5">
        <v>44395</v>
      </c>
      <c r="B198">
        <v>0.45544000000000001</v>
      </c>
      <c r="C198">
        <v>0.48498999999999998</v>
      </c>
      <c r="D198">
        <v>0.42499999999999999</v>
      </c>
      <c r="E198">
        <v>0.42680000000000001</v>
      </c>
      <c r="F198">
        <v>27544273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-0.93998999833305474</v>
      </c>
      <c r="Q198">
        <f t="shared" ref="Q198:Q261" si="960">F198*P198</f>
        <v>-25891341.131355204</v>
      </c>
      <c r="R198">
        <f t="shared" ref="R198:R261" si="961">R199+Q198</f>
        <v>-514740842.98021138</v>
      </c>
      <c r="S198">
        <f t="shared" ref="S198:S261" si="962">R198/100000</f>
        <v>-5147.4084298021135</v>
      </c>
      <c r="T198">
        <f t="shared" ref="T198:T261" si="963">S198/1000</f>
        <v>-5.1474084298021134</v>
      </c>
    </row>
    <row r="199" spans="1:20" x14ac:dyDescent="0.25">
      <c r="A199" s="5">
        <v>44394</v>
      </c>
      <c r="B199">
        <v>0.46704000000000001</v>
      </c>
      <c r="C199">
        <v>0.52800000000000002</v>
      </c>
      <c r="D199">
        <v>0.43467</v>
      </c>
      <c r="E199">
        <v>0.45710000000000001</v>
      </c>
      <c r="F199">
        <v>84441567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-0.51933997642772955</v>
      </c>
      <c r="Q199">
        <f t="shared" si="960"/>
        <v>-43853881.415300548</v>
      </c>
      <c r="R199">
        <f t="shared" si="961"/>
        <v>-488849501.84885615</v>
      </c>
      <c r="S199">
        <f t="shared" si="962"/>
        <v>-4888.4950184885611</v>
      </c>
      <c r="T199">
        <f t="shared" si="963"/>
        <v>-4.8884950184885607</v>
      </c>
    </row>
    <row r="200" spans="1:20" x14ac:dyDescent="0.25">
      <c r="A200" s="5">
        <v>44393</v>
      </c>
      <c r="B200">
        <v>0.50799000000000005</v>
      </c>
      <c r="C200">
        <v>0.55998999999999999</v>
      </c>
      <c r="D200">
        <v>0.4</v>
      </c>
      <c r="E200">
        <v>0.46704000000000001</v>
      </c>
      <c r="F200">
        <v>155012362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-0.16194762172635785</v>
      </c>
      <c r="Q200">
        <f t="shared" si="960"/>
        <v>-25103883.36408525</v>
      </c>
      <c r="R200">
        <f t="shared" si="961"/>
        <v>-444995620.4335556</v>
      </c>
      <c r="S200">
        <f t="shared" si="962"/>
        <v>-4449.9562043355563</v>
      </c>
      <c r="T200">
        <f t="shared" si="963"/>
        <v>-4.4499562043355567</v>
      </c>
    </row>
    <row r="201" spans="1:20" x14ac:dyDescent="0.25">
      <c r="A201" s="5">
        <v>44392</v>
      </c>
      <c r="B201">
        <v>0.36889</v>
      </c>
      <c r="C201">
        <v>0.58875999999999995</v>
      </c>
      <c r="D201">
        <v>0.36499999999999999</v>
      </c>
      <c r="E201">
        <v>0.50797999999999999</v>
      </c>
      <c r="F201">
        <v>138059936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0.27797640328923867</v>
      </c>
      <c r="Q201">
        <f t="shared" si="960"/>
        <v>38377404.447622478</v>
      </c>
      <c r="R201">
        <f t="shared" si="961"/>
        <v>-419891737.06947035</v>
      </c>
      <c r="S201">
        <f t="shared" si="962"/>
        <v>-4198.9173706947031</v>
      </c>
      <c r="T201">
        <f t="shared" si="963"/>
        <v>-4.1989173706947032</v>
      </c>
    </row>
    <row r="202" spans="1:20" x14ac:dyDescent="0.25">
      <c r="A202" s="5">
        <v>44391</v>
      </c>
      <c r="B202">
        <v>0.36692999999999998</v>
      </c>
      <c r="C202">
        <v>0.38494</v>
      </c>
      <c r="D202">
        <v>0.34200999999999998</v>
      </c>
      <c r="E202">
        <v>0.36841000000000002</v>
      </c>
      <c r="F202">
        <v>10946258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0.22990915443745724</v>
      </c>
      <c r="Q202">
        <f t="shared" si="960"/>
        <v>2516644.9210342518</v>
      </c>
      <c r="R202">
        <f t="shared" si="961"/>
        <v>-458269141.51709282</v>
      </c>
      <c r="S202">
        <f t="shared" si="962"/>
        <v>-4582.6914151709279</v>
      </c>
      <c r="T202">
        <f t="shared" si="963"/>
        <v>-4.5826914151709284</v>
      </c>
    </row>
    <row r="203" spans="1:20" x14ac:dyDescent="0.25">
      <c r="A203" s="5">
        <v>44390</v>
      </c>
      <c r="B203">
        <v>0.40212999999999999</v>
      </c>
      <c r="C203">
        <v>0.40694999999999998</v>
      </c>
      <c r="D203">
        <v>0.35821999999999998</v>
      </c>
      <c r="E203">
        <v>0.36691000000000001</v>
      </c>
      <c r="F203">
        <v>11718075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-0.64334085778780903</v>
      </c>
      <c r="Q203">
        <f t="shared" si="960"/>
        <v>-7538716.4221218806</v>
      </c>
      <c r="R203">
        <f t="shared" si="961"/>
        <v>-460785786.4381271</v>
      </c>
      <c r="S203">
        <f t="shared" si="962"/>
        <v>-4607.8578643812707</v>
      </c>
      <c r="T203">
        <f t="shared" si="963"/>
        <v>-4.6078578643812707</v>
      </c>
    </row>
    <row r="204" spans="1:20" x14ac:dyDescent="0.25">
      <c r="A204" s="5">
        <v>44389</v>
      </c>
      <c r="B204">
        <v>0.41877999999999999</v>
      </c>
      <c r="C204">
        <v>0.43</v>
      </c>
      <c r="D204">
        <v>0.39007999999999998</v>
      </c>
      <c r="E204">
        <v>0.40222999999999998</v>
      </c>
      <c r="F204">
        <v>6954604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-0.391282565130261</v>
      </c>
      <c r="Q204">
        <f t="shared" si="960"/>
        <v>-2721215.2925851736</v>
      </c>
      <c r="R204">
        <f t="shared" si="961"/>
        <v>-453247070.01600522</v>
      </c>
      <c r="S204">
        <f t="shared" si="962"/>
        <v>-4532.4707001600518</v>
      </c>
      <c r="T204">
        <f t="shared" si="963"/>
        <v>-4.5324707001600517</v>
      </c>
    </row>
    <row r="205" spans="1:20" x14ac:dyDescent="0.25">
      <c r="A205" s="5">
        <v>44388</v>
      </c>
      <c r="B205">
        <v>0.40991</v>
      </c>
      <c r="C205">
        <v>0.42497000000000001</v>
      </c>
      <c r="D205">
        <v>0.40200000000000002</v>
      </c>
      <c r="E205">
        <v>0.41846</v>
      </c>
      <c r="F205">
        <v>5074830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0.43317370483238848</v>
      </c>
      <c r="Q205">
        <f t="shared" si="960"/>
        <v>2198282.91249455</v>
      </c>
      <c r="R205">
        <f t="shared" si="961"/>
        <v>-450525854.72342002</v>
      </c>
      <c r="S205">
        <f t="shared" si="962"/>
        <v>-4505.2585472341998</v>
      </c>
      <c r="T205">
        <f t="shared" si="963"/>
        <v>-4.5052585472341997</v>
      </c>
    </row>
    <row r="206" spans="1:20" x14ac:dyDescent="0.25">
      <c r="A206" s="5">
        <v>44387</v>
      </c>
      <c r="B206">
        <v>0.42498999999999998</v>
      </c>
      <c r="C206">
        <v>0.43264999999999998</v>
      </c>
      <c r="D206">
        <v>0.40061000000000002</v>
      </c>
      <c r="E206">
        <v>0.40991</v>
      </c>
      <c r="F206">
        <v>7566751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-0.41947565543071241</v>
      </c>
      <c r="Q206">
        <f t="shared" si="960"/>
        <v>-3174067.8352059987</v>
      </c>
      <c r="R206">
        <f t="shared" si="961"/>
        <v>-452724137.63591456</v>
      </c>
      <c r="S206">
        <f t="shared" si="962"/>
        <v>-4527.2413763591458</v>
      </c>
      <c r="T206">
        <f t="shared" si="963"/>
        <v>-4.5272413763591457</v>
      </c>
    </row>
    <row r="207" spans="1:20" x14ac:dyDescent="0.25">
      <c r="A207" s="5">
        <v>44386</v>
      </c>
      <c r="B207">
        <v>0.42716999999999999</v>
      </c>
      <c r="C207">
        <v>0.44800000000000001</v>
      </c>
      <c r="D207">
        <v>0.39701999999999998</v>
      </c>
      <c r="E207">
        <v>0.42451</v>
      </c>
      <c r="F207">
        <v>12282330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7.8462142016477082E-2</v>
      </c>
      <c r="Q207">
        <f t="shared" si="960"/>
        <v>963697.92075323698</v>
      </c>
      <c r="R207">
        <f t="shared" si="961"/>
        <v>-449550069.80070859</v>
      </c>
      <c r="S207">
        <f t="shared" si="962"/>
        <v>-4495.5006980070857</v>
      </c>
      <c r="T207">
        <f t="shared" si="963"/>
        <v>-4.4955006980070857</v>
      </c>
    </row>
    <row r="208" spans="1:20" x14ac:dyDescent="0.25">
      <c r="A208" s="5">
        <v>44385</v>
      </c>
      <c r="B208">
        <v>0.47062999999999999</v>
      </c>
      <c r="C208">
        <v>0.47252</v>
      </c>
      <c r="D208">
        <v>0.42199999999999999</v>
      </c>
      <c r="E208">
        <v>0.42832999999999999</v>
      </c>
      <c r="F208">
        <v>8632445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-0.74940617577197144</v>
      </c>
      <c r="Q208">
        <f t="shared" si="960"/>
        <v>-6469207.595011876</v>
      </c>
      <c r="R208">
        <f t="shared" si="961"/>
        <v>-450513767.72146183</v>
      </c>
      <c r="S208">
        <f t="shared" si="962"/>
        <v>-4505.1376772146186</v>
      </c>
      <c r="T208">
        <f t="shared" si="963"/>
        <v>-4.505137677214619</v>
      </c>
    </row>
    <row r="209" spans="1:20" x14ac:dyDescent="0.25">
      <c r="A209" s="5">
        <v>44384</v>
      </c>
      <c r="B209">
        <v>0.45358999999999999</v>
      </c>
      <c r="C209">
        <v>0.49835000000000002</v>
      </c>
      <c r="D209">
        <v>0.44874000000000003</v>
      </c>
      <c r="E209">
        <v>0.47064</v>
      </c>
      <c r="F209">
        <v>17821599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-0.1171134851844394</v>
      </c>
      <c r="Q209">
        <f t="shared" si="960"/>
        <v>-2087149.5704495199</v>
      </c>
      <c r="R209">
        <f t="shared" si="961"/>
        <v>-444044560.12644994</v>
      </c>
      <c r="S209">
        <f t="shared" si="962"/>
        <v>-4440.4456012644996</v>
      </c>
      <c r="T209">
        <f t="shared" si="963"/>
        <v>-4.4404456012644999</v>
      </c>
    </row>
    <row r="210" spans="1:20" x14ac:dyDescent="0.25">
      <c r="A210" s="5">
        <v>44383</v>
      </c>
      <c r="B210">
        <v>0.44603999999999999</v>
      </c>
      <c r="C210">
        <v>0.46728999999999998</v>
      </c>
      <c r="D210">
        <v>0.44164999999999999</v>
      </c>
      <c r="E210">
        <v>0.45358999999999999</v>
      </c>
      <c r="F210">
        <v>9239135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-6.8642745709827771E-2</v>
      </c>
      <c r="Q210">
        <f t="shared" si="960"/>
        <v>-634199.59438376955</v>
      </c>
      <c r="R210">
        <f t="shared" si="961"/>
        <v>-441957410.55600041</v>
      </c>
      <c r="S210">
        <f t="shared" si="962"/>
        <v>-4419.5741055600038</v>
      </c>
      <c r="T210">
        <f t="shared" si="963"/>
        <v>-4.4195741055600042</v>
      </c>
    </row>
    <row r="211" spans="1:20" x14ac:dyDescent="0.25">
      <c r="A211" s="5">
        <v>44382</v>
      </c>
      <c r="B211">
        <v>0.46711000000000003</v>
      </c>
      <c r="C211">
        <v>0.48198000000000002</v>
      </c>
      <c r="D211">
        <v>0.43941999999999998</v>
      </c>
      <c r="E211">
        <v>0.44696999999999998</v>
      </c>
      <c r="F211">
        <v>13624667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-0.64520676691729351</v>
      </c>
      <c r="Q211">
        <f t="shared" si="960"/>
        <v>-8790727.3453947399</v>
      </c>
      <c r="R211">
        <f t="shared" si="961"/>
        <v>-441323210.96161664</v>
      </c>
      <c r="S211">
        <f t="shared" si="962"/>
        <v>-4413.2321096161668</v>
      </c>
      <c r="T211">
        <f t="shared" si="963"/>
        <v>-4.4132321096161666</v>
      </c>
    </row>
    <row r="212" spans="1:20" x14ac:dyDescent="0.25">
      <c r="A212" s="5">
        <v>44381</v>
      </c>
      <c r="B212">
        <v>0.46109</v>
      </c>
      <c r="C212">
        <v>0.47655999999999998</v>
      </c>
      <c r="D212">
        <v>0.45145000000000002</v>
      </c>
      <c r="E212">
        <v>0.46711000000000003</v>
      </c>
      <c r="F212">
        <v>10115550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0.24731182795699153</v>
      </c>
      <c r="Q212">
        <f t="shared" si="960"/>
        <v>2501695.1612903457</v>
      </c>
      <c r="R212">
        <f t="shared" si="961"/>
        <v>-432532483.6162219</v>
      </c>
      <c r="S212">
        <f t="shared" si="962"/>
        <v>-4325.3248361622191</v>
      </c>
      <c r="T212">
        <f t="shared" si="963"/>
        <v>-4.3253248361622187</v>
      </c>
    </row>
    <row r="213" spans="1:20" x14ac:dyDescent="0.25">
      <c r="A213" s="5">
        <v>44380</v>
      </c>
      <c r="B213">
        <v>0.46327000000000002</v>
      </c>
      <c r="C213">
        <v>0.48131000000000002</v>
      </c>
      <c r="D213">
        <v>0.45450000000000002</v>
      </c>
      <c r="E213">
        <v>0.46040999999999999</v>
      </c>
      <c r="F213">
        <v>8751906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-0.55911973144349347</v>
      </c>
      <c r="Q213">
        <f t="shared" si="960"/>
        <v>-4893363.3323386991</v>
      </c>
      <c r="R213">
        <f t="shared" si="961"/>
        <v>-435034178.77751225</v>
      </c>
      <c r="S213">
        <f t="shared" si="962"/>
        <v>-4350.3417877751226</v>
      </c>
      <c r="T213">
        <f t="shared" si="963"/>
        <v>-4.3503417877751227</v>
      </c>
    </row>
    <row r="214" spans="1:20" x14ac:dyDescent="0.25">
      <c r="A214" s="5">
        <v>44379</v>
      </c>
      <c r="B214">
        <v>0.46864</v>
      </c>
      <c r="C214">
        <v>0.5</v>
      </c>
      <c r="D214">
        <v>0.44551000000000002</v>
      </c>
      <c r="E214">
        <v>0.46328000000000003</v>
      </c>
      <c r="F214">
        <v>11085719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-0.34777023307028765</v>
      </c>
      <c r="Q214">
        <f t="shared" si="960"/>
        <v>-3855283.0803817161</v>
      </c>
      <c r="R214">
        <f t="shared" si="961"/>
        <v>-430140815.44517356</v>
      </c>
      <c r="S214">
        <f t="shared" si="962"/>
        <v>-4301.4081544517358</v>
      </c>
      <c r="T214">
        <f t="shared" si="963"/>
        <v>-4.3014081544517362</v>
      </c>
    </row>
    <row r="215" spans="1:20" x14ac:dyDescent="0.25">
      <c r="A215" s="5">
        <v>44378</v>
      </c>
      <c r="B215">
        <v>0.49520999999999998</v>
      </c>
      <c r="C215">
        <v>0.49591000000000002</v>
      </c>
      <c r="D215">
        <v>0.45472000000000001</v>
      </c>
      <c r="E215">
        <v>0.46864</v>
      </c>
      <c r="F215">
        <v>9972951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-0.32410779315367871</v>
      </c>
      <c r="Q215">
        <f t="shared" si="960"/>
        <v>-3232311.1398397731</v>
      </c>
      <c r="R215">
        <f t="shared" si="961"/>
        <v>-426285532.36479187</v>
      </c>
      <c r="S215">
        <f t="shared" si="962"/>
        <v>-4262.8553236479183</v>
      </c>
      <c r="T215">
        <f t="shared" si="963"/>
        <v>-4.2628553236479183</v>
      </c>
    </row>
    <row r="216" spans="1:20" x14ac:dyDescent="0.25">
      <c r="A216" s="5">
        <v>44377</v>
      </c>
      <c r="B216">
        <v>0.51759999999999995</v>
      </c>
      <c r="C216">
        <v>0.52991999999999995</v>
      </c>
      <c r="D216">
        <v>0.46800000000000003</v>
      </c>
      <c r="E216">
        <v>0.49614999999999998</v>
      </c>
      <c r="F216">
        <v>22664511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-9.0762273901809132E-2</v>
      </c>
      <c r="Q216">
        <f t="shared" si="960"/>
        <v>-2057082.5552325661</v>
      </c>
      <c r="R216">
        <f t="shared" si="961"/>
        <v>-423053221.2249521</v>
      </c>
      <c r="S216">
        <f t="shared" si="962"/>
        <v>-4230.5322122495209</v>
      </c>
      <c r="T216">
        <f t="shared" si="963"/>
        <v>-4.2305322122495213</v>
      </c>
    </row>
    <row r="217" spans="1:20" x14ac:dyDescent="0.25">
      <c r="A217" s="5">
        <v>44376</v>
      </c>
      <c r="B217">
        <v>0.51</v>
      </c>
      <c r="C217">
        <v>0.56716999999999995</v>
      </c>
      <c r="D217">
        <v>0.50800000000000001</v>
      </c>
      <c r="E217">
        <v>0.51770000000000005</v>
      </c>
      <c r="F217">
        <v>27309275</v>
      </c>
      <c r="G217">
        <v>0</v>
      </c>
      <c r="L217" t="s">
        <v>7</v>
      </c>
      <c r="M217" t="s">
        <v>8</v>
      </c>
      <c r="N217" t="s">
        <v>7</v>
      </c>
      <c r="P217">
        <f t="shared" si="959"/>
        <v>-0.67213114754098191</v>
      </c>
      <c r="Q217">
        <f t="shared" si="960"/>
        <v>-18355414.34426225</v>
      </c>
      <c r="R217">
        <f t="shared" si="961"/>
        <v>-420996138.66971952</v>
      </c>
      <c r="S217">
        <f t="shared" si="962"/>
        <v>-4209.9613866971949</v>
      </c>
      <c r="T217">
        <f t="shared" si="963"/>
        <v>-4.209961386697195</v>
      </c>
    </row>
    <row r="218" spans="1:20" x14ac:dyDescent="0.25">
      <c r="A218" s="5">
        <v>44375</v>
      </c>
      <c r="B218">
        <v>0.47558</v>
      </c>
      <c r="C218">
        <v>0.59499999999999997</v>
      </c>
      <c r="D218">
        <v>0.46721000000000001</v>
      </c>
      <c r="E218">
        <v>0.51078000000000001</v>
      </c>
      <c r="F218">
        <v>70844190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-0.31810000782533826</v>
      </c>
      <c r="Q218">
        <f t="shared" si="960"/>
        <v>-22535537.393379752</v>
      </c>
      <c r="R218">
        <f t="shared" si="961"/>
        <v>-402640724.32545727</v>
      </c>
      <c r="S218">
        <f t="shared" si="962"/>
        <v>-4026.4072432545727</v>
      </c>
      <c r="T218">
        <f t="shared" si="963"/>
        <v>-4.0264072432545728</v>
      </c>
    </row>
    <row r="219" spans="1:20" x14ac:dyDescent="0.25">
      <c r="A219" s="5">
        <v>44374</v>
      </c>
      <c r="B219">
        <v>0.45989999999999998</v>
      </c>
      <c r="C219">
        <v>0.48</v>
      </c>
      <c r="D219">
        <v>0.43153999999999998</v>
      </c>
      <c r="E219">
        <v>0.47558</v>
      </c>
      <c r="F219">
        <v>12480618</v>
      </c>
      <c r="G219">
        <v>0</v>
      </c>
      <c r="L219" t="s">
        <v>7</v>
      </c>
      <c r="M219" t="s">
        <v>7</v>
      </c>
      <c r="N219" t="s">
        <v>7</v>
      </c>
      <c r="P219">
        <f t="shared" si="959"/>
        <v>0.81758151052414452</v>
      </c>
      <c r="Q219">
        <f t="shared" si="960"/>
        <v>10203922.516714828</v>
      </c>
      <c r="R219">
        <f t="shared" si="961"/>
        <v>-380105186.93207753</v>
      </c>
      <c r="S219">
        <f t="shared" si="962"/>
        <v>-3801.0518693207755</v>
      </c>
      <c r="T219">
        <f t="shared" si="963"/>
        <v>-3.8010518693207755</v>
      </c>
    </row>
    <row r="220" spans="1:20" x14ac:dyDescent="0.25">
      <c r="A220" s="5">
        <v>44373</v>
      </c>
      <c r="B220">
        <v>0.47</v>
      </c>
      <c r="C220">
        <v>0.4904</v>
      </c>
      <c r="D220">
        <v>0.438</v>
      </c>
      <c r="E220">
        <v>0.45962999999999998</v>
      </c>
      <c r="F220">
        <v>9199403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-0.17442748091603125</v>
      </c>
      <c r="Q220">
        <f t="shared" si="960"/>
        <v>-1604628.6912213806</v>
      </c>
      <c r="R220">
        <f t="shared" si="961"/>
        <v>-390309109.44879234</v>
      </c>
      <c r="S220">
        <f t="shared" si="962"/>
        <v>-3903.0910944879233</v>
      </c>
      <c r="T220">
        <f t="shared" si="963"/>
        <v>-3.9030910944879231</v>
      </c>
    </row>
    <row r="221" spans="1:20" x14ac:dyDescent="0.25">
      <c r="A221" s="5">
        <v>44372</v>
      </c>
      <c r="B221">
        <v>0.52290999999999999</v>
      </c>
      <c r="C221">
        <v>0.53990000000000005</v>
      </c>
      <c r="D221">
        <v>0.46300999999999998</v>
      </c>
      <c r="E221">
        <v>0.47</v>
      </c>
      <c r="F221">
        <v>18017914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-0.81818181818181845</v>
      </c>
      <c r="Q221">
        <f t="shared" si="960"/>
        <v>-14741929.63636364</v>
      </c>
      <c r="R221">
        <f t="shared" si="961"/>
        <v>-388704480.75757098</v>
      </c>
      <c r="S221">
        <f t="shared" si="962"/>
        <v>-3887.0448075757099</v>
      </c>
      <c r="T221">
        <f t="shared" si="963"/>
        <v>-3.8870448075757098</v>
      </c>
    </row>
    <row r="222" spans="1:20" x14ac:dyDescent="0.25">
      <c r="A222" s="5">
        <v>44371</v>
      </c>
      <c r="B222">
        <v>0.53741000000000005</v>
      </c>
      <c r="C222">
        <v>0.54115000000000002</v>
      </c>
      <c r="D222">
        <v>0.51</v>
      </c>
      <c r="E222">
        <v>0.52366999999999997</v>
      </c>
      <c r="F222">
        <v>15060533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-0.12231139646870272</v>
      </c>
      <c r="Q222">
        <f t="shared" si="960"/>
        <v>-1842074.8227929808</v>
      </c>
      <c r="R222">
        <f t="shared" si="961"/>
        <v>-373962551.12120736</v>
      </c>
      <c r="S222">
        <f t="shared" si="962"/>
        <v>-3739.6255112120734</v>
      </c>
      <c r="T222">
        <f t="shared" si="963"/>
        <v>-3.7396255112120733</v>
      </c>
    </row>
    <row r="223" spans="1:20" x14ac:dyDescent="0.25">
      <c r="A223" s="5">
        <v>44370</v>
      </c>
      <c r="B223">
        <v>0.49630000000000002</v>
      </c>
      <c r="C223">
        <v>0.62870000000000004</v>
      </c>
      <c r="D223">
        <v>0.47839999999999999</v>
      </c>
      <c r="E223">
        <v>0.53741000000000005</v>
      </c>
      <c r="F223">
        <v>38800172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-0.21477045908183573</v>
      </c>
      <c r="Q223">
        <f t="shared" si="960"/>
        <v>-8333130.7528941883</v>
      </c>
      <c r="R223">
        <f t="shared" si="961"/>
        <v>-372120476.29841435</v>
      </c>
      <c r="S223">
        <f t="shared" si="962"/>
        <v>-3721.2047629841436</v>
      </c>
      <c r="T223">
        <f t="shared" si="963"/>
        <v>-3.7212047629841436</v>
      </c>
    </row>
    <row r="224" spans="1:20" x14ac:dyDescent="0.25">
      <c r="A224" s="5">
        <v>44369</v>
      </c>
      <c r="B224">
        <v>0.51300000000000001</v>
      </c>
      <c r="C224">
        <v>0.67700000000000005</v>
      </c>
      <c r="D224">
        <v>0.46815000000000001</v>
      </c>
      <c r="E224">
        <v>0.49532999999999999</v>
      </c>
      <c r="F224">
        <v>44597301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-0.73971750059851593</v>
      </c>
      <c r="Q224">
        <f t="shared" si="960"/>
        <v>-32989404.029159695</v>
      </c>
      <c r="R224">
        <f t="shared" si="961"/>
        <v>-363787345.54552019</v>
      </c>
      <c r="S224">
        <f t="shared" si="962"/>
        <v>-3637.873455455202</v>
      </c>
      <c r="T224">
        <f t="shared" si="963"/>
        <v>-3.6378734554552019</v>
      </c>
    </row>
    <row r="225" spans="1:20" x14ac:dyDescent="0.25">
      <c r="A225" s="5">
        <v>44368</v>
      </c>
      <c r="B225">
        <v>0.71774000000000004</v>
      </c>
      <c r="C225">
        <v>0.72160999999999997</v>
      </c>
      <c r="D225">
        <v>0.51058999999999999</v>
      </c>
      <c r="E225">
        <v>0.51232999999999995</v>
      </c>
      <c r="F225">
        <v>18785750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-0.98350867216377624</v>
      </c>
      <c r="Q225">
        <f t="shared" si="960"/>
        <v>-18475948.03810066</v>
      </c>
      <c r="R225">
        <f t="shared" si="961"/>
        <v>-330797941.51636046</v>
      </c>
      <c r="S225">
        <f t="shared" si="962"/>
        <v>-3307.9794151636047</v>
      </c>
      <c r="T225">
        <f t="shared" si="963"/>
        <v>-3.3079794151636048</v>
      </c>
    </row>
    <row r="226" spans="1:20" x14ac:dyDescent="0.25">
      <c r="A226" s="5">
        <v>44367</v>
      </c>
      <c r="B226">
        <v>0.72153</v>
      </c>
      <c r="C226">
        <v>0.73221000000000003</v>
      </c>
      <c r="D226">
        <v>0.65600000000000003</v>
      </c>
      <c r="E226">
        <v>0.71787000000000001</v>
      </c>
      <c r="F226">
        <v>17664879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0.62367143419498705</v>
      </c>
      <c r="Q226">
        <f t="shared" si="960"/>
        <v>11017080.420810908</v>
      </c>
      <c r="R226">
        <f t="shared" si="961"/>
        <v>-312321993.4782598</v>
      </c>
      <c r="S226">
        <f t="shared" si="962"/>
        <v>-3123.2199347825981</v>
      </c>
      <c r="T226">
        <f t="shared" si="963"/>
        <v>-3.1232199347825982</v>
      </c>
    </row>
    <row r="227" spans="1:20" x14ac:dyDescent="0.25">
      <c r="A227" s="5">
        <v>44366</v>
      </c>
      <c r="B227">
        <v>0.73699999999999999</v>
      </c>
      <c r="C227">
        <v>0.79</v>
      </c>
      <c r="D227">
        <v>0.71</v>
      </c>
      <c r="E227">
        <v>0.72016999999999998</v>
      </c>
      <c r="F227">
        <v>22237941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-0.74574999999999991</v>
      </c>
      <c r="Q227">
        <f t="shared" si="960"/>
        <v>-16583944.500749998</v>
      </c>
      <c r="R227">
        <f t="shared" si="961"/>
        <v>-323339073.89907074</v>
      </c>
      <c r="S227">
        <f t="shared" si="962"/>
        <v>-3233.3907389907072</v>
      </c>
      <c r="T227">
        <f t="shared" si="963"/>
        <v>-3.2333907389907073</v>
      </c>
    </row>
    <row r="228" spans="1:20" x14ac:dyDescent="0.25">
      <c r="A228" s="5">
        <v>44365</v>
      </c>
      <c r="B228">
        <v>0.83099999999999996</v>
      </c>
      <c r="C228">
        <v>0.83618999999999999</v>
      </c>
      <c r="D228">
        <v>0.70221999999999996</v>
      </c>
      <c r="E228">
        <v>0.73792999999999997</v>
      </c>
      <c r="F228">
        <v>26266175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-0.46689557363588846</v>
      </c>
      <c r="Q228">
        <f t="shared" si="960"/>
        <v>-12263560.843845632</v>
      </c>
      <c r="R228">
        <f t="shared" si="961"/>
        <v>-306755129.39832073</v>
      </c>
      <c r="S228">
        <f t="shared" si="962"/>
        <v>-3067.5512939832074</v>
      </c>
      <c r="T228">
        <f t="shared" si="963"/>
        <v>-3.0675512939832075</v>
      </c>
    </row>
    <row r="229" spans="1:20" x14ac:dyDescent="0.25">
      <c r="A229" s="5">
        <v>44364</v>
      </c>
      <c r="B229">
        <v>0.87575000000000003</v>
      </c>
      <c r="C229">
        <v>0.93</v>
      </c>
      <c r="D229">
        <v>0.81498999999999999</v>
      </c>
      <c r="E229">
        <v>0.83101999999999998</v>
      </c>
      <c r="F229">
        <v>21436815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-0.72124163116250795</v>
      </c>
      <c r="Q229">
        <f t="shared" si="960"/>
        <v>-15461123.417528918</v>
      </c>
      <c r="R229">
        <f t="shared" si="961"/>
        <v>-294491568.55447513</v>
      </c>
      <c r="S229">
        <f t="shared" si="962"/>
        <v>-2944.9156855447513</v>
      </c>
      <c r="T229">
        <f t="shared" si="963"/>
        <v>-2.9449156855447511</v>
      </c>
    </row>
    <row r="230" spans="1:20" x14ac:dyDescent="0.25">
      <c r="A230" s="5">
        <v>44363</v>
      </c>
      <c r="B230">
        <v>0.97163999999999995</v>
      </c>
      <c r="C230">
        <v>1.02</v>
      </c>
      <c r="D230">
        <v>0.87085000000000001</v>
      </c>
      <c r="E230">
        <v>0.87575000000000003</v>
      </c>
      <c r="F230">
        <v>33967103</v>
      </c>
      <c r="G230">
        <v>0</v>
      </c>
      <c r="L230" t="s">
        <v>8</v>
      </c>
      <c r="M230" t="s">
        <v>7</v>
      </c>
      <c r="N230" t="s">
        <v>8</v>
      </c>
      <c r="P230">
        <f t="shared" si="959"/>
        <v>-0.93429433456252076</v>
      </c>
      <c r="Q230">
        <f t="shared" si="960"/>
        <v>-31735271.894401602</v>
      </c>
      <c r="R230">
        <f t="shared" si="961"/>
        <v>-279030445.1369462</v>
      </c>
      <c r="S230">
        <f t="shared" si="962"/>
        <v>-2790.3044513694622</v>
      </c>
      <c r="T230">
        <f t="shared" si="963"/>
        <v>-2.7903044513694621</v>
      </c>
    </row>
    <row r="231" spans="1:20" x14ac:dyDescent="0.25">
      <c r="A231" s="5">
        <v>44362</v>
      </c>
      <c r="B231">
        <v>0.94603000000000004</v>
      </c>
      <c r="C231">
        <v>1.087</v>
      </c>
      <c r="D231">
        <v>0.88222</v>
      </c>
      <c r="E231">
        <v>0.97241</v>
      </c>
      <c r="F231">
        <v>108266281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-0.11915226096298458</v>
      </c>
      <c r="Q231">
        <f t="shared" si="960"/>
        <v>-12900172.167203819</v>
      </c>
      <c r="R231">
        <f t="shared" si="961"/>
        <v>-247295173.24254459</v>
      </c>
      <c r="S231">
        <f t="shared" si="962"/>
        <v>-2472.9517324254457</v>
      </c>
      <c r="T231">
        <f t="shared" si="963"/>
        <v>-2.4729517324254457</v>
      </c>
    </row>
    <row r="232" spans="1:20" x14ac:dyDescent="0.25">
      <c r="A232" s="5">
        <v>44361</v>
      </c>
      <c r="B232">
        <v>0.97221999999999997</v>
      </c>
      <c r="C232">
        <v>1.14819</v>
      </c>
      <c r="D232">
        <v>0.91</v>
      </c>
      <c r="E232">
        <v>0.94406999999999996</v>
      </c>
      <c r="F232">
        <v>183073344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-0.71392585750871207</v>
      </c>
      <c r="Q232">
        <f t="shared" si="960"/>
        <v>-130700794.10218742</v>
      </c>
      <c r="R232">
        <f t="shared" si="961"/>
        <v>-234395001.07534078</v>
      </c>
      <c r="S232">
        <f t="shared" si="962"/>
        <v>-2343.9500107534077</v>
      </c>
      <c r="T232">
        <f t="shared" si="963"/>
        <v>-2.3439500107534075</v>
      </c>
    </row>
    <row r="233" spans="1:20" x14ac:dyDescent="0.25">
      <c r="A233" s="5">
        <v>44360</v>
      </c>
      <c r="B233">
        <v>0.60024</v>
      </c>
      <c r="C233">
        <v>1.08728</v>
      </c>
      <c r="D233">
        <v>0.57462999999999997</v>
      </c>
      <c r="E233">
        <v>0.97221999999999997</v>
      </c>
      <c r="F233">
        <v>250679020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0.55111674631815066</v>
      </c>
      <c r="Q233">
        <f t="shared" si="960"/>
        <v>138153405.87262261</v>
      </c>
      <c r="R233">
        <f t="shared" si="961"/>
        <v>-103694206.97315335</v>
      </c>
      <c r="S233">
        <f t="shared" si="962"/>
        <v>-1036.9420697315336</v>
      </c>
      <c r="T233">
        <f t="shared" si="963"/>
        <v>-1.0369420697315337</v>
      </c>
    </row>
    <row r="234" spans="1:20" x14ac:dyDescent="0.25">
      <c r="A234" s="5">
        <v>44359</v>
      </c>
      <c r="B234">
        <v>0.61380000000000001</v>
      </c>
      <c r="C234">
        <v>0.66598999999999997</v>
      </c>
      <c r="D234">
        <v>0.54022999999999999</v>
      </c>
      <c r="E234">
        <v>0.60041</v>
      </c>
      <c r="F234">
        <v>22598044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-4.2938931297709614E-2</v>
      </c>
      <c r="Q234">
        <f t="shared" si="960"/>
        <v>-970335.85877861897</v>
      </c>
      <c r="R234">
        <f t="shared" si="961"/>
        <v>-241847612.84577596</v>
      </c>
      <c r="S234">
        <f t="shared" si="962"/>
        <v>-2418.4761284577598</v>
      </c>
      <c r="T234">
        <f t="shared" si="963"/>
        <v>-2.4184761284577601</v>
      </c>
    </row>
    <row r="235" spans="1:20" x14ac:dyDescent="0.25">
      <c r="A235" s="5">
        <v>44358</v>
      </c>
      <c r="B235">
        <v>0.74092000000000002</v>
      </c>
      <c r="C235">
        <v>0.77293999999999996</v>
      </c>
      <c r="D235">
        <v>0.60099999999999998</v>
      </c>
      <c r="E235">
        <v>0.61334999999999995</v>
      </c>
      <c r="F235">
        <v>25170260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-0.85634523671048068</v>
      </c>
      <c r="Q235">
        <f t="shared" si="960"/>
        <v>-21554432.257764343</v>
      </c>
      <c r="R235">
        <f t="shared" si="961"/>
        <v>-240877276.98699734</v>
      </c>
      <c r="S235">
        <f t="shared" si="962"/>
        <v>-2408.7727698699732</v>
      </c>
      <c r="T235">
        <f t="shared" si="963"/>
        <v>-2.408772769869973</v>
      </c>
    </row>
    <row r="236" spans="1:20" x14ac:dyDescent="0.25">
      <c r="A236" s="5">
        <v>44357</v>
      </c>
      <c r="B236">
        <v>0.91981000000000002</v>
      </c>
      <c r="C236">
        <v>0.95</v>
      </c>
      <c r="D236">
        <v>0.70099999999999996</v>
      </c>
      <c r="E236">
        <v>0.74112999999999996</v>
      </c>
      <c r="F236">
        <v>32319674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-0.67767068273092368</v>
      </c>
      <c r="Q236">
        <f t="shared" si="960"/>
        <v>-21902095.545220882</v>
      </c>
      <c r="R236">
        <f t="shared" si="961"/>
        <v>-219322844.729233</v>
      </c>
      <c r="S236">
        <f t="shared" si="962"/>
        <v>-2193.2284472923297</v>
      </c>
      <c r="T236">
        <f t="shared" si="963"/>
        <v>-2.1932284472923298</v>
      </c>
    </row>
    <row r="237" spans="1:20" x14ac:dyDescent="0.25">
      <c r="A237" s="5">
        <v>44356</v>
      </c>
      <c r="B237">
        <v>1.0194099999999999</v>
      </c>
      <c r="C237">
        <v>1.04</v>
      </c>
      <c r="D237">
        <v>0.82001000000000002</v>
      </c>
      <c r="E237">
        <v>0.91966000000000003</v>
      </c>
      <c r="F237">
        <v>67236560</v>
      </c>
      <c r="G237">
        <v>0</v>
      </c>
      <c r="L237" t="s">
        <v>7</v>
      </c>
      <c r="M237" t="s">
        <v>7</v>
      </c>
      <c r="N237" t="s">
        <v>7</v>
      </c>
      <c r="P237">
        <f t="shared" si="959"/>
        <v>-9.4049729533160528E-2</v>
      </c>
      <c r="Q237">
        <f t="shared" si="960"/>
        <v>-6323580.2827401198</v>
      </c>
      <c r="R237">
        <f t="shared" si="961"/>
        <v>-197420749.18401212</v>
      </c>
      <c r="S237">
        <f t="shared" si="962"/>
        <v>-1974.2074918401211</v>
      </c>
      <c r="T237">
        <f t="shared" si="963"/>
        <v>-1.9742074918401211</v>
      </c>
    </row>
    <row r="238" spans="1:20" x14ac:dyDescent="0.25">
      <c r="A238" s="5">
        <v>44355</v>
      </c>
      <c r="B238">
        <v>1.51233</v>
      </c>
      <c r="C238">
        <v>1.5999000000000001</v>
      </c>
      <c r="D238">
        <v>0.97262000000000004</v>
      </c>
      <c r="E238">
        <v>1.0194099999999999</v>
      </c>
      <c r="F238">
        <v>81909397</v>
      </c>
      <c r="G238">
        <v>0</v>
      </c>
      <c r="L238" t="s">
        <v>8</v>
      </c>
      <c r="M238" t="s">
        <v>8</v>
      </c>
      <c r="N238" t="s">
        <v>8</v>
      </c>
      <c r="P238">
        <f t="shared" si="959"/>
        <v>-0.85081622242060995</v>
      </c>
      <c r="Q238">
        <f t="shared" si="960"/>
        <v>-69689843.736290038</v>
      </c>
      <c r="R238">
        <f t="shared" si="961"/>
        <v>-191097168.901272</v>
      </c>
      <c r="S238">
        <f t="shared" si="962"/>
        <v>-1910.9716890127199</v>
      </c>
      <c r="T238">
        <f t="shared" si="963"/>
        <v>-1.91097168901272</v>
      </c>
    </row>
    <row r="239" spans="1:20" x14ac:dyDescent="0.25">
      <c r="A239" s="5">
        <v>44354</v>
      </c>
      <c r="B239">
        <v>4.1390000000000003E-2</v>
      </c>
      <c r="C239">
        <v>4.5</v>
      </c>
      <c r="D239">
        <v>4.1390000000000003E-2</v>
      </c>
      <c r="E239">
        <v>1.5120899999999999</v>
      </c>
      <c r="F239">
        <v>356778504</v>
      </c>
      <c r="G239">
        <v>0</v>
      </c>
      <c r="P239">
        <f t="shared" si="959"/>
        <v>-0.34028766812975353</v>
      </c>
      <c r="Q239">
        <f t="shared" si="960"/>
        <v>-121407325.16498195</v>
      </c>
      <c r="R239">
        <f t="shared" si="961"/>
        <v>-121407325.16498195</v>
      </c>
      <c r="S239">
        <f t="shared" si="962"/>
        <v>-1214.0732516498194</v>
      </c>
      <c r="T239">
        <f t="shared" si="963"/>
        <v>-1.2140732516498194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X636" sqref="DX6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$A$635</v>
      </c>
      <c r="D111" s="1" t="str">
        <f>ADDRESS(C121-1,D121,1,1)</f>
        <v>$DX$635</v>
      </c>
      <c r="E111"/>
    </row>
    <row r="112" spans="1:5" x14ac:dyDescent="0.25">
      <c r="A112" s="7">
        <v>12164.144957890772</v>
      </c>
      <c r="C112" s="1" t="str">
        <f>ADDRESS(C121,1,1,1)</f>
        <v>$A$636</v>
      </c>
      <c r="D112" s="1" t="str">
        <f>ADDRESS(C121,D121-1,1,1)</f>
        <v>$DW$636</v>
      </c>
      <c r="E112"/>
    </row>
    <row r="113" spans="1:5" x14ac:dyDescent="0.25">
      <c r="A113" s="7">
        <v>11925.63231165762</v>
      </c>
      <c r="C113" s="1" t="str">
        <f>ADDRESS(C121+1,1,1,1)</f>
        <v>$A$637</v>
      </c>
      <c r="D113" s="1" t="str">
        <f>ADDRESS(C121-1,D121+1,1,1)</f>
        <v>$DY$635</v>
      </c>
    </row>
    <row r="114" spans="1:5" x14ac:dyDescent="0.25">
      <c r="A114" s="7">
        <v>11691.796383978059</v>
      </c>
      <c r="C114" s="1" t="str">
        <f>ADDRESS(C121,D121,1,1)</f>
        <v>$DX$636</v>
      </c>
      <c r="D114" s="1" t="str">
        <f>ADDRESS(C121+1,D121+1,1,1)</f>
        <v>$DY$637</v>
      </c>
    </row>
    <row r="115" spans="1:5" x14ac:dyDescent="0.25">
      <c r="A115" s="7">
        <v>11462.545474488292</v>
      </c>
      <c r="C115" s="1" t="str">
        <f>ADDRESS(C121+1,D121,1,1)</f>
        <v>$DX$637</v>
      </c>
    </row>
    <row r="116" spans="1:5" x14ac:dyDescent="0.25">
      <c r="A116" s="7">
        <v>11237.789680870874</v>
      </c>
      <c r="C116" s="1">
        <f>C117-1</f>
        <v>635</v>
      </c>
    </row>
    <row r="117" spans="1:5" x14ac:dyDescent="0.25">
      <c r="A117" s="7">
        <v>11017.440863598895</v>
      </c>
      <c r="C117" s="1">
        <f>C121</f>
        <v>636</v>
      </c>
      <c r="D117" s="1">
        <f>D121</f>
        <v>128</v>
      </c>
    </row>
    <row r="118" spans="1:5" x14ac:dyDescent="0.25">
      <c r="A118" s="7">
        <v>10801.412611371465</v>
      </c>
      <c r="C118" s="1">
        <f>C117+1</f>
        <v>637</v>
      </c>
      <c r="D118" s="1">
        <f>D117+1</f>
        <v>129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636</v>
      </c>
      <c r="D121" s="19">
        <v>128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R636</v>
      </c>
      <c r="D123" s="1" t="str">
        <f>"C"&amp;D121</f>
        <v>C128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0.37895843976950117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87" x14ac:dyDescent="0.25">
      <c r="A545" s="7">
        <v>2.2972444660248938</v>
      </c>
      <c r="B545"/>
      <c r="C545"/>
      <c r="D545"/>
      <c r="E545"/>
    </row>
    <row r="546" spans="1:87" x14ac:dyDescent="0.25">
      <c r="A546" s="7">
        <v>2.252200456887151</v>
      </c>
      <c r="B546"/>
      <c r="C546"/>
      <c r="D546"/>
      <c r="E546"/>
    </row>
    <row r="547" spans="1:87" x14ac:dyDescent="0.25">
      <c r="A547" s="7">
        <v>2.208039663614854</v>
      </c>
      <c r="B547"/>
      <c r="C547"/>
      <c r="D547"/>
      <c r="E547"/>
    </row>
    <row r="548" spans="1:87" x14ac:dyDescent="0.25">
      <c r="A548" s="7">
        <v>2.1647447682498568</v>
      </c>
      <c r="B548"/>
      <c r="C548"/>
      <c r="D548"/>
      <c r="E548"/>
    </row>
    <row r="549" spans="1:87" x14ac:dyDescent="0.25">
      <c r="A549" s="7">
        <v>2.1222987924018204</v>
      </c>
      <c r="B549"/>
      <c r="C549"/>
      <c r="D549"/>
      <c r="E549"/>
    </row>
    <row r="550" spans="1:87" x14ac:dyDescent="0.25">
      <c r="A550" s="7">
        <v>2.0806850905900198</v>
      </c>
      <c r="B550"/>
      <c r="C550"/>
      <c r="D550"/>
      <c r="E550"/>
    </row>
    <row r="551" spans="1:87" x14ac:dyDescent="0.25">
      <c r="A551" s="7">
        <v>2.0398873437157055</v>
      </c>
      <c r="B551"/>
      <c r="C551"/>
      <c r="D551"/>
      <c r="E551"/>
    </row>
    <row r="552" spans="1:87" x14ac:dyDescent="0.25">
      <c r="A552" s="7">
        <v>1.9998895526624565</v>
      </c>
      <c r="B552"/>
      <c r="C552"/>
      <c r="D552"/>
      <c r="E552"/>
      <c r="AW552" s="27" t="s">
        <v>8</v>
      </c>
    </row>
    <row r="553" spans="1:87" x14ac:dyDescent="0.25">
      <c r="A553" s="7">
        <v>1.9606760320220162</v>
      </c>
      <c r="B553"/>
      <c r="C553"/>
      <c r="D553"/>
      <c r="E553"/>
      <c r="AW553" s="27" t="s">
        <v>8</v>
      </c>
      <c r="AX553" s="27" t="s">
        <v>7</v>
      </c>
      <c r="AY553" s="27" t="s">
        <v>8</v>
      </c>
    </row>
    <row r="554" spans="1:87" x14ac:dyDescent="0.25">
      <c r="A554" s="7">
        <v>1.9222314039431532</v>
      </c>
      <c r="B554"/>
      <c r="C554"/>
      <c r="D554"/>
      <c r="E554"/>
      <c r="AW554" s="27" t="s">
        <v>8</v>
      </c>
      <c r="AX554" s="27" t="s">
        <v>7</v>
      </c>
      <c r="AY554" s="27" t="s">
        <v>8</v>
      </c>
      <c r="AZ554" s="27" t="s">
        <v>7</v>
      </c>
    </row>
    <row r="555" spans="1:87" x14ac:dyDescent="0.25">
      <c r="A555" s="7">
        <v>1.8845405921011305</v>
      </c>
      <c r="B555"/>
      <c r="C555"/>
      <c r="D555"/>
      <c r="E555"/>
      <c r="AW555" s="27" t="s">
        <v>8</v>
      </c>
      <c r="AX555" s="27" t="s">
        <v>7</v>
      </c>
      <c r="AY555" s="27" t="s">
        <v>8</v>
      </c>
      <c r="AZ555" s="27" t="s">
        <v>7</v>
      </c>
    </row>
    <row r="556" spans="1:87" x14ac:dyDescent="0.25">
      <c r="A556" s="7">
        <v>1.8475888157854219</v>
      </c>
      <c r="B556"/>
      <c r="C556"/>
      <c r="D556"/>
      <c r="E556"/>
      <c r="AW556" s="27" t="s">
        <v>8</v>
      </c>
      <c r="AX556" s="27" t="s">
        <v>7</v>
      </c>
      <c r="AY556" s="27" t="s">
        <v>8</v>
      </c>
      <c r="AZ556" s="27" t="s">
        <v>7</v>
      </c>
    </row>
    <row r="557" spans="1:87" x14ac:dyDescent="0.25">
      <c r="A557" s="7">
        <v>1.8113615841033548</v>
      </c>
      <c r="B557"/>
      <c r="C557"/>
      <c r="D557"/>
      <c r="E557"/>
      <c r="AW557" s="27" t="s">
        <v>8</v>
      </c>
      <c r="AX557" s="27" t="s">
        <v>7</v>
      </c>
      <c r="AY557" s="27" t="s">
        <v>8</v>
      </c>
      <c r="AZ557" s="27" t="s">
        <v>7</v>
      </c>
    </row>
    <row r="558" spans="1:87" x14ac:dyDescent="0.25">
      <c r="A558" s="7">
        <v>1.7758446902974065</v>
      </c>
      <c r="B558"/>
      <c r="C558"/>
      <c r="D558"/>
      <c r="E558"/>
      <c r="AW558" s="27" t="s">
        <v>8</v>
      </c>
      <c r="AX558" s="27" t="s">
        <v>7</v>
      </c>
      <c r="AY558" s="27" t="s">
        <v>8</v>
      </c>
      <c r="AZ558" s="27" t="s">
        <v>7</v>
      </c>
    </row>
    <row r="559" spans="1:87" x14ac:dyDescent="0.25">
      <c r="A559" s="7">
        <v>1.7410242061739281</v>
      </c>
      <c r="B559"/>
      <c r="C559"/>
      <c r="D559"/>
      <c r="E559"/>
      <c r="AW559" s="27" t="s">
        <v>8</v>
      </c>
      <c r="AX559" s="27" t="s">
        <v>7</v>
      </c>
      <c r="AY559" s="27" t="s">
        <v>8</v>
      </c>
      <c r="AZ559" s="27" t="s">
        <v>7</v>
      </c>
    </row>
    <row r="560" spans="1:87" x14ac:dyDescent="0.25">
      <c r="A560" s="7">
        <v>1.7068864766411058</v>
      </c>
      <c r="B560"/>
      <c r="C560"/>
      <c r="D560"/>
      <c r="E560"/>
      <c r="AW560" s="27" t="s">
        <v>8</v>
      </c>
      <c r="AX560" s="27" t="s">
        <v>7</v>
      </c>
      <c r="AY560" s="27" t="s">
        <v>8</v>
      </c>
      <c r="AZ560" s="27" t="s">
        <v>7</v>
      </c>
      <c r="CI560" s="27" t="s">
        <v>8</v>
      </c>
    </row>
    <row r="561" spans="1:96" x14ac:dyDescent="0.25">
      <c r="A561" s="7">
        <v>1.6734181143540252</v>
      </c>
      <c r="B561"/>
      <c r="C561"/>
      <c r="D561"/>
      <c r="E561"/>
      <c r="AW561" s="27" t="s">
        <v>8</v>
      </c>
      <c r="AX561" s="27" t="s">
        <v>7</v>
      </c>
      <c r="AY561" s="27" t="s">
        <v>8</v>
      </c>
      <c r="AZ561" s="27" t="s">
        <v>7</v>
      </c>
      <c r="CI561" s="27" t="s">
        <v>8</v>
      </c>
      <c r="CJ561" s="27" t="s">
        <v>7</v>
      </c>
    </row>
    <row r="562" spans="1:96" x14ac:dyDescent="0.25">
      <c r="A562" s="7">
        <v>1.6406059944647307</v>
      </c>
      <c r="B562"/>
      <c r="C562"/>
      <c r="D562"/>
      <c r="E562"/>
      <c r="AW562" s="27" t="s">
        <v>8</v>
      </c>
      <c r="AX562" s="27" t="s">
        <v>7</v>
      </c>
      <c r="AY562" s="27" t="s">
        <v>8</v>
      </c>
      <c r="AZ562" s="27" t="s">
        <v>7</v>
      </c>
      <c r="CI562" s="27" t="s">
        <v>8</v>
      </c>
      <c r="CJ562" s="27" t="s">
        <v>7</v>
      </c>
    </row>
    <row r="563" spans="1:96" x14ac:dyDescent="0.25">
      <c r="A563" s="7">
        <v>1.6084372494752261</v>
      </c>
      <c r="B563"/>
      <c r="C563"/>
      <c r="D563"/>
      <c r="E563"/>
      <c r="AW563" s="27" t="s">
        <v>8</v>
      </c>
      <c r="AX563" s="27" t="s">
        <v>7</v>
      </c>
      <c r="AY563" s="27" t="s">
        <v>8</v>
      </c>
      <c r="AZ563" s="27" t="s">
        <v>7</v>
      </c>
      <c r="CI563" s="27" t="s">
        <v>8</v>
      </c>
      <c r="CJ563" s="27" t="s">
        <v>7</v>
      </c>
    </row>
    <row r="564" spans="1:96" x14ac:dyDescent="0.25">
      <c r="A564" s="7">
        <v>1.5768992641913981</v>
      </c>
      <c r="B564"/>
      <c r="C564"/>
      <c r="D564"/>
      <c r="E564" t="s">
        <v>8</v>
      </c>
      <c r="AW564" s="27" t="s">
        <v>8</v>
      </c>
      <c r="AX564" s="27" t="s">
        <v>7</v>
      </c>
      <c r="AY564" s="27" t="s">
        <v>8</v>
      </c>
      <c r="AZ564" s="27" t="s">
        <v>7</v>
      </c>
      <c r="BC564" s="27" t="s">
        <v>8</v>
      </c>
      <c r="CI564" s="27" t="s">
        <v>8</v>
      </c>
      <c r="CJ564" s="27" t="s">
        <v>7</v>
      </c>
    </row>
    <row r="565" spans="1:96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AW565" s="27" t="s">
        <v>8</v>
      </c>
      <c r="AX565" s="27" t="s">
        <v>7</v>
      </c>
      <c r="AY565" s="27" t="s">
        <v>8</v>
      </c>
      <c r="AZ565" s="27" t="s">
        <v>7</v>
      </c>
      <c r="BC565" s="27" t="s">
        <v>8</v>
      </c>
      <c r="BD565" s="27" t="s">
        <v>7</v>
      </c>
      <c r="CI565" s="27" t="s">
        <v>8</v>
      </c>
      <c r="CJ565" s="27" t="s">
        <v>7</v>
      </c>
    </row>
    <row r="566" spans="1:96" x14ac:dyDescent="0.25">
      <c r="A566" s="7">
        <v>1.5156663438979221</v>
      </c>
      <c r="B566"/>
      <c r="C566"/>
      <c r="D566"/>
      <c r="E566" t="s">
        <v>8</v>
      </c>
      <c r="F566" s="27" t="s">
        <v>7</v>
      </c>
      <c r="AW566" s="27" t="s">
        <v>8</v>
      </c>
      <c r="AX566" s="27" t="s">
        <v>7</v>
      </c>
      <c r="AY566" s="27" t="s">
        <v>8</v>
      </c>
      <c r="AZ566" s="27" t="s">
        <v>7</v>
      </c>
      <c r="BC566" s="27" t="s">
        <v>8</v>
      </c>
      <c r="BD566" s="27" t="s">
        <v>7</v>
      </c>
      <c r="CI566" s="27" t="s">
        <v>8</v>
      </c>
      <c r="CJ566" s="27" t="s">
        <v>7</v>
      </c>
    </row>
    <row r="567" spans="1:96" x14ac:dyDescent="0.25">
      <c r="A567" s="7">
        <v>1.4859473959783549</v>
      </c>
      <c r="B567"/>
      <c r="C567"/>
      <c r="D567"/>
      <c r="E567" t="s">
        <v>8</v>
      </c>
      <c r="F567" s="27" t="s">
        <v>7</v>
      </c>
      <c r="AW567" s="27" t="s">
        <v>8</v>
      </c>
      <c r="AX567" s="27" t="s">
        <v>7</v>
      </c>
      <c r="AY567" s="27" t="s">
        <v>8</v>
      </c>
      <c r="AZ567" s="27" t="s">
        <v>7</v>
      </c>
      <c r="BC567" s="27" t="s">
        <v>8</v>
      </c>
      <c r="BD567" s="27" t="s">
        <v>7</v>
      </c>
      <c r="CI567" s="27" t="s">
        <v>8</v>
      </c>
      <c r="CJ567" s="27" t="s">
        <v>7</v>
      </c>
    </row>
    <row r="568" spans="1:96" x14ac:dyDescent="0.25">
      <c r="A568" s="7">
        <v>1.4568111725277988</v>
      </c>
      <c r="B568"/>
      <c r="C568"/>
      <c r="D568"/>
      <c r="E568" t="s">
        <v>8</v>
      </c>
      <c r="F568" s="27" t="s">
        <v>7</v>
      </c>
      <c r="AW568" s="27" t="s">
        <v>8</v>
      </c>
      <c r="AX568" s="27" t="s">
        <v>7</v>
      </c>
      <c r="AY568" s="27" t="s">
        <v>8</v>
      </c>
      <c r="AZ568" s="27" t="s">
        <v>7</v>
      </c>
      <c r="BA568" s="27" t="s">
        <v>8</v>
      </c>
      <c r="BC568" s="27" t="s">
        <v>8</v>
      </c>
      <c r="BD568" s="27" t="s">
        <v>7</v>
      </c>
      <c r="CI568" s="27" t="s">
        <v>8</v>
      </c>
      <c r="CJ568" s="27" t="s">
        <v>7</v>
      </c>
      <c r="CQ568" s="27" t="s">
        <v>8</v>
      </c>
    </row>
    <row r="569" spans="1:96" x14ac:dyDescent="0.25">
      <c r="A569" s="7">
        <v>1.4282462475762734</v>
      </c>
      <c r="B569"/>
      <c r="C569"/>
      <c r="D569"/>
      <c r="E569" t="s">
        <v>8</v>
      </c>
      <c r="F569" s="27" t="s">
        <v>7</v>
      </c>
      <c r="AW569" s="27" t="s">
        <v>8</v>
      </c>
      <c r="AX569" s="27" t="s">
        <v>7</v>
      </c>
      <c r="AY569" s="27" t="s">
        <v>8</v>
      </c>
      <c r="AZ569" s="27" t="s">
        <v>7</v>
      </c>
      <c r="BA569" s="27" t="s">
        <v>8</v>
      </c>
      <c r="BB569" s="27" t="s">
        <v>7</v>
      </c>
      <c r="BC569" s="27" t="s">
        <v>8</v>
      </c>
      <c r="BD569" s="27" t="s">
        <v>7</v>
      </c>
      <c r="CI569" s="27" t="s">
        <v>8</v>
      </c>
      <c r="CJ569" s="27" t="s">
        <v>7</v>
      </c>
      <c r="CQ569" s="27" t="s">
        <v>8</v>
      </c>
      <c r="CR569" s="27" t="s">
        <v>7</v>
      </c>
    </row>
    <row r="570" spans="1:96" x14ac:dyDescent="0.25">
      <c r="A570" s="7">
        <v>1.4002414191924248</v>
      </c>
      <c r="B570"/>
      <c r="C570"/>
      <c r="D570"/>
      <c r="E570" t="s">
        <v>8</v>
      </c>
      <c r="F570" s="27" t="s">
        <v>7</v>
      </c>
      <c r="AW570" s="27" t="s">
        <v>8</v>
      </c>
      <c r="AX570" s="27" t="s">
        <v>7</v>
      </c>
      <c r="AY570" s="27" t="s">
        <v>8</v>
      </c>
      <c r="AZ570" s="27" t="s">
        <v>7</v>
      </c>
      <c r="BA570" s="27" t="s">
        <v>8</v>
      </c>
      <c r="BB570" s="27" t="s">
        <v>7</v>
      </c>
      <c r="BC570" s="27" t="s">
        <v>8</v>
      </c>
      <c r="BD570" s="27" t="s">
        <v>7</v>
      </c>
      <c r="CI570" s="27" t="s">
        <v>8</v>
      </c>
      <c r="CJ570" s="27" t="s">
        <v>7</v>
      </c>
      <c r="CQ570" s="27" t="s">
        <v>8</v>
      </c>
      <c r="CR570" s="27" t="s">
        <v>7</v>
      </c>
    </row>
    <row r="571" spans="1:96" x14ac:dyDescent="0.25">
      <c r="A571" s="7">
        <v>1.3727857050906125</v>
      </c>
      <c r="B571"/>
      <c r="C571"/>
      <c r="D571"/>
      <c r="E571" t="s">
        <v>8</v>
      </c>
      <c r="F571" s="27" t="s">
        <v>7</v>
      </c>
      <c r="AW571" s="27" t="s">
        <v>8</v>
      </c>
      <c r="AX571" s="27" t="s">
        <v>7</v>
      </c>
      <c r="AY571" s="27" t="s">
        <v>8</v>
      </c>
      <c r="AZ571" s="27" t="s">
        <v>7</v>
      </c>
      <c r="BA571" s="27" t="s">
        <v>8</v>
      </c>
      <c r="BB571" s="27" t="s">
        <v>7</v>
      </c>
      <c r="BC571" s="27" t="s">
        <v>8</v>
      </c>
      <c r="BD571" s="27" t="s">
        <v>7</v>
      </c>
      <c r="BG571" s="27" t="s">
        <v>8</v>
      </c>
      <c r="CI571" s="27" t="s">
        <v>8</v>
      </c>
      <c r="CJ571" s="27" t="s">
        <v>7</v>
      </c>
      <c r="CK571" s="27" t="s">
        <v>8</v>
      </c>
      <c r="CQ571" s="27" t="s">
        <v>8</v>
      </c>
      <c r="CR571" s="27" t="s">
        <v>7</v>
      </c>
    </row>
    <row r="572" spans="1:96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AW572" s="27" t="s">
        <v>8</v>
      </c>
      <c r="AX572" s="27" t="s">
        <v>7</v>
      </c>
      <c r="AY572" s="27" t="s">
        <v>8</v>
      </c>
      <c r="AZ572" s="27" t="s">
        <v>7</v>
      </c>
      <c r="BB572" s="27" t="s">
        <v>7</v>
      </c>
      <c r="BC572" s="27" t="s">
        <v>8</v>
      </c>
      <c r="BD572" s="27" t="s">
        <v>7</v>
      </c>
      <c r="BG572" s="27" t="s">
        <v>8</v>
      </c>
      <c r="BH572" s="27" t="s">
        <v>7</v>
      </c>
      <c r="BI572" s="27" t="s">
        <v>8</v>
      </c>
      <c r="CI572" s="27" t="s">
        <v>8</v>
      </c>
      <c r="CJ572" s="27" t="s">
        <v>7</v>
      </c>
      <c r="CK572" s="27" t="s">
        <v>8</v>
      </c>
      <c r="CL572" s="27" t="s">
        <v>7</v>
      </c>
      <c r="CQ572" s="27" t="s">
        <v>8</v>
      </c>
      <c r="CR572" s="27" t="s">
        <v>7</v>
      </c>
    </row>
    <row r="573" spans="1:96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AW573" s="27" t="s">
        <v>8</v>
      </c>
      <c r="AX573" s="27" t="s">
        <v>7</v>
      </c>
      <c r="AY573" s="27" t="s">
        <v>8</v>
      </c>
      <c r="BB573" s="27" t="s">
        <v>7</v>
      </c>
      <c r="BC573" s="27" t="s">
        <v>8</v>
      </c>
      <c r="BD573" s="27" t="s">
        <v>7</v>
      </c>
      <c r="BG573" s="27" t="s">
        <v>8</v>
      </c>
      <c r="BH573" s="27" t="s">
        <v>7</v>
      </c>
      <c r="BI573" s="27" t="s">
        <v>8</v>
      </c>
      <c r="BJ573" s="27" t="s">
        <v>7</v>
      </c>
      <c r="CI573" s="27" t="s">
        <v>8</v>
      </c>
      <c r="CJ573" s="27" t="s">
        <v>7</v>
      </c>
      <c r="CK573" s="27" t="s">
        <v>8</v>
      </c>
      <c r="CL573" s="27" t="s">
        <v>7</v>
      </c>
      <c r="CQ573" s="27" t="s">
        <v>8</v>
      </c>
      <c r="CR573" s="27" t="s">
        <v>7</v>
      </c>
    </row>
    <row r="574" spans="1:96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AW574" s="27" t="s">
        <v>8</v>
      </c>
      <c r="AX574" s="27" t="s">
        <v>7</v>
      </c>
      <c r="AY574" s="27" t="s">
        <v>8</v>
      </c>
      <c r="BB574" s="27" t="s">
        <v>7</v>
      </c>
      <c r="BD574" s="27" t="s">
        <v>7</v>
      </c>
      <c r="BG574" s="27" t="s">
        <v>8</v>
      </c>
      <c r="BH574" s="27" t="s">
        <v>7</v>
      </c>
      <c r="BI574" s="27" t="s">
        <v>8</v>
      </c>
      <c r="BJ574" s="27" t="s">
        <v>7</v>
      </c>
      <c r="CI574" s="27" t="s">
        <v>8</v>
      </c>
      <c r="CJ574" s="27" t="s">
        <v>7</v>
      </c>
      <c r="CL574" s="27" t="s">
        <v>7</v>
      </c>
      <c r="CQ574" s="27" t="s">
        <v>8</v>
      </c>
      <c r="CR574" s="27" t="s">
        <v>7</v>
      </c>
    </row>
    <row r="575" spans="1:96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AW575" s="27" t="s">
        <v>8</v>
      </c>
      <c r="AX575" s="27" t="s">
        <v>7</v>
      </c>
      <c r="BD575" s="27" t="s">
        <v>7</v>
      </c>
      <c r="BG575" s="27" t="s">
        <v>8</v>
      </c>
      <c r="BH575" s="27" t="s">
        <v>7</v>
      </c>
      <c r="BI575" s="27" t="s">
        <v>8</v>
      </c>
      <c r="BJ575" s="27" t="s">
        <v>7</v>
      </c>
      <c r="BK575" s="27" t="s">
        <v>8</v>
      </c>
      <c r="CE575" s="27" t="s">
        <v>8</v>
      </c>
      <c r="CG575" s="27" t="s">
        <v>8</v>
      </c>
      <c r="CI575" s="27" t="s">
        <v>8</v>
      </c>
      <c r="CL575" s="27" t="s">
        <v>7</v>
      </c>
      <c r="CQ575" s="27" t="s">
        <v>8</v>
      </c>
      <c r="CR575" s="27" t="s">
        <v>7</v>
      </c>
    </row>
    <row r="576" spans="1:96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AW576" s="27" t="s">
        <v>8</v>
      </c>
      <c r="BD576" s="27" t="s">
        <v>7</v>
      </c>
      <c r="BG576" s="27" t="s">
        <v>8</v>
      </c>
      <c r="BH576" s="27" t="s">
        <v>7</v>
      </c>
      <c r="BI576" s="27" t="s">
        <v>8</v>
      </c>
      <c r="BJ576" s="27" t="s">
        <v>7</v>
      </c>
      <c r="BK576" s="27" t="s">
        <v>8</v>
      </c>
      <c r="BL576" s="27" t="s">
        <v>7</v>
      </c>
      <c r="CE576" s="27" t="s">
        <v>8</v>
      </c>
      <c r="CF576" s="27" t="s">
        <v>7</v>
      </c>
      <c r="CG576" s="27" t="s">
        <v>8</v>
      </c>
      <c r="CH576" s="27" t="s">
        <v>7</v>
      </c>
      <c r="CI576" s="27" t="s">
        <v>8</v>
      </c>
      <c r="CL576" s="27" t="s">
        <v>7</v>
      </c>
      <c r="CQ576" s="27" t="s">
        <v>8</v>
      </c>
      <c r="CR576" s="27" t="s">
        <v>7</v>
      </c>
    </row>
    <row r="577" spans="1:100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AW577" s="27" t="s">
        <v>8</v>
      </c>
      <c r="BD577" s="27" t="s">
        <v>7</v>
      </c>
      <c r="BE577" s="27" t="s">
        <v>8</v>
      </c>
      <c r="BG577" s="27" t="s">
        <v>8</v>
      </c>
      <c r="BH577" s="27" t="s">
        <v>7</v>
      </c>
      <c r="BI577" s="27" t="s">
        <v>8</v>
      </c>
      <c r="BJ577" s="27" t="s">
        <v>7</v>
      </c>
      <c r="BK577" s="27" t="s">
        <v>8</v>
      </c>
      <c r="BL577" s="27" t="s">
        <v>7</v>
      </c>
      <c r="CC577" s="27" t="s">
        <v>8</v>
      </c>
      <c r="CE577" s="27" t="s">
        <v>8</v>
      </c>
      <c r="CF577" s="27" t="s">
        <v>7</v>
      </c>
      <c r="CG577" s="27" t="s">
        <v>8</v>
      </c>
      <c r="CH577" s="27" t="s">
        <v>7</v>
      </c>
      <c r="CI577" s="27" t="s">
        <v>8</v>
      </c>
      <c r="CL577" s="27" t="s">
        <v>7</v>
      </c>
      <c r="CQ577" s="27" t="s">
        <v>8</v>
      </c>
      <c r="CR577" s="27" t="s">
        <v>7</v>
      </c>
    </row>
    <row r="578" spans="1:100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AW578" s="27" t="s">
        <v>8</v>
      </c>
      <c r="BD578" s="27" t="s">
        <v>7</v>
      </c>
      <c r="BE578" s="27" t="s">
        <v>8</v>
      </c>
      <c r="BF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K578" s="27" t="s">
        <v>8</v>
      </c>
      <c r="BL578" s="27" t="s">
        <v>7</v>
      </c>
      <c r="BY578" s="27" t="s">
        <v>8</v>
      </c>
      <c r="CC578" s="27" t="s">
        <v>8</v>
      </c>
      <c r="CD578" s="27" t="s">
        <v>7</v>
      </c>
      <c r="CE578" s="27" t="s">
        <v>8</v>
      </c>
      <c r="CF578" s="27" t="s">
        <v>7</v>
      </c>
      <c r="CG578" s="27" t="s">
        <v>8</v>
      </c>
      <c r="CH578" s="27" t="s">
        <v>7</v>
      </c>
      <c r="CI578" s="27" t="s">
        <v>8</v>
      </c>
      <c r="CL578" s="27" t="s">
        <v>7</v>
      </c>
      <c r="CQ578" s="27" t="s">
        <v>8</v>
      </c>
      <c r="CR578" s="27" t="s">
        <v>7</v>
      </c>
      <c r="CS578" s="27" t="s">
        <v>8</v>
      </c>
    </row>
    <row r="579" spans="1:100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AW579" s="27" t="s">
        <v>8</v>
      </c>
      <c r="BD579" s="27" t="s">
        <v>7</v>
      </c>
      <c r="BE579" s="27" t="s">
        <v>8</v>
      </c>
      <c r="BF579" s="27" t="s">
        <v>7</v>
      </c>
      <c r="BG579" s="27" t="s">
        <v>8</v>
      </c>
      <c r="BH579" s="27" t="s">
        <v>7</v>
      </c>
      <c r="BI579" s="27" t="s">
        <v>8</v>
      </c>
      <c r="BJ579" s="27" t="s">
        <v>7</v>
      </c>
      <c r="BK579" s="27" t="s">
        <v>8</v>
      </c>
      <c r="BL579" s="27" t="s">
        <v>7</v>
      </c>
      <c r="BY579" s="27" t="s">
        <v>8</v>
      </c>
      <c r="BZ579" s="27" t="s">
        <v>7</v>
      </c>
      <c r="CA579" s="27" t="s">
        <v>8</v>
      </c>
      <c r="CC579" s="27" t="s">
        <v>8</v>
      </c>
      <c r="CD579" s="27" t="s">
        <v>7</v>
      </c>
      <c r="CE579" s="27" t="s">
        <v>8</v>
      </c>
      <c r="CF579" s="27" t="s">
        <v>7</v>
      </c>
      <c r="CG579" s="27" t="s">
        <v>8</v>
      </c>
      <c r="CH579" s="27" t="s">
        <v>7</v>
      </c>
      <c r="CI579" s="27" t="s">
        <v>8</v>
      </c>
      <c r="CL579" s="27" t="s">
        <v>7</v>
      </c>
      <c r="CQ579" s="27" t="s">
        <v>8</v>
      </c>
      <c r="CR579" s="27" t="s">
        <v>7</v>
      </c>
      <c r="CS579" s="27" t="s">
        <v>8</v>
      </c>
      <c r="CT579" s="27" t="s">
        <v>7</v>
      </c>
      <c r="CU579" s="27" t="s">
        <v>8</v>
      </c>
    </row>
    <row r="580" spans="1:100" x14ac:dyDescent="0.25">
      <c r="A580" s="7">
        <v>1.14868566764928</v>
      </c>
      <c r="B580"/>
      <c r="C580"/>
      <c r="D580"/>
      <c r="E580" t="s">
        <v>8</v>
      </c>
      <c r="F580" s="27" t="s">
        <v>7</v>
      </c>
      <c r="AW580" s="27" t="s">
        <v>8</v>
      </c>
      <c r="BD580" s="27" t="s">
        <v>7</v>
      </c>
      <c r="BE580" s="27" t="s">
        <v>8</v>
      </c>
      <c r="BF580" s="27" t="s">
        <v>7</v>
      </c>
      <c r="BG580" s="27" t="s">
        <v>8</v>
      </c>
      <c r="BH580" s="27" t="s">
        <v>7</v>
      </c>
      <c r="BI580" s="27" t="s">
        <v>8</v>
      </c>
      <c r="BJ580" s="27" t="s">
        <v>7</v>
      </c>
      <c r="BL580" s="27" t="s">
        <v>7</v>
      </c>
      <c r="BY580" s="27" t="s">
        <v>8</v>
      </c>
      <c r="BZ580" s="27" t="s">
        <v>7</v>
      </c>
      <c r="CA580" s="27" t="s">
        <v>8</v>
      </c>
      <c r="CB580" s="27" t="s">
        <v>7</v>
      </c>
      <c r="CC580" s="27" t="s">
        <v>8</v>
      </c>
      <c r="CD580" s="27" t="s">
        <v>7</v>
      </c>
      <c r="CE580" s="27" t="s">
        <v>8</v>
      </c>
      <c r="CF580" s="27" t="s">
        <v>7</v>
      </c>
      <c r="CG580" s="27" t="s">
        <v>8</v>
      </c>
      <c r="CH580" s="27" t="s">
        <v>7</v>
      </c>
      <c r="CI580" s="27" t="s">
        <v>8</v>
      </c>
      <c r="CL580" s="27" t="s">
        <v>7</v>
      </c>
      <c r="CQ580" s="27" t="s">
        <v>8</v>
      </c>
      <c r="CR580" s="27" t="s">
        <v>7</v>
      </c>
      <c r="CS580" s="27" t="s">
        <v>8</v>
      </c>
      <c r="CT580" s="27" t="s">
        <v>7</v>
      </c>
      <c r="CU580" s="27" t="s">
        <v>8</v>
      </c>
      <c r="CV580" s="27" t="s">
        <v>7</v>
      </c>
    </row>
    <row r="581" spans="1:100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AW581" s="27" t="s">
        <v>8</v>
      </c>
      <c r="BD581" s="27" t="s">
        <v>7</v>
      </c>
      <c r="BE581" s="27" t="s">
        <v>8</v>
      </c>
      <c r="BF581" s="27" t="s">
        <v>7</v>
      </c>
      <c r="BG581" s="27" t="s">
        <v>8</v>
      </c>
      <c r="BH581" s="27" t="s">
        <v>7</v>
      </c>
      <c r="BI581" s="27" t="s">
        <v>8</v>
      </c>
      <c r="BL581" s="27" t="s">
        <v>7</v>
      </c>
      <c r="BY581" s="27" t="s">
        <v>8</v>
      </c>
      <c r="BZ581" s="27" t="s">
        <v>7</v>
      </c>
      <c r="CA581" s="27" t="s">
        <v>8</v>
      </c>
      <c r="CB581" s="27" t="s">
        <v>7</v>
      </c>
      <c r="CC581" s="27" t="s">
        <v>8</v>
      </c>
      <c r="CD581" s="27" t="s">
        <v>7</v>
      </c>
      <c r="CE581" s="27" t="s">
        <v>8</v>
      </c>
      <c r="CF581" s="27" t="s">
        <v>7</v>
      </c>
      <c r="CH581" s="27" t="s">
        <v>7</v>
      </c>
      <c r="CI581" s="27" t="s">
        <v>8</v>
      </c>
      <c r="CL581" s="27" t="s">
        <v>7</v>
      </c>
      <c r="CQ581" s="27" t="s">
        <v>8</v>
      </c>
      <c r="CR581" s="27" t="s">
        <v>7</v>
      </c>
      <c r="CS581" s="27" t="s">
        <v>8</v>
      </c>
      <c r="CT581" s="27" t="s">
        <v>7</v>
      </c>
      <c r="CU581" s="27" t="s">
        <v>8</v>
      </c>
      <c r="CV581" s="27" t="s">
        <v>7</v>
      </c>
    </row>
    <row r="582" spans="1:100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H582" s="27" t="s">
        <v>7</v>
      </c>
      <c r="AW582" s="27" t="s">
        <v>8</v>
      </c>
      <c r="BD582" s="27" t="s">
        <v>7</v>
      </c>
      <c r="BE582" s="27" t="s">
        <v>8</v>
      </c>
      <c r="BF582" s="27" t="s">
        <v>7</v>
      </c>
      <c r="BG582" s="27" t="s">
        <v>8</v>
      </c>
      <c r="BH582" s="27" t="s">
        <v>7</v>
      </c>
      <c r="BL582" s="27" t="s">
        <v>7</v>
      </c>
      <c r="BU582" s="27" t="s">
        <v>8</v>
      </c>
      <c r="BY582" s="27" t="s">
        <v>8</v>
      </c>
      <c r="BZ582" s="27" t="s">
        <v>7</v>
      </c>
      <c r="CA582" s="27" t="s">
        <v>8</v>
      </c>
      <c r="CB582" s="27" t="s">
        <v>7</v>
      </c>
      <c r="CC582" s="27" t="s">
        <v>8</v>
      </c>
      <c r="CD582" s="27" t="s">
        <v>7</v>
      </c>
      <c r="CE582" s="27" t="s">
        <v>8</v>
      </c>
      <c r="CH582" s="27" t="s">
        <v>7</v>
      </c>
      <c r="CI582" s="27" t="s">
        <v>8</v>
      </c>
      <c r="CL582" s="27" t="s">
        <v>7</v>
      </c>
      <c r="CM582" s="27" t="s">
        <v>8</v>
      </c>
      <c r="CQ582" s="27" t="s">
        <v>8</v>
      </c>
      <c r="CR582" s="27" t="s">
        <v>7</v>
      </c>
      <c r="CS582" s="27" t="s">
        <v>8</v>
      </c>
      <c r="CT582" s="27" t="s">
        <v>7</v>
      </c>
      <c r="CU582" s="27" t="s">
        <v>8</v>
      </c>
      <c r="CV582" s="27" t="s">
        <v>7</v>
      </c>
    </row>
    <row r="583" spans="1:100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H583" s="27" t="s">
        <v>7</v>
      </c>
      <c r="AW583" s="27" t="s">
        <v>8</v>
      </c>
      <c r="BD583" s="27" t="s">
        <v>7</v>
      </c>
      <c r="BE583" s="27" t="s">
        <v>8</v>
      </c>
      <c r="BF583" s="27" t="s">
        <v>7</v>
      </c>
      <c r="BG583" s="27" t="s">
        <v>8</v>
      </c>
      <c r="BL583" s="27" t="s">
        <v>7</v>
      </c>
      <c r="BS583" s="27" t="s">
        <v>8</v>
      </c>
      <c r="BU583" s="27" t="s">
        <v>8</v>
      </c>
      <c r="BV583" s="27" t="s">
        <v>7</v>
      </c>
      <c r="BY583" s="27" t="s">
        <v>8</v>
      </c>
      <c r="BZ583" s="27" t="s">
        <v>7</v>
      </c>
      <c r="CA583" s="27" t="s">
        <v>8</v>
      </c>
      <c r="CB583" s="27" t="s">
        <v>7</v>
      </c>
      <c r="CC583" s="27" t="s">
        <v>8</v>
      </c>
      <c r="CD583" s="27" t="s">
        <v>7</v>
      </c>
      <c r="CE583" s="27" t="s">
        <v>8</v>
      </c>
      <c r="CH583" s="27" t="s">
        <v>7</v>
      </c>
      <c r="CI583" s="27" t="s">
        <v>8</v>
      </c>
      <c r="CL583" s="27" t="s">
        <v>7</v>
      </c>
      <c r="CM583" s="27" t="s">
        <v>8</v>
      </c>
      <c r="CN583" s="27" t="s">
        <v>7</v>
      </c>
      <c r="CO583" s="27" t="s">
        <v>8</v>
      </c>
      <c r="CQ583" s="27" t="s">
        <v>8</v>
      </c>
      <c r="CR583" s="27" t="s">
        <v>7</v>
      </c>
      <c r="CS583" s="27" t="s">
        <v>8</v>
      </c>
      <c r="CT583" s="27" t="s">
        <v>7</v>
      </c>
      <c r="CV583" s="27" t="s">
        <v>7</v>
      </c>
    </row>
    <row r="584" spans="1:100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H584" s="27" t="s">
        <v>7</v>
      </c>
      <c r="AW584" s="27" t="s">
        <v>8</v>
      </c>
      <c r="BD584" s="27" t="s">
        <v>7</v>
      </c>
      <c r="BE584" s="27" t="s">
        <v>8</v>
      </c>
      <c r="BF584" s="27" t="s">
        <v>7</v>
      </c>
      <c r="BG584" s="27" t="s">
        <v>8</v>
      </c>
      <c r="BL584" s="27" t="s">
        <v>7</v>
      </c>
      <c r="BM584" s="27" t="s">
        <v>8</v>
      </c>
      <c r="BS584" s="27" t="s">
        <v>8</v>
      </c>
      <c r="BT584" s="27" t="s">
        <v>7</v>
      </c>
      <c r="BU584" s="27" t="s">
        <v>8</v>
      </c>
      <c r="BV584" s="27" t="s">
        <v>7</v>
      </c>
      <c r="BY584" s="27" t="s">
        <v>8</v>
      </c>
      <c r="BZ584" s="27" t="s">
        <v>7</v>
      </c>
      <c r="CA584" s="27" t="s">
        <v>8</v>
      </c>
      <c r="CB584" s="27" t="s">
        <v>7</v>
      </c>
      <c r="CC584" s="27" t="s">
        <v>8</v>
      </c>
      <c r="CD584" s="27" t="s">
        <v>7</v>
      </c>
      <c r="CE584" s="27" t="s">
        <v>8</v>
      </c>
      <c r="CH584" s="27" t="s">
        <v>7</v>
      </c>
      <c r="CL584" s="27" t="s">
        <v>7</v>
      </c>
      <c r="CM584" s="27" t="s">
        <v>8</v>
      </c>
      <c r="CN584" s="27" t="s">
        <v>7</v>
      </c>
      <c r="CO584" s="27" t="s">
        <v>8</v>
      </c>
      <c r="CP584" s="27" t="s">
        <v>7</v>
      </c>
      <c r="CQ584" s="27" t="s">
        <v>8</v>
      </c>
      <c r="CR584" s="27" t="s">
        <v>7</v>
      </c>
      <c r="CS584" s="27" t="s">
        <v>8</v>
      </c>
      <c r="CV584" s="27" t="s">
        <v>7</v>
      </c>
    </row>
    <row r="585" spans="1:100" x14ac:dyDescent="0.25">
      <c r="A585" s="7">
        <v>1.0404</v>
      </c>
      <c r="B585"/>
      <c r="C585"/>
      <c r="D585"/>
      <c r="E585" t="s">
        <v>8</v>
      </c>
      <c r="F585" s="27" t="s">
        <v>7</v>
      </c>
      <c r="G585" s="27" t="s">
        <v>8</v>
      </c>
      <c r="H585" s="27" t="s">
        <v>7</v>
      </c>
      <c r="AW585" s="27" t="s">
        <v>8</v>
      </c>
      <c r="BD585" s="27" t="s">
        <v>7</v>
      </c>
      <c r="BE585" s="27" t="s">
        <v>8</v>
      </c>
      <c r="BF585" s="27" t="s">
        <v>7</v>
      </c>
      <c r="BG585" s="27" t="s">
        <v>8</v>
      </c>
      <c r="BL585" s="27" t="s">
        <v>7</v>
      </c>
      <c r="BM585" s="27" t="s">
        <v>8</v>
      </c>
      <c r="BN585" s="27" t="s">
        <v>7</v>
      </c>
      <c r="BS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BY585" s="27" t="s">
        <v>8</v>
      </c>
      <c r="BZ585" s="27" t="s">
        <v>7</v>
      </c>
      <c r="CB585" s="27" t="s">
        <v>7</v>
      </c>
      <c r="CC585" s="27" t="s">
        <v>8</v>
      </c>
      <c r="CD585" s="27" t="s">
        <v>7</v>
      </c>
      <c r="CE585" s="27" t="s">
        <v>8</v>
      </c>
      <c r="CL585" s="27" t="s">
        <v>7</v>
      </c>
      <c r="CM585" s="27" t="s">
        <v>8</v>
      </c>
      <c r="CN585" s="27" t="s">
        <v>7</v>
      </c>
      <c r="CO585" s="27" t="s">
        <v>8</v>
      </c>
      <c r="CP585" s="27" t="s">
        <v>7</v>
      </c>
      <c r="CQ585" s="27" t="s">
        <v>8</v>
      </c>
      <c r="CR585" s="27" t="s">
        <v>7</v>
      </c>
      <c r="CV585" s="27" t="s">
        <v>7</v>
      </c>
    </row>
    <row r="586" spans="1:100" x14ac:dyDescent="0.25">
      <c r="A586" s="7">
        <v>1.02</v>
      </c>
      <c r="B586"/>
      <c r="C586"/>
      <c r="D586"/>
      <c r="E586" t="s">
        <v>8</v>
      </c>
      <c r="F586" s="27" t="s">
        <v>7</v>
      </c>
      <c r="G586" s="27" t="s">
        <v>8</v>
      </c>
      <c r="H586" s="27" t="s">
        <v>7</v>
      </c>
      <c r="AW586" s="27" t="s">
        <v>8</v>
      </c>
      <c r="BD586" s="27" t="s">
        <v>7</v>
      </c>
      <c r="BE586" s="27" t="s">
        <v>8</v>
      </c>
      <c r="BF586" s="27" t="s">
        <v>7</v>
      </c>
      <c r="BL586" s="27" t="s">
        <v>7</v>
      </c>
      <c r="BM586" s="27" t="s">
        <v>8</v>
      </c>
      <c r="BN586" s="27" t="s">
        <v>7</v>
      </c>
      <c r="BS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  <c r="BX586" s="27" t="s">
        <v>7</v>
      </c>
      <c r="BY586" s="27" t="s">
        <v>8</v>
      </c>
      <c r="CB586" s="27" t="s">
        <v>7</v>
      </c>
      <c r="CD586" s="27" t="s">
        <v>7</v>
      </c>
      <c r="CE586" s="27" t="s">
        <v>8</v>
      </c>
      <c r="CL586" s="27" t="s">
        <v>7</v>
      </c>
      <c r="CN586" s="27" t="s">
        <v>7</v>
      </c>
      <c r="CO586" s="27" t="s">
        <v>8</v>
      </c>
      <c r="CP586" s="27" t="s">
        <v>7</v>
      </c>
      <c r="CQ586" s="27" t="s">
        <v>8</v>
      </c>
      <c r="CV586" s="27" t="s">
        <v>7</v>
      </c>
    </row>
    <row r="587" spans="1:100" x14ac:dyDescent="0.25">
      <c r="A587" s="7">
        <v>1</v>
      </c>
      <c r="B587"/>
      <c r="C587"/>
      <c r="D587"/>
      <c r="E587" s="29" t="s">
        <v>8</v>
      </c>
      <c r="F587" s="27" t="s">
        <v>7</v>
      </c>
      <c r="G587" s="27" t="s">
        <v>8</v>
      </c>
      <c r="H587" s="27" t="s">
        <v>7</v>
      </c>
      <c r="I587" s="27" t="s">
        <v>8</v>
      </c>
      <c r="AW587" s="27" t="s">
        <v>8</v>
      </c>
      <c r="BD587" s="27" t="s">
        <v>7</v>
      </c>
      <c r="BE587" s="27" t="s">
        <v>8</v>
      </c>
      <c r="BL587" s="27" t="s">
        <v>7</v>
      </c>
      <c r="BM587" s="27" t="s">
        <v>8</v>
      </c>
      <c r="BN587" s="27" t="s">
        <v>7</v>
      </c>
      <c r="BS587" s="27" t="s">
        <v>8</v>
      </c>
      <c r="BT587" s="27" t="s">
        <v>7</v>
      </c>
      <c r="BU587" s="27" t="s">
        <v>8</v>
      </c>
      <c r="BV587" s="27" t="s">
        <v>7</v>
      </c>
      <c r="BW587" s="27" t="s">
        <v>8</v>
      </c>
      <c r="BX587" s="27" t="s">
        <v>7</v>
      </c>
      <c r="BY587" s="27" t="s">
        <v>8</v>
      </c>
      <c r="CD587" s="27" t="s">
        <v>7</v>
      </c>
      <c r="CE587" s="27" t="s">
        <v>8</v>
      </c>
      <c r="CN587" s="27" t="s">
        <v>7</v>
      </c>
      <c r="CO587" s="27" t="s">
        <v>8</v>
      </c>
      <c r="CP587" s="27" t="s">
        <v>7</v>
      </c>
      <c r="CQ587" s="27" t="s">
        <v>8</v>
      </c>
      <c r="CV587" s="27" t="s">
        <v>7</v>
      </c>
    </row>
    <row r="588" spans="1:100" x14ac:dyDescent="0.25">
      <c r="A588" s="7">
        <v>0.98039215686274506</v>
      </c>
      <c r="B588"/>
      <c r="C588"/>
      <c r="D588"/>
      <c r="E588"/>
      <c r="F588" s="27" t="s">
        <v>7</v>
      </c>
      <c r="G588" s="27" t="s">
        <v>8</v>
      </c>
      <c r="H588" s="27" t="s">
        <v>7</v>
      </c>
      <c r="I588" s="27" t="s">
        <v>8</v>
      </c>
      <c r="J588" s="27" t="s">
        <v>7</v>
      </c>
      <c r="AW588" s="27" t="s">
        <v>8</v>
      </c>
      <c r="BD588" s="27" t="s">
        <v>7</v>
      </c>
      <c r="BE588" s="27" t="s">
        <v>8</v>
      </c>
      <c r="BL588" s="27" t="s">
        <v>7</v>
      </c>
      <c r="BM588" s="27" t="s">
        <v>8</v>
      </c>
      <c r="BN588" s="27" t="s">
        <v>7</v>
      </c>
      <c r="BS588" s="27" t="s">
        <v>8</v>
      </c>
      <c r="BT588" s="27" t="s">
        <v>7</v>
      </c>
      <c r="BU588" s="27" t="s">
        <v>8</v>
      </c>
      <c r="BV588" s="27" t="s">
        <v>7</v>
      </c>
      <c r="BW588" s="27" t="s">
        <v>8</v>
      </c>
      <c r="BX588" s="27" t="s">
        <v>7</v>
      </c>
      <c r="BY588" s="27" t="s">
        <v>8</v>
      </c>
      <c r="CD588" s="27" t="s">
        <v>7</v>
      </c>
      <c r="CE588" s="27" t="s">
        <v>8</v>
      </c>
      <c r="CN588" s="27" t="s">
        <v>7</v>
      </c>
      <c r="CO588" s="27" t="s">
        <v>8</v>
      </c>
      <c r="CP588" s="27" t="s">
        <v>7</v>
      </c>
      <c r="CQ588" s="27" t="s">
        <v>8</v>
      </c>
      <c r="CV588" s="27" t="s">
        <v>7</v>
      </c>
    </row>
    <row r="589" spans="1:100" x14ac:dyDescent="0.25">
      <c r="A589" s="7">
        <v>0.96116878123798544</v>
      </c>
      <c r="B589"/>
      <c r="C589"/>
      <c r="D589"/>
      <c r="E589"/>
      <c r="F589" s="27" t="s">
        <v>7</v>
      </c>
      <c r="G589" s="27" t="s">
        <v>8</v>
      </c>
      <c r="H589" s="27" t="s">
        <v>7</v>
      </c>
      <c r="I589" s="27" t="s">
        <v>8</v>
      </c>
      <c r="J589" s="27" t="s">
        <v>7</v>
      </c>
      <c r="AW589" s="27" t="s">
        <v>8</v>
      </c>
      <c r="BD589" s="27" t="s">
        <v>7</v>
      </c>
      <c r="BE589" s="27" t="s">
        <v>8</v>
      </c>
      <c r="BL589" s="27" t="s">
        <v>7</v>
      </c>
      <c r="BM589" s="27" t="s">
        <v>8</v>
      </c>
      <c r="BN589" s="27" t="s">
        <v>7</v>
      </c>
      <c r="BS589" s="27" t="s">
        <v>8</v>
      </c>
      <c r="BT589" s="27" t="s">
        <v>7</v>
      </c>
      <c r="BV589" s="27" t="s">
        <v>7</v>
      </c>
      <c r="BX589" s="27" t="s">
        <v>7</v>
      </c>
      <c r="BY589" s="27" t="s">
        <v>8</v>
      </c>
      <c r="CD589" s="27" t="s">
        <v>7</v>
      </c>
      <c r="CE589" s="27" t="s">
        <v>8</v>
      </c>
      <c r="CN589" s="27" t="s">
        <v>7</v>
      </c>
      <c r="CO589" s="27" t="s">
        <v>8</v>
      </c>
      <c r="CP589" s="27" t="s">
        <v>7</v>
      </c>
      <c r="CV589" s="27" t="s">
        <v>7</v>
      </c>
    </row>
    <row r="590" spans="1:100" x14ac:dyDescent="0.25">
      <c r="A590" s="7">
        <v>0.94232233454704462</v>
      </c>
      <c r="B590"/>
      <c r="C590"/>
      <c r="D590"/>
      <c r="E590"/>
      <c r="F590" s="27" t="s">
        <v>7</v>
      </c>
      <c r="G590" s="27" t="s">
        <v>8</v>
      </c>
      <c r="H590" s="27" t="s">
        <v>7</v>
      </c>
      <c r="I590" s="27" t="s">
        <v>8</v>
      </c>
      <c r="J590" s="27" t="s">
        <v>7</v>
      </c>
      <c r="AW590" s="27" t="s">
        <v>8</v>
      </c>
      <c r="BD590" s="27" t="s">
        <v>7</v>
      </c>
      <c r="BE590" s="27" t="s">
        <v>8</v>
      </c>
      <c r="BL590" s="27" t="s">
        <v>7</v>
      </c>
      <c r="BM590" s="27" t="s">
        <v>8</v>
      </c>
      <c r="BN590" s="27" t="s">
        <v>7</v>
      </c>
      <c r="BS590" s="27" t="s">
        <v>8</v>
      </c>
      <c r="BX590" s="27" t="s">
        <v>7</v>
      </c>
      <c r="BY590" s="27" t="s">
        <v>8</v>
      </c>
      <c r="CD590" s="27" t="s">
        <v>7</v>
      </c>
      <c r="CN590" s="27" t="s">
        <v>7</v>
      </c>
      <c r="CO590" s="27" t="s">
        <v>8</v>
      </c>
      <c r="CV590" s="27" t="s">
        <v>7</v>
      </c>
    </row>
    <row r="591" spans="1:100" x14ac:dyDescent="0.25">
      <c r="A591" s="7">
        <v>0.92384542602651432</v>
      </c>
      <c r="B591"/>
      <c r="C591"/>
      <c r="D591"/>
      <c r="E591"/>
      <c r="F591" s="27" t="s">
        <v>7</v>
      </c>
      <c r="G591" s="27" t="s">
        <v>8</v>
      </c>
      <c r="H591" s="27" t="s">
        <v>7</v>
      </c>
      <c r="I591" s="27" t="s">
        <v>8</v>
      </c>
      <c r="J591" s="27" t="s">
        <v>7</v>
      </c>
      <c r="AW591" s="27" t="s">
        <v>8</v>
      </c>
      <c r="BD591" s="27" t="s">
        <v>7</v>
      </c>
      <c r="BE591" s="27" t="s">
        <v>8</v>
      </c>
      <c r="BL591" s="27" t="s">
        <v>7</v>
      </c>
      <c r="BM591" s="27" t="s">
        <v>8</v>
      </c>
      <c r="BN591" s="27" t="s">
        <v>7</v>
      </c>
      <c r="BO591" s="27" t="s">
        <v>8</v>
      </c>
      <c r="BS591" s="27" t="s">
        <v>8</v>
      </c>
      <c r="BX591" s="27" t="s">
        <v>7</v>
      </c>
      <c r="BY591" s="27" t="s">
        <v>8</v>
      </c>
      <c r="CN591" s="27" t="s">
        <v>7</v>
      </c>
      <c r="CV591" s="27" t="s">
        <v>7</v>
      </c>
    </row>
    <row r="592" spans="1:100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H592" s="27" t="s">
        <v>7</v>
      </c>
      <c r="I592" s="27" t="s">
        <v>8</v>
      </c>
      <c r="J592" s="27" t="s">
        <v>7</v>
      </c>
      <c r="AW592" s="27" t="s">
        <v>8</v>
      </c>
      <c r="BD592" s="27" t="s">
        <v>7</v>
      </c>
      <c r="BE592" s="27" t="s">
        <v>8</v>
      </c>
      <c r="BL592" s="27" t="s">
        <v>7</v>
      </c>
      <c r="BM592" s="27" t="s">
        <v>8</v>
      </c>
      <c r="BN592" s="27" t="s">
        <v>7</v>
      </c>
      <c r="BO592" s="27" t="s">
        <v>8</v>
      </c>
      <c r="BP592" s="27" t="s">
        <v>7</v>
      </c>
      <c r="BS592" s="27" t="s">
        <v>8</v>
      </c>
      <c r="BX592" s="27" t="s">
        <v>7</v>
      </c>
      <c r="BY592" s="27" t="s">
        <v>8</v>
      </c>
      <c r="CV592" s="27" t="s">
        <v>7</v>
      </c>
    </row>
    <row r="593" spans="1:118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H593" s="27" t="s">
        <v>7</v>
      </c>
      <c r="J593" s="27" t="s">
        <v>7</v>
      </c>
      <c r="AW593" s="27" t="s">
        <v>8</v>
      </c>
      <c r="BD593" s="27" t="s">
        <v>7</v>
      </c>
      <c r="BL593" s="27" t="s">
        <v>7</v>
      </c>
      <c r="BM593" s="27" t="s">
        <v>8</v>
      </c>
      <c r="BN593" s="27" t="s">
        <v>7</v>
      </c>
      <c r="BO593" s="27" t="s">
        <v>8</v>
      </c>
      <c r="BP593" s="27" t="s">
        <v>7</v>
      </c>
      <c r="BQ593" s="27" t="s">
        <v>8</v>
      </c>
      <c r="BS593" s="27" t="s">
        <v>8</v>
      </c>
      <c r="BX593" s="27" t="s">
        <v>7</v>
      </c>
      <c r="BY593" s="27" t="s">
        <v>8</v>
      </c>
      <c r="CV593" s="27" t="s">
        <v>7</v>
      </c>
    </row>
    <row r="594" spans="1:118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J594" s="27" t="s">
        <v>7</v>
      </c>
      <c r="AW594" s="27" t="s">
        <v>8</v>
      </c>
      <c r="BL594" s="27" t="s">
        <v>7</v>
      </c>
      <c r="BM594" s="27" t="s">
        <v>8</v>
      </c>
      <c r="BN594" s="27" t="s">
        <v>7</v>
      </c>
      <c r="BO594" s="27" t="s">
        <v>8</v>
      </c>
      <c r="BP594" s="27" t="s">
        <v>7</v>
      </c>
      <c r="BQ594" s="27" t="s">
        <v>8</v>
      </c>
      <c r="BR594" s="27" t="s">
        <v>7</v>
      </c>
      <c r="BS594" s="27" t="s">
        <v>8</v>
      </c>
      <c r="BX594" s="27" t="s">
        <v>7</v>
      </c>
      <c r="CV594" s="27" t="s">
        <v>7</v>
      </c>
    </row>
    <row r="595" spans="1:118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J595" s="27" t="s">
        <v>7</v>
      </c>
      <c r="AW595" s="27" t="s">
        <v>8</v>
      </c>
      <c r="BL595" s="27" t="s">
        <v>7</v>
      </c>
      <c r="BM595" s="27" t="s">
        <v>8</v>
      </c>
      <c r="BN595" s="27" t="s">
        <v>7</v>
      </c>
      <c r="BP595" s="27" t="s">
        <v>7</v>
      </c>
      <c r="BQ595" s="27" t="s">
        <v>8</v>
      </c>
      <c r="BR595" s="27" t="s">
        <v>7</v>
      </c>
      <c r="BS595" s="27" t="s">
        <v>8</v>
      </c>
      <c r="CV595" s="27" t="s">
        <v>7</v>
      </c>
    </row>
    <row r="596" spans="1:118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J596" s="27" t="s">
        <v>7</v>
      </c>
      <c r="AW596" s="27" t="s">
        <v>8</v>
      </c>
      <c r="BL596" s="27" t="s">
        <v>7</v>
      </c>
      <c r="BP596" s="27" t="s">
        <v>7</v>
      </c>
      <c r="BQ596" s="27" t="s">
        <v>8</v>
      </c>
      <c r="BR596" s="27" t="s">
        <v>7</v>
      </c>
      <c r="BS596" s="27" t="s">
        <v>8</v>
      </c>
      <c r="CV596" s="27" t="s">
        <v>7</v>
      </c>
    </row>
    <row r="597" spans="1:118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J597" s="27" t="s">
        <v>7</v>
      </c>
      <c r="AW597" s="27" t="s">
        <v>8</v>
      </c>
      <c r="BP597" s="27" t="s">
        <v>7</v>
      </c>
      <c r="BQ597" s="27" t="s">
        <v>8</v>
      </c>
      <c r="BR597" s="27" t="s">
        <v>7</v>
      </c>
      <c r="BS597" s="27" t="s">
        <v>8</v>
      </c>
      <c r="CV597" s="27" t="s">
        <v>7</v>
      </c>
    </row>
    <row r="598" spans="1:118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J598" s="27" t="s">
        <v>7</v>
      </c>
      <c r="AW598" s="27" t="s">
        <v>8</v>
      </c>
      <c r="BP598" s="27" t="s">
        <v>7</v>
      </c>
      <c r="BR598" s="27" t="s">
        <v>7</v>
      </c>
      <c r="BS598" s="27" t="s">
        <v>8</v>
      </c>
      <c r="CV598" s="27" t="s">
        <v>7</v>
      </c>
      <c r="CY598" s="27" t="s">
        <v>8</v>
      </c>
    </row>
    <row r="599" spans="1:118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J599" s="27" t="s">
        <v>7</v>
      </c>
      <c r="K599" s="27" t="s">
        <v>8</v>
      </c>
      <c r="AW599" s="27" t="s">
        <v>8</v>
      </c>
      <c r="BR599" s="27" t="s">
        <v>7</v>
      </c>
      <c r="BS599" s="27" t="s">
        <v>8</v>
      </c>
      <c r="CV599" s="27" t="s">
        <v>7</v>
      </c>
      <c r="CY599" s="27" t="s">
        <v>8</v>
      </c>
      <c r="CZ599" s="27" t="s">
        <v>7</v>
      </c>
    </row>
    <row r="600" spans="1:118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J600" s="27" t="s">
        <v>7</v>
      </c>
      <c r="K600" s="27" t="s">
        <v>8</v>
      </c>
      <c r="L600" s="27" t="s">
        <v>7</v>
      </c>
      <c r="AU600" s="27" t="s">
        <v>8</v>
      </c>
      <c r="AW600" s="27" t="s">
        <v>8</v>
      </c>
      <c r="BR600" s="27" t="s">
        <v>7</v>
      </c>
      <c r="BS600" s="27" t="s">
        <v>8</v>
      </c>
      <c r="CV600" s="27" t="s">
        <v>7</v>
      </c>
      <c r="CW600" s="27" t="s">
        <v>8</v>
      </c>
      <c r="CY600" s="27" t="s">
        <v>8</v>
      </c>
      <c r="CZ600" s="27" t="s">
        <v>7</v>
      </c>
      <c r="DI600" s="27" t="s">
        <v>8</v>
      </c>
    </row>
    <row r="601" spans="1:118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J601" s="27" t="s">
        <v>7</v>
      </c>
      <c r="K601" s="27" t="s">
        <v>8</v>
      </c>
      <c r="L601" s="27" t="s">
        <v>7</v>
      </c>
      <c r="AU601" s="27" t="s">
        <v>8</v>
      </c>
      <c r="AV601" s="27" t="s">
        <v>7</v>
      </c>
      <c r="AW601" s="27" t="s">
        <v>8</v>
      </c>
      <c r="BR601" s="27" t="s">
        <v>7</v>
      </c>
      <c r="CV601" s="27" t="s">
        <v>7</v>
      </c>
      <c r="CW601" s="27" t="s">
        <v>8</v>
      </c>
      <c r="CX601" s="27" t="s">
        <v>7</v>
      </c>
      <c r="CY601" s="27" t="s">
        <v>8</v>
      </c>
      <c r="CZ601" s="27" t="s">
        <v>7</v>
      </c>
      <c r="DI601" s="27" t="s">
        <v>8</v>
      </c>
      <c r="DJ601" s="27" t="s">
        <v>7</v>
      </c>
    </row>
    <row r="602" spans="1:118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J602" s="27" t="s">
        <v>7</v>
      </c>
      <c r="K602" s="27" t="s">
        <v>8</v>
      </c>
      <c r="L602" s="27" t="s">
        <v>7</v>
      </c>
      <c r="AU602" s="27" t="s">
        <v>8</v>
      </c>
      <c r="AV602" s="27" t="s">
        <v>7</v>
      </c>
      <c r="AW602" s="27" t="s">
        <v>8</v>
      </c>
      <c r="CV602" s="27" t="s">
        <v>7</v>
      </c>
      <c r="CW602" s="27" t="s">
        <v>8</v>
      </c>
      <c r="CX602" s="27" t="s">
        <v>7</v>
      </c>
      <c r="CY602" s="27" t="s">
        <v>8</v>
      </c>
      <c r="CZ602" s="27" t="s">
        <v>7</v>
      </c>
      <c r="DI602" s="27" t="s">
        <v>8</v>
      </c>
      <c r="DJ602" s="27" t="s">
        <v>7</v>
      </c>
    </row>
    <row r="603" spans="1:118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J603" s="27" t="s">
        <v>7</v>
      </c>
      <c r="K603" s="27" t="s">
        <v>8</v>
      </c>
      <c r="L603" s="27" t="s">
        <v>7</v>
      </c>
      <c r="AU603" s="27" t="s">
        <v>8</v>
      </c>
      <c r="AV603" s="27" t="s">
        <v>7</v>
      </c>
      <c r="AW603" s="27" t="s">
        <v>8</v>
      </c>
      <c r="CV603" s="27" t="s">
        <v>7</v>
      </c>
      <c r="CW603" s="27" t="s">
        <v>8</v>
      </c>
      <c r="CX603" s="27" t="s">
        <v>7</v>
      </c>
      <c r="CY603" s="27" t="s">
        <v>8</v>
      </c>
      <c r="CZ603" s="27" t="s">
        <v>7</v>
      </c>
      <c r="DG603" s="27" t="s">
        <v>8</v>
      </c>
      <c r="DI603" s="27" t="s">
        <v>8</v>
      </c>
      <c r="DJ603" s="27" t="s">
        <v>7</v>
      </c>
    </row>
    <row r="604" spans="1:118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J604" s="27" t="s">
        <v>7</v>
      </c>
      <c r="L604" s="27" t="s">
        <v>7</v>
      </c>
      <c r="AU604" s="27" t="s">
        <v>8</v>
      </c>
      <c r="AV604" s="27" t="s">
        <v>7</v>
      </c>
      <c r="AW604" s="27" t="s">
        <v>8</v>
      </c>
      <c r="CV604" s="27" t="s">
        <v>7</v>
      </c>
      <c r="CW604" s="27" t="s">
        <v>8</v>
      </c>
      <c r="CX604" s="27" t="s">
        <v>7</v>
      </c>
      <c r="CY604" s="27" t="s">
        <v>8</v>
      </c>
      <c r="CZ604" s="27" t="s">
        <v>7</v>
      </c>
      <c r="DA604" s="27" t="s">
        <v>8</v>
      </c>
      <c r="DG604" s="27" t="s">
        <v>8</v>
      </c>
      <c r="DH604" s="27" t="s">
        <v>7</v>
      </c>
      <c r="DI604" s="27" t="s">
        <v>8</v>
      </c>
      <c r="DJ604" s="27" t="s">
        <v>7</v>
      </c>
      <c r="DM604" s="27" t="s">
        <v>8</v>
      </c>
    </row>
    <row r="605" spans="1:118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L605" s="27" t="s">
        <v>7</v>
      </c>
      <c r="AQ605" s="27" t="s">
        <v>8</v>
      </c>
      <c r="AU605" s="27" t="s">
        <v>8</v>
      </c>
      <c r="AV605" s="27" t="s">
        <v>7</v>
      </c>
      <c r="AW605" s="27" t="s">
        <v>8</v>
      </c>
      <c r="CV605" s="27" t="s">
        <v>7</v>
      </c>
      <c r="CW605" s="27" t="s">
        <v>8</v>
      </c>
      <c r="CX605" s="27" t="s">
        <v>7</v>
      </c>
      <c r="CY605" s="27" t="s">
        <v>8</v>
      </c>
      <c r="CZ605" s="27" t="s">
        <v>7</v>
      </c>
      <c r="DA605" s="27" t="s">
        <v>8</v>
      </c>
      <c r="DB605" s="27" t="s">
        <v>7</v>
      </c>
      <c r="DG605" s="27" t="s">
        <v>8</v>
      </c>
      <c r="DH605" s="27" t="s">
        <v>7</v>
      </c>
      <c r="DI605" s="27" t="s">
        <v>8</v>
      </c>
      <c r="DJ605" s="27" t="s">
        <v>7</v>
      </c>
      <c r="DM605" s="27" t="s">
        <v>8</v>
      </c>
      <c r="DN605" s="27" t="s">
        <v>7</v>
      </c>
    </row>
    <row r="606" spans="1:118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L606" s="27" t="s">
        <v>7</v>
      </c>
      <c r="AQ606" s="27" t="s">
        <v>8</v>
      </c>
      <c r="AR606" s="27" t="s">
        <v>7</v>
      </c>
      <c r="AU606" s="27" t="s">
        <v>8</v>
      </c>
      <c r="AV606" s="27" t="s">
        <v>7</v>
      </c>
      <c r="AW606" s="27" t="s">
        <v>8</v>
      </c>
      <c r="CV606" s="27" t="s">
        <v>7</v>
      </c>
      <c r="CW606" s="27" t="s">
        <v>8</v>
      </c>
      <c r="CX606" s="27" t="s">
        <v>7</v>
      </c>
      <c r="CY606" s="27" t="s">
        <v>8</v>
      </c>
      <c r="CZ606" s="27" t="s">
        <v>7</v>
      </c>
      <c r="DA606" s="27" t="s">
        <v>8</v>
      </c>
      <c r="DB606" s="27" t="s">
        <v>7</v>
      </c>
      <c r="DG606" s="27" t="s">
        <v>8</v>
      </c>
      <c r="DH606" s="27" t="s">
        <v>7</v>
      </c>
      <c r="DI606" s="27" t="s">
        <v>8</v>
      </c>
      <c r="DJ606" s="27" t="s">
        <v>7</v>
      </c>
      <c r="DK606" s="27" t="s">
        <v>8</v>
      </c>
      <c r="DM606" s="27" t="s">
        <v>8</v>
      </c>
      <c r="DN606" s="27" t="s">
        <v>7</v>
      </c>
    </row>
    <row r="607" spans="1:118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L607" s="27" t="s">
        <v>7</v>
      </c>
      <c r="AQ607" s="27" t="s">
        <v>8</v>
      </c>
      <c r="AR607" s="27" t="s">
        <v>7</v>
      </c>
      <c r="AU607" s="27" t="s">
        <v>8</v>
      </c>
      <c r="AV607" s="27" t="s">
        <v>7</v>
      </c>
      <c r="AW607" s="27" t="s">
        <v>8</v>
      </c>
      <c r="CV607" s="27" t="s">
        <v>7</v>
      </c>
      <c r="CW607" s="27" t="s">
        <v>8</v>
      </c>
      <c r="CX607" s="27" t="s">
        <v>7</v>
      </c>
      <c r="CY607" s="27" t="s">
        <v>8</v>
      </c>
      <c r="CZ607" s="27" t="s">
        <v>7</v>
      </c>
      <c r="DA607" s="27" t="s">
        <v>8</v>
      </c>
      <c r="DB607" s="27" t="s">
        <v>7</v>
      </c>
      <c r="DG607" s="27" t="s">
        <v>8</v>
      </c>
      <c r="DH607" s="27" t="s">
        <v>7</v>
      </c>
      <c r="DJ607" s="27" t="s">
        <v>7</v>
      </c>
      <c r="DK607" s="27" t="s">
        <v>8</v>
      </c>
      <c r="DL607" s="27" t="s">
        <v>7</v>
      </c>
      <c r="DM607" s="27" t="s">
        <v>8</v>
      </c>
      <c r="DN607" s="27" t="s">
        <v>7</v>
      </c>
    </row>
    <row r="608" spans="1:118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L608" s="27" t="s">
        <v>7</v>
      </c>
      <c r="AQ608" s="27" t="s">
        <v>8</v>
      </c>
      <c r="AR608" s="27" t="s">
        <v>7</v>
      </c>
      <c r="AU608" s="27" t="s">
        <v>8</v>
      </c>
      <c r="AV608" s="27" t="s">
        <v>7</v>
      </c>
      <c r="AW608" s="27" t="s">
        <v>8</v>
      </c>
      <c r="CV608" s="27" t="s">
        <v>7</v>
      </c>
      <c r="CW608" s="27" t="s">
        <v>8</v>
      </c>
      <c r="CX608" s="27" t="s">
        <v>7</v>
      </c>
      <c r="CY608" s="27" t="s">
        <v>8</v>
      </c>
      <c r="CZ608" s="27" t="s">
        <v>7</v>
      </c>
      <c r="DB608" s="27" t="s">
        <v>7</v>
      </c>
      <c r="DC608" s="27" t="s">
        <v>8</v>
      </c>
      <c r="DG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N608" s="27" t="s">
        <v>7</v>
      </c>
    </row>
    <row r="609" spans="1:124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L609" s="27" t="s">
        <v>7</v>
      </c>
      <c r="AQ609" s="27" t="s">
        <v>8</v>
      </c>
      <c r="AR609" s="27" t="s">
        <v>7</v>
      </c>
      <c r="AU609" s="27" t="s">
        <v>8</v>
      </c>
      <c r="AV609" s="27" t="s">
        <v>7</v>
      </c>
      <c r="AW609" s="27" t="s">
        <v>8</v>
      </c>
      <c r="CV609" s="27" t="s">
        <v>7</v>
      </c>
      <c r="CW609" s="27" t="s">
        <v>8</v>
      </c>
      <c r="CX609" s="27" t="s">
        <v>7</v>
      </c>
      <c r="CY609" s="27" t="s">
        <v>8</v>
      </c>
      <c r="DB609" s="27" t="s">
        <v>7</v>
      </c>
      <c r="DC609" s="27" t="s">
        <v>8</v>
      </c>
      <c r="DD609" s="27" t="s">
        <v>7</v>
      </c>
      <c r="DG609" s="27" t="s">
        <v>8</v>
      </c>
      <c r="DJ609" s="27" t="s">
        <v>7</v>
      </c>
      <c r="DK609" s="27" t="s">
        <v>8</v>
      </c>
      <c r="DL609" s="27" t="s">
        <v>7</v>
      </c>
      <c r="DM609" s="27" t="s">
        <v>8</v>
      </c>
      <c r="DN609" s="27" t="s">
        <v>7</v>
      </c>
    </row>
    <row r="610" spans="1:124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L610" s="27" t="s">
        <v>7</v>
      </c>
      <c r="AQ610" s="27" t="s">
        <v>8</v>
      </c>
      <c r="AR610" s="27" t="s">
        <v>7</v>
      </c>
      <c r="AS610" s="27" t="s">
        <v>8</v>
      </c>
      <c r="AU610" s="27" t="s">
        <v>8</v>
      </c>
      <c r="AV610" s="27" t="s">
        <v>7</v>
      </c>
      <c r="AW610" s="27" t="s">
        <v>8</v>
      </c>
      <c r="CV610" s="27" t="s">
        <v>7</v>
      </c>
      <c r="CW610" s="27" t="s">
        <v>8</v>
      </c>
      <c r="CX610" s="27" t="s">
        <v>7</v>
      </c>
      <c r="DB610" s="27" t="s">
        <v>7</v>
      </c>
      <c r="DC610" s="27" t="s">
        <v>8</v>
      </c>
      <c r="DD610" s="27" t="s">
        <v>7</v>
      </c>
      <c r="DE610" s="27" t="s">
        <v>8</v>
      </c>
      <c r="DG610" s="27" t="s">
        <v>8</v>
      </c>
      <c r="DJ610" s="27" t="s">
        <v>7</v>
      </c>
      <c r="DK610" s="27" t="s">
        <v>8</v>
      </c>
      <c r="DL610" s="27" t="s">
        <v>7</v>
      </c>
      <c r="DN610" s="27" t="s">
        <v>7</v>
      </c>
    </row>
    <row r="611" spans="1:124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L611" s="27" t="s">
        <v>7</v>
      </c>
      <c r="M611" s="27" t="s">
        <v>8</v>
      </c>
      <c r="AM611" s="27" t="s">
        <v>8</v>
      </c>
      <c r="AQ611" s="27" t="s">
        <v>8</v>
      </c>
      <c r="AR611" s="27" t="s">
        <v>7</v>
      </c>
      <c r="AS611" s="27" t="s">
        <v>8</v>
      </c>
      <c r="AT611" s="27" t="s">
        <v>7</v>
      </c>
      <c r="AU611" s="27" t="s">
        <v>8</v>
      </c>
      <c r="AV611" s="27" t="s">
        <v>7</v>
      </c>
      <c r="AW611" s="27" t="s">
        <v>8</v>
      </c>
      <c r="CV611" s="27" t="s">
        <v>7</v>
      </c>
      <c r="DB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J611" s="27" t="s">
        <v>7</v>
      </c>
      <c r="DN611" s="27" t="s">
        <v>7</v>
      </c>
    </row>
    <row r="612" spans="1:124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L612" s="27" t="s">
        <v>7</v>
      </c>
      <c r="M612" s="27" t="s">
        <v>8</v>
      </c>
      <c r="N612" s="27" t="s">
        <v>7</v>
      </c>
      <c r="AM612" s="27" t="s">
        <v>8</v>
      </c>
      <c r="AN612" s="27" t="s">
        <v>7</v>
      </c>
      <c r="AQ612" s="27" t="s">
        <v>8</v>
      </c>
      <c r="AR612" s="27" t="s">
        <v>7</v>
      </c>
      <c r="AS612" s="27" t="s">
        <v>8</v>
      </c>
      <c r="AT612" s="27" t="s">
        <v>7</v>
      </c>
      <c r="AU612" s="27" t="s">
        <v>8</v>
      </c>
      <c r="AV612" s="27" t="s">
        <v>7</v>
      </c>
      <c r="DB612" s="27" t="s">
        <v>7</v>
      </c>
      <c r="DD612" s="27" t="s">
        <v>7</v>
      </c>
      <c r="DE612" s="27" t="s">
        <v>8</v>
      </c>
      <c r="DF612" s="27" t="s">
        <v>7</v>
      </c>
      <c r="DG612" s="27" t="s">
        <v>8</v>
      </c>
      <c r="DN612" s="27" t="s">
        <v>7</v>
      </c>
    </row>
    <row r="613" spans="1:124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L613" s="27" t="s">
        <v>7</v>
      </c>
      <c r="M613" s="27" t="s">
        <v>8</v>
      </c>
      <c r="N613" s="27" t="s">
        <v>7</v>
      </c>
      <c r="AM613" s="27" t="s">
        <v>8</v>
      </c>
      <c r="AN613" s="27" t="s">
        <v>7</v>
      </c>
      <c r="AQ613" s="27" t="s">
        <v>8</v>
      </c>
      <c r="AR613" s="27" t="s">
        <v>7</v>
      </c>
      <c r="AS613" s="27" t="s">
        <v>8</v>
      </c>
      <c r="AT613" s="27" t="s">
        <v>7</v>
      </c>
      <c r="AU613" s="27" t="s">
        <v>8</v>
      </c>
      <c r="DD613" s="27" t="s">
        <v>7</v>
      </c>
      <c r="DF613" s="27" t="s">
        <v>7</v>
      </c>
      <c r="DG613" s="27" t="s">
        <v>8</v>
      </c>
      <c r="DN613" s="27" t="s">
        <v>7</v>
      </c>
    </row>
    <row r="614" spans="1:124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L614" s="27" t="s">
        <v>7</v>
      </c>
      <c r="M614" s="27" t="s">
        <v>8</v>
      </c>
      <c r="N614" s="27" t="s">
        <v>7</v>
      </c>
      <c r="O614" s="27" t="s">
        <v>8</v>
      </c>
      <c r="W614" s="27" t="s">
        <v>8</v>
      </c>
      <c r="AM614" s="27" t="s">
        <v>8</v>
      </c>
      <c r="AN614" s="27" t="s">
        <v>7</v>
      </c>
      <c r="AQ614" s="27" t="s">
        <v>8</v>
      </c>
      <c r="AR614" s="27" t="s">
        <v>7</v>
      </c>
      <c r="AS614" s="27" t="s">
        <v>8</v>
      </c>
      <c r="AT614" s="27" t="s">
        <v>7</v>
      </c>
      <c r="AU614" s="27" t="s">
        <v>8</v>
      </c>
      <c r="DF614" s="27" t="s">
        <v>7</v>
      </c>
      <c r="DG614" s="27" t="s">
        <v>8</v>
      </c>
      <c r="DN614" s="27" t="s">
        <v>7</v>
      </c>
      <c r="DQ614" s="27" t="s">
        <v>8</v>
      </c>
    </row>
    <row r="615" spans="1:124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L615" s="27" t="s">
        <v>7</v>
      </c>
      <c r="M615" s="27" t="s">
        <v>8</v>
      </c>
      <c r="N615" s="27" t="s">
        <v>7</v>
      </c>
      <c r="O615" s="27" t="s">
        <v>8</v>
      </c>
      <c r="P615" s="27" t="s">
        <v>7</v>
      </c>
      <c r="W615" s="27" t="s">
        <v>8</v>
      </c>
      <c r="X615" s="27" t="s">
        <v>7</v>
      </c>
      <c r="AM615" s="27" t="s">
        <v>8</v>
      </c>
      <c r="AN615" s="27" t="s">
        <v>7</v>
      </c>
      <c r="AO615" s="27" t="s">
        <v>8</v>
      </c>
      <c r="AQ615" s="27" t="s">
        <v>8</v>
      </c>
      <c r="AR615" s="27" t="s">
        <v>7</v>
      </c>
      <c r="AT615" s="27" t="s">
        <v>7</v>
      </c>
      <c r="AU615" s="27" t="s">
        <v>8</v>
      </c>
      <c r="DF615" s="27" t="s">
        <v>7</v>
      </c>
      <c r="DN615" s="27" t="s">
        <v>7</v>
      </c>
      <c r="DQ615" s="27" t="s">
        <v>8</v>
      </c>
      <c r="DR615" s="27" t="s">
        <v>7</v>
      </c>
      <c r="DS615" s="27" t="s">
        <v>8</v>
      </c>
    </row>
    <row r="616" spans="1:124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L616" s="27" t="s">
        <v>7</v>
      </c>
      <c r="M616" s="27" t="s">
        <v>8</v>
      </c>
      <c r="N616" s="27" t="s">
        <v>7</v>
      </c>
      <c r="O616" s="27" t="s">
        <v>8</v>
      </c>
      <c r="P616" s="27" t="s">
        <v>7</v>
      </c>
      <c r="W616" s="27" t="s">
        <v>8</v>
      </c>
      <c r="X616" s="27" t="s">
        <v>7</v>
      </c>
      <c r="AM616" s="27" t="s">
        <v>8</v>
      </c>
      <c r="AN616" s="27" t="s">
        <v>7</v>
      </c>
      <c r="AO616" s="27" t="s">
        <v>8</v>
      </c>
      <c r="AP616" s="27" t="s">
        <v>7</v>
      </c>
      <c r="AQ616" s="27" t="s">
        <v>8</v>
      </c>
      <c r="AT616" s="27" t="s">
        <v>7</v>
      </c>
      <c r="AU616" s="27" t="s">
        <v>8</v>
      </c>
      <c r="DN616" s="27" t="s">
        <v>7</v>
      </c>
      <c r="DO616" s="27" t="s">
        <v>8</v>
      </c>
      <c r="DQ616" s="27" t="s">
        <v>8</v>
      </c>
      <c r="DR616" s="27" t="s">
        <v>7</v>
      </c>
      <c r="DS616" s="27" t="s">
        <v>8</v>
      </c>
      <c r="DT616" s="27" t="s">
        <v>7</v>
      </c>
    </row>
    <row r="617" spans="1:124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L617" s="27" t="s">
        <v>7</v>
      </c>
      <c r="M617" s="27" t="s">
        <v>8</v>
      </c>
      <c r="N617" s="27" t="s">
        <v>7</v>
      </c>
      <c r="O617" s="27" t="s">
        <v>8</v>
      </c>
      <c r="P617" s="27" t="s">
        <v>7</v>
      </c>
      <c r="W617" s="27" t="s">
        <v>8</v>
      </c>
      <c r="X617" s="27" t="s">
        <v>7</v>
      </c>
      <c r="AM617" s="27" t="s">
        <v>8</v>
      </c>
      <c r="AN617" s="27" t="s">
        <v>7</v>
      </c>
      <c r="AO617" s="27" t="s">
        <v>8</v>
      </c>
      <c r="AP617" s="27" t="s">
        <v>7</v>
      </c>
      <c r="AQ617" s="27" t="s">
        <v>8</v>
      </c>
      <c r="AT617" s="27" t="s">
        <v>7</v>
      </c>
      <c r="AU617" s="27" t="s">
        <v>8</v>
      </c>
      <c r="DN617" s="27" t="s">
        <v>7</v>
      </c>
      <c r="DO617" s="27" t="s">
        <v>8</v>
      </c>
      <c r="DP617" s="27" t="s">
        <v>7</v>
      </c>
      <c r="DQ617" s="27" t="s">
        <v>8</v>
      </c>
      <c r="DR617" s="27" t="s">
        <v>7</v>
      </c>
      <c r="DS617" s="27" t="s">
        <v>8</v>
      </c>
      <c r="DT617" s="27" t="s">
        <v>7</v>
      </c>
    </row>
    <row r="618" spans="1:124" x14ac:dyDescent="0.25">
      <c r="A618" s="7">
        <v>0.54124596958814908</v>
      </c>
      <c r="B618"/>
      <c r="C618"/>
      <c r="D618"/>
      <c r="E618"/>
      <c r="F618" s="27" t="s">
        <v>7</v>
      </c>
      <c r="L618" s="27" t="s">
        <v>7</v>
      </c>
      <c r="M618" s="27" t="s">
        <v>8</v>
      </c>
      <c r="N618" s="27" t="s">
        <v>7</v>
      </c>
      <c r="O618" s="27" t="s">
        <v>8</v>
      </c>
      <c r="P618" s="27" t="s">
        <v>7</v>
      </c>
      <c r="W618" s="27" t="s">
        <v>8</v>
      </c>
      <c r="X618" s="27" t="s">
        <v>7</v>
      </c>
      <c r="AM618" s="27" t="s">
        <v>8</v>
      </c>
      <c r="AN618" s="27" t="s">
        <v>7</v>
      </c>
      <c r="AO618" s="27" t="s">
        <v>8</v>
      </c>
      <c r="AP618" s="27" t="s">
        <v>7</v>
      </c>
      <c r="AQ618" s="27" t="s">
        <v>8</v>
      </c>
      <c r="AT618" s="27" t="s">
        <v>7</v>
      </c>
      <c r="AU618" s="27" t="s">
        <v>8</v>
      </c>
      <c r="DN618" s="27" t="s">
        <v>7</v>
      </c>
      <c r="DO618" s="27" t="s">
        <v>8</v>
      </c>
      <c r="DP618" s="27" t="s">
        <v>7</v>
      </c>
      <c r="DQ618" s="27" t="s">
        <v>8</v>
      </c>
      <c r="DR618" s="27" t="s">
        <v>7</v>
      </c>
      <c r="DS618" s="27" t="s">
        <v>8</v>
      </c>
      <c r="DT618" s="27" t="s">
        <v>7</v>
      </c>
    </row>
    <row r="619" spans="1:124" x14ac:dyDescent="0.25">
      <c r="A619" s="7">
        <v>0.53063330351779314</v>
      </c>
      <c r="B619"/>
      <c r="C619"/>
      <c r="D619"/>
      <c r="E619"/>
      <c r="L619" s="27" t="s">
        <v>7</v>
      </c>
      <c r="M619" s="27" t="s">
        <v>8</v>
      </c>
      <c r="N619" s="27" t="s">
        <v>7</v>
      </c>
      <c r="O619" s="27" t="s">
        <v>8</v>
      </c>
      <c r="P619" s="27" t="s">
        <v>7</v>
      </c>
      <c r="W619" s="27" t="s">
        <v>8</v>
      </c>
      <c r="X619" s="27" t="s">
        <v>7</v>
      </c>
      <c r="AM619" s="27" t="s">
        <v>8</v>
      </c>
      <c r="AN619" s="27" t="s">
        <v>7</v>
      </c>
      <c r="AO619" s="27" t="s">
        <v>8</v>
      </c>
      <c r="AP619" s="27" t="s">
        <v>7</v>
      </c>
      <c r="AQ619" s="27" t="s">
        <v>8</v>
      </c>
      <c r="AT619" s="27" t="s">
        <v>7</v>
      </c>
      <c r="AU619" s="27" t="s">
        <v>8</v>
      </c>
      <c r="DN619" s="27" t="s">
        <v>7</v>
      </c>
      <c r="DO619" s="27" t="s">
        <v>8</v>
      </c>
      <c r="DP619" s="27" t="s">
        <v>7</v>
      </c>
      <c r="DQ619" s="27" t="s">
        <v>8</v>
      </c>
      <c r="DR619" s="27" t="s">
        <v>7</v>
      </c>
      <c r="DT619" s="27" t="s">
        <v>7</v>
      </c>
    </row>
    <row r="620" spans="1:124" x14ac:dyDescent="0.25">
      <c r="A620" s="7">
        <v>0.52022872893901284</v>
      </c>
      <c r="B620"/>
      <c r="C620"/>
      <c r="D620"/>
      <c r="E620"/>
      <c r="L620" s="27" t="s">
        <v>7</v>
      </c>
      <c r="M620" s="27" t="s">
        <v>8</v>
      </c>
      <c r="N620" s="27" t="s">
        <v>7</v>
      </c>
      <c r="O620" s="27" t="s">
        <v>8</v>
      </c>
      <c r="P620" s="27" t="s">
        <v>7</v>
      </c>
      <c r="W620" s="27" t="s">
        <v>8</v>
      </c>
      <c r="X620" s="27" t="s">
        <v>7</v>
      </c>
      <c r="Y620" s="27" t="s">
        <v>8</v>
      </c>
      <c r="AM620" s="27" t="s">
        <v>8</v>
      </c>
      <c r="AN620" s="27" t="s">
        <v>7</v>
      </c>
      <c r="AO620" s="27" t="s">
        <v>8</v>
      </c>
      <c r="AP620" s="27" t="s">
        <v>7</v>
      </c>
      <c r="AQ620" s="27" t="s">
        <v>8</v>
      </c>
      <c r="AT620" s="27" t="s">
        <v>7</v>
      </c>
      <c r="DN620" s="27" t="s">
        <v>7</v>
      </c>
      <c r="DP620" s="27" t="s">
        <v>7</v>
      </c>
      <c r="DQ620" s="27" t="s">
        <v>8</v>
      </c>
      <c r="DT620" s="27" t="s">
        <v>7</v>
      </c>
    </row>
    <row r="621" spans="1:124" x14ac:dyDescent="0.25">
      <c r="A621" s="7">
        <v>0.51002816562648323</v>
      </c>
      <c r="B621"/>
      <c r="C621"/>
      <c r="D621"/>
      <c r="E621"/>
      <c r="L621" s="27" t="s">
        <v>7</v>
      </c>
      <c r="M621" s="27" t="s">
        <v>8</v>
      </c>
      <c r="N621" s="27" t="s">
        <v>7</v>
      </c>
      <c r="O621" s="27" t="s">
        <v>8</v>
      </c>
      <c r="P621" s="27" t="s">
        <v>7</v>
      </c>
      <c r="W621" s="27" t="s">
        <v>8</v>
      </c>
      <c r="X621" s="27" t="s">
        <v>7</v>
      </c>
      <c r="Y621" s="27" t="s">
        <v>8</v>
      </c>
      <c r="Z621" s="27" t="s">
        <v>7</v>
      </c>
      <c r="AM621" s="27" t="s">
        <v>8</v>
      </c>
      <c r="AN621" s="27" t="s">
        <v>7</v>
      </c>
      <c r="AO621" s="27" t="s">
        <v>8</v>
      </c>
      <c r="AP621" s="27" t="s">
        <v>7</v>
      </c>
      <c r="AQ621" s="27" t="s">
        <v>8</v>
      </c>
      <c r="DP621" s="27" t="s">
        <v>7</v>
      </c>
      <c r="DT621" s="27" t="s">
        <v>7</v>
      </c>
    </row>
    <row r="622" spans="1:124" x14ac:dyDescent="0.25">
      <c r="A622" s="7">
        <v>0.50002761335929735</v>
      </c>
      <c r="B622"/>
      <c r="C622"/>
      <c r="D622"/>
      <c r="E622"/>
      <c r="L622" s="27" t="s">
        <v>7</v>
      </c>
      <c r="M622" s="27" t="s">
        <v>8</v>
      </c>
      <c r="N622" s="27" t="s">
        <v>7</v>
      </c>
      <c r="O622" s="27" t="s">
        <v>8</v>
      </c>
      <c r="P622" s="27" t="s">
        <v>7</v>
      </c>
      <c r="W622" s="27" t="s">
        <v>8</v>
      </c>
      <c r="X622" s="27" t="s">
        <v>7</v>
      </c>
      <c r="Y622" s="27" t="s">
        <v>8</v>
      </c>
      <c r="Z622" s="27" t="s">
        <v>7</v>
      </c>
      <c r="AM622" s="27" t="s">
        <v>8</v>
      </c>
      <c r="AN622" s="27" t="s">
        <v>7</v>
      </c>
      <c r="AO622" s="27" t="s">
        <v>8</v>
      </c>
      <c r="AP622" s="27" t="s">
        <v>7</v>
      </c>
      <c r="AQ622" s="27" t="s">
        <v>8</v>
      </c>
      <c r="DT622" s="27" t="s">
        <v>7</v>
      </c>
    </row>
    <row r="623" spans="1:124" x14ac:dyDescent="0.25">
      <c r="A623" s="7">
        <v>0.49022315035225228</v>
      </c>
      <c r="B623"/>
      <c r="C623"/>
      <c r="D623"/>
      <c r="E623"/>
      <c r="L623" s="27" t="s">
        <v>7</v>
      </c>
      <c r="M623" s="27" t="s">
        <v>8</v>
      </c>
      <c r="N623" s="27" t="s">
        <v>7</v>
      </c>
      <c r="O623" s="27" t="s">
        <v>8</v>
      </c>
      <c r="P623" s="27" t="s">
        <v>7</v>
      </c>
      <c r="S623" s="27" t="s">
        <v>8</v>
      </c>
      <c r="W623" s="27" t="s">
        <v>8</v>
      </c>
      <c r="X623" s="27" t="s">
        <v>7</v>
      </c>
      <c r="Y623" s="27" t="s">
        <v>8</v>
      </c>
      <c r="Z623" s="27" t="s">
        <v>7</v>
      </c>
      <c r="AM623" s="27" t="s">
        <v>8</v>
      </c>
      <c r="AN623" s="27" t="s">
        <v>7</v>
      </c>
      <c r="AO623" s="27" t="s">
        <v>8</v>
      </c>
      <c r="AP623" s="27" t="s">
        <v>7</v>
      </c>
      <c r="AQ623" s="27" t="s">
        <v>8</v>
      </c>
      <c r="DT623" s="27" t="s">
        <v>7</v>
      </c>
    </row>
    <row r="624" spans="1:124" x14ac:dyDescent="0.25">
      <c r="A624" s="7">
        <v>0.48061093171789437</v>
      </c>
      <c r="B624"/>
      <c r="C624"/>
      <c r="D624"/>
      <c r="E624"/>
      <c r="L624" s="27" t="s">
        <v>7</v>
      </c>
      <c r="M624" s="27" t="s">
        <v>8</v>
      </c>
      <c r="N624" s="27" t="s">
        <v>7</v>
      </c>
      <c r="O624" s="27" t="s">
        <v>8</v>
      </c>
      <c r="P624" s="27" t="s">
        <v>7</v>
      </c>
      <c r="Q624" s="27" t="s">
        <v>8</v>
      </c>
      <c r="S624" s="27" t="s">
        <v>8</v>
      </c>
      <c r="T624" s="27" t="s">
        <v>7</v>
      </c>
      <c r="W624" s="27" t="s">
        <v>8</v>
      </c>
      <c r="X624" s="27" t="s">
        <v>7</v>
      </c>
      <c r="Y624" s="27" t="s">
        <v>8</v>
      </c>
      <c r="Z624" s="27" t="s">
        <v>7</v>
      </c>
      <c r="AK624" s="27" t="s">
        <v>8</v>
      </c>
      <c r="AM624" s="27" t="s">
        <v>8</v>
      </c>
      <c r="AN624" s="27" t="s">
        <v>7</v>
      </c>
      <c r="AO624" s="27" t="s">
        <v>8</v>
      </c>
      <c r="AP624" s="27" t="s">
        <v>7</v>
      </c>
      <c r="AQ624" s="27" t="s">
        <v>8</v>
      </c>
      <c r="DT624" s="27" t="s">
        <v>7</v>
      </c>
    </row>
    <row r="625" spans="1:128" x14ac:dyDescent="0.25">
      <c r="A625" s="7">
        <v>0.47118718795871994</v>
      </c>
      <c r="B625"/>
      <c r="C625"/>
      <c r="D625"/>
      <c r="E625"/>
      <c r="L625" s="27" t="s">
        <v>7</v>
      </c>
      <c r="N625" s="27" t="s">
        <v>7</v>
      </c>
      <c r="O625" s="27" t="s">
        <v>8</v>
      </c>
      <c r="P625" s="27" t="s">
        <v>7</v>
      </c>
      <c r="Q625" s="27" t="s">
        <v>8</v>
      </c>
      <c r="R625" s="27" t="s">
        <v>7</v>
      </c>
      <c r="S625" s="27" t="s">
        <v>8</v>
      </c>
      <c r="T625" s="27" t="s">
        <v>7</v>
      </c>
      <c r="W625" s="27" t="s">
        <v>8</v>
      </c>
      <c r="X625" s="27" t="s">
        <v>7</v>
      </c>
      <c r="Y625" s="27" t="s">
        <v>8</v>
      </c>
      <c r="Z625" s="27" t="s">
        <v>7</v>
      </c>
      <c r="AK625" s="27" t="s">
        <v>8</v>
      </c>
      <c r="AL625" s="27" t="s">
        <v>7</v>
      </c>
      <c r="AM625" s="27" t="s">
        <v>8</v>
      </c>
      <c r="AN625" s="27" t="s">
        <v>7</v>
      </c>
      <c r="AP625" s="27" t="s">
        <v>7</v>
      </c>
      <c r="DT625" s="27" t="s">
        <v>7</v>
      </c>
    </row>
    <row r="626" spans="1:128" x14ac:dyDescent="0.25">
      <c r="A626" s="7">
        <v>0.46194822348894116</v>
      </c>
      <c r="B626"/>
      <c r="C626"/>
      <c r="D626"/>
      <c r="E626"/>
      <c r="N626" s="27" t="s">
        <v>7</v>
      </c>
      <c r="O626" s="27" t="s">
        <v>8</v>
      </c>
      <c r="P626" s="27" t="s">
        <v>7</v>
      </c>
      <c r="Q626" s="27" t="s">
        <v>8</v>
      </c>
      <c r="R626" s="27" t="s">
        <v>7</v>
      </c>
      <c r="S626" s="27" t="s">
        <v>8</v>
      </c>
      <c r="T626" s="27" t="s">
        <v>7</v>
      </c>
      <c r="W626" s="27" t="s">
        <v>8</v>
      </c>
      <c r="X626" s="27" t="s">
        <v>7</v>
      </c>
      <c r="Y626" s="27" t="s">
        <v>8</v>
      </c>
      <c r="Z626" s="27" t="s">
        <v>7</v>
      </c>
      <c r="AK626" s="27" t="s">
        <v>8</v>
      </c>
      <c r="AL626" s="27" t="s">
        <v>7</v>
      </c>
      <c r="AM626" s="27" t="s">
        <v>8</v>
      </c>
      <c r="DT626" s="27" t="s">
        <v>7</v>
      </c>
    </row>
    <row r="627" spans="1:128" x14ac:dyDescent="0.25">
      <c r="A627" s="7">
        <v>0.45289041518523643</v>
      </c>
      <c r="B627"/>
      <c r="C627"/>
      <c r="D627"/>
      <c r="E627"/>
      <c r="N627" s="27" t="s">
        <v>7</v>
      </c>
      <c r="O627" s="27" t="s">
        <v>8</v>
      </c>
      <c r="P627" s="27" t="s">
        <v>7</v>
      </c>
      <c r="R627" s="27" t="s">
        <v>7</v>
      </c>
      <c r="S627" s="27" t="s">
        <v>8</v>
      </c>
      <c r="T627" s="27" t="s">
        <v>7</v>
      </c>
      <c r="W627" s="27" t="s">
        <v>8</v>
      </c>
      <c r="X627" s="27" t="s">
        <v>7</v>
      </c>
      <c r="Y627" s="27" t="s">
        <v>8</v>
      </c>
      <c r="Z627" s="27" t="s">
        <v>7</v>
      </c>
      <c r="AK627" s="27" t="s">
        <v>8</v>
      </c>
      <c r="AL627" s="27" t="s">
        <v>7</v>
      </c>
      <c r="AM627" s="27" t="s">
        <v>8</v>
      </c>
      <c r="DT627" s="27" t="s">
        <v>7</v>
      </c>
    </row>
    <row r="628" spans="1:128" x14ac:dyDescent="0.25">
      <c r="A628" s="7">
        <v>0.44401021096591808</v>
      </c>
      <c r="B628"/>
      <c r="C628"/>
      <c r="D628"/>
      <c r="E628"/>
      <c r="N628" s="27" t="s">
        <v>7</v>
      </c>
      <c r="O628" s="27" t="s">
        <v>8</v>
      </c>
      <c r="R628" s="27" t="s">
        <v>7</v>
      </c>
      <c r="T628" s="27" t="s">
        <v>7</v>
      </c>
      <c r="W628" s="27" t="s">
        <v>8</v>
      </c>
      <c r="X628" s="27" t="s">
        <v>7</v>
      </c>
      <c r="Y628" s="27" t="s">
        <v>8</v>
      </c>
      <c r="Z628" s="27" t="s">
        <v>7</v>
      </c>
      <c r="AE628" s="27" t="s">
        <v>8</v>
      </c>
      <c r="AK628" s="27" t="s">
        <v>8</v>
      </c>
      <c r="AL628" s="27" t="s">
        <v>7</v>
      </c>
      <c r="AM628" s="27" t="s">
        <v>8</v>
      </c>
      <c r="DT628" s="27" t="s">
        <v>7</v>
      </c>
    </row>
    <row r="629" spans="1:128" x14ac:dyDescent="0.25">
      <c r="A629" s="7">
        <v>0.4353041283979589</v>
      </c>
      <c r="B629"/>
      <c r="C629"/>
      <c r="D629"/>
      <c r="E629"/>
      <c r="N629" s="27" t="s">
        <v>7</v>
      </c>
      <c r="T629" s="27" t="s">
        <v>7</v>
      </c>
      <c r="W629" s="27" t="s">
        <v>8</v>
      </c>
      <c r="X629" s="27" t="s">
        <v>7</v>
      </c>
      <c r="Y629" s="27" t="s">
        <v>8</v>
      </c>
      <c r="Z629" s="27" t="s">
        <v>7</v>
      </c>
      <c r="AE629" s="27" t="s">
        <v>8</v>
      </c>
      <c r="AF629" s="27" t="s">
        <v>7</v>
      </c>
      <c r="AK629" s="27" t="s">
        <v>8</v>
      </c>
      <c r="AL629" s="27" t="s">
        <v>7</v>
      </c>
      <c r="AM629" s="27" t="s">
        <v>8</v>
      </c>
      <c r="DT629" s="27" t="s">
        <v>7</v>
      </c>
    </row>
    <row r="630" spans="1:128" x14ac:dyDescent="0.25">
      <c r="A630" s="7">
        <v>0.4267687533313323</v>
      </c>
      <c r="B630"/>
      <c r="C630"/>
      <c r="D630"/>
      <c r="E630"/>
      <c r="T630" s="27" t="s">
        <v>7</v>
      </c>
      <c r="U630" s="27" t="s">
        <v>8</v>
      </c>
      <c r="W630" s="27" t="s">
        <v>8</v>
      </c>
      <c r="X630" s="27" t="s">
        <v>7</v>
      </c>
      <c r="Y630" s="27" t="s">
        <v>8</v>
      </c>
      <c r="Z630" s="27" t="s">
        <v>7</v>
      </c>
      <c r="AE630" s="27" t="s">
        <v>8</v>
      </c>
      <c r="AF630" s="27" t="s">
        <v>7</v>
      </c>
      <c r="AK630" s="27" t="s">
        <v>8</v>
      </c>
      <c r="AL630" s="27" t="s">
        <v>7</v>
      </c>
      <c r="AM630" s="27" t="s">
        <v>8</v>
      </c>
      <c r="DT630" s="27" t="s">
        <v>7</v>
      </c>
    </row>
    <row r="631" spans="1:128" x14ac:dyDescent="0.25">
      <c r="A631" s="7">
        <v>0.41840073856012971</v>
      </c>
      <c r="B631"/>
      <c r="C631"/>
      <c r="D631"/>
      <c r="E631"/>
      <c r="T631" s="27" t="s">
        <v>7</v>
      </c>
      <c r="U631" s="27" t="s">
        <v>8</v>
      </c>
      <c r="V631" s="27" t="s">
        <v>7</v>
      </c>
      <c r="W631" s="27" t="s">
        <v>8</v>
      </c>
      <c r="X631" s="27" t="s">
        <v>7</v>
      </c>
      <c r="Y631" s="27" t="s">
        <v>8</v>
      </c>
      <c r="Z631" s="27" t="s">
        <v>7</v>
      </c>
      <c r="AA631" s="27" t="s">
        <v>8</v>
      </c>
      <c r="AE631" s="27" t="s">
        <v>8</v>
      </c>
      <c r="AF631" s="27" t="s">
        <v>7</v>
      </c>
      <c r="AI631" s="27" t="s">
        <v>8</v>
      </c>
      <c r="AK631" s="27" t="s">
        <v>8</v>
      </c>
      <c r="AL631" s="27" t="s">
        <v>7</v>
      </c>
      <c r="AM631" s="27" t="s">
        <v>8</v>
      </c>
      <c r="DT631" s="27" t="s">
        <v>7</v>
      </c>
      <c r="DU631" s="27" t="s">
        <v>8</v>
      </c>
      <c r="DW631" s="27" t="s">
        <v>8</v>
      </c>
    </row>
    <row r="632" spans="1:128" x14ac:dyDescent="0.25">
      <c r="A632" s="7">
        <v>0.41019680250993112</v>
      </c>
      <c r="B632"/>
      <c r="C632"/>
      <c r="D632"/>
      <c r="E632"/>
      <c r="T632" s="27" t="s">
        <v>7</v>
      </c>
      <c r="U632" s="27" t="s">
        <v>8</v>
      </c>
      <c r="V632" s="27" t="s">
        <v>7</v>
      </c>
      <c r="W632" s="27" t="s">
        <v>8</v>
      </c>
      <c r="X632" s="27" t="s">
        <v>7</v>
      </c>
      <c r="Y632" s="27" t="s">
        <v>8</v>
      </c>
      <c r="Z632" s="27" t="s">
        <v>7</v>
      </c>
      <c r="AA632" s="27" t="s">
        <v>8</v>
      </c>
      <c r="AB632" s="27" t="s">
        <v>7</v>
      </c>
      <c r="AE632" s="27" t="s">
        <v>8</v>
      </c>
      <c r="AF632" s="27" t="s">
        <v>7</v>
      </c>
      <c r="AI632" s="27" t="s">
        <v>8</v>
      </c>
      <c r="AJ632" s="27" t="s">
        <v>7</v>
      </c>
      <c r="AK632" s="27" t="s">
        <v>8</v>
      </c>
      <c r="AL632" s="27" t="s">
        <v>7</v>
      </c>
      <c r="DT632" s="27" t="s">
        <v>7</v>
      </c>
      <c r="DU632" s="27" t="s">
        <v>8</v>
      </c>
      <c r="DV632" s="27" t="s">
        <v>7</v>
      </c>
      <c r="DW632" s="27" t="s">
        <v>8</v>
      </c>
      <c r="DX632" s="27" t="s">
        <v>7</v>
      </c>
    </row>
    <row r="633" spans="1:128" x14ac:dyDescent="0.25">
      <c r="A633" s="7">
        <v>0.40215372795091286</v>
      </c>
      <c r="B633"/>
      <c r="C633"/>
      <c r="D633"/>
      <c r="E633"/>
      <c r="T633" s="27" t="s">
        <v>7</v>
      </c>
      <c r="V633" s="27" t="s">
        <v>7</v>
      </c>
      <c r="W633" s="27" t="s">
        <v>8</v>
      </c>
      <c r="X633" s="27" t="s">
        <v>7</v>
      </c>
      <c r="Z633" s="27" t="s">
        <v>7</v>
      </c>
      <c r="AA633" s="27" t="s">
        <v>8</v>
      </c>
      <c r="AB633" s="27" t="s">
        <v>7</v>
      </c>
      <c r="AE633" s="27" t="s">
        <v>8</v>
      </c>
      <c r="AF633" s="27" t="s">
        <v>7</v>
      </c>
      <c r="AI633" s="27" t="s">
        <v>8</v>
      </c>
      <c r="AJ633" s="27" t="s">
        <v>7</v>
      </c>
      <c r="AK633" s="27" t="s">
        <v>8</v>
      </c>
      <c r="DT633" s="27" t="s">
        <v>7</v>
      </c>
      <c r="DU633" s="27" t="s">
        <v>8</v>
      </c>
      <c r="DV633" s="27" t="s">
        <v>7</v>
      </c>
      <c r="DW633" s="27" t="s">
        <v>8</v>
      </c>
      <c r="DX633" s="27" t="s">
        <v>7</v>
      </c>
    </row>
    <row r="634" spans="1:128" x14ac:dyDescent="0.25">
      <c r="A634" s="7">
        <v>0.39426836073618904</v>
      </c>
      <c r="B634"/>
      <c r="C634"/>
      <c r="D634"/>
      <c r="E634"/>
      <c r="V634" s="27" t="s">
        <v>7</v>
      </c>
      <c r="W634" s="27" t="s">
        <v>8</v>
      </c>
      <c r="Z634" s="27" t="s">
        <v>7</v>
      </c>
      <c r="AA634" s="27" t="s">
        <v>8</v>
      </c>
      <c r="AB634" s="27" t="s">
        <v>7</v>
      </c>
      <c r="AC634" s="27" t="s">
        <v>8</v>
      </c>
      <c r="AE634" s="27" t="s">
        <v>8</v>
      </c>
      <c r="AF634" s="27" t="s">
        <v>7</v>
      </c>
      <c r="AG634" s="27" t="s">
        <v>8</v>
      </c>
      <c r="AI634" s="27" t="s">
        <v>8</v>
      </c>
      <c r="AJ634" s="27" t="s">
        <v>7</v>
      </c>
      <c r="AK634" s="27" t="s">
        <v>8</v>
      </c>
      <c r="DT634" s="27" t="s">
        <v>7</v>
      </c>
      <c r="DU634" s="27" t="s">
        <v>8</v>
      </c>
      <c r="DV634" s="27" t="s">
        <v>7</v>
      </c>
      <c r="DW634" s="27" t="s">
        <v>8</v>
      </c>
      <c r="DX634" s="27" t="s">
        <v>7</v>
      </c>
    </row>
    <row r="635" spans="1:128" x14ac:dyDescent="0.25">
      <c r="A635" s="7">
        <v>0.38653760856489122</v>
      </c>
      <c r="B635"/>
      <c r="C635"/>
      <c r="D635"/>
      <c r="E635"/>
      <c r="V635" s="27" t="s">
        <v>7</v>
      </c>
      <c r="W635" s="27" t="s">
        <v>8</v>
      </c>
      <c r="Z635" s="18" t="s">
        <v>7</v>
      </c>
      <c r="AA635" s="27" t="s">
        <v>8</v>
      </c>
      <c r="AB635" s="27" t="s">
        <v>7</v>
      </c>
      <c r="AC635" s="27" t="s">
        <v>8</v>
      </c>
      <c r="AD635" s="27" t="s">
        <v>7</v>
      </c>
      <c r="AE635" s="27" t="s">
        <v>8</v>
      </c>
      <c r="AF635" s="27" t="s">
        <v>7</v>
      </c>
      <c r="AG635" s="27" t="s">
        <v>8</v>
      </c>
      <c r="AH635" s="27" t="s">
        <v>7</v>
      </c>
      <c r="AI635" s="27" t="s">
        <v>8</v>
      </c>
      <c r="AJ635" s="27" t="s">
        <v>7</v>
      </c>
      <c r="AK635" s="27" t="s">
        <v>8</v>
      </c>
      <c r="DT635" s="27" t="s">
        <v>7</v>
      </c>
      <c r="DU635" s="27" t="s">
        <v>8</v>
      </c>
      <c r="DV635" s="27" t="s">
        <v>7</v>
      </c>
      <c r="DW635" s="27" t="s">
        <v>8</v>
      </c>
      <c r="DX635" s="27" t="s">
        <v>7</v>
      </c>
    </row>
    <row r="636" spans="1:128" x14ac:dyDescent="0.25">
      <c r="A636" s="7">
        <v>0.37895843976950117</v>
      </c>
      <c r="B636"/>
      <c r="C636"/>
      <c r="D636"/>
      <c r="E636"/>
      <c r="V636" s="27" t="s">
        <v>7</v>
      </c>
      <c r="W636" s="27" t="s">
        <v>8</v>
      </c>
      <c r="Z636" s="27" t="s">
        <v>7</v>
      </c>
      <c r="AA636" s="27" t="s">
        <v>8</v>
      </c>
      <c r="AB636" s="27" t="s">
        <v>7</v>
      </c>
      <c r="AC636" s="27" t="s">
        <v>8</v>
      </c>
      <c r="AD636" s="27" t="s">
        <v>7</v>
      </c>
      <c r="AE636" s="27" t="s">
        <v>8</v>
      </c>
      <c r="AF636" s="27" t="s">
        <v>7</v>
      </c>
      <c r="AG636" s="27" t="s">
        <v>8</v>
      </c>
      <c r="AH636" s="27" t="s">
        <v>7</v>
      </c>
      <c r="AI636" s="27" t="s">
        <v>8</v>
      </c>
      <c r="AJ636" s="27" t="s">
        <v>7</v>
      </c>
      <c r="DT636" s="27" t="s">
        <v>7</v>
      </c>
      <c r="DU636" s="27" t="s">
        <v>8</v>
      </c>
      <c r="DV636" s="27" t="s">
        <v>7</v>
      </c>
      <c r="DW636" s="27" t="s">
        <v>8</v>
      </c>
      <c r="DX636" s="27" t="s">
        <v>7</v>
      </c>
    </row>
    <row r="637" spans="1:128" x14ac:dyDescent="0.25">
      <c r="A637" s="7">
        <v>0.37152788212696197</v>
      </c>
      <c r="B637"/>
      <c r="C637"/>
      <c r="D637"/>
      <c r="E637"/>
      <c r="V637" s="27" t="s">
        <v>7</v>
      </c>
      <c r="W637" s="27" t="s">
        <v>8</v>
      </c>
      <c r="Z637" s="27" t="s">
        <v>7</v>
      </c>
      <c r="AA637" s="27" t="s">
        <v>8</v>
      </c>
      <c r="AB637" s="27" t="s">
        <v>7</v>
      </c>
      <c r="AC637" s="27" t="s">
        <v>8</v>
      </c>
      <c r="AD637" s="27" t="s">
        <v>7</v>
      </c>
      <c r="AF637" s="27" t="s">
        <v>7</v>
      </c>
      <c r="AG637" s="27" t="s">
        <v>8</v>
      </c>
      <c r="AH637" s="27" t="s">
        <v>7</v>
      </c>
      <c r="AI637" s="27" t="s">
        <v>8</v>
      </c>
      <c r="DT637" s="27" t="s">
        <v>7</v>
      </c>
      <c r="DU637" s="27" t="s">
        <v>8</v>
      </c>
      <c r="DV637" s="27" t="s">
        <v>7</v>
      </c>
      <c r="DW637" s="27" t="s">
        <v>8</v>
      </c>
    </row>
    <row r="638" spans="1:128" x14ac:dyDescent="0.25">
      <c r="A638" s="7">
        <v>0.36424302169310002</v>
      </c>
      <c r="B638"/>
      <c r="C638"/>
      <c r="D638"/>
      <c r="E638"/>
      <c r="V638" s="27" t="s">
        <v>7</v>
      </c>
      <c r="W638" s="27" t="s">
        <v>8</v>
      </c>
      <c r="Z638" s="27" t="s">
        <v>7</v>
      </c>
      <c r="AA638" s="27" t="s">
        <v>8</v>
      </c>
      <c r="AB638" s="27" t="s">
        <v>7</v>
      </c>
      <c r="AF638" s="27" t="s">
        <v>7</v>
      </c>
      <c r="AH638" s="27" t="s">
        <v>7</v>
      </c>
      <c r="DT638" s="27" t="s">
        <v>7</v>
      </c>
      <c r="DU638" s="27" t="s">
        <v>8</v>
      </c>
      <c r="DV638" s="27" t="s">
        <v>7</v>
      </c>
      <c r="DW638" s="27" t="s">
        <v>8</v>
      </c>
    </row>
    <row r="639" spans="1:128" x14ac:dyDescent="0.25">
      <c r="A639" s="7">
        <v>0.35710100165990194</v>
      </c>
      <c r="B639"/>
      <c r="C639"/>
      <c r="D639"/>
      <c r="E639"/>
      <c r="V639" s="27" t="s">
        <v>7</v>
      </c>
      <c r="W639" s="27" t="s">
        <v>8</v>
      </c>
      <c r="Z639" s="27" t="s">
        <v>7</v>
      </c>
      <c r="AA639" s="27" t="s">
        <v>8</v>
      </c>
      <c r="DT639" s="27" t="s">
        <v>7</v>
      </c>
      <c r="DV639" s="27" t="s">
        <v>7</v>
      </c>
      <c r="DW639" s="27" t="s">
        <v>8</v>
      </c>
    </row>
    <row r="640" spans="1:128" x14ac:dyDescent="0.25">
      <c r="A640" s="7">
        <v>0.35009902123519804</v>
      </c>
      <c r="B640"/>
      <c r="C640"/>
      <c r="D640"/>
      <c r="E640"/>
      <c r="V640" s="27" t="s">
        <v>7</v>
      </c>
      <c r="W640" s="27" t="s">
        <v>8</v>
      </c>
      <c r="Z640" s="27" t="s">
        <v>7</v>
      </c>
      <c r="AA640" s="27" t="s">
        <v>8</v>
      </c>
      <c r="DV640" s="27" t="s">
        <v>7</v>
      </c>
      <c r="DW640" s="27" t="s">
        <v>8</v>
      </c>
    </row>
    <row r="641" spans="1:127" x14ac:dyDescent="0.25">
      <c r="A641" s="7">
        <v>0.34323433454431179</v>
      </c>
      <c r="B641"/>
      <c r="C641"/>
      <c r="D641"/>
      <c r="E641"/>
      <c r="V641" s="27" t="s">
        <v>7</v>
      </c>
      <c r="Z641" s="27" t="s">
        <v>7</v>
      </c>
      <c r="DV641" s="27" t="s">
        <v>7</v>
      </c>
      <c r="DW641" s="27" t="s">
        <v>8</v>
      </c>
    </row>
    <row r="642" spans="1:127" x14ac:dyDescent="0.25">
      <c r="A642" s="7">
        <v>0.33650424955324681</v>
      </c>
      <c r="B642"/>
      <c r="C642"/>
      <c r="D642"/>
      <c r="E642"/>
      <c r="DV642" s="27" t="s">
        <v>7</v>
      </c>
    </row>
    <row r="643" spans="1:127" x14ac:dyDescent="0.25">
      <c r="A643" s="7">
        <v>0.3299061270129871</v>
      </c>
      <c r="B643"/>
      <c r="C643"/>
      <c r="D643"/>
      <c r="E643"/>
    </row>
    <row r="644" spans="1:127" x14ac:dyDescent="0.25">
      <c r="A644" s="7">
        <v>0.32343737942449713</v>
      </c>
      <c r="B644"/>
      <c r="C644"/>
      <c r="D644"/>
      <c r="E644"/>
    </row>
    <row r="645" spans="1:127" x14ac:dyDescent="0.25">
      <c r="A645" s="7">
        <v>0.31709547002401678</v>
      </c>
      <c r="B645"/>
      <c r="C645"/>
      <c r="D645"/>
      <c r="E645"/>
    </row>
    <row r="646" spans="1:127" x14ac:dyDescent="0.25">
      <c r="A646" s="7">
        <v>0.31087791178825175</v>
      </c>
      <c r="B646"/>
      <c r="C646"/>
      <c r="D646"/>
      <c r="E646"/>
    </row>
    <row r="647" spans="1:127" x14ac:dyDescent="0.25">
      <c r="A647" s="7">
        <v>0.30478226645907036</v>
      </c>
      <c r="B647"/>
      <c r="C647"/>
      <c r="D647"/>
      <c r="E647"/>
    </row>
    <row r="648" spans="1:127" x14ac:dyDescent="0.25">
      <c r="A648" s="7">
        <v>0.29880614358732388</v>
      </c>
      <c r="B648"/>
      <c r="C648"/>
      <c r="D648"/>
      <c r="E648"/>
    </row>
    <row r="649" spans="1:127" x14ac:dyDescent="0.25">
      <c r="A649" s="7">
        <v>0.2929471995954156</v>
      </c>
      <c r="B649"/>
      <c r="C649"/>
      <c r="D649"/>
      <c r="E649"/>
    </row>
    <row r="650" spans="1:127" x14ac:dyDescent="0.25">
      <c r="A650" s="7">
        <v>0.28720313685825055</v>
      </c>
      <c r="B650"/>
      <c r="C650"/>
      <c r="D650"/>
      <c r="E650"/>
    </row>
    <row r="651" spans="1:127" x14ac:dyDescent="0.25">
      <c r="A651" s="7">
        <v>0.28157170280220645</v>
      </c>
      <c r="B651"/>
      <c r="C651"/>
      <c r="D651"/>
      <c r="E651"/>
    </row>
    <row r="652" spans="1:127" x14ac:dyDescent="0.25">
      <c r="A652" s="7">
        <v>0.27605068902177105</v>
      </c>
      <c r="B652"/>
      <c r="C652"/>
      <c r="D652"/>
      <c r="E652"/>
    </row>
    <row r="653" spans="1:127" x14ac:dyDescent="0.25">
      <c r="A653" s="7">
        <v>0.27063793041350104</v>
      </c>
      <c r="B653"/>
      <c r="C653"/>
      <c r="D653"/>
      <c r="E653"/>
    </row>
    <row r="654" spans="1:127" x14ac:dyDescent="0.25">
      <c r="A654" s="7">
        <v>0.26533130432696184</v>
      </c>
      <c r="B654"/>
      <c r="C654"/>
      <c r="D654"/>
      <c r="E654"/>
    </row>
    <row r="655" spans="1:127" x14ac:dyDescent="0.25">
      <c r="A655" s="7">
        <v>0.26012872973231554</v>
      </c>
      <c r="B655"/>
      <c r="C655"/>
      <c r="D655"/>
      <c r="E655"/>
    </row>
    <row r="656" spans="1:127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40" operator="equal">
      <formula>$U$1</formula>
    </cfRule>
    <cfRule type="cellIs" dxfId="89" priority="641" operator="equal">
      <formula>$S$1</formula>
    </cfRule>
  </conditionalFormatting>
  <conditionalFormatting sqref="D27">
    <cfRule type="cellIs" dxfId="88" priority="638" operator="equal">
      <formula>$S$1</formula>
    </cfRule>
    <cfRule type="cellIs" dxfId="87" priority="639" operator="equal">
      <formula>$U$1</formula>
    </cfRule>
  </conditionalFormatting>
  <conditionalFormatting sqref="C164">
    <cfRule type="cellIs" dxfId="86" priority="636" operator="equal">
      <formula>$U$1</formula>
    </cfRule>
    <cfRule type="cellIs" dxfId="85" priority="637" operator="equal">
      <formula>$S$1</formula>
    </cfRule>
  </conditionalFormatting>
  <conditionalFormatting sqref="D164">
    <cfRule type="cellIs" dxfId="84" priority="634" operator="equal">
      <formula>$S$1</formula>
    </cfRule>
    <cfRule type="cellIs" dxfId="83" priority="635" operator="equal">
      <formula>$U$1</formula>
    </cfRule>
  </conditionalFormatting>
  <conditionalFormatting sqref="C55">
    <cfRule type="cellIs" dxfId="82" priority="632" operator="equal">
      <formula>$U$1</formula>
    </cfRule>
    <cfRule type="cellIs" dxfId="81" priority="633" operator="equal">
      <formula>$S$1</formula>
    </cfRule>
  </conditionalFormatting>
  <conditionalFormatting sqref="D55">
    <cfRule type="cellIs" dxfId="80" priority="630" operator="equal">
      <formula>$S$1</formula>
    </cfRule>
    <cfRule type="cellIs" dxfId="79" priority="631" operator="equal">
      <formula>$U$1</formula>
    </cfRule>
  </conditionalFormatting>
  <conditionalFormatting sqref="C89">
    <cfRule type="cellIs" dxfId="78" priority="628" operator="equal">
      <formula>$U$1</formula>
    </cfRule>
    <cfRule type="cellIs" dxfId="77" priority="629" operator="equal">
      <formula>$S$1</formula>
    </cfRule>
  </conditionalFormatting>
  <conditionalFormatting sqref="D89">
    <cfRule type="cellIs" dxfId="76" priority="626" operator="equal">
      <formula>$S$1</formula>
    </cfRule>
    <cfRule type="cellIs" dxfId="75" priority="627" operator="equal">
      <formula>$U$1</formula>
    </cfRule>
  </conditionalFormatting>
  <conditionalFormatting sqref="C136">
    <cfRule type="cellIs" dxfId="74" priority="624" operator="equal">
      <formula>$U$1</formula>
    </cfRule>
    <cfRule type="cellIs" dxfId="73" priority="625" operator="equal">
      <formula>$S$1</formula>
    </cfRule>
  </conditionalFormatting>
  <conditionalFormatting sqref="D136">
    <cfRule type="cellIs" dxfId="72" priority="622" operator="equal">
      <formula>$S$1</formula>
    </cfRule>
    <cfRule type="cellIs" dxfId="71" priority="623" operator="equal">
      <formula>$U$1</formula>
    </cfRule>
  </conditionalFormatting>
  <conditionalFormatting sqref="C1">
    <cfRule type="cellIs" dxfId="70" priority="6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7" zoomScale="90" zoomScaleNormal="90" workbookViewId="0">
      <pane xSplit="4" topLeftCell="G1" activePane="topRight" state="frozen"/>
      <selection activeCell="A109" sqref="A109"/>
      <selection pane="topRight" activeCell="BK258" sqref="BK25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$A$257</v>
      </c>
      <c r="D111" s="1" t="str">
        <f>ADDRESS(C121-1,D121,1,1)</f>
        <v>$BK$257</v>
      </c>
      <c r="E111"/>
    </row>
    <row r="112" spans="1:5" x14ac:dyDescent="0.25">
      <c r="A112" s="30">
        <v>515.50191262726139</v>
      </c>
      <c r="C112" s="1" t="str">
        <f>ADDRESS(C121,1,1,1)</f>
        <v>$A$258</v>
      </c>
      <c r="D112" s="1" t="str">
        <f>ADDRESS(C121,D121-1,1,1)</f>
        <v>$BJ$258</v>
      </c>
      <c r="E112"/>
    </row>
    <row r="113" spans="1:5" x14ac:dyDescent="0.25">
      <c r="A113" s="30">
        <v>490.95420250215363</v>
      </c>
      <c r="C113" s="1" t="str">
        <f>ADDRESS(C121+1,1,1,1)</f>
        <v>$A$259</v>
      </c>
      <c r="D113" s="1" t="str">
        <f>ADDRESS(C121-1,D121+1,1,1)</f>
        <v>$BL$257</v>
      </c>
    </row>
    <row r="114" spans="1:5" x14ac:dyDescent="0.25">
      <c r="A114" s="30">
        <v>467.57543095443202</v>
      </c>
      <c r="C114" s="1" t="str">
        <f>ADDRESS(C121,D121,1,1)</f>
        <v>$BK$258</v>
      </c>
      <c r="D114" s="1" t="str">
        <f>ADDRESS(C121+1,D121+1,1,1)</f>
        <v>$BL$259</v>
      </c>
    </row>
    <row r="115" spans="1:5" x14ac:dyDescent="0.25">
      <c r="A115" s="30">
        <v>445.30993424231622</v>
      </c>
      <c r="C115" s="1" t="str">
        <f>ADDRESS(C121+1,D121,1,1)</f>
        <v>$BK$259</v>
      </c>
    </row>
    <row r="116" spans="1:5" x14ac:dyDescent="0.25">
      <c r="A116" s="30">
        <v>424.10469927839637</v>
      </c>
      <c r="C116" s="1">
        <f>C117-1</f>
        <v>257</v>
      </c>
    </row>
    <row r="117" spans="1:5" x14ac:dyDescent="0.25">
      <c r="A117" s="30">
        <v>403.9092374079965</v>
      </c>
      <c r="C117" s="1">
        <f>C121</f>
        <v>258</v>
      </c>
      <c r="D117" s="1">
        <f>D121</f>
        <v>63</v>
      </c>
    </row>
    <row r="118" spans="1:5" x14ac:dyDescent="0.25">
      <c r="A118" s="30">
        <v>384.6754641980919</v>
      </c>
      <c r="C118" s="1">
        <f>C117+1</f>
        <v>259</v>
      </c>
      <c r="D118" s="1">
        <f>D117+1</f>
        <v>64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258</v>
      </c>
      <c r="D121" s="19">
        <v>63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R258</v>
      </c>
      <c r="D123" s="1" t="str">
        <f>"C"&amp;D121</f>
        <v>C63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0.41552065486748019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2" x14ac:dyDescent="0.25">
      <c r="A225" s="30">
        <v>2.0789281794113688</v>
      </c>
      <c r="E225"/>
    </row>
    <row r="226" spans="1:52" x14ac:dyDescent="0.25">
      <c r="A226" s="30">
        <v>1.9799315994393987</v>
      </c>
      <c r="E226"/>
      <c r="AC226" s="27" t="s">
        <v>8</v>
      </c>
      <c r="AE226" s="27" t="s">
        <v>8</v>
      </c>
    </row>
    <row r="227" spans="1:52" x14ac:dyDescent="0.25">
      <c r="A227" s="30">
        <v>1.8856491423232367</v>
      </c>
      <c r="E227"/>
      <c r="AC227" s="27" t="s">
        <v>8</v>
      </c>
      <c r="AD227" s="27" t="s">
        <v>7</v>
      </c>
      <c r="AE227" s="27" t="s">
        <v>8</v>
      </c>
      <c r="AF227" s="27" t="s">
        <v>7</v>
      </c>
    </row>
    <row r="228" spans="1:52" x14ac:dyDescent="0.25">
      <c r="A228" s="30">
        <v>1.7958563260221301</v>
      </c>
      <c r="C228" s="7"/>
      <c r="D228"/>
      <c r="E228"/>
      <c r="AC228" s="27" t="s">
        <v>8</v>
      </c>
      <c r="AD228" s="27" t="s">
        <v>7</v>
      </c>
      <c r="AE228" s="27" t="s">
        <v>8</v>
      </c>
      <c r="AF228" s="27" t="s">
        <v>7</v>
      </c>
    </row>
    <row r="229" spans="1:52" x14ac:dyDescent="0.25">
      <c r="A229" s="30">
        <v>1.7103393581163142</v>
      </c>
      <c r="E229"/>
      <c r="AC229" s="27" t="s">
        <v>8</v>
      </c>
      <c r="AD229" s="27" t="s">
        <v>7</v>
      </c>
      <c r="AE229" s="27" t="s">
        <v>8</v>
      </c>
      <c r="AF229" s="27" t="s">
        <v>7</v>
      </c>
      <c r="AW229" s="27" t="s">
        <v>8</v>
      </c>
    </row>
    <row r="230" spans="1:52" x14ac:dyDescent="0.25">
      <c r="A230" s="30">
        <v>1.628894626777442</v>
      </c>
      <c r="E230"/>
      <c r="AC230" s="27" t="s">
        <v>8</v>
      </c>
      <c r="AD230" s="27" t="s">
        <v>7</v>
      </c>
      <c r="AE230" s="27" t="s">
        <v>8</v>
      </c>
      <c r="AF230" s="27" t="s">
        <v>7</v>
      </c>
      <c r="AW230" s="27" t="s">
        <v>8</v>
      </c>
      <c r="AX230" s="27" t="s">
        <v>7</v>
      </c>
    </row>
    <row r="231" spans="1:52" x14ac:dyDescent="0.25">
      <c r="A231" s="30">
        <v>1.5513282159785162</v>
      </c>
      <c r="C231"/>
      <c r="D231"/>
      <c r="E231" t="s">
        <v>8</v>
      </c>
      <c r="AC231" s="27" t="s">
        <v>8</v>
      </c>
      <c r="AD231" s="27" t="s">
        <v>7</v>
      </c>
      <c r="AE231" s="27" t="s">
        <v>8</v>
      </c>
      <c r="AF231" s="27" t="s">
        <v>7</v>
      </c>
      <c r="AG231" s="27" t="s">
        <v>8</v>
      </c>
      <c r="AW231" s="27" t="s">
        <v>8</v>
      </c>
      <c r="AX231" s="27" t="s">
        <v>7</v>
      </c>
    </row>
    <row r="232" spans="1:52" x14ac:dyDescent="0.25">
      <c r="A232" s="30">
        <v>1.477455443789063</v>
      </c>
      <c r="E232" t="s">
        <v>8</v>
      </c>
      <c r="F232" s="27" t="s">
        <v>7</v>
      </c>
      <c r="AC232" s="27" t="s">
        <v>8</v>
      </c>
      <c r="AD232" s="27" t="s">
        <v>7</v>
      </c>
      <c r="AE232" s="27" t="s">
        <v>8</v>
      </c>
      <c r="AF232" s="27" t="s">
        <v>7</v>
      </c>
      <c r="AG232" s="27" t="s">
        <v>8</v>
      </c>
      <c r="AH232" s="27" t="s">
        <v>7</v>
      </c>
      <c r="AW232" s="27" t="s">
        <v>8</v>
      </c>
      <c r="AX232" s="27" t="s">
        <v>7</v>
      </c>
      <c r="AY232" s="27" t="s">
        <v>8</v>
      </c>
    </row>
    <row r="233" spans="1:52" x14ac:dyDescent="0.25">
      <c r="A233" s="30">
        <v>1.4071004226562505</v>
      </c>
      <c r="E233" t="s">
        <v>8</v>
      </c>
      <c r="F233" s="27" t="s">
        <v>7</v>
      </c>
      <c r="AC233" s="27" t="s">
        <v>8</v>
      </c>
      <c r="AD233" s="27" t="s">
        <v>7</v>
      </c>
      <c r="AE233" s="27" t="s">
        <v>8</v>
      </c>
      <c r="AF233" s="27" t="s">
        <v>7</v>
      </c>
      <c r="AG233" s="27" t="s">
        <v>8</v>
      </c>
      <c r="AH233" s="27" t="s">
        <v>7</v>
      </c>
      <c r="AW233" s="27" t="s">
        <v>8</v>
      </c>
      <c r="AX233" s="27" t="s">
        <v>7</v>
      </c>
      <c r="AY233" s="27" t="s">
        <v>8</v>
      </c>
      <c r="AZ233" s="27" t="s">
        <v>7</v>
      </c>
    </row>
    <row r="234" spans="1:52" x14ac:dyDescent="0.25">
      <c r="A234" s="30">
        <v>1.3400956406250004</v>
      </c>
      <c r="E234" t="s">
        <v>8</v>
      </c>
      <c r="F234" s="27" t="s">
        <v>7</v>
      </c>
      <c r="AC234" s="27" t="s">
        <v>8</v>
      </c>
      <c r="AD234" s="27" t="s">
        <v>7</v>
      </c>
      <c r="AE234" s="27" t="s">
        <v>8</v>
      </c>
      <c r="AF234" s="27" t="s">
        <v>7</v>
      </c>
      <c r="AH234" s="27" t="s">
        <v>7</v>
      </c>
      <c r="AK234" s="27" t="s">
        <v>8</v>
      </c>
      <c r="AM234" s="27" t="s">
        <v>8</v>
      </c>
      <c r="AW234" s="27" t="s">
        <v>8</v>
      </c>
      <c r="AX234" s="27" t="s">
        <v>7</v>
      </c>
      <c r="AY234" s="27" t="s">
        <v>8</v>
      </c>
      <c r="AZ234" s="27" t="s">
        <v>7</v>
      </c>
    </row>
    <row r="235" spans="1:52" x14ac:dyDescent="0.25">
      <c r="A235" s="30">
        <v>1.2762815625000004</v>
      </c>
      <c r="C235"/>
      <c r="E235" t="s">
        <v>8</v>
      </c>
      <c r="F235" s="27" t="s">
        <v>7</v>
      </c>
      <c r="AC235" s="27" t="s">
        <v>8</v>
      </c>
      <c r="AD235" s="27" t="s">
        <v>7</v>
      </c>
      <c r="AH235" s="27" t="s">
        <v>7</v>
      </c>
      <c r="AK235" s="27" t="s">
        <v>8</v>
      </c>
      <c r="AL235" s="27" t="s">
        <v>7</v>
      </c>
      <c r="AM235" s="27" t="s">
        <v>8</v>
      </c>
      <c r="AN235" s="27" t="s">
        <v>7</v>
      </c>
      <c r="AU235" s="27" t="s">
        <v>8</v>
      </c>
      <c r="AW235" s="27" t="s">
        <v>8</v>
      </c>
      <c r="AX235" s="27" t="s">
        <v>7</v>
      </c>
      <c r="AY235" s="27" t="s">
        <v>8</v>
      </c>
      <c r="AZ235" s="27" t="s">
        <v>7</v>
      </c>
    </row>
    <row r="236" spans="1:52" x14ac:dyDescent="0.25">
      <c r="A236" s="30">
        <v>1.2155062500000002</v>
      </c>
      <c r="E236" t="s">
        <v>8</v>
      </c>
      <c r="F236" s="27" t="s">
        <v>7</v>
      </c>
      <c r="AC236" s="27" t="s">
        <v>8</v>
      </c>
      <c r="AH236" s="27" t="s">
        <v>7</v>
      </c>
      <c r="AI236" s="27" t="s">
        <v>8</v>
      </c>
      <c r="AK236" s="27" t="s">
        <v>8</v>
      </c>
      <c r="AL236" s="27" t="s">
        <v>7</v>
      </c>
      <c r="AM236" s="27" t="s">
        <v>8</v>
      </c>
      <c r="AN236" s="27" t="s">
        <v>7</v>
      </c>
      <c r="AS236" s="27" t="s">
        <v>8</v>
      </c>
      <c r="AU236" s="27" t="s">
        <v>8</v>
      </c>
      <c r="AV236" s="27" t="s">
        <v>7</v>
      </c>
      <c r="AW236" s="27" t="s">
        <v>8</v>
      </c>
      <c r="AX236" s="27" t="s">
        <v>7</v>
      </c>
      <c r="AY236" s="27" t="s">
        <v>8</v>
      </c>
      <c r="AZ236" s="27" t="s">
        <v>7</v>
      </c>
    </row>
    <row r="237" spans="1:5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AC237" s="27" t="s">
        <v>8</v>
      </c>
      <c r="AH237" s="27" t="s">
        <v>7</v>
      </c>
      <c r="AI237" s="27" t="s">
        <v>8</v>
      </c>
      <c r="AJ237" s="27" t="s">
        <v>7</v>
      </c>
      <c r="AK237" s="27" t="s">
        <v>8</v>
      </c>
      <c r="AL237" s="27" t="s">
        <v>7</v>
      </c>
      <c r="AM237" s="27" t="s">
        <v>8</v>
      </c>
      <c r="AN237" s="27" t="s">
        <v>7</v>
      </c>
      <c r="AS237" s="27" t="s">
        <v>8</v>
      </c>
      <c r="AT237" s="27" t="s">
        <v>7</v>
      </c>
      <c r="AU237" s="27" t="s">
        <v>8</v>
      </c>
      <c r="AV237" s="27" t="s">
        <v>7</v>
      </c>
      <c r="AW237" s="27" t="s">
        <v>8</v>
      </c>
      <c r="AX237" s="27" t="s">
        <v>7</v>
      </c>
      <c r="AY237" s="27" t="s">
        <v>8</v>
      </c>
      <c r="AZ237" s="27" t="s">
        <v>7</v>
      </c>
    </row>
    <row r="238" spans="1:52" x14ac:dyDescent="0.25">
      <c r="A238" s="30">
        <v>1.1025</v>
      </c>
      <c r="E238" t="s">
        <v>8</v>
      </c>
      <c r="F238" s="27" t="s">
        <v>7</v>
      </c>
      <c r="G238" s="27" t="s">
        <v>8</v>
      </c>
      <c r="AC238" s="27" t="s">
        <v>8</v>
      </c>
      <c r="AH238" s="27" t="s">
        <v>7</v>
      </c>
      <c r="AI238" s="27" t="s">
        <v>8</v>
      </c>
      <c r="AJ238" s="27" t="s">
        <v>7</v>
      </c>
      <c r="AK238" s="27" t="s">
        <v>8</v>
      </c>
      <c r="AL238" s="27" t="s">
        <v>7</v>
      </c>
      <c r="AN238" s="27" t="s">
        <v>7</v>
      </c>
      <c r="AQ238" s="27" t="s">
        <v>8</v>
      </c>
      <c r="AS238" s="27" t="s">
        <v>8</v>
      </c>
      <c r="AT238" s="27" t="s">
        <v>7</v>
      </c>
      <c r="AU238" s="27" t="s">
        <v>8</v>
      </c>
      <c r="AV238" s="27" t="s">
        <v>7</v>
      </c>
      <c r="AX238" s="27" t="s">
        <v>7</v>
      </c>
      <c r="AY238" s="27" t="s">
        <v>8</v>
      </c>
      <c r="AZ238" s="27" t="s">
        <v>7</v>
      </c>
    </row>
    <row r="239" spans="1:52" x14ac:dyDescent="0.25">
      <c r="A239" s="30">
        <v>1.05</v>
      </c>
      <c r="E239" t="s">
        <v>8</v>
      </c>
      <c r="F239" s="27" t="s">
        <v>7</v>
      </c>
      <c r="G239" s="27" t="s">
        <v>8</v>
      </c>
      <c r="H239" s="27" t="s">
        <v>7</v>
      </c>
      <c r="AC239" s="27" t="s">
        <v>8</v>
      </c>
      <c r="AH239" s="27" t="s">
        <v>7</v>
      </c>
      <c r="AI239" s="27" t="s">
        <v>8</v>
      </c>
      <c r="AJ239" s="27" t="s">
        <v>7</v>
      </c>
      <c r="AN239" s="27" t="s">
        <v>7</v>
      </c>
      <c r="AO239" s="27" t="s">
        <v>8</v>
      </c>
      <c r="AQ239" s="27" t="s">
        <v>8</v>
      </c>
      <c r="AR239" s="27" t="s">
        <v>7</v>
      </c>
      <c r="AS239" s="27" t="s">
        <v>8</v>
      </c>
      <c r="AT239" s="27" t="s">
        <v>7</v>
      </c>
      <c r="AU239" s="27" t="s">
        <v>8</v>
      </c>
      <c r="AX239" s="27" t="s">
        <v>7</v>
      </c>
      <c r="AY239" s="27" t="s">
        <v>8</v>
      </c>
      <c r="AZ239" s="27" t="s">
        <v>7</v>
      </c>
    </row>
    <row r="240" spans="1:52" x14ac:dyDescent="0.25">
      <c r="A240" s="30">
        <v>1</v>
      </c>
      <c r="E240" s="29" t="s">
        <v>8</v>
      </c>
      <c r="F240" s="27" t="s">
        <v>7</v>
      </c>
      <c r="G240" s="27" t="s">
        <v>8</v>
      </c>
      <c r="H240" s="27" t="s">
        <v>7</v>
      </c>
      <c r="AC240" s="27" t="s">
        <v>8</v>
      </c>
      <c r="AH240" s="27" t="s">
        <v>7</v>
      </c>
      <c r="AI240" s="27" t="s">
        <v>8</v>
      </c>
      <c r="AN240" s="27" t="s">
        <v>7</v>
      </c>
      <c r="AO240" s="27" t="s">
        <v>8</v>
      </c>
      <c r="AP240" s="27" t="s">
        <v>7</v>
      </c>
      <c r="AQ240" s="27" t="s">
        <v>8</v>
      </c>
      <c r="AR240" s="27" t="s">
        <v>7</v>
      </c>
      <c r="AS240" s="27" t="s">
        <v>8</v>
      </c>
      <c r="AT240" s="27" t="s">
        <v>7</v>
      </c>
      <c r="AU240" s="27" t="s">
        <v>8</v>
      </c>
      <c r="AX240" s="27" t="s">
        <v>7</v>
      </c>
      <c r="AY240" s="27" t="s">
        <v>8</v>
      </c>
      <c r="AZ240" s="27" t="s">
        <v>7</v>
      </c>
    </row>
    <row r="241" spans="1:60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H241" s="27" t="s">
        <v>7</v>
      </c>
      <c r="AC241" s="27" t="s">
        <v>8</v>
      </c>
      <c r="AH241" s="27" t="s">
        <v>7</v>
      </c>
      <c r="AI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  <c r="AR241" s="27" t="s">
        <v>7</v>
      </c>
      <c r="AS241" s="27" t="s">
        <v>8</v>
      </c>
      <c r="AT241" s="27" t="s">
        <v>7</v>
      </c>
      <c r="AX241" s="27" t="s">
        <v>7</v>
      </c>
      <c r="AZ241" s="27" t="s">
        <v>7</v>
      </c>
    </row>
    <row r="242" spans="1:60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AC242" s="27" t="s">
        <v>8</v>
      </c>
      <c r="AH242" s="27" t="s">
        <v>7</v>
      </c>
      <c r="AK242" s="31"/>
      <c r="AN242" s="27" t="s">
        <v>7</v>
      </c>
      <c r="AO242" s="27" t="s">
        <v>8</v>
      </c>
      <c r="AP242" s="27" t="s">
        <v>7</v>
      </c>
      <c r="AQ242" s="27" t="s">
        <v>8</v>
      </c>
      <c r="AR242" s="27" t="s">
        <v>7</v>
      </c>
      <c r="AZ242" s="27" t="s">
        <v>7</v>
      </c>
    </row>
    <row r="243" spans="1:60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H243" s="27" t="s">
        <v>7</v>
      </c>
      <c r="AC243" s="27" t="s">
        <v>8</v>
      </c>
      <c r="AJ243" s="31"/>
      <c r="AN243" s="27" t="s">
        <v>7</v>
      </c>
      <c r="AP243" s="27" t="s">
        <v>7</v>
      </c>
      <c r="AQ243" s="27" t="s">
        <v>8</v>
      </c>
      <c r="AZ243" s="27" t="s">
        <v>7</v>
      </c>
    </row>
    <row r="244" spans="1:60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AC244" s="27" t="s">
        <v>8</v>
      </c>
      <c r="AI244" s="31"/>
      <c r="AP244" s="27" t="s">
        <v>7</v>
      </c>
      <c r="AQ244" s="27" t="s">
        <v>8</v>
      </c>
      <c r="AZ244" s="27" t="s">
        <v>7</v>
      </c>
    </row>
    <row r="245" spans="1:60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AC245" s="27" t="s">
        <v>8</v>
      </c>
      <c r="AH245" s="31"/>
      <c r="AP245" s="27" t="s">
        <v>7</v>
      </c>
      <c r="AZ245" s="27" t="s">
        <v>7</v>
      </c>
      <c r="BA245" s="27" t="s">
        <v>8</v>
      </c>
      <c r="BC245" s="27" t="s">
        <v>8</v>
      </c>
      <c r="BE245" s="27" t="s">
        <v>8</v>
      </c>
    </row>
    <row r="246" spans="1:60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AA246" s="27" t="s">
        <v>8</v>
      </c>
      <c r="AC246" s="27" t="s">
        <v>8</v>
      </c>
      <c r="AG246" s="31"/>
      <c r="AZ246" s="27" t="s">
        <v>7</v>
      </c>
      <c r="BA246" s="27" t="s">
        <v>8</v>
      </c>
      <c r="BB246" s="27" t="s">
        <v>7</v>
      </c>
      <c r="BC246" s="27" t="s">
        <v>8</v>
      </c>
      <c r="BD246" s="27" t="s">
        <v>7</v>
      </c>
      <c r="BE246" s="27" t="s">
        <v>8</v>
      </c>
      <c r="BF246" s="27" t="s">
        <v>7</v>
      </c>
    </row>
    <row r="247" spans="1:60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AA247" s="27" t="s">
        <v>8</v>
      </c>
      <c r="AB247" s="27" t="s">
        <v>7</v>
      </c>
      <c r="AC247" s="27" t="s">
        <v>8</v>
      </c>
      <c r="AF247" s="31"/>
      <c r="AZ247" s="27" t="s">
        <v>7</v>
      </c>
      <c r="BA247" s="27" t="s">
        <v>8</v>
      </c>
      <c r="BB247" s="27" t="s">
        <v>7</v>
      </c>
      <c r="BC247" s="27" t="s">
        <v>8</v>
      </c>
      <c r="BD247" s="27" t="s">
        <v>7</v>
      </c>
      <c r="BE247" s="27" t="s">
        <v>8</v>
      </c>
      <c r="BF247" s="27" t="s">
        <v>7</v>
      </c>
    </row>
    <row r="248" spans="1:60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Y248" s="27" t="s">
        <v>8</v>
      </c>
      <c r="AA248" s="27" t="s">
        <v>8</v>
      </c>
      <c r="AB248" s="27" t="s">
        <v>7</v>
      </c>
      <c r="AC248" s="27" t="s">
        <v>8</v>
      </c>
      <c r="AE248" s="31"/>
      <c r="AZ248" s="27" t="s">
        <v>7</v>
      </c>
      <c r="BA248" s="27" t="s">
        <v>8</v>
      </c>
      <c r="BB248" s="27" t="s">
        <v>7</v>
      </c>
      <c r="BC248" s="27" t="s">
        <v>8</v>
      </c>
      <c r="BD248" s="27" t="s">
        <v>7</v>
      </c>
      <c r="BE248" s="27" t="s">
        <v>8</v>
      </c>
      <c r="BF248" s="27" t="s">
        <v>7</v>
      </c>
    </row>
    <row r="249" spans="1:60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Y249" s="27" t="s">
        <v>8</v>
      </c>
      <c r="Z249" s="27" t="s">
        <v>7</v>
      </c>
      <c r="AA249" s="27" t="s">
        <v>8</v>
      </c>
      <c r="AB249" s="27" t="s">
        <v>7</v>
      </c>
      <c r="AC249" s="27" t="s">
        <v>8</v>
      </c>
      <c r="AD249" s="31"/>
      <c r="AZ249" s="27" t="s">
        <v>7</v>
      </c>
      <c r="BA249" s="27" t="s">
        <v>8</v>
      </c>
      <c r="BB249" s="27" t="s">
        <v>7</v>
      </c>
      <c r="BD249" s="27" t="s">
        <v>7</v>
      </c>
      <c r="BE249" s="27" t="s">
        <v>8</v>
      </c>
      <c r="BF249" s="27" t="s">
        <v>7</v>
      </c>
    </row>
    <row r="250" spans="1:60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I250" s="27" t="s">
        <v>8</v>
      </c>
      <c r="U250" s="27" t="s">
        <v>8</v>
      </c>
      <c r="Y250" s="27" t="s">
        <v>8</v>
      </c>
      <c r="Z250" s="27" t="s">
        <v>7</v>
      </c>
      <c r="AA250" s="27" t="s">
        <v>8</v>
      </c>
      <c r="AB250" s="27" t="s">
        <v>7</v>
      </c>
      <c r="AC250" s="31"/>
      <c r="AZ250" s="27" t="s">
        <v>7</v>
      </c>
      <c r="BD250" s="27" t="s">
        <v>7</v>
      </c>
      <c r="BE250" s="27" t="s">
        <v>8</v>
      </c>
      <c r="BF250" s="27" t="s">
        <v>7</v>
      </c>
    </row>
    <row r="251" spans="1:60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I251" s="27" t="s">
        <v>8</v>
      </c>
      <c r="J251" s="27" t="s">
        <v>7</v>
      </c>
      <c r="K251" s="27" t="s">
        <v>8</v>
      </c>
      <c r="M251" s="27" t="s">
        <v>8</v>
      </c>
      <c r="U251" s="27" t="s">
        <v>8</v>
      </c>
      <c r="V251" s="27" t="s">
        <v>7</v>
      </c>
      <c r="Y251" s="27" t="s">
        <v>8</v>
      </c>
      <c r="Z251" s="27" t="s">
        <v>7</v>
      </c>
      <c r="AA251" s="27" t="s">
        <v>8</v>
      </c>
      <c r="AB251" s="31"/>
      <c r="BD251" s="27" t="s">
        <v>7</v>
      </c>
      <c r="BF251" s="27" t="s">
        <v>7</v>
      </c>
      <c r="BG251" s="27" t="s">
        <v>8</v>
      </c>
    </row>
    <row r="252" spans="1:60" x14ac:dyDescent="0.25">
      <c r="A252" s="30">
        <v>0.55683741817755672</v>
      </c>
      <c r="B252"/>
      <c r="C252"/>
      <c r="D252"/>
      <c r="E252"/>
      <c r="F252" s="27" t="s">
        <v>7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  <c r="U252" s="27" t="s">
        <v>8</v>
      </c>
      <c r="V252" s="27" t="s">
        <v>7</v>
      </c>
      <c r="W252" s="27" t="s">
        <v>8</v>
      </c>
      <c r="Y252" s="27" t="s">
        <v>8</v>
      </c>
      <c r="Z252" s="27" t="s">
        <v>7</v>
      </c>
      <c r="AA252" s="31" t="s">
        <v>8</v>
      </c>
      <c r="BF252" s="27" t="s">
        <v>7</v>
      </c>
      <c r="BG252" s="27" t="s">
        <v>8</v>
      </c>
      <c r="BH252" s="27" t="s">
        <v>7</v>
      </c>
    </row>
    <row r="253" spans="1:60" x14ac:dyDescent="0.25">
      <c r="A253" s="30">
        <v>0.53032135064529184</v>
      </c>
      <c r="B253"/>
      <c r="C253"/>
      <c r="D253"/>
      <c r="E253"/>
      <c r="H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U253" s="27" t="s">
        <v>8</v>
      </c>
      <c r="V253" s="27" t="s">
        <v>7</v>
      </c>
      <c r="W253" s="27" t="s">
        <v>8</v>
      </c>
      <c r="X253" s="27" t="s">
        <v>7</v>
      </c>
      <c r="Y253" s="27" t="s">
        <v>8</v>
      </c>
      <c r="Z253" s="31" t="s">
        <v>7</v>
      </c>
      <c r="BF253" s="27" t="s">
        <v>7</v>
      </c>
      <c r="BG253" s="27" t="s">
        <v>8</v>
      </c>
      <c r="BH253" s="27" t="s">
        <v>7</v>
      </c>
    </row>
    <row r="254" spans="1:60" x14ac:dyDescent="0.25">
      <c r="A254" s="30">
        <v>0.50506795299551588</v>
      </c>
      <c r="B254"/>
      <c r="C254"/>
      <c r="D254"/>
      <c r="E254"/>
      <c r="H254" s="27" t="s">
        <v>7</v>
      </c>
      <c r="I254" s="27" t="s">
        <v>8</v>
      </c>
      <c r="J254" s="27" t="s">
        <v>7</v>
      </c>
      <c r="K254" s="27" t="s">
        <v>8</v>
      </c>
      <c r="L254" s="27" t="s">
        <v>7</v>
      </c>
      <c r="M254" s="27" t="s">
        <v>8</v>
      </c>
      <c r="N254" s="27" t="s">
        <v>7</v>
      </c>
      <c r="O254" s="27" t="s">
        <v>8</v>
      </c>
      <c r="U254" s="27" t="s">
        <v>8</v>
      </c>
      <c r="V254" s="27" t="s">
        <v>7</v>
      </c>
      <c r="W254" s="27" t="s">
        <v>8</v>
      </c>
      <c r="X254" s="27" t="s">
        <v>7</v>
      </c>
      <c r="Y254" s="31" t="s">
        <v>8</v>
      </c>
      <c r="BF254" s="27" t="s">
        <v>7</v>
      </c>
      <c r="BH254" s="27" t="s">
        <v>7</v>
      </c>
    </row>
    <row r="255" spans="1:60" x14ac:dyDescent="0.25">
      <c r="A255" s="30">
        <v>0.48101709809096732</v>
      </c>
      <c r="E255"/>
      <c r="H255" s="27" t="s">
        <v>7</v>
      </c>
      <c r="J255" s="27" t="s">
        <v>7</v>
      </c>
      <c r="K255" s="27" t="s">
        <v>8</v>
      </c>
      <c r="L255" s="27" t="s">
        <v>7</v>
      </c>
      <c r="M255" s="27" t="s">
        <v>8</v>
      </c>
      <c r="N255" s="27" t="s">
        <v>7</v>
      </c>
      <c r="O255" s="27" t="s">
        <v>8</v>
      </c>
      <c r="P255" s="27" t="s">
        <v>7</v>
      </c>
      <c r="S255" s="27" t="s">
        <v>8</v>
      </c>
      <c r="U255" s="27" t="s">
        <v>8</v>
      </c>
      <c r="V255" s="27" t="s">
        <v>7</v>
      </c>
      <c r="X255" s="31" t="s">
        <v>7</v>
      </c>
      <c r="BH255" s="27" t="s">
        <v>7</v>
      </c>
    </row>
    <row r="256" spans="1:60" x14ac:dyDescent="0.25">
      <c r="A256" s="30">
        <v>0.45811152199139726</v>
      </c>
      <c r="E256"/>
      <c r="J256" s="27" t="s">
        <v>7</v>
      </c>
      <c r="K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  <c r="S256" s="27" t="s">
        <v>8</v>
      </c>
      <c r="T256" s="27" t="s">
        <v>7</v>
      </c>
      <c r="U256" s="27" t="s">
        <v>8</v>
      </c>
      <c r="BH256" s="27" t="s">
        <v>7</v>
      </c>
    </row>
    <row r="257" spans="1:63" x14ac:dyDescent="0.25">
      <c r="A257" s="30">
        <v>0.43629668761085438</v>
      </c>
      <c r="B257"/>
      <c r="C257"/>
      <c r="D257"/>
      <c r="E257"/>
      <c r="J257" s="27" t="s">
        <v>7</v>
      </c>
      <c r="L257" s="27" t="s">
        <v>7</v>
      </c>
      <c r="M257" s="27" t="s">
        <v>8</v>
      </c>
      <c r="N257" s="27" t="s">
        <v>7</v>
      </c>
      <c r="O257" s="27" t="s">
        <v>8</v>
      </c>
      <c r="P257" s="27" t="s">
        <v>7</v>
      </c>
      <c r="Q257" s="27" t="s">
        <v>8</v>
      </c>
      <c r="S257" s="27" t="s">
        <v>8</v>
      </c>
      <c r="T257" s="27" t="s">
        <v>7</v>
      </c>
      <c r="U257" s="27" t="s">
        <v>8</v>
      </c>
      <c r="BH257" s="27" t="s">
        <v>7</v>
      </c>
    </row>
    <row r="258" spans="1:63" x14ac:dyDescent="0.25">
      <c r="A258" s="30">
        <v>0.41552065486748019</v>
      </c>
      <c r="B258"/>
      <c r="C258"/>
      <c r="D258"/>
      <c r="E258"/>
      <c r="L258" s="27" t="s">
        <v>7</v>
      </c>
      <c r="M258" s="27" t="s">
        <v>8</v>
      </c>
      <c r="N258" s="27" t="s">
        <v>7</v>
      </c>
      <c r="P258" s="27" t="s">
        <v>7</v>
      </c>
      <c r="Q258" s="27" t="s">
        <v>8</v>
      </c>
      <c r="R258" s="27" t="s">
        <v>7</v>
      </c>
      <c r="S258" s="27" t="s">
        <v>8</v>
      </c>
      <c r="T258" s="27" t="s">
        <v>7</v>
      </c>
      <c r="BH258" s="27" t="s">
        <v>7</v>
      </c>
      <c r="BI258" s="27" t="s">
        <v>8</v>
      </c>
      <c r="BK258" s="27" t="s">
        <v>8</v>
      </c>
    </row>
    <row r="259" spans="1:63" x14ac:dyDescent="0.25">
      <c r="A259" s="30">
        <v>0.39573395701664765</v>
      </c>
      <c r="B259"/>
      <c r="C259"/>
      <c r="D259"/>
      <c r="E259"/>
      <c r="L259" s="27" t="s">
        <v>7</v>
      </c>
      <c r="M259" s="27" t="s">
        <v>8</v>
      </c>
      <c r="P259" s="18" t="s">
        <v>7</v>
      </c>
      <c r="Q259" s="27" t="s">
        <v>8</v>
      </c>
      <c r="R259" s="27" t="s">
        <v>7</v>
      </c>
      <c r="S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</row>
    <row r="260" spans="1:63" x14ac:dyDescent="0.25">
      <c r="A260" s="30">
        <v>0.37688948287299762</v>
      </c>
      <c r="B260"/>
      <c r="C260"/>
      <c r="D260"/>
      <c r="E260"/>
      <c r="L260" s="27" t="s">
        <v>7</v>
      </c>
      <c r="M260" s="27" t="s">
        <v>8</v>
      </c>
      <c r="P260" s="27" t="s">
        <v>7</v>
      </c>
      <c r="Q260" s="27" t="s">
        <v>8</v>
      </c>
      <c r="R260" s="27" t="s">
        <v>7</v>
      </c>
      <c r="BH260" s="27" t="s">
        <v>7</v>
      </c>
      <c r="BI260" s="27" t="s">
        <v>8</v>
      </c>
      <c r="BJ260" s="27" t="s">
        <v>7</v>
      </c>
      <c r="BK260" s="27" t="s">
        <v>8</v>
      </c>
    </row>
    <row r="261" spans="1:63" x14ac:dyDescent="0.25">
      <c r="A261" s="30">
        <v>0.35894236464094997</v>
      </c>
      <c r="B261"/>
      <c r="C261"/>
      <c r="D261"/>
      <c r="E261"/>
      <c r="L261" s="27" t="s">
        <v>7</v>
      </c>
      <c r="P261" s="27" t="s">
        <v>7</v>
      </c>
      <c r="Q261" s="27" t="s">
        <v>8</v>
      </c>
      <c r="BH261" s="27" t="s">
        <v>7</v>
      </c>
      <c r="BJ261" s="27" t="s">
        <v>7</v>
      </c>
      <c r="BK261" s="27" t="s">
        <v>8</v>
      </c>
    </row>
    <row r="262" spans="1:63" x14ac:dyDescent="0.25">
      <c r="A262" s="30">
        <v>0.34184987108661891</v>
      </c>
      <c r="B262"/>
      <c r="C262"/>
      <c r="D262"/>
      <c r="E262"/>
      <c r="P262" s="27" t="s">
        <v>7</v>
      </c>
      <c r="BJ262" s="27" t="s">
        <v>7</v>
      </c>
    </row>
    <row r="263" spans="1:63" x14ac:dyDescent="0.25">
      <c r="A263" s="30">
        <v>0.32557130579677979</v>
      </c>
      <c r="B263"/>
      <c r="C263"/>
      <c r="D263"/>
      <c r="E263"/>
    </row>
    <row r="264" spans="1:63" x14ac:dyDescent="0.25">
      <c r="A264" s="30">
        <v>0.3100679102826473</v>
      </c>
      <c r="B264"/>
      <c r="C264"/>
      <c r="D264"/>
      <c r="E264"/>
    </row>
    <row r="265" spans="1:63" x14ac:dyDescent="0.25">
      <c r="A265" s="30">
        <v>0.2953027716977592</v>
      </c>
      <c r="B265"/>
      <c r="C265"/>
      <c r="D265"/>
      <c r="E265"/>
    </row>
    <row r="266" spans="1:63" x14ac:dyDescent="0.25">
      <c r="A266" s="30">
        <v>0.28124073495024676</v>
      </c>
      <c r="B266"/>
      <c r="C266"/>
      <c r="D266"/>
      <c r="E266"/>
    </row>
    <row r="267" spans="1:63" x14ac:dyDescent="0.25">
      <c r="A267" s="30">
        <v>0.26784831900023492</v>
      </c>
      <c r="B267"/>
      <c r="C267"/>
      <c r="D267"/>
      <c r="E267"/>
    </row>
    <row r="268" spans="1:63" x14ac:dyDescent="0.25">
      <c r="A268" s="30">
        <v>0.25509363714308075</v>
      </c>
      <c r="B268"/>
      <c r="C268"/>
      <c r="D268"/>
      <c r="E268"/>
    </row>
    <row r="269" spans="1:63" x14ac:dyDescent="0.25">
      <c r="A269" s="30">
        <v>0.24294632108864825</v>
      </c>
      <c r="B269"/>
      <c r="C269"/>
      <c r="D269"/>
      <c r="E269"/>
    </row>
    <row r="270" spans="1:63" x14ac:dyDescent="0.25">
      <c r="A270" s="30">
        <v>0.23137744865585538</v>
      </c>
      <c r="B270"/>
      <c r="C270"/>
      <c r="D270"/>
      <c r="E270"/>
    </row>
    <row r="271" spans="1:63" x14ac:dyDescent="0.25">
      <c r="A271" s="30">
        <v>0.22035947491033836</v>
      </c>
      <c r="B271"/>
      <c r="C271"/>
      <c r="D271"/>
      <c r="E271"/>
    </row>
    <row r="272" spans="1:6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55" operator="equal">
      <formula>$U$1</formula>
    </cfRule>
    <cfRule type="cellIs" dxfId="67" priority="656" operator="equal">
      <formula>$S$1</formula>
    </cfRule>
  </conditionalFormatting>
  <conditionalFormatting sqref="D136">
    <cfRule type="cellIs" dxfId="66" priority="653" operator="equal">
      <formula>$S$1</formula>
    </cfRule>
    <cfRule type="cellIs" dxfId="65" priority="654" operator="equal">
      <formula>$U$1</formula>
    </cfRule>
  </conditionalFormatting>
  <conditionalFormatting sqref="C162">
    <cfRule type="cellIs" dxfId="64" priority="651" operator="equal">
      <formula>$U$1</formula>
    </cfRule>
    <cfRule type="cellIs" dxfId="63" priority="652" operator="equal">
      <formula>$S$1</formula>
    </cfRule>
  </conditionalFormatting>
  <conditionalFormatting sqref="D162">
    <cfRule type="cellIs" dxfId="62" priority="649" operator="equal">
      <formula>$S$1</formula>
    </cfRule>
    <cfRule type="cellIs" dxfId="61" priority="650" operator="equal">
      <formula>$U$1</formula>
    </cfRule>
  </conditionalFormatting>
  <conditionalFormatting sqref="C187">
    <cfRule type="cellIs" dxfId="60" priority="647" operator="equal">
      <formula>$U$1</formula>
    </cfRule>
    <cfRule type="cellIs" dxfId="59" priority="648" operator="equal">
      <formula>$S$1</formula>
    </cfRule>
  </conditionalFormatting>
  <conditionalFormatting sqref="D187">
    <cfRule type="cellIs" dxfId="58" priority="645" operator="equal">
      <formula>$S$1</formula>
    </cfRule>
    <cfRule type="cellIs" dxfId="57" priority="646" operator="equal">
      <formula>$U$1</formula>
    </cfRule>
  </conditionalFormatting>
  <conditionalFormatting sqref="C212">
    <cfRule type="cellIs" dxfId="56" priority="643" operator="equal">
      <formula>$U$1</formula>
    </cfRule>
    <cfRule type="cellIs" dxfId="55" priority="644" operator="equal">
      <formula>$S$1</formula>
    </cfRule>
  </conditionalFormatting>
  <conditionalFormatting sqref="D212">
    <cfRule type="cellIs" dxfId="54" priority="641" operator="equal">
      <formula>$S$1</formula>
    </cfRule>
    <cfRule type="cellIs" dxfId="53" priority="642" operator="equal">
      <formula>$U$1</formula>
    </cfRule>
  </conditionalFormatting>
  <conditionalFormatting sqref="C237">
    <cfRule type="cellIs" dxfId="52" priority="639" operator="equal">
      <formula>$U$1</formula>
    </cfRule>
    <cfRule type="cellIs" dxfId="51" priority="640" operator="equal">
      <formula>$S$1</formula>
    </cfRule>
  </conditionalFormatting>
  <conditionalFormatting sqref="D237">
    <cfRule type="cellIs" dxfId="50" priority="637" operator="equal">
      <formula>$S$1</formula>
    </cfRule>
    <cfRule type="cellIs" dxfId="49" priority="638" operator="equal">
      <formula>$U$1</formula>
    </cfRule>
  </conditionalFormatting>
  <conditionalFormatting sqref="C106">
    <cfRule type="cellIs" dxfId="48" priority="635" operator="equal">
      <formula>$U$1</formula>
    </cfRule>
    <cfRule type="cellIs" dxfId="47" priority="636" operator="equal">
      <formula>$S$1</formula>
    </cfRule>
  </conditionalFormatting>
  <conditionalFormatting sqref="D106">
    <cfRule type="cellIs" dxfId="46" priority="633" operator="equal">
      <formula>$S$1</formula>
    </cfRule>
    <cfRule type="cellIs" dxfId="45" priority="634" operator="equal">
      <formula>$U$1</formula>
    </cfRule>
  </conditionalFormatting>
  <conditionalFormatting sqref="C81">
    <cfRule type="cellIs" dxfId="44" priority="631" operator="equal">
      <formula>$U$1</formula>
    </cfRule>
    <cfRule type="cellIs" dxfId="43" priority="632" operator="equal">
      <formula>$S$1</formula>
    </cfRule>
  </conditionalFormatting>
  <conditionalFormatting sqref="D81">
    <cfRule type="cellIs" dxfId="42" priority="629" operator="equal">
      <formula>$S$1</formula>
    </cfRule>
    <cfRule type="cellIs" dxfId="41" priority="630" operator="equal">
      <formula>$U$1</formula>
    </cfRule>
  </conditionalFormatting>
  <conditionalFormatting sqref="C56">
    <cfRule type="cellIs" dxfId="40" priority="627" operator="equal">
      <formula>$U$1</formula>
    </cfRule>
    <cfRule type="cellIs" dxfId="39" priority="628" operator="equal">
      <formula>$S$1</formula>
    </cfRule>
  </conditionalFormatting>
  <conditionalFormatting sqref="D56">
    <cfRule type="cellIs" dxfId="38" priority="625" operator="equal">
      <formula>$S$1</formula>
    </cfRule>
    <cfRule type="cellIs" dxfId="37" priority="626" operator="equal">
      <formula>$U$1</formula>
    </cfRule>
  </conditionalFormatting>
  <conditionalFormatting sqref="C31">
    <cfRule type="cellIs" dxfId="36" priority="623" operator="equal">
      <formula>$U$1</formula>
    </cfRule>
    <cfRule type="cellIs" dxfId="35" priority="624" operator="equal">
      <formula>$S$1</formula>
    </cfRule>
  </conditionalFormatting>
  <conditionalFormatting sqref="D31">
    <cfRule type="cellIs" dxfId="34" priority="621" operator="equal">
      <formula>$S$1</formula>
    </cfRule>
    <cfRule type="cellIs" dxfId="33" priority="6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5" zoomScale="90" zoomScaleNormal="90" workbookViewId="0">
      <pane xSplit="4" topLeftCell="G1" activePane="topRight" state="frozen"/>
      <selection activeCell="A109" sqref="A109"/>
      <selection pane="topRight" activeCell="V132" sqref="V13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$A$131</v>
      </c>
      <c r="D111" s="1" t="str">
        <f>ADDRESS(C121-1,D121,1,1)</f>
        <v>$V$131</v>
      </c>
      <c r="E111"/>
    </row>
    <row r="112" spans="1:5" x14ac:dyDescent="0.25">
      <c r="A112" s="30">
        <v>2.3579476910000019</v>
      </c>
      <c r="C112" s="1" t="str">
        <f>ADDRESS(C121,1,1,1)</f>
        <v>$A$132</v>
      </c>
      <c r="D112" s="1" t="str">
        <f>ADDRESS(C121,D121-1,1,1)</f>
        <v>$U$132</v>
      </c>
      <c r="E112"/>
    </row>
    <row r="113" spans="1:22" x14ac:dyDescent="0.25">
      <c r="A113" s="30">
        <v>2.1435888100000016</v>
      </c>
      <c r="C113" s="1" t="str">
        <f>ADDRESS(C121+1,1,1,1)</f>
        <v>$A$133</v>
      </c>
      <c r="D113" s="1" t="str">
        <f>ADDRESS(C121-1,D121+1,1,1)</f>
        <v>$W$131</v>
      </c>
    </row>
    <row r="114" spans="1:22" x14ac:dyDescent="0.25">
      <c r="A114" s="30">
        <v>1.9487171000000014</v>
      </c>
      <c r="C114" s="1" t="str">
        <f>ADDRESS(C121,D121,1,1)</f>
        <v>$V$132</v>
      </c>
      <c r="D114" s="1" t="str">
        <f>ADDRESS(C121+1,D121+1,1,1)</f>
        <v>$W$133</v>
      </c>
      <c r="K114" s="27" t="s">
        <v>8</v>
      </c>
      <c r="M114" s="27" t="s">
        <v>8</v>
      </c>
    </row>
    <row r="115" spans="1:22" x14ac:dyDescent="0.25">
      <c r="A115" s="30">
        <v>1.7715610000000011</v>
      </c>
      <c r="C115" s="1" t="str">
        <f>ADDRESS(C121+1,D121,1,1)</f>
        <v>$V$133</v>
      </c>
      <c r="K115" s="27" t="s">
        <v>8</v>
      </c>
      <c r="L115" s="27" t="s">
        <v>7</v>
      </c>
      <c r="M115" s="27" t="s">
        <v>8</v>
      </c>
      <c r="N115" s="27" t="s">
        <v>7</v>
      </c>
    </row>
    <row r="116" spans="1:22" x14ac:dyDescent="0.25">
      <c r="A116" s="30">
        <v>1.6105100000000008</v>
      </c>
      <c r="C116" s="1">
        <f>C117-1</f>
        <v>131</v>
      </c>
      <c r="K116" s="27" t="s">
        <v>8</v>
      </c>
      <c r="L116" s="27" t="s">
        <v>7</v>
      </c>
      <c r="M116" s="27" t="s">
        <v>8</v>
      </c>
      <c r="N116" s="27" t="s">
        <v>7</v>
      </c>
      <c r="S116" s="27" t="s">
        <v>8</v>
      </c>
    </row>
    <row r="117" spans="1:22" x14ac:dyDescent="0.25">
      <c r="A117" s="30">
        <v>1.4641000000000006</v>
      </c>
      <c r="C117" s="1">
        <f>C121</f>
        <v>132</v>
      </c>
      <c r="D117" s="1">
        <f>D121</f>
        <v>22</v>
      </c>
      <c r="E117" s="1" t="s">
        <v>8</v>
      </c>
      <c r="K117" s="27" t="s">
        <v>8</v>
      </c>
      <c r="L117" s="27" t="s">
        <v>7</v>
      </c>
      <c r="M117" s="27" t="s">
        <v>8</v>
      </c>
      <c r="N117" s="27" t="s">
        <v>7</v>
      </c>
      <c r="S117" s="27" t="s">
        <v>8</v>
      </c>
      <c r="T117" s="27" t="s">
        <v>7</v>
      </c>
      <c r="U117" s="27" t="s">
        <v>8</v>
      </c>
    </row>
    <row r="118" spans="1:22" x14ac:dyDescent="0.25">
      <c r="A118" s="30">
        <v>1.3310000000000004</v>
      </c>
      <c r="C118" s="1">
        <f>C117+1</f>
        <v>133</v>
      </c>
      <c r="D118" s="1">
        <f>D117+1</f>
        <v>23</v>
      </c>
      <c r="E118" s="1" t="s">
        <v>8</v>
      </c>
      <c r="F118" s="27" t="s">
        <v>7</v>
      </c>
      <c r="K118" s="27" t="s">
        <v>8</v>
      </c>
      <c r="L118" s="27" t="s">
        <v>7</v>
      </c>
      <c r="N118" s="27" t="s">
        <v>7</v>
      </c>
      <c r="O118" s="27" t="s">
        <v>8</v>
      </c>
      <c r="S118" s="27" t="s">
        <v>8</v>
      </c>
      <c r="T118" s="27" t="s">
        <v>7</v>
      </c>
      <c r="U118" s="27" t="s">
        <v>8</v>
      </c>
      <c r="V118" s="27" t="s">
        <v>7</v>
      </c>
    </row>
    <row r="119" spans="1:22" x14ac:dyDescent="0.25">
      <c r="A119" s="30">
        <v>1.2100000000000002</v>
      </c>
      <c r="E119" s="1" t="s">
        <v>8</v>
      </c>
      <c r="F119" s="27" t="s">
        <v>7</v>
      </c>
      <c r="K119" s="27" t="s">
        <v>8</v>
      </c>
      <c r="N119" s="27" t="s">
        <v>7</v>
      </c>
      <c r="O119" s="27" t="s">
        <v>8</v>
      </c>
      <c r="P119" s="27" t="s">
        <v>7</v>
      </c>
      <c r="Q119" s="27" t="s">
        <v>8</v>
      </c>
      <c r="S119" s="27" t="s">
        <v>8</v>
      </c>
      <c r="T119" s="27" t="s">
        <v>7</v>
      </c>
      <c r="U119" s="27" t="s">
        <v>8</v>
      </c>
      <c r="V119" s="27" t="s">
        <v>7</v>
      </c>
    </row>
    <row r="120" spans="1:22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K120" s="27" t="s">
        <v>8</v>
      </c>
      <c r="N120" s="27" t="s">
        <v>7</v>
      </c>
      <c r="O120" s="27" t="s">
        <v>8</v>
      </c>
      <c r="P120" s="27" t="s">
        <v>7</v>
      </c>
      <c r="Q120" s="27" t="s">
        <v>8</v>
      </c>
      <c r="R120" s="27" t="s">
        <v>7</v>
      </c>
      <c r="S120" s="27" t="s">
        <v>8</v>
      </c>
      <c r="T120" s="27" t="s">
        <v>7</v>
      </c>
      <c r="U120" s="27" t="s">
        <v>8</v>
      </c>
      <c r="V120" s="27" t="s">
        <v>7</v>
      </c>
    </row>
    <row r="121" spans="1:22" x14ac:dyDescent="0.25">
      <c r="A121" s="30">
        <v>1</v>
      </c>
      <c r="C121" s="18">
        <v>132</v>
      </c>
      <c r="D121" s="19">
        <v>22</v>
      </c>
      <c r="E121" s="18" t="s">
        <v>8</v>
      </c>
      <c r="F121" s="27" t="s">
        <v>7</v>
      </c>
      <c r="G121" s="27" t="s">
        <v>8</v>
      </c>
      <c r="H121" s="27" t="s">
        <v>7</v>
      </c>
      <c r="K121" s="27" t="s">
        <v>8</v>
      </c>
      <c r="N121" s="27" t="s">
        <v>7</v>
      </c>
      <c r="O121" s="27" t="s">
        <v>8</v>
      </c>
      <c r="P121" s="27" t="s">
        <v>7</v>
      </c>
      <c r="Q121" s="27" t="s">
        <v>8</v>
      </c>
      <c r="R121" s="27" t="s">
        <v>7</v>
      </c>
      <c r="S121" s="27" t="s">
        <v>8</v>
      </c>
      <c r="T121" s="27" t="s">
        <v>7</v>
      </c>
      <c r="V121" s="27" t="s">
        <v>7</v>
      </c>
    </row>
    <row r="122" spans="1:22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K122" s="27" t="s">
        <v>8</v>
      </c>
      <c r="N122" s="27" t="s">
        <v>7</v>
      </c>
      <c r="P122" s="27" t="s">
        <v>7</v>
      </c>
      <c r="Q122" s="27" t="s">
        <v>8</v>
      </c>
      <c r="R122" s="27" t="s">
        <v>7</v>
      </c>
      <c r="V122" s="27" t="s">
        <v>7</v>
      </c>
    </row>
    <row r="123" spans="1:22" x14ac:dyDescent="0.25">
      <c r="A123" s="30">
        <v>0.82644628099173523</v>
      </c>
      <c r="C123" s="1" t="str">
        <f>"R"&amp;C121</f>
        <v>R132</v>
      </c>
      <c r="D123" s="1" t="str">
        <f>"C"&amp;D121</f>
        <v>C22</v>
      </c>
      <c r="F123" s="27" t="s">
        <v>7</v>
      </c>
      <c r="G123" s="27" t="s">
        <v>8</v>
      </c>
      <c r="H123" s="27" t="s">
        <v>7</v>
      </c>
      <c r="K123" s="27" t="s">
        <v>8</v>
      </c>
      <c r="P123" s="27" t="s">
        <v>7</v>
      </c>
      <c r="V123" s="27" t="s">
        <v>7</v>
      </c>
    </row>
    <row r="124" spans="1:2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K124" s="27" t="s">
        <v>8</v>
      </c>
      <c r="V124" s="27" t="s">
        <v>7</v>
      </c>
    </row>
    <row r="125" spans="1:22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K125" s="27" t="s">
        <v>8</v>
      </c>
      <c r="V125" s="27" t="s">
        <v>7</v>
      </c>
    </row>
    <row r="126" spans="1:22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K126" s="27" t="s">
        <v>8</v>
      </c>
      <c r="V126" s="27" t="s">
        <v>7</v>
      </c>
    </row>
    <row r="127" spans="1:22" x14ac:dyDescent="0.25">
      <c r="A127" s="30">
        <v>0.56447393005377677</v>
      </c>
      <c r="C127" s="30">
        <v>0.35049389948139187</v>
      </c>
      <c r="D127"/>
      <c r="F127" s="27" t="s">
        <v>7</v>
      </c>
      <c r="H127" s="27" t="s">
        <v>7</v>
      </c>
      <c r="I127" s="27" t="s">
        <v>8</v>
      </c>
      <c r="K127" s="27" t="s">
        <v>8</v>
      </c>
      <c r="V127" s="27" t="s">
        <v>7</v>
      </c>
    </row>
    <row r="128" spans="1:22" x14ac:dyDescent="0.25">
      <c r="A128" s="30">
        <v>0.51315811823070612</v>
      </c>
      <c r="H128" s="27" t="s">
        <v>7</v>
      </c>
      <c r="I128" s="27" t="s">
        <v>8</v>
      </c>
      <c r="J128" s="27" t="s">
        <v>7</v>
      </c>
      <c r="K128" s="27" t="s">
        <v>8</v>
      </c>
      <c r="V128" s="27" t="s">
        <v>7</v>
      </c>
    </row>
    <row r="129" spans="1:22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J129" s="27" t="s">
        <v>7</v>
      </c>
      <c r="K129" s="27" t="s">
        <v>8</v>
      </c>
      <c r="V129" s="27" t="s">
        <v>7</v>
      </c>
    </row>
    <row r="130" spans="1:22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J130" s="27" t="s">
        <v>7</v>
      </c>
      <c r="K130" s="27" t="s">
        <v>8</v>
      </c>
      <c r="V130" s="27" t="s">
        <v>7</v>
      </c>
    </row>
    <row r="131" spans="1:22" x14ac:dyDescent="0.25">
      <c r="A131" s="30">
        <v>0.38554328942953109</v>
      </c>
      <c r="E131"/>
      <c r="H131" s="27" t="s">
        <v>7</v>
      </c>
      <c r="I131" s="27" t="s">
        <v>8</v>
      </c>
      <c r="J131" s="18" t="s">
        <v>7</v>
      </c>
      <c r="K131" s="27" t="s">
        <v>8</v>
      </c>
      <c r="V131" s="27" t="s">
        <v>7</v>
      </c>
    </row>
    <row r="132" spans="1:22" x14ac:dyDescent="0.25">
      <c r="A132" s="30">
        <v>0.35049389948139187</v>
      </c>
      <c r="C132" s="1" t="s">
        <v>13</v>
      </c>
      <c r="E132"/>
      <c r="H132" s="27" t="s">
        <v>7</v>
      </c>
      <c r="J132" s="27" t="s">
        <v>7</v>
      </c>
      <c r="V132" s="27" t="s">
        <v>7</v>
      </c>
    </row>
    <row r="133" spans="1:22" x14ac:dyDescent="0.25">
      <c r="A133" s="30">
        <v>0.31863081771035617</v>
      </c>
      <c r="C133" s="1" t="str">
        <f>C122</f>
        <v>O</v>
      </c>
      <c r="E133"/>
    </row>
    <row r="134" spans="1:22" x14ac:dyDescent="0.25">
      <c r="A134" s="30">
        <v>0.28966437973668741</v>
      </c>
      <c r="C134"/>
      <c r="D134"/>
      <c r="E134"/>
    </row>
    <row r="135" spans="1:22" x14ac:dyDescent="0.25">
      <c r="A135" s="30">
        <v>0.2633312543060794</v>
      </c>
      <c r="C135" s="1" t="s">
        <v>14</v>
      </c>
      <c r="E135"/>
    </row>
    <row r="136" spans="1:2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22" x14ac:dyDescent="0.25">
      <c r="A137" s="30">
        <v>0.2176291357901482</v>
      </c>
      <c r="E137"/>
    </row>
    <row r="138" spans="1:2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2" x14ac:dyDescent="0.25">
      <c r="A139" s="30">
        <v>0.17985878990921333</v>
      </c>
      <c r="E139"/>
    </row>
    <row r="140" spans="1:22" x14ac:dyDescent="0.25">
      <c r="A140" s="30">
        <v>0.16350799082655756</v>
      </c>
      <c r="C140" s="1">
        <v>0</v>
      </c>
      <c r="E140"/>
    </row>
    <row r="141" spans="1:22" x14ac:dyDescent="0.25">
      <c r="A141" s="30">
        <v>0.14864362802414322</v>
      </c>
      <c r="C141" s="1">
        <v>1</v>
      </c>
      <c r="E141"/>
    </row>
    <row r="142" spans="1:22" x14ac:dyDescent="0.25">
      <c r="A142" s="30">
        <v>0.13513057093103928</v>
      </c>
      <c r="C142" s="1">
        <v>2</v>
      </c>
      <c r="E142"/>
    </row>
    <row r="143" spans="1:22" x14ac:dyDescent="0.25">
      <c r="A143" s="30">
        <v>0.12284597357367205</v>
      </c>
      <c r="C143" s="1">
        <v>3</v>
      </c>
      <c r="E143"/>
    </row>
    <row r="144" spans="1:2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39" operator="equal">
      <formula>$U$1</formula>
    </cfRule>
    <cfRule type="cellIs" dxfId="30" priority="640" operator="equal">
      <formula>$S$1</formula>
    </cfRule>
  </conditionalFormatting>
  <conditionalFormatting sqref="D136">
    <cfRule type="cellIs" dxfId="29" priority="637" operator="equal">
      <formula>$S$1</formula>
    </cfRule>
    <cfRule type="cellIs" dxfId="28" priority="638" operator="equal">
      <formula>$U$1</formula>
    </cfRule>
  </conditionalFormatting>
  <conditionalFormatting sqref="C102">
    <cfRule type="cellIs" dxfId="27" priority="635" operator="equal">
      <formula>$U$1</formula>
    </cfRule>
    <cfRule type="cellIs" dxfId="26" priority="636" operator="equal">
      <formula>$S$1</formula>
    </cfRule>
  </conditionalFormatting>
  <conditionalFormatting sqref="D102">
    <cfRule type="cellIs" dxfId="25" priority="633" operator="equal">
      <formula>$S$1</formula>
    </cfRule>
    <cfRule type="cellIs" dxfId="24" priority="634" operator="equal">
      <formula>$U$1</formula>
    </cfRule>
  </conditionalFormatting>
  <conditionalFormatting sqref="C77">
    <cfRule type="cellIs" dxfId="23" priority="631" operator="equal">
      <formula>$U$1</formula>
    </cfRule>
    <cfRule type="cellIs" dxfId="22" priority="632" operator="equal">
      <formula>$S$1</formula>
    </cfRule>
  </conditionalFormatting>
  <conditionalFormatting sqref="D77">
    <cfRule type="cellIs" dxfId="21" priority="629" operator="equal">
      <formula>$S$1</formula>
    </cfRule>
    <cfRule type="cellIs" dxfId="20" priority="630" operator="equal">
      <formula>$U$1</formula>
    </cfRule>
  </conditionalFormatting>
  <conditionalFormatting sqref="C52">
    <cfRule type="cellIs" dxfId="19" priority="627" operator="equal">
      <formula>$U$1</formula>
    </cfRule>
    <cfRule type="cellIs" dxfId="18" priority="628" operator="equal">
      <formula>$S$1</formula>
    </cfRule>
  </conditionalFormatting>
  <conditionalFormatting sqref="D52">
    <cfRule type="cellIs" dxfId="17" priority="625" operator="equal">
      <formula>$S$1</formula>
    </cfRule>
    <cfRule type="cellIs" dxfId="16" priority="626" operator="equal">
      <formula>$U$1</formula>
    </cfRule>
  </conditionalFormatting>
  <conditionalFormatting sqref="C26">
    <cfRule type="cellIs" dxfId="15" priority="623" operator="equal">
      <formula>$U$1</formula>
    </cfRule>
    <cfRule type="cellIs" dxfId="14" priority="624" operator="equal">
      <formula>$S$1</formula>
    </cfRule>
  </conditionalFormatting>
  <conditionalFormatting sqref="D26">
    <cfRule type="cellIs" dxfId="13" priority="621" operator="equal">
      <formula>$S$1</formula>
    </cfRule>
    <cfRule type="cellIs" dxfId="12" priority="6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2022-01-28T01:13:49Z</dcterms:modified>
</cp:coreProperties>
</file>