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0629FF72-48D1-4851-92EA-C4C11244109A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4"/>
  <c r="C133" i="4" s="1"/>
  <c r="C136" i="4" s="1"/>
  <c r="C122" i="3"/>
  <c r="C133" i="3" s="1"/>
  <c r="C136" i="3" s="1"/>
  <c r="C122" i="5"/>
  <c r="C133" i="5" s="1"/>
  <c r="C136" i="5" s="1"/>
  <c r="C116" i="4"/>
  <c r="C118" i="4"/>
  <c r="C116" i="5"/>
  <c r="R765" i="1"/>
  <c r="S765" i="1" s="1"/>
  <c r="T765" i="1" s="1"/>
  <c r="C118" i="3"/>
  <c r="C116" i="3"/>
  <c r="R764" i="1" l="1"/>
  <c r="D136" i="4"/>
  <c r="C138" i="4" s="1"/>
  <c r="D136" i="3"/>
  <c r="C138" i="3" s="1"/>
  <c r="D136" i="5"/>
  <c r="C138" i="5" s="1"/>
  <c r="R763" i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S371" i="1" l="1"/>
  <c r="T371" i="1" s="1"/>
  <c r="R370" i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S355" i="1" l="1"/>
  <c r="T355" i="1" s="1"/>
  <c r="R354" i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S339" i="1" l="1"/>
  <c r="T339" i="1" s="1"/>
  <c r="R338" i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S307" i="1" l="1"/>
  <c r="T307" i="1" s="1"/>
  <c r="R306" i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S299" i="1" l="1"/>
  <c r="T299" i="1" s="1"/>
  <c r="R298" i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S283" i="1" l="1"/>
  <c r="T283" i="1" s="1"/>
  <c r="R282" i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S267" i="1" l="1"/>
  <c r="T267" i="1" s="1"/>
  <c r="R266" i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S259" i="1" l="1"/>
  <c r="T259" i="1" s="1"/>
  <c r="R258" i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S235" i="1" l="1"/>
  <c r="T235" i="1" s="1"/>
  <c r="R234" i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S195" i="1" l="1"/>
  <c r="T195" i="1" s="1"/>
  <c r="R194" i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S176" i="1" l="1"/>
  <c r="T176" i="1" s="1"/>
  <c r="R175" i="1"/>
  <c r="R174" i="1" l="1"/>
  <c r="S175" i="1"/>
  <c r="T175" i="1" s="1"/>
  <c r="R173" i="1" l="1"/>
  <c r="S174" i="1"/>
  <c r="T174" i="1" s="1"/>
  <c r="R172" i="1" l="1"/>
  <c r="S173" i="1"/>
  <c r="T173" i="1" s="1"/>
  <c r="S172" i="1" l="1"/>
  <c r="T172" i="1" s="1"/>
  <c r="R171" i="1"/>
  <c r="S171" i="1" l="1"/>
  <c r="T171" i="1" s="1"/>
  <c r="R170" i="1"/>
  <c r="R169" i="1" l="1"/>
  <c r="S170" i="1"/>
  <c r="T170" i="1" s="1"/>
  <c r="R168" i="1" l="1"/>
  <c r="S169" i="1"/>
  <c r="T169" i="1" s="1"/>
  <c r="S168" i="1" l="1"/>
  <c r="T168" i="1" s="1"/>
  <c r="R167" i="1"/>
  <c r="R166" i="1" l="1"/>
  <c r="S167" i="1"/>
  <c r="T167" i="1" s="1"/>
  <c r="R165" i="1" l="1"/>
  <c r="S166" i="1"/>
  <c r="T166" i="1" s="1"/>
  <c r="R164" i="1" l="1"/>
  <c r="S165" i="1"/>
  <c r="T165" i="1" s="1"/>
  <c r="S164" i="1" l="1"/>
  <c r="T164" i="1" s="1"/>
  <c r="R163" i="1"/>
  <c r="S163" i="1" l="1"/>
  <c r="T163" i="1" s="1"/>
  <c r="R162" i="1"/>
  <c r="R161" i="1" l="1"/>
  <c r="S162" i="1"/>
  <c r="T162" i="1" s="1"/>
  <c r="R160" i="1" l="1"/>
  <c r="S161" i="1"/>
  <c r="T161" i="1" s="1"/>
  <c r="S160" i="1" l="1"/>
  <c r="T160" i="1" s="1"/>
  <c r="R159" i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S140" i="1" l="1"/>
  <c r="T140" i="1" s="1"/>
  <c r="R139" i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S128" i="1" l="1"/>
  <c r="T128" i="1" s="1"/>
  <c r="R127" i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S116" i="1" l="1"/>
  <c r="T116" i="1" s="1"/>
  <c r="R115" i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S102" i="1" l="1"/>
  <c r="T102" i="1" s="1"/>
  <c r="R101" i="1"/>
  <c r="S101" i="1" l="1"/>
  <c r="T101" i="1" s="1"/>
  <c r="R100" i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S96" i="1" l="1"/>
  <c r="T96" i="1" s="1"/>
  <c r="R95" i="1"/>
  <c r="R94" i="1" l="1"/>
  <c r="S95" i="1"/>
  <c r="T95" i="1" s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R89" i="1" l="1"/>
  <c r="S90" i="1"/>
  <c r="T90" i="1" s="1"/>
  <c r="S89" i="1" l="1"/>
  <c r="T89" i="1" s="1"/>
  <c r="R88" i="1"/>
  <c r="S88" i="1" l="1"/>
  <c r="T88" i="1" s="1"/>
  <c r="R87" i="1"/>
  <c r="S87" i="1" l="1"/>
  <c r="T87" i="1" s="1"/>
  <c r="R86" i="1"/>
  <c r="S86" i="1" l="1"/>
  <c r="T86" i="1" s="1"/>
  <c r="R85" i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S81" i="1" l="1"/>
  <c r="T81" i="1" s="1"/>
  <c r="R80" i="1"/>
  <c r="S80" i="1" l="1"/>
  <c r="T80" i="1" s="1"/>
  <c r="R79" i="1"/>
  <c r="S79" i="1" l="1"/>
  <c r="T79" i="1" s="1"/>
  <c r="R78" i="1"/>
  <c r="S78" i="1" l="1"/>
  <c r="T78" i="1" s="1"/>
  <c r="R77" i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R69" i="1" l="1"/>
  <c r="S70" i="1"/>
  <c r="T70" i="1" s="1"/>
  <c r="S69" i="1" l="1"/>
  <c r="T69" i="1" s="1"/>
  <c r="R68" i="1"/>
  <c r="S68" i="1" l="1"/>
  <c r="T68" i="1" s="1"/>
  <c r="R67" i="1"/>
  <c r="S67" i="1" l="1"/>
  <c r="T67" i="1" s="1"/>
  <c r="R66" i="1"/>
  <c r="S66" i="1" l="1"/>
  <c r="T66" i="1" s="1"/>
  <c r="R65" i="1"/>
  <c r="S65" i="1" l="1"/>
  <c r="T65" i="1" s="1"/>
  <c r="R64" i="1"/>
  <c r="S64" i="1" l="1"/>
  <c r="T64" i="1" s="1"/>
  <c r="R63" i="1"/>
  <c r="S63" i="1" l="1"/>
  <c r="T63" i="1" s="1"/>
  <c r="R62" i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S56" i="1" l="1"/>
  <c r="T56" i="1" s="1"/>
  <c r="R55" i="1"/>
  <c r="S55" i="1" l="1"/>
  <c r="T55" i="1" s="1"/>
  <c r="R54" i="1"/>
  <c r="S54" i="1" l="1"/>
  <c r="T54" i="1" s="1"/>
  <c r="R53" i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R45" i="1" l="1"/>
  <c r="S46" i="1"/>
  <c r="T46" i="1" s="1"/>
  <c r="R44" i="1" l="1"/>
  <c r="S45" i="1"/>
  <c r="T45" i="1" s="1"/>
  <c r="S44" i="1" l="1"/>
  <c r="T44" i="1" s="1"/>
  <c r="R43" i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S39" i="1" l="1"/>
  <c r="T39" i="1" s="1"/>
  <c r="R38" i="1"/>
  <c r="S38" i="1" l="1"/>
  <c r="T38" i="1" s="1"/>
  <c r="R37" i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<sst xmlns="http://schemas.openxmlformats.org/spreadsheetml/2006/main" count="8695" uniqueCount="34">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</sst>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  <font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6.8959999999999994E-2</c:v>
                </c:pt>
                <c:pt idx="1">
                  <c:v>6.4649999999999999E-2</c:v>
                </c:pt>
                <c:pt idx="2">
                  <c:v>5.6649999999999999E-2</c:v>
                </c:pt>
                <c:pt idx="3">
                  <c:v>5.5710000000000003E-2</c:v>
                </c:pt>
                <c:pt idx="4">
                  <c:v>5.7439999999999998E-2</c:v>
                </c:pt>
                <c:pt idx="5">
                  <c:v>5.4390000000000001E-2</c:v>
                </c:pt>
                <c:pt idx="6">
                  <c:v>6.1850000000000002E-2</c:v>
                </c:pt>
                <c:pt idx="7">
                  <c:v>7.3669999999999999E-2</c:v>
                </c:pt>
                <c:pt idx="8">
                  <c:v>7.7380000000000004E-2</c:v>
                </c:pt>
                <c:pt idx="9">
                  <c:v>8.0879999999999994E-2</c:v>
                </c:pt>
                <c:pt idx="10">
                  <c:v>8.2430000000000003E-2</c:v>
                </c:pt>
                <c:pt idx="11">
                  <c:v>8.5709999999999995E-2</c:v>
                </c:pt>
                <c:pt idx="12">
                  <c:v>8.6730000000000002E-2</c:v>
                </c:pt>
                <c:pt idx="13">
                  <c:v>8.6309999999999998E-2</c:v>
                </c:pt>
                <c:pt idx="14">
                  <c:v>8.2710000000000006E-2</c:v>
                </c:pt>
                <c:pt idx="15">
                  <c:v>8.7340000000000001E-2</c:v>
                </c:pt>
                <c:pt idx="16">
                  <c:v>8.2470000000000002E-2</c:v>
                </c:pt>
                <c:pt idx="17">
                  <c:v>7.9280000000000003E-2</c:v>
                </c:pt>
                <c:pt idx="18">
                  <c:v>8.3250000000000005E-2</c:v>
                </c:pt>
                <c:pt idx="19">
                  <c:v>8.1240000000000007E-2</c:v>
                </c:pt>
                <c:pt idx="20">
                  <c:v>8.5569999999999993E-2</c:v>
                </c:pt>
                <c:pt idx="21">
                  <c:v>9.2299999999999993E-2</c:v>
                </c:pt>
                <c:pt idx="22">
                  <c:v>9.1420000000000001E-2</c:v>
                </c:pt>
                <c:pt idx="23">
                  <c:v>9.9150000000000002E-2</c:v>
                </c:pt>
                <c:pt idx="24">
                  <c:v>0.10027999999999999</c:v>
                </c:pt>
                <c:pt idx="25">
                  <c:v>0.10018000000000001</c:v>
                </c:pt>
                <c:pt idx="26">
                  <c:v>9.9979999999999999E-2</c:v>
                </c:pt>
                <c:pt idx="27">
                  <c:v>9.7229999999999997E-2</c:v>
                </c:pt>
                <c:pt idx="28">
                  <c:v>9.8159999999999997E-2</c:v>
                </c:pt>
                <c:pt idx="29">
                  <c:v>9.8610000000000003E-2</c:v>
                </c:pt>
                <c:pt idx="30">
                  <c:v>0.10464</c:v>
                </c:pt>
                <c:pt idx="31">
                  <c:v>0.11609</c:v>
                </c:pt>
                <c:pt idx="32">
                  <c:v>0.11292000000000001</c:v>
                </c:pt>
                <c:pt idx="33">
                  <c:v>0.11099000000000001</c:v>
                </c:pt>
                <c:pt idx="34">
                  <c:v>0.10847</c:v>
                </c:pt>
                <c:pt idx="35">
                  <c:v>0.1116</c:v>
                </c:pt>
                <c:pt idx="36">
                  <c:v>0.10256999999999999</c:v>
                </c:pt>
                <c:pt idx="37">
                  <c:v>9.9000000000000005E-2</c:v>
                </c:pt>
                <c:pt idx="38">
                  <c:v>9.4950000000000007E-2</c:v>
                </c:pt>
                <c:pt idx="39">
                  <c:v>9.4710000000000003E-2</c:v>
                </c:pt>
                <c:pt idx="40">
                  <c:v>9.8519999999999996E-2</c:v>
                </c:pt>
                <c:pt idx="41">
                  <c:v>9.8659999999999998E-2</c:v>
                </c:pt>
                <c:pt idx="42">
                  <c:v>0.109</c:v>
                </c:pt>
                <c:pt idx="43">
                  <c:v>9.4530000000000003E-2</c:v>
                </c:pt>
                <c:pt idx="44">
                  <c:v>9.1189999999999993E-2</c:v>
                </c:pt>
                <c:pt idx="45">
                  <c:v>9.0179999999999996E-2</c:v>
                </c:pt>
                <c:pt idx="46">
                  <c:v>0.10344</c:v>
                </c:pt>
                <c:pt idx="47">
                  <c:v>9.9650000000000002E-2</c:v>
                </c:pt>
                <c:pt idx="48">
                  <c:v>9.9299999999999999E-2</c:v>
                </c:pt>
                <c:pt idx="49">
                  <c:v>0.10416</c:v>
                </c:pt>
                <c:pt idx="50">
                  <c:v>0.11551</c:v>
                </c:pt>
                <c:pt idx="51">
                  <c:v>0.11229</c:v>
                </c:pt>
                <c:pt idx="52">
                  <c:v>0.11348999999999999</c:v>
                </c:pt>
                <c:pt idx="53">
                  <c:v>0.11094</c:v>
                </c:pt>
                <c:pt idx="54">
                  <c:v>0.11863</c:v>
                </c:pt>
                <c:pt idx="55">
                  <c:v>0.13647999999999999</c:v>
                </c:pt>
                <c:pt idx="56">
                  <c:v>0.14716000000000001</c:v>
                </c:pt>
                <c:pt idx="57">
                  <c:v>0.15870000000000001</c:v>
                </c:pt>
                <c:pt idx="58">
                  <c:v>0.14433000000000001</c:v>
                </c:pt>
                <c:pt idx="59">
                  <c:v>0.15059</c:v>
                </c:pt>
                <c:pt idx="60">
                  <c:v>0.14807999999999999</c:v>
                </c:pt>
                <c:pt idx="61">
                  <c:v>0.14704999999999999</c:v>
                </c:pt>
                <c:pt idx="62">
                  <c:v>0.14302000000000001</c:v>
                </c:pt>
                <c:pt idx="63">
                  <c:v>0.15878999999999999</c:v>
                </c:pt>
                <c:pt idx="64">
                  <c:v>0.15448000000000001</c:v>
                </c:pt>
                <c:pt idx="65">
                  <c:v>0.15841</c:v>
                </c:pt>
                <c:pt idx="66">
                  <c:v>0.16377</c:v>
                </c:pt>
                <c:pt idx="67">
                  <c:v>0.17141000000000001</c:v>
                </c:pt>
                <c:pt idx="68">
                  <c:v>0.16657</c:v>
                </c:pt>
                <c:pt idx="69">
                  <c:v>0.16453999999999999</c:v>
                </c:pt>
                <c:pt idx="70">
                  <c:v>0.14996999999999999</c:v>
                </c:pt>
                <c:pt idx="71">
                  <c:v>0.16986000000000001</c:v>
                </c:pt>
                <c:pt idx="72">
                  <c:v>0.17371</c:v>
                </c:pt>
                <c:pt idx="73">
                  <c:v>0.19319</c:v>
                </c:pt>
                <c:pt idx="74">
                  <c:v>0.20180999999999999</c:v>
                </c:pt>
                <c:pt idx="75">
                  <c:v>0.20299</c:v>
                </c:pt>
                <c:pt idx="76">
                  <c:v>0.21153</c:v>
                </c:pt>
                <c:pt idx="77">
                  <c:v>0.19594</c:v>
                </c:pt>
                <c:pt idx="78">
                  <c:v>0.18167</c:v>
                </c:pt>
                <c:pt idx="79">
                  <c:v>0.19</c:v>
                </c:pt>
                <c:pt idx="80">
                  <c:v>0.18937999999999999</c:v>
                </c:pt>
                <c:pt idx="81">
                  <c:v>0.19455</c:v>
                </c:pt>
                <c:pt idx="82">
                  <c:v>0.19545999999999999</c:v>
                </c:pt>
                <c:pt idx="83">
                  <c:v>0.18958</c:v>
                </c:pt>
                <c:pt idx="84">
                  <c:v>0.19042000000000001</c:v>
                </c:pt>
                <c:pt idx="85">
                  <c:v>0.21049999999999999</c:v>
                </c:pt>
                <c:pt idx="86">
                  <c:v>0.18992999999999999</c:v>
                </c:pt>
                <c:pt idx="87">
                  <c:v>0.14416000000000001</c:v>
                </c:pt>
                <c:pt idx="88">
                  <c:v>0.13780000000000001</c:v>
                </c:pt>
                <c:pt idx="89">
                  <c:v>0.13983000000000001</c:v>
                </c:pt>
                <c:pt idx="90">
                  <c:v>0.13572000000000001</c:v>
                </c:pt>
                <c:pt idx="91">
                  <c:v>0.12146999999999999</c:v>
                </c:pt>
                <c:pt idx="92">
                  <c:v>0.11998</c:v>
                </c:pt>
                <c:pt idx="93">
                  <c:v>0.14579</c:v>
                </c:pt>
                <c:pt idx="94">
                  <c:v>0.14712</c:v>
                </c:pt>
                <c:pt idx="95">
                  <c:v>0.13996</c:v>
                </c:pt>
                <c:pt idx="96">
                  <c:v>0.14729999999999999</c:v>
                </c:pt>
                <c:pt idx="97">
                  <c:v>0.15268000000000001</c:v>
                </c:pt>
                <c:pt idx="98">
                  <c:v>0.14907000000000001</c:v>
                </c:pt>
                <c:pt idx="99">
                  <c:v>0.16425000000000001</c:v>
                </c:pt>
                <c:pt idx="100">
                  <c:v>0.1719</c:v>
                </c:pt>
                <c:pt idx="101">
                  <c:v>0.14479</c:v>
                </c:pt>
                <c:pt idx="102">
                  <c:v>0.11654</c:v>
                </c:pt>
                <c:pt idx="103">
                  <c:v>0.12309</c:v>
                </c:pt>
                <c:pt idx="104">
                  <c:v>0.12925</c:v>
                </c:pt>
                <c:pt idx="105">
                  <c:v>0.14649000000000001</c:v>
                </c:pt>
                <c:pt idx="106">
                  <c:v>0.12695999999999999</c:v>
                </c:pt>
                <c:pt idx="107">
                  <c:v>8.7919999999999998E-2</c:v>
                </c:pt>
                <c:pt idx="108">
                  <c:v>9.7970000000000002E-2</c:v>
                </c:pt>
                <c:pt idx="109">
                  <c:v>7.0300000000000001E-2</c:v>
                </c:pt>
                <c:pt idx="110">
                  <c:v>7.2980000000000003E-2</c:v>
                </c:pt>
                <c:pt idx="111">
                  <c:v>7.2300000000000003E-2</c:v>
                </c:pt>
                <c:pt idx="112">
                  <c:v>7.4469999999999995E-2</c:v>
                </c:pt>
                <c:pt idx="113">
                  <c:v>7.145E-2</c:v>
                </c:pt>
                <c:pt idx="114">
                  <c:v>7.5120000000000006E-2</c:v>
                </c:pt>
                <c:pt idx="115">
                  <c:v>7.4590000000000004E-2</c:v>
                </c:pt>
                <c:pt idx="116">
                  <c:v>7.7170000000000002E-2</c:v>
                </c:pt>
                <c:pt idx="117">
                  <c:v>7.4800000000000005E-2</c:v>
                </c:pt>
                <c:pt idx="118">
                  <c:v>7.596E-2</c:v>
                </c:pt>
                <c:pt idx="119">
                  <c:v>6.9620000000000001E-2</c:v>
                </c:pt>
                <c:pt idx="120">
                  <c:v>6.7809999999999995E-2</c:v>
                </c:pt>
                <c:pt idx="121">
                  <c:v>6.8510000000000001E-2</c:v>
                </c:pt>
                <c:pt idx="122">
                  <c:v>6.5509999999999999E-2</c:v>
                </c:pt>
                <c:pt idx="123">
                  <c:v>7.1470000000000006E-2</c:v>
                </c:pt>
                <c:pt idx="124">
                  <c:v>6.7570000000000005E-2</c:v>
                </c:pt>
                <c:pt idx="125">
                  <c:v>6.7820000000000005E-2</c:v>
                </c:pt>
                <c:pt idx="126">
                  <c:v>7.1239999999999998E-2</c:v>
                </c:pt>
                <c:pt idx="127">
                  <c:v>6.93E-2</c:v>
                </c:pt>
                <c:pt idx="128">
                  <c:v>6.1350000000000002E-2</c:v>
                </c:pt>
                <c:pt idx="129">
                  <c:v>7.2599999999999998E-2</c:v>
                </c:pt>
                <c:pt idx="130">
                  <c:v>7.9039999999999999E-2</c:v>
                </c:pt>
                <c:pt idx="131">
                  <c:v>8.2680000000000003E-2</c:v>
                </c:pt>
                <c:pt idx="132">
                  <c:v>8.2979999999999998E-2</c:v>
                </c:pt>
                <c:pt idx="133">
                  <c:v>8.14E-2</c:v>
                </c:pt>
                <c:pt idx="134">
                  <c:v>8.3739999999999995E-2</c:v>
                </c:pt>
                <c:pt idx="135">
                  <c:v>8.097E-2</c:v>
                </c:pt>
                <c:pt idx="136">
                  <c:v>7.7929999999999999E-2</c:v>
                </c:pt>
                <c:pt idx="137">
                  <c:v>7.3469999999999994E-2</c:v>
                </c:pt>
                <c:pt idx="138">
                  <c:v>7.0290000000000005E-2</c:v>
                </c:pt>
                <c:pt idx="139">
                  <c:v>7.1300000000000002E-2</c:v>
                </c:pt>
                <c:pt idx="140">
                  <c:v>7.3730000000000004E-2</c:v>
                </c:pt>
                <c:pt idx="141">
                  <c:v>7.6719999999999997E-2</c:v>
                </c:pt>
                <c:pt idx="142">
                  <c:v>6.9559999999999997E-2</c:v>
                </c:pt>
                <c:pt idx="143">
                  <c:v>8.8120000000000004E-2</c:v>
                </c:pt>
                <c:pt idx="144">
                  <c:v>9.0459999999999999E-2</c:v>
                </c:pt>
                <c:pt idx="145">
                  <c:v>8.8929999999999995E-2</c:v>
                </c:pt>
                <c:pt idx="146">
                  <c:v>9.3880000000000005E-2</c:v>
                </c:pt>
                <c:pt idx="147">
                  <c:v>7.9390000000000002E-2</c:v>
                </c:pt>
                <c:pt idx="148">
                  <c:v>8.1259999999999999E-2</c:v>
                </c:pt>
                <c:pt idx="149">
                  <c:v>7.4560000000000001E-2</c:v>
                </c:pt>
                <c:pt idx="150">
                  <c:v>7.4480000000000005E-2</c:v>
                </c:pt>
                <c:pt idx="151">
                  <c:v>7.3679999999999995E-2</c:v>
                </c:pt>
                <c:pt idx="152">
                  <c:v>7.4590000000000004E-2</c:v>
                </c:pt>
                <c:pt idx="153">
                  <c:v>7.7950000000000005E-2</c:v>
                </c:pt>
                <c:pt idx="154">
                  <c:v>6.8559999999999996E-2</c:v>
                </c:pt>
                <c:pt idx="155">
                  <c:v>7.5029999999999999E-2</c:v>
                </c:pt>
                <c:pt idx="156">
                  <c:v>7.5170000000000001E-2</c:v>
                </c:pt>
                <c:pt idx="157">
                  <c:v>8.1460000000000005E-2</c:v>
                </c:pt>
                <c:pt idx="158">
                  <c:v>7.7630000000000005E-2</c:v>
                </c:pt>
                <c:pt idx="159">
                  <c:v>7.5509999999999994E-2</c:v>
                </c:pt>
                <c:pt idx="160">
                  <c:v>7.6130000000000003E-2</c:v>
                </c:pt>
                <c:pt idx="161">
                  <c:v>7.3480000000000004E-2</c:v>
                </c:pt>
                <c:pt idx="162">
                  <c:v>6.2190000000000002E-2</c:v>
                </c:pt>
                <c:pt idx="163">
                  <c:v>5.9220000000000002E-2</c:v>
                </c:pt>
                <c:pt idx="164">
                  <c:v>5.7430000000000002E-2</c:v>
                </c:pt>
                <c:pt idx="165">
                  <c:v>6.1089999999999998E-2</c:v>
                </c:pt>
                <c:pt idx="166">
                  <c:v>5.7959999999999998E-2</c:v>
                </c:pt>
                <c:pt idx="167">
                  <c:v>5.9049999999999998E-2</c:v>
                </c:pt>
                <c:pt idx="168">
                  <c:v>5.1769999999999997E-2</c:v>
                </c:pt>
                <c:pt idx="169">
                  <c:v>5.0310000000000001E-2</c:v>
                </c:pt>
                <c:pt idx="170">
                  <c:v>4.7989999999999998E-2</c:v>
                </c:pt>
                <c:pt idx="171">
                  <c:v>4.5859999999999998E-2</c:v>
                </c:pt>
                <c:pt idx="172">
                  <c:v>4.1869999999999997E-2</c:v>
                </c:pt>
                <c:pt idx="173">
                  <c:v>4.5370000000000001E-2</c:v>
                </c:pt>
                <c:pt idx="174">
                  <c:v>4.4040000000000003E-2</c:v>
                </c:pt>
                <c:pt idx="175">
                  <c:v>4.265E-2</c:v>
                </c:pt>
                <c:pt idx="176">
                  <c:v>4.3279999999999999E-2</c:v>
                </c:pt>
                <c:pt idx="177">
                  <c:v>4.1660000000000003E-2</c:v>
                </c:pt>
                <c:pt idx="178">
                  <c:v>3.9660000000000001E-2</c:v>
                </c:pt>
                <c:pt idx="179">
                  <c:v>4.1259999999999998E-2</c:v>
                </c:pt>
                <c:pt idx="180">
                  <c:v>4.0439999999999997E-2</c:v>
                </c:pt>
                <c:pt idx="181">
                  <c:v>4.0509999999999997E-2</c:v>
                </c:pt>
                <c:pt idx="182">
                  <c:v>3.8280000000000002E-2</c:v>
                </c:pt>
                <c:pt idx="183">
                  <c:v>3.5520000000000003E-2</c:v>
                </c:pt>
                <c:pt idx="184">
                  <c:v>3.7139999999999999E-2</c:v>
                </c:pt>
                <c:pt idx="185">
                  <c:v>3.3579999999999999E-2</c:v>
                </c:pt>
                <c:pt idx="186">
                  <c:v>3.2939999999999997E-2</c:v>
                </c:pt>
                <c:pt idx="187">
                  <c:v>3.202E-2</c:v>
                </c:pt>
                <c:pt idx="188">
                  <c:v>3.1309999999999998E-2</c:v>
                </c:pt>
                <c:pt idx="189">
                  <c:v>3.075E-2</c:v>
                </c:pt>
                <c:pt idx="190">
                  <c:v>2.9770000000000001E-2</c:v>
                </c:pt>
                <c:pt idx="191">
                  <c:v>2.7539999999999999E-2</c:v>
                </c:pt>
                <c:pt idx="192">
                  <c:v>2.9020000000000001E-2</c:v>
                </c:pt>
                <c:pt idx="193">
                  <c:v>3.209E-2</c:v>
                </c:pt>
                <c:pt idx="194">
                  <c:v>3.0720000000000001E-2</c:v>
                </c:pt>
                <c:pt idx="195">
                  <c:v>2.9960000000000001E-2</c:v>
                </c:pt>
                <c:pt idx="196">
                  <c:v>3.2489999999999998E-2</c:v>
                </c:pt>
                <c:pt idx="197">
                  <c:v>3.3009999999999998E-2</c:v>
                </c:pt>
                <c:pt idx="198">
                  <c:v>3.2399999999999998E-2</c:v>
                </c:pt>
                <c:pt idx="199">
                  <c:v>3.3619999999999997E-2</c:v>
                </c:pt>
                <c:pt idx="200">
                  <c:v>3.499E-2</c:v>
                </c:pt>
                <c:pt idx="201">
                  <c:v>3.3309999999999999E-2</c:v>
                </c:pt>
                <c:pt idx="202">
                  <c:v>3.1150000000000001E-2</c:v>
                </c:pt>
                <c:pt idx="203">
                  <c:v>3.048E-2</c:v>
                </c:pt>
                <c:pt idx="204">
                  <c:v>3.3000000000000002E-2</c:v>
                </c:pt>
                <c:pt idx="205">
                  <c:v>3.2320000000000002E-2</c:v>
                </c:pt>
                <c:pt idx="206">
                  <c:v>3.0329999999999999E-2</c:v>
                </c:pt>
                <c:pt idx="207">
                  <c:v>3.2280000000000003E-2</c:v>
                </c:pt>
                <c:pt idx="208">
                  <c:v>3.1109999999999999E-2</c:v>
                </c:pt>
                <c:pt idx="209">
                  <c:v>2.9860000000000001E-2</c:v>
                </c:pt>
                <c:pt idx="210">
                  <c:v>2.9989999999999999E-2</c:v>
                </c:pt>
                <c:pt idx="211">
                  <c:v>3.1969999999999998E-2</c:v>
                </c:pt>
                <c:pt idx="212">
                  <c:v>3.2099999999999997E-2</c:v>
                </c:pt>
                <c:pt idx="213">
                  <c:v>3.1629999999999998E-2</c:v>
                </c:pt>
                <c:pt idx="214">
                  <c:v>3.0380000000000001E-2</c:v>
                </c:pt>
                <c:pt idx="215">
                  <c:v>2.8199999999999999E-2</c:v>
                </c:pt>
                <c:pt idx="216">
                  <c:v>2.852E-2</c:v>
                </c:pt>
                <c:pt idx="217">
                  <c:v>3.1379999999999998E-2</c:v>
                </c:pt>
                <c:pt idx="218">
                  <c:v>3.0890000000000001E-2</c:v>
                </c:pt>
                <c:pt idx="219">
                  <c:v>2.7189999999999999E-2</c:v>
                </c:pt>
                <c:pt idx="220">
                  <c:v>2.801E-2</c:v>
                </c:pt>
                <c:pt idx="221">
                  <c:v>3.7929999999999998E-2</c:v>
                </c:pt>
                <c:pt idx="222">
                  <c:v>3.7319999999999999E-2</c:v>
                </c:pt>
                <c:pt idx="223">
                  <c:v>3.9550000000000002E-2</c:v>
                </c:pt>
                <c:pt idx="224">
                  <c:v>4.3049999999999998E-2</c:v>
                </c:pt>
                <c:pt idx="225">
                  <c:v>4.3470000000000002E-2</c:v>
                </c:pt>
                <c:pt idx="226">
                  <c:v>4.589E-2</c:v>
                </c:pt>
                <c:pt idx="227">
                  <c:v>4.3290000000000002E-2</c:v>
                </c:pt>
                <c:pt idx="228">
                  <c:v>4.351E-2</c:v>
                </c:pt>
                <c:pt idx="229">
                  <c:v>4.1779999999999998E-2</c:v>
                </c:pt>
                <c:pt idx="230">
                  <c:v>4.1739999999999999E-2</c:v>
                </c:pt>
                <c:pt idx="231">
                  <c:v>4.7140000000000001E-2</c:v>
                </c:pt>
                <c:pt idx="232">
                  <c:v>4.6210000000000001E-2</c:v>
                </c:pt>
                <c:pt idx="233">
                  <c:v>4.2110000000000002E-2</c:v>
                </c:pt>
                <c:pt idx="234">
                  <c:v>4.2509999999999999E-2</c:v>
                </c:pt>
                <c:pt idx="235">
                  <c:v>4.7780000000000003E-2</c:v>
                </c:pt>
                <c:pt idx="236">
                  <c:v>4.0939999999999997E-2</c:v>
                </c:pt>
                <c:pt idx="237">
                  <c:v>4.2709999999999998E-2</c:v>
                </c:pt>
                <c:pt idx="238">
                  <c:v>4.7699999999999999E-2</c:v>
                </c:pt>
                <c:pt idx="239">
                  <c:v>4.6739999999999997E-2</c:v>
                </c:pt>
                <c:pt idx="240">
                  <c:v>4.3339999999999997E-2</c:v>
                </c:pt>
                <c:pt idx="241">
                  <c:v>4.446E-2</c:v>
                </c:pt>
                <c:pt idx="242">
                  <c:v>4.1430000000000002E-2</c:v>
                </c:pt>
                <c:pt idx="243">
                  <c:v>3.7220000000000003E-2</c:v>
                </c:pt>
                <c:pt idx="244">
                  <c:v>4.0349999999999997E-2</c:v>
                </c:pt>
                <c:pt idx="245">
                  <c:v>4.6420000000000003E-2</c:v>
                </c:pt>
                <c:pt idx="246">
                  <c:v>4.8480000000000002E-2</c:v>
                </c:pt>
                <c:pt idx="247">
                  <c:v>4.4639999999999999E-2</c:v>
                </c:pt>
                <c:pt idx="248">
                  <c:v>4.2070000000000003E-2</c:v>
                </c:pt>
                <c:pt idx="249">
                  <c:v>3.32E-2</c:v>
                </c:pt>
                <c:pt idx="250">
                  <c:v>3.9190000000000003E-2</c:v>
                </c:pt>
                <c:pt idx="251">
                  <c:v>4.2209999999999998E-2</c:v>
                </c:pt>
                <c:pt idx="252">
                  <c:v>5.2789999999999997E-2</c:v>
                </c:pt>
                <c:pt idx="253">
                  <c:v>4.7140000000000001E-2</c:v>
                </c:pt>
                <c:pt idx="254">
                  <c:v>7.374E-2</c:v>
                </c:pt>
                <c:pt idx="255">
                  <c:v>7.152E-2</c:v>
                </c:pt>
                <c:pt idx="256">
                  <c:v>7.9680000000000001E-2</c:v>
                </c:pt>
                <c:pt idx="257">
                  <c:v>7.6109999999999997E-2</c:v>
                </c:pt>
                <c:pt idx="258">
                  <c:v>8.3110000000000003E-2</c:v>
                </c:pt>
                <c:pt idx="259">
                  <c:v>8.0350000000000005E-2</c:v>
                </c:pt>
                <c:pt idx="260">
                  <c:v>8.0810000000000007E-2</c:v>
                </c:pt>
                <c:pt idx="261">
                  <c:v>9.733E-2</c:v>
                </c:pt>
                <c:pt idx="262">
                  <c:v>9.5380000000000006E-2</c:v>
                </c:pt>
                <c:pt idx="263">
                  <c:v>0.10614999999999999</c:v>
                </c:pt>
                <c:pt idx="264">
                  <c:v>0.11264</c:v>
                </c:pt>
                <c:pt idx="265">
                  <c:v>0.10771</c:v>
                </c:pt>
                <c:pt idx="266">
                  <c:v>0.11143</c:v>
                </c:pt>
                <c:pt idx="267">
                  <c:v>0.10487</c:v>
                </c:pt>
                <c:pt idx="268">
                  <c:v>9.9570000000000006E-2</c:v>
                </c:pt>
                <c:pt idx="269">
                  <c:v>0.11777</c:v>
                </c:pt>
                <c:pt idx="270">
                  <c:v>0.10979</c:v>
                </c:pt>
                <c:pt idx="271">
                  <c:v>0.10899</c:v>
                </c:pt>
                <c:pt idx="272">
                  <c:v>0.11792</c:v>
                </c:pt>
                <c:pt idx="273">
                  <c:v>9.2460000000000001E-2</c:v>
                </c:pt>
                <c:pt idx="274">
                  <c:v>9.3710000000000002E-2</c:v>
                </c:pt>
                <c:pt idx="275">
                  <c:v>9.4750000000000001E-2</c:v>
                </c:pt>
                <c:pt idx="276">
                  <c:v>8.9499999999999996E-2</c:v>
                </c:pt>
                <c:pt idx="277">
                  <c:v>7.4999999999999997E-2</c:v>
                </c:pt>
                <c:pt idx="278">
                  <c:v>7.6280000000000001E-2</c:v>
                </c:pt>
                <c:pt idx="279">
                  <c:v>8.2339999999999997E-2</c:v>
                </c:pt>
                <c:pt idx="280">
                  <c:v>8.6220000000000005E-2</c:v>
                </c:pt>
                <c:pt idx="281">
                  <c:v>9.7309999999999994E-2</c:v>
                </c:pt>
                <c:pt idx="282">
                  <c:v>0.10388</c:v>
                </c:pt>
                <c:pt idx="283">
                  <c:v>0.10425</c:v>
                </c:pt>
                <c:pt idx="284">
                  <c:v>0.10274999999999999</c:v>
                </c:pt>
                <c:pt idx="285">
                  <c:v>0.11602999999999999</c:v>
                </c:pt>
                <c:pt idx="286">
                  <c:v>0.11285000000000001</c:v>
                </c:pt>
                <c:pt idx="287">
                  <c:v>0.12161</c:v>
                </c:pt>
                <c:pt idx="288">
                  <c:v>0.11296</c:v>
                </c:pt>
                <c:pt idx="289">
                  <c:v>0.10935</c:v>
                </c:pt>
                <c:pt idx="290">
                  <c:v>0.11864</c:v>
                </c:pt>
                <c:pt idx="291">
                  <c:v>0.12514</c:v>
                </c:pt>
                <c:pt idx="292">
                  <c:v>0.12878000000000001</c:v>
                </c:pt>
                <c:pt idx="293">
                  <c:v>0.13219</c:v>
                </c:pt>
                <c:pt idx="294">
                  <c:v>0.12517</c:v>
                </c:pt>
                <c:pt idx="295">
                  <c:v>0.1095</c:v>
                </c:pt>
                <c:pt idx="296">
                  <c:v>0.11543</c:v>
                </c:pt>
                <c:pt idx="297">
                  <c:v>0.12629000000000001</c:v>
                </c:pt>
                <c:pt idx="298">
                  <c:v>0.1207</c:v>
                </c:pt>
                <c:pt idx="299">
                  <c:v>0.10020999999999999</c:v>
                </c:pt>
                <c:pt idx="300">
                  <c:v>0.10893</c:v>
                </c:pt>
                <c:pt idx="301">
                  <c:v>0.1173</c:v>
                </c:pt>
                <c:pt idx="302">
                  <c:v>0.12096</c:v>
                </c:pt>
                <c:pt idx="303">
                  <c:v>0.11169999999999999</c:v>
                </c:pt>
                <c:pt idx="304">
                  <c:v>0.11597</c:v>
                </c:pt>
                <c:pt idx="305">
                  <c:v>9.7570000000000004E-2</c:v>
                </c:pt>
                <c:pt idx="306">
                  <c:v>0.10484</c:v>
                </c:pt>
                <c:pt idx="307">
                  <c:v>0.1062</c:v>
                </c:pt>
                <c:pt idx="308">
                  <c:v>7.8350000000000003E-2</c:v>
                </c:pt>
                <c:pt idx="309">
                  <c:v>8.2089999999999996E-2</c:v>
                </c:pt>
                <c:pt idx="310">
                  <c:v>8.1479999999999997E-2</c:v>
                </c:pt>
                <c:pt idx="311">
                  <c:v>8.2530000000000006E-2</c:v>
                </c:pt>
                <c:pt idx="312">
                  <c:v>7.8619999999999995E-2</c:v>
                </c:pt>
                <c:pt idx="313">
                  <c:v>8.0119999999999997E-2</c:v>
                </c:pt>
                <c:pt idx="314">
                  <c:v>8.4010000000000001E-2</c:v>
                </c:pt>
                <c:pt idx="315">
                  <c:v>8.1079999999999999E-2</c:v>
                </c:pt>
                <c:pt idx="316">
                  <c:v>8.133E-2</c:v>
                </c:pt>
                <c:pt idx="317">
                  <c:v>8.6709999999999995E-2</c:v>
                </c:pt>
                <c:pt idx="318">
                  <c:v>8.3330000000000001E-2</c:v>
                </c:pt>
                <c:pt idx="319">
                  <c:v>8.1019999999999995E-2</c:v>
                </c:pt>
                <c:pt idx="320">
                  <c:v>8.4000000000000005E-2</c:v>
                </c:pt>
                <c:pt idx="321">
                  <c:v>6.5479999999999997E-2</c:v>
                </c:pt>
                <c:pt idx="322">
                  <c:v>7.1249999999999994E-2</c:v>
                </c:pt>
                <c:pt idx="323">
                  <c:v>7.0900000000000005E-2</c:v>
                </c:pt>
                <c:pt idx="324">
                  <c:v>5.8999999999999997E-2</c:v>
                </c:pt>
                <c:pt idx="325">
                  <c:v>5.2240000000000002E-2</c:v>
                </c:pt>
                <c:pt idx="326">
                  <c:v>4.5249999999999999E-2</c:v>
                </c:pt>
                <c:pt idx="327">
                  <c:v>4.2720000000000001E-2</c:v>
                </c:pt>
                <c:pt idx="328">
                  <c:v>4.444E-2</c:v>
                </c:pt>
                <c:pt idx="329">
                  <c:v>4.7230000000000001E-2</c:v>
                </c:pt>
                <c:pt idx="330">
                  <c:v>3.8609999999999998E-2</c:v>
                </c:pt>
                <c:pt idx="331">
                  <c:v>3.5360000000000003E-2</c:v>
                </c:pt>
                <c:pt idx="332">
                  <c:v>3.5249999999999997E-2</c:v>
                </c:pt>
                <c:pt idx="333">
                  <c:v>3.3450000000000001E-2</c:v>
                </c:pt>
                <c:pt idx="334">
                  <c:v>3.662E-2</c:v>
                </c:pt>
                <c:pt idx="335">
                  <c:v>3.1989999999999998E-2</c:v>
                </c:pt>
                <c:pt idx="336">
                  <c:v>3.3070000000000002E-2</c:v>
                </c:pt>
                <c:pt idx="337">
                  <c:v>3.2590000000000001E-2</c:v>
                </c:pt>
                <c:pt idx="338">
                  <c:v>3.1109999999999999E-2</c:v>
                </c:pt>
                <c:pt idx="339">
                  <c:v>3.9870000000000003E-2</c:v>
                </c:pt>
                <c:pt idx="340">
                  <c:v>4.36E-2</c:v>
                </c:pt>
                <c:pt idx="341">
                  <c:v>4.3799999999999999E-2</c:v>
                </c:pt>
                <c:pt idx="342">
                  <c:v>4.7759999999999997E-2</c:v>
                </c:pt>
                <c:pt idx="343">
                  <c:v>4.403E-2</c:v>
                </c:pt>
                <c:pt idx="344">
                  <c:v>4.0160000000000001E-2</c:v>
                </c:pt>
                <c:pt idx="345">
                  <c:v>3.918E-2</c:v>
                </c:pt>
                <c:pt idx="346">
                  <c:v>3.9449999999999999E-2</c:v>
                </c:pt>
                <c:pt idx="347">
                  <c:v>4.0800000000000003E-2</c:v>
                </c:pt>
                <c:pt idx="348">
                  <c:v>4.4450000000000003E-2</c:v>
                </c:pt>
                <c:pt idx="349">
                  <c:v>4.3339999999999997E-2</c:v>
                </c:pt>
                <c:pt idx="350">
                  <c:v>3.848E-2</c:v>
                </c:pt>
                <c:pt idx="351">
                  <c:v>3.4909999999999997E-2</c:v>
                </c:pt>
                <c:pt idx="352">
                  <c:v>3.3099999999999997E-2</c:v>
                </c:pt>
                <c:pt idx="353">
                  <c:v>3.0499999999999999E-2</c:v>
                </c:pt>
                <c:pt idx="354">
                  <c:v>2.8899999999999999E-2</c:v>
                </c:pt>
                <c:pt idx="355">
                  <c:v>2.9389999999999999E-2</c:v>
                </c:pt>
                <c:pt idx="356">
                  <c:v>3.1789999999999999E-2</c:v>
                </c:pt>
                <c:pt idx="357">
                  <c:v>2.9430000000000001E-2</c:v>
                </c:pt>
                <c:pt idx="358">
                  <c:v>2.8340000000000001E-2</c:v>
                </c:pt>
                <c:pt idx="359">
                  <c:v>2.767E-2</c:v>
                </c:pt>
                <c:pt idx="360">
                  <c:v>2.588E-2</c:v>
                </c:pt>
                <c:pt idx="361">
                  <c:v>2.5430000000000001E-2</c:v>
                </c:pt>
                <c:pt idx="362">
                  <c:v>2.6579999999999999E-2</c:v>
                </c:pt>
                <c:pt idx="363">
                  <c:v>2.7089999999999999E-2</c:v>
                </c:pt>
                <c:pt idx="364">
                  <c:v>2.5090000000000001E-2</c:v>
                </c:pt>
                <c:pt idx="365">
                  <c:v>2.3310000000000001E-2</c:v>
                </c:pt>
                <c:pt idx="366">
                  <c:v>2.5669999999999998E-2</c:v>
                </c:pt>
                <c:pt idx="367">
                  <c:v>2.5360000000000001E-2</c:v>
                </c:pt>
                <c:pt idx="368">
                  <c:v>2.6509999999999999E-2</c:v>
                </c:pt>
                <c:pt idx="369">
                  <c:v>2.6700000000000002E-2</c:v>
                </c:pt>
                <c:pt idx="370">
                  <c:v>2.5000000000000001E-2</c:v>
                </c:pt>
                <c:pt idx="371">
                  <c:v>2.409E-2</c:v>
                </c:pt>
                <c:pt idx="372">
                  <c:v>2.614E-2</c:v>
                </c:pt>
                <c:pt idx="373">
                  <c:v>2.5770000000000001E-2</c:v>
                </c:pt>
                <c:pt idx="374">
                  <c:v>2.649E-2</c:v>
                </c:pt>
                <c:pt idx="375">
                  <c:v>2.383E-2</c:v>
                </c:pt>
                <c:pt idx="376">
                  <c:v>2.4160000000000001E-2</c:v>
                </c:pt>
                <c:pt idx="377">
                  <c:v>2.2040000000000001E-2</c:v>
                </c:pt>
                <c:pt idx="378">
                  <c:v>2.1530000000000001E-2</c:v>
                </c:pt>
                <c:pt idx="379">
                  <c:v>2.1420000000000002E-2</c:v>
                </c:pt>
                <c:pt idx="380">
                  <c:v>2.0650000000000002E-2</c:v>
                </c:pt>
                <c:pt idx="381">
                  <c:v>2.069E-2</c:v>
                </c:pt>
                <c:pt idx="382">
                  <c:v>2.3980000000000001E-2</c:v>
                </c:pt>
                <c:pt idx="383">
                  <c:v>2.4420000000000001E-2</c:v>
                </c:pt>
                <c:pt idx="384">
                  <c:v>2.265E-2</c:v>
                </c:pt>
                <c:pt idx="385">
                  <c:v>2.2929999999999999E-2</c:v>
                </c:pt>
                <c:pt idx="386">
                  <c:v>2.3439999999999999E-2</c:v>
                </c:pt>
                <c:pt idx="387">
                  <c:v>2.2110000000000001E-2</c:v>
                </c:pt>
                <c:pt idx="388">
                  <c:v>2.1860000000000001E-2</c:v>
                </c:pt>
                <c:pt idx="389">
                  <c:v>2.197E-2</c:v>
                </c:pt>
                <c:pt idx="390">
                  <c:v>2.138E-2</c:v>
                </c:pt>
                <c:pt idx="391">
                  <c:v>2.3359999999999999E-2</c:v>
                </c:pt>
                <c:pt idx="392">
                  <c:v>2.3890000000000002E-2</c:v>
                </c:pt>
                <c:pt idx="393">
                  <c:v>2.7089999999999999E-2</c:v>
                </c:pt>
                <c:pt idx="394">
                  <c:v>2.8819999999999998E-2</c:v>
                </c:pt>
                <c:pt idx="395">
                  <c:v>2.3140000000000001E-2</c:v>
                </c:pt>
                <c:pt idx="396">
                  <c:v>2.0660000000000001E-2</c:v>
                </c:pt>
                <c:pt idx="397">
                  <c:v>1.8679999999999999E-2</c:v>
                </c:pt>
                <c:pt idx="398">
                  <c:v>1.8689999999999998E-2</c:v>
                </c:pt>
                <c:pt idx="399">
                  <c:v>1.942E-2</c:v>
                </c:pt>
                <c:pt idx="400">
                  <c:v>1.7809999999999999E-2</c:v>
                </c:pt>
                <c:pt idx="401">
                  <c:v>2.2499999999999999E-2</c:v>
                </c:pt>
                <c:pt idx="402">
                  <c:v>2.3060000000000001E-2</c:v>
                </c:pt>
                <c:pt idx="403">
                  <c:v>2.4209999999999999E-2</c:v>
                </c:pt>
                <c:pt idx="404">
                  <c:v>2.3949999999999999E-2</c:v>
                </c:pt>
                <c:pt idx="405">
                  <c:v>2.3859999999999999E-2</c:v>
                </c:pt>
                <c:pt idx="406">
                  <c:v>2.3089999999999999E-2</c:v>
                </c:pt>
                <c:pt idx="407">
                  <c:v>2.2880000000000001E-2</c:v>
                </c:pt>
                <c:pt idx="408">
                  <c:v>2.2360000000000001E-2</c:v>
                </c:pt>
                <c:pt idx="409">
                  <c:v>2.359E-2</c:v>
                </c:pt>
                <c:pt idx="410">
                  <c:v>2.0910000000000002E-2</c:v>
                </c:pt>
                <c:pt idx="411">
                  <c:v>2.0539999999999999E-2</c:v>
                </c:pt>
                <c:pt idx="412">
                  <c:v>1.9429999999999999E-2</c:v>
                </c:pt>
                <c:pt idx="413">
                  <c:v>2.1049999999999999E-2</c:v>
                </c:pt>
                <c:pt idx="414">
                  <c:v>2.1649999999999999E-2</c:v>
                </c:pt>
                <c:pt idx="415">
                  <c:v>2.0639999999999999E-2</c:v>
                </c:pt>
                <c:pt idx="416">
                  <c:v>2.3060000000000001E-2</c:v>
                </c:pt>
                <c:pt idx="417">
                  <c:v>2.2880000000000001E-2</c:v>
                </c:pt>
                <c:pt idx="418">
                  <c:v>2.3470000000000001E-2</c:v>
                </c:pt>
                <c:pt idx="419">
                  <c:v>2.2239999999999999E-2</c:v>
                </c:pt>
                <c:pt idx="420">
                  <c:v>2.479E-2</c:v>
                </c:pt>
                <c:pt idx="421">
                  <c:v>2.41E-2</c:v>
                </c:pt>
                <c:pt idx="422">
                  <c:v>2.282E-2</c:v>
                </c:pt>
                <c:pt idx="423">
                  <c:v>2.3429999999999999E-2</c:v>
                </c:pt>
                <c:pt idx="424">
                  <c:v>2.4850000000000001E-2</c:v>
                </c:pt>
                <c:pt idx="425">
                  <c:v>2.1270000000000001E-2</c:v>
                </c:pt>
                <c:pt idx="426">
                  <c:v>2.1270000000000001E-2</c:v>
                </c:pt>
                <c:pt idx="427">
                  <c:v>2.094E-2</c:v>
                </c:pt>
                <c:pt idx="428">
                  <c:v>2.4049999999999998E-2</c:v>
                </c:pt>
                <c:pt idx="429">
                  <c:v>2.496E-2</c:v>
                </c:pt>
                <c:pt idx="430">
                  <c:v>2.5680000000000001E-2</c:v>
                </c:pt>
                <c:pt idx="431">
                  <c:v>2.2460000000000001E-2</c:v>
                </c:pt>
                <c:pt idx="432">
                  <c:v>2.1930000000000002E-2</c:v>
                </c:pt>
                <c:pt idx="433">
                  <c:v>2.0109999999999999E-2</c:v>
                </c:pt>
                <c:pt idx="434">
                  <c:v>1.9099999999999999E-2</c:v>
                </c:pt>
                <c:pt idx="435">
                  <c:v>1.9310000000000001E-2</c:v>
                </c:pt>
                <c:pt idx="436">
                  <c:v>2.146E-2</c:v>
                </c:pt>
                <c:pt idx="437">
                  <c:v>1.95E-2</c:v>
                </c:pt>
                <c:pt idx="438">
                  <c:v>1.7760000000000001E-2</c:v>
                </c:pt>
                <c:pt idx="439">
                  <c:v>1.7000000000000001E-2</c:v>
                </c:pt>
                <c:pt idx="440">
                  <c:v>1.7420000000000001E-2</c:v>
                </c:pt>
                <c:pt idx="441">
                  <c:v>1.6539999999999999E-2</c:v>
                </c:pt>
                <c:pt idx="442">
                  <c:v>1.7600000000000001E-2</c:v>
                </c:pt>
                <c:pt idx="443">
                  <c:v>1.9869999999999999E-2</c:v>
                </c:pt>
                <c:pt idx="444">
                  <c:v>1.7180000000000001E-2</c:v>
                </c:pt>
                <c:pt idx="445">
                  <c:v>1.8270000000000002E-2</c:v>
                </c:pt>
                <c:pt idx="446">
                  <c:v>1.6549999999999999E-2</c:v>
                </c:pt>
                <c:pt idx="447">
                  <c:v>1.5820000000000001E-2</c:v>
                </c:pt>
                <c:pt idx="448">
                  <c:v>1.417E-2</c:v>
                </c:pt>
                <c:pt idx="449">
                  <c:v>1.35E-2</c:v>
                </c:pt>
                <c:pt idx="450">
                  <c:v>1.363E-2</c:v>
                </c:pt>
                <c:pt idx="451">
                  <c:v>1.4460000000000001E-2</c:v>
                </c:pt>
                <c:pt idx="452">
                  <c:v>1.47E-2</c:v>
                </c:pt>
                <c:pt idx="453">
                  <c:v>1.575E-2</c:v>
                </c:pt>
                <c:pt idx="454">
                  <c:v>1.321E-2</c:v>
                </c:pt>
                <c:pt idx="455">
                  <c:v>1.328E-2</c:v>
                </c:pt>
                <c:pt idx="456">
                  <c:v>1.4460000000000001E-2</c:v>
                </c:pt>
                <c:pt idx="457">
                  <c:v>1.5259999999999999E-2</c:v>
                </c:pt>
                <c:pt idx="458">
                  <c:v>1.609E-2</c:v>
                </c:pt>
                <c:pt idx="459">
                  <c:v>1.7129999999999999E-2</c:v>
                </c:pt>
                <c:pt idx="460">
                  <c:v>1.721E-2</c:v>
                </c:pt>
                <c:pt idx="461">
                  <c:v>1.738E-2</c:v>
                </c:pt>
                <c:pt idx="462">
                  <c:v>1.7729999999999999E-2</c:v>
                </c:pt>
                <c:pt idx="463">
                  <c:v>1.7090000000000001E-2</c:v>
                </c:pt>
                <c:pt idx="464">
                  <c:v>1.695E-2</c:v>
                </c:pt>
                <c:pt idx="465">
                  <c:v>1.839E-2</c:v>
                </c:pt>
                <c:pt idx="466">
                  <c:v>1.856E-2</c:v>
                </c:pt>
                <c:pt idx="467">
                  <c:v>1.8800000000000001E-2</c:v>
                </c:pt>
                <c:pt idx="468">
                  <c:v>1.8319999999999999E-2</c:v>
                </c:pt>
                <c:pt idx="469">
                  <c:v>2.0650000000000002E-2</c:v>
                </c:pt>
                <c:pt idx="470">
                  <c:v>2.179E-2</c:v>
                </c:pt>
                <c:pt idx="471">
                  <c:v>0.02</c:v>
                </c:pt>
                <c:pt idx="472">
                  <c:v>2.0289999999999999E-2</c:v>
                </c:pt>
                <c:pt idx="473">
                  <c:v>2.0109999999999999E-2</c:v>
                </c:pt>
                <c:pt idx="474">
                  <c:v>1.9910000000000001E-2</c:v>
                </c:pt>
                <c:pt idx="475">
                  <c:v>2.0029999999999999E-2</c:v>
                </c:pt>
                <c:pt idx="476">
                  <c:v>1.9019999999999999E-2</c:v>
                </c:pt>
                <c:pt idx="477">
                  <c:v>1.8550000000000001E-2</c:v>
                </c:pt>
                <c:pt idx="478">
                  <c:v>1.7899999999999999E-2</c:v>
                </c:pt>
                <c:pt idx="479">
                  <c:v>2.1479999999999999E-2</c:v>
                </c:pt>
                <c:pt idx="480">
                  <c:v>2.1829999999999999E-2</c:v>
                </c:pt>
                <c:pt idx="481">
                  <c:v>2.1530000000000001E-2</c:v>
                </c:pt>
                <c:pt idx="482">
                  <c:v>2.1530000000000001E-2</c:v>
                </c:pt>
                <c:pt idx="483">
                  <c:v>2.1919999999999999E-2</c:v>
                </c:pt>
                <c:pt idx="484">
                  <c:v>2.315E-2</c:v>
                </c:pt>
                <c:pt idx="485">
                  <c:v>2.4590000000000001E-2</c:v>
                </c:pt>
                <c:pt idx="486">
                  <c:v>2.435E-2</c:v>
                </c:pt>
                <c:pt idx="487">
                  <c:v>2.3400000000000001E-2</c:v>
                </c:pt>
                <c:pt idx="488">
                  <c:v>2.3279999999999999E-2</c:v>
                </c:pt>
                <c:pt idx="489">
                  <c:v>2.281E-2</c:v>
                </c:pt>
                <c:pt idx="490">
                  <c:v>2.375E-2</c:v>
                </c:pt>
                <c:pt idx="491">
                  <c:v>2.1000000000000001E-2</c:v>
                </c:pt>
                <c:pt idx="492">
                  <c:v>2.4979999999999999E-2</c:v>
                </c:pt>
                <c:pt idx="493">
                  <c:v>2.5100000000000001E-2</c:v>
                </c:pt>
                <c:pt idx="494">
                  <c:v>2.937E-2</c:v>
                </c:pt>
                <c:pt idx="495">
                  <c:v>3.2480000000000002E-2</c:v>
                </c:pt>
                <c:pt idx="496">
                  <c:v>3.1899999999999998E-2</c:v>
                </c:pt>
                <c:pt idx="497">
                  <c:v>3.1109999999999999E-2</c:v>
                </c:pt>
                <c:pt idx="498">
                  <c:v>2.938E-2</c:v>
                </c:pt>
                <c:pt idx="499">
                  <c:v>3.3790000000000001E-2</c:v>
                </c:pt>
                <c:pt idx="500">
                  <c:v>3.7330000000000002E-2</c:v>
                </c:pt>
                <c:pt idx="501">
                  <c:v>3.8960000000000002E-2</c:v>
                </c:pt>
                <c:pt idx="502">
                  <c:v>3.9269999999999999E-2</c:v>
                </c:pt>
                <c:pt idx="503">
                  <c:v>4.0320000000000002E-2</c:v>
                </c:pt>
                <c:pt idx="504">
                  <c:v>4.2470000000000001E-2</c:v>
                </c:pt>
                <c:pt idx="505">
                  <c:v>4.1439999999999998E-2</c:v>
                </c:pt>
                <c:pt idx="506">
                  <c:v>4.095E-2</c:v>
                </c:pt>
                <c:pt idx="507">
                  <c:v>4.0370000000000003E-2</c:v>
                </c:pt>
                <c:pt idx="508">
                  <c:v>4.1419999999999998E-2</c:v>
                </c:pt>
                <c:pt idx="509">
                  <c:v>3.2099999999999997E-2</c:v>
                </c:pt>
                <c:pt idx="510">
                  <c:v>4.0890000000000003E-2</c:v>
                </c:pt>
                <c:pt idx="511">
                  <c:v>3.9419999999999997E-2</c:v>
                </c:pt>
                <c:pt idx="512">
                  <c:v>3.9899999999999998E-2</c:v>
                </c:pt>
                <c:pt idx="513">
                  <c:v>4.0300000000000002E-2</c:v>
                </c:pt>
                <c:pt idx="514">
                  <c:v>4.4019999999999997E-2</c:v>
                </c:pt>
                <c:pt idx="515">
                  <c:v>4.2130000000000001E-2</c:v>
                </c:pt>
                <c:pt idx="516">
                  <c:v>4.0869999999999997E-2</c:v>
                </c:pt>
                <c:pt idx="517">
                  <c:v>4.2599999999999999E-2</c:v>
                </c:pt>
                <c:pt idx="518">
                  <c:v>3.7620000000000001E-2</c:v>
                </c:pt>
                <c:pt idx="519">
                  <c:v>3.7679999999999998E-2</c:v>
                </c:pt>
                <c:pt idx="520">
                  <c:v>3.8240000000000003E-2</c:v>
                </c:pt>
                <c:pt idx="521">
                  <c:v>3.8809999999999997E-2</c:v>
                </c:pt>
                <c:pt idx="522">
                  <c:v>3.6540000000000003E-2</c:v>
                </c:pt>
                <c:pt idx="523">
                  <c:v>3.8879999999999998E-2</c:v>
                </c:pt>
                <c:pt idx="524">
                  <c:v>3.5119999999999998E-2</c:v>
                </c:pt>
                <c:pt idx="525">
                  <c:v>4.1239999999999999E-2</c:v>
                </c:pt>
                <c:pt idx="526">
                  <c:v>3.9559999999999998E-2</c:v>
                </c:pt>
                <c:pt idx="527">
                  <c:v>4.2470000000000001E-2</c:v>
                </c:pt>
                <c:pt idx="528">
                  <c:v>4.5539999999999997E-2</c:v>
                </c:pt>
                <c:pt idx="529">
                  <c:v>5.0500000000000003E-2</c:v>
                </c:pt>
                <c:pt idx="530">
                  <c:v>4.5560000000000003E-2</c:v>
                </c:pt>
                <c:pt idx="531">
                  <c:v>4.9700000000000001E-2</c:v>
                </c:pt>
                <c:pt idx="532">
                  <c:v>3.8039999999999997E-2</c:v>
                </c:pt>
                <c:pt idx="533">
                  <c:v>3.3680000000000002E-2</c:v>
                </c:pt>
                <c:pt idx="534">
                  <c:v>3.4619999999999998E-2</c:v>
                </c:pt>
                <c:pt idx="535">
                  <c:v>3.866E-2</c:v>
                </c:pt>
                <c:pt idx="536">
                  <c:v>2.9149999999999999E-2</c:v>
                </c:pt>
                <c:pt idx="537">
                  <c:v>2.9389999999999999E-2</c:v>
                </c:pt>
                <c:pt idx="538">
                  <c:v>2.6339999999999999E-2</c:v>
                </c:pt>
                <c:pt idx="539">
                  <c:v>2.691E-2</c:v>
                </c:pt>
                <c:pt idx="540">
                  <c:v>2.3120000000000002E-2</c:v>
                </c:pt>
                <c:pt idx="541">
                  <c:v>2.2509999999999999E-2</c:v>
                </c:pt>
                <c:pt idx="542">
                  <c:v>2.282E-2</c:v>
                </c:pt>
                <c:pt idx="543">
                  <c:v>2.1489999999999999E-2</c:v>
                </c:pt>
                <c:pt idx="544">
                  <c:v>2.2349999999999998E-2</c:v>
                </c:pt>
                <c:pt idx="545">
                  <c:v>2.3120000000000002E-2</c:v>
                </c:pt>
                <c:pt idx="546">
                  <c:v>2.2960000000000001E-2</c:v>
                </c:pt>
                <c:pt idx="547">
                  <c:v>2.1700000000000001E-2</c:v>
                </c:pt>
                <c:pt idx="548">
                  <c:v>2.3390000000000001E-2</c:v>
                </c:pt>
                <c:pt idx="549">
                  <c:v>2.0879999999999999E-2</c:v>
                </c:pt>
                <c:pt idx="550">
                  <c:v>2.4199999999999999E-2</c:v>
                </c:pt>
                <c:pt idx="551">
                  <c:v>2.5739999999999999E-2</c:v>
                </c:pt>
                <c:pt idx="552">
                  <c:v>2.2749999999999999E-2</c:v>
                </c:pt>
                <c:pt idx="553">
                  <c:v>2.2530000000000001E-2</c:v>
                </c:pt>
                <c:pt idx="554">
                  <c:v>2.266E-2</c:v>
                </c:pt>
                <c:pt idx="555">
                  <c:v>2.18E-2</c:v>
                </c:pt>
                <c:pt idx="556">
                  <c:v>2.2249999999999999E-2</c:v>
                </c:pt>
                <c:pt idx="557">
                  <c:v>2.223E-2</c:v>
                </c:pt>
                <c:pt idx="558">
                  <c:v>2.2859999999999998E-2</c:v>
                </c:pt>
                <c:pt idx="559">
                  <c:v>2.3650000000000001E-2</c:v>
                </c:pt>
                <c:pt idx="560">
                  <c:v>2.0389999999999998E-2</c:v>
                </c:pt>
                <c:pt idx="561">
                  <c:v>2.283E-2</c:v>
                </c:pt>
                <c:pt idx="562">
                  <c:v>2.3120000000000002E-2</c:v>
                </c:pt>
                <c:pt idx="563">
                  <c:v>2.3820000000000001E-2</c:v>
                </c:pt>
                <c:pt idx="564">
                  <c:v>2.4140000000000002E-2</c:v>
                </c:pt>
                <c:pt idx="565">
                  <c:v>2.8160000000000001E-2</c:v>
                </c:pt>
                <c:pt idx="566">
                  <c:v>3.6420000000000001E-2</c:v>
                </c:pt>
                <c:pt idx="567">
                  <c:v>2.665E-2</c:v>
                </c:pt>
                <c:pt idx="568">
                  <c:v>1.516E-2</c:v>
                </c:pt>
                <c:pt idx="569">
                  <c:v>1.3469999999999999E-2</c:v>
                </c:pt>
                <c:pt idx="570">
                  <c:v>1.366E-2</c:v>
                </c:pt>
                <c:pt idx="571">
                  <c:v>1.346E-2</c:v>
                </c:pt>
                <c:pt idx="572">
                  <c:v>1.353E-2</c:v>
                </c:pt>
                <c:pt idx="573">
                  <c:v>1.354E-2</c:v>
                </c:pt>
                <c:pt idx="574">
                  <c:v>1.303E-2</c:v>
                </c:pt>
                <c:pt idx="575">
                  <c:v>1.3639999999999999E-2</c:v>
                </c:pt>
                <c:pt idx="576">
                  <c:v>1.3809999999999999E-2</c:v>
                </c:pt>
                <c:pt idx="577">
                  <c:v>1.26E-2</c:v>
                </c:pt>
                <c:pt idx="578">
                  <c:v>1.213E-2</c:v>
                </c:pt>
                <c:pt idx="579">
                  <c:v>1.179E-2</c:v>
                </c:pt>
                <c:pt idx="580">
                  <c:v>1.291E-2</c:v>
                </c:pt>
                <c:pt idx="581">
                  <c:v>1.338E-2</c:v>
                </c:pt>
                <c:pt idx="582">
                  <c:v>1.268E-2</c:v>
                </c:pt>
                <c:pt idx="583">
                  <c:v>1.3469999999999999E-2</c:v>
                </c:pt>
                <c:pt idx="584">
                  <c:v>1.363E-2</c:v>
                </c:pt>
                <c:pt idx="585">
                  <c:v>1.379E-2</c:v>
                </c:pt>
                <c:pt idx="586">
                  <c:v>1.41E-2</c:v>
                </c:pt>
                <c:pt idx="587">
                  <c:v>1.4250000000000001E-2</c:v>
                </c:pt>
                <c:pt idx="588">
                  <c:v>1.431E-2</c:v>
                </c:pt>
                <c:pt idx="589">
                  <c:v>1.3809999999999999E-2</c:v>
                </c:pt>
                <c:pt idx="590">
                  <c:v>1.35E-2</c:v>
                </c:pt>
                <c:pt idx="591">
                  <c:v>1.243E-2</c:v>
                </c:pt>
                <c:pt idx="592">
                  <c:v>1.226E-2</c:v>
                </c:pt>
                <c:pt idx="593">
                  <c:v>1.303E-2</c:v>
                </c:pt>
                <c:pt idx="594">
                  <c:v>1.2749999999999999E-2</c:v>
                </c:pt>
                <c:pt idx="595">
                  <c:v>1.214E-2</c:v>
                </c:pt>
                <c:pt idx="596">
                  <c:v>1.3469999999999999E-2</c:v>
                </c:pt>
                <c:pt idx="597">
                  <c:v>1.34E-2</c:v>
                </c:pt>
                <c:pt idx="598">
                  <c:v>1.265E-2</c:v>
                </c:pt>
                <c:pt idx="599">
                  <c:v>1.2189999999999999E-2</c:v>
                </c:pt>
                <c:pt idx="600">
                  <c:v>1.132E-2</c:v>
                </c:pt>
                <c:pt idx="601">
                  <c:v>1.1169999999999999E-2</c:v>
                </c:pt>
                <c:pt idx="602">
                  <c:v>1.119E-2</c:v>
                </c:pt>
                <c:pt idx="603">
                  <c:v>1.1339999999999999E-2</c:v>
                </c:pt>
                <c:pt idx="604">
                  <c:v>1.0829999999999999E-2</c:v>
                </c:pt>
                <c:pt idx="605">
                  <c:v>1.103E-2</c:v>
                </c:pt>
                <c:pt idx="606">
                  <c:v>1.089E-2</c:v>
                </c:pt>
                <c:pt idx="607">
                  <c:v>1.1509999999999999E-2</c:v>
                </c:pt>
                <c:pt idx="608">
                  <c:v>1.108E-2</c:v>
                </c:pt>
                <c:pt idx="609">
                  <c:v>1.102E-2</c:v>
                </c:pt>
                <c:pt idx="610">
                  <c:v>1.094E-2</c:v>
                </c:pt>
                <c:pt idx="611">
                  <c:v>1.1050000000000001E-2</c:v>
                </c:pt>
                <c:pt idx="612">
                  <c:v>1.123E-2</c:v>
                </c:pt>
                <c:pt idx="613">
                  <c:v>1.0489999999999999E-2</c:v>
                </c:pt>
                <c:pt idx="614">
                  <c:v>1.06E-2</c:v>
                </c:pt>
                <c:pt idx="615">
                  <c:v>1.072E-2</c:v>
                </c:pt>
                <c:pt idx="616">
                  <c:v>1.01E-2</c:v>
                </c:pt>
                <c:pt idx="617">
                  <c:v>1.077E-2</c:v>
                </c:pt>
                <c:pt idx="618">
                  <c:v>1.081E-2</c:v>
                </c:pt>
                <c:pt idx="619">
                  <c:v>1.0840000000000001E-2</c:v>
                </c:pt>
                <c:pt idx="620">
                  <c:v>1.085E-2</c:v>
                </c:pt>
                <c:pt idx="621">
                  <c:v>1.095E-2</c:v>
                </c:pt>
                <c:pt idx="622">
                  <c:v>1.095E-2</c:v>
                </c:pt>
                <c:pt idx="623">
                  <c:v>1.2789999999999999E-2</c:v>
                </c:pt>
                <c:pt idx="624">
                  <c:v>1.086E-2</c:v>
                </c:pt>
                <c:pt idx="625">
                  <c:v>1.129E-2</c:v>
                </c:pt>
                <c:pt idx="626">
                  <c:v>1.214E-2</c:v>
                </c:pt>
                <c:pt idx="627">
                  <c:v>1.197E-2</c:v>
                </c:pt>
                <c:pt idx="628">
                  <c:v>1.204E-2</c:v>
                </c:pt>
                <c:pt idx="629">
                  <c:v>1.158E-2</c:v>
                </c:pt>
                <c:pt idx="630">
                  <c:v>1.0109999999999999E-2</c:v>
                </c:pt>
                <c:pt idx="631">
                  <c:v>1.0030000000000001E-2</c:v>
                </c:pt>
                <c:pt idx="632">
                  <c:v>9.9500000000000005E-3</c:v>
                </c:pt>
                <c:pt idx="633">
                  <c:v>9.7800000000000005E-3</c:v>
                </c:pt>
                <c:pt idx="634">
                  <c:v>1.055E-2</c:v>
                </c:pt>
                <c:pt idx="635">
                  <c:v>1.1209999999999999E-2</c:v>
                </c:pt>
                <c:pt idx="636">
                  <c:v>1.061E-2</c:v>
                </c:pt>
                <c:pt idx="637">
                  <c:v>1.021E-2</c:v>
                </c:pt>
                <c:pt idx="638">
                  <c:v>1.0200000000000001E-2</c:v>
                </c:pt>
                <c:pt idx="639">
                  <c:v>9.9399999999999992E-3</c:v>
                </c:pt>
                <c:pt idx="640">
                  <c:v>9.7400000000000004E-3</c:v>
                </c:pt>
                <c:pt idx="641">
                  <c:v>9.8799999999999999E-3</c:v>
                </c:pt>
                <c:pt idx="642">
                  <c:v>1.0619999999999999E-2</c:v>
                </c:pt>
                <c:pt idx="643">
                  <c:v>9.75E-3</c:v>
                </c:pt>
                <c:pt idx="644">
                  <c:v>9.1900000000000003E-3</c:v>
                </c:pt>
                <c:pt idx="645">
                  <c:v>9.3500000000000007E-3</c:v>
                </c:pt>
                <c:pt idx="646">
                  <c:v>8.4899999999999993E-3</c:v>
                </c:pt>
                <c:pt idx="647">
                  <c:v>7.6E-3</c:v>
                </c:pt>
                <c:pt idx="648">
                  <c:v>7.9100000000000004E-3</c:v>
                </c:pt>
                <c:pt idx="649">
                  <c:v>8.2000000000000007E-3</c:v>
                </c:pt>
                <c:pt idx="650">
                  <c:v>8.2400000000000008E-3</c:v>
                </c:pt>
                <c:pt idx="651">
                  <c:v>7.8200000000000006E-3</c:v>
                </c:pt>
                <c:pt idx="652">
                  <c:v>7.2199999999999999E-3</c:v>
                </c:pt>
                <c:pt idx="653">
                  <c:v>7.1900000000000002E-3</c:v>
                </c:pt>
                <c:pt idx="654">
                  <c:v>6.9100000000000003E-3</c:v>
                </c:pt>
                <c:pt idx="655">
                  <c:v>7.11E-3</c:v>
                </c:pt>
                <c:pt idx="656">
                  <c:v>7.1000000000000004E-3</c:v>
                </c:pt>
                <c:pt idx="657">
                  <c:v>7.0899999999999999E-3</c:v>
                </c:pt>
                <c:pt idx="658">
                  <c:v>7.77E-3</c:v>
                </c:pt>
                <c:pt idx="659">
                  <c:v>7.9600000000000001E-3</c:v>
                </c:pt>
                <c:pt idx="660">
                  <c:v>7.5500000000000003E-3</c:v>
                </c:pt>
                <c:pt idx="661">
                  <c:v>7.8700000000000003E-3</c:v>
                </c:pt>
                <c:pt idx="662">
                  <c:v>7.6400000000000001E-3</c:v>
                </c:pt>
                <c:pt idx="663">
                  <c:v>7.8399999999999997E-3</c:v>
                </c:pt>
                <c:pt idx="664">
                  <c:v>7.11E-3</c:v>
                </c:pt>
                <c:pt idx="665">
                  <c:v>6.9899999999999997E-3</c:v>
                </c:pt>
                <c:pt idx="666">
                  <c:v>6.4700000000000001E-3</c:v>
                </c:pt>
                <c:pt idx="667">
                  <c:v>6.3400000000000001E-3</c:v>
                </c:pt>
                <c:pt idx="668">
                  <c:v>6.3499999999999997E-3</c:v>
                </c:pt>
                <c:pt idx="669">
                  <c:v>5.9500000000000004E-3</c:v>
                </c:pt>
                <c:pt idx="670">
                  <c:v>6.4599999999999996E-3</c:v>
                </c:pt>
                <c:pt idx="671">
                  <c:v>6.4000000000000003E-3</c:v>
                </c:pt>
                <c:pt idx="672">
                  <c:v>6.5399999999999998E-3</c:v>
                </c:pt>
                <c:pt idx="673">
                  <c:v>6.7499999999999999E-3</c:v>
                </c:pt>
                <c:pt idx="674">
                  <c:v>7.0200000000000002E-3</c:v>
                </c:pt>
                <c:pt idx="675">
                  <c:v>6.43E-3</c:v>
                </c:pt>
                <c:pt idx="676">
                  <c:v>5.9100000000000003E-3</c:v>
                </c:pt>
                <c:pt idx="677">
                  <c:v>6.8599999999999998E-3</c:v>
                </c:pt>
                <c:pt idx="678">
                  <c:v>6.5300000000000002E-3</c:v>
                </c:pt>
                <c:pt idx="679">
                  <c:v>5.7999999999999996E-3</c:v>
                </c:pt>
                <c:pt idx="680">
                  <c:v>4.9100000000000003E-3</c:v>
                </c:pt>
                <c:pt idx="681">
                  <c:v>4.7800000000000004E-3</c:v>
                </c:pt>
                <c:pt idx="682">
                  <c:v>4.3699999999999998E-3</c:v>
                </c:pt>
                <c:pt idx="683">
                  <c:v>5.3499999999999997E-3</c:v>
                </c:pt>
                <c:pt idx="684">
                  <c:v>5.3099999999999996E-3</c:v>
                </c:pt>
                <c:pt idx="685">
                  <c:v>5.5300000000000002E-3</c:v>
                </c:pt>
                <c:pt idx="686">
                  <c:v>4.7699999999999999E-3</c:v>
                </c:pt>
                <c:pt idx="687">
                  <c:v>9.8300000000000002E-3</c:v>
                </c:pt>
                <c:pt idx="688">
                  <c:v>9.6500000000000006E-3</c:v>
                </c:pt>
                <c:pt idx="689">
                  <c:v>8.9700000000000005E-3</c:v>
                </c:pt>
                <c:pt idx="690">
                  <c:v>9.0900000000000009E-3</c:v>
                </c:pt>
                <c:pt idx="691">
                  <c:v>1.115E-2</c:v>
                </c:pt>
                <c:pt idx="692">
                  <c:v>1.176E-2</c:v>
                </c:pt>
                <c:pt idx="693">
                  <c:v>1.226E-2</c:v>
                </c:pt>
                <c:pt idx="694">
                  <c:v>1.1299999999999999E-2</c:v>
                </c:pt>
                <c:pt idx="695">
                  <c:v>1.1169999999999999E-2</c:v>
                </c:pt>
                <c:pt idx="696">
                  <c:v>1.093E-2</c:v>
                </c:pt>
                <c:pt idx="697">
                  <c:v>9.6299999999999997E-3</c:v>
                </c:pt>
                <c:pt idx="698">
                  <c:v>9.5600000000000008E-3</c:v>
                </c:pt>
                <c:pt idx="699">
                  <c:v>9.5200000000000007E-3</c:v>
                </c:pt>
                <c:pt idx="700">
                  <c:v>9.6900000000000007E-3</c:v>
                </c:pt>
                <c:pt idx="701">
                  <c:v>9.58E-3</c:v>
                </c:pt>
                <c:pt idx="702">
                  <c:v>1.115E-2</c:v>
                </c:pt>
                <c:pt idx="703">
                  <c:v>1.264E-2</c:v>
                </c:pt>
                <c:pt idx="704">
                  <c:v>1.255E-2</c:v>
                </c:pt>
                <c:pt idx="705">
                  <c:v>1.225E-2</c:v>
                </c:pt>
                <c:pt idx="706">
                  <c:v>1.299E-2</c:v>
                </c:pt>
                <c:pt idx="707">
                  <c:v>1.285E-2</c:v>
                </c:pt>
                <c:pt idx="708">
                  <c:v>1.358E-2</c:v>
                </c:pt>
                <c:pt idx="709">
                  <c:v>1.7819999999999999E-2</c:v>
                </c:pt>
                <c:pt idx="710">
                  <c:v>2.017E-2</c:v>
                </c:pt>
                <c:pt idx="711">
                  <c:v>1.772E-2</c:v>
                </c:pt>
                <c:pt idx="712">
                  <c:v>1.7420000000000001E-2</c:v>
                </c:pt>
                <c:pt idx="713">
                  <c:v>1.933E-2</c:v>
                </c:pt>
                <c:pt idx="714">
                  <c:v>1.8630000000000001E-2</c:v>
                </c:pt>
                <c:pt idx="715">
                  <c:v>1.9429999999999999E-2</c:v>
                </c:pt>
                <c:pt idx="716">
                  <c:v>1.908E-2</c:v>
                </c:pt>
                <c:pt idx="717">
                  <c:v>1.562E-2</c:v>
                </c:pt>
                <c:pt idx="718">
                  <c:v>1.6379999999999999E-2</c:v>
                </c:pt>
                <c:pt idx="719">
                  <c:v>1.6480000000000002E-2</c:v>
                </c:pt>
                <c:pt idx="720">
                  <c:v>1.8620000000000001E-2</c:v>
                </c:pt>
                <c:pt idx="721">
                  <c:v>1.4930000000000001E-2</c:v>
                </c:pt>
                <c:pt idx="722">
                  <c:v>1.4420000000000001E-2</c:v>
                </c:pt>
                <c:pt idx="723">
                  <c:v>1.294E-2</c:v>
                </c:pt>
                <c:pt idx="724">
                  <c:v>1.193E-2</c:v>
                </c:pt>
                <c:pt idx="725">
                  <c:v>1.1350000000000001E-2</c:v>
                </c:pt>
                <c:pt idx="726">
                  <c:v>1.1480000000000001E-2</c:v>
                </c:pt>
                <c:pt idx="727">
                  <c:v>1.1469999999999999E-2</c:v>
                </c:pt>
                <c:pt idx="728">
                  <c:v>9.3699999999999999E-3</c:v>
                </c:pt>
                <c:pt idx="729">
                  <c:v>9.41E-3</c:v>
                </c:pt>
                <c:pt idx="730">
                  <c:v>9.4000000000000004E-3</c:v>
                </c:pt>
                <c:pt idx="731">
                  <c:v>9.1400000000000006E-3</c:v>
                </c:pt>
                <c:pt idx="732">
                  <c:v>8.8699999999999994E-3</c:v>
                </c:pt>
                <c:pt idx="733">
                  <c:v>8.8599999999999998E-3</c:v>
                </c:pt>
                <c:pt idx="734">
                  <c:v>8.8999999999999999E-3</c:v>
                </c:pt>
                <c:pt idx="735">
                  <c:v>9.3799999999999994E-3</c:v>
                </c:pt>
                <c:pt idx="736">
                  <c:v>9.6900000000000007E-3</c:v>
                </c:pt>
                <c:pt idx="737">
                  <c:v>8.6E-3</c:v>
                </c:pt>
                <c:pt idx="738">
                  <c:v>8.5400000000000007E-3</c:v>
                </c:pt>
                <c:pt idx="739">
                  <c:v>8.0999999999999996E-3</c:v>
                </c:pt>
                <c:pt idx="740">
                  <c:v>8.4799999999999997E-3</c:v>
                </c:pt>
                <c:pt idx="741">
                  <c:v>8.6099999999999996E-3</c:v>
                </c:pt>
                <c:pt idx="742">
                  <c:v>8.7500000000000008E-3</c:v>
                </c:pt>
                <c:pt idx="743">
                  <c:v>9.11E-3</c:v>
                </c:pt>
                <c:pt idx="744">
                  <c:v>8.8900000000000003E-3</c:v>
                </c:pt>
                <c:pt idx="745">
                  <c:v>8.9300000000000004E-3</c:v>
                </c:pt>
                <c:pt idx="746">
                  <c:v>9.2300000000000004E-3</c:v>
                </c:pt>
                <c:pt idx="747">
                  <c:v>9.2200000000000008E-3</c:v>
                </c:pt>
                <c:pt idx="748">
                  <c:v>9.2099999999999994E-3</c:v>
                </c:pt>
                <c:pt idx="749">
                  <c:v>9.2499999999999995E-3</c:v>
                </c:pt>
                <c:pt idx="750">
                  <c:v>9.4599999999999997E-3</c:v>
                </c:pt>
                <c:pt idx="751">
                  <c:v>9.8399999999999998E-3</c:v>
                </c:pt>
                <c:pt idx="752">
                  <c:v>9.9900000000000006E-3</c:v>
                </c:pt>
                <c:pt idx="753">
                  <c:v>1.008E-2</c:v>
                </c:pt>
                <c:pt idx="754">
                  <c:v>1.022E-2</c:v>
                </c:pt>
                <c:pt idx="755">
                  <c:v>1.0070000000000001E-2</c:v>
                </c:pt>
                <c:pt idx="756">
                  <c:v>9.8499999999999994E-3</c:v>
                </c:pt>
                <c:pt idx="757">
                  <c:v>1.064E-2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79-48D7-A2D6-EAC60A1FCC9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-72.373916327791392</c:v>
                </c:pt>
                <c:pt idx="1">
                  <c:v>-72.45200877992653</c:v>
                </c:pt>
                <c:pt idx="2">
                  <c:v>-72.950314797019018</c:v>
                </c:pt>
                <c:pt idx="3">
                  <c:v>-73.133533950960881</c:v>
                </c:pt>
                <c:pt idx="4">
                  <c:v>-73.437153979709947</c:v>
                </c:pt>
                <c:pt idx="5">
                  <c:v>-73.730067030632284</c:v>
                </c:pt>
                <c:pt idx="6">
                  <c:v>-73.442129592614577</c:v>
                </c:pt>
                <c:pt idx="7">
                  <c:v>-72.975868087290209</c:v>
                </c:pt>
                <c:pt idx="8">
                  <c:v>-72.657669598492717</c:v>
                </c:pt>
                <c:pt idx="9">
                  <c:v>-72.576350497082885</c:v>
                </c:pt>
                <c:pt idx="10">
                  <c:v>-72.574625238183714</c:v>
                </c:pt>
                <c:pt idx="11">
                  <c:v>-72.485911512690677</c:v>
                </c:pt>
                <c:pt idx="12">
                  <c:v>-72.422516821796691</c:v>
                </c:pt>
                <c:pt idx="13">
                  <c:v>-72.369220598763192</c:v>
                </c:pt>
                <c:pt idx="14">
                  <c:v>-72.530730842794341</c:v>
                </c:pt>
                <c:pt idx="15">
                  <c:v>-72.295943712974164</c:v>
                </c:pt>
                <c:pt idx="16">
                  <c:v>-72.472674627227548</c:v>
                </c:pt>
                <c:pt idx="17">
                  <c:v>-72.631504479570395</c:v>
                </c:pt>
                <c:pt idx="18">
                  <c:v>-71.929801567648695</c:v>
                </c:pt>
                <c:pt idx="19">
                  <c:v>-71.966139552012336</c:v>
                </c:pt>
                <c:pt idx="20">
                  <c:v>-71.782419797883307</c:v>
                </c:pt>
                <c:pt idx="21">
                  <c:v>-71.535698055437351</c:v>
                </c:pt>
                <c:pt idx="22">
                  <c:v>-71.702082697604013</c:v>
                </c:pt>
                <c:pt idx="23">
                  <c:v>-71.5076023720178</c:v>
                </c:pt>
                <c:pt idx="24">
                  <c:v>-71.074140277952807</c:v>
                </c:pt>
                <c:pt idx="25">
                  <c:v>-71.139991060299707</c:v>
                </c:pt>
                <c:pt idx="26">
                  <c:v>-70.910439283833909</c:v>
                </c:pt>
                <c:pt idx="27">
                  <c:v>-71.090353049226891</c:v>
                </c:pt>
                <c:pt idx="28">
                  <c:v>-70.966185951674575</c:v>
                </c:pt>
                <c:pt idx="29">
                  <c:v>-70.969124803888391</c:v>
                </c:pt>
                <c:pt idx="30">
                  <c:v>-70.706718017221732</c:v>
                </c:pt>
                <c:pt idx="31">
                  <c:v>-70.377233299428184</c:v>
                </c:pt>
                <c:pt idx="32">
                  <c:v>-69.829811012141931</c:v>
                </c:pt>
                <c:pt idx="33">
                  <c:v>-70.151506410221913</c:v>
                </c:pt>
                <c:pt idx="34">
                  <c:v>-70.214953452824318</c:v>
                </c:pt>
                <c:pt idx="35">
                  <c:v>-70.131987973034853</c:v>
                </c:pt>
                <c:pt idx="36">
                  <c:v>-70.555187617953806</c:v>
                </c:pt>
                <c:pt idx="37">
                  <c:v>-70.494111381208867</c:v>
                </c:pt>
                <c:pt idx="38">
                  <c:v>-70.629094444910308</c:v>
                </c:pt>
                <c:pt idx="39">
                  <c:v>-70.86588262371167</c:v>
                </c:pt>
                <c:pt idx="40">
                  <c:v>-70.60071929695529</c:v>
                </c:pt>
                <c:pt idx="41">
                  <c:v>-70.473812088239796</c:v>
                </c:pt>
                <c:pt idx="42">
                  <c:v>-69.296598087509764</c:v>
                </c:pt>
                <c:pt idx="43">
                  <c:v>-69.882544170598536</c:v>
                </c:pt>
                <c:pt idx="44">
                  <c:v>-70.254202670934035</c:v>
                </c:pt>
                <c:pt idx="45">
                  <c:v>-70.460049488371752</c:v>
                </c:pt>
                <c:pt idx="46">
                  <c:v>-69.817094791772519</c:v>
                </c:pt>
                <c:pt idx="47">
                  <c:v>-69.983330011525595</c:v>
                </c:pt>
                <c:pt idx="48">
                  <c:v>-70.000453658382739</c:v>
                </c:pt>
                <c:pt idx="49">
                  <c:v>-69.3940091639153</c:v>
                </c:pt>
                <c:pt idx="50">
                  <c:v>-68.297372685549917</c:v>
                </c:pt>
                <c:pt idx="51">
                  <c:v>-68.702670427789386</c:v>
                </c:pt>
                <c:pt idx="52">
                  <c:v>-67.91315354259892</c:v>
                </c:pt>
                <c:pt idx="53">
                  <c:v>-68.988719531032103</c:v>
                </c:pt>
                <c:pt idx="54">
                  <c:v>-68.597789016424997</c:v>
                </c:pt>
                <c:pt idx="55">
                  <c:v>-69.400743641194879</c:v>
                </c:pt>
                <c:pt idx="56">
                  <c:v>-68.926333854921154</c:v>
                </c:pt>
                <c:pt idx="57">
                  <c:v>-67.797866490371362</c:v>
                </c:pt>
                <c:pt idx="58">
                  <c:v>-69.361697762407545</c:v>
                </c:pt>
                <c:pt idx="59">
                  <c:v>-68.374025091027377</c:v>
                </c:pt>
                <c:pt idx="60">
                  <c:v>-68.726453690793164</c:v>
                </c:pt>
                <c:pt idx="61">
                  <c:v>-69.732280497335694</c:v>
                </c:pt>
                <c:pt idx="62">
                  <c:v>-69.252640437857693</c:v>
                </c:pt>
                <c:pt idx="63">
                  <c:v>-68.997370323917877</c:v>
                </c:pt>
                <c:pt idx="64">
                  <c:v>-68.753645392538687</c:v>
                </c:pt>
                <c:pt idx="65">
                  <c:v>-68.634647252856752</c:v>
                </c:pt>
                <c:pt idx="66">
                  <c:v>-67.698091664225856</c:v>
                </c:pt>
                <c:pt idx="67">
                  <c:v>-66.4052121326514</c:v>
                </c:pt>
                <c:pt idx="68">
                  <c:v>-64.680820247613866</c:v>
                </c:pt>
                <c:pt idx="69">
                  <c:v>-65.276522863791641</c:v>
                </c:pt>
                <c:pt idx="70">
                  <c:v>-66.111150953829096</c:v>
                </c:pt>
                <c:pt idx="71">
                  <c:v>-64.898478819476551</c:v>
                </c:pt>
                <c:pt idx="72">
                  <c:v>-64.402349904643586</c:v>
                </c:pt>
                <c:pt idx="73">
                  <c:v>-63.552232518446239</c:v>
                </c:pt>
                <c:pt idx="74">
                  <c:v>-62.900070562455049</c:v>
                </c:pt>
                <c:pt idx="75">
                  <c:v>-63.389468395818682</c:v>
                </c:pt>
                <c:pt idx="76">
                  <c:v>-61.511396247992543</c:v>
                </c:pt>
                <c:pt idx="77">
                  <c:v>-61.269697316790982</c:v>
                </c:pt>
                <c:pt idx="78">
                  <c:v>-61.613896659128763</c:v>
                </c:pt>
                <c:pt idx="79">
                  <c:v>-59.506171877654097</c:v>
                </c:pt>
                <c:pt idx="80">
                  <c:v>-58.331379128031458</c:v>
                </c:pt>
                <c:pt idx="81">
                  <c:v>-57.84115572407913</c:v>
                </c:pt>
                <c:pt idx="82">
                  <c:v>-56.078363952405297</c:v>
                </c:pt>
                <c:pt idx="83">
                  <c:v>-55.638924885662732</c:v>
                </c:pt>
                <c:pt idx="84">
                  <c:v>-54.86857699675565</c:v>
                </c:pt>
                <c:pt idx="85">
                  <c:v>-48.302464195289879</c:v>
                </c:pt>
                <c:pt idx="86">
                  <c:v>-38.906614713898641</c:v>
                </c:pt>
                <c:pt idx="87">
                  <c:v>-38.193701872817869</c:v>
                </c:pt>
                <c:pt idx="88">
                  <c:v>-38.137273001954767</c:v>
                </c:pt>
                <c:pt idx="89">
                  <c:v>-36.475878897353667</c:v>
                </c:pt>
                <c:pt idx="90">
                  <c:v>-33.856311605874183</c:v>
                </c:pt>
                <c:pt idx="91">
                  <c:v>-34.112907915657146</c:v>
                </c:pt>
                <c:pt idx="92">
                  <c:v>-34.12929807060025</c:v>
                </c:pt>
                <c:pt idx="93">
                  <c:v>-32.458319879436729</c:v>
                </c:pt>
                <c:pt idx="94">
                  <c:v>-31.719688505436736</c:v>
                </c:pt>
                <c:pt idx="95">
                  <c:v>-32.127885526846491</c:v>
                </c:pt>
                <c:pt idx="96">
                  <c:v>-31.102346328039236</c:v>
                </c:pt>
                <c:pt idx="97">
                  <c:v>-30.604885576729821</c:v>
                </c:pt>
                <c:pt idx="98">
                  <c:v>-31.248906779462324</c:v>
                </c:pt>
                <c:pt idx="99">
                  <c:v>-29.059300634807585</c:v>
                </c:pt>
                <c:pt idx="100">
                  <c:v>-27.974582630591584</c:v>
                </c:pt>
                <c:pt idx="101">
                  <c:v>-30.438368429736414</c:v>
                </c:pt>
                <c:pt idx="102">
                  <c:v>-32.948758014773574</c:v>
                </c:pt>
                <c:pt idx="103">
                  <c:v>-32.432723631861926</c:v>
                </c:pt>
                <c:pt idx="104">
                  <c:v>-31.129720872035843</c:v>
                </c:pt>
                <c:pt idx="105">
                  <c:v>-29.275559367565258</c:v>
                </c:pt>
                <c:pt idx="106">
                  <c:v>-32.672132309725093</c:v>
                </c:pt>
                <c:pt idx="107">
                  <c:v>-33.640083019795775</c:v>
                </c:pt>
                <c:pt idx="108">
                  <c:v>-28.158265010664184</c:v>
                </c:pt>
                <c:pt idx="109">
                  <c:v>-30.165983785215015</c:v>
                </c:pt>
                <c:pt idx="110">
                  <c:v>-29.607458786466061</c:v>
                </c:pt>
                <c:pt idx="111">
                  <c:v>-29.335300169160071</c:v>
                </c:pt>
                <c:pt idx="112">
                  <c:v>-28.485207995950528</c:v>
                </c:pt>
                <c:pt idx="113">
                  <c:v>-28.984931199501876</c:v>
                </c:pt>
                <c:pt idx="114">
                  <c:v>-28.738361685346565</c:v>
                </c:pt>
                <c:pt idx="115">
                  <c:v>-28.717295825702728</c:v>
                </c:pt>
                <c:pt idx="116">
                  <c:v>-27.683830031003627</c:v>
                </c:pt>
                <c:pt idx="117">
                  <c:v>-27.774254851987472</c:v>
                </c:pt>
                <c:pt idx="118">
                  <c:v>-27.412005323636826</c:v>
                </c:pt>
                <c:pt idx="119">
                  <c:v>-28.131262480522025</c:v>
                </c:pt>
                <c:pt idx="120">
                  <c:v>-27.837601113479554</c:v>
                </c:pt>
                <c:pt idx="121">
                  <c:v>-27.266262351225631</c:v>
                </c:pt>
                <c:pt idx="122">
                  <c:v>-26.896409285966474</c:v>
                </c:pt>
                <c:pt idx="123">
                  <c:v>-25.32439949992601</c:v>
                </c:pt>
                <c:pt idx="124">
                  <c:v>-26.864937913081782</c:v>
                </c:pt>
                <c:pt idx="125">
                  <c:v>-27.441118080263195</c:v>
                </c:pt>
                <c:pt idx="126">
                  <c:v>-27.955725716605205</c:v>
                </c:pt>
                <c:pt idx="127">
                  <c:v>-28.041643715718589</c:v>
                </c:pt>
                <c:pt idx="128">
                  <c:v>-28.935125647240977</c:v>
                </c:pt>
                <c:pt idx="129">
                  <c:v>-27.791393883380351</c:v>
                </c:pt>
                <c:pt idx="130">
                  <c:v>-27.596845686909759</c:v>
                </c:pt>
                <c:pt idx="131">
                  <c:v>-26.999740840551233</c:v>
                </c:pt>
                <c:pt idx="132">
                  <c:v>-26.230514307170768</c:v>
                </c:pt>
                <c:pt idx="133">
                  <c:v>-26.353716100323918</c:v>
                </c:pt>
                <c:pt idx="134">
                  <c:v>-25.502012331300879</c:v>
                </c:pt>
                <c:pt idx="135">
                  <c:v>-26.135031210126076</c:v>
                </c:pt>
                <c:pt idx="136">
                  <c:v>-26.490699338959406</c:v>
                </c:pt>
                <c:pt idx="137">
                  <c:v>-28.22018494411137</c:v>
                </c:pt>
                <c:pt idx="138">
                  <c:v>-28.458305052162707</c:v>
                </c:pt>
                <c:pt idx="139">
                  <c:v>-27.06234284582197</c:v>
                </c:pt>
                <c:pt idx="140">
                  <c:v>-26.549930031418867</c:v>
                </c:pt>
                <c:pt idx="141">
                  <c:v>-25.543252532936918</c:v>
                </c:pt>
                <c:pt idx="142">
                  <c:v>-27.806011076860756</c:v>
                </c:pt>
                <c:pt idx="143">
                  <c:v>-26.074931650426361</c:v>
                </c:pt>
                <c:pt idx="144">
                  <c:v>-23.895046975566405</c:v>
                </c:pt>
                <c:pt idx="145">
                  <c:v>-24.574829955708058</c:v>
                </c:pt>
                <c:pt idx="146">
                  <c:v>-21.326345373221269</c:v>
                </c:pt>
                <c:pt idx="147">
                  <c:v>-25.378204331621269</c:v>
                </c:pt>
                <c:pt idx="148">
                  <c:v>-22.240330613990952</c:v>
                </c:pt>
                <c:pt idx="149">
                  <c:v>-25.859573143670705</c:v>
                </c:pt>
                <c:pt idx="150">
                  <c:v>-21.819000516244824</c:v>
                </c:pt>
                <c:pt idx="151">
                  <c:v>-21.400862279290614</c:v>
                </c:pt>
                <c:pt idx="152">
                  <c:v>-19.979437043971011</c:v>
                </c:pt>
                <c:pt idx="153">
                  <c:v>-16.971207114224292</c:v>
                </c:pt>
                <c:pt idx="154">
                  <c:v>-23.47682496342312</c:v>
                </c:pt>
                <c:pt idx="155">
                  <c:v>-21.207681407341902</c:v>
                </c:pt>
                <c:pt idx="156">
                  <c:v>-21.708425017444096</c:v>
                </c:pt>
                <c:pt idx="157">
                  <c:v>-19.779874689084192</c:v>
                </c:pt>
                <c:pt idx="158">
                  <c:v>-20.164039473116215</c:v>
                </c:pt>
                <c:pt idx="159">
                  <c:v>-20.276515777153254</c:v>
                </c:pt>
                <c:pt idx="160">
                  <c:v>-20.168337830391916</c:v>
                </c:pt>
                <c:pt idx="161">
                  <c:v>-19.974394455560454</c:v>
                </c:pt>
                <c:pt idx="162">
                  <c:v>-20.096589511193738</c:v>
                </c:pt>
                <c:pt idx="163">
                  <c:v>-19.929088753945909</c:v>
                </c:pt>
                <c:pt idx="164">
                  <c:v>-18.665626222794629</c:v>
                </c:pt>
                <c:pt idx="165">
                  <c:v>-17.653450011532399</c:v>
                </c:pt>
                <c:pt idx="166">
                  <c:v>-18.681012359905829</c:v>
                </c:pt>
                <c:pt idx="167">
                  <c:v>-18.759226420522264</c:v>
                </c:pt>
                <c:pt idx="168">
                  <c:v>-18.733723905176255</c:v>
                </c:pt>
                <c:pt idx="169">
                  <c:v>-18.210049569915242</c:v>
                </c:pt>
                <c:pt idx="170">
                  <c:v>-18.031618810054042</c:v>
                </c:pt>
                <c:pt idx="171">
                  <c:v>-18.586490445733432</c:v>
                </c:pt>
                <c:pt idx="172">
                  <c:v>-19.126537779938911</c:v>
                </c:pt>
                <c:pt idx="173">
                  <c:v>-18.744803222027144</c:v>
                </c:pt>
                <c:pt idx="174">
                  <c:v>-18.899352620654152</c:v>
                </c:pt>
                <c:pt idx="175">
                  <c:v>-19.117970898810704</c:v>
                </c:pt>
                <c:pt idx="176">
                  <c:v>-19.351465150787448</c:v>
                </c:pt>
                <c:pt idx="177">
                  <c:v>-19.557510627758322</c:v>
                </c:pt>
                <c:pt idx="178">
                  <c:v>-19.627975405346334</c:v>
                </c:pt>
                <c:pt idx="179">
                  <c:v>-19.374999327699271</c:v>
                </c:pt>
                <c:pt idx="180">
                  <c:v>-18.391807967820661</c:v>
                </c:pt>
                <c:pt idx="181">
                  <c:v>-18.5231765219383</c:v>
                </c:pt>
                <c:pt idx="182">
                  <c:v>-19.186219033523795</c:v>
                </c:pt>
                <c:pt idx="183">
                  <c:v>-19.471625591331954</c:v>
                </c:pt>
                <c:pt idx="184">
                  <c:v>-19.184448976036755</c:v>
                </c:pt>
                <c:pt idx="185">
                  <c:v>-19.777476355953262</c:v>
                </c:pt>
                <c:pt idx="186">
                  <c:v>-19.339264284616629</c:v>
                </c:pt>
                <c:pt idx="187">
                  <c:v>-19.828881737616626</c:v>
                </c:pt>
                <c:pt idx="188">
                  <c:v>-19.858560540293276</c:v>
                </c:pt>
                <c:pt idx="189">
                  <c:v>-20.081342552249794</c:v>
                </c:pt>
                <c:pt idx="190">
                  <c:v>-20.19535089254358</c:v>
                </c:pt>
                <c:pt idx="191">
                  <c:v>-20.308616220453693</c:v>
                </c:pt>
                <c:pt idx="192">
                  <c:v>-20.237042294285576</c:v>
                </c:pt>
                <c:pt idx="193">
                  <c:v>-19.662763022218535</c:v>
                </c:pt>
                <c:pt idx="194">
                  <c:v>-19.940229911452182</c:v>
                </c:pt>
                <c:pt idx="195">
                  <c:v>-20.052574724168601</c:v>
                </c:pt>
                <c:pt idx="196">
                  <c:v>-19.019991832048181</c:v>
                </c:pt>
                <c:pt idx="197">
                  <c:v>-18.682350912991769</c:v>
                </c:pt>
                <c:pt idx="198">
                  <c:v>-18.919459146766602</c:v>
                </c:pt>
                <c:pt idx="199">
                  <c:v>-18.787079850331818</c:v>
                </c:pt>
                <c:pt idx="200">
                  <c:v>-18.317891353672078</c:v>
                </c:pt>
                <c:pt idx="201">
                  <c:v>-18.413347043894863</c:v>
                </c:pt>
                <c:pt idx="202">
                  <c:v>-18.654265228312806</c:v>
                </c:pt>
                <c:pt idx="203">
                  <c:v>-18.990586644287678</c:v>
                </c:pt>
                <c:pt idx="204">
                  <c:v>-18.71546092586928</c:v>
                </c:pt>
                <c:pt idx="205">
                  <c:v>-18.401146223968322</c:v>
                </c:pt>
                <c:pt idx="206">
                  <c:v>-18.769983912032153</c:v>
                </c:pt>
                <c:pt idx="207">
                  <c:v>-18.464079430056348</c:v>
                </c:pt>
                <c:pt idx="208">
                  <c:v>-18.621569113832376</c:v>
                </c:pt>
                <c:pt idx="209">
                  <c:v>-18.896026403223676</c:v>
                </c:pt>
                <c:pt idx="210">
                  <c:v>-19.069788534223676</c:v>
                </c:pt>
                <c:pt idx="211">
                  <c:v>-18.910838665197954</c:v>
                </c:pt>
                <c:pt idx="212">
                  <c:v>-19.277911215816378</c:v>
                </c:pt>
                <c:pt idx="213">
                  <c:v>-18.460540560702604</c:v>
                </c:pt>
                <c:pt idx="214">
                  <c:v>-18.734400118293152</c:v>
                </c:pt>
                <c:pt idx="215">
                  <c:v>-19.093387505518507</c:v>
                </c:pt>
                <c:pt idx="216">
                  <c:v>-19.014691392287098</c:v>
                </c:pt>
                <c:pt idx="217">
                  <c:v>-18.737639706090672</c:v>
                </c:pt>
                <c:pt idx="218">
                  <c:v>-18.850493169757339</c:v>
                </c:pt>
                <c:pt idx="219">
                  <c:v>-19.088060757291217</c:v>
                </c:pt>
                <c:pt idx="220">
                  <c:v>-19.264299311062643</c:v>
                </c:pt>
                <c:pt idx="221">
                  <c:v>-18.46389720349805</c:v>
                </c:pt>
                <c:pt idx="222">
                  <c:v>-18.851435374619129</c:v>
                </c:pt>
                <c:pt idx="223">
                  <c:v>-17.66943504162268</c:v>
                </c:pt>
                <c:pt idx="224">
                  <c:v>-17.515506334314988</c:v>
                </c:pt>
                <c:pt idx="225">
                  <c:v>-17.328439181131692</c:v>
                </c:pt>
                <c:pt idx="226">
                  <c:v>-17.179252728072285</c:v>
                </c:pt>
                <c:pt idx="227">
                  <c:v>-17.348335692731627</c:v>
                </c:pt>
                <c:pt idx="228">
                  <c:v>-17.589143638133415</c:v>
                </c:pt>
                <c:pt idx="229">
                  <c:v>-18.066255740252462</c:v>
                </c:pt>
                <c:pt idx="230">
                  <c:v>-18.333116222526243</c:v>
                </c:pt>
                <c:pt idx="231">
                  <c:v>-17.063960474041799</c:v>
                </c:pt>
                <c:pt idx="232">
                  <c:v>-15.353344759693529</c:v>
                </c:pt>
                <c:pt idx="233">
                  <c:v>-16.006654211999738</c:v>
                </c:pt>
                <c:pt idx="234">
                  <c:v>-16.448050337126322</c:v>
                </c:pt>
                <c:pt idx="235">
                  <c:v>-15.133222760084974</c:v>
                </c:pt>
                <c:pt idx="236">
                  <c:v>-15.421107993348134</c:v>
                </c:pt>
                <c:pt idx="237">
                  <c:v>-15.253761600914626</c:v>
                </c:pt>
                <c:pt idx="238">
                  <c:v>-15.071260179991549</c:v>
                </c:pt>
                <c:pt idx="239">
                  <c:v>-15.103841480118131</c:v>
                </c:pt>
                <c:pt idx="240">
                  <c:v>-15.403249045004246</c:v>
                </c:pt>
                <c:pt idx="241">
                  <c:v>-15.358456972620139</c:v>
                </c:pt>
                <c:pt idx="242">
                  <c:v>-15.789278731465499</c:v>
                </c:pt>
                <c:pt idx="243">
                  <c:v>-16.123277191297944</c:v>
                </c:pt>
                <c:pt idx="244">
                  <c:v>-15.915855407592245</c:v>
                </c:pt>
                <c:pt idx="245">
                  <c:v>-15.536083112758913</c:v>
                </c:pt>
                <c:pt idx="246">
                  <c:v>-15.536964434113166</c:v>
                </c:pt>
                <c:pt idx="247">
                  <c:v>-15.66760360313268</c:v>
                </c:pt>
                <c:pt idx="248">
                  <c:v>-16.161817794851359</c:v>
                </c:pt>
                <c:pt idx="249">
                  <c:v>-16.93444680630104</c:v>
                </c:pt>
                <c:pt idx="250">
                  <c:v>-16.83617617336105</c:v>
                </c:pt>
                <c:pt idx="251">
                  <c:v>-16.701180652008112</c:v>
                </c:pt>
                <c:pt idx="252">
                  <c:v>-16.257833903954559</c:v>
                </c:pt>
                <c:pt idx="253">
                  <c:v>-16.767367609978901</c:v>
                </c:pt>
                <c:pt idx="254">
                  <c:v>-16.274436515406261</c:v>
                </c:pt>
                <c:pt idx="255">
                  <c:v>-16.180255321671392</c:v>
                </c:pt>
                <c:pt idx="256">
                  <c:v>-15.902981540133483</c:v>
                </c:pt>
                <c:pt idx="257">
                  <c:v>-15.857056546901378</c:v>
                </c:pt>
                <c:pt idx="258">
                  <c:v>-15.232223445426653</c:v>
                </c:pt>
                <c:pt idx="259">
                  <c:v>-15.185441723153925</c:v>
                </c:pt>
                <c:pt idx="260">
                  <c:v>-15.095750613562398</c:v>
                </c:pt>
                <c:pt idx="261">
                  <c:v>-14.286625692934667</c:v>
                </c:pt>
                <c:pt idx="262">
                  <c:v>-14.573846777443984</c:v>
                </c:pt>
                <c:pt idx="263">
                  <c:v>-14.35838401857875</c:v>
                </c:pt>
                <c:pt idx="264">
                  <c:v>-14.005531522517261</c:v>
                </c:pt>
                <c:pt idx="265">
                  <c:v>-14.424359632359115</c:v>
                </c:pt>
                <c:pt idx="266">
                  <c:v>-14.267419548327405</c:v>
                </c:pt>
                <c:pt idx="267">
                  <c:v>-14.248725358544386</c:v>
                </c:pt>
                <c:pt idx="268">
                  <c:v>-14.323414461249012</c:v>
                </c:pt>
                <c:pt idx="269">
                  <c:v>-13.06921201091388</c:v>
                </c:pt>
                <c:pt idx="270">
                  <c:v>-12.851960406375495</c:v>
                </c:pt>
                <c:pt idx="271">
                  <c:v>-13.212266389375499</c:v>
                </c:pt>
                <c:pt idx="272">
                  <c:v>-12.513750242649897</c:v>
                </c:pt>
                <c:pt idx="273">
                  <c:v>-15.318580207978076</c:v>
                </c:pt>
                <c:pt idx="274">
                  <c:v>-15.220222009784466</c:v>
                </c:pt>
                <c:pt idx="275">
                  <c:v>-15.518510162592815</c:v>
                </c:pt>
                <c:pt idx="276">
                  <c:v>-15.940892559348573</c:v>
                </c:pt>
                <c:pt idx="277">
                  <c:v>-16.217014299359409</c:v>
                </c:pt>
                <c:pt idx="278">
                  <c:v>-16.078299631226031</c:v>
                </c:pt>
                <c:pt idx="279">
                  <c:v>-15.745304030481844</c:v>
                </c:pt>
                <c:pt idx="280">
                  <c:v>-16.141973314607448</c:v>
                </c:pt>
                <c:pt idx="281">
                  <c:v>-15.497019211691866</c:v>
                </c:pt>
                <c:pt idx="282">
                  <c:v>-14.645199114241766</c:v>
                </c:pt>
                <c:pt idx="283">
                  <c:v>-14.310903210954169</c:v>
                </c:pt>
                <c:pt idx="284">
                  <c:v>-14.129690872534065</c:v>
                </c:pt>
                <c:pt idx="285">
                  <c:v>-13.839219010032275</c:v>
                </c:pt>
                <c:pt idx="286">
                  <c:v>-12.633454764333317</c:v>
                </c:pt>
                <c:pt idx="287">
                  <c:v>-12.427849930119258</c:v>
                </c:pt>
                <c:pt idx="288">
                  <c:v>-13.145756564012592</c:v>
                </c:pt>
                <c:pt idx="289">
                  <c:v>-14.242423411194411</c:v>
                </c:pt>
                <c:pt idx="290">
                  <c:v>-13.520577443938405</c:v>
                </c:pt>
                <c:pt idx="291">
                  <c:v>-12.889893329411601</c:v>
                </c:pt>
                <c:pt idx="292">
                  <c:v>-12.365127944865907</c:v>
                </c:pt>
                <c:pt idx="293">
                  <c:v>-11.303515059998992</c:v>
                </c:pt>
                <c:pt idx="294">
                  <c:v>-12.495521766319111</c:v>
                </c:pt>
                <c:pt idx="295">
                  <c:v>-13.739029177283205</c:v>
                </c:pt>
                <c:pt idx="296">
                  <c:v>-14.17816316539677</c:v>
                </c:pt>
                <c:pt idx="297">
                  <c:v>-13.443317072127936</c:v>
                </c:pt>
                <c:pt idx="298">
                  <c:v>-13.350502595359162</c:v>
                </c:pt>
                <c:pt idx="299">
                  <c:v>-14.470242696520451</c:v>
                </c:pt>
                <c:pt idx="300">
                  <c:v>-13.671382081331961</c:v>
                </c:pt>
                <c:pt idx="301">
                  <c:v>-12.565658205232465</c:v>
                </c:pt>
                <c:pt idx="302">
                  <c:v>-12.163775784877725</c:v>
                </c:pt>
                <c:pt idx="303">
                  <c:v>-12.425814778788977</c:v>
                </c:pt>
                <c:pt idx="304">
                  <c:v>-10.607475493573196</c:v>
                </c:pt>
                <c:pt idx="305">
                  <c:v>-12.148566822316146</c:v>
                </c:pt>
                <c:pt idx="306">
                  <c:v>-11.643293967022126</c:v>
                </c:pt>
                <c:pt idx="307">
                  <c:v>-10.980888010015985</c:v>
                </c:pt>
                <c:pt idx="308">
                  <c:v>-15.020454749837448</c:v>
                </c:pt>
                <c:pt idx="309">
                  <c:v>-14.557148672449019</c:v>
                </c:pt>
                <c:pt idx="310">
                  <c:v>-12.75714627546445</c:v>
                </c:pt>
                <c:pt idx="311">
                  <c:v>-12.304501110002784</c:v>
                </c:pt>
                <c:pt idx="312">
                  <c:v>-11.507404010663917</c:v>
                </c:pt>
                <c:pt idx="313">
                  <c:v>-11.605235948372776</c:v>
                </c:pt>
                <c:pt idx="314">
                  <c:v>-10.384344024293705</c:v>
                </c:pt>
                <c:pt idx="315">
                  <c:v>-10.346700334291821</c:v>
                </c:pt>
                <c:pt idx="316">
                  <c:v>-10.018469004784155</c:v>
                </c:pt>
                <c:pt idx="317">
                  <c:v>-9.8199216276050798</c:v>
                </c:pt>
                <c:pt idx="318">
                  <c:v>-11.214859755523486</c:v>
                </c:pt>
                <c:pt idx="319">
                  <c:v>-11.676929057254148</c:v>
                </c:pt>
                <c:pt idx="320">
                  <c:v>-8.7392565242759463</c:v>
                </c:pt>
                <c:pt idx="321">
                  <c:v>-10.149452880091326</c:v>
                </c:pt>
                <c:pt idx="322">
                  <c:v>-8.5897751729844174</c:v>
                </c:pt>
                <c:pt idx="323">
                  <c:v>-3.8698588740949402</c:v>
                </c:pt>
                <c:pt idx="324">
                  <c:v>-6.5193336701506297</c:v>
                </c:pt>
                <c:pt idx="325">
                  <c:v>-6.3117602384664178</c:v>
                </c:pt>
                <c:pt idx="326">
                  <c:v>-8.3434076433800008</c:v>
                </c:pt>
                <c:pt idx="327">
                  <c:v>-8.8008763857330852</c:v>
                </c:pt>
                <c:pt idx="328">
                  <c:v>-8.3387557520797504</c:v>
                </c:pt>
                <c:pt idx="329">
                  <c:v>-5.1030345533111401</c:v>
                </c:pt>
                <c:pt idx="330">
                  <c:v>-6.7507173931383395</c:v>
                </c:pt>
                <c:pt idx="331">
                  <c:v>-6.9928183304611915</c:v>
                </c:pt>
                <c:pt idx="332">
                  <c:v>-7.1045335526017537</c:v>
                </c:pt>
                <c:pt idx="333">
                  <c:v>-7.1743816725560379</c:v>
                </c:pt>
                <c:pt idx="334">
                  <c:v>-7.0368220610038499</c:v>
                </c:pt>
                <c:pt idx="335">
                  <c:v>-6.9144668926196955</c:v>
                </c:pt>
                <c:pt idx="336">
                  <c:v>-6.6801179969906928</c:v>
                </c:pt>
                <c:pt idx="337">
                  <c:v>-6.243157171749429</c:v>
                </c:pt>
                <c:pt idx="338">
                  <c:v>-6.3743051667936275</c:v>
                </c:pt>
                <c:pt idx="339">
                  <c:v>-6.0803119861828661</c:v>
                </c:pt>
                <c:pt idx="340">
                  <c:v>-6.1529835822555929</c:v>
                </c:pt>
                <c:pt idx="341">
                  <c:v>-5.9339346042658763</c:v>
                </c:pt>
                <c:pt idx="342">
                  <c:v>-5.5159266482301597</c:v>
                </c:pt>
                <c:pt idx="343">
                  <c:v>-6.4065285388048725</c:v>
                </c:pt>
                <c:pt idx="344">
                  <c:v>-6.7769024654135679</c:v>
                </c:pt>
                <c:pt idx="345">
                  <c:v>-7.0003042377024984</c:v>
                </c:pt>
                <c:pt idx="346">
                  <c:v>-6.5774141019397865</c:v>
                </c:pt>
                <c:pt idx="347">
                  <c:v>-6.5416753890262074</c:v>
                </c:pt>
                <c:pt idx="348">
                  <c:v>-5.7765183902541644</c:v>
                </c:pt>
                <c:pt idx="349">
                  <c:v>-6.6760224183255934</c:v>
                </c:pt>
                <c:pt idx="350">
                  <c:v>-7.9220504699594709</c:v>
                </c:pt>
                <c:pt idx="351">
                  <c:v>-9.1413686314831057</c:v>
                </c:pt>
                <c:pt idx="352">
                  <c:v>-10.380811120771426</c:v>
                </c:pt>
                <c:pt idx="353">
                  <c:v>-10.833977451935358</c:v>
                </c:pt>
                <c:pt idx="354">
                  <c:v>-11.47586825426094</c:v>
                </c:pt>
                <c:pt idx="355">
                  <c:v>-11.814330556693253</c:v>
                </c:pt>
                <c:pt idx="356">
                  <c:v>-11.281632017824142</c:v>
                </c:pt>
                <c:pt idx="357">
                  <c:v>-12.750385538690569</c:v>
                </c:pt>
                <c:pt idx="358">
                  <c:v>-13.368374012059997</c:v>
                </c:pt>
                <c:pt idx="359">
                  <c:v>-12.590612100488569</c:v>
                </c:pt>
                <c:pt idx="360">
                  <c:v>-12.954530385166768</c:v>
                </c:pt>
                <c:pt idx="361">
                  <c:v>-13.19588857464503</c:v>
                </c:pt>
                <c:pt idx="362">
                  <c:v>-12.899226065287236</c:v>
                </c:pt>
                <c:pt idx="363">
                  <c:v>-12.484537039043332</c:v>
                </c:pt>
                <c:pt idx="364">
                  <c:v>-11.829868445827991</c:v>
                </c:pt>
                <c:pt idx="365">
                  <c:v>-12.061567209050214</c:v>
                </c:pt>
                <c:pt idx="366">
                  <c:v>-11.769469413253606</c:v>
                </c:pt>
                <c:pt idx="367">
                  <c:v>-11.842434915837387</c:v>
                </c:pt>
                <c:pt idx="368">
                  <c:v>-11.339315689408817</c:v>
                </c:pt>
                <c:pt idx="369">
                  <c:v>-11.023398952837388</c:v>
                </c:pt>
                <c:pt idx="370">
                  <c:v>-11.772700345809378</c:v>
                </c:pt>
                <c:pt idx="371">
                  <c:v>-12.124055132088449</c:v>
                </c:pt>
                <c:pt idx="372">
                  <c:v>-11.229526381269658</c:v>
                </c:pt>
                <c:pt idx="373">
                  <c:v>-11.625837334547114</c:v>
                </c:pt>
                <c:pt idx="374">
                  <c:v>-10.402168688169828</c:v>
                </c:pt>
                <c:pt idx="375">
                  <c:v>-11.084515514952304</c:v>
                </c:pt>
                <c:pt idx="376">
                  <c:v>-11.209029791378297</c:v>
                </c:pt>
                <c:pt idx="377">
                  <c:v>-11.691242360269825</c:v>
                </c:pt>
                <c:pt idx="378">
                  <c:v>-11.956122341743511</c:v>
                </c:pt>
                <c:pt idx="379">
                  <c:v>-11.909674942433165</c:v>
                </c:pt>
                <c:pt idx="380">
                  <c:v>-12.33900216337536</c:v>
                </c:pt>
                <c:pt idx="381">
                  <c:v>-12.06754976970546</c:v>
                </c:pt>
                <c:pt idx="382">
                  <c:v>-11.669762629848318</c:v>
                </c:pt>
                <c:pt idx="383">
                  <c:v>-11.309620941830776</c:v>
                </c:pt>
                <c:pt idx="384">
                  <c:v>-12.379436884320707</c:v>
                </c:pt>
                <c:pt idx="385">
                  <c:v>-13.098933842316303</c:v>
                </c:pt>
                <c:pt idx="386">
                  <c:v>-11.819372303676301</c:v>
                </c:pt>
                <c:pt idx="387">
                  <c:v>-12.645852768581962</c:v>
                </c:pt>
                <c:pt idx="388">
                  <c:v>-12.638108132367973</c:v>
                </c:pt>
                <c:pt idx="389">
                  <c:v>-12.925717772644703</c:v>
                </c:pt>
                <c:pt idx="390">
                  <c:v>-13.541860374178448</c:v>
                </c:pt>
                <c:pt idx="391">
                  <c:v>-12.587026431133333</c:v>
                </c:pt>
                <c:pt idx="392">
                  <c:v>-11.739939460043779</c:v>
                </c:pt>
                <c:pt idx="393">
                  <c:v>-9.5680033225511174</c:v>
                </c:pt>
                <c:pt idx="394">
                  <c:v>-6.1889572431993907</c:v>
                </c:pt>
                <c:pt idx="395">
                  <c:v>-8.5303960238754435</c:v>
                </c:pt>
                <c:pt idx="396">
                  <c:v>-9.8395162352048597</c:v>
                </c:pt>
                <c:pt idx="397">
                  <c:v>-10.041553352375191</c:v>
                </c:pt>
                <c:pt idx="398">
                  <c:v>-9.8708622253216198</c:v>
                </c:pt>
                <c:pt idx="399">
                  <c:v>-9.2137049855275013</c:v>
                </c:pt>
                <c:pt idx="400">
                  <c:v>-10.152944750643782</c:v>
                </c:pt>
                <c:pt idx="401">
                  <c:v>-9.7041727093780867</c:v>
                </c:pt>
                <c:pt idx="402">
                  <c:v>-9.5973226184355553</c:v>
                </c:pt>
                <c:pt idx="403">
                  <c:v>-9.4167031420973224</c:v>
                </c:pt>
                <c:pt idx="404">
                  <c:v>-8.7294622281963292</c:v>
                </c:pt>
                <c:pt idx="405">
                  <c:v>-8.569009721196327</c:v>
                </c:pt>
                <c:pt idx="406">
                  <c:v>-9.0602856595518819</c:v>
                </c:pt>
                <c:pt idx="407">
                  <c:v>-8.2977251145783377</c:v>
                </c:pt>
                <c:pt idx="408">
                  <c:v>-8.2334966376941292</c:v>
                </c:pt>
                <c:pt idx="409">
                  <c:v>-7.7538600736097933</c:v>
                </c:pt>
                <c:pt idx="410">
                  <c:v>-8.3936338558706627</c:v>
                </c:pt>
                <c:pt idx="411">
                  <c:v>-8.2954166764420929</c:v>
                </c:pt>
                <c:pt idx="412">
                  <c:v>-8.5194355122948533</c:v>
                </c:pt>
                <c:pt idx="413">
                  <c:v>-8.2979054584377092</c:v>
                </c:pt>
                <c:pt idx="414">
                  <c:v>-7.9342396272874751</c:v>
                </c:pt>
                <c:pt idx="415">
                  <c:v>-8.6776534702354287</c:v>
                </c:pt>
                <c:pt idx="416">
                  <c:v>-8.0321170357943412</c:v>
                </c:pt>
                <c:pt idx="417">
                  <c:v>-7.8982560822177001</c:v>
                </c:pt>
                <c:pt idx="418">
                  <c:v>-7.650333796397188</c:v>
                </c:pt>
                <c:pt idx="419">
                  <c:v>-8.0219134743971878</c:v>
                </c:pt>
                <c:pt idx="420">
                  <c:v>-7.0408644088170771</c:v>
                </c:pt>
                <c:pt idx="421">
                  <c:v>-7.7353243498170769</c:v>
                </c:pt>
                <c:pt idx="422">
                  <c:v>-8.1492306268170775</c:v>
                </c:pt>
                <c:pt idx="423">
                  <c:v>-7.8102289502036584</c:v>
                </c:pt>
                <c:pt idx="424">
                  <c:v>-7.2168093526777959</c:v>
                </c:pt>
                <c:pt idx="425">
                  <c:v>-8.3803327593464356</c:v>
                </c:pt>
                <c:pt idx="426">
                  <c:v>-8.1780553541290448</c:v>
                </c:pt>
                <c:pt idx="427">
                  <c:v>-8.3106720148699793</c:v>
                </c:pt>
                <c:pt idx="428">
                  <c:v>-7.6609465773240331</c:v>
                </c:pt>
                <c:pt idx="429">
                  <c:v>-7.0166011412584579</c:v>
                </c:pt>
                <c:pt idx="430">
                  <c:v>-7.4124343438295019</c:v>
                </c:pt>
                <c:pt idx="431">
                  <c:v>-9.1213772488800071</c:v>
                </c:pt>
                <c:pt idx="432">
                  <c:v>-8.9335066122889923</c:v>
                </c:pt>
                <c:pt idx="433">
                  <c:v>-9.6231815436435131</c:v>
                </c:pt>
                <c:pt idx="434">
                  <c:v>-9.5120499388788051</c:v>
                </c:pt>
                <c:pt idx="435">
                  <c:v>-9.6114218882062357</c:v>
                </c:pt>
                <c:pt idx="436">
                  <c:v>-8.4579969528520049</c:v>
                </c:pt>
                <c:pt idx="437">
                  <c:v>-9.2528466900974049</c:v>
                </c:pt>
                <c:pt idx="438">
                  <c:v>-10.623717324213105</c:v>
                </c:pt>
                <c:pt idx="439">
                  <c:v>-10.741410845683109</c:v>
                </c:pt>
                <c:pt idx="440">
                  <c:v>-10.731455151366871</c:v>
                </c:pt>
                <c:pt idx="441">
                  <c:v>-10.908477731949693</c:v>
                </c:pt>
                <c:pt idx="442">
                  <c:v>-10.50162232220244</c:v>
                </c:pt>
                <c:pt idx="443">
                  <c:v>-10.101367272841445</c:v>
                </c:pt>
                <c:pt idx="444">
                  <c:v>-10.48610373375179</c:v>
                </c:pt>
                <c:pt idx="445">
                  <c:v>-10.231567754333607</c:v>
                </c:pt>
                <c:pt idx="446">
                  <c:v>-10.480460609374932</c:v>
                </c:pt>
                <c:pt idx="447">
                  <c:v>-9.9630658525264462</c:v>
                </c:pt>
                <c:pt idx="448">
                  <c:v>-10.152850933723027</c:v>
                </c:pt>
                <c:pt idx="449">
                  <c:v>-10.278214825949441</c:v>
                </c:pt>
                <c:pt idx="450">
                  <c:v>-10.328680461359079</c:v>
                </c:pt>
                <c:pt idx="451">
                  <c:v>-10.258053539244576</c:v>
                </c:pt>
                <c:pt idx="452">
                  <c:v>-10.096290248762434</c:v>
                </c:pt>
                <c:pt idx="453">
                  <c:v>-9.174358894555537</c:v>
                </c:pt>
                <c:pt idx="454">
                  <c:v>-9.8118051654156773</c:v>
                </c:pt>
                <c:pt idx="455">
                  <c:v>-9.8966475501712328</c:v>
                </c:pt>
                <c:pt idx="456">
                  <c:v>-9.7485799551712322</c:v>
                </c:pt>
                <c:pt idx="457">
                  <c:v>-9.6472935047426613</c:v>
                </c:pt>
                <c:pt idx="458">
                  <c:v>-9.531012167012932</c:v>
                </c:pt>
                <c:pt idx="459">
                  <c:v>-9.4660243784596325</c:v>
                </c:pt>
                <c:pt idx="460">
                  <c:v>-9.4448978367205019</c:v>
                </c:pt>
                <c:pt idx="461">
                  <c:v>-9.3426875054477758</c:v>
                </c:pt>
                <c:pt idx="462">
                  <c:v>-9.2994340421214599</c:v>
                </c:pt>
                <c:pt idx="463">
                  <c:v>-9.3165030971802825</c:v>
                </c:pt>
                <c:pt idx="464">
                  <c:v>-9.2442393939075576</c:v>
                </c:pt>
                <c:pt idx="465">
                  <c:v>-9.1360816064302828</c:v>
                </c:pt>
                <c:pt idx="466">
                  <c:v>-9.1227659627159969</c:v>
                </c:pt>
                <c:pt idx="467">
                  <c:v>-8.9619901865034972</c:v>
                </c:pt>
                <c:pt idx="468">
                  <c:v>-9.0468781253662414</c:v>
                </c:pt>
                <c:pt idx="469">
                  <c:v>-8.6198691141305286</c:v>
                </c:pt>
                <c:pt idx="470">
                  <c:v>-8.2421717793578004</c:v>
                </c:pt>
                <c:pt idx="471">
                  <c:v>-8.5450160705231575</c:v>
                </c:pt>
                <c:pt idx="472">
                  <c:v>-8.5279837563291281</c:v>
                </c:pt>
                <c:pt idx="473">
                  <c:v>-8.4211560593148409</c:v>
                </c:pt>
                <c:pt idx="474">
                  <c:v>-8.4774844428148413</c:v>
                </c:pt>
                <c:pt idx="475">
                  <c:v>-8.3338348748059907</c:v>
                </c:pt>
                <c:pt idx="476">
                  <c:v>-8.4671593892726573</c:v>
                </c:pt>
                <c:pt idx="477">
                  <c:v>-8.5652130338504353</c:v>
                </c:pt>
                <c:pt idx="478">
                  <c:v>-8.672216261628213</c:v>
                </c:pt>
                <c:pt idx="479">
                  <c:v>-8.3954137240789901</c:v>
                </c:pt>
                <c:pt idx="480">
                  <c:v>-8.3488055599361335</c:v>
                </c:pt>
                <c:pt idx="481">
                  <c:v>-8.1925034544961335</c:v>
                </c:pt>
                <c:pt idx="482">
                  <c:v>-8.1956446369683551</c:v>
                </c:pt>
                <c:pt idx="483">
                  <c:v>-8.2850435800209876</c:v>
                </c:pt>
                <c:pt idx="484">
                  <c:v>-8.1671284210994166</c:v>
                </c:pt>
                <c:pt idx="485">
                  <c:v>-7.9724638512532628</c:v>
                </c:pt>
                <c:pt idx="486">
                  <c:v>-7.857341863432751</c:v>
                </c:pt>
                <c:pt idx="487">
                  <c:v>-7.2832653829870138</c:v>
                </c:pt>
                <c:pt idx="488">
                  <c:v>-7.6423966501805625</c:v>
                </c:pt>
                <c:pt idx="489">
                  <c:v>-7.6587955134135726</c:v>
                </c:pt>
                <c:pt idx="490">
                  <c:v>-7.9958085903918326</c:v>
                </c:pt>
                <c:pt idx="491">
                  <c:v>-8.6300357122506917</c:v>
                </c:pt>
                <c:pt idx="492">
                  <c:v>-8.2394362195306119</c:v>
                </c:pt>
                <c:pt idx="493">
                  <c:v>-8.2738632416171907</c:v>
                </c:pt>
                <c:pt idx="494">
                  <c:v>-7.786692836496254</c:v>
                </c:pt>
                <c:pt idx="495">
                  <c:v>-7.576320870601517</c:v>
                </c:pt>
                <c:pt idx="496">
                  <c:v>-7.6521057794760567</c:v>
                </c:pt>
                <c:pt idx="497">
                  <c:v>-7.8437537340691588</c:v>
                </c:pt>
                <c:pt idx="498">
                  <c:v>-7.3531985537631792</c:v>
                </c:pt>
                <c:pt idx="499">
                  <c:v>-6.7559396342111162</c:v>
                </c:pt>
                <c:pt idx="500">
                  <c:v>-5.7685192589713186</c:v>
                </c:pt>
                <c:pt idx="501">
                  <c:v>-5.6513420358916102</c:v>
                </c:pt>
                <c:pt idx="502">
                  <c:v>-5.6055984840302973</c:v>
                </c:pt>
                <c:pt idx="503">
                  <c:v>-5.6349259918918353</c:v>
                </c:pt>
                <c:pt idx="504">
                  <c:v>-5.5124446759598236</c:v>
                </c:pt>
                <c:pt idx="505">
                  <c:v>-5.5728878327936338</c:v>
                </c:pt>
                <c:pt idx="506">
                  <c:v>-5.7608365313043635</c:v>
                </c:pt>
                <c:pt idx="507">
                  <c:v>-6.1294788398076907</c:v>
                </c:pt>
                <c:pt idx="508">
                  <c:v>-6.3335140417817177</c:v>
                </c:pt>
                <c:pt idx="509">
                  <c:v>-7.2315086351613775</c:v>
                </c:pt>
                <c:pt idx="510">
                  <c:v>-6.9070601828307536</c:v>
                </c:pt>
                <c:pt idx="511">
                  <c:v>-7.1068911008904232</c:v>
                </c:pt>
                <c:pt idx="512">
                  <c:v>-5.6802608056866308</c:v>
                </c:pt>
                <c:pt idx="513">
                  <c:v>-5.9374299607474992</c:v>
                </c:pt>
                <c:pt idx="514">
                  <c:v>-5.2614172306563001</c:v>
                </c:pt>
                <c:pt idx="515">
                  <c:v>-5.502417429099598</c:v>
                </c:pt>
                <c:pt idx="516">
                  <c:v>-5.3112455722359613</c:v>
                </c:pt>
                <c:pt idx="517">
                  <c:v>-4.9378770087596182</c:v>
                </c:pt>
                <c:pt idx="518">
                  <c:v>-5.5503572914519275</c:v>
                </c:pt>
                <c:pt idx="519">
                  <c:v>-5.6851454196209419</c:v>
                </c:pt>
                <c:pt idx="520">
                  <c:v>-5.6418911923665247</c:v>
                </c:pt>
                <c:pt idx="521">
                  <c:v>-5.6594415007020089</c:v>
                </c:pt>
                <c:pt idx="522">
                  <c:v>-5.7988613300935423</c:v>
                </c:pt>
                <c:pt idx="523">
                  <c:v>-5.4302970774182189</c:v>
                </c:pt>
                <c:pt idx="524">
                  <c:v>-6.0257366251682178</c:v>
                </c:pt>
                <c:pt idx="525">
                  <c:v>-5.1560594669308903</c:v>
                </c:pt>
                <c:pt idx="526">
                  <c:v>-4.9257338865946458</c:v>
                </c:pt>
                <c:pt idx="527">
                  <c:v>-5.8262331181358649</c:v>
                </c:pt>
                <c:pt idx="528">
                  <c:v>-4.7585211874449103</c:v>
                </c:pt>
                <c:pt idx="529">
                  <c:v>-3.1796844517287979</c:v>
                </c:pt>
                <c:pt idx="530">
                  <c:v>-3.7590211613875852</c:v>
                </c:pt>
                <c:pt idx="531">
                  <c:v>-1.1022747240853701</c:v>
                </c:pt>
                <c:pt idx="532">
                  <c:v>-2.0830142264859401</c:v>
                </c:pt>
                <c:pt idx="533">
                  <c:v>-1.601102161946117</c:v>
                </c:pt>
                <c:pt idx="534">
                  <c:v>-1.0612663225585568</c:v>
                </c:pt>
                <c:pt idx="535">
                  <c:v>-1.5986782333271914</c:v>
                </c:pt>
                <c:pt idx="536">
                  <c:v>-3.2420053961202169</c:v>
                </c:pt>
                <c:pt idx="537">
                  <c:v>-3.7577151417303249</c:v>
                </c:pt>
                <c:pt idx="538">
                  <c:v>-4.2878981239573513</c:v>
                </c:pt>
                <c:pt idx="539">
                  <c:v>-3.8136358392399603</c:v>
                </c:pt>
                <c:pt idx="540">
                  <c:v>-4.7107516129812996</c:v>
                </c:pt>
                <c:pt idx="541">
                  <c:v>-4.7619636929248035</c:v>
                </c:pt>
                <c:pt idx="542">
                  <c:v>-4.6668221679248019</c:v>
                </c:pt>
                <c:pt idx="543">
                  <c:v>-4.9088902690128844</c:v>
                </c:pt>
                <c:pt idx="544">
                  <c:v>-4.856168060155742</c:v>
                </c:pt>
                <c:pt idx="545">
                  <c:v>-4.7083709022614322</c:v>
                </c:pt>
                <c:pt idx="546">
                  <c:v>-4.5677139175114325</c:v>
                </c:pt>
                <c:pt idx="547">
                  <c:v>-4.7598162872168608</c:v>
                </c:pt>
                <c:pt idx="548">
                  <c:v>-4.4132754737063715</c:v>
                </c:pt>
                <c:pt idx="549">
                  <c:v>-5.2763809401614807</c:v>
                </c:pt>
                <c:pt idx="550">
                  <c:v>-4.3841082081377332</c:v>
                </c:pt>
                <c:pt idx="551">
                  <c:v>-3.3030249861559993</c:v>
                </c:pt>
                <c:pt idx="552">
                  <c:v>-4.1094938959985639</c:v>
                </c:pt>
                <c:pt idx="553">
                  <c:v>-4.2114117297044462</c:v>
                </c:pt>
                <c:pt idx="554">
                  <c:v>-4.0176752102637696</c:v>
                </c:pt>
                <c:pt idx="555">
                  <c:v>-3.7524848702754423</c:v>
                </c:pt>
                <c:pt idx="556">
                  <c:v>-3.4639517393740347</c:v>
                </c:pt>
                <c:pt idx="557">
                  <c:v>-2.9292184936803403</c:v>
                </c:pt>
                <c:pt idx="558">
                  <c:v>-2.7718371359128979</c:v>
                </c:pt>
                <c:pt idx="559">
                  <c:v>-1.3262466211505186</c:v>
                </c:pt>
                <c:pt idx="560">
                  <c:v>-2.3489063381859165</c:v>
                </c:pt>
                <c:pt idx="561">
                  <c:v>-1.5607508654351057</c:v>
                </c:pt>
                <c:pt idx="562">
                  <c:v>-1.3698463922070339</c:v>
                </c:pt>
                <c:pt idx="563">
                  <c:v>-1.2613816760959256</c:v>
                </c:pt>
                <c:pt idx="564">
                  <c:v>-1.2017257157272512</c:v>
                </c:pt>
                <c:pt idx="565">
                  <c:v>0.10390643094216882</c:v>
                </c:pt>
                <c:pt idx="566">
                  <c:v>1.7236779009929015</c:v>
                </c:pt>
                <c:pt idx="567">
                  <c:v>-4.5561767909743107</c:v>
                </c:pt>
                <c:pt idx="568">
                  <c:v>-9.2696454361944554</c:v>
                </c:pt>
                <c:pt idx="569">
                  <c:v>-9.5344384264104551</c:v>
                </c:pt>
                <c:pt idx="570">
                  <c:v>-9.4947885724104566</c:v>
                </c:pt>
                <c:pt idx="571">
                  <c:v>-9.7152623840771231</c:v>
                </c:pt>
                <c:pt idx="572">
                  <c:v>-9.7429271084300613</c:v>
                </c:pt>
                <c:pt idx="573">
                  <c:v>-9.7162282984300621</c:v>
                </c:pt>
                <c:pt idx="574">
                  <c:v>-9.7903066216653567</c:v>
                </c:pt>
                <c:pt idx="575">
                  <c:v>-9.7011574403550114</c:v>
                </c:pt>
                <c:pt idx="576">
                  <c:v>-9.7878606873550105</c:v>
                </c:pt>
                <c:pt idx="577">
                  <c:v>-9.9416577097330592</c:v>
                </c:pt>
                <c:pt idx="578">
                  <c:v>-9.9970239451555933</c:v>
                </c:pt>
                <c:pt idx="579">
                  <c:v>-10.01641607554021</c:v>
                </c:pt>
                <c:pt idx="580">
                  <c:v>-9.8863303285040658</c:v>
                </c:pt>
                <c:pt idx="581">
                  <c:v>-9.8238545684294394</c:v>
                </c:pt>
                <c:pt idx="582">
                  <c:v>-10.013571079576979</c:v>
                </c:pt>
                <c:pt idx="583">
                  <c:v>-9.9077838031769794</c:v>
                </c:pt>
                <c:pt idx="584">
                  <c:v>-9.8792529622169791</c:v>
                </c:pt>
                <c:pt idx="585">
                  <c:v>-9.8299383812451477</c:v>
                </c:pt>
                <c:pt idx="586">
                  <c:v>-9.7696034625251471</c:v>
                </c:pt>
                <c:pt idx="587">
                  <c:v>-9.6682391770468872</c:v>
                </c:pt>
                <c:pt idx="588">
                  <c:v>-9.6385915956718851</c:v>
                </c:pt>
                <c:pt idx="589">
                  <c:v>-10.10082964114557</c:v>
                </c:pt>
                <c:pt idx="590">
                  <c:v>-9.7057673755455696</c:v>
                </c:pt>
                <c:pt idx="591">
                  <c:v>-9.8378766294655691</c:v>
                </c:pt>
                <c:pt idx="592">
                  <c:v>-10.10668613536485</c:v>
                </c:pt>
                <c:pt idx="593">
                  <c:v>-9.9776734428463296</c:v>
                </c:pt>
                <c:pt idx="594">
                  <c:v>-10.050217971171909</c:v>
                </c:pt>
                <c:pt idx="595">
                  <c:v>-10.141782117526075</c:v>
                </c:pt>
                <c:pt idx="596">
                  <c:v>-9.5822888824317367</c:v>
                </c:pt>
                <c:pt idx="597">
                  <c:v>-9.7344135461998498</c:v>
                </c:pt>
                <c:pt idx="598">
                  <c:v>-9.8198681843536981</c:v>
                </c:pt>
                <c:pt idx="599">
                  <c:v>-9.204805013610839</c:v>
                </c:pt>
                <c:pt idx="600">
                  <c:v>-9.7169682429985951</c:v>
                </c:pt>
                <c:pt idx="601">
                  <c:v>-9.8062321515985946</c:v>
                </c:pt>
                <c:pt idx="602">
                  <c:v>-9.7142877906895038</c:v>
                </c:pt>
                <c:pt idx="603">
                  <c:v>-9.663261716066863</c:v>
                </c:pt>
                <c:pt idx="604">
                  <c:v>-9.8385983439693021</c:v>
                </c:pt>
                <c:pt idx="605">
                  <c:v>-9.8415738399794019</c:v>
                </c:pt>
                <c:pt idx="606">
                  <c:v>-10.028237529122261</c:v>
                </c:pt>
                <c:pt idx="607">
                  <c:v>-9.8144427254393332</c:v>
                </c:pt>
                <c:pt idx="608">
                  <c:v>-10.009775684422941</c:v>
                </c:pt>
                <c:pt idx="609">
                  <c:v>-10.009775684422941</c:v>
                </c:pt>
                <c:pt idx="610">
                  <c:v>-9.9831381321229404</c:v>
                </c:pt>
                <c:pt idx="611">
                  <c:v>-9.9198073034829388</c:v>
                </c:pt>
                <c:pt idx="612">
                  <c:v>-9.7439936007556689</c:v>
                </c:pt>
                <c:pt idx="613">
                  <c:v>-9.7198633950751958</c:v>
                </c:pt>
                <c:pt idx="614">
                  <c:v>-9.534552671753767</c:v>
                </c:pt>
                <c:pt idx="615">
                  <c:v>-9.4501256869261834</c:v>
                </c:pt>
                <c:pt idx="616">
                  <c:v>-9.6605021369755661</c:v>
                </c:pt>
                <c:pt idx="617">
                  <c:v>-9.4269678994755672</c:v>
                </c:pt>
                <c:pt idx="618">
                  <c:v>-9.3531479965790147</c:v>
                </c:pt>
                <c:pt idx="619">
                  <c:v>-9.4039310348915155</c:v>
                </c:pt>
                <c:pt idx="620">
                  <c:v>-9.7282293381371314</c:v>
                </c:pt>
                <c:pt idx="621">
                  <c:v>-9.4409218364704621</c:v>
                </c:pt>
                <c:pt idx="622">
                  <c:v>-9.0362544253185622</c:v>
                </c:pt>
                <c:pt idx="623">
                  <c:v>-7.2867962220973217</c:v>
                </c:pt>
                <c:pt idx="624">
                  <c:v>-8.4188333645810971</c:v>
                </c:pt>
                <c:pt idx="625">
                  <c:v>-7.3745742383915527</c:v>
                </c:pt>
                <c:pt idx="626">
                  <c:v>-6.3637823874134503</c:v>
                </c:pt>
                <c:pt idx="627">
                  <c:v>-6.5129437691811276</c:v>
                </c:pt>
                <c:pt idx="628">
                  <c:v>-6.7532055121442269</c:v>
                </c:pt>
                <c:pt idx="629">
                  <c:v>-6.8115584030727989</c:v>
                </c:pt>
                <c:pt idx="630">
                  <c:v>-6.964187894122607</c:v>
                </c:pt>
                <c:pt idx="631">
                  <c:v>-7.0367596174630318</c:v>
                </c:pt>
                <c:pt idx="632">
                  <c:v>-7.0102832683353737</c:v>
                </c:pt>
                <c:pt idx="633">
                  <c:v>-7.0896316662319263</c:v>
                </c:pt>
                <c:pt idx="634">
                  <c:v>-7.042024981494337</c:v>
                </c:pt>
                <c:pt idx="635">
                  <c:v>-6.9919142622741548</c:v>
                </c:pt>
                <c:pt idx="636">
                  <c:v>-7.1150669923953664</c:v>
                </c:pt>
                <c:pt idx="637">
                  <c:v>-7.0038726422461135</c:v>
                </c:pt>
                <c:pt idx="638">
                  <c:v>-7.073953168752138</c:v>
                </c:pt>
                <c:pt idx="639">
                  <c:v>-6.9739552757141636</c:v>
                </c:pt>
                <c:pt idx="640">
                  <c:v>-7.0469088985249746</c:v>
                </c:pt>
                <c:pt idx="641">
                  <c:v>-6.9389139297249747</c:v>
                </c:pt>
                <c:pt idx="642">
                  <c:v>-6.6160004359067921</c:v>
                </c:pt>
                <c:pt idx="643">
                  <c:v>-6.926778509906792</c:v>
                </c:pt>
                <c:pt idx="644">
                  <c:v>-6.8811742209743603</c:v>
                </c:pt>
                <c:pt idx="645">
                  <c:v>-6.6204494668461544</c:v>
                </c:pt>
                <c:pt idx="646">
                  <c:v>-6.6537728935128229</c:v>
                </c:pt>
                <c:pt idx="647">
                  <c:v>-6.9966584191268577</c:v>
                </c:pt>
                <c:pt idx="648">
                  <c:v>-6.8184750241268572</c:v>
                </c:pt>
                <c:pt idx="649">
                  <c:v>-6.7320381752349672</c:v>
                </c:pt>
                <c:pt idx="650">
                  <c:v>-6.7104813924813431</c:v>
                </c:pt>
                <c:pt idx="651">
                  <c:v>-6.8110328153702326</c:v>
                </c:pt>
                <c:pt idx="652">
                  <c:v>-6.8633226140286192</c:v>
                </c:pt>
                <c:pt idx="653">
                  <c:v>-6.7398718567286178</c:v>
                </c:pt>
                <c:pt idx="654">
                  <c:v>-6.7990765042938364</c:v>
                </c:pt>
                <c:pt idx="655">
                  <c:v>-6.8073962646652655</c:v>
                </c:pt>
                <c:pt idx="656">
                  <c:v>-6.768929292819112</c:v>
                </c:pt>
                <c:pt idx="657">
                  <c:v>-6.7557090192927953</c:v>
                </c:pt>
                <c:pt idx="658">
                  <c:v>-6.652579139446642</c:v>
                </c:pt>
                <c:pt idx="659">
                  <c:v>-6.6363799035929834</c:v>
                </c:pt>
                <c:pt idx="660">
                  <c:v>-6.7558399115929832</c:v>
                </c:pt>
                <c:pt idx="661">
                  <c:v>-6.6123012709263165</c:v>
                </c:pt>
                <c:pt idx="662">
                  <c:v>-6.7651637372899538</c:v>
                </c:pt>
                <c:pt idx="663">
                  <c:v>-6.6524734862004014</c:v>
                </c:pt>
                <c:pt idx="664">
                  <c:v>-6.9363810945509163</c:v>
                </c:pt>
                <c:pt idx="665">
                  <c:v>-6.8346501681406604</c:v>
                </c:pt>
                <c:pt idx="666">
                  <c:v>-6.9897687457928352</c:v>
                </c:pt>
                <c:pt idx="667">
                  <c:v>-7.0645482109060422</c:v>
                </c:pt>
                <c:pt idx="668">
                  <c:v>-7.0839829019969507</c:v>
                </c:pt>
                <c:pt idx="669">
                  <c:v>-7.1232736051080616</c:v>
                </c:pt>
                <c:pt idx="670">
                  <c:v>-6.9713220917696006</c:v>
                </c:pt>
                <c:pt idx="671">
                  <c:v>-7.1184637917514193</c:v>
                </c:pt>
                <c:pt idx="672">
                  <c:v>-6.8030284368847536</c:v>
                </c:pt>
                <c:pt idx="673">
                  <c:v>-6.7682206403647536</c:v>
                </c:pt>
                <c:pt idx="674">
                  <c:v>-6.8050175243647528</c:v>
                </c:pt>
                <c:pt idx="675">
                  <c:v>-7.0306461076626254</c:v>
                </c:pt>
                <c:pt idx="676">
                  <c:v>-7.3279227034068111</c:v>
                </c:pt>
                <c:pt idx="677">
                  <c:v>-7.0929948796363194</c:v>
                </c:pt>
                <c:pt idx="678">
                  <c:v>-7.2833446986197918</c:v>
                </c:pt>
                <c:pt idx="679">
                  <c:v>-7.5348353911807671</c:v>
                </c:pt>
                <c:pt idx="680">
                  <c:v>-7.7674484787248836</c:v>
                </c:pt>
                <c:pt idx="681">
                  <c:v>-7.8321222140582165</c:v>
                </c:pt>
                <c:pt idx="682">
                  <c:v>-7.906194254400682</c:v>
                </c:pt>
                <c:pt idx="683">
                  <c:v>-7.782275852047742</c:v>
                </c:pt>
                <c:pt idx="684">
                  <c:v>-7.7381062582015874</c:v>
                </c:pt>
                <c:pt idx="685">
                  <c:v>-7.6179793053419367</c:v>
                </c:pt>
                <c:pt idx="686">
                  <c:v>-8.0613060808580652</c:v>
                </c:pt>
                <c:pt idx="687">
                  <c:v>-7.5850696344971649</c:v>
                </c:pt>
                <c:pt idx="688">
                  <c:v>-7.8967263978468143</c:v>
                </c:pt>
                <c:pt idx="689">
                  <c:v>-7.9384974174182421</c:v>
                </c:pt>
                <c:pt idx="690">
                  <c:v>-7.7906496698577046</c:v>
                </c:pt>
                <c:pt idx="691">
                  <c:v>-7.5227762980735635</c:v>
                </c:pt>
                <c:pt idx="692">
                  <c:v>-7.366604854183052</c:v>
                </c:pt>
                <c:pt idx="693">
                  <c:v>-7.1329924661830519</c:v>
                </c:pt>
                <c:pt idx="694">
                  <c:v>-7.344424189494311</c:v>
                </c:pt>
                <c:pt idx="695">
                  <c:v>-7.5548550400603469</c:v>
                </c:pt>
                <c:pt idx="696">
                  <c:v>-7.4758540333003456</c:v>
                </c:pt>
                <c:pt idx="697">
                  <c:v>-7.6765630420804509</c:v>
                </c:pt>
                <c:pt idx="698">
                  <c:v>-7.657925701110301</c:v>
                </c:pt>
                <c:pt idx="699">
                  <c:v>-7.3714893395718404</c:v>
                </c:pt>
                <c:pt idx="700">
                  <c:v>-7.3504096346991119</c:v>
                </c:pt>
                <c:pt idx="701">
                  <c:v>-7.3670452373940281</c:v>
                </c:pt>
                <c:pt idx="702">
                  <c:v>-7.0879715001984724</c:v>
                </c:pt>
                <c:pt idx="703">
                  <c:v>-6.5756035220708133</c:v>
                </c:pt>
                <c:pt idx="704">
                  <c:v>-6.3868153013435407</c:v>
                </c:pt>
                <c:pt idx="705">
                  <c:v>-6.3941760032382771</c:v>
                </c:pt>
                <c:pt idx="706">
                  <c:v>-6.5114167667382779</c:v>
                </c:pt>
                <c:pt idx="707">
                  <c:v>-6.4059731367382771</c:v>
                </c:pt>
                <c:pt idx="708">
                  <c:v>-6.1661620824015424</c:v>
                </c:pt>
                <c:pt idx="709">
                  <c:v>-4.4312340530682084</c:v>
                </c:pt>
                <c:pt idx="710">
                  <c:v>-2.9021724354298386</c:v>
                </c:pt>
                <c:pt idx="711">
                  <c:v>-2.9573030743579567</c:v>
                </c:pt>
                <c:pt idx="712">
                  <c:v>-2.8544574492379571</c:v>
                </c:pt>
                <c:pt idx="713">
                  <c:v>-2.6664698924812011</c:v>
                </c:pt>
                <c:pt idx="714">
                  <c:v>-2.7657178160598814</c:v>
                </c:pt>
                <c:pt idx="715">
                  <c:v>-2.7414127431893776</c:v>
                </c:pt>
                <c:pt idx="716">
                  <c:v>-2.8844930843404568</c:v>
                </c:pt>
                <c:pt idx="717">
                  <c:v>-3.0817680790071229</c:v>
                </c:pt>
                <c:pt idx="718">
                  <c:v>-2.9642741160174322</c:v>
                </c:pt>
                <c:pt idx="719">
                  <c:v>-2.8866443159226947</c:v>
                </c:pt>
                <c:pt idx="720">
                  <c:v>-2.777181746048087</c:v>
                </c:pt>
                <c:pt idx="721">
                  <c:v>-2.9963522733162571</c:v>
                </c:pt>
                <c:pt idx="722">
                  <c:v>-3.0750281425283785</c:v>
                </c:pt>
                <c:pt idx="723">
                  <c:v>-3.2084066024483784</c:v>
                </c:pt>
                <c:pt idx="724">
                  <c:v>-3.1960246308188962</c:v>
                </c:pt>
                <c:pt idx="725">
                  <c:v>-3.24117042794279</c:v>
                </c:pt>
                <c:pt idx="726">
                  <c:v>-3.2524945794722018</c:v>
                </c:pt>
                <c:pt idx="727">
                  <c:v>-3.2894625051564126</c:v>
                </c:pt>
                <c:pt idx="728">
                  <c:v>-3.5581079451564119</c:v>
                </c:pt>
                <c:pt idx="729">
                  <c:v>-3.4474474172152356</c:v>
                </c:pt>
                <c:pt idx="730">
                  <c:v>-3.3805803549930133</c:v>
                </c:pt>
                <c:pt idx="731">
                  <c:v>-3.4013571180330131</c:v>
                </c:pt>
                <c:pt idx="732">
                  <c:v>-3.5018752571943037</c:v>
                </c:pt>
                <c:pt idx="733">
                  <c:v>-3.5762110661943036</c:v>
                </c:pt>
                <c:pt idx="734">
                  <c:v>-3.6168530473322344</c:v>
                </c:pt>
                <c:pt idx="735">
                  <c:v>-3.5758846268503062</c:v>
                </c:pt>
                <c:pt idx="736">
                  <c:v>-3.6795452409382179</c:v>
                </c:pt>
                <c:pt idx="737">
                  <c:v>-4.0344662568271081</c:v>
                </c:pt>
                <c:pt idx="738">
                  <c:v>-4.0299147939898985</c:v>
                </c:pt>
                <c:pt idx="739">
                  <c:v>-4.0701202005162154</c:v>
                </c:pt>
                <c:pt idx="740">
                  <c:v>-3.9573768470474642</c:v>
                </c:pt>
                <c:pt idx="741">
                  <c:v>-3.8800200975313355</c:v>
                </c:pt>
                <c:pt idx="742">
                  <c:v>-3.9910427345313346</c:v>
                </c:pt>
                <c:pt idx="743">
                  <c:v>-3.8657841469858809</c:v>
                </c:pt>
                <c:pt idx="744">
                  <c:v>-3.8506959896885835</c:v>
                </c:pt>
                <c:pt idx="745">
                  <c:v>-3.9113281467203298</c:v>
                </c:pt>
                <c:pt idx="746">
                  <c:v>-3.9344895430003297</c:v>
                </c:pt>
                <c:pt idx="747">
                  <c:v>-3.9848832395003306</c:v>
                </c:pt>
                <c:pt idx="748">
                  <c:v>-3.8886789041157162</c:v>
                </c:pt>
                <c:pt idx="749">
                  <c:v>-3.9005636296541777</c:v>
                </c:pt>
                <c:pt idx="750">
                  <c:v>-3.7845181888763997</c:v>
                </c:pt>
                <c:pt idx="751">
                  <c:v>-3.5455959265906856</c:v>
                </c:pt>
                <c:pt idx="752">
                  <c:v>-2.7063743722803388</c:v>
                </c:pt>
                <c:pt idx="753">
                  <c:v>-2.0266510400803459</c:v>
                </c:pt>
                <c:pt idx="754">
                  <c:v>-0.75969944508034903</c:v>
                </c:pt>
                <c:pt idx="755">
                  <c:v>-0.75969944508034426</c:v>
                </c:pt>
                <c:pt idx="756">
                  <c:v>-1.1762029670803509</c:v>
                </c:pt>
                <c:pt idx="757">
                  <c:v>1.4809860211014689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79-48D7-A2D6-EAC60A1FC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1645567"/>
        <c:axId val="671643487"/>
      </c:lineChart>
      <c:dateAx>
        <c:axId val="67164556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43487"/>
        <c:crosses val="autoZero"/>
        <c:auto val="1"/>
        <c:lblOffset val="100"/>
        <c:baseTimeUnit val="days"/>
      </c:dateAx>
      <c:valAx>
        <c:axId val="671643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45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828727A-51DB-4DFD-A1C6-A88F89ECFCCD}">
  <sheetPr/>
  <sheetViews>
    <sheetView zoomScale="9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7228" cy="607736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35EAA74-4209-4235-B0D2-0B1AFA2BE46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0.27524999999999999</v>
      </c>
      <c r="D2" s="4">
        <f>MIN(D3:D1912)</f>
        <v>3.2599999999999999E-3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8</v>
      </c>
      <c r="M4" t="s">
        <v>8</v>
      </c>
      <c r="N4" t="s">
        <v>8</v>
      </c>
    </row>
    <row r="5" spans="1:20" x14ac:dyDescent="0.25">
      <c r="A5" s="5">
        <v>44588</v>
      </c>
      <c r="B5">
        <v>6.4460000000000003E-2</v>
      </c>
      <c r="C5">
        <v>7.3359999999999995E-2</v>
      </c>
      <c r="D5">
        <v>6.3E-2</v>
      </c>
      <c r="E5">
        <v>6.8959999999999994E-2</v>
      </c>
      <c r="F5">
        <v>51861397.700000003</v>
      </c>
      <c r="G5">
        <v>6.8959999999999994E-2</v>
      </c>
      <c r="L5" t="s">
        <v>8</v>
      </c>
      <c r="M5" t="s">
        <v>8</v>
      </c>
      <c r="N5" t="s">
        <v>8</v>
      </c>
      <c r="P5">
        <f t="shared" ref="P5" si="0">IF(C5=D5,0,((E5-D5)-(C5-E5))/(C5-D5))</f>
        <v>0.15057915057914989</v>
      </c>
      <c r="Q5">
        <f t="shared" ref="Q5" si="1">F5*P5</f>
        <v>7809245.2135134786</v>
      </c>
      <c r="R5">
        <f t="shared" ref="R5" si="2">R6+Q5</f>
        <v>-7237391632.7791395</v>
      </c>
      <c r="S5">
        <f t="shared" ref="S5" si="3">R5/100000</f>
        <v>-72373.91632779139</v>
      </c>
      <c r="T5">
        <f t="shared" ref="T5" si="4">S5/1000</f>
        <v>-72.373916327791392</v>
      </c>
    </row>
    <row r="6" spans="1:20" x14ac:dyDescent="0.25">
      <c r="A6" s="5">
        <v>44587</v>
      </c>
      <c r="B6">
        <v>5.6660000000000002E-2</v>
      </c>
      <c r="C6">
        <v>6.8220000000000003E-2</v>
      </c>
      <c r="D6">
        <v>5.611E-2</v>
      </c>
      <c r="E6">
        <v>6.4649999999999999E-2</v>
      </c>
      <c r="F6">
        <v>121418226.7</v>
      </c>
      <c r="G6">
        <v>6.4649999999999999E-2</v>
      </c>
      <c r="L6" t="s">
        <v>8</v>
      </c>
      <c r="M6" t="s">
        <v>8</v>
      </c>
      <c r="N6" t="s">
        <v>7</v>
      </c>
      <c r="P6">
        <f t="shared" ref="P6" si="5">IF(C6=D6,0,((E6-D6)-(C6-E6))/(C6-D6))</f>
        <v>0.41040462427745616</v>
      </c>
      <c r="Q6">
        <f t="shared" ref="Q6" si="6">F6*P6</f>
        <v>49830601.709248498</v>
      </c>
      <c r="R6">
        <f t="shared" ref="R6" si="7">R7+Q6</f>
        <v>-7245200877.9926529</v>
      </c>
      <c r="S6">
        <f t="shared" ref="S6" si="8">R6/100000</f>
        <v>-72452.008779926531</v>
      </c>
      <c r="T6">
        <f t="shared" ref="T6" si="9">S6/1000</f>
        <v>-72.45200877992653</v>
      </c>
    </row>
    <row r="7" spans="1:20" x14ac:dyDescent="0.25">
      <c r="A7" s="5">
        <v>44586</v>
      </c>
      <c r="B7">
        <v>5.57E-2</v>
      </c>
      <c r="C7">
        <v>5.7349999999999998E-2</v>
      </c>
      <c r="D7">
        <v>5.391E-2</v>
      </c>
      <c r="E7">
        <v>5.6649999999999999E-2</v>
      </c>
      <c r="F7">
        <v>30895778.899999999</v>
      </c>
      <c r="G7">
        <v>5.6649999999999999E-2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0.59302325581395376</v>
      </c>
      <c r="Q7">
        <f t="shared" ref="Q7" si="11">F7*P7</f>
        <v>18321915.394186053</v>
      </c>
      <c r="R7">
        <f t="shared" ref="R7" si="12">R8+Q7</f>
        <v>-7295031479.7019014</v>
      </c>
      <c r="S7">
        <f t="shared" ref="S7" si="13">R7/100000</f>
        <v>-72950.314797019018</v>
      </c>
      <c r="T7">
        <f t="shared" ref="T7" si="14">S7/1000</f>
        <v>-72.950314797019018</v>
      </c>
    </row>
    <row r="8" spans="1:20" x14ac:dyDescent="0.25">
      <c r="A8" s="5">
        <v>44585</v>
      </c>
      <c r="B8">
        <v>5.738E-2</v>
      </c>
      <c r="C8">
        <v>5.738E-2</v>
      </c>
      <c r="D8">
        <v>4.9209999999999997E-2</v>
      </c>
      <c r="E8">
        <v>5.5710000000000003E-2</v>
      </c>
      <c r="F8">
        <v>51357673.600000001</v>
      </c>
      <c r="G8">
        <v>5.5710000000000003E-2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0.59118727050183673</v>
      </c>
      <c r="Q8">
        <f t="shared" ref="Q8" si="16">F8*P8</f>
        <v>30362002.874908239</v>
      </c>
      <c r="R8">
        <f t="shared" ref="R8" si="17">R9+Q8</f>
        <v>-7313353395.0960875</v>
      </c>
      <c r="S8">
        <f t="shared" ref="S8" si="18">R8/100000</f>
        <v>-73133.533950960875</v>
      </c>
      <c r="T8">
        <f t="shared" ref="T8" si="19">S8/1000</f>
        <v>-73.133533950960881</v>
      </c>
    </row>
    <row r="9" spans="1:20" x14ac:dyDescent="0.25">
      <c r="A9" s="5">
        <v>44584</v>
      </c>
      <c r="B9">
        <v>5.4379999999999998E-2</v>
      </c>
      <c r="C9">
        <v>5.8999999999999997E-2</v>
      </c>
      <c r="D9">
        <v>5.2819999999999999E-2</v>
      </c>
      <c r="E9">
        <v>5.7439999999999998E-2</v>
      </c>
      <c r="F9">
        <v>59156949.5</v>
      </c>
      <c r="G9">
        <v>5.7439999999999998E-2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0.49514563106796133</v>
      </c>
      <c r="Q9">
        <f t="shared" ref="Q9" si="21">F9*P9</f>
        <v>29291305.092233021</v>
      </c>
      <c r="R9">
        <f t="shared" ref="R9" si="22">R10+Q9</f>
        <v>-7343715397.9709959</v>
      </c>
      <c r="S9">
        <f t="shared" ref="S9" si="23">R9/100000</f>
        <v>-73437.153979709954</v>
      </c>
      <c r="T9">
        <f t="shared" ref="T9" si="24">S9/1000</f>
        <v>-73.437153979709947</v>
      </c>
    </row>
    <row r="10" spans="1:20" x14ac:dyDescent="0.25">
      <c r="A10" s="5">
        <v>44583</v>
      </c>
      <c r="B10">
        <v>6.191E-2</v>
      </c>
      <c r="C10">
        <v>6.3210000000000002E-2</v>
      </c>
      <c r="D10">
        <v>4.965E-2</v>
      </c>
      <c r="E10">
        <v>5.4390000000000001E-2</v>
      </c>
      <c r="F10">
        <v>95696854.400000006</v>
      </c>
      <c r="G10">
        <v>5.4390000000000001E-2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-0.30088495575221236</v>
      </c>
      <c r="Q10">
        <f t="shared" ref="Q10" si="26">F10*P10</f>
        <v>-28793743.801769909</v>
      </c>
      <c r="R10">
        <f t="shared" ref="R10" si="27">R11+Q10</f>
        <v>-7373006703.0632286</v>
      </c>
      <c r="S10">
        <f t="shared" ref="S10" si="28">R10/100000</f>
        <v>-73730.067030632286</v>
      </c>
      <c r="T10">
        <f t="shared" ref="T10" si="29">S10/1000</f>
        <v>-73.730067030632284</v>
      </c>
    </row>
    <row r="11" spans="1:20" x14ac:dyDescent="0.25">
      <c r="A11" s="5">
        <v>44582</v>
      </c>
      <c r="B11">
        <v>7.3529999999999998E-2</v>
      </c>
      <c r="C11">
        <v>7.4679999999999996E-2</v>
      </c>
      <c r="D11">
        <v>6.053E-2</v>
      </c>
      <c r="E11">
        <v>6.1850000000000002E-2</v>
      </c>
      <c r="F11">
        <v>57320593.399999999</v>
      </c>
      <c r="G11">
        <v>6.1850000000000002E-2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-0.81342756183745557</v>
      </c>
      <c r="Q11">
        <f t="shared" ref="Q11" si="31">F11*P11</f>
        <v>-46626150.532438144</v>
      </c>
      <c r="R11">
        <f t="shared" ref="R11" si="32">R12+Q11</f>
        <v>-7344212959.2614584</v>
      </c>
      <c r="S11">
        <f t="shared" ref="S11" si="33">R11/100000</f>
        <v>-73442.129592614583</v>
      </c>
      <c r="T11">
        <f t="shared" ref="T11" si="34">S11/1000</f>
        <v>-73.442129592614577</v>
      </c>
    </row>
    <row r="12" spans="1:20" x14ac:dyDescent="0.25">
      <c r="A12" s="5">
        <v>44581</v>
      </c>
      <c r="B12">
        <v>7.7380000000000004E-2</v>
      </c>
      <c r="C12">
        <v>8.2449999999999996E-2</v>
      </c>
      <c r="D12">
        <v>7.2919999999999999E-2</v>
      </c>
      <c r="E12">
        <v>7.3669999999999999E-2</v>
      </c>
      <c r="F12">
        <v>37763780.799999997</v>
      </c>
      <c r="G12">
        <v>7.3669999999999999E-2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-0.84260230849947515</v>
      </c>
      <c r="Q12">
        <f t="shared" ref="Q12" si="36">F12*P12</f>
        <v>-31819848.879748154</v>
      </c>
      <c r="R12">
        <f t="shared" ref="R12" si="37">R13+Q12</f>
        <v>-7297586808.7290201</v>
      </c>
      <c r="S12">
        <f t="shared" ref="S12" si="38">R12/100000</f>
        <v>-72975.868087290204</v>
      </c>
      <c r="T12">
        <f t="shared" ref="T12" si="39">S12/1000</f>
        <v>-72.975868087290209</v>
      </c>
    </row>
    <row r="13" spans="1:20" x14ac:dyDescent="0.25">
      <c r="A13" s="5">
        <v>44580</v>
      </c>
      <c r="B13">
        <v>8.0949999999999994E-2</v>
      </c>
      <c r="C13">
        <v>8.0949999999999994E-2</v>
      </c>
      <c r="D13">
        <v>7.6069999999999999E-2</v>
      </c>
      <c r="E13">
        <v>7.7380000000000004E-2</v>
      </c>
      <c r="F13">
        <v>17559168.800000001</v>
      </c>
      <c r="G13">
        <v>7.7380000000000004E-2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-0.46311475409835784</v>
      </c>
      <c r="Q13">
        <f t="shared" ref="Q13" si="41">F13*P13</f>
        <v>-8131910.1409835573</v>
      </c>
      <c r="R13">
        <f t="shared" ref="R13" si="42">R14+Q13</f>
        <v>-7265766959.8492718</v>
      </c>
      <c r="S13">
        <f t="shared" ref="S13" si="43">R13/100000</f>
        <v>-72657.669598492721</v>
      </c>
      <c r="T13">
        <f t="shared" ref="T13" si="44">S13/1000</f>
        <v>-72.657669598492717</v>
      </c>
    </row>
    <row r="14" spans="1:20" x14ac:dyDescent="0.25">
      <c r="A14" s="5">
        <v>44579</v>
      </c>
      <c r="B14">
        <v>8.2379999999999995E-2</v>
      </c>
      <c r="C14">
        <v>8.3280000000000007E-2</v>
      </c>
      <c r="D14">
        <v>7.8520000000000006E-2</v>
      </c>
      <c r="E14">
        <v>8.0879999999999994E-2</v>
      </c>
      <c r="F14">
        <v>20530580.899999999</v>
      </c>
      <c r="G14">
        <v>8.0879999999999994E-2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-8.4033613445433034E-3</v>
      </c>
      <c r="Q14">
        <f t="shared" ref="Q14" si="46">F14*P14</f>
        <v>-172525.88991607906</v>
      </c>
      <c r="R14">
        <f t="shared" ref="R14" si="47">R15+Q14</f>
        <v>-7257635049.7082882</v>
      </c>
      <c r="S14">
        <f t="shared" ref="S14" si="48">R14/100000</f>
        <v>-72576.35049708288</v>
      </c>
      <c r="T14">
        <f t="shared" ref="T14" si="49">S14/1000</f>
        <v>-72.576350497082885</v>
      </c>
    </row>
    <row r="15" spans="1:20" x14ac:dyDescent="0.25">
      <c r="A15" s="5">
        <v>44578</v>
      </c>
      <c r="B15">
        <v>8.5709999999999995E-2</v>
      </c>
      <c r="C15">
        <v>8.616E-2</v>
      </c>
      <c r="D15">
        <v>8.1129999999999994E-2</v>
      </c>
      <c r="E15">
        <v>8.2430000000000003E-2</v>
      </c>
      <c r="F15">
        <v>18363376.100000001</v>
      </c>
      <c r="G15">
        <v>8.2430000000000003E-2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-0.4831013916500963</v>
      </c>
      <c r="Q15">
        <f t="shared" ref="Q15" si="51">F15*P15</f>
        <v>-8871372.5493041184</v>
      </c>
      <c r="R15">
        <f t="shared" ref="R15" si="52">R16+Q15</f>
        <v>-7257462523.8183718</v>
      </c>
      <c r="S15">
        <f t="shared" ref="S15" si="53">R15/100000</f>
        <v>-72574.625238183711</v>
      </c>
      <c r="T15">
        <f t="shared" ref="T15" si="54">S15/1000</f>
        <v>-72.574625238183714</v>
      </c>
    </row>
    <row r="16" spans="1:20" x14ac:dyDescent="0.25">
      <c r="A16" s="5">
        <v>44577</v>
      </c>
      <c r="B16">
        <v>8.6739999999999998E-2</v>
      </c>
      <c r="C16">
        <v>8.7520000000000001E-2</v>
      </c>
      <c r="D16">
        <v>8.4690000000000001E-2</v>
      </c>
      <c r="E16">
        <v>8.5709999999999995E-2</v>
      </c>
      <c r="F16">
        <v>22709743.699999999</v>
      </c>
      <c r="G16">
        <v>8.5709999999999995E-2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-0.27915194346290217</v>
      </c>
      <c r="Q16">
        <f t="shared" ref="Q16" si="56">F16*P16</f>
        <v>-6339469.0893993983</v>
      </c>
      <c r="R16">
        <f t="shared" ref="R16" si="57">R17+Q16</f>
        <v>-7248591151.2690678</v>
      </c>
      <c r="S16">
        <f t="shared" ref="S16" si="58">R16/100000</f>
        <v>-72485.911512690684</v>
      </c>
      <c r="T16">
        <f t="shared" ref="T16" si="59">S16/1000</f>
        <v>-72.485911512690677</v>
      </c>
    </row>
    <row r="17" spans="1:20" x14ac:dyDescent="0.25">
      <c r="A17" s="5">
        <v>44576</v>
      </c>
      <c r="B17">
        <v>8.6370000000000002E-2</v>
      </c>
      <c r="C17">
        <v>8.9109999999999995E-2</v>
      </c>
      <c r="D17">
        <v>8.4930000000000005E-2</v>
      </c>
      <c r="E17">
        <v>8.6730000000000002E-2</v>
      </c>
      <c r="F17">
        <v>38410036.600000001</v>
      </c>
      <c r="G17">
        <v>8.6730000000000002E-2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-0.13875598086124369</v>
      </c>
      <c r="Q17">
        <f t="shared" ref="Q17" si="61">F17*P17</f>
        <v>-5329622.3033492696</v>
      </c>
      <c r="R17">
        <f t="shared" ref="R17" si="62">R18+Q17</f>
        <v>-7242251682.1796684</v>
      </c>
      <c r="S17">
        <f t="shared" ref="S17" si="63">R17/100000</f>
        <v>-72422.516821796686</v>
      </c>
      <c r="T17">
        <f t="shared" ref="T17" si="64">S17/1000</f>
        <v>-72.422516821796691</v>
      </c>
    </row>
    <row r="18" spans="1:20" x14ac:dyDescent="0.25">
      <c r="A18" s="5">
        <v>44575</v>
      </c>
      <c r="B18">
        <v>8.2680000000000003E-2</v>
      </c>
      <c r="C18">
        <v>8.7650000000000006E-2</v>
      </c>
      <c r="D18">
        <v>8.1869999999999998E-2</v>
      </c>
      <c r="E18">
        <v>8.6309999999999998E-2</v>
      </c>
      <c r="F18">
        <v>30113845.5</v>
      </c>
      <c r="G18">
        <v>8.6309999999999998E-2</v>
      </c>
      <c r="L18" t="s">
        <v>8</v>
      </c>
      <c r="M18" t="s">
        <v>7</v>
      </c>
      <c r="N18" t="s">
        <v>7</v>
      </c>
      <c r="P18">
        <f t="shared" ref="P18" si="65">IF(C18=D18,0,((E18-D18)-(C18-E18))/(C18-D18))</f>
        <v>0.53633217993079374</v>
      </c>
      <c r="Q18">
        <f t="shared" ref="Q18" si="66">F18*P18</f>
        <v>16151024.403114123</v>
      </c>
      <c r="R18">
        <f t="shared" ref="R18" si="67">R19+Q18</f>
        <v>-7236922059.8763189</v>
      </c>
      <c r="S18">
        <f t="shared" ref="S18" si="68">R18/100000</f>
        <v>-72369.22059876319</v>
      </c>
      <c r="T18">
        <f t="shared" ref="T18" si="69">S18/1000</f>
        <v>-72.369220598763192</v>
      </c>
    </row>
    <row r="19" spans="1:20" x14ac:dyDescent="0.25">
      <c r="A19" s="5">
        <v>44574</v>
      </c>
      <c r="B19">
        <v>8.7330000000000005E-2</v>
      </c>
      <c r="C19">
        <v>8.8300000000000003E-2</v>
      </c>
      <c r="D19">
        <v>8.2350000000000007E-2</v>
      </c>
      <c r="E19">
        <v>8.2710000000000006E-2</v>
      </c>
      <c r="F19">
        <v>26710964.100000001</v>
      </c>
      <c r="G19">
        <v>8.2710000000000006E-2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-0.87899159663865567</v>
      </c>
      <c r="Q19">
        <f t="shared" ref="Q19" si="71">F19*P19</f>
        <v>-23478712.982016813</v>
      </c>
      <c r="R19">
        <f t="shared" ref="R19" si="72">R20+Q19</f>
        <v>-7253073084.2794333</v>
      </c>
      <c r="S19">
        <f t="shared" ref="S19" si="73">R19/100000</f>
        <v>-72530.730842794335</v>
      </c>
      <c r="T19">
        <f t="shared" ref="T19" si="74">S19/1000</f>
        <v>-72.530730842794341</v>
      </c>
    </row>
    <row r="20" spans="1:20" x14ac:dyDescent="0.25">
      <c r="A20" s="5">
        <v>44573</v>
      </c>
      <c r="B20">
        <v>8.2500000000000004E-2</v>
      </c>
      <c r="C20">
        <v>8.8679999999999995E-2</v>
      </c>
      <c r="D20">
        <v>8.201E-2</v>
      </c>
      <c r="E20">
        <v>8.7340000000000001E-2</v>
      </c>
      <c r="F20">
        <v>29543739.300000001</v>
      </c>
      <c r="G20">
        <v>8.7340000000000001E-2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0.59820089955022637</v>
      </c>
      <c r="Q20">
        <f t="shared" ref="Q20" si="76">F20*P20</f>
        <v>17673091.425337374</v>
      </c>
      <c r="R20">
        <f t="shared" ref="R20" si="77">R21+Q20</f>
        <v>-7229594371.2974167</v>
      </c>
      <c r="S20">
        <f t="shared" ref="S20" si="78">R20/100000</f>
        <v>-72295.943712974171</v>
      </c>
      <c r="T20">
        <f t="shared" ref="T20" si="79">S20/1000</f>
        <v>-72.295943712974164</v>
      </c>
    </row>
    <row r="21" spans="1:20" x14ac:dyDescent="0.25">
      <c r="A21" s="5">
        <v>44572</v>
      </c>
      <c r="B21">
        <v>7.9140000000000002E-2</v>
      </c>
      <c r="C21">
        <v>8.3949999999999997E-2</v>
      </c>
      <c r="D21">
        <v>7.8350000000000003E-2</v>
      </c>
      <c r="E21">
        <v>8.2470000000000002E-2</v>
      </c>
      <c r="F21">
        <v>33691180.799999997</v>
      </c>
      <c r="G21">
        <v>8.2470000000000002E-2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0.47142857142857258</v>
      </c>
      <c r="Q21">
        <f t="shared" ref="Q21" si="81">F21*P21</f>
        <v>15882985.234285751</v>
      </c>
      <c r="R21">
        <f t="shared" ref="R21" si="82">R22+Q21</f>
        <v>-7247267462.7227545</v>
      </c>
      <c r="S21">
        <f t="shared" ref="S21" si="83">R21/100000</f>
        <v>-72472.674627227549</v>
      </c>
      <c r="T21">
        <f t="shared" ref="T21" si="84">S21/1000</f>
        <v>-72.472674627227548</v>
      </c>
    </row>
    <row r="22" spans="1:20" x14ac:dyDescent="0.25">
      <c r="A22" s="5">
        <v>44571</v>
      </c>
      <c r="B22">
        <v>8.3239999999999995E-2</v>
      </c>
      <c r="C22">
        <v>9.1759999999999994E-2</v>
      </c>
      <c r="D22">
        <v>7.6689999999999994E-2</v>
      </c>
      <c r="E22">
        <v>7.9280000000000003E-2</v>
      </c>
      <c r="F22">
        <v>106922779.40000001</v>
      </c>
      <c r="G22">
        <v>7.9280000000000003E-2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-0.65627073656270618</v>
      </c>
      <c r="Q22">
        <f t="shared" ref="Q22" si="86">F22*P22</f>
        <v>-70170291.192169756</v>
      </c>
      <c r="R22">
        <f t="shared" ref="R22" si="87">R23+Q22</f>
        <v>-7263150447.9570398</v>
      </c>
      <c r="S22">
        <f t="shared" ref="S22" si="88">R22/100000</f>
        <v>-72631.504479570402</v>
      </c>
      <c r="T22">
        <f t="shared" ref="T22" si="89">S22/1000</f>
        <v>-72.631504479570395</v>
      </c>
    </row>
    <row r="23" spans="1:20" x14ac:dyDescent="0.25">
      <c r="A23" s="5">
        <v>44570</v>
      </c>
      <c r="B23">
        <v>8.1320000000000003E-2</v>
      </c>
      <c r="C23">
        <v>8.5099999999999995E-2</v>
      </c>
      <c r="D23">
        <v>8.0479999999999996E-2</v>
      </c>
      <c r="E23">
        <v>8.3250000000000005E-2</v>
      </c>
      <c r="F23">
        <v>18247987.800000001</v>
      </c>
      <c r="G23">
        <v>8.3250000000000005E-2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0.19913419913420308</v>
      </c>
      <c r="Q23">
        <f t="shared" ref="Q23" si="91">F23*P23</f>
        <v>3633798.4363637087</v>
      </c>
      <c r="R23">
        <f t="shared" ref="R23" si="92">R24+Q23</f>
        <v>-7192980156.7648697</v>
      </c>
      <c r="S23">
        <f t="shared" ref="S23" si="93">R23/100000</f>
        <v>-71929.801567648698</v>
      </c>
      <c r="T23">
        <f t="shared" ref="T23" si="94">S23/1000</f>
        <v>-71.929801567648695</v>
      </c>
    </row>
    <row r="24" spans="1:20" x14ac:dyDescent="0.25">
      <c r="A24" s="5">
        <v>44569</v>
      </c>
      <c r="B24">
        <v>8.5720000000000005E-2</v>
      </c>
      <c r="C24">
        <v>8.8450000000000001E-2</v>
      </c>
      <c r="D24">
        <v>7.9769999999999994E-2</v>
      </c>
      <c r="E24">
        <v>8.1240000000000007E-2</v>
      </c>
      <c r="F24">
        <v>27782011.600000001</v>
      </c>
      <c r="G24">
        <v>8.1240000000000007E-2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-0.66129032258064246</v>
      </c>
      <c r="Q24">
        <f t="shared" ref="Q24" si="96">F24*P24</f>
        <v>-18371975.412903152</v>
      </c>
      <c r="R24">
        <f t="shared" ref="R24" si="97">R25+Q24</f>
        <v>-7196613955.2012339</v>
      </c>
      <c r="S24">
        <f t="shared" ref="S24" si="98">R24/100000</f>
        <v>-71966.139552012333</v>
      </c>
      <c r="T24">
        <f t="shared" ref="T24" si="99">S24/1000</f>
        <v>-71.966139552012336</v>
      </c>
    </row>
    <row r="25" spans="1:20" x14ac:dyDescent="0.25">
      <c r="A25" s="5">
        <v>44568</v>
      </c>
      <c r="B25">
        <v>9.2219999999999996E-2</v>
      </c>
      <c r="C25">
        <v>9.2740000000000003E-2</v>
      </c>
      <c r="D25">
        <v>8.4690000000000001E-2</v>
      </c>
      <c r="E25">
        <v>8.5569999999999993E-2</v>
      </c>
      <c r="F25">
        <v>31575676.100000001</v>
      </c>
      <c r="G25">
        <v>8.5569999999999993E-2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-0.7813664596273312</v>
      </c>
      <c r="Q25">
        <f t="shared" ref="Q25" si="101">F25*P25</f>
        <v>-24672174.244596336</v>
      </c>
      <c r="R25">
        <f t="shared" ref="R25" si="102">R26+Q25</f>
        <v>-7178241979.788331</v>
      </c>
      <c r="S25">
        <f t="shared" ref="S25" si="103">R25/100000</f>
        <v>-71782.419797883311</v>
      </c>
      <c r="T25">
        <f t="shared" ref="T25" si="104">S25/1000</f>
        <v>-71.782419797883307</v>
      </c>
    </row>
    <row r="26" spans="1:20" x14ac:dyDescent="0.25">
      <c r="A26" s="5">
        <v>44567</v>
      </c>
      <c r="B26">
        <v>9.1480000000000006E-2</v>
      </c>
      <c r="C26">
        <v>9.3130000000000004E-2</v>
      </c>
      <c r="D26">
        <v>8.7849999999999998E-2</v>
      </c>
      <c r="E26">
        <v>9.2299999999999993E-2</v>
      </c>
      <c r="F26">
        <v>24268257.199999999</v>
      </c>
      <c r="G26">
        <v>9.2299999999999993E-2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0.68560606060605678</v>
      </c>
      <c r="Q26">
        <f t="shared" ref="Q26" si="106">F26*P26</f>
        <v>16638464.216666574</v>
      </c>
      <c r="R26">
        <f t="shared" ref="R26" si="107">R27+Q26</f>
        <v>-7153569805.5437346</v>
      </c>
      <c r="S26">
        <f t="shared" ref="S26" si="108">R26/100000</f>
        <v>-71535.698055437344</v>
      </c>
      <c r="T26">
        <f t="shared" ref="T26" si="109">S26/1000</f>
        <v>-71.535698055437351</v>
      </c>
    </row>
    <row r="27" spans="1:20" x14ac:dyDescent="0.25">
      <c r="A27" s="5">
        <v>44566</v>
      </c>
      <c r="B27">
        <v>9.9180000000000004E-2</v>
      </c>
      <c r="C27">
        <v>0.10269</v>
      </c>
      <c r="D27">
        <v>8.616E-2</v>
      </c>
      <c r="E27">
        <v>9.1420000000000001E-2</v>
      </c>
      <c r="F27">
        <v>53490179.399999999</v>
      </c>
      <c r="G27">
        <v>9.1420000000000001E-2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-0.36358136721113132</v>
      </c>
      <c r="Q27">
        <f t="shared" ref="Q27" si="111">F27*P27</f>
        <v>-19448032.558620691</v>
      </c>
      <c r="R27">
        <f t="shared" ref="R27" si="112">R28+Q27</f>
        <v>-7170208269.7604008</v>
      </c>
      <c r="S27">
        <f t="shared" ref="S27" si="113">R27/100000</f>
        <v>-71702.082697604012</v>
      </c>
      <c r="T27">
        <f t="shared" ref="T27" si="114">S27/1000</f>
        <v>-71.702082697604013</v>
      </c>
    </row>
    <row r="28" spans="1:20" x14ac:dyDescent="0.25">
      <c r="A28" s="5">
        <v>44565</v>
      </c>
      <c r="B28">
        <v>0.10027999999999999</v>
      </c>
      <c r="C28">
        <v>0.1031</v>
      </c>
      <c r="D28">
        <v>9.8330000000000001E-2</v>
      </c>
      <c r="E28">
        <v>9.9150000000000002E-2</v>
      </c>
      <c r="F28">
        <v>66057961.299999997</v>
      </c>
      <c r="G28">
        <v>9.9150000000000002E-2</v>
      </c>
      <c r="L28" t="s">
        <v>8</v>
      </c>
      <c r="M28" t="s">
        <v>7</v>
      </c>
      <c r="N28" t="s">
        <v>8</v>
      </c>
      <c r="P28">
        <f t="shared" ref="P28" si="115">IF(C28=D28,0,((E28-D28)-(C28-E28))/(C28-D28))</f>
        <v>-0.65618448637316484</v>
      </c>
      <c r="Q28">
        <f t="shared" ref="Q28" si="116">F28*P28</f>
        <v>-43346209.406498902</v>
      </c>
      <c r="R28">
        <f t="shared" ref="R28" si="117">R29+Q28</f>
        <v>-7150760237.2017803</v>
      </c>
      <c r="S28">
        <f t="shared" ref="S28" si="118">R28/100000</f>
        <v>-71507.602372017805</v>
      </c>
      <c r="T28">
        <f t="shared" ref="T28" si="119">S28/1000</f>
        <v>-71.5076023720178</v>
      </c>
    </row>
    <row r="29" spans="1:20" x14ac:dyDescent="0.25">
      <c r="A29" s="5">
        <v>44564</v>
      </c>
      <c r="B29">
        <v>0.1</v>
      </c>
      <c r="C29">
        <v>0.10231999999999999</v>
      </c>
      <c r="D29">
        <v>9.7650000000000001E-2</v>
      </c>
      <c r="E29">
        <v>0.10027999999999999</v>
      </c>
      <c r="F29">
        <v>52122568.399999999</v>
      </c>
      <c r="G29">
        <v>0.10027999999999999</v>
      </c>
      <c r="L29" t="s">
        <v>8</v>
      </c>
      <c r="M29" t="s">
        <v>7</v>
      </c>
      <c r="N29" t="s">
        <v>8</v>
      </c>
      <c r="P29">
        <f t="shared" ref="P29" si="120">IF(C29=D29,0,((E29-D29)-(C29-E29))/(C29-D29))</f>
        <v>0.12633832976445269</v>
      </c>
      <c r="Q29">
        <f t="shared" ref="Q29" si="121">F29*P29</f>
        <v>6585078.2346894415</v>
      </c>
      <c r="R29">
        <f t="shared" ref="R29" si="122">R30+Q29</f>
        <v>-7107414027.7952814</v>
      </c>
      <c r="S29">
        <f t="shared" ref="S29" si="123">R29/100000</f>
        <v>-71074.140277952814</v>
      </c>
      <c r="T29">
        <f t="shared" ref="T29" si="124">S29/1000</f>
        <v>-71.074140277952807</v>
      </c>
    </row>
    <row r="30" spans="1:20" x14ac:dyDescent="0.25">
      <c r="A30" s="5">
        <v>44563</v>
      </c>
      <c r="B30">
        <v>9.9940000000000001E-2</v>
      </c>
      <c r="C30">
        <v>0.1045</v>
      </c>
      <c r="D30">
        <v>9.8360000000000003E-2</v>
      </c>
      <c r="E30">
        <v>0.10018000000000001</v>
      </c>
      <c r="F30">
        <v>56377916.299999997</v>
      </c>
      <c r="G30">
        <v>0.10018000000000001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-0.4071661237785002</v>
      </c>
      <c r="Q30">
        <f t="shared" ref="Q30" si="126">F30*P30</f>
        <v>-22955177.646579724</v>
      </c>
      <c r="R30">
        <f t="shared" ref="R30" si="127">R31+Q30</f>
        <v>-7113999106.0299711</v>
      </c>
      <c r="S30">
        <f t="shared" ref="S30" si="128">R30/100000</f>
        <v>-71139.991060299712</v>
      </c>
      <c r="T30">
        <f t="shared" ref="T30" si="129">S30/1000</f>
        <v>-71.139991060299707</v>
      </c>
    </row>
    <row r="31" spans="1:20" x14ac:dyDescent="0.25">
      <c r="A31" s="5">
        <v>44562</v>
      </c>
      <c r="B31">
        <v>9.7409999999999997E-2</v>
      </c>
      <c r="C31">
        <v>0.10013</v>
      </c>
      <c r="D31">
        <v>9.7000000000000003E-2</v>
      </c>
      <c r="E31">
        <v>9.9979999999999999E-2</v>
      </c>
      <c r="F31">
        <v>19898589.600000001</v>
      </c>
      <c r="G31">
        <v>9.9979999999999999E-2</v>
      </c>
      <c r="L31" t="s">
        <v>7</v>
      </c>
      <c r="M31" t="s">
        <v>7</v>
      </c>
      <c r="N31" t="s">
        <v>8</v>
      </c>
      <c r="P31">
        <f t="shared" ref="P31" si="130">IF(C31=D31,0,((E31-D31)-(C31-E31))/(C31-D31))</f>
        <v>0.90415335463258939</v>
      </c>
      <c r="Q31">
        <f t="shared" ref="Q31" si="131">F31*P31</f>
        <v>17991376.539297156</v>
      </c>
      <c r="R31">
        <f t="shared" ref="R31" si="132">R32+Q31</f>
        <v>-7091043928.3833914</v>
      </c>
      <c r="S31">
        <f t="shared" ref="S31" si="133">R31/100000</f>
        <v>-70910.439283833912</v>
      </c>
      <c r="T31">
        <f t="shared" ref="T31" si="134">S31/1000</f>
        <v>-70.910439283833909</v>
      </c>
    </row>
    <row r="32" spans="1:20" x14ac:dyDescent="0.25">
      <c r="A32" s="5">
        <v>44561</v>
      </c>
      <c r="B32">
        <v>9.8140000000000005E-2</v>
      </c>
      <c r="C32">
        <v>0.10253</v>
      </c>
      <c r="D32">
        <v>9.4310000000000005E-2</v>
      </c>
      <c r="E32">
        <v>9.7229999999999997E-2</v>
      </c>
      <c r="F32">
        <v>42884602.600000001</v>
      </c>
      <c r="G32">
        <v>9.7229999999999997E-2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-0.28953771289537833</v>
      </c>
      <c r="Q32">
        <f t="shared" ref="Q32" si="136">F32*P32</f>
        <v>-12416709.755231196</v>
      </c>
      <c r="R32">
        <f t="shared" ref="R32" si="137">R33+Q32</f>
        <v>-7109035304.9226885</v>
      </c>
      <c r="S32">
        <f t="shared" ref="S32" si="138">R32/100000</f>
        <v>-71090.353049226891</v>
      </c>
      <c r="T32">
        <f t="shared" ref="T32" si="139">S32/1000</f>
        <v>-71.090353049226891</v>
      </c>
    </row>
    <row r="33" spans="1:20" x14ac:dyDescent="0.25">
      <c r="A33" s="5">
        <v>44560</v>
      </c>
      <c r="B33">
        <v>9.8769999999999997E-2</v>
      </c>
      <c r="C33">
        <v>0.10045</v>
      </c>
      <c r="D33">
        <v>9.5820000000000002E-2</v>
      </c>
      <c r="E33">
        <v>9.8159999999999997E-2</v>
      </c>
      <c r="F33">
        <v>27213771.5</v>
      </c>
      <c r="G33">
        <v>9.8159999999999997E-2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1.0799136069113292E-2</v>
      </c>
      <c r="Q33">
        <f t="shared" ref="Q33" si="141">F33*P33</f>
        <v>293885.22138225735</v>
      </c>
      <c r="R33">
        <f t="shared" ref="R33" si="142">R34+Q33</f>
        <v>-7096618595.1674576</v>
      </c>
      <c r="S33">
        <f t="shared" ref="S33" si="143">R33/100000</f>
        <v>-70966.185951674575</v>
      </c>
      <c r="T33">
        <f t="shared" ref="T33" si="144">S33/1000</f>
        <v>-70.966185951674575</v>
      </c>
    </row>
    <row r="34" spans="1:20" x14ac:dyDescent="0.25">
      <c r="A34" s="5">
        <v>44559</v>
      </c>
      <c r="B34">
        <v>0.10471999999999999</v>
      </c>
      <c r="C34">
        <v>0.10625999999999999</v>
      </c>
      <c r="D34">
        <v>9.8159999999999997E-2</v>
      </c>
      <c r="E34">
        <v>9.8610000000000003E-2</v>
      </c>
      <c r="F34">
        <v>29520763.5</v>
      </c>
      <c r="G34">
        <v>9.8610000000000003E-2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-0.8888888888888874</v>
      </c>
      <c r="Q34">
        <f t="shared" ref="Q34" si="146">F34*P34</f>
        <v>-26240678.666666623</v>
      </c>
      <c r="R34">
        <f t="shared" ref="R34" si="147">R35+Q34</f>
        <v>-7096912480.3888397</v>
      </c>
      <c r="S34">
        <f t="shared" ref="S34" si="148">R34/100000</f>
        <v>-70969.124803888393</v>
      </c>
      <c r="T34">
        <f t="shared" ref="T34" si="149">S34/1000</f>
        <v>-70.969124803888391</v>
      </c>
    </row>
    <row r="35" spans="1:20" x14ac:dyDescent="0.25">
      <c r="A35" s="5">
        <v>44558</v>
      </c>
      <c r="B35">
        <v>0.11606</v>
      </c>
      <c r="C35">
        <v>0.11626</v>
      </c>
      <c r="D35">
        <v>0.10173</v>
      </c>
      <c r="E35">
        <v>0.10464</v>
      </c>
      <c r="F35">
        <v>54964557.399999999</v>
      </c>
      <c r="G35">
        <v>0.10464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-0.59944941500344173</v>
      </c>
      <c r="Q35">
        <f t="shared" ref="Q35" si="151">F35*P35</f>
        <v>-32948471.779353093</v>
      </c>
      <c r="R35">
        <f t="shared" ref="R35" si="152">R36+Q35</f>
        <v>-7070671801.7221727</v>
      </c>
      <c r="S35">
        <f t="shared" ref="S35" si="153">R35/100000</f>
        <v>-70706.718017221734</v>
      </c>
      <c r="T35">
        <f t="shared" ref="T35" si="154">S35/1000</f>
        <v>-70.706718017221732</v>
      </c>
    </row>
    <row r="36" spans="1:20" x14ac:dyDescent="0.25">
      <c r="A36" s="5">
        <v>44557</v>
      </c>
      <c r="B36">
        <v>0.11303000000000001</v>
      </c>
      <c r="C36">
        <v>0.1278</v>
      </c>
      <c r="D36">
        <v>0.1125</v>
      </c>
      <c r="E36">
        <v>0.11609</v>
      </c>
      <c r="F36">
        <v>103147302.90000001</v>
      </c>
      <c r="G36">
        <v>0.11609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-0.53071895424836635</v>
      </c>
      <c r="Q36">
        <f t="shared" ref="Q36" si="156">F36*P36</f>
        <v>-54742228.728627488</v>
      </c>
      <c r="R36">
        <f t="shared" ref="R36" si="157">R37+Q36</f>
        <v>-7037723329.9428196</v>
      </c>
      <c r="S36">
        <f t="shared" ref="S36" si="158">R36/100000</f>
        <v>-70377.23329942819</v>
      </c>
      <c r="T36">
        <f t="shared" ref="T36" si="159">S36/1000</f>
        <v>-70.377233299428184</v>
      </c>
    </row>
    <row r="37" spans="1:20" x14ac:dyDescent="0.25">
      <c r="A37" s="5">
        <v>44556</v>
      </c>
      <c r="B37">
        <v>0.1109</v>
      </c>
      <c r="C37">
        <v>0.115</v>
      </c>
      <c r="D37">
        <v>0.107</v>
      </c>
      <c r="E37">
        <v>0.11292000000000001</v>
      </c>
      <c r="F37">
        <v>67019874.600000001</v>
      </c>
      <c r="G37">
        <v>0.11292000000000001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0.48000000000000081</v>
      </c>
      <c r="Q37">
        <f t="shared" ref="Q37" si="161">F37*P37</f>
        <v>32169539.808000054</v>
      </c>
      <c r="R37">
        <f t="shared" ref="R37" si="162">R38+Q37</f>
        <v>-6982981101.2141924</v>
      </c>
      <c r="S37">
        <f t="shared" ref="S37" si="163">R37/100000</f>
        <v>-69829.81101214193</v>
      </c>
      <c r="T37">
        <f t="shared" ref="T37" si="164">S37/1000</f>
        <v>-69.829811012141931</v>
      </c>
    </row>
    <row r="38" spans="1:20" x14ac:dyDescent="0.25">
      <c r="A38" s="5">
        <v>44555</v>
      </c>
      <c r="B38">
        <v>0.10851</v>
      </c>
      <c r="C38">
        <v>0.11351</v>
      </c>
      <c r="D38">
        <v>0.1077</v>
      </c>
      <c r="E38">
        <v>0.11099000000000001</v>
      </c>
      <c r="F38">
        <v>47873677.600000001</v>
      </c>
      <c r="G38">
        <v>0.11099000000000001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0.13253012048192897</v>
      </c>
      <c r="Q38">
        <f t="shared" ref="Q38" si="166">F38*P38</f>
        <v>6344704.2602410242</v>
      </c>
      <c r="R38">
        <f t="shared" ref="R38" si="167">R39+Q38</f>
        <v>-7015150641.022192</v>
      </c>
      <c r="S38">
        <f t="shared" ref="S38" si="168">R38/100000</f>
        <v>-70151.506410221918</v>
      </c>
      <c r="T38">
        <f t="shared" ref="T38" si="169">S38/1000</f>
        <v>-70.151506410221913</v>
      </c>
    </row>
    <row r="39" spans="1:20" x14ac:dyDescent="0.25">
      <c r="A39" s="5">
        <v>44554</v>
      </c>
      <c r="B39">
        <v>0.11161</v>
      </c>
      <c r="C39">
        <v>0.11347</v>
      </c>
      <c r="D39">
        <v>0.10453999999999999</v>
      </c>
      <c r="E39">
        <v>0.10847</v>
      </c>
      <c r="F39">
        <v>69241283.599999994</v>
      </c>
      <c r="G39">
        <v>0.10847</v>
      </c>
      <c r="L39" t="s">
        <v>7</v>
      </c>
      <c r="M39" t="s">
        <v>8</v>
      </c>
      <c r="N39" t="s">
        <v>7</v>
      </c>
      <c r="P39">
        <f t="shared" ref="P39" si="170">IF(C39=D39,0,((E39-D39)-(C39-E39))/(C39-D39))</f>
        <v>-0.11982082866741328</v>
      </c>
      <c r="Q39">
        <f t="shared" ref="Q39" si="171">F39*P39</f>
        <v>-8296547.9789473722</v>
      </c>
      <c r="R39">
        <f t="shared" ref="R39" si="172">R40+Q39</f>
        <v>-7021495345.2824326</v>
      </c>
      <c r="S39">
        <f t="shared" ref="S39" si="173">R39/100000</f>
        <v>-70214.953452824324</v>
      </c>
      <c r="T39">
        <f t="shared" ref="T39" si="174">S39/1000</f>
        <v>-70.214953452824318</v>
      </c>
    </row>
    <row r="40" spans="1:20" x14ac:dyDescent="0.25">
      <c r="A40" s="5">
        <v>44553</v>
      </c>
      <c r="B40">
        <v>0.10256</v>
      </c>
      <c r="C40">
        <v>0.11601</v>
      </c>
      <c r="D40">
        <v>0.10108</v>
      </c>
      <c r="E40">
        <v>0.1116</v>
      </c>
      <c r="F40">
        <v>103410322.40000001</v>
      </c>
      <c r="G40">
        <v>0.1116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0.40924313462826556</v>
      </c>
      <c r="Q40">
        <f t="shared" ref="Q40" si="176">F40*P40</f>
        <v>42319964.491895549</v>
      </c>
      <c r="R40">
        <f t="shared" ref="R40" si="177">R41+Q40</f>
        <v>-7013198797.3034849</v>
      </c>
      <c r="S40">
        <f t="shared" ref="S40" si="178">R40/100000</f>
        <v>-70131.987973034848</v>
      </c>
      <c r="T40">
        <f t="shared" ref="T40" si="179">S40/1000</f>
        <v>-70.131987973034853</v>
      </c>
    </row>
    <row r="41" spans="1:20" x14ac:dyDescent="0.25">
      <c r="A41" s="5">
        <v>44552</v>
      </c>
      <c r="B41">
        <v>9.9010000000000001E-2</v>
      </c>
      <c r="C41">
        <v>0.10788</v>
      </c>
      <c r="D41">
        <v>9.8000000000000004E-2</v>
      </c>
      <c r="E41">
        <v>0.10256999999999999</v>
      </c>
      <c r="F41">
        <v>81545029.599999994</v>
      </c>
      <c r="G41">
        <v>0.10256999999999999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-7.4898785425103073E-2</v>
      </c>
      <c r="Q41">
        <f t="shared" ref="Q41" si="181">F41*P41</f>
        <v>-6107623.6744940784</v>
      </c>
      <c r="R41">
        <f t="shared" ref="R41" si="182">R42+Q41</f>
        <v>-7055518761.7953806</v>
      </c>
      <c r="S41">
        <f t="shared" ref="S41" si="183">R41/100000</f>
        <v>-70555.187617953809</v>
      </c>
      <c r="T41">
        <f t="shared" ref="T41" si="184">S41/1000</f>
        <v>-70.555187617953806</v>
      </c>
    </row>
    <row r="42" spans="1:20" x14ac:dyDescent="0.25">
      <c r="A42" s="5">
        <v>44551</v>
      </c>
      <c r="B42">
        <v>9.5019999999999993E-2</v>
      </c>
      <c r="C42">
        <v>0.10206999999999999</v>
      </c>
      <c r="D42">
        <v>9.4399999999999998E-2</v>
      </c>
      <c r="E42">
        <v>9.9000000000000005E-2</v>
      </c>
      <c r="F42">
        <v>67667980.299999997</v>
      </c>
      <c r="G42">
        <v>9.9000000000000005E-2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0.19947848761408321</v>
      </c>
      <c r="Q42">
        <f t="shared" ref="Q42" si="186">F42*P42</f>
        <v>13498306.370143576</v>
      </c>
      <c r="R42">
        <f t="shared" ref="R42" si="187">R43+Q42</f>
        <v>-7049411138.1208868</v>
      </c>
      <c r="S42">
        <f t="shared" ref="S42" si="188">R42/100000</f>
        <v>-70494.111381208873</v>
      </c>
      <c r="T42">
        <f t="shared" ref="T42" si="189">S42/1000</f>
        <v>-70.494111381208867</v>
      </c>
    </row>
    <row r="43" spans="1:20" x14ac:dyDescent="0.25">
      <c r="A43" s="5">
        <v>44550</v>
      </c>
      <c r="B43">
        <v>9.4659999999999994E-2</v>
      </c>
      <c r="C43">
        <v>9.8629999999999995E-2</v>
      </c>
      <c r="D43">
        <v>8.8359999999999994E-2</v>
      </c>
      <c r="E43">
        <v>9.4950000000000007E-2</v>
      </c>
      <c r="F43">
        <v>83567511.900000006</v>
      </c>
      <c r="G43">
        <v>9.4950000000000007E-2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0.28334956183057675</v>
      </c>
      <c r="Q43">
        <f t="shared" ref="Q43" si="191">F43*P43</f>
        <v>23678817.880136508</v>
      </c>
      <c r="R43">
        <f t="shared" ref="R43" si="192">R44+Q43</f>
        <v>-7062909444.4910307</v>
      </c>
      <c r="S43">
        <f t="shared" ref="S43" si="193">R43/100000</f>
        <v>-70629.094444910312</v>
      </c>
      <c r="T43">
        <f t="shared" ref="T43" si="194">S43/1000</f>
        <v>-70.629094444910308</v>
      </c>
    </row>
    <row r="44" spans="1:20" x14ac:dyDescent="0.25">
      <c r="A44" s="5">
        <v>44549</v>
      </c>
      <c r="B44">
        <v>9.8519999999999996E-2</v>
      </c>
      <c r="C44">
        <v>0.10038</v>
      </c>
      <c r="D44">
        <v>9.4509999999999997E-2</v>
      </c>
      <c r="E44">
        <v>9.4710000000000003E-2</v>
      </c>
      <c r="F44">
        <v>28455369.800000001</v>
      </c>
      <c r="G44">
        <v>9.4710000000000003E-2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-0.93185689948892481</v>
      </c>
      <c r="Q44">
        <f t="shared" ref="Q44" si="196">F44*P44</f>
        <v>-26516332.675638787</v>
      </c>
      <c r="R44">
        <f t="shared" ref="R44" si="197">R45+Q44</f>
        <v>-7086588262.3711672</v>
      </c>
      <c r="S44">
        <f t="shared" ref="S44" si="198">R44/100000</f>
        <v>-70865.882623711674</v>
      </c>
      <c r="T44">
        <f t="shared" ref="T44" si="199">S44/1000</f>
        <v>-70.86588262371167</v>
      </c>
    </row>
    <row r="45" spans="1:20" x14ac:dyDescent="0.25">
      <c r="A45" s="5">
        <v>44548</v>
      </c>
      <c r="B45">
        <v>9.8610000000000003E-2</v>
      </c>
      <c r="C45">
        <v>0.10158</v>
      </c>
      <c r="D45">
        <v>9.6799999999999997E-2</v>
      </c>
      <c r="E45">
        <v>9.8519999999999996E-2</v>
      </c>
      <c r="F45">
        <v>45269884.899999999</v>
      </c>
      <c r="G45">
        <v>9.8519999999999996E-2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-0.28033472803347409</v>
      </c>
      <c r="Q45">
        <f t="shared" ref="Q45" si="201">F45*P45</f>
        <v>-12690720.871548176</v>
      </c>
      <c r="R45">
        <f t="shared" ref="R45" si="202">R46+Q45</f>
        <v>-7060071929.695528</v>
      </c>
      <c r="S45">
        <f t="shared" ref="S45" si="203">R45/100000</f>
        <v>-70600.719296955285</v>
      </c>
      <c r="T45">
        <f t="shared" ref="T45" si="204">S45/1000</f>
        <v>-70.60071929695529</v>
      </c>
    </row>
    <row r="46" spans="1:20" x14ac:dyDescent="0.25">
      <c r="A46" s="5">
        <v>44547</v>
      </c>
      <c r="B46">
        <v>0.10902000000000001</v>
      </c>
      <c r="C46">
        <v>0.11405</v>
      </c>
      <c r="D46">
        <v>9.5009999999999997E-2</v>
      </c>
      <c r="E46">
        <v>9.8659999999999998E-2</v>
      </c>
      <c r="F46">
        <v>190921248.5</v>
      </c>
      <c r="G46">
        <v>9.8659999999999998E-2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-0.61659663865546221</v>
      </c>
      <c r="Q46">
        <f t="shared" ref="Q46" si="206">F46*P46</f>
        <v>-117721400.0730042</v>
      </c>
      <c r="R46">
        <f t="shared" ref="R46" si="207">R47+Q46</f>
        <v>-7047381208.8239794</v>
      </c>
      <c r="S46">
        <f t="shared" ref="S46" si="208">R46/100000</f>
        <v>-70473.812088239793</v>
      </c>
      <c r="T46">
        <f t="shared" ref="T46" si="209">S46/1000</f>
        <v>-70.473812088239796</v>
      </c>
    </row>
    <row r="47" spans="1:20" x14ac:dyDescent="0.25">
      <c r="A47" s="5">
        <v>44546</v>
      </c>
      <c r="B47">
        <v>9.4549999999999995E-2</v>
      </c>
      <c r="C47">
        <v>0.11826</v>
      </c>
      <c r="D47">
        <v>9.393E-2</v>
      </c>
      <c r="E47">
        <v>0.109</v>
      </c>
      <c r="F47">
        <v>245371225.5</v>
      </c>
      <c r="G47">
        <v>0.109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0.23879983559391676</v>
      </c>
      <c r="Q47">
        <f t="shared" ref="Q47" si="211">F47*P47</f>
        <v>58594608.308877878</v>
      </c>
      <c r="R47">
        <f t="shared" ref="R47" si="212">R48+Q47</f>
        <v>-6929659808.7509756</v>
      </c>
      <c r="S47">
        <f t="shared" ref="S47" si="213">R47/100000</f>
        <v>-69296.598087509759</v>
      </c>
      <c r="T47">
        <f t="shared" ref="T47" si="214">S47/1000</f>
        <v>-69.296598087509764</v>
      </c>
    </row>
    <row r="48" spans="1:20" x14ac:dyDescent="0.25">
      <c r="A48" s="5">
        <v>44545</v>
      </c>
      <c r="B48">
        <v>9.1149999999999995E-2</v>
      </c>
      <c r="C48">
        <v>9.6320000000000003E-2</v>
      </c>
      <c r="D48">
        <v>8.7080000000000005E-2</v>
      </c>
      <c r="E48">
        <v>9.4530000000000003E-2</v>
      </c>
      <c r="F48">
        <v>60673578.5</v>
      </c>
      <c r="G48">
        <v>9.4530000000000003E-2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0.61255411255411252</v>
      </c>
      <c r="Q48">
        <f t="shared" ref="Q48" si="216">F48*P48</f>
        <v>37165850.033549778</v>
      </c>
      <c r="R48">
        <f t="shared" ref="R48" si="217">R49+Q48</f>
        <v>-6988254417.0598536</v>
      </c>
      <c r="S48">
        <f t="shared" ref="S48" si="218">R48/100000</f>
        <v>-69882.544170598529</v>
      </c>
      <c r="T48">
        <f t="shared" ref="T48" si="219">S48/1000</f>
        <v>-69.882544170598536</v>
      </c>
    </row>
    <row r="49" spans="1:20" x14ac:dyDescent="0.25">
      <c r="A49" s="5">
        <v>44544</v>
      </c>
      <c r="B49">
        <v>9.0289999999999995E-2</v>
      </c>
      <c r="C49">
        <v>9.2999999999999999E-2</v>
      </c>
      <c r="D49">
        <v>8.7379999999999999E-2</v>
      </c>
      <c r="E49">
        <v>9.1189999999999993E-2</v>
      </c>
      <c r="F49">
        <v>57842955.700000003</v>
      </c>
      <c r="G49">
        <v>9.1189999999999993E-2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0.3558718861209943</v>
      </c>
      <c r="Q49">
        <f t="shared" ref="Q49" si="221">F49*P49</f>
        <v>20584681.743772119</v>
      </c>
      <c r="R49">
        <f t="shared" ref="R49" si="222">R50+Q49</f>
        <v>-7025420267.0934029</v>
      </c>
      <c r="S49">
        <f t="shared" ref="S49" si="223">R49/100000</f>
        <v>-70254.202670934028</v>
      </c>
      <c r="T49">
        <f t="shared" ref="T49" si="224">S49/1000</f>
        <v>-70.254202670934035</v>
      </c>
    </row>
    <row r="50" spans="1:20" x14ac:dyDescent="0.25">
      <c r="A50" s="5">
        <v>44543</v>
      </c>
      <c r="B50">
        <v>0.10347000000000001</v>
      </c>
      <c r="C50">
        <v>0.10413</v>
      </c>
      <c r="D50">
        <v>8.8410000000000002E-2</v>
      </c>
      <c r="E50">
        <v>9.0179999999999996E-2</v>
      </c>
      <c r="F50">
        <v>82982330.299999997</v>
      </c>
      <c r="G50">
        <v>9.0179999999999996E-2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-0.7748091603053443</v>
      </c>
      <c r="Q50">
        <f t="shared" ref="Q50" si="226">F50*P50</f>
        <v>-64295469.659923725</v>
      </c>
      <c r="R50">
        <f t="shared" ref="R50" si="227">R51+Q50</f>
        <v>-7046004948.8371754</v>
      </c>
      <c r="S50">
        <f t="shared" ref="S50" si="228">R50/100000</f>
        <v>-70460.049488371747</v>
      </c>
      <c r="T50">
        <f t="shared" ref="T50" si="229">S50/1000</f>
        <v>-70.460049488371752</v>
      </c>
    </row>
    <row r="51" spans="1:20" x14ac:dyDescent="0.25">
      <c r="A51" s="5">
        <v>44542</v>
      </c>
      <c r="B51">
        <v>0.10331</v>
      </c>
      <c r="C51">
        <v>0.10507</v>
      </c>
      <c r="D51">
        <v>0.10020999999999999</v>
      </c>
      <c r="E51">
        <v>0.10344</v>
      </c>
      <c r="F51">
        <v>50493948</v>
      </c>
      <c r="G51">
        <v>0.10344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0.32921810699588827</v>
      </c>
      <c r="Q51">
        <f t="shared" ref="Q51" si="231">F51*P51</f>
        <v>16623521.975308819</v>
      </c>
      <c r="R51">
        <f t="shared" ref="R51" si="232">R52+Q51</f>
        <v>-6981709479.1772518</v>
      </c>
      <c r="S51">
        <f t="shared" ref="S51" si="233">R51/100000</f>
        <v>-69817.094791772513</v>
      </c>
      <c r="T51">
        <f t="shared" ref="T51" si="234">S51/1000</f>
        <v>-69.817094791772519</v>
      </c>
    </row>
    <row r="52" spans="1:20" x14ac:dyDescent="0.25">
      <c r="A52" s="5">
        <v>44541</v>
      </c>
      <c r="B52">
        <v>9.9199999999999997E-2</v>
      </c>
      <c r="C52">
        <v>0.10025000000000001</v>
      </c>
      <c r="D52">
        <v>9.6890000000000004E-2</v>
      </c>
      <c r="E52">
        <v>9.9650000000000002E-2</v>
      </c>
      <c r="F52">
        <v>2663678.4</v>
      </c>
      <c r="G52">
        <v>9.9650000000000002E-2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0.64285714285714113</v>
      </c>
      <c r="Q52">
        <f t="shared" ref="Q52" si="236">F52*P52</f>
        <v>1712364.6857142812</v>
      </c>
      <c r="R52">
        <f t="shared" ref="R52" si="237">R53+Q52</f>
        <v>-6998333001.1525602</v>
      </c>
      <c r="S52">
        <f t="shared" ref="S52" si="238">R52/100000</f>
        <v>-69983.330011525599</v>
      </c>
      <c r="T52">
        <f t="shared" ref="T52" si="239">S52/1000</f>
        <v>-69.983330011525595</v>
      </c>
    </row>
    <row r="53" spans="1:20" x14ac:dyDescent="0.25">
      <c r="A53" s="5">
        <v>44540</v>
      </c>
      <c r="B53">
        <v>0.10421999999999999</v>
      </c>
      <c r="C53">
        <v>0.10878</v>
      </c>
      <c r="D53">
        <v>9.8640000000000005E-2</v>
      </c>
      <c r="E53">
        <v>9.9299999999999999E-2</v>
      </c>
      <c r="F53">
        <v>69720489.5</v>
      </c>
      <c r="G53">
        <v>9.9299999999999999E-2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-0.8698224852071017</v>
      </c>
      <c r="Q53">
        <f t="shared" ref="Q53" si="241">F53*P53</f>
        <v>-60644449.446745642</v>
      </c>
      <c r="R53">
        <f t="shared" ref="R53" si="242">R54+Q53</f>
        <v>-7000045365.838275</v>
      </c>
      <c r="S53">
        <f t="shared" ref="S53" si="243">R53/100000</f>
        <v>-70000.453658382743</v>
      </c>
      <c r="T53">
        <f t="shared" ref="T53" si="244">S53/1000</f>
        <v>-70.000453658382739</v>
      </c>
    </row>
    <row r="54" spans="1:20" x14ac:dyDescent="0.25">
      <c r="A54" s="5">
        <v>44539</v>
      </c>
      <c r="B54">
        <v>0.11558</v>
      </c>
      <c r="C54">
        <v>0.11819</v>
      </c>
      <c r="D54">
        <v>0.10363</v>
      </c>
      <c r="E54">
        <v>0.10416</v>
      </c>
      <c r="F54">
        <v>118274275</v>
      </c>
      <c r="G54">
        <v>0.10416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-0.92719780219780179</v>
      </c>
      <c r="Q54">
        <f t="shared" ref="Q54" si="246">F54*P54</f>
        <v>-109663647.83653842</v>
      </c>
      <c r="R54">
        <f t="shared" ref="R54" si="247">R55+Q54</f>
        <v>-6939400916.3915291</v>
      </c>
      <c r="S54">
        <f t="shared" ref="S54" si="248">R54/100000</f>
        <v>-69394.009163915296</v>
      </c>
      <c r="T54">
        <f t="shared" ref="T54" si="249">S54/1000</f>
        <v>-69.3940091639153</v>
      </c>
    </row>
    <row r="55" spans="1:20" x14ac:dyDescent="0.25">
      <c r="A55" s="5">
        <v>44538</v>
      </c>
      <c r="B55">
        <v>0.11216</v>
      </c>
      <c r="C55">
        <v>0.11945</v>
      </c>
      <c r="D55">
        <v>0.10709</v>
      </c>
      <c r="E55">
        <v>0.11551</v>
      </c>
      <c r="F55">
        <v>111818752.09999999</v>
      </c>
      <c r="G55">
        <v>0.11551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0.36245954692556631</v>
      </c>
      <c r="Q55">
        <f t="shared" ref="Q55" si="251">F55*P55</f>
        <v>40529774.223948218</v>
      </c>
      <c r="R55">
        <f t="shared" ref="R55" si="252">R56+Q55</f>
        <v>-6829737268.5549908</v>
      </c>
      <c r="S55">
        <f t="shared" ref="S55" si="253">R55/100000</f>
        <v>-68297.372685549912</v>
      </c>
      <c r="T55">
        <f t="shared" ref="T55" si="254">S55/1000</f>
        <v>-68.297372685549917</v>
      </c>
    </row>
    <row r="56" spans="1:20" x14ac:dyDescent="0.25">
      <c r="A56" s="5">
        <v>44537</v>
      </c>
      <c r="B56">
        <v>0.11346000000000001</v>
      </c>
      <c r="C56">
        <v>0.121</v>
      </c>
      <c r="D56">
        <v>0.11071</v>
      </c>
      <c r="E56">
        <v>0.11229</v>
      </c>
      <c r="F56">
        <v>113942899.7</v>
      </c>
      <c r="G56">
        <v>0.11229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-0.69290573372206044</v>
      </c>
      <c r="Q56">
        <f t="shared" ref="Q56" si="256">F56*P56</f>
        <v>-78951688.519047648</v>
      </c>
      <c r="R56">
        <f t="shared" ref="R56" si="257">R57+Q56</f>
        <v>-6870267042.7789392</v>
      </c>
      <c r="S56">
        <f t="shared" ref="S56" si="258">R56/100000</f>
        <v>-68702.670427789388</v>
      </c>
      <c r="T56">
        <f t="shared" ref="T56" si="259">S56/1000</f>
        <v>-68.702670427789386</v>
      </c>
    </row>
    <row r="57" spans="1:20" x14ac:dyDescent="0.25">
      <c r="A57" s="5">
        <v>44536</v>
      </c>
      <c r="B57">
        <v>0.11098</v>
      </c>
      <c r="C57">
        <v>0.11924999999999999</v>
      </c>
      <c r="D57">
        <v>9.9720000000000003E-2</v>
      </c>
      <c r="E57">
        <v>0.11348999999999999</v>
      </c>
      <c r="F57">
        <v>262244741</v>
      </c>
      <c r="G57">
        <v>0.11348999999999999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0.41013824884792588</v>
      </c>
      <c r="Q57">
        <f t="shared" ref="Q57" si="261">F57*P57</f>
        <v>107556598.84331787</v>
      </c>
      <c r="R57">
        <f t="shared" ref="R57" si="262">R58+Q57</f>
        <v>-6791315354.2598915</v>
      </c>
      <c r="S57">
        <f t="shared" ref="S57" si="263">R57/100000</f>
        <v>-67913.153542598913</v>
      </c>
      <c r="T57">
        <f t="shared" ref="T57" si="264">S57/1000</f>
        <v>-67.91315354259892</v>
      </c>
    </row>
    <row r="58" spans="1:20" x14ac:dyDescent="0.25">
      <c r="A58" s="5">
        <v>44535</v>
      </c>
      <c r="B58">
        <v>0.11855</v>
      </c>
      <c r="C58">
        <v>0.12164</v>
      </c>
      <c r="D58">
        <v>0.1053</v>
      </c>
      <c r="E58">
        <v>0.11094</v>
      </c>
      <c r="F58">
        <v>126241197.8</v>
      </c>
      <c r="G58">
        <v>0.11094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-0.30966952264381953</v>
      </c>
      <c r="Q58">
        <f t="shared" ref="Q58" si="266">F58*P58</f>
        <v>-39093051.460709997</v>
      </c>
      <c r="R58">
        <f t="shared" ref="R58" si="267">R59+Q58</f>
        <v>-6898871953.1032095</v>
      </c>
      <c r="S58">
        <f t="shared" ref="S58" si="268">R58/100000</f>
        <v>-68988.719531032097</v>
      </c>
      <c r="T58">
        <f t="shared" ref="T58" si="269">S58/1000</f>
        <v>-68.988719531032103</v>
      </c>
    </row>
    <row r="59" spans="1:20" x14ac:dyDescent="0.25">
      <c r="A59" s="5">
        <v>44534</v>
      </c>
      <c r="B59">
        <v>0.13627</v>
      </c>
      <c r="C59">
        <v>0.13678999999999999</v>
      </c>
      <c r="D59">
        <v>8.4339999999999998E-2</v>
      </c>
      <c r="E59">
        <v>0.11863</v>
      </c>
      <c r="F59">
        <v>261097148.59999999</v>
      </c>
      <c r="G59">
        <v>0.11863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0.30753098188751204</v>
      </c>
      <c r="Q59">
        <f t="shared" ref="Q59" si="271">F59*P59</f>
        <v>80295462.476987645</v>
      </c>
      <c r="R59">
        <f t="shared" ref="R59" si="272">R60+Q59</f>
        <v>-6859778901.6424999</v>
      </c>
      <c r="S59">
        <f t="shared" ref="S59" si="273">R59/100000</f>
        <v>-68597.789016424998</v>
      </c>
      <c r="T59">
        <f t="shared" ref="T59" si="274">S59/1000</f>
        <v>-68.597789016424997</v>
      </c>
    </row>
    <row r="60" spans="1:20" x14ac:dyDescent="0.25">
      <c r="A60" s="5">
        <v>44533</v>
      </c>
      <c r="B60">
        <v>0.14685999999999999</v>
      </c>
      <c r="C60">
        <v>0.15099000000000001</v>
      </c>
      <c r="D60">
        <v>0.12939999999999999</v>
      </c>
      <c r="E60">
        <v>0.13647999999999999</v>
      </c>
      <c r="F60">
        <v>137853395.5</v>
      </c>
      <c r="G60">
        <v>0.13647999999999999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-0.34414080592867119</v>
      </c>
      <c r="Q60">
        <f t="shared" ref="Q60" si="276">F60*P60</f>
        <v>-47440978.627373852</v>
      </c>
      <c r="R60">
        <f t="shared" ref="R60" si="277">R61+Q60</f>
        <v>-6940074364.1194878</v>
      </c>
      <c r="S60">
        <f t="shared" ref="S60" si="278">R60/100000</f>
        <v>-69400.743641194873</v>
      </c>
      <c r="T60">
        <f t="shared" ref="T60" si="279">S60/1000</f>
        <v>-69.400743641194879</v>
      </c>
    </row>
    <row r="61" spans="1:20" x14ac:dyDescent="0.25">
      <c r="A61" s="5">
        <v>44532</v>
      </c>
      <c r="B61">
        <v>0.15870000000000001</v>
      </c>
      <c r="C61">
        <v>0.15926000000000001</v>
      </c>
      <c r="D61">
        <v>0.14349000000000001</v>
      </c>
      <c r="E61">
        <v>0.14716000000000001</v>
      </c>
      <c r="F61">
        <v>211102376.5</v>
      </c>
      <c r="G61">
        <v>0.14716000000000001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-0.5345592897907413</v>
      </c>
      <c r="Q61">
        <f t="shared" ref="Q61" si="281">F61*P61</f>
        <v>-112846736.45497768</v>
      </c>
      <c r="R61">
        <f t="shared" ref="R61" si="282">R62+Q61</f>
        <v>-6892633385.4921141</v>
      </c>
      <c r="S61">
        <f t="shared" ref="S61" si="283">R61/100000</f>
        <v>-68926.333854921148</v>
      </c>
      <c r="T61">
        <f t="shared" ref="T61" si="284">S61/1000</f>
        <v>-68.926333854921154</v>
      </c>
    </row>
    <row r="62" spans="1:20" x14ac:dyDescent="0.25">
      <c r="A62" s="5">
        <v>44531</v>
      </c>
      <c r="B62">
        <v>0.14446000000000001</v>
      </c>
      <c r="C62">
        <v>0.16008</v>
      </c>
      <c r="D62">
        <v>0.14349999999999999</v>
      </c>
      <c r="E62">
        <v>0.15870000000000001</v>
      </c>
      <c r="F62">
        <v>187614489.80000001</v>
      </c>
      <c r="G62">
        <v>0.15870000000000001</v>
      </c>
      <c r="L62" t="s">
        <v>8</v>
      </c>
      <c r="M62" t="s">
        <v>8</v>
      </c>
      <c r="N62" t="s">
        <v>7</v>
      </c>
      <c r="P62">
        <f t="shared" ref="P62" si="285">IF(C62=D62,0,((E62-D62)-(C62-E62))/(C62-D62))</f>
        <v>0.83353437876960301</v>
      </c>
      <c r="Q62">
        <f t="shared" ref="Q62" si="286">F62*P62</f>
        <v>156383127.20361903</v>
      </c>
      <c r="R62">
        <f t="shared" ref="R62" si="287">R63+Q62</f>
        <v>-6779786649.0371361</v>
      </c>
      <c r="S62">
        <f t="shared" ref="S62" si="288">R62/100000</f>
        <v>-67797.866490371365</v>
      </c>
      <c r="T62">
        <f t="shared" ref="T62" si="289">S62/1000</f>
        <v>-67.797866490371362</v>
      </c>
    </row>
    <row r="63" spans="1:20" x14ac:dyDescent="0.25">
      <c r="A63" s="5">
        <v>44530</v>
      </c>
      <c r="B63">
        <v>0.15040000000000001</v>
      </c>
      <c r="C63">
        <v>0.15293999999999999</v>
      </c>
      <c r="D63">
        <v>0.14305000000000001</v>
      </c>
      <c r="E63">
        <v>0.14433000000000001</v>
      </c>
      <c r="F63">
        <v>133261701.5</v>
      </c>
      <c r="G63">
        <v>0.14433000000000001</v>
      </c>
      <c r="L63" t="s">
        <v>7</v>
      </c>
      <c r="M63" t="s">
        <v>8</v>
      </c>
      <c r="N63" t="s">
        <v>7</v>
      </c>
      <c r="P63">
        <f t="shared" ref="P63" si="290">IF(C63=D63,0,((E63-D63)-(C63-E63))/(C63-D63))</f>
        <v>-0.74115267947421526</v>
      </c>
      <c r="Q63">
        <f t="shared" ref="Q63" si="291">F63*P63</f>
        <v>-98767267.138018057</v>
      </c>
      <c r="R63">
        <f t="shared" ref="R63" si="292">R64+Q63</f>
        <v>-6936169776.2407551</v>
      </c>
      <c r="S63">
        <f t="shared" ref="S63" si="293">R63/100000</f>
        <v>-69361.697762407552</v>
      </c>
      <c r="T63">
        <f t="shared" ref="T63" si="294">S63/1000</f>
        <v>-69.361697762407545</v>
      </c>
    </row>
    <row r="64" spans="1:20" x14ac:dyDescent="0.25">
      <c r="A64" s="5">
        <v>44529</v>
      </c>
      <c r="B64">
        <v>0.14812</v>
      </c>
      <c r="C64">
        <v>0.15340000000000001</v>
      </c>
      <c r="D64">
        <v>0.14469000000000001</v>
      </c>
      <c r="E64">
        <v>0.15059</v>
      </c>
      <c r="F64">
        <v>99341524.400000006</v>
      </c>
      <c r="G64">
        <v>0.15059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0.354764638346726</v>
      </c>
      <c r="Q64">
        <f t="shared" ref="Q64" si="296">F64*P64</f>
        <v>35242859.976578459</v>
      </c>
      <c r="R64">
        <f t="shared" ref="R64" si="297">R65+Q64</f>
        <v>-6837402509.1027374</v>
      </c>
      <c r="S64">
        <f t="shared" ref="S64" si="298">R64/100000</f>
        <v>-68374.025091027375</v>
      </c>
      <c r="T64">
        <f t="shared" ref="T64" si="299">S64/1000</f>
        <v>-68.374025091027377</v>
      </c>
    </row>
    <row r="65" spans="1:20" x14ac:dyDescent="0.25">
      <c r="A65" s="5">
        <v>44528</v>
      </c>
      <c r="B65">
        <v>0.14698</v>
      </c>
      <c r="C65">
        <v>0.14843999999999999</v>
      </c>
      <c r="D65">
        <v>0.13597999999999999</v>
      </c>
      <c r="E65">
        <v>0.14807999999999999</v>
      </c>
      <c r="F65">
        <v>106751294.8</v>
      </c>
      <c r="G65">
        <v>0.14807999999999999</v>
      </c>
      <c r="L65" t="s">
        <v>7</v>
      </c>
      <c r="M65" t="s">
        <v>8</v>
      </c>
      <c r="N65" t="s">
        <v>7</v>
      </c>
      <c r="P65">
        <f t="shared" ref="P65" si="300">IF(C65=D65,0,((E65-D65)-(C65-E65))/(C65-D65))</f>
        <v>0.94221508828250411</v>
      </c>
      <c r="Q65">
        <f t="shared" ref="Q65" si="301">F65*P65</f>
        <v>100582680.65425362</v>
      </c>
      <c r="R65">
        <f t="shared" ref="R65" si="302">R66+Q65</f>
        <v>-6872645369.0793161</v>
      </c>
      <c r="S65">
        <f t="shared" ref="S65" si="303">R65/100000</f>
        <v>-68726.453690793162</v>
      </c>
      <c r="T65">
        <f t="shared" ref="T65" si="304">S65/1000</f>
        <v>-68.726453690793164</v>
      </c>
    </row>
    <row r="66" spans="1:20" x14ac:dyDescent="0.25">
      <c r="A66" s="5">
        <v>44527</v>
      </c>
      <c r="B66">
        <v>0.14297000000000001</v>
      </c>
      <c r="C66">
        <v>0.15856999999999999</v>
      </c>
      <c r="D66">
        <v>0.14152000000000001</v>
      </c>
      <c r="E66">
        <v>0.14704999999999999</v>
      </c>
      <c r="F66">
        <v>136525259</v>
      </c>
      <c r="G66">
        <v>0.14704999999999999</v>
      </c>
      <c r="L66" t="s">
        <v>8</v>
      </c>
      <c r="M66" t="s">
        <v>8</v>
      </c>
      <c r="N66" t="s">
        <v>7</v>
      </c>
      <c r="P66">
        <f t="shared" ref="P66" si="305">IF(C66=D66,0,((E66-D66)-(C66-E66))/(C66-D66))</f>
        <v>-0.35131964809384336</v>
      </c>
      <c r="Q66">
        <f t="shared" ref="Q66" si="306">F66*P66</f>
        <v>-47964005.947800823</v>
      </c>
      <c r="R66">
        <f t="shared" ref="R66" si="307">R67+Q66</f>
        <v>-6973228049.7335701</v>
      </c>
      <c r="S66">
        <f t="shared" ref="S66" si="308">R66/100000</f>
        <v>-69732.280497335698</v>
      </c>
      <c r="T66">
        <f t="shared" ref="T66" si="309">S66/1000</f>
        <v>-69.732280497335694</v>
      </c>
    </row>
    <row r="67" spans="1:20" x14ac:dyDescent="0.25">
      <c r="A67" s="5">
        <v>44526</v>
      </c>
      <c r="B67">
        <v>0.15881999999999999</v>
      </c>
      <c r="C67">
        <v>0.15892000000000001</v>
      </c>
      <c r="D67">
        <v>0.13300000000000001</v>
      </c>
      <c r="E67">
        <v>0.14302000000000001</v>
      </c>
      <c r="F67">
        <v>112527233.90000001</v>
      </c>
      <c r="G67">
        <v>0.14302000000000001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-0.22685185185185172</v>
      </c>
      <c r="Q67">
        <f t="shared" ref="Q67" si="311">F67*P67</f>
        <v>-25527011.393981468</v>
      </c>
      <c r="R67">
        <f t="shared" ref="R67" si="312">R68+Q67</f>
        <v>-6925264043.7857695</v>
      </c>
      <c r="S67">
        <f t="shared" ref="S67" si="313">R67/100000</f>
        <v>-69252.640437857699</v>
      </c>
      <c r="T67">
        <f t="shared" ref="T67" si="314">S67/1000</f>
        <v>-69.252640437857693</v>
      </c>
    </row>
    <row r="68" spans="1:20" x14ac:dyDescent="0.25">
      <c r="A68" s="5">
        <v>44525</v>
      </c>
      <c r="B68">
        <v>0.15140000000000001</v>
      </c>
      <c r="C68">
        <v>0.1694</v>
      </c>
      <c r="D68">
        <v>0.15057000000000001</v>
      </c>
      <c r="E68">
        <v>0.15878999999999999</v>
      </c>
      <c r="F68">
        <v>192022613.30000001</v>
      </c>
      <c r="G68">
        <v>0.15878999999999999</v>
      </c>
      <c r="L68" t="s">
        <v>8</v>
      </c>
      <c r="M68" t="s">
        <v>7</v>
      </c>
      <c r="N68" t="s">
        <v>7</v>
      </c>
      <c r="P68">
        <f t="shared" ref="P68" si="315">IF(C68=D68,0,((E68-D68)-(C68-E68))/(C68-D68))</f>
        <v>-0.12692511949017699</v>
      </c>
      <c r="Q68">
        <f t="shared" ref="Q68" si="316">F68*P68</f>
        <v>-24372493.137918551</v>
      </c>
      <c r="R68">
        <f t="shared" ref="R68" si="317">R69+Q68</f>
        <v>-6899737032.3917875</v>
      </c>
      <c r="S68">
        <f t="shared" ref="S68" si="318">R68/100000</f>
        <v>-68997.370323917872</v>
      </c>
      <c r="T68">
        <f t="shared" ref="T68" si="319">S68/1000</f>
        <v>-68.997370323917877</v>
      </c>
    </row>
    <row r="69" spans="1:20" x14ac:dyDescent="0.25">
      <c r="A69" s="5">
        <v>44524</v>
      </c>
      <c r="B69">
        <v>0.15845999999999999</v>
      </c>
      <c r="C69">
        <v>0.15981000000000001</v>
      </c>
      <c r="D69">
        <v>0.15239</v>
      </c>
      <c r="E69">
        <v>0.15448000000000001</v>
      </c>
      <c r="F69">
        <v>27252043.100000001</v>
      </c>
      <c r="G69">
        <v>0.15448000000000001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-0.43665768194069926</v>
      </c>
      <c r="Q69">
        <f t="shared" ref="Q69" si="321">F69*P69</f>
        <v>-11899813.968194028</v>
      </c>
      <c r="R69">
        <f t="shared" ref="R69" si="322">R70+Q69</f>
        <v>-6875364539.2538691</v>
      </c>
      <c r="S69">
        <f t="shared" ref="S69" si="323">R69/100000</f>
        <v>-68753.645392538689</v>
      </c>
      <c r="T69">
        <f t="shared" ref="T69" si="324">S69/1000</f>
        <v>-68.753645392538687</v>
      </c>
    </row>
    <row r="70" spans="1:20" x14ac:dyDescent="0.25">
      <c r="A70" s="5">
        <v>44523</v>
      </c>
      <c r="B70">
        <v>0.1638</v>
      </c>
      <c r="C70">
        <v>0.17247999999999999</v>
      </c>
      <c r="D70">
        <v>0.15720000000000001</v>
      </c>
      <c r="E70">
        <v>0.15841</v>
      </c>
      <c r="F70">
        <v>111279699.8</v>
      </c>
      <c r="G70">
        <v>0.15841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-0.84162303664921601</v>
      </c>
      <c r="Q70">
        <f t="shared" ref="Q70" si="326">F70*P70</f>
        <v>-93655558.863089159</v>
      </c>
      <c r="R70">
        <f t="shared" ref="R70" si="327">R71+Q70</f>
        <v>-6863464725.285675</v>
      </c>
      <c r="S70">
        <f t="shared" ref="S70" si="328">R70/100000</f>
        <v>-68634.647252856754</v>
      </c>
      <c r="T70">
        <f t="shared" ref="T70" si="329">S70/1000</f>
        <v>-68.634647252856752</v>
      </c>
    </row>
    <row r="71" spans="1:20" x14ac:dyDescent="0.25">
      <c r="A71" s="5">
        <v>44522</v>
      </c>
      <c r="B71">
        <v>0.17155000000000001</v>
      </c>
      <c r="C71">
        <v>0.17676</v>
      </c>
      <c r="D71">
        <v>0.16164999999999999</v>
      </c>
      <c r="E71">
        <v>0.16377</v>
      </c>
      <c r="F71">
        <v>179718580.69999999</v>
      </c>
      <c r="G71">
        <v>0.16377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-0.71939113170085911</v>
      </c>
      <c r="Q71">
        <f t="shared" ref="Q71" si="331">F71*P71</f>
        <v>-129287953.15744516</v>
      </c>
      <c r="R71">
        <f t="shared" ref="R71" si="332">R72+Q71</f>
        <v>-6769809166.4225855</v>
      </c>
      <c r="S71">
        <f t="shared" ref="S71" si="333">R71/100000</f>
        <v>-67698.091664225853</v>
      </c>
      <c r="T71">
        <f t="shared" ref="T71" si="334">S71/1000</f>
        <v>-67.698091664225856</v>
      </c>
    </row>
    <row r="72" spans="1:20" x14ac:dyDescent="0.25">
      <c r="A72" s="5">
        <v>44521</v>
      </c>
      <c r="B72">
        <v>0.16649</v>
      </c>
      <c r="C72">
        <v>0.1956</v>
      </c>
      <c r="D72">
        <v>0.16044</v>
      </c>
      <c r="E72">
        <v>0.17141000000000001</v>
      </c>
      <c r="F72">
        <v>458620413.60000002</v>
      </c>
      <c r="G72">
        <v>0.17141000000000001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-0.37599544937428847</v>
      </c>
      <c r="Q72">
        <f t="shared" ref="Q72" si="336">F72*P72</f>
        <v>-172439188.50375405</v>
      </c>
      <c r="R72">
        <f t="shared" ref="R72" si="337">R73+Q72</f>
        <v>-6640521213.2651405</v>
      </c>
      <c r="S72">
        <f t="shared" ref="S72" si="338">R72/100000</f>
        <v>-66405.212132651402</v>
      </c>
      <c r="T72">
        <f t="shared" ref="T72" si="339">S72/1000</f>
        <v>-66.4052121326514</v>
      </c>
    </row>
    <row r="73" spans="1:20" x14ac:dyDescent="0.25">
      <c r="A73" s="5">
        <v>44520</v>
      </c>
      <c r="B73">
        <v>0.16458</v>
      </c>
      <c r="C73">
        <v>0.16933000000000001</v>
      </c>
      <c r="D73">
        <v>0.15853</v>
      </c>
      <c r="E73">
        <v>0.16657</v>
      </c>
      <c r="F73">
        <v>121848262.40000001</v>
      </c>
      <c r="G73">
        <v>0.16657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0.48888888888888676</v>
      </c>
      <c r="Q73">
        <f t="shared" ref="Q73" si="341">F73*P73</f>
        <v>59570261.617777519</v>
      </c>
      <c r="R73">
        <f t="shared" ref="R73" si="342">R74+Q73</f>
        <v>-6468082024.7613869</v>
      </c>
      <c r="S73">
        <f t="shared" ref="S73" si="343">R73/100000</f>
        <v>-64680.820247613869</v>
      </c>
      <c r="T73">
        <f t="shared" ref="T73" si="344">S73/1000</f>
        <v>-64.680820247613866</v>
      </c>
    </row>
    <row r="74" spans="1:20" x14ac:dyDescent="0.25">
      <c r="A74" s="5">
        <v>44519</v>
      </c>
      <c r="B74">
        <v>0.15010999999999999</v>
      </c>
      <c r="C74">
        <v>0.16786000000000001</v>
      </c>
      <c r="D74">
        <v>0.14649999999999999</v>
      </c>
      <c r="E74">
        <v>0.16453999999999999</v>
      </c>
      <c r="F74">
        <v>121111793.5</v>
      </c>
      <c r="G74">
        <v>0.16453999999999999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0.6891385767790249</v>
      </c>
      <c r="Q74">
        <f t="shared" ref="Q74" si="346">F74*P74</f>
        <v>83462809.003745154</v>
      </c>
      <c r="R74">
        <f t="shared" ref="R74" si="347">R75+Q74</f>
        <v>-6527652286.3791647</v>
      </c>
      <c r="S74">
        <f t="shared" ref="S74" si="348">R74/100000</f>
        <v>-65276.522863791644</v>
      </c>
      <c r="T74">
        <f t="shared" ref="T74" si="349">S74/1000</f>
        <v>-65.276522863791641</v>
      </c>
    </row>
    <row r="75" spans="1:20" x14ac:dyDescent="0.25">
      <c r="A75" s="5">
        <v>44518</v>
      </c>
      <c r="B75">
        <v>0.16983000000000001</v>
      </c>
      <c r="C75">
        <v>0.17266999999999999</v>
      </c>
      <c r="D75">
        <v>0.14838999999999999</v>
      </c>
      <c r="E75">
        <v>0.14996999999999999</v>
      </c>
      <c r="F75">
        <v>139411360.90000001</v>
      </c>
      <c r="G75">
        <v>0.14996999999999999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-0.86985172981878101</v>
      </c>
      <c r="Q75">
        <f t="shared" ref="Q75" si="351">F75*P75</f>
        <v>-121267213.43525538</v>
      </c>
      <c r="R75">
        <f t="shared" ref="R75" si="352">R76+Q75</f>
        <v>-6611115095.3829098</v>
      </c>
      <c r="S75">
        <f t="shared" ref="S75" si="353">R75/100000</f>
        <v>-66111.150953829099</v>
      </c>
      <c r="T75">
        <f t="shared" ref="T75" si="354">S75/1000</f>
        <v>-66.111150953829096</v>
      </c>
    </row>
    <row r="76" spans="1:20" x14ac:dyDescent="0.25">
      <c r="A76" s="5">
        <v>44517</v>
      </c>
      <c r="B76">
        <v>0.17366999999999999</v>
      </c>
      <c r="C76">
        <v>0.17662</v>
      </c>
      <c r="D76">
        <v>0.16764000000000001</v>
      </c>
      <c r="E76">
        <v>0.16986000000000001</v>
      </c>
      <c r="F76">
        <v>98132988</v>
      </c>
      <c r="G76">
        <v>0.16986000000000001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-0.5055679287305116</v>
      </c>
      <c r="Q76">
        <f t="shared" ref="Q76" si="356">F76*P76</f>
        <v>-49612891.483296148</v>
      </c>
      <c r="R76">
        <f t="shared" ref="R76" si="357">R77+Q76</f>
        <v>-6489847881.9476547</v>
      </c>
      <c r="S76">
        <f t="shared" ref="S76" si="358">R76/100000</f>
        <v>-64898.47881947655</v>
      </c>
      <c r="T76">
        <f t="shared" ref="T76" si="359">S76/1000</f>
        <v>-64.898478819476551</v>
      </c>
    </row>
    <row r="77" spans="1:20" x14ac:dyDescent="0.25">
      <c r="A77" s="5">
        <v>44516</v>
      </c>
      <c r="B77">
        <v>0.19309999999999999</v>
      </c>
      <c r="C77">
        <v>0.19313</v>
      </c>
      <c r="D77">
        <v>0.16597000000000001</v>
      </c>
      <c r="E77">
        <v>0.17371</v>
      </c>
      <c r="F77">
        <v>197681405.90000001</v>
      </c>
      <c r="G77">
        <v>0.17371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-0.43004418262150224</v>
      </c>
      <c r="Q77">
        <f t="shared" ref="Q77" si="361">F77*P77</f>
        <v>-85011738.619734913</v>
      </c>
      <c r="R77">
        <f t="shared" ref="R77" si="362">R78+Q77</f>
        <v>-6440234990.4643583</v>
      </c>
      <c r="S77">
        <f t="shared" ref="S77" si="363">R77/100000</f>
        <v>-64402.349904643583</v>
      </c>
      <c r="T77">
        <f t="shared" ref="T77" si="364">S77/1000</f>
        <v>-64.402349904643586</v>
      </c>
    </row>
    <row r="78" spans="1:20" x14ac:dyDescent="0.25">
      <c r="A78" s="5">
        <v>44515</v>
      </c>
      <c r="B78">
        <v>0.20188</v>
      </c>
      <c r="C78">
        <v>0.20349</v>
      </c>
      <c r="D78">
        <v>0.19214000000000001</v>
      </c>
      <c r="E78">
        <v>0.19319</v>
      </c>
      <c r="F78">
        <v>80022034.599999994</v>
      </c>
      <c r="G78">
        <v>0.19319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-0.81497797356828272</v>
      </c>
      <c r="Q78">
        <f t="shared" ref="Q78" si="366">F78*P78</f>
        <v>-65216195.599119</v>
      </c>
      <c r="R78">
        <f t="shared" ref="R78" si="367">R79+Q78</f>
        <v>-6355223251.8446236</v>
      </c>
      <c r="S78">
        <f t="shared" ref="S78" si="368">R78/100000</f>
        <v>-63552.232518446239</v>
      </c>
      <c r="T78">
        <f t="shared" ref="T78" si="369">S78/1000</f>
        <v>-63.552232518446239</v>
      </c>
    </row>
    <row r="79" spans="1:20" x14ac:dyDescent="0.25">
      <c r="A79" s="5">
        <v>44514</v>
      </c>
      <c r="B79">
        <v>0.20296</v>
      </c>
      <c r="C79">
        <v>0.20430999999999999</v>
      </c>
      <c r="D79">
        <v>0.19606000000000001</v>
      </c>
      <c r="E79">
        <v>0.20180999999999999</v>
      </c>
      <c r="F79">
        <v>124231757.7</v>
      </c>
      <c r="G79">
        <v>0.20180999999999999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0.39393939393939192</v>
      </c>
      <c r="Q79">
        <f t="shared" ref="Q79" si="371">F79*P79</f>
        <v>48939783.33636339</v>
      </c>
      <c r="R79">
        <f t="shared" ref="R79" si="372">R80+Q79</f>
        <v>-6290007056.2455044</v>
      </c>
      <c r="S79">
        <f t="shared" ref="S79" si="373">R79/100000</f>
        <v>-62900.070562455046</v>
      </c>
      <c r="T79">
        <f t="shared" ref="T79" si="374">S79/1000</f>
        <v>-62.900070562455049</v>
      </c>
    </row>
    <row r="80" spans="1:20" x14ac:dyDescent="0.25">
      <c r="A80" s="5">
        <v>44513</v>
      </c>
      <c r="B80">
        <v>0.21145</v>
      </c>
      <c r="C80">
        <v>0.22675000000000001</v>
      </c>
      <c r="D80">
        <v>0.20104</v>
      </c>
      <c r="E80">
        <v>0.20299</v>
      </c>
      <c r="F80">
        <v>221390348.09999999</v>
      </c>
      <c r="G80">
        <v>0.20299</v>
      </c>
      <c r="L80" t="s">
        <v>7</v>
      </c>
      <c r="M80" t="s">
        <v>8</v>
      </c>
      <c r="N80" t="s">
        <v>7</v>
      </c>
      <c r="P80">
        <f t="shared" ref="P80" si="375">IF(C80=D80,0,((E80-D80)-(C80-E80))/(C80-D80))</f>
        <v>-0.8483080513418898</v>
      </c>
      <c r="Q80">
        <f t="shared" ref="Q80" si="376">F80*P80</f>
        <v>-187807214.78261366</v>
      </c>
      <c r="R80">
        <f t="shared" ref="R80" si="377">R81+Q80</f>
        <v>-6338946839.5818682</v>
      </c>
      <c r="S80">
        <f t="shared" ref="S80" si="378">R80/100000</f>
        <v>-63389.46839581868</v>
      </c>
      <c r="T80">
        <f t="shared" ref="T80" si="379">S80/1000</f>
        <v>-63.389468395818682</v>
      </c>
    </row>
    <row r="81" spans="1:20" x14ac:dyDescent="0.25">
      <c r="A81" s="5">
        <v>44512</v>
      </c>
      <c r="B81">
        <v>0.19586000000000001</v>
      </c>
      <c r="C81">
        <v>0.23271</v>
      </c>
      <c r="D81">
        <v>0.19183</v>
      </c>
      <c r="E81">
        <v>0.21153</v>
      </c>
      <c r="F81">
        <v>667611642.39999998</v>
      </c>
      <c r="G81">
        <v>0.21153</v>
      </c>
      <c r="L81" t="s">
        <v>8</v>
      </c>
      <c r="M81" t="s">
        <v>8</v>
      </c>
      <c r="N81" t="s">
        <v>7</v>
      </c>
      <c r="P81">
        <f t="shared" ref="P81" si="380">IF(C81=D81,0,((E81-D81)-(C81-E81))/(C81-D81))</f>
        <v>-3.6203522504892588E-2</v>
      </c>
      <c r="Q81">
        <f t="shared" ref="Q81" si="381">F81*P81</f>
        <v>-24169893.120156702</v>
      </c>
      <c r="R81">
        <f t="shared" ref="R81" si="382">R82+Q81</f>
        <v>-6151139624.7992544</v>
      </c>
      <c r="S81">
        <f t="shared" ref="S81" si="383">R81/100000</f>
        <v>-61511.396247992547</v>
      </c>
      <c r="T81">
        <f t="shared" ref="T81" si="384">S81/1000</f>
        <v>-61.511396247992543</v>
      </c>
    </row>
    <row r="82" spans="1:20" x14ac:dyDescent="0.25">
      <c r="A82" s="5">
        <v>44511</v>
      </c>
      <c r="B82">
        <v>0.18165000000000001</v>
      </c>
      <c r="C82">
        <v>0.21096000000000001</v>
      </c>
      <c r="D82">
        <v>0.17801</v>
      </c>
      <c r="E82">
        <v>0.19594</v>
      </c>
      <c r="F82">
        <v>389737743.30000001</v>
      </c>
      <c r="G82">
        <v>0.19594</v>
      </c>
      <c r="L82" t="s">
        <v>7</v>
      </c>
      <c r="M82" t="s">
        <v>8</v>
      </c>
      <c r="N82" t="s">
        <v>7</v>
      </c>
      <c r="P82">
        <f t="shared" ref="P82" si="385">IF(C82=D82,0,((E82-D82)-(C82-E82))/(C82-D82))</f>
        <v>8.8315629742033247E-2</v>
      </c>
      <c r="Q82">
        <f t="shared" ref="Q82" si="386">F82*P82</f>
        <v>34419934.233778402</v>
      </c>
      <c r="R82">
        <f t="shared" ref="R82" si="387">R83+Q82</f>
        <v>-6126969731.6790981</v>
      </c>
      <c r="S82">
        <f t="shared" ref="S82" si="388">R82/100000</f>
        <v>-61269.697316790982</v>
      </c>
      <c r="T82">
        <f t="shared" ref="T82" si="389">S82/1000</f>
        <v>-61.269697316790982</v>
      </c>
    </row>
    <row r="83" spans="1:20" x14ac:dyDescent="0.25">
      <c r="A83" s="5">
        <v>44510</v>
      </c>
      <c r="B83">
        <v>0.18998000000000001</v>
      </c>
      <c r="C83">
        <v>0.21088999999999999</v>
      </c>
      <c r="D83">
        <v>0.17199999999999999</v>
      </c>
      <c r="E83">
        <v>0.18167</v>
      </c>
      <c r="F83">
        <v>419280904.10000002</v>
      </c>
      <c r="G83">
        <v>0.18167</v>
      </c>
      <c r="L83" t="s">
        <v>8</v>
      </c>
      <c r="M83" t="s">
        <v>7</v>
      </c>
      <c r="N83" t="s">
        <v>7</v>
      </c>
      <c r="P83">
        <f t="shared" ref="P83" si="390">IF(C83=D83,0,((E83-D83)-(C83-E83))/(C83-D83))</f>
        <v>-0.50269992285934639</v>
      </c>
      <c r="Q83">
        <f t="shared" ref="Q83" si="391">F83*P83</f>
        <v>-210772478.14746702</v>
      </c>
      <c r="R83">
        <f t="shared" ref="R83" si="392">R84+Q83</f>
        <v>-6161389665.9128761</v>
      </c>
      <c r="S83">
        <f t="shared" ref="S83" si="393">R83/100000</f>
        <v>-61613.896659128761</v>
      </c>
      <c r="T83">
        <f t="shared" ref="T83" si="394">S83/1000</f>
        <v>-61.613896659128763</v>
      </c>
    </row>
    <row r="84" spans="1:20" x14ac:dyDescent="0.25">
      <c r="A84" s="5">
        <v>44509</v>
      </c>
      <c r="B84">
        <v>0.18929000000000001</v>
      </c>
      <c r="C84">
        <v>0.20174</v>
      </c>
      <c r="D84">
        <v>0.18743000000000001</v>
      </c>
      <c r="E84">
        <v>0.19</v>
      </c>
      <c r="F84">
        <v>183329163</v>
      </c>
      <c r="G84">
        <v>0.19</v>
      </c>
      <c r="L84" t="s">
        <v>8</v>
      </c>
      <c r="M84" t="s">
        <v>8</v>
      </c>
      <c r="N84" t="s">
        <v>7</v>
      </c>
      <c r="P84">
        <f t="shared" ref="P84" si="395">IF(C84=D84,0,((E84-D84)-(C84-E84))/(C84-D84))</f>
        <v>-0.64081062194269867</v>
      </c>
      <c r="Q84">
        <f t="shared" ref="Q84" si="396">F84*P84</f>
        <v>-117479274.96226437</v>
      </c>
      <c r="R84">
        <f t="shared" ref="R84" si="397">R85+Q84</f>
        <v>-5950617187.7654095</v>
      </c>
      <c r="S84">
        <f t="shared" ref="S84" si="398">R84/100000</f>
        <v>-59506.171877654095</v>
      </c>
      <c r="T84">
        <f t="shared" ref="T84" si="399">S84/1000</f>
        <v>-59.506171877654097</v>
      </c>
    </row>
    <row r="85" spans="1:20" x14ac:dyDescent="0.25">
      <c r="A85" s="5">
        <v>44508</v>
      </c>
      <c r="B85">
        <v>0.19461999999999999</v>
      </c>
      <c r="C85">
        <v>0.19500000000000001</v>
      </c>
      <c r="D85">
        <v>0.18703</v>
      </c>
      <c r="E85">
        <v>0.18937999999999999</v>
      </c>
      <c r="F85">
        <v>119482585</v>
      </c>
      <c r="G85">
        <v>0.18937999999999999</v>
      </c>
      <c r="L85" t="s">
        <v>7</v>
      </c>
      <c r="M85" t="s">
        <v>8</v>
      </c>
      <c r="N85" t="s">
        <v>7</v>
      </c>
      <c r="P85">
        <f t="shared" ref="P85" si="400">IF(C85=D85,0,((E85-D85)-(C85-E85))/(C85-D85))</f>
        <v>-0.41028858218318959</v>
      </c>
      <c r="Q85">
        <f t="shared" ref="Q85" si="401">F85*P85</f>
        <v>-49022340.395232439</v>
      </c>
      <c r="R85">
        <f t="shared" ref="R85" si="402">R86+Q85</f>
        <v>-5833137912.8031454</v>
      </c>
      <c r="S85">
        <f t="shared" ref="S85" si="403">R85/100000</f>
        <v>-58331.379128031454</v>
      </c>
      <c r="T85">
        <f t="shared" ref="T85" si="404">S85/1000</f>
        <v>-58.331379128031458</v>
      </c>
    </row>
    <row r="86" spans="1:20" x14ac:dyDescent="0.25">
      <c r="A86" s="5">
        <v>44507</v>
      </c>
      <c r="B86">
        <v>0.19563</v>
      </c>
      <c r="C86">
        <v>0.21268000000000001</v>
      </c>
      <c r="D86">
        <v>0.19220000000000001</v>
      </c>
      <c r="E86">
        <v>0.19455</v>
      </c>
      <c r="F86">
        <v>228783114.59999999</v>
      </c>
      <c r="G86">
        <v>0.19455</v>
      </c>
      <c r="L86" t="s">
        <v>7</v>
      </c>
      <c r="M86" t="s">
        <v>8</v>
      </c>
      <c r="N86" t="s">
        <v>7</v>
      </c>
      <c r="P86">
        <f t="shared" ref="P86" si="405">IF(C86=D86,0,((E86-D86)-(C86-E86))/(C86-D86))</f>
        <v>-0.77050781250000089</v>
      </c>
      <c r="Q86">
        <f t="shared" ref="Q86" si="406">F86*P86</f>
        <v>-176279177.16738302</v>
      </c>
      <c r="R86">
        <f t="shared" ref="R86" si="407">R87+Q86</f>
        <v>-5784115572.4079132</v>
      </c>
      <c r="S86">
        <f t="shared" ref="S86" si="408">R86/100000</f>
        <v>-57841.15572407913</v>
      </c>
      <c r="T86">
        <f t="shared" ref="T86" si="409">S86/1000</f>
        <v>-57.84115572407913</v>
      </c>
    </row>
    <row r="87" spans="1:20" x14ac:dyDescent="0.25">
      <c r="A87" s="5">
        <v>44506</v>
      </c>
      <c r="B87">
        <v>0.18967000000000001</v>
      </c>
      <c r="C87">
        <v>0.215</v>
      </c>
      <c r="D87">
        <v>0.17934</v>
      </c>
      <c r="E87">
        <v>0.19545999999999999</v>
      </c>
      <c r="F87">
        <v>458198746.19999999</v>
      </c>
      <c r="G87">
        <v>0.19545999999999999</v>
      </c>
      <c r="L87" t="s">
        <v>8</v>
      </c>
      <c r="M87" t="s">
        <v>8</v>
      </c>
      <c r="N87" t="s">
        <v>7</v>
      </c>
      <c r="P87">
        <f t="shared" ref="P87" si="410">IF(C87=D87,0,((E87-D87)-(C87-E87))/(C87-D87))</f>
        <v>-9.5905776780706858E-2</v>
      </c>
      <c r="Q87">
        <f t="shared" ref="Q87" si="411">F87*P87</f>
        <v>-43943906.674256951</v>
      </c>
      <c r="R87">
        <f t="shared" ref="R87" si="412">R88+Q87</f>
        <v>-5607836395.24053</v>
      </c>
      <c r="S87">
        <f t="shared" ref="S87" si="413">R87/100000</f>
        <v>-56078.3639524053</v>
      </c>
      <c r="T87">
        <f t="shared" ref="T87" si="414">S87/1000</f>
        <v>-56.078363952405297</v>
      </c>
    </row>
    <row r="88" spans="1:20" x14ac:dyDescent="0.25">
      <c r="A88" s="5">
        <v>44505</v>
      </c>
      <c r="B88">
        <v>0.19040000000000001</v>
      </c>
      <c r="C88">
        <v>0.20924000000000001</v>
      </c>
      <c r="D88">
        <v>0.17716999999999999</v>
      </c>
      <c r="E88">
        <v>0.18958</v>
      </c>
      <c r="F88">
        <v>340759404.10000002</v>
      </c>
      <c r="G88">
        <v>0.18958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-0.22606797630183981</v>
      </c>
      <c r="Q88">
        <f t="shared" ref="Q88" si="416">F88*P88</f>
        <v>-77034788.890707865</v>
      </c>
      <c r="R88">
        <f t="shared" ref="R88" si="417">R89+Q88</f>
        <v>-5563892488.5662727</v>
      </c>
      <c r="S88">
        <f t="shared" ref="S88" si="418">R88/100000</f>
        <v>-55638.924885662731</v>
      </c>
      <c r="T88">
        <f t="shared" ref="T88" si="419">S88/1000</f>
        <v>-55.638924885662732</v>
      </c>
    </row>
    <row r="89" spans="1:20" x14ac:dyDescent="0.25">
      <c r="A89" s="5">
        <v>44504</v>
      </c>
      <c r="B89">
        <v>0.21038000000000001</v>
      </c>
      <c r="C89">
        <v>0.24692</v>
      </c>
      <c r="D89">
        <v>0.18701999999999999</v>
      </c>
      <c r="E89">
        <v>0.19042000000000001</v>
      </c>
      <c r="F89">
        <v>740697093.79999995</v>
      </c>
      <c r="G89">
        <v>0.19042000000000001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-0.88647746243739522</v>
      </c>
      <c r="Q89">
        <f t="shared" ref="Q89" si="421">F89*P89</f>
        <v>-656611280.14657724</v>
      </c>
      <c r="R89">
        <f t="shared" ref="R89" si="422">R90+Q89</f>
        <v>-5486857699.6755648</v>
      </c>
      <c r="S89">
        <f t="shared" ref="S89" si="423">R89/100000</f>
        <v>-54868.576996755648</v>
      </c>
      <c r="T89">
        <f t="shared" ref="T89" si="424">S89/1000</f>
        <v>-54.86857699675565</v>
      </c>
    </row>
    <row r="90" spans="1:20" x14ac:dyDescent="0.25">
      <c r="A90" s="5">
        <v>44503</v>
      </c>
      <c r="B90">
        <v>0.18998999999999999</v>
      </c>
      <c r="C90">
        <v>0.27524999999999999</v>
      </c>
      <c r="D90">
        <v>0.1817</v>
      </c>
      <c r="E90">
        <v>0.21049999999999999</v>
      </c>
      <c r="F90">
        <v>2445011735.6999998</v>
      </c>
      <c r="G90">
        <v>0.21049999999999999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-0.38428647781934805</v>
      </c>
      <c r="Q90">
        <f t="shared" ref="Q90" si="426">F90*P90</f>
        <v>-939584948.13912368</v>
      </c>
      <c r="R90">
        <f t="shared" ref="R90" si="427">R91+Q90</f>
        <v>-4830246419.5289879</v>
      </c>
      <c r="S90">
        <f t="shared" ref="S90" si="428">R90/100000</f>
        <v>-48302.464195289882</v>
      </c>
      <c r="T90">
        <f t="shared" ref="T90" si="429">S90/1000</f>
        <v>-48.302464195289879</v>
      </c>
    </row>
    <row r="91" spans="1:20" x14ac:dyDescent="0.25">
      <c r="A91" s="5">
        <v>44502</v>
      </c>
      <c r="B91">
        <v>0.14418</v>
      </c>
      <c r="C91">
        <v>0.24274000000000001</v>
      </c>
      <c r="D91">
        <v>0.14221</v>
      </c>
      <c r="E91">
        <v>0.18992999999999999</v>
      </c>
      <c r="F91">
        <v>1408037876.5</v>
      </c>
      <c r="G91">
        <v>0.18992999999999999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-5.0631652243111891E-2</v>
      </c>
      <c r="Q91">
        <f t="shared" ref="Q91" si="431">F91*P91</f>
        <v>-71291284.108077735</v>
      </c>
      <c r="R91">
        <f t="shared" ref="R91" si="432">R92+Q91</f>
        <v>-3890661471.3898644</v>
      </c>
      <c r="S91">
        <f t="shared" ref="S91" si="433">R91/100000</f>
        <v>-38906.614713898642</v>
      </c>
      <c r="T91">
        <f t="shared" ref="T91" si="434">S91/1000</f>
        <v>-38.906614713898641</v>
      </c>
    </row>
    <row r="92" spans="1:20" x14ac:dyDescent="0.25">
      <c r="A92" s="5">
        <v>44501</v>
      </c>
      <c r="B92">
        <v>0.13775999999999999</v>
      </c>
      <c r="C92">
        <v>0.15684000000000001</v>
      </c>
      <c r="D92">
        <v>0.13192999999999999</v>
      </c>
      <c r="E92">
        <v>0.14416000000000001</v>
      </c>
      <c r="F92">
        <v>312365149.60000002</v>
      </c>
      <c r="G92">
        <v>0.14416000000000001</v>
      </c>
      <c r="L92" t="s">
        <v>7</v>
      </c>
      <c r="M92" t="s">
        <v>8</v>
      </c>
      <c r="N92" t="s">
        <v>7</v>
      </c>
      <c r="P92">
        <f t="shared" ref="P92" si="435">IF(C92=D92,0,((E92-D92)-(C92-E92))/(C92-D92))</f>
        <v>-1.8065034122841345E-2</v>
      </c>
      <c r="Q92">
        <f t="shared" ref="Q92" si="436">F92*P92</f>
        <v>-5642887.0863104416</v>
      </c>
      <c r="R92">
        <f t="shared" ref="R92" si="437">R93+Q92</f>
        <v>-3819370187.2817869</v>
      </c>
      <c r="S92">
        <f t="shared" ref="S92" si="438">R92/100000</f>
        <v>-38193.701872817866</v>
      </c>
      <c r="T92">
        <f t="shared" ref="T92" si="439">S92/1000</f>
        <v>-38.193701872817869</v>
      </c>
    </row>
    <row r="93" spans="1:20" x14ac:dyDescent="0.25">
      <c r="A93" s="5">
        <v>44500</v>
      </c>
      <c r="B93">
        <v>0.13977999999999999</v>
      </c>
      <c r="C93">
        <v>0.15805</v>
      </c>
      <c r="D93">
        <v>0.13436000000000001</v>
      </c>
      <c r="E93">
        <v>0.13780000000000001</v>
      </c>
      <c r="F93">
        <v>234136980</v>
      </c>
      <c r="G93">
        <v>0.13780000000000001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-0.70958210215280704</v>
      </c>
      <c r="Q93">
        <f t="shared" ref="Q93" si="441">F93*P93</f>
        <v>-166139410.46010974</v>
      </c>
      <c r="R93">
        <f t="shared" ref="R93" si="442">R94+Q93</f>
        <v>-3813727300.1954765</v>
      </c>
      <c r="S93">
        <f t="shared" ref="S93" si="443">R93/100000</f>
        <v>-38137.273001954767</v>
      </c>
      <c r="T93">
        <f t="shared" ref="T93" si="444">S93/1000</f>
        <v>-38.137273001954767</v>
      </c>
    </row>
    <row r="94" spans="1:20" x14ac:dyDescent="0.25">
      <c r="A94" s="5">
        <v>44499</v>
      </c>
      <c r="B94">
        <v>0.13571</v>
      </c>
      <c r="C94">
        <v>0.16300000000000001</v>
      </c>
      <c r="D94">
        <v>0.13253000000000001</v>
      </c>
      <c r="E94">
        <v>0.13983000000000001</v>
      </c>
      <c r="F94">
        <v>502950317.39999998</v>
      </c>
      <c r="G94">
        <v>0.13983000000000001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-0.52084017065966515</v>
      </c>
      <c r="Q94">
        <f t="shared" ref="Q94" si="446">F94*P94</f>
        <v>-261956729.14794874</v>
      </c>
      <c r="R94">
        <f t="shared" ref="R94" si="447">R95+Q94</f>
        <v>-3647587889.7353668</v>
      </c>
      <c r="S94">
        <f t="shared" ref="S94" si="448">R94/100000</f>
        <v>-36475.878897353665</v>
      </c>
      <c r="T94">
        <f t="shared" ref="T94" si="449">S94/1000</f>
        <v>-36.475878897353667</v>
      </c>
    </row>
    <row r="95" spans="1:20" x14ac:dyDescent="0.25">
      <c r="A95" s="5">
        <v>44498</v>
      </c>
      <c r="B95">
        <v>0.12151000000000001</v>
      </c>
      <c r="C95">
        <v>0.15</v>
      </c>
      <c r="D95">
        <v>0.11959</v>
      </c>
      <c r="E95">
        <v>0.13572000000000001</v>
      </c>
      <c r="F95">
        <v>421788853</v>
      </c>
      <c r="G95">
        <v>0.13572000000000001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6.0835251561986804E-2</v>
      </c>
      <c r="Q95">
        <f t="shared" ref="Q95" si="451">F95*P95</f>
        <v>25659630.978296872</v>
      </c>
      <c r="R95">
        <f t="shared" ref="R95" si="452">R96+Q95</f>
        <v>-3385631160.5874181</v>
      </c>
      <c r="S95">
        <f t="shared" ref="S95" si="453">R95/100000</f>
        <v>-33856.31160587418</v>
      </c>
      <c r="T95">
        <f t="shared" ref="T95" si="454">S95/1000</f>
        <v>-33.856311605874183</v>
      </c>
    </row>
    <row r="96" spans="1:20" x14ac:dyDescent="0.25">
      <c r="A96" s="5">
        <v>44497</v>
      </c>
      <c r="B96">
        <v>0.12007</v>
      </c>
      <c r="C96">
        <v>0.12783</v>
      </c>
      <c r="D96">
        <v>0.115</v>
      </c>
      <c r="E96">
        <v>0.12146999999999999</v>
      </c>
      <c r="F96">
        <v>191168807.19999999</v>
      </c>
      <c r="G96">
        <v>0.12146999999999999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8.5736554949325926E-3</v>
      </c>
      <c r="Q96">
        <f t="shared" ref="Q96" si="456">F96*P96</f>
        <v>1639015.4943099893</v>
      </c>
      <c r="R96">
        <f t="shared" ref="R96" si="457">R97+Q96</f>
        <v>-3411290791.5657148</v>
      </c>
      <c r="S96">
        <f t="shared" ref="S96" si="458">R96/100000</f>
        <v>-34112.907915657146</v>
      </c>
      <c r="T96">
        <f t="shared" ref="T96" si="459">S96/1000</f>
        <v>-34.112907915657146</v>
      </c>
    </row>
    <row r="97" spans="1:20" x14ac:dyDescent="0.25">
      <c r="A97" s="5">
        <v>44496</v>
      </c>
      <c r="B97">
        <v>0.14581</v>
      </c>
      <c r="C97">
        <v>0.14823</v>
      </c>
      <c r="D97">
        <v>0.11434999999999999</v>
      </c>
      <c r="E97">
        <v>0.11998</v>
      </c>
      <c r="F97">
        <v>250277370.09999999</v>
      </c>
      <c r="G97">
        <v>0.11998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-0.66765053128689444</v>
      </c>
      <c r="Q97">
        <f t="shared" ref="Q97" si="461">F97*P97</f>
        <v>-167097819.11635169</v>
      </c>
      <c r="R97">
        <f t="shared" ref="R97" si="462">R98+Q97</f>
        <v>-3412929807.0600247</v>
      </c>
      <c r="S97">
        <f t="shared" ref="S97" si="463">R97/100000</f>
        <v>-34129.298070600249</v>
      </c>
      <c r="T97">
        <f t="shared" ref="T97" si="464">S97/1000</f>
        <v>-34.12929807060025</v>
      </c>
    </row>
    <row r="98" spans="1:20" x14ac:dyDescent="0.25">
      <c r="A98" s="5">
        <v>44495</v>
      </c>
      <c r="B98">
        <v>0.14712</v>
      </c>
      <c r="C98">
        <v>0.15056</v>
      </c>
      <c r="D98">
        <v>0.14452999999999999</v>
      </c>
      <c r="E98">
        <v>0.14579</v>
      </c>
      <c r="F98">
        <v>126893082.2</v>
      </c>
      <c r="G98">
        <v>0.14579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-0.58208955223880277</v>
      </c>
      <c r="Q98">
        <f t="shared" ref="Q98" si="466">F98*P98</f>
        <v>-73863137.399999589</v>
      </c>
      <c r="R98">
        <f t="shared" ref="R98" si="467">R99+Q98</f>
        <v>-3245831987.9436731</v>
      </c>
      <c r="S98">
        <f t="shared" ref="S98" si="468">R98/100000</f>
        <v>-32458.319879436731</v>
      </c>
      <c r="T98">
        <f t="shared" ref="T98" si="469">S98/1000</f>
        <v>-32.458319879436729</v>
      </c>
    </row>
    <row r="99" spans="1:20" x14ac:dyDescent="0.25">
      <c r="A99" s="5">
        <v>44494</v>
      </c>
      <c r="B99">
        <v>0.14002999999999999</v>
      </c>
      <c r="C99">
        <v>0.152</v>
      </c>
      <c r="D99">
        <v>0.13908999999999999</v>
      </c>
      <c r="E99">
        <v>0.14712</v>
      </c>
      <c r="F99">
        <v>167295985.59999999</v>
      </c>
      <c r="G99">
        <v>0.14712</v>
      </c>
      <c r="L99" t="s">
        <v>8</v>
      </c>
      <c r="M99" t="s">
        <v>7</v>
      </c>
      <c r="N99" t="s">
        <v>8</v>
      </c>
      <c r="P99">
        <f t="shared" ref="P99" si="470">IF(C99=D99,0,((E99-D99)-(C99-E99))/(C99-D99))</f>
        <v>0.243996901626647</v>
      </c>
      <c r="Q99">
        <f t="shared" ref="Q99" si="471">F99*P99</f>
        <v>40819702.140976153</v>
      </c>
      <c r="R99">
        <f t="shared" ref="R99" si="472">R100+Q99</f>
        <v>-3171968850.5436735</v>
      </c>
      <c r="S99">
        <f t="shared" ref="S99" si="473">R99/100000</f>
        <v>-31719.688505436734</v>
      </c>
      <c r="T99">
        <f t="shared" ref="T99" si="474">S99/1000</f>
        <v>-31.719688505436736</v>
      </c>
    </row>
    <row r="100" spans="1:20" x14ac:dyDescent="0.25">
      <c r="A100" s="5">
        <v>44493</v>
      </c>
      <c r="B100">
        <v>0.14726</v>
      </c>
      <c r="C100">
        <v>0.15132999999999999</v>
      </c>
      <c r="D100">
        <v>0.13700999999999999</v>
      </c>
      <c r="E100">
        <v>0.13996</v>
      </c>
      <c r="F100">
        <v>174414742.59999999</v>
      </c>
      <c r="G100">
        <v>0.13996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-0.58798882681564135</v>
      </c>
      <c r="Q100">
        <f t="shared" ref="Q100" si="476">F100*P100</f>
        <v>-102553919.88072605</v>
      </c>
      <c r="R100">
        <f t="shared" ref="R100" si="477">R101+Q100</f>
        <v>-3212788552.6846495</v>
      </c>
      <c r="S100">
        <f t="shared" ref="S100" si="478">R100/100000</f>
        <v>-32127.885526846494</v>
      </c>
      <c r="T100">
        <f t="shared" ref="T100" si="479">S100/1000</f>
        <v>-32.127885526846491</v>
      </c>
    </row>
    <row r="101" spans="1:20" x14ac:dyDescent="0.25">
      <c r="A101" s="5">
        <v>44492</v>
      </c>
      <c r="B101">
        <v>0.15257999999999999</v>
      </c>
      <c r="C101">
        <v>0.15348000000000001</v>
      </c>
      <c r="D101">
        <v>0.14455999999999999</v>
      </c>
      <c r="E101">
        <v>0.14729999999999999</v>
      </c>
      <c r="F101">
        <v>128992729.7</v>
      </c>
      <c r="G101">
        <v>0.14729999999999999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-0.38565022421524908</v>
      </c>
      <c r="Q101">
        <f t="shared" ref="Q101" si="481">F101*P101</f>
        <v>-49746075.130942024</v>
      </c>
      <c r="R101">
        <f t="shared" ref="R101" si="482">R102+Q101</f>
        <v>-3110234632.8039236</v>
      </c>
      <c r="S101">
        <f t="shared" ref="S101" si="483">R101/100000</f>
        <v>-31102.346328039235</v>
      </c>
      <c r="T101">
        <f t="shared" ref="T101" si="484">S101/1000</f>
        <v>-31.102346328039236</v>
      </c>
    </row>
    <row r="102" spans="1:20" x14ac:dyDescent="0.25">
      <c r="A102" s="5">
        <v>44491</v>
      </c>
      <c r="B102">
        <v>0.14917</v>
      </c>
      <c r="C102">
        <v>0.15692</v>
      </c>
      <c r="D102">
        <v>0.14405999999999999</v>
      </c>
      <c r="E102">
        <v>0.15268000000000001</v>
      </c>
      <c r="F102">
        <v>189089330.30000001</v>
      </c>
      <c r="G102">
        <v>0.15268000000000001</v>
      </c>
      <c r="L102" t="s">
        <v>8</v>
      </c>
      <c r="M102" t="s">
        <v>7</v>
      </c>
      <c r="N102" t="s">
        <v>8</v>
      </c>
      <c r="P102">
        <f t="shared" ref="P102" si="485">IF(C102=D102,0,((E102-D102)-(C102-E102))/(C102-D102))</f>
        <v>0.3405909797822721</v>
      </c>
      <c r="Q102">
        <f t="shared" ref="Q102" si="486">F102*P102</f>
        <v>64402120.273250677</v>
      </c>
      <c r="R102">
        <f t="shared" ref="R102" si="487">R103+Q102</f>
        <v>-3060488557.6729817</v>
      </c>
      <c r="S102">
        <f t="shared" ref="S102" si="488">R102/100000</f>
        <v>-30604.885576729819</v>
      </c>
      <c r="T102">
        <f t="shared" ref="T102" si="489">S102/1000</f>
        <v>-30.604885576729821</v>
      </c>
    </row>
    <row r="103" spans="1:20" x14ac:dyDescent="0.25">
      <c r="A103" s="5">
        <v>44490</v>
      </c>
      <c r="B103">
        <v>0.16422999999999999</v>
      </c>
      <c r="C103">
        <v>0.16983999999999999</v>
      </c>
      <c r="D103">
        <v>0.14580000000000001</v>
      </c>
      <c r="E103">
        <v>0.14907000000000001</v>
      </c>
      <c r="F103">
        <v>300789324.10000002</v>
      </c>
      <c r="G103">
        <v>0.14907000000000001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-0.7279534109816973</v>
      </c>
      <c r="Q103">
        <f t="shared" ref="Q103" si="491">F103*P103</f>
        <v>-218960614.46547428</v>
      </c>
      <c r="R103">
        <f t="shared" ref="R103" si="492">R104+Q103</f>
        <v>-3124890677.9462323</v>
      </c>
      <c r="S103">
        <f t="shared" ref="S103" si="493">R103/100000</f>
        <v>-31248.906779462322</v>
      </c>
      <c r="T103">
        <f t="shared" ref="T103" si="494">S103/1000</f>
        <v>-31.248906779462324</v>
      </c>
    </row>
    <row r="104" spans="1:20" x14ac:dyDescent="0.25">
      <c r="A104" s="5">
        <v>44489</v>
      </c>
      <c r="B104">
        <v>0.17188999999999999</v>
      </c>
      <c r="C104">
        <v>0.17373</v>
      </c>
      <c r="D104">
        <v>0.15873000000000001</v>
      </c>
      <c r="E104">
        <v>0.16425000000000001</v>
      </c>
      <c r="F104">
        <v>410878031.89999998</v>
      </c>
      <c r="G104">
        <v>0.16425000000000001</v>
      </c>
      <c r="L104" t="s">
        <v>7</v>
      </c>
      <c r="M104" t="s">
        <v>7</v>
      </c>
      <c r="N104" t="s">
        <v>8</v>
      </c>
      <c r="P104">
        <f t="shared" ref="P104" si="495">IF(C104=D104,0,((E104-D104)-(C104-E104))/(C104-D104))</f>
        <v>-0.26399999999999968</v>
      </c>
      <c r="Q104">
        <f t="shared" ref="Q104" si="496">F104*P104</f>
        <v>-108471800.42159986</v>
      </c>
      <c r="R104">
        <f t="shared" ref="R104" si="497">R105+Q104</f>
        <v>-2905930063.4807582</v>
      </c>
      <c r="S104">
        <f t="shared" ref="S104" si="498">R104/100000</f>
        <v>-29059.300634807583</v>
      </c>
      <c r="T104">
        <f t="shared" ref="T104" si="499">S104/1000</f>
        <v>-29.059300634807585</v>
      </c>
    </row>
    <row r="105" spans="1:20" x14ac:dyDescent="0.25">
      <c r="A105" s="5">
        <v>44488</v>
      </c>
      <c r="B105">
        <v>0.14471999999999999</v>
      </c>
      <c r="C105">
        <v>0.19492999999999999</v>
      </c>
      <c r="D105">
        <v>0.14204</v>
      </c>
      <c r="E105">
        <v>0.1719</v>
      </c>
      <c r="F105">
        <v>1907900891.9000001</v>
      </c>
      <c r="G105">
        <v>0.1719</v>
      </c>
      <c r="L105" t="s">
        <v>8</v>
      </c>
      <c r="M105" t="s">
        <v>8</v>
      </c>
      <c r="N105" t="s">
        <v>8</v>
      </c>
      <c r="P105">
        <f t="shared" ref="P105" si="500">IF(C105=D105,0,((E105-D105)-(C105-E105))/(C105-D105))</f>
        <v>0.129135942522216</v>
      </c>
      <c r="Q105">
        <f t="shared" ref="Q105" si="501">F105*P105</f>
        <v>246378579.91448304</v>
      </c>
      <c r="R105">
        <f t="shared" ref="R105" si="502">R106+Q105</f>
        <v>-2797458263.0591583</v>
      </c>
      <c r="S105">
        <f t="shared" ref="S105" si="503">R105/100000</f>
        <v>-27974.582630591583</v>
      </c>
      <c r="T105">
        <f t="shared" ref="T105" si="504">S105/1000</f>
        <v>-27.974582630591584</v>
      </c>
    </row>
    <row r="106" spans="1:20" x14ac:dyDescent="0.25">
      <c r="A106" s="5">
        <v>44487</v>
      </c>
      <c r="B106">
        <v>0.11645999999999999</v>
      </c>
      <c r="C106">
        <v>0.16556999999999999</v>
      </c>
      <c r="D106">
        <v>0.11605</v>
      </c>
      <c r="E106">
        <v>0.14479</v>
      </c>
      <c r="F106">
        <v>1561739852.4000001</v>
      </c>
      <c r="G106">
        <v>0.14479</v>
      </c>
      <c r="L106" t="s">
        <v>8</v>
      </c>
      <c r="M106" t="s">
        <v>8</v>
      </c>
      <c r="N106" t="s">
        <v>8</v>
      </c>
      <c r="P106">
        <f t="shared" ref="P106" si="505">IF(C106=D106,0,((E106-D106)-(C106-E106))/(C106-D106))</f>
        <v>0.16074313408723767</v>
      </c>
      <c r="Q106">
        <f t="shared" ref="Q106" si="506">F106*P106</f>
        <v>251038958.50371599</v>
      </c>
      <c r="R106">
        <f t="shared" ref="R106" si="507">R107+Q106</f>
        <v>-3043836842.9736414</v>
      </c>
      <c r="S106">
        <f t="shared" ref="S106" si="508">R106/100000</f>
        <v>-30438.368429736413</v>
      </c>
      <c r="T106">
        <f t="shared" ref="T106" si="509">S106/1000</f>
        <v>-30.438368429736414</v>
      </c>
    </row>
    <row r="107" spans="1:20" x14ac:dyDescent="0.25">
      <c r="A107" s="5">
        <v>44486</v>
      </c>
      <c r="B107">
        <v>0.12316000000000001</v>
      </c>
      <c r="C107">
        <v>0.12694</v>
      </c>
      <c r="D107">
        <v>0.112</v>
      </c>
      <c r="E107">
        <v>0.11654</v>
      </c>
      <c r="F107">
        <v>131562349.5</v>
      </c>
      <c r="G107">
        <v>0.11654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-0.39223560910307848</v>
      </c>
      <c r="Q107">
        <f t="shared" ref="Q107" si="511">F107*P107</f>
        <v>-51603438.291164592</v>
      </c>
      <c r="R107">
        <f t="shared" ref="R107" si="512">R108+Q107</f>
        <v>-3294875801.4773574</v>
      </c>
      <c r="S107">
        <f t="shared" ref="S107" si="513">R107/100000</f>
        <v>-32948.758014773572</v>
      </c>
      <c r="T107">
        <f t="shared" ref="T107" si="514">S107/1000</f>
        <v>-32.948758014773574</v>
      </c>
    </row>
    <row r="108" spans="1:20" x14ac:dyDescent="0.25">
      <c r="A108" s="5">
        <v>44485</v>
      </c>
      <c r="B108">
        <v>0.12906000000000001</v>
      </c>
      <c r="C108">
        <v>0.13100000000000001</v>
      </c>
      <c r="D108">
        <v>0.12134</v>
      </c>
      <c r="E108">
        <v>0.12309</v>
      </c>
      <c r="F108">
        <v>204334523.69999999</v>
      </c>
      <c r="G108">
        <v>0.12309</v>
      </c>
      <c r="L108" t="s">
        <v>7</v>
      </c>
      <c r="M108" t="s">
        <v>7</v>
      </c>
      <c r="N108" t="s">
        <v>7</v>
      </c>
      <c r="P108">
        <f t="shared" ref="P108" si="515">IF(C108=D108,0,((E108-D108)-(C108-E108))/(C108-D108))</f>
        <v>-0.63768115942028958</v>
      </c>
      <c r="Q108">
        <f t="shared" ref="Q108" si="516">F108*P108</f>
        <v>-130300275.98260863</v>
      </c>
      <c r="R108">
        <f t="shared" ref="R108" si="517">R109+Q108</f>
        <v>-3243272363.186193</v>
      </c>
      <c r="S108">
        <f t="shared" ref="S108" si="518">R108/100000</f>
        <v>-32432.723631861929</v>
      </c>
      <c r="T108">
        <f t="shared" ref="T108" si="519">S108/1000</f>
        <v>-32.432723631861926</v>
      </c>
    </row>
    <row r="109" spans="1:20" x14ac:dyDescent="0.25">
      <c r="A109" s="5">
        <v>44484</v>
      </c>
      <c r="B109">
        <v>0.14649000000000001</v>
      </c>
      <c r="C109">
        <v>0.14649999999999999</v>
      </c>
      <c r="D109">
        <v>0.12304</v>
      </c>
      <c r="E109">
        <v>0.12925</v>
      </c>
      <c r="F109">
        <v>394009319.69999999</v>
      </c>
      <c r="G109">
        <v>0.12925</v>
      </c>
      <c r="L109" t="s">
        <v>7</v>
      </c>
      <c r="M109" t="s">
        <v>8</v>
      </c>
      <c r="N109" t="s">
        <v>7</v>
      </c>
      <c r="P109">
        <f t="shared" ref="P109" si="520">IF(C109=D109,0,((E109-D109)-(C109-E109))/(C109-D109))</f>
        <v>-0.47058823529411692</v>
      </c>
      <c r="Q109">
        <f t="shared" ref="Q109" si="521">F109*P109</f>
        <v>-185416150.44705853</v>
      </c>
      <c r="R109">
        <f t="shared" ref="R109" si="522">R110+Q109</f>
        <v>-3112972087.2035842</v>
      </c>
      <c r="S109">
        <f t="shared" ref="S109" si="523">R109/100000</f>
        <v>-31129.720872035843</v>
      </c>
      <c r="T109">
        <f t="shared" ref="T109" si="524">S109/1000</f>
        <v>-31.129720872035843</v>
      </c>
    </row>
    <row r="110" spans="1:20" x14ac:dyDescent="0.25">
      <c r="A110" s="5">
        <v>44483</v>
      </c>
      <c r="B110">
        <v>0.127</v>
      </c>
      <c r="C110">
        <v>0.16270000000000001</v>
      </c>
      <c r="D110">
        <v>0.11978</v>
      </c>
      <c r="E110">
        <v>0.14649000000000001</v>
      </c>
      <c r="F110">
        <v>1388389625.5</v>
      </c>
      <c r="G110">
        <v>0.14649000000000001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0.24464119291705513</v>
      </c>
      <c r="Q110">
        <f t="shared" ref="Q110" si="526">F110*P110</f>
        <v>339657294.21598345</v>
      </c>
      <c r="R110">
        <f t="shared" ref="R110" si="527">R111+Q110</f>
        <v>-2927555936.7565255</v>
      </c>
      <c r="S110">
        <f t="shared" ref="S110" si="528">R110/100000</f>
        <v>-29275.559367565256</v>
      </c>
      <c r="T110">
        <f t="shared" ref="T110" si="529">S110/1000</f>
        <v>-29.275559367565258</v>
      </c>
    </row>
    <row r="111" spans="1:20" x14ac:dyDescent="0.25">
      <c r="A111" s="5">
        <v>44482</v>
      </c>
      <c r="B111">
        <v>8.7760000000000005E-2</v>
      </c>
      <c r="C111">
        <v>0.16650000000000001</v>
      </c>
      <c r="D111">
        <v>8.3900000000000002E-2</v>
      </c>
      <c r="E111">
        <v>0.12695999999999999</v>
      </c>
      <c r="F111">
        <v>2271384336.6999998</v>
      </c>
      <c r="G111">
        <v>0.12695999999999999</v>
      </c>
      <c r="L111" t="s">
        <v>7</v>
      </c>
      <c r="M111" t="s">
        <v>8</v>
      </c>
      <c r="N111" t="s">
        <v>8</v>
      </c>
      <c r="P111">
        <f t="shared" ref="P111" si="530">IF(C111=D111,0,((E111-D111)-(C111-E111))/(C111-D111))</f>
        <v>4.2615012106537134E-2</v>
      </c>
      <c r="Q111">
        <f t="shared" ref="Q111" si="531">F111*P111</f>
        <v>96795071.007069305</v>
      </c>
      <c r="R111">
        <f t="shared" ref="R111" si="532">R112+Q111</f>
        <v>-3267213230.9725089</v>
      </c>
      <c r="S111">
        <f t="shared" ref="S111" si="533">R111/100000</f>
        <v>-32672.13230972509</v>
      </c>
      <c r="T111">
        <f t="shared" ref="T111" si="534">S111/1000</f>
        <v>-32.672132309725093</v>
      </c>
    </row>
    <row r="112" spans="1:20" x14ac:dyDescent="0.25">
      <c r="A112" s="5">
        <v>44481</v>
      </c>
      <c r="B112">
        <v>9.7970000000000002E-2</v>
      </c>
      <c r="C112">
        <v>0.10498</v>
      </c>
      <c r="D112">
        <v>8.6209999999999995E-2</v>
      </c>
      <c r="E112">
        <v>8.7919999999999998E-2</v>
      </c>
      <c r="F112">
        <v>670317420.39999998</v>
      </c>
      <c r="G112">
        <v>8.7919999999999998E-2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-0.8177943526904633</v>
      </c>
      <c r="Q112">
        <f t="shared" ref="Q112" si="536">F112*P112</f>
        <v>-548181800.91315913</v>
      </c>
      <c r="R112">
        <f t="shared" ref="R112" si="537">R113+Q112</f>
        <v>-3364008301.979578</v>
      </c>
      <c r="S112">
        <f t="shared" ref="S112" si="538">R112/100000</f>
        <v>-33640.083019795777</v>
      </c>
      <c r="T112">
        <f t="shared" ref="T112" si="539">S112/1000</f>
        <v>-33.640083019795775</v>
      </c>
    </row>
    <row r="113" spans="1:20" x14ac:dyDescent="0.25">
      <c r="A113" s="5">
        <v>44480</v>
      </c>
      <c r="B113">
        <v>7.0239999999999997E-2</v>
      </c>
      <c r="C113">
        <v>0.1198</v>
      </c>
      <c r="D113">
        <v>6.9930000000000006E-2</v>
      </c>
      <c r="E113">
        <v>9.7970000000000002E-2</v>
      </c>
      <c r="F113">
        <v>1612317798.5</v>
      </c>
      <c r="G113">
        <v>9.7970000000000002E-2</v>
      </c>
      <c r="L113" t="s">
        <v>8</v>
      </c>
      <c r="M113" t="s">
        <v>8</v>
      </c>
      <c r="N113" t="s">
        <v>8</v>
      </c>
      <c r="P113">
        <f t="shared" ref="P113" si="540">IF(C113=D113,0,((E113-D113)-(C113-E113))/(C113-D113))</f>
        <v>0.1245237617806295</v>
      </c>
      <c r="Q113">
        <f t="shared" ref="Q113" si="541">F113*P113</f>
        <v>200771877.45508301</v>
      </c>
      <c r="R113">
        <f t="shared" ref="R113" si="542">R114+Q113</f>
        <v>-2815826501.0664186</v>
      </c>
      <c r="S113">
        <f t="shared" ref="S113" si="543">R113/100000</f>
        <v>-28158.265010664185</v>
      </c>
      <c r="T113">
        <f t="shared" ref="T113" si="544">S113/1000</f>
        <v>-28.158265010664184</v>
      </c>
    </row>
    <row r="114" spans="1:20" x14ac:dyDescent="0.25">
      <c r="A114" s="5">
        <v>44479</v>
      </c>
      <c r="B114">
        <v>7.3069999999999996E-2</v>
      </c>
      <c r="C114">
        <v>7.4719999999999995E-2</v>
      </c>
      <c r="D114">
        <v>6.9940000000000002E-2</v>
      </c>
      <c r="E114">
        <v>7.0300000000000001E-2</v>
      </c>
      <c r="F114">
        <v>65757376.700000003</v>
      </c>
      <c r="G114">
        <v>7.0300000000000001E-2</v>
      </c>
      <c r="L114" t="s">
        <v>7</v>
      </c>
      <c r="M114" t="s">
        <v>8</v>
      </c>
      <c r="N114" t="s">
        <v>7</v>
      </c>
      <c r="P114">
        <f t="shared" ref="P114" si="545">IF(C114=D114,0,((E114-D114)-(C114-E114))/(C114-D114))</f>
        <v>-0.84937238493723854</v>
      </c>
      <c r="Q114">
        <f t="shared" ref="Q114" si="546">F114*P114</f>
        <v>-55852499.874895401</v>
      </c>
      <c r="R114">
        <f t="shared" ref="R114" si="547">R115+Q114</f>
        <v>-3016598378.5215015</v>
      </c>
      <c r="S114">
        <f t="shared" ref="S114" si="548">R114/100000</f>
        <v>-30165.983785215016</v>
      </c>
      <c r="T114">
        <f t="shared" ref="T114" si="549">S114/1000</f>
        <v>-30.165983785215015</v>
      </c>
    </row>
    <row r="115" spans="1:20" x14ac:dyDescent="0.25">
      <c r="A115" s="5">
        <v>44478</v>
      </c>
      <c r="B115">
        <v>7.2300000000000003E-2</v>
      </c>
      <c r="C115">
        <v>7.51E-2</v>
      </c>
      <c r="D115">
        <v>7.1929999999999994E-2</v>
      </c>
      <c r="E115">
        <v>7.2980000000000003E-2</v>
      </c>
      <c r="F115">
        <v>80630169.799999997</v>
      </c>
      <c r="G115">
        <v>7.2980000000000003E-2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-0.33753943217665161</v>
      </c>
      <c r="Q115">
        <f t="shared" ref="Q115" si="551">F115*P115</f>
        <v>-27215861.730599001</v>
      </c>
      <c r="R115">
        <f t="shared" ref="R115" si="552">R116+Q115</f>
        <v>-2960745878.646606</v>
      </c>
      <c r="S115">
        <f t="shared" ref="S115" si="553">R115/100000</f>
        <v>-29607.458786466061</v>
      </c>
      <c r="T115">
        <f t="shared" ref="T115" si="554">S115/1000</f>
        <v>-29.607458786466061</v>
      </c>
    </row>
    <row r="116" spans="1:20" x14ac:dyDescent="0.25">
      <c r="A116" s="5">
        <v>44477</v>
      </c>
      <c r="B116">
        <v>7.4440000000000006E-2</v>
      </c>
      <c r="C116">
        <v>7.5770000000000004E-2</v>
      </c>
      <c r="D116">
        <v>7.1999999999999995E-2</v>
      </c>
      <c r="E116">
        <v>7.2300000000000003E-2</v>
      </c>
      <c r="F116">
        <v>101099290</v>
      </c>
      <c r="G116">
        <v>7.2300000000000003E-2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-0.84084880636604353</v>
      </c>
      <c r="Q116">
        <f t="shared" ref="Q116" si="556">F116*P116</f>
        <v>-85009217.320954487</v>
      </c>
      <c r="R116">
        <f t="shared" ref="R116" si="557">R117+Q116</f>
        <v>-2933530016.916007</v>
      </c>
      <c r="S116">
        <f t="shared" ref="S116" si="558">R116/100000</f>
        <v>-29335.300169160069</v>
      </c>
      <c r="T116">
        <f t="shared" ref="T116" si="559">S116/1000</f>
        <v>-29.335300169160071</v>
      </c>
    </row>
    <row r="117" spans="1:20" x14ac:dyDescent="0.25">
      <c r="A117" s="5">
        <v>44476</v>
      </c>
      <c r="B117">
        <v>7.1480000000000002E-2</v>
      </c>
      <c r="C117">
        <v>7.6999999999999999E-2</v>
      </c>
      <c r="D117">
        <v>6.9599999999999995E-2</v>
      </c>
      <c r="E117">
        <v>7.4469999999999995E-2</v>
      </c>
      <c r="F117">
        <v>158032124.19999999</v>
      </c>
      <c r="G117">
        <v>7.4469999999999995E-2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0.31621621621621537</v>
      </c>
      <c r="Q117">
        <f t="shared" ref="Q117" si="561">F117*P117</f>
        <v>49972320.355135001</v>
      </c>
      <c r="R117">
        <f t="shared" ref="R117" si="562">R118+Q117</f>
        <v>-2848520799.5950527</v>
      </c>
      <c r="S117">
        <f t="shared" ref="S117" si="563">R117/100000</f>
        <v>-28485.207995950528</v>
      </c>
      <c r="T117">
        <f t="shared" ref="T117" si="564">S117/1000</f>
        <v>-28.485207995950528</v>
      </c>
    </row>
    <row r="118" spans="1:20" x14ac:dyDescent="0.25">
      <c r="A118" s="5">
        <v>44475</v>
      </c>
      <c r="B118">
        <v>7.5139999999999998E-2</v>
      </c>
      <c r="C118">
        <v>7.5389999999999999E-2</v>
      </c>
      <c r="D118">
        <v>6.9080000000000003E-2</v>
      </c>
      <c r="E118">
        <v>7.145E-2</v>
      </c>
      <c r="F118">
        <v>99098957.599999994</v>
      </c>
      <c r="G118">
        <v>7.145E-2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-0.24881141045958841</v>
      </c>
      <c r="Q118">
        <f t="shared" ref="Q118" si="566">F118*P118</f>
        <v>-24656951.415530946</v>
      </c>
      <c r="R118">
        <f t="shared" ref="R118" si="567">R119+Q118</f>
        <v>-2898493119.9501877</v>
      </c>
      <c r="S118">
        <f t="shared" ref="S118" si="568">R118/100000</f>
        <v>-28984.931199501876</v>
      </c>
      <c r="T118">
        <f t="shared" ref="T118" si="569">S118/1000</f>
        <v>-28.984931199501876</v>
      </c>
    </row>
    <row r="119" spans="1:20" x14ac:dyDescent="0.25">
      <c r="A119" s="5">
        <v>44474</v>
      </c>
      <c r="B119">
        <v>7.4719999999999995E-2</v>
      </c>
      <c r="C119">
        <v>7.6980000000000007E-2</v>
      </c>
      <c r="D119">
        <v>7.3330000000000006E-2</v>
      </c>
      <c r="E119">
        <v>7.5120000000000006E-2</v>
      </c>
      <c r="F119">
        <v>109843411</v>
      </c>
      <c r="G119">
        <v>7.5120000000000006E-2</v>
      </c>
      <c r="L119" t="s">
        <v>7</v>
      </c>
      <c r="M119" t="s">
        <v>8</v>
      </c>
      <c r="N119" t="s">
        <v>7</v>
      </c>
      <c r="P119">
        <f t="shared" ref="P119" si="570">IF(C119=D119,0,((E119-D119)-(C119-E119))/(C119-D119))</f>
        <v>-1.9178082191780989E-2</v>
      </c>
      <c r="Q119">
        <f t="shared" ref="Q119" si="571">F119*P119</f>
        <v>-2106585.9643835803</v>
      </c>
      <c r="R119">
        <f t="shared" ref="R119" si="572">R120+Q119</f>
        <v>-2873836168.5346565</v>
      </c>
      <c r="S119">
        <f t="shared" ref="S119" si="573">R119/100000</f>
        <v>-28738.361685346565</v>
      </c>
      <c r="T119">
        <f t="shared" ref="T119" si="574">S119/1000</f>
        <v>-28.738361685346565</v>
      </c>
    </row>
    <row r="120" spans="1:20" x14ac:dyDescent="0.25">
      <c r="A120" s="5">
        <v>44473</v>
      </c>
      <c r="B120">
        <v>7.689E-2</v>
      </c>
      <c r="C120">
        <v>7.9100000000000004E-2</v>
      </c>
      <c r="D120">
        <v>7.3550000000000004E-2</v>
      </c>
      <c r="E120">
        <v>7.4590000000000004E-2</v>
      </c>
      <c r="F120">
        <v>165294961.40000001</v>
      </c>
      <c r="G120">
        <v>7.4590000000000004E-2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-0.6252252252252255</v>
      </c>
      <c r="Q120">
        <f t="shared" ref="Q120" si="576">F120*P120</f>
        <v>-103346579.46990997</v>
      </c>
      <c r="R120">
        <f t="shared" ref="R120" si="577">R121+Q120</f>
        <v>-2871729582.5702729</v>
      </c>
      <c r="S120">
        <f t="shared" ref="S120" si="578">R120/100000</f>
        <v>-28717.295825702728</v>
      </c>
      <c r="T120">
        <f t="shared" ref="T120" si="579">S120/1000</f>
        <v>-28.717295825702728</v>
      </c>
    </row>
    <row r="121" spans="1:20" x14ac:dyDescent="0.25">
      <c r="A121" s="5">
        <v>44472</v>
      </c>
      <c r="B121">
        <v>7.4700000000000003E-2</v>
      </c>
      <c r="C121">
        <v>7.9799999999999996E-2</v>
      </c>
      <c r="D121">
        <v>7.4230000000000004E-2</v>
      </c>
      <c r="E121">
        <v>7.7170000000000002E-2</v>
      </c>
      <c r="F121">
        <v>162472984.80000001</v>
      </c>
      <c r="G121">
        <v>7.7170000000000002E-2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5.5655296229803447E-2</v>
      </c>
      <c r="Q121">
        <f t="shared" ref="Q121" si="581">F121*P121</f>
        <v>9042482.0983843543</v>
      </c>
      <c r="R121">
        <f t="shared" ref="R121" si="582">R122+Q121</f>
        <v>-2768383003.1003628</v>
      </c>
      <c r="S121">
        <f t="shared" ref="S121" si="583">R121/100000</f>
        <v>-27683.830031003628</v>
      </c>
      <c r="T121">
        <f t="shared" ref="T121" si="584">S121/1000</f>
        <v>-27.683830031003627</v>
      </c>
    </row>
    <row r="122" spans="1:20" x14ac:dyDescent="0.25">
      <c r="A122" s="5">
        <v>44471</v>
      </c>
      <c r="B122">
        <v>7.5950000000000004E-2</v>
      </c>
      <c r="C122">
        <v>7.7799999999999994E-2</v>
      </c>
      <c r="D122">
        <v>7.3179999999999995E-2</v>
      </c>
      <c r="E122">
        <v>7.4800000000000005E-2</v>
      </c>
      <c r="F122">
        <v>121274842.09999999</v>
      </c>
      <c r="G122">
        <v>7.4800000000000005E-2</v>
      </c>
      <c r="L122" t="s">
        <v>7</v>
      </c>
      <c r="M122" t="s">
        <v>8</v>
      </c>
      <c r="N122" t="s">
        <v>7</v>
      </c>
      <c r="P122">
        <f t="shared" ref="P122" si="585">IF(C122=D122,0,((E122-D122)-(C122-E122))/(C122-D122))</f>
        <v>-0.29870129870129408</v>
      </c>
      <c r="Q122">
        <f t="shared" ref="Q122" si="586">F122*P122</f>
        <v>-36224952.835064374</v>
      </c>
      <c r="R122">
        <f t="shared" ref="R122" si="587">R123+Q122</f>
        <v>-2777425485.1987472</v>
      </c>
      <c r="S122">
        <f t="shared" ref="S122" si="588">R122/100000</f>
        <v>-27774.254851987473</v>
      </c>
      <c r="T122">
        <f t="shared" ref="T122" si="589">S122/1000</f>
        <v>-27.774254851987472</v>
      </c>
    </row>
    <row r="123" spans="1:20" x14ac:dyDescent="0.25">
      <c r="A123" s="5">
        <v>44470</v>
      </c>
      <c r="B123">
        <v>6.9669999999999996E-2</v>
      </c>
      <c r="C123">
        <v>7.9880000000000007E-2</v>
      </c>
      <c r="D123">
        <v>6.8729999999999999E-2</v>
      </c>
      <c r="E123">
        <v>7.596E-2</v>
      </c>
      <c r="F123">
        <v>242287531.69999999</v>
      </c>
      <c r="G123">
        <v>7.596E-2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0.29686098654708443</v>
      </c>
      <c r="Q123">
        <f t="shared" ref="Q123" si="591">F123*P123</f>
        <v>71925715.688519984</v>
      </c>
      <c r="R123">
        <f t="shared" ref="R123" si="592">R124+Q123</f>
        <v>-2741200532.3636827</v>
      </c>
      <c r="S123">
        <f t="shared" ref="S123" si="593">R123/100000</f>
        <v>-27412.005323636826</v>
      </c>
      <c r="T123">
        <f t="shared" ref="T123" si="594">S123/1000</f>
        <v>-27.412005323636826</v>
      </c>
    </row>
    <row r="124" spans="1:20" x14ac:dyDescent="0.25">
      <c r="A124" s="5">
        <v>44469</v>
      </c>
      <c r="B124">
        <v>6.7780000000000007E-2</v>
      </c>
      <c r="C124">
        <v>7.2690000000000005E-2</v>
      </c>
      <c r="D124">
        <v>6.7510000000000001E-2</v>
      </c>
      <c r="E124">
        <v>6.9620000000000001E-2</v>
      </c>
      <c r="F124">
        <v>158454779.30000001</v>
      </c>
      <c r="G124">
        <v>6.9620000000000001E-2</v>
      </c>
      <c r="L124" t="s">
        <v>7</v>
      </c>
      <c r="M124" t="s">
        <v>8</v>
      </c>
      <c r="N124" t="s">
        <v>7</v>
      </c>
      <c r="P124">
        <f t="shared" ref="P124" si="595">IF(C124=D124,0,((E124-D124)-(C124-E124))/(C124-D124))</f>
        <v>-0.18532818532818568</v>
      </c>
      <c r="Q124">
        <f t="shared" ref="Q124" si="596">F124*P124</f>
        <v>-29366136.704247162</v>
      </c>
      <c r="R124">
        <f t="shared" ref="R124" si="597">R125+Q124</f>
        <v>-2813126248.0522027</v>
      </c>
      <c r="S124">
        <f t="shared" ref="S124" si="598">R124/100000</f>
        <v>-28131.262480522026</v>
      </c>
      <c r="T124">
        <f t="shared" ref="T124" si="599">S124/1000</f>
        <v>-28.131262480522025</v>
      </c>
    </row>
    <row r="125" spans="1:20" x14ac:dyDescent="0.25">
      <c r="A125" s="5">
        <v>44468</v>
      </c>
      <c r="B125">
        <v>6.8500000000000005E-2</v>
      </c>
      <c r="C125">
        <v>7.2410000000000002E-2</v>
      </c>
      <c r="D125">
        <v>6.6030000000000005E-2</v>
      </c>
      <c r="E125">
        <v>6.7809999999999995E-2</v>
      </c>
      <c r="F125">
        <v>129260329.90000001</v>
      </c>
      <c r="G125">
        <v>6.7809999999999995E-2</v>
      </c>
      <c r="L125" t="s">
        <v>8</v>
      </c>
      <c r="M125" t="s">
        <v>8</v>
      </c>
      <c r="N125" t="s">
        <v>7</v>
      </c>
      <c r="P125">
        <f t="shared" ref="P125" si="600">IF(C125=D125,0,((E125-D125)-(C125-E125))/(C125-D125))</f>
        <v>-0.44200626959247935</v>
      </c>
      <c r="Q125">
        <f t="shared" ref="Q125" si="601">F125*P125</f>
        <v>-57133876.225392222</v>
      </c>
      <c r="R125">
        <f t="shared" ref="R125" si="602">R126+Q125</f>
        <v>-2783760111.3479557</v>
      </c>
      <c r="S125">
        <f t="shared" ref="S125" si="603">R125/100000</f>
        <v>-27837.601113479555</v>
      </c>
      <c r="T125">
        <f t="shared" ref="T125" si="604">S125/1000</f>
        <v>-27.837601113479554</v>
      </c>
    </row>
    <row r="126" spans="1:20" x14ac:dyDescent="0.25">
      <c r="A126" s="5">
        <v>44467</v>
      </c>
      <c r="B126">
        <v>6.5439999999999998E-2</v>
      </c>
      <c r="C126">
        <v>7.2800000000000004E-2</v>
      </c>
      <c r="D126">
        <v>6.5159999999999996E-2</v>
      </c>
      <c r="E126">
        <v>6.8510000000000001E-2</v>
      </c>
      <c r="F126">
        <v>300603980.69999999</v>
      </c>
      <c r="G126">
        <v>6.8510000000000001E-2</v>
      </c>
      <c r="L126" t="s">
        <v>7</v>
      </c>
      <c r="M126" t="s">
        <v>8</v>
      </c>
      <c r="N126" t="s">
        <v>7</v>
      </c>
      <c r="P126">
        <f t="shared" ref="P126" si="605">IF(C126=D126,0,((E126-D126)-(C126-E126))/(C126-D126))</f>
        <v>-0.12303664921465908</v>
      </c>
      <c r="Q126">
        <f t="shared" ref="Q126" si="606">F126*P126</f>
        <v>-36985306.525916047</v>
      </c>
      <c r="R126">
        <f t="shared" ref="R126" si="607">R127+Q126</f>
        <v>-2726626235.1225634</v>
      </c>
      <c r="S126">
        <f t="shared" ref="S126" si="608">R126/100000</f>
        <v>-27266.262351225632</v>
      </c>
      <c r="T126">
        <f t="shared" ref="T126" si="609">S126/1000</f>
        <v>-27.266262351225631</v>
      </c>
    </row>
    <row r="127" spans="1:20" x14ac:dyDescent="0.25">
      <c r="A127" s="5">
        <v>44466</v>
      </c>
      <c r="B127">
        <v>7.145E-2</v>
      </c>
      <c r="C127">
        <v>7.3499999999999996E-2</v>
      </c>
      <c r="D127">
        <v>6.4850000000000005E-2</v>
      </c>
      <c r="E127">
        <v>6.5509999999999999E-2</v>
      </c>
      <c r="F127">
        <v>185510022.5</v>
      </c>
      <c r="G127">
        <v>6.5509999999999999E-2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-0.84739884393063714</v>
      </c>
      <c r="Q127">
        <f t="shared" ref="Q127" si="611">F127*P127</f>
        <v>-157200978.60404649</v>
      </c>
      <c r="R127">
        <f t="shared" ref="R127" si="612">R128+Q127</f>
        <v>-2689640928.5966473</v>
      </c>
      <c r="S127">
        <f t="shared" ref="S127" si="613">R127/100000</f>
        <v>-26896.409285966474</v>
      </c>
      <c r="T127">
        <f t="shared" ref="T127" si="614">S127/1000</f>
        <v>-26.896409285966474</v>
      </c>
    </row>
    <row r="128" spans="1:20" x14ac:dyDescent="0.25">
      <c r="A128" s="5">
        <v>44465</v>
      </c>
      <c r="B128">
        <v>6.7470000000000002E-2</v>
      </c>
      <c r="C128">
        <v>7.2999999999999995E-2</v>
      </c>
      <c r="D128">
        <v>6.2600000000000003E-2</v>
      </c>
      <c r="E128">
        <v>7.1470000000000006E-2</v>
      </c>
      <c r="F128">
        <v>218277922.30000001</v>
      </c>
      <c r="G128">
        <v>7.1470000000000006E-2</v>
      </c>
      <c r="L128" t="s">
        <v>8</v>
      </c>
      <c r="M128" t="s">
        <v>8</v>
      </c>
      <c r="N128" t="s">
        <v>7</v>
      </c>
      <c r="P128">
        <f t="shared" ref="P128" si="615">IF(C128=D128,0,((E128-D128)-(C128-E128))/(C128-D128))</f>
        <v>0.70576923076923259</v>
      </c>
      <c r="Q128">
        <f t="shared" ref="Q128" si="616">F128*P128</f>
        <v>154053841.31557733</v>
      </c>
      <c r="R128">
        <f t="shared" ref="R128" si="617">R129+Q128</f>
        <v>-2532439949.9926009</v>
      </c>
      <c r="S128">
        <f t="shared" ref="S128" si="618">R128/100000</f>
        <v>-25324.39949992601</v>
      </c>
      <c r="T128">
        <f t="shared" ref="T128" si="619">S128/1000</f>
        <v>-25.32439949992601</v>
      </c>
    </row>
    <row r="129" spans="1:20" x14ac:dyDescent="0.25">
      <c r="A129" s="5">
        <v>44464</v>
      </c>
      <c r="B129">
        <v>6.7769999999999997E-2</v>
      </c>
      <c r="C129">
        <v>6.9690000000000002E-2</v>
      </c>
      <c r="D129">
        <v>6.3020000000000007E-2</v>
      </c>
      <c r="E129">
        <v>6.7570000000000005E-2</v>
      </c>
      <c r="F129">
        <v>158153157</v>
      </c>
      <c r="G129">
        <v>6.7570000000000005E-2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0.36431784107946075</v>
      </c>
      <c r="Q129">
        <f t="shared" ref="Q129" si="621">F129*P129</f>
        <v>57618016.718141004</v>
      </c>
      <c r="R129">
        <f t="shared" ref="R129" si="622">R130+Q129</f>
        <v>-2686493791.3081784</v>
      </c>
      <c r="S129">
        <f t="shared" ref="S129" si="623">R129/100000</f>
        <v>-26864.937913081783</v>
      </c>
      <c r="T129">
        <f t="shared" ref="T129" si="624">S129/1000</f>
        <v>-26.864937913081782</v>
      </c>
    </row>
    <row r="130" spans="1:20" x14ac:dyDescent="0.25">
      <c r="A130" s="5">
        <v>44463</v>
      </c>
      <c r="B130">
        <v>7.1239999999999998E-2</v>
      </c>
      <c r="C130">
        <v>7.1760000000000004E-2</v>
      </c>
      <c r="D130">
        <v>6.0999999999999999E-2</v>
      </c>
      <c r="E130">
        <v>6.7820000000000005E-2</v>
      </c>
      <c r="F130">
        <v>192263130.80000001</v>
      </c>
      <c r="G130">
        <v>6.7820000000000005E-2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0.26765799256505635</v>
      </c>
      <c r="Q130">
        <f t="shared" ref="Q130" si="626">F130*P130</f>
        <v>51460763.634200856</v>
      </c>
      <c r="R130">
        <f t="shared" ref="R130" si="627">R131+Q130</f>
        <v>-2744111808.0263195</v>
      </c>
      <c r="S130">
        <f t="shared" ref="S130" si="628">R130/100000</f>
        <v>-27441.118080263193</v>
      </c>
      <c r="T130">
        <f t="shared" ref="T130" si="629">S130/1000</f>
        <v>-27.441118080263195</v>
      </c>
    </row>
    <row r="131" spans="1:20" x14ac:dyDescent="0.25">
      <c r="A131" s="5">
        <v>44462</v>
      </c>
      <c r="B131">
        <v>6.9309999999999997E-2</v>
      </c>
      <c r="C131">
        <v>7.4249999999999997E-2</v>
      </c>
      <c r="D131">
        <v>6.7900000000000002E-2</v>
      </c>
      <c r="E131">
        <v>7.1239999999999998E-2</v>
      </c>
      <c r="F131">
        <v>165327058.90000001</v>
      </c>
      <c r="G131">
        <v>7.1239999999999998E-2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5.1968503937007443E-2</v>
      </c>
      <c r="Q131">
        <f t="shared" ref="Q131" si="631">F131*P131</f>
        <v>8591799.9113385119</v>
      </c>
      <c r="R131">
        <f t="shared" ref="R131" si="632">R132+Q131</f>
        <v>-2795572571.6605206</v>
      </c>
      <c r="S131">
        <f t="shared" ref="S131" si="633">R131/100000</f>
        <v>-27955.725716605204</v>
      </c>
      <c r="T131">
        <f t="shared" ref="T131" si="634">S131/1000</f>
        <v>-27.955725716605205</v>
      </c>
    </row>
    <row r="132" spans="1:20" x14ac:dyDescent="0.25">
      <c r="A132" s="5">
        <v>44461</v>
      </c>
      <c r="B132">
        <v>6.1359999999999998E-2</v>
      </c>
      <c r="C132">
        <v>7.1650000000000005E-2</v>
      </c>
      <c r="D132">
        <v>6.0260000000000001E-2</v>
      </c>
      <c r="E132">
        <v>6.93E-2</v>
      </c>
      <c r="F132">
        <v>152118971.59999999</v>
      </c>
      <c r="G132">
        <v>6.93E-2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0.58735733099209764</v>
      </c>
      <c r="Q132">
        <f t="shared" ref="Q132" si="636">F132*P132</f>
        <v>89348193.152238697</v>
      </c>
      <c r="R132">
        <f t="shared" ref="R132" si="637">R133+Q132</f>
        <v>-2804164371.5718589</v>
      </c>
      <c r="S132">
        <f t="shared" ref="S132" si="638">R132/100000</f>
        <v>-28041.64371571859</v>
      </c>
      <c r="T132">
        <f t="shared" ref="T132" si="639">S132/1000</f>
        <v>-28.041643715718589</v>
      </c>
    </row>
    <row r="133" spans="1:20" x14ac:dyDescent="0.25">
      <c r="A133" s="5">
        <v>44460</v>
      </c>
      <c r="B133">
        <v>6.6900000000000001E-2</v>
      </c>
      <c r="C133">
        <v>7.1599999999999997E-2</v>
      </c>
      <c r="D133">
        <v>5.8470000000000001E-2</v>
      </c>
      <c r="E133">
        <v>6.1350000000000002E-2</v>
      </c>
      <c r="F133">
        <v>203761167.69999999</v>
      </c>
      <c r="G133">
        <v>6.1350000000000002E-2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-0.56130997715156106</v>
      </c>
      <c r="Q133">
        <f t="shared" ref="Q133" si="641">F133*P133</f>
        <v>-114373176.3860624</v>
      </c>
      <c r="R133">
        <f t="shared" ref="R133" si="642">R134+Q133</f>
        <v>-2893512564.7240977</v>
      </c>
      <c r="S133">
        <f t="shared" ref="S133" si="643">R133/100000</f>
        <v>-28935.125647240977</v>
      </c>
      <c r="T133">
        <f t="shared" ref="T133" si="644">S133/1000</f>
        <v>-28.935125647240977</v>
      </c>
    </row>
    <row r="134" spans="1:20" x14ac:dyDescent="0.25">
      <c r="A134" s="5">
        <v>44459</v>
      </c>
      <c r="B134">
        <v>7.9100000000000004E-2</v>
      </c>
      <c r="C134">
        <v>7.9200000000000007E-2</v>
      </c>
      <c r="D134">
        <v>6.9000000000000006E-2</v>
      </c>
      <c r="E134">
        <v>7.2599999999999998E-2</v>
      </c>
      <c r="F134">
        <v>66146386.799999997</v>
      </c>
      <c r="G134">
        <v>7.2599999999999998E-2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-0.29411764705882515</v>
      </c>
      <c r="Q134">
        <f t="shared" ref="Q134" si="646">F134*P134</f>
        <v>-19454819.64705893</v>
      </c>
      <c r="R134">
        <f t="shared" ref="R134" si="647">R135+Q134</f>
        <v>-2779139388.3380351</v>
      </c>
      <c r="S134">
        <f t="shared" ref="S134" si="648">R134/100000</f>
        <v>-27791.393883380351</v>
      </c>
      <c r="T134">
        <f t="shared" ref="T134" si="649">S134/1000</f>
        <v>-27.791393883380351</v>
      </c>
    </row>
    <row r="135" spans="1:20" x14ac:dyDescent="0.25">
      <c r="A135" s="5">
        <v>44458</v>
      </c>
      <c r="B135">
        <v>8.2720000000000002E-2</v>
      </c>
      <c r="C135">
        <v>8.2790000000000002E-2</v>
      </c>
      <c r="D135">
        <v>7.8159999999999993E-2</v>
      </c>
      <c r="E135">
        <v>7.9039999999999999E-2</v>
      </c>
      <c r="F135">
        <v>96327367.200000003</v>
      </c>
      <c r="G135">
        <v>7.9039999999999999E-2</v>
      </c>
      <c r="L135" t="s">
        <v>7</v>
      </c>
      <c r="M135" t="s">
        <v>8</v>
      </c>
      <c r="N135" t="s">
        <v>8</v>
      </c>
      <c r="P135">
        <f t="shared" ref="P135" si="650">IF(C135=D135,0,((E135-D135)-(C135-E135))/(C135-D135))</f>
        <v>-0.61987041036716883</v>
      </c>
      <c r="Q135">
        <f t="shared" ref="Q135" si="651">F135*P135</f>
        <v>-59710484.635852963</v>
      </c>
      <c r="R135">
        <f t="shared" ref="R135" si="652">R136+Q135</f>
        <v>-2759684568.6909761</v>
      </c>
      <c r="S135">
        <f t="shared" ref="S135" si="653">R135/100000</f>
        <v>-27596.845686909761</v>
      </c>
      <c r="T135">
        <f t="shared" ref="T135" si="654">S135/1000</f>
        <v>-27.596845686909759</v>
      </c>
    </row>
    <row r="136" spans="1:20" x14ac:dyDescent="0.25">
      <c r="A136" s="5">
        <v>44457</v>
      </c>
      <c r="B136">
        <v>8.2970000000000002E-2</v>
      </c>
      <c r="C136">
        <v>8.7459999999999996E-2</v>
      </c>
      <c r="D136">
        <v>8.1519999999999995E-2</v>
      </c>
      <c r="E136">
        <v>8.2680000000000003E-2</v>
      </c>
      <c r="F136">
        <v>126221149.40000001</v>
      </c>
      <c r="G136">
        <v>8.2680000000000003E-2</v>
      </c>
      <c r="L136" t="s">
        <v>7</v>
      </c>
      <c r="M136" t="s">
        <v>8</v>
      </c>
      <c r="N136" t="s">
        <v>8</v>
      </c>
      <c r="P136">
        <f t="shared" ref="P136" si="655">IF(C136=D136,0,((E136-D136)-(C136-E136))/(C136-D136))</f>
        <v>-0.60942760942760665</v>
      </c>
      <c r="Q136">
        <f t="shared" ref="Q136" si="656">F136*P136</f>
        <v>-76922653.338046789</v>
      </c>
      <c r="R136">
        <f t="shared" ref="R136" si="657">R137+Q136</f>
        <v>-2699974084.0551233</v>
      </c>
      <c r="S136">
        <f t="shared" ref="S136" si="658">R136/100000</f>
        <v>-26999.740840551232</v>
      </c>
      <c r="T136">
        <f t="shared" ref="T136" si="659">S136/1000</f>
        <v>-26.999740840551233</v>
      </c>
    </row>
    <row r="137" spans="1:20" x14ac:dyDescent="0.25">
      <c r="A137" s="5">
        <v>44456</v>
      </c>
      <c r="B137">
        <v>8.1369999999999998E-2</v>
      </c>
      <c r="C137">
        <v>8.8209999999999997E-2</v>
      </c>
      <c r="D137">
        <v>7.7109999999999998E-2</v>
      </c>
      <c r="E137">
        <v>8.2979999999999998E-2</v>
      </c>
      <c r="F137">
        <v>213678110</v>
      </c>
      <c r="G137">
        <v>8.2979999999999998E-2</v>
      </c>
      <c r="L137" t="s">
        <v>8</v>
      </c>
      <c r="M137" t="s">
        <v>8</v>
      </c>
      <c r="N137" t="s">
        <v>8</v>
      </c>
      <c r="P137">
        <f t="shared" ref="P137" si="660">IF(C137=D137,0,((E137-D137)-(C137-E137))/(C137-D137))</f>
        <v>5.7657657657657818E-2</v>
      </c>
      <c r="Q137">
        <f t="shared" ref="Q137" si="661">F137*P137</f>
        <v>12320179.315315349</v>
      </c>
      <c r="R137">
        <f t="shared" ref="R137" si="662">R138+Q137</f>
        <v>-2623051430.7170768</v>
      </c>
      <c r="S137">
        <f t="shared" ref="S137" si="663">R137/100000</f>
        <v>-26230.514307170768</v>
      </c>
      <c r="T137">
        <f t="shared" ref="T137" si="664">S137/1000</f>
        <v>-26.230514307170768</v>
      </c>
    </row>
    <row r="138" spans="1:20" x14ac:dyDescent="0.25">
      <c r="A138" s="5">
        <v>44455</v>
      </c>
      <c r="B138">
        <v>8.362E-2</v>
      </c>
      <c r="C138">
        <v>8.6290000000000006E-2</v>
      </c>
      <c r="D138">
        <v>7.9780000000000004E-2</v>
      </c>
      <c r="E138">
        <v>8.14E-2</v>
      </c>
      <c r="F138">
        <v>169559374.19999999</v>
      </c>
      <c r="G138">
        <v>8.14E-2</v>
      </c>
      <c r="L138" t="s">
        <v>8</v>
      </c>
      <c r="M138" t="s">
        <v>8</v>
      </c>
      <c r="N138" t="s">
        <v>8</v>
      </c>
      <c r="P138">
        <f t="shared" ref="P138" si="665">IF(C138=D138,0,((E138-D138)-(C138-E138))/(C138-D138))</f>
        <v>-0.50230414746543905</v>
      </c>
      <c r="Q138">
        <f t="shared" ref="Q138" si="666">F138*P138</f>
        <v>-85170376.902304351</v>
      </c>
      <c r="R138">
        <f t="shared" ref="R138" si="667">R139+Q138</f>
        <v>-2635371610.032392</v>
      </c>
      <c r="S138">
        <f t="shared" ref="S138" si="668">R138/100000</f>
        <v>-26353.71610032392</v>
      </c>
      <c r="T138">
        <f t="shared" ref="T138" si="669">S138/1000</f>
        <v>-26.353716100323918</v>
      </c>
    </row>
    <row r="139" spans="1:20" x14ac:dyDescent="0.25">
      <c r="A139" s="5">
        <v>44454</v>
      </c>
      <c r="B139">
        <v>8.1199999999999994E-2</v>
      </c>
      <c r="C139">
        <v>8.5849999999999996E-2</v>
      </c>
      <c r="D139">
        <v>7.9500000000000001E-2</v>
      </c>
      <c r="E139">
        <v>8.3739999999999995E-2</v>
      </c>
      <c r="F139">
        <v>188716895.80000001</v>
      </c>
      <c r="G139">
        <v>8.3739999999999995E-2</v>
      </c>
      <c r="L139" t="s">
        <v>7</v>
      </c>
      <c r="M139" t="s">
        <v>8</v>
      </c>
      <c r="N139" t="s">
        <v>8</v>
      </c>
      <c r="P139">
        <f t="shared" ref="P139" si="670">IF(C139=D139,0,((E139-D139)-(C139-E139))/(C139-D139))</f>
        <v>0.33543307086614094</v>
      </c>
      <c r="Q139">
        <f t="shared" ref="Q139" si="671">F139*P139</f>
        <v>63301887.882519536</v>
      </c>
      <c r="R139">
        <f t="shared" ref="R139" si="672">R140+Q139</f>
        <v>-2550201233.1300879</v>
      </c>
      <c r="S139">
        <f t="shared" ref="S139" si="673">R139/100000</f>
        <v>-25502.012331300877</v>
      </c>
      <c r="T139">
        <f t="shared" ref="T139" si="674">S139/1000</f>
        <v>-25.502012331300879</v>
      </c>
    </row>
    <row r="140" spans="1:20" x14ac:dyDescent="0.25">
      <c r="A140" s="5">
        <v>44453</v>
      </c>
      <c r="B140">
        <v>7.7979999999999994E-2</v>
      </c>
      <c r="C140">
        <v>8.5970000000000005E-2</v>
      </c>
      <c r="D140">
        <v>7.4929999999999997E-2</v>
      </c>
      <c r="E140">
        <v>8.097E-2</v>
      </c>
      <c r="F140">
        <v>377555398.30000001</v>
      </c>
      <c r="G140">
        <v>8.097E-2</v>
      </c>
      <c r="L140" t="s">
        <v>8</v>
      </c>
      <c r="M140" t="s">
        <v>8</v>
      </c>
      <c r="N140" t="s">
        <v>8</v>
      </c>
      <c r="P140">
        <f t="shared" ref="P140" si="675">IF(C140=D140,0,((E140-D140)-(C140-E140))/(C140-D140))</f>
        <v>9.4202898550724501E-2</v>
      </c>
      <c r="Q140">
        <f t="shared" ref="Q140" si="676">F140*P140</f>
        <v>35566812.883333281</v>
      </c>
      <c r="R140">
        <f t="shared" ref="R140" si="677">R141+Q140</f>
        <v>-2613503121.0126076</v>
      </c>
      <c r="S140">
        <f t="shared" ref="S140" si="678">R140/100000</f>
        <v>-26135.031210126075</v>
      </c>
      <c r="T140">
        <f t="shared" ref="T140" si="679">S140/1000</f>
        <v>-26.135031210126076</v>
      </c>
    </row>
    <row r="141" spans="1:20" x14ac:dyDescent="0.25">
      <c r="A141" s="5">
        <v>44452</v>
      </c>
      <c r="B141">
        <v>7.3469999999999994E-2</v>
      </c>
      <c r="C141">
        <v>8.2769999999999996E-2</v>
      </c>
      <c r="D141">
        <v>6.6449999999999995E-2</v>
      </c>
      <c r="E141">
        <v>7.7929999999999999E-2</v>
      </c>
      <c r="F141">
        <v>425078389.69999999</v>
      </c>
      <c r="G141">
        <v>7.7929999999999999E-2</v>
      </c>
      <c r="L141" t="s">
        <v>8</v>
      </c>
      <c r="M141" t="s">
        <v>8</v>
      </c>
      <c r="N141" t="s">
        <v>7</v>
      </c>
      <c r="P141">
        <f t="shared" ref="P141" si="680">IF(C141=D141,0,((E141-D141)-(C141-E141))/(C141-D141))</f>
        <v>0.4068627450980396</v>
      </c>
      <c r="Q141">
        <f t="shared" ref="Q141" si="681">F141*P141</f>
        <v>172948560.51519623</v>
      </c>
      <c r="R141">
        <f t="shared" ref="R141" si="682">R142+Q141</f>
        <v>-2649069933.8959408</v>
      </c>
      <c r="S141">
        <f t="shared" ref="S141" si="683">R141/100000</f>
        <v>-26490.699338959406</v>
      </c>
      <c r="T141">
        <f t="shared" ref="T141" si="684">S141/1000</f>
        <v>-26.490699338959406</v>
      </c>
    </row>
    <row r="142" spans="1:20" x14ac:dyDescent="0.25">
      <c r="A142" s="5">
        <v>44451</v>
      </c>
      <c r="B142">
        <v>7.034E-2</v>
      </c>
      <c r="C142">
        <v>7.7579999999999996E-2</v>
      </c>
      <c r="D142">
        <v>6.862E-2</v>
      </c>
      <c r="E142">
        <v>7.3469999999999994E-2</v>
      </c>
      <c r="F142">
        <v>288318401.10000002</v>
      </c>
      <c r="G142">
        <v>7.3469999999999994E-2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8.2589285714284713E-2</v>
      </c>
      <c r="Q142">
        <f t="shared" ref="Q142" si="686">F142*P142</f>
        <v>23812010.805133641</v>
      </c>
      <c r="R142">
        <f t="shared" ref="R142" si="687">R143+Q142</f>
        <v>-2822018494.4111371</v>
      </c>
      <c r="S142">
        <f t="shared" ref="S142" si="688">R142/100000</f>
        <v>-28220.18494411137</v>
      </c>
      <c r="T142">
        <f t="shared" ref="T142" si="689">S142/1000</f>
        <v>-28.22018494411137</v>
      </c>
    </row>
    <row r="143" spans="1:20" x14ac:dyDescent="0.25">
      <c r="A143" s="5">
        <v>44450</v>
      </c>
      <c r="B143">
        <v>7.1330000000000005E-2</v>
      </c>
      <c r="C143">
        <v>7.3380000000000001E-2</v>
      </c>
      <c r="D143">
        <v>6.9330000000000003E-2</v>
      </c>
      <c r="E143">
        <v>7.0290000000000005E-2</v>
      </c>
      <c r="F143">
        <v>265429433.59999999</v>
      </c>
      <c r="G143">
        <v>7.0290000000000005E-2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-0.52592592592592446</v>
      </c>
      <c r="Q143">
        <f t="shared" ref="Q143" si="691">F143*P143</f>
        <v>-139596220.63407367</v>
      </c>
      <c r="R143">
        <f t="shared" ref="R143" si="692">R144+Q143</f>
        <v>-2845830505.2162709</v>
      </c>
      <c r="S143">
        <f t="shared" ref="S143" si="693">R143/100000</f>
        <v>-28458.305052162708</v>
      </c>
      <c r="T143">
        <f t="shared" ref="T143" si="694">S143/1000</f>
        <v>-28.458305052162707</v>
      </c>
    </row>
    <row r="144" spans="1:20" x14ac:dyDescent="0.25">
      <c r="A144" s="5">
        <v>44449</v>
      </c>
      <c r="B144">
        <v>7.3789999999999994E-2</v>
      </c>
      <c r="C144">
        <v>7.6869999999999994E-2</v>
      </c>
      <c r="D144">
        <v>6.7220000000000002E-2</v>
      </c>
      <c r="E144">
        <v>7.1300000000000002E-2</v>
      </c>
      <c r="F144">
        <v>331864675.10000002</v>
      </c>
      <c r="G144">
        <v>7.1300000000000002E-2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-0.15440414507771943</v>
      </c>
      <c r="Q144">
        <f t="shared" ref="Q144" si="696">F144*P144</f>
        <v>-51241281.440310627</v>
      </c>
      <c r="R144">
        <f t="shared" ref="R144" si="697">R145+Q144</f>
        <v>-2706234284.5821972</v>
      </c>
      <c r="S144">
        <f t="shared" ref="S144" si="698">R144/100000</f>
        <v>-27062.342845821971</v>
      </c>
      <c r="T144">
        <f t="shared" ref="T144" si="699">S144/1000</f>
        <v>-27.06234284582197</v>
      </c>
    </row>
    <row r="145" spans="1:20" x14ac:dyDescent="0.25">
      <c r="A145" s="5">
        <v>44448</v>
      </c>
      <c r="B145">
        <v>7.6740000000000003E-2</v>
      </c>
      <c r="C145">
        <v>7.8270000000000006E-2</v>
      </c>
      <c r="D145">
        <v>7.1900000000000006E-2</v>
      </c>
      <c r="E145">
        <v>7.3730000000000004E-2</v>
      </c>
      <c r="F145">
        <v>236624932.30000001</v>
      </c>
      <c r="G145">
        <v>7.3730000000000004E-2</v>
      </c>
      <c r="L145" t="s">
        <v>7</v>
      </c>
      <c r="M145" t="s">
        <v>8</v>
      </c>
      <c r="N145" t="s">
        <v>7</v>
      </c>
      <c r="P145">
        <f t="shared" ref="P145" si="700">IF(C145=D145,0,((E145-D145)-(C145-E145))/(C145-D145))</f>
        <v>-0.42543171114599748</v>
      </c>
      <c r="Q145">
        <f t="shared" ref="Q145" si="701">F145*P145</f>
        <v>-100667749.84819481</v>
      </c>
      <c r="R145">
        <f t="shared" ref="R145" si="702">R146+Q145</f>
        <v>-2654993003.1418867</v>
      </c>
      <c r="S145">
        <f t="shared" ref="S145" si="703">R145/100000</f>
        <v>-26549.930031418866</v>
      </c>
      <c r="T145">
        <f t="shared" ref="T145" si="704">S145/1000</f>
        <v>-26.549930031418867</v>
      </c>
    </row>
    <row r="146" spans="1:20" x14ac:dyDescent="0.25">
      <c r="A146" s="5">
        <v>44447</v>
      </c>
      <c r="B146">
        <v>6.9510000000000002E-2</v>
      </c>
      <c r="C146">
        <v>7.9219999999999999E-2</v>
      </c>
      <c r="D146">
        <v>6.5040000000000001E-2</v>
      </c>
      <c r="E146">
        <v>7.6719999999999997E-2</v>
      </c>
      <c r="F146">
        <v>349519783.80000001</v>
      </c>
      <c r="G146">
        <v>7.6719999999999997E-2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0.64739069111424508</v>
      </c>
      <c r="Q146">
        <f t="shared" ref="Q146" si="706">F146*P146</f>
        <v>226275854.39238352</v>
      </c>
      <c r="R146">
        <f t="shared" ref="R146" si="707">R147+Q146</f>
        <v>-2554325253.2936921</v>
      </c>
      <c r="S146">
        <f t="shared" ref="S146" si="708">R146/100000</f>
        <v>-25543.25253293692</v>
      </c>
      <c r="T146">
        <f t="shared" ref="T146" si="709">S146/1000</f>
        <v>-25.543252532936918</v>
      </c>
    </row>
    <row r="147" spans="1:20" x14ac:dyDescent="0.25">
      <c r="A147" s="5">
        <v>44446</v>
      </c>
      <c r="B147">
        <v>8.813E-2</v>
      </c>
      <c r="C147">
        <v>8.8389999999999996E-2</v>
      </c>
      <c r="D147">
        <v>6.2859999999999999E-2</v>
      </c>
      <c r="E147">
        <v>6.9559999999999997E-2</v>
      </c>
      <c r="F147">
        <v>364340129.89999998</v>
      </c>
      <c r="G147">
        <v>6.9559999999999997E-2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-0.47512730121425784</v>
      </c>
      <c r="Q147">
        <f t="shared" ref="Q147" si="711">F147*P147</f>
        <v>-173107942.64343911</v>
      </c>
      <c r="R147">
        <f t="shared" ref="R147" si="712">R148+Q147</f>
        <v>-2780601107.6860757</v>
      </c>
      <c r="S147">
        <f t="shared" ref="S147" si="713">R147/100000</f>
        <v>-27806.011076860756</v>
      </c>
      <c r="T147">
        <f t="shared" ref="T147" si="714">S147/1000</f>
        <v>-27.806011076860756</v>
      </c>
    </row>
    <row r="148" spans="1:20" x14ac:dyDescent="0.25">
      <c r="A148" s="5">
        <v>44445</v>
      </c>
      <c r="B148">
        <v>9.0509999999999993E-2</v>
      </c>
      <c r="C148">
        <v>9.2299999999999993E-2</v>
      </c>
      <c r="D148">
        <v>8.6730000000000002E-2</v>
      </c>
      <c r="E148">
        <v>8.8120000000000004E-2</v>
      </c>
      <c r="F148">
        <v>435195614.30000001</v>
      </c>
      <c r="G148">
        <v>8.8120000000000004E-2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-0.50089766606822106</v>
      </c>
      <c r="Q148">
        <f t="shared" ref="Q148" si="716">F148*P148</f>
        <v>-217988467.48599574</v>
      </c>
      <c r="R148">
        <f t="shared" ref="R148" si="717">R149+Q148</f>
        <v>-2607493165.0426364</v>
      </c>
      <c r="S148">
        <f t="shared" ref="S148" si="718">R148/100000</f>
        <v>-26074.931650426362</v>
      </c>
      <c r="T148">
        <f t="shared" ref="T148" si="719">S148/1000</f>
        <v>-26.074931650426361</v>
      </c>
    </row>
    <row r="149" spans="1:20" x14ac:dyDescent="0.25">
      <c r="A149" s="5">
        <v>44444</v>
      </c>
      <c r="B149">
        <v>8.8959999999999997E-2</v>
      </c>
      <c r="C149">
        <v>9.2429999999999998E-2</v>
      </c>
      <c r="D149">
        <v>8.77E-2</v>
      </c>
      <c r="E149">
        <v>9.0459999999999999E-2</v>
      </c>
      <c r="F149">
        <v>407009303.30000001</v>
      </c>
      <c r="G149">
        <v>9.0459999999999999E-2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0.16701902748414363</v>
      </c>
      <c r="Q149">
        <f t="shared" ref="Q149" si="721">F149*P149</f>
        <v>67978298.01416485</v>
      </c>
      <c r="R149">
        <f t="shared" ref="R149" si="722">R150+Q149</f>
        <v>-2389504697.5566406</v>
      </c>
      <c r="S149">
        <f t="shared" ref="S149" si="723">R149/100000</f>
        <v>-23895.046975566405</v>
      </c>
      <c r="T149">
        <f t="shared" ref="T149" si="724">S149/1000</f>
        <v>-23.895046975566405</v>
      </c>
    </row>
    <row r="150" spans="1:20" x14ac:dyDescent="0.25">
      <c r="A150" s="5">
        <v>44443</v>
      </c>
      <c r="B150">
        <v>9.3880000000000005E-2</v>
      </c>
      <c r="C150">
        <v>9.5280000000000004E-2</v>
      </c>
      <c r="D150">
        <v>8.7720000000000006E-2</v>
      </c>
      <c r="E150">
        <v>8.8929999999999995E-2</v>
      </c>
      <c r="F150">
        <v>477792674</v>
      </c>
      <c r="G150">
        <v>8.8929999999999995E-2</v>
      </c>
      <c r="L150" t="s">
        <v>7</v>
      </c>
      <c r="M150" t="s">
        <v>8</v>
      </c>
      <c r="N150" t="s">
        <v>8</v>
      </c>
      <c r="P150">
        <f t="shared" ref="P150" si="725">IF(C150=D150,0,((E150-D150)-(C150-E150))/(C150-D150))</f>
        <v>-0.67989417989418277</v>
      </c>
      <c r="Q150">
        <f t="shared" ref="Q150" si="726">F150*P150</f>
        <v>-324848458.24867862</v>
      </c>
      <c r="R150">
        <f t="shared" ref="R150" si="727">R151+Q150</f>
        <v>-2457482995.5708055</v>
      </c>
      <c r="S150">
        <f t="shared" ref="S150" si="728">R150/100000</f>
        <v>-24574.829955708057</v>
      </c>
      <c r="T150">
        <f t="shared" ref="T150" si="729">S150/1000</f>
        <v>-24.574829955708058</v>
      </c>
    </row>
    <row r="151" spans="1:20" x14ac:dyDescent="0.25">
      <c r="A151" s="5">
        <v>44442</v>
      </c>
      <c r="B151">
        <v>7.9390000000000002E-2</v>
      </c>
      <c r="C151">
        <v>9.8210000000000006E-2</v>
      </c>
      <c r="D151">
        <v>7.8509999999999996E-2</v>
      </c>
      <c r="E151">
        <v>9.3880000000000005E-2</v>
      </c>
      <c r="F151">
        <v>723021933.70000005</v>
      </c>
      <c r="G151">
        <v>9.3880000000000005E-2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0.56040609137055852</v>
      </c>
      <c r="Q151">
        <f t="shared" ref="Q151" si="731">F151*P151</f>
        <v>405185895.84000015</v>
      </c>
      <c r="R151">
        <f t="shared" ref="R151" si="732">R152+Q151</f>
        <v>-2132634537.3221269</v>
      </c>
      <c r="S151">
        <f t="shared" ref="S151" si="733">R151/100000</f>
        <v>-21326.345373221269</v>
      </c>
      <c r="T151">
        <f t="shared" ref="T151" si="734">S151/1000</f>
        <v>-21.326345373221269</v>
      </c>
    </row>
    <row r="152" spans="1:20" x14ac:dyDescent="0.25">
      <c r="A152" s="5">
        <v>44441</v>
      </c>
      <c r="B152">
        <v>8.1229999999999997E-2</v>
      </c>
      <c r="C152">
        <v>8.2729999999999998E-2</v>
      </c>
      <c r="D152">
        <v>7.8509999999999996E-2</v>
      </c>
      <c r="E152">
        <v>7.9390000000000002E-2</v>
      </c>
      <c r="F152">
        <v>538285654</v>
      </c>
      <c r="G152">
        <v>7.9390000000000002E-2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-0.58293838862558978</v>
      </c>
      <c r="Q152">
        <f t="shared" ref="Q152" si="736">F152*P152</f>
        <v>-313787371.76303178</v>
      </c>
      <c r="R152">
        <f t="shared" ref="R152" si="737">R153+Q152</f>
        <v>-2537820433.162127</v>
      </c>
      <c r="S152">
        <f t="shared" ref="S152" si="738">R152/100000</f>
        <v>-25378.204331621269</v>
      </c>
      <c r="T152">
        <f t="shared" ref="T152" si="739">S152/1000</f>
        <v>-25.378204331621269</v>
      </c>
    </row>
    <row r="153" spans="1:20" x14ac:dyDescent="0.25">
      <c r="A153" s="5">
        <v>44440</v>
      </c>
      <c r="B153">
        <v>7.4590000000000004E-2</v>
      </c>
      <c r="C153">
        <v>8.2949999999999996E-2</v>
      </c>
      <c r="D153">
        <v>7.3270000000000002E-2</v>
      </c>
      <c r="E153">
        <v>8.1259999999999999E-2</v>
      </c>
      <c r="F153">
        <v>556099487.10000002</v>
      </c>
      <c r="G153">
        <v>8.1259999999999999E-2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0.65082644628099218</v>
      </c>
      <c r="Q153">
        <f t="shared" ref="Q153" si="741">F153*P153</f>
        <v>361924252.9679755</v>
      </c>
      <c r="R153">
        <f t="shared" ref="R153" si="742">R154+Q153</f>
        <v>-2224033061.3990951</v>
      </c>
      <c r="S153">
        <f t="shared" ref="S153" si="743">R153/100000</f>
        <v>-22240.330613990951</v>
      </c>
      <c r="T153">
        <f t="shared" ref="T153" si="744">S153/1000</f>
        <v>-22.240330613990952</v>
      </c>
    </row>
    <row r="154" spans="1:20" x14ac:dyDescent="0.25">
      <c r="A154" s="5">
        <v>44439</v>
      </c>
      <c r="B154">
        <v>7.4359999999999996E-2</v>
      </c>
      <c r="C154">
        <v>8.1850000000000006E-2</v>
      </c>
      <c r="D154">
        <v>7.3349999999999999E-2</v>
      </c>
      <c r="E154">
        <v>7.4560000000000001E-2</v>
      </c>
      <c r="F154">
        <v>564882686.39999998</v>
      </c>
      <c r="G154">
        <v>7.4560000000000001E-2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-0.71529411764705841</v>
      </c>
      <c r="Q154">
        <f t="shared" ref="Q154" si="746">F154*P154</f>
        <v>-404057262.74258798</v>
      </c>
      <c r="R154">
        <f t="shared" ref="R154" si="747">R155+Q154</f>
        <v>-2585957314.3670707</v>
      </c>
      <c r="S154">
        <f t="shared" ref="S154" si="748">R154/100000</f>
        <v>-25859.573143670706</v>
      </c>
      <c r="T154">
        <f t="shared" ref="T154" si="749">S154/1000</f>
        <v>-25.859573143670705</v>
      </c>
    </row>
    <row r="155" spans="1:20" x14ac:dyDescent="0.25">
      <c r="A155" s="5">
        <v>44438</v>
      </c>
      <c r="B155">
        <v>7.3749999999999996E-2</v>
      </c>
      <c r="C155">
        <v>7.8990000000000005E-2</v>
      </c>
      <c r="D155">
        <v>7.0690000000000003E-2</v>
      </c>
      <c r="E155">
        <v>7.4480000000000005E-2</v>
      </c>
      <c r="F155">
        <v>482020467.60000002</v>
      </c>
      <c r="G155">
        <v>7.4480000000000005E-2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-8.674698795180702E-2</v>
      </c>
      <c r="Q155">
        <f t="shared" ref="Q155" si="751">F155*P155</f>
        <v>-41813823.695421591</v>
      </c>
      <c r="R155">
        <f t="shared" ref="R155" si="752">R156+Q155</f>
        <v>-2181900051.6244826</v>
      </c>
      <c r="S155">
        <f t="shared" ref="S155" si="753">R155/100000</f>
        <v>-21819.000516244825</v>
      </c>
      <c r="T155">
        <f t="shared" ref="T155" si="754">S155/1000</f>
        <v>-21.819000516244824</v>
      </c>
    </row>
    <row r="156" spans="1:20" x14ac:dyDescent="0.25">
      <c r="A156" s="5">
        <v>44437</v>
      </c>
      <c r="B156">
        <v>7.4529999999999999E-2</v>
      </c>
      <c r="C156">
        <v>7.6929999999999998E-2</v>
      </c>
      <c r="D156">
        <v>7.2080000000000005E-2</v>
      </c>
      <c r="E156">
        <v>7.3679999999999995E-2</v>
      </c>
      <c r="F156">
        <v>417812872.19999999</v>
      </c>
      <c r="G156">
        <v>7.3679999999999995E-2</v>
      </c>
      <c r="L156" t="s">
        <v>7</v>
      </c>
      <c r="M156" t="s">
        <v>8</v>
      </c>
      <c r="N156" t="s">
        <v>8</v>
      </c>
      <c r="P156">
        <f t="shared" ref="P156" si="755">IF(C156=D156,0,((E156-D156)-(C156-E156))/(C156-D156))</f>
        <v>-0.34020618556701337</v>
      </c>
      <c r="Q156">
        <f t="shared" ref="Q156" si="756">F156*P156</f>
        <v>-142142523.53196004</v>
      </c>
      <c r="R156">
        <f t="shared" ref="R156" si="757">R157+Q156</f>
        <v>-2140086227.9290612</v>
      </c>
      <c r="S156">
        <f t="shared" ref="S156" si="758">R156/100000</f>
        <v>-21400.862279290614</v>
      </c>
      <c r="T156">
        <f t="shared" ref="T156" si="759">S156/1000</f>
        <v>-21.400862279290614</v>
      </c>
    </row>
    <row r="157" spans="1:20" x14ac:dyDescent="0.25">
      <c r="A157" s="5">
        <v>44436</v>
      </c>
      <c r="B157">
        <v>7.7950000000000005E-2</v>
      </c>
      <c r="C157">
        <v>7.9159999999999994E-2</v>
      </c>
      <c r="D157">
        <v>7.3830000000000007E-2</v>
      </c>
      <c r="E157">
        <v>7.4590000000000004E-2</v>
      </c>
      <c r="F157">
        <v>420836365.5</v>
      </c>
      <c r="G157">
        <v>7.4590000000000004E-2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-0.71482176360225191</v>
      </c>
      <c r="Q157">
        <f t="shared" ref="Q157" si="761">F157*P157</f>
        <v>-300822992.9746719</v>
      </c>
      <c r="R157">
        <f t="shared" ref="R157" si="762">R158+Q157</f>
        <v>-1997943704.3971012</v>
      </c>
      <c r="S157">
        <f t="shared" ref="S157" si="763">R157/100000</f>
        <v>-19979.437043971011</v>
      </c>
      <c r="T157">
        <f t="shared" ref="T157" si="764">S157/1000</f>
        <v>-19.979437043971011</v>
      </c>
    </row>
    <row r="158" spans="1:20" x14ac:dyDescent="0.25">
      <c r="A158" s="5">
        <v>44435</v>
      </c>
      <c r="B158">
        <v>6.8570000000000006E-2</v>
      </c>
      <c r="C158">
        <v>7.8589999999999993E-2</v>
      </c>
      <c r="D158">
        <v>6.5110000000000001E-2</v>
      </c>
      <c r="E158">
        <v>7.7950000000000005E-2</v>
      </c>
      <c r="F158">
        <v>718817447.60000002</v>
      </c>
      <c r="G158">
        <v>7.7950000000000005E-2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0.90504451038575839</v>
      </c>
      <c r="Q158">
        <f t="shared" ref="Q158" si="766">F158*P158</f>
        <v>650561784.91988254</v>
      </c>
      <c r="R158">
        <f t="shared" ref="R158" si="767">R159+Q158</f>
        <v>-1697120711.4224293</v>
      </c>
      <c r="S158">
        <f t="shared" ref="S158" si="768">R158/100000</f>
        <v>-16971.207114224293</v>
      </c>
      <c r="T158">
        <f t="shared" ref="T158" si="769">S158/1000</f>
        <v>-16.971207114224292</v>
      </c>
    </row>
    <row r="159" spans="1:20" x14ac:dyDescent="0.25">
      <c r="A159" s="5">
        <v>44434</v>
      </c>
      <c r="B159">
        <v>7.5029999999999999E-2</v>
      </c>
      <c r="C159">
        <v>7.6649999999999996E-2</v>
      </c>
      <c r="D159">
        <v>6.6799999999999998E-2</v>
      </c>
      <c r="E159">
        <v>6.8559999999999996E-2</v>
      </c>
      <c r="F159">
        <v>353097378</v>
      </c>
      <c r="G159">
        <v>6.8559999999999996E-2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-0.64263959390862979</v>
      </c>
      <c r="Q159">
        <f t="shared" ref="Q159" si="771">F159*P159</f>
        <v>-226914355.60812196</v>
      </c>
      <c r="R159">
        <f t="shared" ref="R159" si="772">R160+Q159</f>
        <v>-2347682496.3423119</v>
      </c>
      <c r="S159">
        <f t="shared" ref="S159" si="773">R159/100000</f>
        <v>-23476.824963423118</v>
      </c>
      <c r="T159">
        <f t="shared" ref="T159" si="774">S159/1000</f>
        <v>-23.47682496342312</v>
      </c>
    </row>
    <row r="160" spans="1:20" x14ac:dyDescent="0.25">
      <c r="A160" s="5">
        <v>44433</v>
      </c>
      <c r="B160">
        <v>7.5200000000000003E-2</v>
      </c>
      <c r="C160">
        <v>7.9670000000000005E-2</v>
      </c>
      <c r="D160">
        <v>6.9199999999999998E-2</v>
      </c>
      <c r="E160">
        <v>7.5029999999999999E-2</v>
      </c>
      <c r="F160">
        <v>440570218.30000001</v>
      </c>
      <c r="G160">
        <v>7.5029999999999999E-2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0.11365807067812758</v>
      </c>
      <c r="Q160">
        <f t="shared" ref="Q160" si="776">F160*P160</f>
        <v>50074361.010219499</v>
      </c>
      <c r="R160">
        <f t="shared" ref="R160" si="777">R161+Q160</f>
        <v>-2120768140.73419</v>
      </c>
      <c r="S160">
        <f t="shared" ref="S160" si="778">R160/100000</f>
        <v>-21207.681407341901</v>
      </c>
      <c r="T160">
        <f t="shared" ref="T160" si="779">S160/1000</f>
        <v>-21.207681407341902</v>
      </c>
    </row>
    <row r="161" spans="1:20" x14ac:dyDescent="0.25">
      <c r="A161" s="5">
        <v>44432</v>
      </c>
      <c r="B161">
        <v>8.1379999999999994E-2</v>
      </c>
      <c r="C161">
        <v>8.1809999999999994E-2</v>
      </c>
      <c r="D161">
        <v>7.3029999999999998E-2</v>
      </c>
      <c r="E161">
        <v>7.5170000000000001E-2</v>
      </c>
      <c r="F161">
        <v>376281597.39999998</v>
      </c>
      <c r="G161">
        <v>7.5170000000000001E-2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-0.51252847380409938</v>
      </c>
      <c r="Q161">
        <f t="shared" ref="Q161" si="781">F161*P161</f>
        <v>-192855032.83599055</v>
      </c>
      <c r="R161">
        <f t="shared" ref="R161" si="782">R162+Q161</f>
        <v>-2170842501.7444096</v>
      </c>
      <c r="S161">
        <f t="shared" ref="S161" si="783">R161/100000</f>
        <v>-21708.425017444097</v>
      </c>
      <c r="T161">
        <f t="shared" ref="T161" si="784">S161/1000</f>
        <v>-21.708425017444096</v>
      </c>
    </row>
    <row r="162" spans="1:20" x14ac:dyDescent="0.25">
      <c r="A162" s="5">
        <v>44431</v>
      </c>
      <c r="B162">
        <v>7.8579999999999997E-2</v>
      </c>
      <c r="C162">
        <v>8.4000000000000005E-2</v>
      </c>
      <c r="D162">
        <v>7.8380000000000005E-2</v>
      </c>
      <c r="E162">
        <v>8.1460000000000005E-2</v>
      </c>
      <c r="F162">
        <v>399815941.89999998</v>
      </c>
      <c r="G162">
        <v>8.1460000000000005E-2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9.6085409252668827E-2</v>
      </c>
      <c r="Q162">
        <f t="shared" ref="Q162" si="786">F162*P162</f>
        <v>38416478.403202757</v>
      </c>
      <c r="R162">
        <f t="shared" ref="R162" si="787">R163+Q162</f>
        <v>-1977987468.9084189</v>
      </c>
      <c r="S162">
        <f t="shared" ref="S162" si="788">R162/100000</f>
        <v>-19779.87468908419</v>
      </c>
      <c r="T162">
        <f t="shared" ref="T162" si="789">S162/1000</f>
        <v>-19.779874689084192</v>
      </c>
    </row>
    <row r="163" spans="1:20" x14ac:dyDescent="0.25">
      <c r="A163" s="5">
        <v>44430</v>
      </c>
      <c r="B163">
        <v>7.5499999999999998E-2</v>
      </c>
      <c r="C163">
        <v>7.8950000000000006E-2</v>
      </c>
      <c r="D163">
        <v>7.4899999999999994E-2</v>
      </c>
      <c r="E163">
        <v>7.7630000000000005E-2</v>
      </c>
      <c r="F163">
        <v>32307023.5</v>
      </c>
      <c r="G163">
        <v>7.7630000000000005E-2</v>
      </c>
      <c r="L163" t="s">
        <v>8</v>
      </c>
      <c r="M163" t="s">
        <v>7</v>
      </c>
      <c r="N163" t="s">
        <v>8</v>
      </c>
      <c r="P163">
        <f t="shared" ref="P163" si="790">IF(C163=D163,0,((E163-D163)-(C163-E163))/(C163-D163))</f>
        <v>0.34814814814814921</v>
      </c>
      <c r="Q163">
        <f t="shared" ref="Q163" si="791">F163*P163</f>
        <v>11247630.403703738</v>
      </c>
      <c r="R163">
        <f t="shared" ref="R163" si="792">R164+Q163</f>
        <v>-2016403947.3116217</v>
      </c>
      <c r="S163">
        <f t="shared" ref="S163" si="793">R163/100000</f>
        <v>-20164.039473116216</v>
      </c>
      <c r="T163">
        <f t="shared" ref="T163" si="794">S163/1000</f>
        <v>-20.164039473116215</v>
      </c>
    </row>
    <row r="164" spans="1:20" x14ac:dyDescent="0.25">
      <c r="A164" s="5">
        <v>44429</v>
      </c>
      <c r="B164">
        <v>7.6130000000000003E-2</v>
      </c>
      <c r="C164">
        <v>7.9990000000000006E-2</v>
      </c>
      <c r="D164">
        <v>7.1609999999999993E-2</v>
      </c>
      <c r="E164">
        <v>7.5509999999999994E-2</v>
      </c>
      <c r="F164">
        <v>156298481.69999999</v>
      </c>
      <c r="G164">
        <v>7.5509999999999994E-2</v>
      </c>
      <c r="L164" t="s">
        <v>8</v>
      </c>
      <c r="M164" t="s">
        <v>7</v>
      </c>
      <c r="N164" t="s">
        <v>8</v>
      </c>
      <c r="P164">
        <f t="shared" ref="P164" si="795">IF(C164=D164,0,((E164-D164)-(C164-E164))/(C164-D164))</f>
        <v>-6.9212410501194532E-2</v>
      </c>
      <c r="Q164">
        <f t="shared" ref="Q164" si="796">F164*P164</f>
        <v>-10817794.676133841</v>
      </c>
      <c r="R164">
        <f t="shared" ref="R164" si="797">R165+Q164</f>
        <v>-2027651577.7153254</v>
      </c>
      <c r="S164">
        <f t="shared" ref="S164" si="798">R164/100000</f>
        <v>-20276.515777153254</v>
      </c>
      <c r="T164">
        <f t="shared" ref="T164" si="799">S164/1000</f>
        <v>-20.276515777153254</v>
      </c>
    </row>
    <row r="165" spans="1:20" x14ac:dyDescent="0.25">
      <c r="A165" s="5">
        <v>44428</v>
      </c>
      <c r="B165">
        <v>7.3429999999999995E-2</v>
      </c>
      <c r="C165">
        <v>8.1890000000000004E-2</v>
      </c>
      <c r="D165">
        <v>7.1209999999999996E-2</v>
      </c>
      <c r="E165">
        <v>7.6130000000000003E-2</v>
      </c>
      <c r="F165">
        <v>246585148</v>
      </c>
      <c r="G165">
        <v>7.6130000000000003E-2</v>
      </c>
      <c r="L165" t="s">
        <v>7</v>
      </c>
      <c r="M165" t="s">
        <v>7</v>
      </c>
      <c r="N165" t="s">
        <v>8</v>
      </c>
      <c r="P165">
        <f t="shared" ref="P165" si="800">IF(C165=D165,0,((E165-D165)-(C165-E165))/(C165-D165))</f>
        <v>-7.8651685393257759E-2</v>
      </c>
      <c r="Q165">
        <f t="shared" ref="Q165" si="801">F165*P165</f>
        <v>-19394337.483145904</v>
      </c>
      <c r="R165">
        <f t="shared" ref="R165" si="802">R166+Q165</f>
        <v>-2016833783.0391915</v>
      </c>
      <c r="S165">
        <f t="shared" ref="S165" si="803">R165/100000</f>
        <v>-20168.337830391916</v>
      </c>
      <c r="T165">
        <f t="shared" ref="T165" si="804">S165/1000</f>
        <v>-20.168337830391916</v>
      </c>
    </row>
    <row r="166" spans="1:20" x14ac:dyDescent="0.25">
      <c r="A166" s="5">
        <v>44427</v>
      </c>
      <c r="B166">
        <v>6.2199999999999998E-2</v>
      </c>
      <c r="C166">
        <v>8.6190000000000003E-2</v>
      </c>
      <c r="D166">
        <v>6.0229999999999999E-2</v>
      </c>
      <c r="E166">
        <v>7.3480000000000004E-2</v>
      </c>
      <c r="F166">
        <v>587441415.60000002</v>
      </c>
      <c r="G166">
        <v>7.3480000000000004E-2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2.0801232665639664E-2</v>
      </c>
      <c r="Q166">
        <f t="shared" ref="Q166" si="806">F166*P166</f>
        <v>12219505.563328326</v>
      </c>
      <c r="R166">
        <f t="shared" ref="R166" si="807">R167+Q166</f>
        <v>-1997439445.5560455</v>
      </c>
      <c r="S166">
        <f t="shared" ref="S166" si="808">R166/100000</f>
        <v>-19974.394455560454</v>
      </c>
      <c r="T166">
        <f t="shared" ref="T166" si="809">S166/1000</f>
        <v>-19.974394455560454</v>
      </c>
    </row>
    <row r="167" spans="1:20" x14ac:dyDescent="0.25">
      <c r="A167" s="5">
        <v>44426</v>
      </c>
      <c r="B167">
        <v>5.9220000000000002E-2</v>
      </c>
      <c r="C167">
        <v>6.787E-2</v>
      </c>
      <c r="D167">
        <v>5.7500000000000002E-2</v>
      </c>
      <c r="E167">
        <v>6.2190000000000002E-2</v>
      </c>
      <c r="F167">
        <v>175452813.40000001</v>
      </c>
      <c r="G167">
        <v>6.2190000000000002E-2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-9.5467695274831066E-2</v>
      </c>
      <c r="Q167">
        <f t="shared" ref="Q167" si="811">F167*P167</f>
        <v>-16750075.724782998</v>
      </c>
      <c r="R167">
        <f t="shared" ref="R167" si="812">R168+Q167</f>
        <v>-2009658951.1193738</v>
      </c>
      <c r="S167">
        <f t="shared" ref="S167" si="813">R167/100000</f>
        <v>-20096.589511193739</v>
      </c>
      <c r="T167">
        <f t="shared" ref="T167" si="814">S167/1000</f>
        <v>-20.096589511193738</v>
      </c>
    </row>
    <row r="168" spans="1:20" x14ac:dyDescent="0.25">
      <c r="A168" s="5">
        <v>44425</v>
      </c>
      <c r="B168">
        <v>5.738E-2</v>
      </c>
      <c r="C168">
        <v>6.9000000000000006E-2</v>
      </c>
      <c r="D168">
        <v>5.611E-2</v>
      </c>
      <c r="E168">
        <v>5.9220000000000002E-2</v>
      </c>
      <c r="F168">
        <v>244168396.19999999</v>
      </c>
      <c r="G168">
        <v>5.9220000000000002E-2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-0.51745539177657096</v>
      </c>
      <c r="Q168">
        <f t="shared" ref="Q168" si="816">F168*P168</f>
        <v>-126346253.115128</v>
      </c>
      <c r="R168">
        <f t="shared" ref="R168" si="817">R169+Q168</f>
        <v>-1992908875.3945909</v>
      </c>
      <c r="S168">
        <f t="shared" ref="S168" si="818">R168/100000</f>
        <v>-19929.088753945907</v>
      </c>
      <c r="T168">
        <f t="shared" ref="T168" si="819">S168/1000</f>
        <v>-19.929088753945909</v>
      </c>
    </row>
    <row r="169" spans="1:20" x14ac:dyDescent="0.25">
      <c r="A169" s="5">
        <v>44424</v>
      </c>
      <c r="B169">
        <v>6.1159999999999999E-2</v>
      </c>
      <c r="C169">
        <v>6.216E-2</v>
      </c>
      <c r="D169">
        <v>5.7049999999999997E-2</v>
      </c>
      <c r="E169">
        <v>5.7430000000000002E-2</v>
      </c>
      <c r="F169">
        <v>118901619.3</v>
      </c>
      <c r="G169">
        <v>5.7430000000000002E-2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-0.85127201565557531</v>
      </c>
      <c r="Q169">
        <f t="shared" ref="Q169" si="821">F169*P169</f>
        <v>-101217621.12622285</v>
      </c>
      <c r="R169">
        <f t="shared" ref="R169" si="822">R170+Q169</f>
        <v>-1866562622.2794628</v>
      </c>
      <c r="S169">
        <f t="shared" ref="S169" si="823">R169/100000</f>
        <v>-18665.626222794628</v>
      </c>
      <c r="T169">
        <f t="shared" ref="T169" si="824">S169/1000</f>
        <v>-18.665626222794629</v>
      </c>
    </row>
    <row r="170" spans="1:20" x14ac:dyDescent="0.25">
      <c r="A170" s="5">
        <v>44423</v>
      </c>
      <c r="B170">
        <v>5.8029999999999998E-2</v>
      </c>
      <c r="C170">
        <v>6.4600000000000005E-2</v>
      </c>
      <c r="D170">
        <v>5.3460000000000001E-2</v>
      </c>
      <c r="E170">
        <v>6.1089999999999998E-2</v>
      </c>
      <c r="F170">
        <v>277840887.39999998</v>
      </c>
      <c r="G170">
        <v>6.1089999999999998E-2</v>
      </c>
      <c r="L170" t="s">
        <v>7</v>
      </c>
      <c r="M170" t="s">
        <v>7</v>
      </c>
      <c r="N170" t="s">
        <v>8</v>
      </c>
      <c r="P170">
        <f t="shared" ref="P170" si="825">IF(C170=D170,0,((E170-D170)-(C170-E170))/(C170-D170))</f>
        <v>0.36983842010771906</v>
      </c>
      <c r="Q170">
        <f t="shared" ref="Q170" si="826">F170*P170</f>
        <v>102756234.83734266</v>
      </c>
      <c r="R170">
        <f t="shared" ref="R170" si="827">R171+Q170</f>
        <v>-1765345001.15324</v>
      </c>
      <c r="S170">
        <f t="shared" ref="S170" si="828">R170/100000</f>
        <v>-17653.450011532401</v>
      </c>
      <c r="T170">
        <f t="shared" ref="T170" si="829">S170/1000</f>
        <v>-17.653450011532399</v>
      </c>
    </row>
    <row r="171" spans="1:20" x14ac:dyDescent="0.25">
      <c r="A171" s="5">
        <v>44422</v>
      </c>
      <c r="B171">
        <v>5.9049999999999998E-2</v>
      </c>
      <c r="C171">
        <v>6.0339999999999998E-2</v>
      </c>
      <c r="D171">
        <v>5.5230000000000001E-2</v>
      </c>
      <c r="E171">
        <v>5.7959999999999998E-2</v>
      </c>
      <c r="F171">
        <v>114192528.5</v>
      </c>
      <c r="G171">
        <v>5.7959999999999998E-2</v>
      </c>
      <c r="L171" t="s">
        <v>7</v>
      </c>
      <c r="M171" t="s">
        <v>7</v>
      </c>
      <c r="N171" t="s">
        <v>8</v>
      </c>
      <c r="P171">
        <f t="shared" ref="P171" si="830">IF(C171=D171,0,((E171-D171)-(C171-E171))/(C171-D171))</f>
        <v>6.8493150684930795E-2</v>
      </c>
      <c r="Q171">
        <f t="shared" ref="Q171" si="831">F171*P171</f>
        <v>7821406.0616437541</v>
      </c>
      <c r="R171">
        <f t="shared" ref="R171" si="832">R172+Q171</f>
        <v>-1868101235.9905827</v>
      </c>
      <c r="S171">
        <f t="shared" ref="S171" si="833">R171/100000</f>
        <v>-18681.012359905828</v>
      </c>
      <c r="T171">
        <f t="shared" ref="T171" si="834">S171/1000</f>
        <v>-18.681012359905829</v>
      </c>
    </row>
    <row r="172" spans="1:20" x14ac:dyDescent="0.25">
      <c r="A172" s="5">
        <v>44421</v>
      </c>
      <c r="B172">
        <v>5.1839999999999997E-2</v>
      </c>
      <c r="C172">
        <v>6.7000000000000004E-2</v>
      </c>
      <c r="D172">
        <v>5.1220000000000002E-2</v>
      </c>
      <c r="E172">
        <v>5.9049999999999998E-2</v>
      </c>
      <c r="F172">
        <v>335358076.80000001</v>
      </c>
      <c r="G172">
        <v>5.9049999999999998E-2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-7.6045627376431536E-3</v>
      </c>
      <c r="Q172">
        <f t="shared" ref="Q172" si="836">F172*P172</f>
        <v>-2550251.5346009512</v>
      </c>
      <c r="R172">
        <f t="shared" ref="R172" si="837">R173+Q172</f>
        <v>-1875922642.0522265</v>
      </c>
      <c r="S172">
        <f t="shared" ref="S172" si="838">R172/100000</f>
        <v>-18759.226420522264</v>
      </c>
      <c r="T172">
        <f t="shared" ref="T172" si="839">S172/1000</f>
        <v>-18.759226420522264</v>
      </c>
    </row>
    <row r="173" spans="1:20" x14ac:dyDescent="0.25">
      <c r="A173" s="5">
        <v>44420</v>
      </c>
      <c r="B173">
        <v>5.033E-2</v>
      </c>
      <c r="C173">
        <v>5.9790000000000003E-2</v>
      </c>
      <c r="D173">
        <v>4.7530000000000003E-2</v>
      </c>
      <c r="E173">
        <v>5.1769999999999997E-2</v>
      </c>
      <c r="F173">
        <v>169847813.5</v>
      </c>
      <c r="G173">
        <v>5.1769999999999997E-2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-0.30831973898858178</v>
      </c>
      <c r="Q173">
        <f t="shared" ref="Q173" si="841">F173*P173</f>
        <v>-52367433.526101314</v>
      </c>
      <c r="R173">
        <f t="shared" ref="R173" si="842">R174+Q173</f>
        <v>-1873372390.5176256</v>
      </c>
      <c r="S173">
        <f t="shared" ref="S173" si="843">R173/100000</f>
        <v>-18733.723905176255</v>
      </c>
      <c r="T173">
        <f t="shared" ref="T173" si="844">S173/1000</f>
        <v>-18.733723905176255</v>
      </c>
    </row>
    <row r="174" spans="1:20" x14ac:dyDescent="0.25">
      <c r="A174" s="5">
        <v>44419</v>
      </c>
      <c r="B174">
        <v>4.7969999999999999E-2</v>
      </c>
      <c r="C174">
        <v>5.3999999999999999E-2</v>
      </c>
      <c r="D174">
        <v>4.7660000000000001E-2</v>
      </c>
      <c r="E174">
        <v>5.0310000000000001E-2</v>
      </c>
      <c r="F174">
        <v>108774136.3</v>
      </c>
      <c r="G174">
        <v>5.0310000000000001E-2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-0.16403785488958983</v>
      </c>
      <c r="Q174">
        <f t="shared" ref="Q174" si="846">F174*P174</f>
        <v>-17843075.986119866</v>
      </c>
      <c r="R174">
        <f t="shared" ref="R174" si="847">R175+Q174</f>
        <v>-1821004956.9915242</v>
      </c>
      <c r="S174">
        <f t="shared" ref="S174" si="848">R174/100000</f>
        <v>-18210.049569915242</v>
      </c>
      <c r="T174">
        <f t="shared" ref="T174" si="849">S174/1000</f>
        <v>-18.210049569915242</v>
      </c>
    </row>
    <row r="175" spans="1:20" x14ac:dyDescent="0.25">
      <c r="A175" s="5">
        <v>44418</v>
      </c>
      <c r="B175">
        <v>4.5859999999999998E-2</v>
      </c>
      <c r="C175">
        <v>4.8919999999999998E-2</v>
      </c>
      <c r="D175">
        <v>4.4990000000000002E-2</v>
      </c>
      <c r="E175">
        <v>4.7989999999999998E-2</v>
      </c>
      <c r="F175">
        <v>105345194.59999999</v>
      </c>
      <c r="G175">
        <v>4.7989999999999998E-2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0.52671755725190783</v>
      </c>
      <c r="Q175">
        <f t="shared" ref="Q175" si="851">F175*P175</f>
        <v>55487163.567938872</v>
      </c>
      <c r="R175">
        <f t="shared" ref="R175" si="852">R176+Q175</f>
        <v>-1803161881.0054042</v>
      </c>
      <c r="S175">
        <f t="shared" ref="S175" si="853">R175/100000</f>
        <v>-18031.618810054042</v>
      </c>
      <c r="T175">
        <f t="shared" ref="T175" si="854">S175/1000</f>
        <v>-18.031618810054042</v>
      </c>
    </row>
    <row r="176" spans="1:20" x14ac:dyDescent="0.25">
      <c r="A176" s="5">
        <v>44417</v>
      </c>
      <c r="B176">
        <v>4.1889999999999997E-2</v>
      </c>
      <c r="C176">
        <v>4.7E-2</v>
      </c>
      <c r="D176">
        <v>4.1160000000000002E-2</v>
      </c>
      <c r="E176">
        <v>4.5859999999999998E-2</v>
      </c>
      <c r="F176">
        <v>88592034.599999994</v>
      </c>
      <c r="G176">
        <v>4.5859999999999998E-2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0.60958904109588952</v>
      </c>
      <c r="Q176">
        <f t="shared" ref="Q176" si="856">F176*P176</f>
        <v>54004733.420547865</v>
      </c>
      <c r="R176">
        <f t="shared" ref="R176" si="857">R177+Q176</f>
        <v>-1858649044.573343</v>
      </c>
      <c r="S176">
        <f t="shared" ref="S176" si="858">R176/100000</f>
        <v>-18586.490445733431</v>
      </c>
      <c r="T176">
        <f t="shared" ref="T176" si="859">S176/1000</f>
        <v>-18.586490445733432</v>
      </c>
    </row>
    <row r="177" spans="1:20" x14ac:dyDescent="0.25">
      <c r="A177" s="5">
        <v>44416</v>
      </c>
      <c r="B177">
        <v>4.5350000000000001E-2</v>
      </c>
      <c r="C177">
        <v>4.5650000000000003E-2</v>
      </c>
      <c r="D177">
        <v>4.1570000000000003E-2</v>
      </c>
      <c r="E177">
        <v>4.1869999999999997E-2</v>
      </c>
      <c r="F177">
        <v>44755086.100000001</v>
      </c>
      <c r="G177">
        <v>4.1869999999999997E-2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-0.85294117647059087</v>
      </c>
      <c r="Q177">
        <f t="shared" ref="Q177" si="861">F177*P177</f>
        <v>-38173455.791176587</v>
      </c>
      <c r="R177">
        <f t="shared" ref="R177" si="862">R178+Q177</f>
        <v>-1912653777.993891</v>
      </c>
      <c r="S177">
        <f t="shared" ref="S177" si="863">R177/100000</f>
        <v>-19126.53777993891</v>
      </c>
      <c r="T177">
        <f t="shared" ref="T177" si="864">S177/1000</f>
        <v>-19.126537779938911</v>
      </c>
    </row>
    <row r="178" spans="1:20" x14ac:dyDescent="0.25">
      <c r="A178" s="5">
        <v>44415</v>
      </c>
      <c r="B178">
        <v>4.4130000000000003E-2</v>
      </c>
      <c r="C178">
        <v>4.6580000000000003E-2</v>
      </c>
      <c r="D178">
        <v>4.3470000000000002E-2</v>
      </c>
      <c r="E178">
        <v>4.5370000000000001E-2</v>
      </c>
      <c r="F178">
        <v>69659221.700000003</v>
      </c>
      <c r="G178">
        <v>4.5370000000000001E-2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0.22186495176848739</v>
      </c>
      <c r="Q178">
        <f t="shared" ref="Q178" si="866">F178*P178</f>
        <v>15454939.86270087</v>
      </c>
      <c r="R178">
        <f t="shared" ref="R178" si="867">R179+Q178</f>
        <v>-1874480322.2027144</v>
      </c>
      <c r="S178">
        <f t="shared" ref="S178" si="868">R178/100000</f>
        <v>-18744.803222027145</v>
      </c>
      <c r="T178">
        <f t="shared" ref="T178" si="869">S178/1000</f>
        <v>-18.744803222027144</v>
      </c>
    </row>
    <row r="179" spans="1:20" x14ac:dyDescent="0.25">
      <c r="A179" s="5">
        <v>44414</v>
      </c>
      <c r="B179">
        <v>4.267E-2</v>
      </c>
      <c r="C179">
        <v>4.4999999999999998E-2</v>
      </c>
      <c r="D179">
        <v>4.1869999999999997E-2</v>
      </c>
      <c r="E179">
        <v>4.4040000000000003E-2</v>
      </c>
      <c r="F179">
        <v>56551670.299999997</v>
      </c>
      <c r="G179">
        <v>4.4040000000000003E-2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0.38658146964856527</v>
      </c>
      <c r="Q179">
        <f t="shared" ref="Q179" si="871">F179*P179</f>
        <v>21861827.81565512</v>
      </c>
      <c r="R179">
        <f t="shared" ref="R179" si="872">R180+Q179</f>
        <v>-1889935262.0654154</v>
      </c>
      <c r="S179">
        <f t="shared" ref="S179" si="873">R179/100000</f>
        <v>-18899.352620654154</v>
      </c>
      <c r="T179">
        <f t="shared" ref="T179" si="874">S179/1000</f>
        <v>-18.899352620654152</v>
      </c>
    </row>
    <row r="180" spans="1:20" x14ac:dyDescent="0.25">
      <c r="A180" s="5">
        <v>44413</v>
      </c>
      <c r="B180">
        <v>4.3279999999999999E-2</v>
      </c>
      <c r="C180">
        <v>4.3770000000000003E-2</v>
      </c>
      <c r="D180">
        <v>4.0329999999999998E-2</v>
      </c>
      <c r="E180">
        <v>4.265E-2</v>
      </c>
      <c r="F180">
        <v>66935018.899999999</v>
      </c>
      <c r="G180">
        <v>4.265E-2</v>
      </c>
      <c r="L180" t="s">
        <v>7</v>
      </c>
      <c r="M180" t="s">
        <v>8</v>
      </c>
      <c r="N180" t="s">
        <v>8</v>
      </c>
      <c r="P180">
        <f t="shared" ref="P180" si="875">IF(C180=D180,0,((E180-D180)-(C180-E180))/(C180-D180))</f>
        <v>0.34883720930232492</v>
      </c>
      <c r="Q180">
        <f t="shared" ref="Q180" si="876">F180*P180</f>
        <v>23349425.197674375</v>
      </c>
      <c r="R180">
        <f t="shared" ref="R180" si="877">R181+Q180</f>
        <v>-1911797089.8810706</v>
      </c>
      <c r="S180">
        <f t="shared" ref="S180" si="878">R180/100000</f>
        <v>-19117.970898810705</v>
      </c>
      <c r="T180">
        <f t="shared" ref="T180" si="879">S180/1000</f>
        <v>-19.117970898810704</v>
      </c>
    </row>
    <row r="181" spans="1:20" x14ac:dyDescent="0.25">
      <c r="A181" s="5">
        <v>44412</v>
      </c>
      <c r="B181">
        <v>4.1750000000000002E-2</v>
      </c>
      <c r="C181">
        <v>4.4999999999999998E-2</v>
      </c>
      <c r="D181">
        <v>4.088E-2</v>
      </c>
      <c r="E181">
        <v>4.3279999999999999E-2</v>
      </c>
      <c r="F181">
        <v>124839318.40000001</v>
      </c>
      <c r="G181">
        <v>4.3279999999999999E-2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0.16504854368932045</v>
      </c>
      <c r="Q181">
        <f t="shared" ref="Q181" si="881">F181*P181</f>
        <v>20604547.697087388</v>
      </c>
      <c r="R181">
        <f t="shared" ref="R181" si="882">R182+Q181</f>
        <v>-1935146515.0787449</v>
      </c>
      <c r="S181">
        <f t="shared" ref="S181" si="883">R181/100000</f>
        <v>-19351.465150787448</v>
      </c>
      <c r="T181">
        <f t="shared" ref="T181" si="884">S181/1000</f>
        <v>-19.351465150787448</v>
      </c>
    </row>
    <row r="182" spans="1:20" x14ac:dyDescent="0.25">
      <c r="A182" s="5">
        <v>44411</v>
      </c>
      <c r="B182">
        <v>3.959E-2</v>
      </c>
      <c r="C182">
        <v>4.41E-2</v>
      </c>
      <c r="D182">
        <v>3.8929999999999999E-2</v>
      </c>
      <c r="E182">
        <v>4.1660000000000003E-2</v>
      </c>
      <c r="F182">
        <v>125621689.7</v>
      </c>
      <c r="G182">
        <v>4.1660000000000003E-2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5.6092843326886938E-2</v>
      </c>
      <c r="Q182">
        <f t="shared" ref="Q182" si="886">F182*P182</f>
        <v>7046477.7588009071</v>
      </c>
      <c r="R182">
        <f t="shared" ref="R182" si="887">R183+Q182</f>
        <v>-1955751062.7758322</v>
      </c>
      <c r="S182">
        <f t="shared" ref="S182" si="888">R182/100000</f>
        <v>-19557.510627758322</v>
      </c>
      <c r="T182">
        <f t="shared" ref="T182" si="889">S182/1000</f>
        <v>-19.557510627758322</v>
      </c>
    </row>
    <row r="183" spans="1:20" x14ac:dyDescent="0.25">
      <c r="A183" s="5">
        <v>44410</v>
      </c>
      <c r="B183">
        <v>4.1029999999999997E-2</v>
      </c>
      <c r="C183">
        <v>4.1549999999999997E-2</v>
      </c>
      <c r="D183">
        <v>3.9170000000000003E-2</v>
      </c>
      <c r="E183">
        <v>3.9660000000000001E-2</v>
      </c>
      <c r="F183">
        <v>43005933.200000003</v>
      </c>
      <c r="G183">
        <v>3.9660000000000001E-2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-0.58823529411764808</v>
      </c>
      <c r="Q183">
        <f t="shared" ref="Q183" si="891">F183*P183</f>
        <v>-25297607.764705926</v>
      </c>
      <c r="R183">
        <f t="shared" ref="R183" si="892">R184+Q183</f>
        <v>-1962797540.5346332</v>
      </c>
      <c r="S183">
        <f t="shared" ref="S183" si="893">R183/100000</f>
        <v>-19627.975405346333</v>
      </c>
      <c r="T183">
        <f t="shared" ref="T183" si="894">S183/1000</f>
        <v>-19.627975405346334</v>
      </c>
    </row>
    <row r="184" spans="1:20" x14ac:dyDescent="0.25">
      <c r="A184" s="5">
        <v>44409</v>
      </c>
      <c r="B184">
        <v>4.0489999999999998E-2</v>
      </c>
      <c r="C184">
        <v>4.3819999999999998E-2</v>
      </c>
      <c r="D184">
        <v>4.036E-2</v>
      </c>
      <c r="E184">
        <v>4.1259999999999998E-2</v>
      </c>
      <c r="F184">
        <v>204930247.30000001</v>
      </c>
      <c r="G184">
        <v>4.1259999999999998E-2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-0.47976878612716845</v>
      </c>
      <c r="Q184">
        <f t="shared" ref="Q184" si="896">F184*P184</f>
        <v>-98319135.98786144</v>
      </c>
      <c r="R184">
        <f t="shared" ref="R184" si="897">R185+Q184</f>
        <v>-1937499932.7699273</v>
      </c>
      <c r="S184">
        <f t="shared" ref="S184" si="898">R184/100000</f>
        <v>-19374.999327699272</v>
      </c>
      <c r="T184">
        <f t="shared" ref="T184" si="899">S184/1000</f>
        <v>-19.374999327699271</v>
      </c>
    </row>
    <row r="185" spans="1:20" x14ac:dyDescent="0.25">
      <c r="A185" s="5">
        <v>44408</v>
      </c>
      <c r="B185">
        <v>4.07E-2</v>
      </c>
      <c r="C185">
        <v>4.0980000000000003E-2</v>
      </c>
      <c r="D185">
        <v>3.9280000000000002E-2</v>
      </c>
      <c r="E185">
        <v>4.0439999999999997E-2</v>
      </c>
      <c r="F185">
        <v>36020410</v>
      </c>
      <c r="G185">
        <v>4.0439999999999997E-2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0.36470588235293444</v>
      </c>
      <c r="Q185">
        <f t="shared" ref="Q185" si="901">F185*P185</f>
        <v>13136855.411764463</v>
      </c>
      <c r="R185">
        <f t="shared" ref="R185" si="902">R186+Q185</f>
        <v>-1839180796.7820659</v>
      </c>
      <c r="S185">
        <f t="shared" ref="S185" si="903">R185/100000</f>
        <v>-18391.80796782066</v>
      </c>
      <c r="T185">
        <f t="shared" ref="T185" si="904">S185/1000</f>
        <v>-18.391807967820661</v>
      </c>
    </row>
    <row r="186" spans="1:20" x14ac:dyDescent="0.25">
      <c r="A186" s="5">
        <v>44407</v>
      </c>
      <c r="B186">
        <v>3.8339999999999999E-2</v>
      </c>
      <c r="C186">
        <v>4.1000000000000002E-2</v>
      </c>
      <c r="D186">
        <v>3.7139999999999999E-2</v>
      </c>
      <c r="E186">
        <v>4.0509999999999997E-2</v>
      </c>
      <c r="F186">
        <v>88866114.400000006</v>
      </c>
      <c r="G186">
        <v>4.0509999999999997E-2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0.74611398963730358</v>
      </c>
      <c r="Q186">
        <f t="shared" ref="Q186" si="906">F186*P186</f>
        <v>66304251.158549041</v>
      </c>
      <c r="R186">
        <f t="shared" ref="R186" si="907">R187+Q186</f>
        <v>-1852317652.1938303</v>
      </c>
      <c r="S186">
        <f t="shared" ref="S186" si="908">R186/100000</f>
        <v>-18523.176521938301</v>
      </c>
      <c r="T186">
        <f t="shared" ref="T186" si="909">S186/1000</f>
        <v>-18.5231765219383</v>
      </c>
    </row>
    <row r="187" spans="1:20" x14ac:dyDescent="0.25">
      <c r="A187" s="5">
        <v>44406</v>
      </c>
      <c r="B187">
        <v>3.5540000000000002E-2</v>
      </c>
      <c r="C187">
        <v>3.9800000000000002E-2</v>
      </c>
      <c r="D187">
        <v>3.49E-2</v>
      </c>
      <c r="E187">
        <v>3.8280000000000002E-2</v>
      </c>
      <c r="F187">
        <v>75187749.099999994</v>
      </c>
      <c r="G187">
        <v>3.8280000000000002E-2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0.37959183673469388</v>
      </c>
      <c r="Q187">
        <f t="shared" ref="Q187" si="911">F187*P187</f>
        <v>28540655.780816324</v>
      </c>
      <c r="R187">
        <f t="shared" ref="R187" si="912">R188+Q187</f>
        <v>-1918621903.3523793</v>
      </c>
      <c r="S187">
        <f t="shared" ref="S187" si="913">R187/100000</f>
        <v>-19186.219033523794</v>
      </c>
      <c r="T187">
        <f t="shared" ref="T187" si="914">S187/1000</f>
        <v>-19.186219033523795</v>
      </c>
    </row>
    <row r="188" spans="1:20" x14ac:dyDescent="0.25">
      <c r="A188" s="5">
        <v>44405</v>
      </c>
      <c r="B188">
        <v>3.7089999999999998E-2</v>
      </c>
      <c r="C188">
        <v>3.7609999999999998E-2</v>
      </c>
      <c r="D188">
        <v>3.49E-2</v>
      </c>
      <c r="E188">
        <v>3.5520000000000003E-2</v>
      </c>
      <c r="F188">
        <v>52942083.5</v>
      </c>
      <c r="G188">
        <v>3.5520000000000003E-2</v>
      </c>
      <c r="L188" t="s">
        <v>7</v>
      </c>
      <c r="M188" t="s">
        <v>8</v>
      </c>
      <c r="N188" t="s">
        <v>8</v>
      </c>
      <c r="P188">
        <f t="shared" ref="P188" si="915">IF(C188=D188,0,((E188-D188)-(C188-E188))/(C188-D188))</f>
        <v>-0.54243542435424119</v>
      </c>
      <c r="Q188">
        <f t="shared" ref="Q188" si="916">F188*P188</f>
        <v>-28717661.529520169</v>
      </c>
      <c r="R188">
        <f t="shared" ref="R188" si="917">R189+Q188</f>
        <v>-1947162559.1331956</v>
      </c>
      <c r="S188">
        <f t="shared" ref="S188" si="918">R188/100000</f>
        <v>-19471.625591331955</v>
      </c>
      <c r="T188">
        <f t="shared" ref="T188" si="919">S188/1000</f>
        <v>-19.471625591331954</v>
      </c>
    </row>
    <row r="189" spans="1:20" x14ac:dyDescent="0.25">
      <c r="A189" s="5">
        <v>44404</v>
      </c>
      <c r="B189">
        <v>3.3599999999999998E-2</v>
      </c>
      <c r="C189">
        <v>3.7629999999999997E-2</v>
      </c>
      <c r="D189">
        <v>3.236E-2</v>
      </c>
      <c r="E189">
        <v>3.7139999999999999E-2</v>
      </c>
      <c r="F189">
        <v>72849750.400000006</v>
      </c>
      <c r="G189">
        <v>3.7139999999999999E-2</v>
      </c>
      <c r="L189" t="s">
        <v>8</v>
      </c>
      <c r="M189" t="s">
        <v>8</v>
      </c>
      <c r="N189" t="s">
        <v>8</v>
      </c>
      <c r="P189">
        <f t="shared" ref="P189" si="920">IF(C189=D189,0,((E189-D189)-(C189-E189))/(C189-D189))</f>
        <v>0.81404174573055121</v>
      </c>
      <c r="Q189">
        <f t="shared" ref="Q189" si="921">F189*P189</f>
        <v>59302737.991650924</v>
      </c>
      <c r="R189">
        <f t="shared" ref="R189" si="922">R190+Q189</f>
        <v>-1918444897.6036754</v>
      </c>
      <c r="S189">
        <f t="shared" ref="S189" si="923">R189/100000</f>
        <v>-19184.448976036754</v>
      </c>
      <c r="T189">
        <f t="shared" ref="T189" si="924">S189/1000</f>
        <v>-19.184448976036755</v>
      </c>
    </row>
    <row r="190" spans="1:20" x14ac:dyDescent="0.25">
      <c r="A190" s="5">
        <v>44403</v>
      </c>
      <c r="B190">
        <v>3.2939999999999997E-2</v>
      </c>
      <c r="C190">
        <v>3.6499999999999998E-2</v>
      </c>
      <c r="D190">
        <v>3.2460000000000003E-2</v>
      </c>
      <c r="E190">
        <v>3.3579999999999999E-2</v>
      </c>
      <c r="F190">
        <v>98354264.900000006</v>
      </c>
      <c r="G190">
        <v>3.3579999999999999E-2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-0.44554455445544683</v>
      </c>
      <c r="Q190">
        <f t="shared" ref="Q190" si="926">F190*P190</f>
        <v>-43821207.133663498</v>
      </c>
      <c r="R190">
        <f t="shared" ref="R190" si="927">R191+Q190</f>
        <v>-1977747635.5953262</v>
      </c>
      <c r="S190">
        <f t="shared" ref="S190" si="928">R190/100000</f>
        <v>-19777.476355953262</v>
      </c>
      <c r="T190">
        <f t="shared" ref="T190" si="929">S190/1000</f>
        <v>-19.777476355953262</v>
      </c>
    </row>
    <row r="191" spans="1:20" x14ac:dyDescent="0.25">
      <c r="A191" s="5">
        <v>44402</v>
      </c>
      <c r="B191">
        <v>3.2030000000000003E-2</v>
      </c>
      <c r="C191">
        <v>3.2939999999999997E-2</v>
      </c>
      <c r="D191">
        <v>3.048E-2</v>
      </c>
      <c r="E191">
        <v>3.2939999999999997E-2</v>
      </c>
      <c r="F191">
        <v>48961745.299999997</v>
      </c>
      <c r="G191">
        <v>3.2939999999999997E-2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1</v>
      </c>
      <c r="Q191">
        <f t="shared" ref="Q191" si="931">F191*P191</f>
        <v>48961745.299999997</v>
      </c>
      <c r="R191">
        <f t="shared" ref="R191" si="932">R192+Q191</f>
        <v>-1933926428.4616628</v>
      </c>
      <c r="S191">
        <f t="shared" ref="S191" si="933">R191/100000</f>
        <v>-19339.264284616627</v>
      </c>
      <c r="T191">
        <f t="shared" ref="T191:T197" si="934">S191/1000</f>
        <v>-19.339264284616629</v>
      </c>
    </row>
    <row r="192" spans="1:20" x14ac:dyDescent="0.25">
      <c r="A192" s="5">
        <v>44401</v>
      </c>
      <c r="B192">
        <v>3.1379999999999998E-2</v>
      </c>
      <c r="C192">
        <v>3.2770000000000001E-2</v>
      </c>
      <c r="D192">
        <v>3.1099999999999999E-2</v>
      </c>
      <c r="E192">
        <v>3.202E-2</v>
      </c>
      <c r="F192">
        <v>29155059.100000001</v>
      </c>
      <c r="G192">
        <v>3.202E-2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0.10179640718562867</v>
      </c>
      <c r="Q192">
        <f t="shared" ref="Q192" si="936">F192*P192</f>
        <v>2967880.2676646686</v>
      </c>
      <c r="R192">
        <f t="shared" ref="R192" si="937">R193+Q192</f>
        <v>-1982888173.7616627</v>
      </c>
      <c r="S192">
        <f t="shared" ref="S192" si="938">R192/100000</f>
        <v>-19828.881737616626</v>
      </c>
      <c r="T192">
        <f t="shared" si="934"/>
        <v>-19.828881737616626</v>
      </c>
    </row>
    <row r="193" spans="1:20" x14ac:dyDescent="0.25">
      <c r="A193" s="5">
        <v>44400</v>
      </c>
      <c r="B193">
        <v>3.0839999999999999E-2</v>
      </c>
      <c r="C193">
        <v>3.15E-2</v>
      </c>
      <c r="D193">
        <v>2.989E-2</v>
      </c>
      <c r="E193">
        <v>3.1309999999999998E-2</v>
      </c>
      <c r="F193">
        <v>29160897.5</v>
      </c>
      <c r="G193">
        <v>3.1309999999999998E-2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0.76397515527949988</v>
      </c>
      <c r="Q193">
        <f t="shared" ref="Q193" si="940">F193*P193</f>
        <v>22278201.195652079</v>
      </c>
      <c r="R193">
        <f t="shared" ref="R193" si="941">R194+Q193</f>
        <v>-1985856054.0293274</v>
      </c>
      <c r="S193">
        <f t="shared" ref="S193" si="942">R193/100000</f>
        <v>-19858.560540293274</v>
      </c>
      <c r="T193">
        <f t="shared" si="934"/>
        <v>-19.858560540293276</v>
      </c>
    </row>
    <row r="194" spans="1:20" x14ac:dyDescent="0.25">
      <c r="A194" s="5">
        <v>44399</v>
      </c>
      <c r="B194">
        <v>2.9790000000000001E-2</v>
      </c>
      <c r="C194">
        <v>3.1189999999999999E-2</v>
      </c>
      <c r="D194">
        <v>2.9420000000000002E-2</v>
      </c>
      <c r="E194">
        <v>3.075E-2</v>
      </c>
      <c r="F194">
        <v>22673568.800000001</v>
      </c>
      <c r="G194">
        <v>3.075E-2</v>
      </c>
      <c r="L194" t="s">
        <v>7</v>
      </c>
      <c r="M194" t="s">
        <v>8</v>
      </c>
      <c r="N194" t="s">
        <v>7</v>
      </c>
      <c r="P194">
        <f t="shared" ref="P194" si="943">IF(C194=D194,0,((E194-D194)-(C194-E194))/(C194-D194))</f>
        <v>0.50282485875706207</v>
      </c>
      <c r="Q194">
        <f t="shared" ref="Q194" si="944">F194*P194</f>
        <v>11400834.02937853</v>
      </c>
      <c r="R194">
        <f t="shared" ref="R194" si="945">R195+Q194</f>
        <v>-2008134255.2249794</v>
      </c>
      <c r="S194">
        <f t="shared" ref="S194" si="946">R194/100000</f>
        <v>-20081.342552249793</v>
      </c>
      <c r="T194">
        <f t="shared" si="934"/>
        <v>-20.081342552249794</v>
      </c>
    </row>
    <row r="195" spans="1:20" x14ac:dyDescent="0.25">
      <c r="A195" s="5">
        <v>44398</v>
      </c>
      <c r="B195">
        <v>2.7570000000000001E-2</v>
      </c>
      <c r="C195">
        <v>3.1350000000000003E-2</v>
      </c>
      <c r="D195">
        <v>2.69E-2</v>
      </c>
      <c r="E195">
        <v>2.9770000000000001E-2</v>
      </c>
      <c r="F195">
        <v>39072148</v>
      </c>
      <c r="G195">
        <v>2.9770000000000001E-2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0.28988764044943793</v>
      </c>
      <c r="Q195">
        <f t="shared" ref="Q195" si="948">F195*P195</f>
        <v>11326532.791011225</v>
      </c>
      <c r="R195">
        <f t="shared" ref="R195" si="949">R196+Q195</f>
        <v>-2019535089.2543578</v>
      </c>
      <c r="S195">
        <f t="shared" ref="S195" si="950">R195/100000</f>
        <v>-20195.350892543578</v>
      </c>
      <c r="T195">
        <f t="shared" si="934"/>
        <v>-20.19535089254358</v>
      </c>
    </row>
    <row r="196" spans="1:20" x14ac:dyDescent="0.25">
      <c r="A196" s="5">
        <v>44397</v>
      </c>
      <c r="B196">
        <v>2.9020000000000001E-2</v>
      </c>
      <c r="C196">
        <v>2.963E-2</v>
      </c>
      <c r="D196">
        <v>2.6179999999999998E-2</v>
      </c>
      <c r="E196">
        <v>2.7539999999999999E-2</v>
      </c>
      <c r="F196">
        <v>33826033.600000001</v>
      </c>
      <c r="G196">
        <v>2.7539999999999999E-2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-0.21159420289855105</v>
      </c>
      <c r="Q196">
        <f t="shared" ref="Q196" si="952">F196*P196</f>
        <v>-7157392.6168116052</v>
      </c>
      <c r="R196">
        <f t="shared" ref="R196" si="953">R197+Q196</f>
        <v>-2030861622.0453691</v>
      </c>
      <c r="S196">
        <f t="shared" ref="S196" si="954">R196/100000</f>
        <v>-20308.616220453692</v>
      </c>
      <c r="T196">
        <f t="shared" si="934"/>
        <v>-20.308616220453693</v>
      </c>
    </row>
    <row r="197" spans="1:20" x14ac:dyDescent="0.25">
      <c r="A197" s="5">
        <v>44396</v>
      </c>
      <c r="B197">
        <v>3.209E-2</v>
      </c>
      <c r="C197">
        <v>3.2259999999999997E-2</v>
      </c>
      <c r="D197">
        <v>2.8680000000000001E-2</v>
      </c>
      <c r="E197">
        <v>2.9020000000000001E-2</v>
      </c>
      <c r="F197">
        <v>70893786</v>
      </c>
      <c r="G197">
        <v>-9.57</v>
      </c>
      <c r="L197" t="s">
        <v>7</v>
      </c>
      <c r="M197" t="s">
        <v>7</v>
      </c>
      <c r="N197" t="s">
        <v>8</v>
      </c>
      <c r="P197">
        <f t="shared" ref="P197" si="955">IF(C197=D197,0,((E197-D197)-(C197-E197))/(C197-D197))</f>
        <v>-0.81005586592178747</v>
      </c>
      <c r="Q197">
        <f t="shared" ref="Q197" si="956">F197*P197</f>
        <v>-57427927.206703894</v>
      </c>
      <c r="R197">
        <f t="shared" ref="R197" si="957">R198+Q197</f>
        <v>-2023704229.4285576</v>
      </c>
      <c r="S197">
        <f t="shared" ref="S197" si="958">R197/100000</f>
        <v>-20237.042294285577</v>
      </c>
      <c r="T197">
        <f t="shared" si="934"/>
        <v>-20.237042294285576</v>
      </c>
    </row>
    <row r="198" spans="1:20" x14ac:dyDescent="0.25">
      <c r="A198" s="5">
        <v>44395</v>
      </c>
      <c r="B198">
        <v>3.0720000000000001E-2</v>
      </c>
      <c r="C198">
        <v>3.2480000000000002E-2</v>
      </c>
      <c r="D198">
        <v>3.0339999999999999E-2</v>
      </c>
      <c r="E198">
        <v>3.209E-2</v>
      </c>
      <c r="F198">
        <v>43660231.100000001</v>
      </c>
      <c r="G198">
        <v>4.46</v>
      </c>
      <c r="L198" t="s">
        <v>8</v>
      </c>
      <c r="M198" t="s">
        <v>7</v>
      </c>
      <c r="N198" t="s">
        <v>8</v>
      </c>
      <c r="P198">
        <f t="shared" ref="P198:P261" si="959">IF(C198=D198,0,((E198-D198)-(C198-E198))/(C198-D198))</f>
        <v>0.63551401869158797</v>
      </c>
      <c r="Q198">
        <f t="shared" ref="Q198:Q261" si="960">F198*P198</f>
        <v>27746688.923364453</v>
      </c>
      <c r="R198">
        <f t="shared" ref="R198:R261" si="961">R199+Q198</f>
        <v>-1966276302.2218537</v>
      </c>
      <c r="S198">
        <f t="shared" ref="S198:S261" si="962">R198/100000</f>
        <v>-19662.763022218536</v>
      </c>
      <c r="T198">
        <f t="shared" ref="T198:T261" si="963">S198/1000</f>
        <v>-19.662763022218535</v>
      </c>
    </row>
    <row r="199" spans="1:20" x14ac:dyDescent="0.25">
      <c r="A199" s="5">
        <v>44394</v>
      </c>
      <c r="B199">
        <v>2.9960000000000001E-2</v>
      </c>
      <c r="C199">
        <v>3.1379999999999998E-2</v>
      </c>
      <c r="D199">
        <v>2.937E-2</v>
      </c>
      <c r="E199">
        <v>3.0720000000000001E-2</v>
      </c>
      <c r="F199">
        <v>32726532.399999999</v>
      </c>
      <c r="G199">
        <v>2.54</v>
      </c>
      <c r="L199" t="s">
        <v>7</v>
      </c>
      <c r="M199" t="s">
        <v>7</v>
      </c>
      <c r="N199" t="s">
        <v>8</v>
      </c>
      <c r="P199">
        <f t="shared" si="959"/>
        <v>0.34328358208955412</v>
      </c>
      <c r="Q199">
        <f t="shared" si="960"/>
        <v>11234481.271641852</v>
      </c>
      <c r="R199">
        <f t="shared" si="961"/>
        <v>-1994022991.1452181</v>
      </c>
      <c r="S199">
        <f t="shared" si="962"/>
        <v>-19940.229911452181</v>
      </c>
      <c r="T199">
        <f t="shared" si="963"/>
        <v>-19.940229911452182</v>
      </c>
    </row>
    <row r="200" spans="1:20" x14ac:dyDescent="0.25">
      <c r="A200" s="5">
        <v>44393</v>
      </c>
      <c r="B200">
        <v>3.2559999999999999E-2</v>
      </c>
      <c r="C200">
        <v>3.372E-2</v>
      </c>
      <c r="D200">
        <v>2.9899999999999999E-2</v>
      </c>
      <c r="E200">
        <v>2.9960000000000001E-2</v>
      </c>
      <c r="F200">
        <v>106607206.7</v>
      </c>
      <c r="G200">
        <v>-7.99</v>
      </c>
      <c r="L200" t="s">
        <v>7</v>
      </c>
      <c r="M200" t="s">
        <v>7</v>
      </c>
      <c r="N200" t="s">
        <v>8</v>
      </c>
      <c r="P200">
        <f t="shared" si="959"/>
        <v>-0.9685863874345545</v>
      </c>
      <c r="Q200">
        <f t="shared" si="960"/>
        <v>-103258289.21204184</v>
      </c>
      <c r="R200">
        <f t="shared" si="961"/>
        <v>-2005257472.4168601</v>
      </c>
      <c r="S200">
        <f t="shared" si="962"/>
        <v>-20052.5747241686</v>
      </c>
      <c r="T200">
        <f t="shared" si="963"/>
        <v>-20.052574724168601</v>
      </c>
    </row>
    <row r="201" spans="1:20" x14ac:dyDescent="0.25">
      <c r="A201" s="5">
        <v>44392</v>
      </c>
      <c r="B201">
        <v>3.3009999999999998E-2</v>
      </c>
      <c r="C201">
        <v>3.4880000000000001E-2</v>
      </c>
      <c r="D201">
        <v>3.0980000000000001E-2</v>
      </c>
      <c r="E201">
        <v>3.2489999999999998E-2</v>
      </c>
      <c r="F201">
        <v>149636316.40000001</v>
      </c>
      <c r="G201">
        <v>-1.58</v>
      </c>
      <c r="L201" t="s">
        <v>8</v>
      </c>
      <c r="M201" t="s">
        <v>7</v>
      </c>
      <c r="N201" t="s">
        <v>8</v>
      </c>
      <c r="P201">
        <f t="shared" si="959"/>
        <v>-0.22564102564102709</v>
      </c>
      <c r="Q201">
        <f t="shared" si="960"/>
        <v>-33764091.905641243</v>
      </c>
      <c r="R201">
        <f t="shared" si="961"/>
        <v>-1901999183.2048182</v>
      </c>
      <c r="S201">
        <f t="shared" si="962"/>
        <v>-19019.991832048181</v>
      </c>
      <c r="T201">
        <f t="shared" si="963"/>
        <v>-19.019991832048181</v>
      </c>
    </row>
    <row r="202" spans="1:20" x14ac:dyDescent="0.25">
      <c r="A202" s="5">
        <v>44391</v>
      </c>
      <c r="B202">
        <v>3.245E-2</v>
      </c>
      <c r="C202">
        <v>3.3520000000000001E-2</v>
      </c>
      <c r="D202">
        <v>3.0499999999999999E-2</v>
      </c>
      <c r="E202">
        <v>3.3009999999999998E-2</v>
      </c>
      <c r="F202">
        <v>35803343.299999997</v>
      </c>
      <c r="G202">
        <v>1.73</v>
      </c>
      <c r="L202" t="s">
        <v>7</v>
      </c>
      <c r="M202" t="s">
        <v>7</v>
      </c>
      <c r="N202" t="s">
        <v>8</v>
      </c>
      <c r="P202">
        <f t="shared" si="959"/>
        <v>0.6622516556291369</v>
      </c>
      <c r="Q202">
        <f t="shared" si="960"/>
        <v>23710823.377483364</v>
      </c>
      <c r="R202">
        <f t="shared" si="961"/>
        <v>-1868235091.2991769</v>
      </c>
      <c r="S202">
        <f t="shared" si="962"/>
        <v>-18682.350912991769</v>
      </c>
      <c r="T202">
        <f t="shared" si="963"/>
        <v>-18.682350912991769</v>
      </c>
    </row>
    <row r="203" spans="1:20" x14ac:dyDescent="0.25">
      <c r="A203" s="5">
        <v>44390</v>
      </c>
      <c r="B203">
        <v>3.3649999999999999E-2</v>
      </c>
      <c r="C203">
        <v>3.3700000000000001E-2</v>
      </c>
      <c r="D203">
        <v>3.1859999999999999E-2</v>
      </c>
      <c r="E203">
        <v>3.2399999999999998E-2</v>
      </c>
      <c r="F203">
        <v>32049724.399999999</v>
      </c>
      <c r="G203">
        <v>-3.71</v>
      </c>
      <c r="L203" t="s">
        <v>7</v>
      </c>
      <c r="M203" t="s">
        <v>8</v>
      </c>
      <c r="N203" t="s">
        <v>8</v>
      </c>
      <c r="P203">
        <f t="shared" si="959"/>
        <v>-0.41304347826087129</v>
      </c>
      <c r="Q203">
        <f t="shared" si="960"/>
        <v>-13237929.643478315</v>
      </c>
      <c r="R203">
        <f t="shared" si="961"/>
        <v>-1891945914.6766603</v>
      </c>
      <c r="S203">
        <f t="shared" si="962"/>
        <v>-18919.459146766603</v>
      </c>
      <c r="T203">
        <f t="shared" si="963"/>
        <v>-18.919459146766602</v>
      </c>
    </row>
    <row r="204" spans="1:20" x14ac:dyDescent="0.25">
      <c r="A204" s="5">
        <v>44389</v>
      </c>
      <c r="B204">
        <v>3.5029999999999999E-2</v>
      </c>
      <c r="C204">
        <v>3.6850000000000001E-2</v>
      </c>
      <c r="D204">
        <v>3.3000000000000002E-2</v>
      </c>
      <c r="E204">
        <v>3.3619999999999997E-2</v>
      </c>
      <c r="F204">
        <v>69209797.400000006</v>
      </c>
      <c r="G204">
        <v>-4.03</v>
      </c>
      <c r="L204" t="s">
        <v>7</v>
      </c>
      <c r="M204" t="s">
        <v>8</v>
      </c>
      <c r="N204" t="s">
        <v>8</v>
      </c>
      <c r="P204">
        <f t="shared" si="959"/>
        <v>-0.67792207792208015</v>
      </c>
      <c r="Q204">
        <f t="shared" si="960"/>
        <v>-46918849.665974185</v>
      </c>
      <c r="R204">
        <f t="shared" si="961"/>
        <v>-1878707985.0331819</v>
      </c>
      <c r="S204">
        <f t="shared" si="962"/>
        <v>-18787.079850331818</v>
      </c>
      <c r="T204">
        <f t="shared" si="963"/>
        <v>-18.787079850331818</v>
      </c>
    </row>
    <row r="205" spans="1:20" x14ac:dyDescent="0.25">
      <c r="A205" s="5">
        <v>44388</v>
      </c>
      <c r="B205">
        <v>3.3309999999999999E-2</v>
      </c>
      <c r="C205">
        <v>3.6799999999999999E-2</v>
      </c>
      <c r="D205">
        <v>3.2849999999999997E-2</v>
      </c>
      <c r="E205">
        <v>3.499E-2</v>
      </c>
      <c r="F205">
        <v>114257568.59999999</v>
      </c>
      <c r="G205">
        <v>5.04</v>
      </c>
      <c r="L205" t="s">
        <v>8</v>
      </c>
      <c r="M205" t="s">
        <v>8</v>
      </c>
      <c r="N205" t="s">
        <v>8</v>
      </c>
      <c r="P205">
        <f t="shared" si="959"/>
        <v>8.3544303797469299E-2</v>
      </c>
      <c r="Q205">
        <f t="shared" si="960"/>
        <v>9545569.0222785883</v>
      </c>
      <c r="R205">
        <f t="shared" si="961"/>
        <v>-1831789135.3672078</v>
      </c>
      <c r="S205">
        <f t="shared" si="962"/>
        <v>-18317.891353672079</v>
      </c>
      <c r="T205">
        <f t="shared" si="963"/>
        <v>-18.317891353672078</v>
      </c>
    </row>
    <row r="206" spans="1:20" x14ac:dyDescent="0.25">
      <c r="A206" s="5">
        <v>44387</v>
      </c>
      <c r="B206">
        <v>3.1210000000000002E-2</v>
      </c>
      <c r="C206">
        <v>3.4950000000000002E-2</v>
      </c>
      <c r="D206">
        <v>3.0380000000000001E-2</v>
      </c>
      <c r="E206">
        <v>3.3309999999999999E-2</v>
      </c>
      <c r="F206">
        <v>85348535.099999994</v>
      </c>
      <c r="G206">
        <v>6.73</v>
      </c>
      <c r="L206" t="s">
        <v>8</v>
      </c>
      <c r="M206" t="s">
        <v>8</v>
      </c>
      <c r="N206" t="s">
        <v>8</v>
      </c>
      <c r="P206">
        <f t="shared" si="959"/>
        <v>0.28227571115973649</v>
      </c>
      <c r="Q206">
        <f t="shared" si="960"/>
        <v>24091818.441794228</v>
      </c>
      <c r="R206">
        <f t="shared" si="961"/>
        <v>-1841334704.3894863</v>
      </c>
      <c r="S206">
        <f t="shared" si="962"/>
        <v>-18413.347043894864</v>
      </c>
      <c r="T206">
        <f t="shared" si="963"/>
        <v>-18.413347043894863</v>
      </c>
    </row>
    <row r="207" spans="1:20" x14ac:dyDescent="0.25">
      <c r="A207" s="5">
        <v>44386</v>
      </c>
      <c r="B207">
        <v>3.039E-2</v>
      </c>
      <c r="C207">
        <v>3.141E-2</v>
      </c>
      <c r="D207">
        <v>2.9420000000000002E-2</v>
      </c>
      <c r="E207">
        <v>3.1150000000000001E-2</v>
      </c>
      <c r="F207">
        <v>45529225.700000003</v>
      </c>
      <c r="G207">
        <v>2.5</v>
      </c>
      <c r="L207" t="s">
        <v>7</v>
      </c>
      <c r="M207" t="s">
        <v>7</v>
      </c>
      <c r="N207" t="s">
        <v>8</v>
      </c>
      <c r="P207">
        <f t="shared" si="959"/>
        <v>0.7386934673366834</v>
      </c>
      <c r="Q207">
        <f t="shared" si="960"/>
        <v>33632141.597487435</v>
      </c>
      <c r="R207">
        <f t="shared" si="961"/>
        <v>-1865426522.8312805</v>
      </c>
      <c r="S207">
        <f t="shared" si="962"/>
        <v>-18654.265228312805</v>
      </c>
      <c r="T207">
        <f t="shared" si="963"/>
        <v>-18.654265228312806</v>
      </c>
    </row>
    <row r="208" spans="1:20" x14ac:dyDescent="0.25">
      <c r="A208" s="5">
        <v>44385</v>
      </c>
      <c r="B208">
        <v>3.3009999999999998E-2</v>
      </c>
      <c r="C208">
        <v>3.3070000000000002E-2</v>
      </c>
      <c r="D208">
        <v>2.9700000000000001E-2</v>
      </c>
      <c r="E208">
        <v>3.048E-2</v>
      </c>
      <c r="F208">
        <v>51225064.700000003</v>
      </c>
      <c r="G208">
        <v>-7.66</v>
      </c>
      <c r="L208" t="s">
        <v>7</v>
      </c>
      <c r="M208" t="s">
        <v>7</v>
      </c>
      <c r="N208" t="s">
        <v>8</v>
      </c>
      <c r="P208">
        <f t="shared" si="959"/>
        <v>-0.53709198813056436</v>
      </c>
      <c r="Q208">
        <f t="shared" si="960"/>
        <v>-27512571.841839794</v>
      </c>
      <c r="R208">
        <f t="shared" si="961"/>
        <v>-1899058664.4287679</v>
      </c>
      <c r="S208">
        <f t="shared" si="962"/>
        <v>-18990.58664428768</v>
      </c>
      <c r="T208">
        <f t="shared" si="963"/>
        <v>-18.990586644287678</v>
      </c>
    </row>
    <row r="209" spans="1:20" x14ac:dyDescent="0.25">
      <c r="A209" s="5">
        <v>44384</v>
      </c>
      <c r="B209">
        <v>3.2280000000000003E-2</v>
      </c>
      <c r="C209">
        <v>3.5159999999999997E-2</v>
      </c>
      <c r="D209">
        <v>3.2030000000000003E-2</v>
      </c>
      <c r="E209">
        <v>3.3000000000000002E-2</v>
      </c>
      <c r="F209">
        <v>82672690.5</v>
      </c>
      <c r="G209">
        <v>2.23</v>
      </c>
      <c r="L209" t="s">
        <v>8</v>
      </c>
      <c r="M209" t="s">
        <v>8</v>
      </c>
      <c r="N209" t="s">
        <v>8</v>
      </c>
      <c r="P209">
        <f t="shared" si="959"/>
        <v>-0.38019169329073449</v>
      </c>
      <c r="Q209">
        <f t="shared" si="960"/>
        <v>-31431470.19009582</v>
      </c>
      <c r="R209">
        <f t="shared" si="961"/>
        <v>-1871546092.5869281</v>
      </c>
      <c r="S209">
        <f t="shared" si="962"/>
        <v>-18715.46092586928</v>
      </c>
      <c r="T209">
        <f t="shared" si="963"/>
        <v>-18.71546092586928</v>
      </c>
    </row>
    <row r="210" spans="1:20" x14ac:dyDescent="0.25">
      <c r="A210" s="5">
        <v>44383</v>
      </c>
      <c r="B210">
        <v>3.032E-2</v>
      </c>
      <c r="C210">
        <v>3.2669999999999998E-2</v>
      </c>
      <c r="D210">
        <v>3.032E-2</v>
      </c>
      <c r="E210">
        <v>3.2320000000000002E-2</v>
      </c>
      <c r="F210">
        <v>52531428.299999997</v>
      </c>
      <c r="G210">
        <v>6.6</v>
      </c>
      <c r="L210" t="s">
        <v>8</v>
      </c>
      <c r="M210" t="s">
        <v>8</v>
      </c>
      <c r="N210" t="s">
        <v>8</v>
      </c>
      <c r="P210">
        <f t="shared" si="959"/>
        <v>0.7021276595744711</v>
      </c>
      <c r="Q210">
        <f t="shared" si="960"/>
        <v>36883768.806383133</v>
      </c>
      <c r="R210">
        <f t="shared" si="961"/>
        <v>-1840114622.3968322</v>
      </c>
      <c r="S210">
        <f t="shared" si="962"/>
        <v>-18401.146223968321</v>
      </c>
      <c r="T210">
        <f t="shared" si="963"/>
        <v>-18.401146223968322</v>
      </c>
    </row>
    <row r="211" spans="1:20" x14ac:dyDescent="0.25">
      <c r="A211" s="5">
        <v>44382</v>
      </c>
      <c r="B211">
        <v>3.2280000000000003E-2</v>
      </c>
      <c r="C211">
        <v>3.2280000000000003E-2</v>
      </c>
      <c r="D211">
        <v>2.98E-2</v>
      </c>
      <c r="E211">
        <v>3.0329999999999999E-2</v>
      </c>
      <c r="F211">
        <v>53425571.5</v>
      </c>
      <c r="G211">
        <v>-6.04</v>
      </c>
      <c r="L211" t="s">
        <v>7</v>
      </c>
      <c r="M211" t="s">
        <v>8</v>
      </c>
      <c r="N211" t="s">
        <v>8</v>
      </c>
      <c r="P211">
        <f t="shared" si="959"/>
        <v>-0.57258064516129148</v>
      </c>
      <c r="Q211">
        <f t="shared" si="960"/>
        <v>-30590448.197580706</v>
      </c>
      <c r="R211">
        <f t="shared" si="961"/>
        <v>-1876998391.2032154</v>
      </c>
      <c r="S211">
        <f t="shared" si="962"/>
        <v>-18769.983912032152</v>
      </c>
      <c r="T211">
        <f t="shared" si="963"/>
        <v>-18.769983912032153</v>
      </c>
    </row>
    <row r="212" spans="1:20" x14ac:dyDescent="0.25">
      <c r="A212" s="5">
        <v>44381</v>
      </c>
      <c r="B212">
        <v>3.108E-2</v>
      </c>
      <c r="C212">
        <v>3.3649999999999999E-2</v>
      </c>
      <c r="D212">
        <v>3.048E-2</v>
      </c>
      <c r="E212">
        <v>3.2280000000000003E-2</v>
      </c>
      <c r="F212">
        <v>116102859.90000001</v>
      </c>
      <c r="G212">
        <v>3.86</v>
      </c>
      <c r="L212" t="s">
        <v>8</v>
      </c>
      <c r="M212" t="s">
        <v>8</v>
      </c>
      <c r="N212" t="s">
        <v>8</v>
      </c>
      <c r="P212">
        <f t="shared" si="959"/>
        <v>0.13564668769716307</v>
      </c>
      <c r="Q212">
        <f t="shared" si="960"/>
        <v>15748968.377602778</v>
      </c>
      <c r="R212">
        <f t="shared" si="961"/>
        <v>-1846407943.0056345</v>
      </c>
      <c r="S212">
        <f t="shared" si="962"/>
        <v>-18464.079430056347</v>
      </c>
      <c r="T212">
        <f t="shared" si="963"/>
        <v>-18.464079430056348</v>
      </c>
    </row>
    <row r="213" spans="1:20" x14ac:dyDescent="0.25">
      <c r="A213" s="5">
        <v>44380</v>
      </c>
      <c r="B213">
        <v>2.981E-2</v>
      </c>
      <c r="C213">
        <v>3.1879999999999999E-2</v>
      </c>
      <c r="D213">
        <v>2.912E-2</v>
      </c>
      <c r="E213">
        <v>3.1109999999999999E-2</v>
      </c>
      <c r="F213">
        <v>62090337.600000001</v>
      </c>
      <c r="G213">
        <v>4.3600000000000003</v>
      </c>
      <c r="L213" t="s">
        <v>8</v>
      </c>
      <c r="M213" t="s">
        <v>7</v>
      </c>
      <c r="N213" t="s">
        <v>8</v>
      </c>
      <c r="P213">
        <f t="shared" si="959"/>
        <v>0.44202898550724617</v>
      </c>
      <c r="Q213">
        <f t="shared" si="960"/>
        <v>27445728.939130422</v>
      </c>
      <c r="R213">
        <f t="shared" si="961"/>
        <v>-1862156911.3832374</v>
      </c>
      <c r="S213">
        <f t="shared" si="962"/>
        <v>-18621.569113832375</v>
      </c>
      <c r="T213">
        <f t="shared" si="963"/>
        <v>-18.621569113832376</v>
      </c>
    </row>
    <row r="214" spans="1:20" x14ac:dyDescent="0.25">
      <c r="A214" s="5">
        <v>44379</v>
      </c>
      <c r="B214">
        <v>2.9950000000000001E-2</v>
      </c>
      <c r="C214">
        <v>3.0380000000000001E-2</v>
      </c>
      <c r="D214">
        <v>2.8299999999999999E-2</v>
      </c>
      <c r="E214">
        <v>2.9860000000000001E-2</v>
      </c>
      <c r="F214">
        <v>34752426.200000003</v>
      </c>
      <c r="G214">
        <v>-0.3</v>
      </c>
      <c r="L214" t="s">
        <v>7</v>
      </c>
      <c r="M214" t="s">
        <v>7</v>
      </c>
      <c r="N214" t="s">
        <v>8</v>
      </c>
      <c r="P214">
        <f t="shared" si="959"/>
        <v>0.50000000000000089</v>
      </c>
      <c r="Q214">
        <f t="shared" si="960"/>
        <v>17376213.100000031</v>
      </c>
      <c r="R214">
        <f t="shared" si="961"/>
        <v>-1889602640.3223677</v>
      </c>
      <c r="S214">
        <f t="shared" si="962"/>
        <v>-18896.026403223677</v>
      </c>
      <c r="T214">
        <f t="shared" si="963"/>
        <v>-18.896026403223676</v>
      </c>
    </row>
    <row r="215" spans="1:20" x14ac:dyDescent="0.25">
      <c r="A215" s="5">
        <v>44378</v>
      </c>
      <c r="B215">
        <v>3.1969999999999998E-2</v>
      </c>
      <c r="C215">
        <v>3.2190000000000003E-2</v>
      </c>
      <c r="D215">
        <v>2.9080000000000002E-2</v>
      </c>
      <c r="E215">
        <v>2.9989999999999999E-2</v>
      </c>
      <c r="F215">
        <v>38320472.299999997</v>
      </c>
      <c r="G215">
        <v>-6.19</v>
      </c>
      <c r="L215" t="s">
        <v>7</v>
      </c>
      <c r="M215" t="s">
        <v>7</v>
      </c>
      <c r="N215" t="s">
        <v>8</v>
      </c>
      <c r="P215">
        <f t="shared" si="959"/>
        <v>-0.41479099678456777</v>
      </c>
      <c r="Q215">
        <f t="shared" si="960"/>
        <v>-15894986.902572418</v>
      </c>
      <c r="R215">
        <f t="shared" si="961"/>
        <v>-1906978853.4223678</v>
      </c>
      <c r="S215">
        <f t="shared" si="962"/>
        <v>-19069.788534223677</v>
      </c>
      <c r="T215">
        <f t="shared" si="963"/>
        <v>-19.069788534223676</v>
      </c>
    </row>
    <row r="216" spans="1:20" x14ac:dyDescent="0.25">
      <c r="A216" s="5">
        <v>44377</v>
      </c>
      <c r="B216">
        <v>3.2199999999999999E-2</v>
      </c>
      <c r="C216">
        <v>3.2669999999999998E-2</v>
      </c>
      <c r="D216">
        <v>2.963E-2</v>
      </c>
      <c r="E216">
        <v>3.1969999999999998E-2</v>
      </c>
      <c r="F216">
        <v>68042716.700000003</v>
      </c>
      <c r="G216">
        <v>-0.71</v>
      </c>
      <c r="L216" t="s">
        <v>7</v>
      </c>
      <c r="M216" t="s">
        <v>7</v>
      </c>
      <c r="N216" t="s">
        <v>8</v>
      </c>
      <c r="P216">
        <f t="shared" si="959"/>
        <v>0.53947368421052644</v>
      </c>
      <c r="Q216">
        <f t="shared" si="960"/>
        <v>36707255.061842114</v>
      </c>
      <c r="R216">
        <f t="shared" si="961"/>
        <v>-1891083866.5197954</v>
      </c>
      <c r="S216">
        <f t="shared" si="962"/>
        <v>-18910.838665197953</v>
      </c>
      <c r="T216">
        <f t="shared" si="963"/>
        <v>-18.910838665197954</v>
      </c>
    </row>
    <row r="217" spans="1:20" x14ac:dyDescent="0.25">
      <c r="A217" s="5">
        <v>44376</v>
      </c>
      <c r="B217">
        <v>3.1640000000000001E-2</v>
      </c>
      <c r="C217">
        <v>3.483E-2</v>
      </c>
      <c r="D217">
        <v>3.1489999999999997E-2</v>
      </c>
      <c r="E217">
        <v>3.2099999999999997E-2</v>
      </c>
      <c r="F217">
        <v>128774433.40000001</v>
      </c>
      <c r="G217">
        <v>1.45</v>
      </c>
      <c r="L217" t="s">
        <v>8</v>
      </c>
      <c r="M217" t="s">
        <v>8</v>
      </c>
      <c r="N217" t="s">
        <v>8</v>
      </c>
      <c r="P217">
        <f t="shared" si="959"/>
        <v>-0.63473053892215636</v>
      </c>
      <c r="Q217">
        <f t="shared" si="960"/>
        <v>-81737065.511377335</v>
      </c>
      <c r="R217">
        <f t="shared" si="961"/>
        <v>-1927791121.5816376</v>
      </c>
      <c r="S217">
        <f t="shared" si="962"/>
        <v>-19277.911215816377</v>
      </c>
      <c r="T217">
        <f t="shared" si="963"/>
        <v>-19.277911215816378</v>
      </c>
    </row>
    <row r="218" spans="1:20" x14ac:dyDescent="0.25">
      <c r="A218" s="5">
        <v>44375</v>
      </c>
      <c r="B218">
        <v>3.0300000000000001E-2</v>
      </c>
      <c r="C218">
        <v>3.2239999999999998E-2</v>
      </c>
      <c r="D218">
        <v>2.9700000000000001E-2</v>
      </c>
      <c r="E218">
        <v>3.1629999999999998E-2</v>
      </c>
      <c r="F218">
        <v>52697217.899999999</v>
      </c>
      <c r="G218">
        <v>4.3899999999999997</v>
      </c>
      <c r="L218" t="s">
        <v>8</v>
      </c>
      <c r="M218" t="s">
        <v>8</v>
      </c>
      <c r="N218" t="s">
        <v>8</v>
      </c>
      <c r="P218">
        <f t="shared" si="959"/>
        <v>0.51968503937007859</v>
      </c>
      <c r="Q218">
        <f t="shared" si="960"/>
        <v>27385955.759055108</v>
      </c>
      <c r="R218">
        <f t="shared" si="961"/>
        <v>-1846054056.0702603</v>
      </c>
      <c r="S218">
        <f t="shared" si="962"/>
        <v>-18460.540560702604</v>
      </c>
      <c r="T218">
        <f t="shared" si="963"/>
        <v>-18.460540560702604</v>
      </c>
    </row>
    <row r="219" spans="1:20" x14ac:dyDescent="0.25">
      <c r="A219" s="5">
        <v>44374</v>
      </c>
      <c r="B219">
        <v>2.8250000000000001E-2</v>
      </c>
      <c r="C219">
        <v>3.1230000000000001E-2</v>
      </c>
      <c r="D219">
        <v>2.768E-2</v>
      </c>
      <c r="E219">
        <v>3.0380000000000001E-2</v>
      </c>
      <c r="F219">
        <v>68886768.900000006</v>
      </c>
      <c r="G219">
        <v>7.54</v>
      </c>
      <c r="L219" t="s">
        <v>8</v>
      </c>
      <c r="M219" t="s">
        <v>7</v>
      </c>
      <c r="N219" t="s">
        <v>8</v>
      </c>
      <c r="P219">
        <f t="shared" si="959"/>
        <v>0.52112676056338036</v>
      </c>
      <c r="Q219">
        <f t="shared" si="960"/>
        <v>35898738.722535223</v>
      </c>
      <c r="R219">
        <f t="shared" si="961"/>
        <v>-1873440011.8293154</v>
      </c>
      <c r="S219">
        <f t="shared" si="962"/>
        <v>-18734.400118293153</v>
      </c>
      <c r="T219">
        <f t="shared" si="963"/>
        <v>-18.734400118293152</v>
      </c>
    </row>
    <row r="220" spans="1:20" x14ac:dyDescent="0.25">
      <c r="A220" s="5">
        <v>44373</v>
      </c>
      <c r="B220">
        <v>2.8459999999999999E-2</v>
      </c>
      <c r="C220">
        <v>3.0360000000000002E-2</v>
      </c>
      <c r="D220">
        <v>2.673E-2</v>
      </c>
      <c r="E220">
        <v>2.8199999999999999E-2</v>
      </c>
      <c r="F220">
        <v>41400998.700000003</v>
      </c>
      <c r="G220">
        <v>-0.91</v>
      </c>
      <c r="L220" t="s">
        <v>7</v>
      </c>
      <c r="M220" t="s">
        <v>7</v>
      </c>
      <c r="N220" t="s">
        <v>8</v>
      </c>
      <c r="P220">
        <f t="shared" si="959"/>
        <v>-0.19008264462809996</v>
      </c>
      <c r="Q220">
        <f t="shared" si="960"/>
        <v>-7869611.323140529</v>
      </c>
      <c r="R220">
        <f t="shared" si="961"/>
        <v>-1909338750.5518506</v>
      </c>
      <c r="S220">
        <f t="shared" si="962"/>
        <v>-19093.387505518505</v>
      </c>
      <c r="T220">
        <f t="shared" si="963"/>
        <v>-19.093387505518507</v>
      </c>
    </row>
    <row r="221" spans="1:20" x14ac:dyDescent="0.25">
      <c r="A221" s="5">
        <v>44372</v>
      </c>
      <c r="B221">
        <v>3.1449999999999999E-2</v>
      </c>
      <c r="C221">
        <v>3.2239999999999998E-2</v>
      </c>
      <c r="D221">
        <v>2.776E-2</v>
      </c>
      <c r="E221">
        <v>2.852E-2</v>
      </c>
      <c r="F221">
        <v>41932147.100000001</v>
      </c>
      <c r="G221">
        <v>-9.32</v>
      </c>
      <c r="L221" t="s">
        <v>7</v>
      </c>
      <c r="M221" t="s">
        <v>7</v>
      </c>
      <c r="N221" t="s">
        <v>8</v>
      </c>
      <c r="P221">
        <f t="shared" si="959"/>
        <v>-0.66071428571428548</v>
      </c>
      <c r="Q221">
        <f t="shared" si="960"/>
        <v>-27705168.61964285</v>
      </c>
      <c r="R221">
        <f t="shared" si="961"/>
        <v>-1901469139.2287099</v>
      </c>
      <c r="S221">
        <f t="shared" si="962"/>
        <v>-19014.691392287099</v>
      </c>
      <c r="T221">
        <f t="shared" si="963"/>
        <v>-19.014691392287098</v>
      </c>
    </row>
    <row r="222" spans="1:20" x14ac:dyDescent="0.25">
      <c r="A222" s="5">
        <v>44371</v>
      </c>
      <c r="B222">
        <v>3.0980000000000001E-2</v>
      </c>
      <c r="C222">
        <v>3.2390000000000002E-2</v>
      </c>
      <c r="D222">
        <v>2.9360000000000001E-2</v>
      </c>
      <c r="E222">
        <v>3.1379999999999998E-2</v>
      </c>
      <c r="F222">
        <v>33856039.100000001</v>
      </c>
      <c r="G222">
        <v>1.29</v>
      </c>
      <c r="L222" t="s">
        <v>7</v>
      </c>
      <c r="M222" t="s">
        <v>8</v>
      </c>
      <c r="N222" t="s">
        <v>8</v>
      </c>
      <c r="P222">
        <f t="shared" si="959"/>
        <v>0.33333333333333104</v>
      </c>
      <c r="Q222">
        <f t="shared" si="960"/>
        <v>11285346.366666589</v>
      </c>
      <c r="R222">
        <f t="shared" si="961"/>
        <v>-1873763970.6090672</v>
      </c>
      <c r="S222">
        <f t="shared" si="962"/>
        <v>-18737.639706090671</v>
      </c>
      <c r="T222">
        <f t="shared" si="963"/>
        <v>-18.737639706090672</v>
      </c>
    </row>
    <row r="223" spans="1:20" x14ac:dyDescent="0.25">
      <c r="A223" s="5">
        <v>44370</v>
      </c>
      <c r="B223">
        <v>2.7199999999999998E-2</v>
      </c>
      <c r="C223">
        <v>3.3279999999999997E-2</v>
      </c>
      <c r="D223">
        <v>2.5899999999999999E-2</v>
      </c>
      <c r="E223">
        <v>3.0890000000000001E-2</v>
      </c>
      <c r="F223">
        <v>67432646</v>
      </c>
      <c r="G223">
        <v>13.57</v>
      </c>
      <c r="L223" t="s">
        <v>8</v>
      </c>
      <c r="M223" t="s">
        <v>8</v>
      </c>
      <c r="N223" t="s">
        <v>8</v>
      </c>
      <c r="P223">
        <f t="shared" si="959"/>
        <v>0.35230352303523116</v>
      </c>
      <c r="Q223">
        <f t="shared" si="960"/>
        <v>23756758.753387589</v>
      </c>
      <c r="R223">
        <f t="shared" si="961"/>
        <v>-1885049316.9757338</v>
      </c>
      <c r="S223">
        <f t="shared" si="962"/>
        <v>-18850.493169757337</v>
      </c>
      <c r="T223">
        <f t="shared" si="963"/>
        <v>-18.850493169757339</v>
      </c>
    </row>
    <row r="224" spans="1:20" x14ac:dyDescent="0.25">
      <c r="A224" s="5">
        <v>44369</v>
      </c>
      <c r="B224">
        <v>2.794E-2</v>
      </c>
      <c r="C224">
        <v>3.0120000000000001E-2</v>
      </c>
      <c r="D224">
        <v>2.2769999999999999E-2</v>
      </c>
      <c r="E224">
        <v>2.7189999999999999E-2</v>
      </c>
      <c r="F224">
        <v>86936467.799999997</v>
      </c>
      <c r="G224">
        <v>-2.68</v>
      </c>
      <c r="L224" t="s">
        <v>7</v>
      </c>
      <c r="M224" t="s">
        <v>7</v>
      </c>
      <c r="N224" t="s">
        <v>7</v>
      </c>
      <c r="P224">
        <f t="shared" si="959"/>
        <v>0.20272108843537384</v>
      </c>
      <c r="Q224">
        <f t="shared" si="960"/>
        <v>17623855.377142828</v>
      </c>
      <c r="R224">
        <f t="shared" si="961"/>
        <v>-1908806075.7291214</v>
      </c>
      <c r="S224">
        <f t="shared" si="962"/>
        <v>-19088.060757291216</v>
      </c>
      <c r="T224">
        <f t="shared" si="963"/>
        <v>-19.088060757291217</v>
      </c>
    </row>
    <row r="225" spans="1:20" x14ac:dyDescent="0.25">
      <c r="A225" s="5">
        <v>44368</v>
      </c>
      <c r="B225">
        <v>3.7929999999999998E-2</v>
      </c>
      <c r="C225">
        <v>3.8210000000000001E-2</v>
      </c>
      <c r="D225">
        <v>2.776E-2</v>
      </c>
      <c r="E225">
        <v>2.801E-2</v>
      </c>
      <c r="F225">
        <v>84062331.900000006</v>
      </c>
      <c r="G225">
        <v>-26.15</v>
      </c>
      <c r="L225" t="s">
        <v>7</v>
      </c>
      <c r="M225" t="s">
        <v>7</v>
      </c>
      <c r="N225" t="s">
        <v>7</v>
      </c>
      <c r="P225">
        <f t="shared" si="959"/>
        <v>-0.95215311004784686</v>
      </c>
      <c r="Q225">
        <f t="shared" si="960"/>
        <v>-80040210.75645934</v>
      </c>
      <c r="R225">
        <f t="shared" si="961"/>
        <v>-1926429931.1062644</v>
      </c>
      <c r="S225">
        <f t="shared" si="962"/>
        <v>-19264.299311062645</v>
      </c>
      <c r="T225">
        <f t="shared" si="963"/>
        <v>-19.264299311062643</v>
      </c>
    </row>
    <row r="226" spans="1:20" x14ac:dyDescent="0.25">
      <c r="A226" s="5">
        <v>44367</v>
      </c>
      <c r="B226">
        <v>3.7330000000000002E-2</v>
      </c>
      <c r="C226">
        <v>3.8559999999999997E-2</v>
      </c>
      <c r="D226">
        <v>3.4099999999999998E-2</v>
      </c>
      <c r="E226">
        <v>3.7929999999999998E-2</v>
      </c>
      <c r="F226">
        <v>54013132.600000001</v>
      </c>
      <c r="G226">
        <v>1.61</v>
      </c>
      <c r="L226" t="s">
        <v>7</v>
      </c>
      <c r="M226" t="s">
        <v>7</v>
      </c>
      <c r="N226" t="s">
        <v>7</v>
      </c>
      <c r="P226">
        <f t="shared" si="959"/>
        <v>0.71748878923766868</v>
      </c>
      <c r="Q226">
        <f t="shared" si="960"/>
        <v>38753817.112107649</v>
      </c>
      <c r="R226">
        <f t="shared" si="961"/>
        <v>-1846389720.3498051</v>
      </c>
      <c r="S226">
        <f t="shared" si="962"/>
        <v>-18463.897203498051</v>
      </c>
      <c r="T226">
        <f t="shared" si="963"/>
        <v>-18.46389720349805</v>
      </c>
    </row>
    <row r="227" spans="1:20" x14ac:dyDescent="0.25">
      <c r="A227" s="5">
        <v>44366</v>
      </c>
      <c r="B227">
        <v>3.952E-2</v>
      </c>
      <c r="C227">
        <v>4.2889999999999998E-2</v>
      </c>
      <c r="D227">
        <v>3.7260000000000001E-2</v>
      </c>
      <c r="E227">
        <v>3.7319999999999999E-2</v>
      </c>
      <c r="F227">
        <v>120774262.7</v>
      </c>
      <c r="G227">
        <v>-5.57</v>
      </c>
      <c r="L227" t="s">
        <v>7</v>
      </c>
      <c r="M227" t="s">
        <v>7</v>
      </c>
      <c r="N227" t="s">
        <v>7</v>
      </c>
      <c r="P227">
        <f t="shared" si="959"/>
        <v>-0.9786856127886332</v>
      </c>
      <c r="Q227">
        <f t="shared" si="960"/>
        <v>-118200033.29964487</v>
      </c>
      <c r="R227">
        <f t="shared" si="961"/>
        <v>-1885143537.4619129</v>
      </c>
      <c r="S227">
        <f t="shared" si="962"/>
        <v>-18851.43537461913</v>
      </c>
      <c r="T227">
        <f t="shared" si="963"/>
        <v>-18.851435374619129</v>
      </c>
    </row>
    <row r="228" spans="1:20" x14ac:dyDescent="0.25">
      <c r="A228" s="5">
        <v>44365</v>
      </c>
      <c r="B228">
        <v>4.308E-2</v>
      </c>
      <c r="C228">
        <v>4.342E-2</v>
      </c>
      <c r="D228">
        <v>3.7830000000000003E-2</v>
      </c>
      <c r="E228">
        <v>3.9550000000000002E-2</v>
      </c>
      <c r="F228">
        <v>40021463.899999999</v>
      </c>
      <c r="G228">
        <v>-8.19</v>
      </c>
      <c r="L228" t="s">
        <v>7</v>
      </c>
      <c r="M228" t="s">
        <v>7</v>
      </c>
      <c r="N228" t="s">
        <v>7</v>
      </c>
      <c r="P228">
        <f t="shared" si="959"/>
        <v>-0.38461538461538464</v>
      </c>
      <c r="Q228">
        <f t="shared" si="960"/>
        <v>-15392870.730769232</v>
      </c>
      <c r="R228">
        <f t="shared" si="961"/>
        <v>-1766943504.1622679</v>
      </c>
      <c r="S228">
        <f t="shared" si="962"/>
        <v>-17669.435041622681</v>
      </c>
      <c r="T228">
        <f t="shared" si="963"/>
        <v>-17.66943504162268</v>
      </c>
    </row>
    <row r="229" spans="1:20" x14ac:dyDescent="0.25">
      <c r="A229" s="5">
        <v>44364</v>
      </c>
      <c r="B229">
        <v>4.3430000000000003E-2</v>
      </c>
      <c r="C229">
        <v>4.632E-2</v>
      </c>
      <c r="D229">
        <v>4.2009999999999999E-2</v>
      </c>
      <c r="E229">
        <v>4.3049999999999998E-2</v>
      </c>
      <c r="F229">
        <v>36155131.399999999</v>
      </c>
      <c r="G229">
        <v>-0.87</v>
      </c>
      <c r="L229" t="s">
        <v>8</v>
      </c>
      <c r="M229" t="s">
        <v>8</v>
      </c>
      <c r="N229" t="s">
        <v>7</v>
      </c>
      <c r="P229">
        <f t="shared" si="959"/>
        <v>-0.51740139211136937</v>
      </c>
      <c r="Q229">
        <f t="shared" si="960"/>
        <v>-18706715.318329483</v>
      </c>
      <c r="R229">
        <f t="shared" si="961"/>
        <v>-1751550633.4314988</v>
      </c>
      <c r="S229">
        <f t="shared" si="962"/>
        <v>-17515.506334314989</v>
      </c>
      <c r="T229">
        <f t="shared" si="963"/>
        <v>-17.515506334314988</v>
      </c>
    </row>
    <row r="230" spans="1:20" x14ac:dyDescent="0.25">
      <c r="A230" s="5">
        <v>44363</v>
      </c>
      <c r="B230">
        <v>4.58E-2</v>
      </c>
      <c r="C230">
        <v>4.6109999999999998E-2</v>
      </c>
      <c r="D230">
        <v>4.2070000000000003E-2</v>
      </c>
      <c r="E230">
        <v>4.3470000000000002E-2</v>
      </c>
      <c r="F230">
        <v>48605908.899999999</v>
      </c>
      <c r="G230">
        <v>-5.09</v>
      </c>
      <c r="L230" t="s">
        <v>7</v>
      </c>
      <c r="M230" t="s">
        <v>8</v>
      </c>
      <c r="N230" t="s">
        <v>7</v>
      </c>
      <c r="P230">
        <f t="shared" si="959"/>
        <v>-0.30693069306930681</v>
      </c>
      <c r="Q230">
        <f t="shared" si="960"/>
        <v>-14918645.305940587</v>
      </c>
      <c r="R230">
        <f t="shared" si="961"/>
        <v>-1732843918.1131692</v>
      </c>
      <c r="S230">
        <f t="shared" si="962"/>
        <v>-17328.439181131693</v>
      </c>
      <c r="T230">
        <f t="shared" si="963"/>
        <v>-17.328439181131692</v>
      </c>
    </row>
    <row r="231" spans="1:20" x14ac:dyDescent="0.25">
      <c r="A231" s="5">
        <v>44362</v>
      </c>
      <c r="B231">
        <v>4.3270000000000003E-2</v>
      </c>
      <c r="C231">
        <v>4.8259999999999997E-2</v>
      </c>
      <c r="D231">
        <v>4.2799999999999998E-2</v>
      </c>
      <c r="E231">
        <v>4.589E-2</v>
      </c>
      <c r="F231">
        <v>128221248.2</v>
      </c>
      <c r="G231">
        <v>6.06</v>
      </c>
      <c r="L231" t="s">
        <v>8</v>
      </c>
      <c r="M231" t="s">
        <v>8</v>
      </c>
      <c r="N231" t="s">
        <v>7</v>
      </c>
      <c r="P231">
        <f t="shared" si="959"/>
        <v>0.13186813186813287</v>
      </c>
      <c r="Q231">
        <f t="shared" si="960"/>
        <v>16908296.465934195</v>
      </c>
      <c r="R231">
        <f t="shared" si="961"/>
        <v>-1717925272.8072286</v>
      </c>
      <c r="S231">
        <f t="shared" si="962"/>
        <v>-17179.252728072286</v>
      </c>
      <c r="T231">
        <f t="shared" si="963"/>
        <v>-17.179252728072285</v>
      </c>
    </row>
    <row r="232" spans="1:20" x14ac:dyDescent="0.25">
      <c r="A232" s="5">
        <v>44361</v>
      </c>
      <c r="B232">
        <v>4.351E-2</v>
      </c>
      <c r="C232">
        <v>4.3900000000000002E-2</v>
      </c>
      <c r="D232">
        <v>4.1660000000000003E-2</v>
      </c>
      <c r="E232">
        <v>4.3290000000000002E-2</v>
      </c>
      <c r="F232">
        <v>52883313.5</v>
      </c>
      <c r="G232">
        <v>-0.51</v>
      </c>
      <c r="L232" t="s">
        <v>8</v>
      </c>
      <c r="M232" t="s">
        <v>7</v>
      </c>
      <c r="N232" t="s">
        <v>7</v>
      </c>
      <c r="P232">
        <f t="shared" si="959"/>
        <v>0.45535714285714313</v>
      </c>
      <c r="Q232">
        <f t="shared" si="960"/>
        <v>24080794.540178586</v>
      </c>
      <c r="R232">
        <f t="shared" si="961"/>
        <v>-1734833569.2731628</v>
      </c>
      <c r="S232">
        <f t="shared" si="962"/>
        <v>-17348.335692731627</v>
      </c>
      <c r="T232">
        <f t="shared" si="963"/>
        <v>-17.348335692731627</v>
      </c>
    </row>
    <row r="233" spans="1:20" x14ac:dyDescent="0.25">
      <c r="A233" s="5">
        <v>44360</v>
      </c>
      <c r="B233">
        <v>4.1779999999999998E-2</v>
      </c>
      <c r="C233">
        <v>4.4240000000000002E-2</v>
      </c>
      <c r="D233">
        <v>3.9199999999999999E-2</v>
      </c>
      <c r="E233">
        <v>4.351E-2</v>
      </c>
      <c r="F233">
        <v>67168854.599999994</v>
      </c>
      <c r="G233">
        <v>4.1399999999999997</v>
      </c>
      <c r="L233" t="s">
        <v>8</v>
      </c>
      <c r="M233" t="s">
        <v>7</v>
      </c>
      <c r="N233" t="s">
        <v>7</v>
      </c>
      <c r="P233">
        <f t="shared" si="959"/>
        <v>0.7103174603174599</v>
      </c>
      <c r="Q233">
        <f t="shared" si="960"/>
        <v>47711210.211904727</v>
      </c>
      <c r="R233">
        <f t="shared" si="961"/>
        <v>-1758914363.8133414</v>
      </c>
      <c r="S233">
        <f t="shared" si="962"/>
        <v>-17589.143638133413</v>
      </c>
      <c r="T233">
        <f t="shared" si="963"/>
        <v>-17.589143638133415</v>
      </c>
    </row>
    <row r="234" spans="1:20" x14ac:dyDescent="0.25">
      <c r="A234" s="5">
        <v>44359</v>
      </c>
      <c r="B234">
        <v>4.1739999999999999E-2</v>
      </c>
      <c r="C234">
        <v>4.2909999999999997E-2</v>
      </c>
      <c r="D234">
        <v>3.8600000000000002E-2</v>
      </c>
      <c r="E234">
        <v>4.1779999999999998E-2</v>
      </c>
      <c r="F234">
        <v>56105789.200000003</v>
      </c>
      <c r="G234">
        <v>0.1</v>
      </c>
      <c r="L234" t="s">
        <v>7</v>
      </c>
      <c r="M234" t="s">
        <v>7</v>
      </c>
      <c r="N234" t="s">
        <v>7</v>
      </c>
      <c r="P234">
        <f t="shared" si="959"/>
        <v>0.4756380510440833</v>
      </c>
      <c r="Q234">
        <f t="shared" si="960"/>
        <v>26686048.227378178</v>
      </c>
      <c r="R234">
        <f t="shared" si="961"/>
        <v>-1806625574.0252461</v>
      </c>
      <c r="S234">
        <f t="shared" si="962"/>
        <v>-18066.255740252462</v>
      </c>
      <c r="T234">
        <f t="shared" si="963"/>
        <v>-18.066255740252462</v>
      </c>
    </row>
    <row r="235" spans="1:20" x14ac:dyDescent="0.25">
      <c r="A235" s="5">
        <v>44358</v>
      </c>
      <c r="B235">
        <v>4.7260000000000003E-2</v>
      </c>
      <c r="C235">
        <v>5.0250000000000003E-2</v>
      </c>
      <c r="D235">
        <v>4.1250000000000002E-2</v>
      </c>
      <c r="E235">
        <v>4.1739999999999999E-2</v>
      </c>
      <c r="F235">
        <v>142423961.80000001</v>
      </c>
      <c r="G235">
        <v>-11.68</v>
      </c>
      <c r="L235" t="s">
        <v>7</v>
      </c>
      <c r="M235" t="s">
        <v>7</v>
      </c>
      <c r="N235" t="s">
        <v>8</v>
      </c>
      <c r="P235">
        <f t="shared" si="959"/>
        <v>-0.89111111111111174</v>
      </c>
      <c r="Q235">
        <f t="shared" si="960"/>
        <v>-126915574.84844455</v>
      </c>
      <c r="R235">
        <f t="shared" si="961"/>
        <v>-1833311622.2526243</v>
      </c>
      <c r="S235">
        <f t="shared" si="962"/>
        <v>-18333.116222526241</v>
      </c>
      <c r="T235">
        <f t="shared" si="963"/>
        <v>-18.333116222526243</v>
      </c>
    </row>
    <row r="236" spans="1:20" x14ac:dyDescent="0.25">
      <c r="A236" s="5">
        <v>44357</v>
      </c>
      <c r="B236">
        <v>4.6199999999999998E-2</v>
      </c>
      <c r="C236">
        <v>5.4899999999999997E-2</v>
      </c>
      <c r="D236">
        <v>4.5080000000000002E-2</v>
      </c>
      <c r="E236">
        <v>4.7140000000000001E-2</v>
      </c>
      <c r="F236">
        <v>294706075.69999999</v>
      </c>
      <c r="G236">
        <v>2.0299999999999998</v>
      </c>
      <c r="L236" t="s">
        <v>8</v>
      </c>
      <c r="M236" t="s">
        <v>8</v>
      </c>
      <c r="N236" t="s">
        <v>8</v>
      </c>
      <c r="P236">
        <f t="shared" si="959"/>
        <v>-0.58044806517311598</v>
      </c>
      <c r="Q236">
        <f t="shared" si="960"/>
        <v>-171061571.43482685</v>
      </c>
      <c r="R236">
        <f t="shared" si="961"/>
        <v>-1706396047.4041798</v>
      </c>
      <c r="S236">
        <f t="shared" si="962"/>
        <v>-17063.9604740418</v>
      </c>
      <c r="T236">
        <f t="shared" si="963"/>
        <v>-17.063960474041799</v>
      </c>
    </row>
    <row r="237" spans="1:20" x14ac:dyDescent="0.25">
      <c r="A237" s="5">
        <v>44356</v>
      </c>
      <c r="B237">
        <v>4.2009999999999999E-2</v>
      </c>
      <c r="C237">
        <v>4.8370000000000003E-2</v>
      </c>
      <c r="D237">
        <v>3.9030000000000002E-2</v>
      </c>
      <c r="E237">
        <v>4.6210000000000001E-2</v>
      </c>
      <c r="F237">
        <v>121551997.7</v>
      </c>
      <c r="G237">
        <v>10</v>
      </c>
      <c r="L237" t="s">
        <v>8</v>
      </c>
      <c r="M237" t="s">
        <v>8</v>
      </c>
      <c r="N237" t="s">
        <v>7</v>
      </c>
      <c r="P237">
        <f t="shared" si="959"/>
        <v>0.53747323340471054</v>
      </c>
      <c r="Q237">
        <f t="shared" si="960"/>
        <v>65330945.230620943</v>
      </c>
      <c r="R237">
        <f t="shared" si="961"/>
        <v>-1535334475.969353</v>
      </c>
      <c r="S237">
        <f t="shared" si="962"/>
        <v>-15353.344759693529</v>
      </c>
      <c r="T237">
        <f t="shared" si="963"/>
        <v>-15.353344759693529</v>
      </c>
    </row>
    <row r="238" spans="1:20" x14ac:dyDescent="0.25">
      <c r="A238" s="5">
        <v>44355</v>
      </c>
      <c r="B238">
        <v>4.2520000000000002E-2</v>
      </c>
      <c r="C238">
        <v>4.4089999999999997E-2</v>
      </c>
      <c r="D238">
        <v>3.6979999999999999E-2</v>
      </c>
      <c r="E238">
        <v>4.2110000000000002E-2</v>
      </c>
      <c r="F238">
        <v>99629411.099999994</v>
      </c>
      <c r="G238">
        <v>-0.96</v>
      </c>
      <c r="L238" t="s">
        <v>7</v>
      </c>
      <c r="M238" t="s">
        <v>7</v>
      </c>
      <c r="N238" t="s">
        <v>7</v>
      </c>
      <c r="P238">
        <f t="shared" si="959"/>
        <v>0.44303797468354539</v>
      </c>
      <c r="Q238">
        <f t="shared" si="960"/>
        <v>44139612.512658335</v>
      </c>
      <c r="R238">
        <f t="shared" si="961"/>
        <v>-1600665421.1999738</v>
      </c>
      <c r="S238">
        <f t="shared" si="962"/>
        <v>-16006.654211999738</v>
      </c>
      <c r="T238">
        <f t="shared" si="963"/>
        <v>-16.006654211999738</v>
      </c>
    </row>
    <row r="239" spans="1:20" x14ac:dyDescent="0.25">
      <c r="A239" s="5">
        <v>44354</v>
      </c>
      <c r="B239">
        <v>4.7780000000000003E-2</v>
      </c>
      <c r="C239">
        <v>5.4800000000000001E-2</v>
      </c>
      <c r="D239">
        <v>4.1739999999999999E-2</v>
      </c>
      <c r="E239">
        <v>4.2509999999999999E-2</v>
      </c>
      <c r="F239">
        <v>149059445.80000001</v>
      </c>
      <c r="G239">
        <v>-11.03</v>
      </c>
      <c r="L239" t="s">
        <v>8</v>
      </c>
      <c r="M239" t="s">
        <v>8</v>
      </c>
      <c r="N239" t="s">
        <v>8</v>
      </c>
      <c r="P239">
        <f t="shared" si="959"/>
        <v>-0.88208269525268002</v>
      </c>
      <c r="Q239">
        <f t="shared" si="960"/>
        <v>-131482757.70413478</v>
      </c>
      <c r="R239">
        <f t="shared" si="961"/>
        <v>-1644805033.7126322</v>
      </c>
      <c r="S239">
        <f t="shared" si="962"/>
        <v>-16448.050337126322</v>
      </c>
      <c r="T239">
        <f t="shared" si="963"/>
        <v>-16.448050337126322</v>
      </c>
    </row>
    <row r="240" spans="1:20" x14ac:dyDescent="0.25">
      <c r="A240" s="5">
        <v>44353</v>
      </c>
      <c r="B240">
        <v>4.1000000000000002E-2</v>
      </c>
      <c r="C240">
        <v>5.2979999999999999E-2</v>
      </c>
      <c r="D240">
        <v>4.0629999999999999E-2</v>
      </c>
      <c r="E240">
        <v>4.7780000000000003E-2</v>
      </c>
      <c r="F240">
        <v>182327314.40000001</v>
      </c>
      <c r="G240">
        <v>16.54</v>
      </c>
      <c r="L240" t="s">
        <v>8</v>
      </c>
      <c r="M240" t="s">
        <v>8</v>
      </c>
      <c r="N240" t="s">
        <v>8</v>
      </c>
      <c r="P240">
        <f t="shared" si="959"/>
        <v>0.15789473684210587</v>
      </c>
      <c r="Q240">
        <f t="shared" si="960"/>
        <v>28788523.326315898</v>
      </c>
      <c r="R240">
        <f t="shared" si="961"/>
        <v>-1513322276.0084975</v>
      </c>
      <c r="S240">
        <f t="shared" si="962"/>
        <v>-15133.222760084975</v>
      </c>
      <c r="T240">
        <f t="shared" si="963"/>
        <v>-15.133222760084974</v>
      </c>
    </row>
    <row r="241" spans="1:20" x14ac:dyDescent="0.25">
      <c r="A241" s="5">
        <v>44352</v>
      </c>
      <c r="B241">
        <v>4.2860000000000002E-2</v>
      </c>
      <c r="C241">
        <v>4.5339999999999998E-2</v>
      </c>
      <c r="D241">
        <v>3.9550000000000002E-2</v>
      </c>
      <c r="E241">
        <v>4.0939999999999997E-2</v>
      </c>
      <c r="F241">
        <v>32190551.899999999</v>
      </c>
      <c r="G241">
        <v>-4.4800000000000004</v>
      </c>
      <c r="L241" t="s">
        <v>7</v>
      </c>
      <c r="M241" t="s">
        <v>7</v>
      </c>
      <c r="N241" t="s">
        <v>8</v>
      </c>
      <c r="P241">
        <f t="shared" si="959"/>
        <v>-0.51986183074266101</v>
      </c>
      <c r="Q241">
        <f t="shared" si="960"/>
        <v>-16734639.243350644</v>
      </c>
      <c r="R241">
        <f t="shared" si="961"/>
        <v>-1542110799.3348134</v>
      </c>
      <c r="S241">
        <f t="shared" si="962"/>
        <v>-15421.107993348134</v>
      </c>
      <c r="T241">
        <f t="shared" si="963"/>
        <v>-15.421107993348134</v>
      </c>
    </row>
    <row r="242" spans="1:20" x14ac:dyDescent="0.25">
      <c r="A242" s="5">
        <v>44351</v>
      </c>
      <c r="B242">
        <v>4.7789999999999999E-2</v>
      </c>
      <c r="C242">
        <v>4.7809999999999998E-2</v>
      </c>
      <c r="D242">
        <v>4.0009999999999997E-2</v>
      </c>
      <c r="E242">
        <v>4.2709999999999998E-2</v>
      </c>
      <c r="F242">
        <v>59312961.799999997</v>
      </c>
      <c r="G242">
        <v>-10.63</v>
      </c>
      <c r="L242" t="s">
        <v>7</v>
      </c>
      <c r="M242" t="s">
        <v>7</v>
      </c>
      <c r="N242" t="s">
        <v>8</v>
      </c>
      <c r="P242">
        <f t="shared" si="959"/>
        <v>-0.30769230769230754</v>
      </c>
      <c r="Q242">
        <f t="shared" si="960"/>
        <v>-18250142.092307683</v>
      </c>
      <c r="R242">
        <f t="shared" si="961"/>
        <v>-1525376160.0914626</v>
      </c>
      <c r="S242">
        <f t="shared" si="962"/>
        <v>-15253.761600914626</v>
      </c>
      <c r="T242">
        <f t="shared" si="963"/>
        <v>-15.253761600914626</v>
      </c>
    </row>
    <row r="243" spans="1:20" x14ac:dyDescent="0.25">
      <c r="A243" s="5">
        <v>44350</v>
      </c>
      <c r="B243">
        <v>4.6850000000000003E-2</v>
      </c>
      <c r="C243">
        <v>4.9180000000000001E-2</v>
      </c>
      <c r="D243">
        <v>4.6019999999999998E-2</v>
      </c>
      <c r="E243">
        <v>4.7699999999999999E-2</v>
      </c>
      <c r="F243">
        <v>51478454.200000003</v>
      </c>
      <c r="G243">
        <v>1.81</v>
      </c>
      <c r="L243" t="s">
        <v>8</v>
      </c>
      <c r="M243" t="s">
        <v>8</v>
      </c>
      <c r="N243" t="s">
        <v>8</v>
      </c>
      <c r="P243">
        <f t="shared" si="959"/>
        <v>6.3291139240505889E-2</v>
      </c>
      <c r="Q243">
        <f t="shared" si="960"/>
        <v>3258130.0126582053</v>
      </c>
      <c r="R243">
        <f t="shared" si="961"/>
        <v>-1507126017.999155</v>
      </c>
      <c r="S243">
        <f t="shared" si="962"/>
        <v>-15071.26017999155</v>
      </c>
      <c r="T243">
        <f t="shared" si="963"/>
        <v>-15.071260179991549</v>
      </c>
    </row>
    <row r="244" spans="1:20" x14ac:dyDescent="0.25">
      <c r="A244" s="5">
        <v>44349</v>
      </c>
      <c r="B244">
        <v>4.3339999999999997E-2</v>
      </c>
      <c r="C244">
        <v>4.8250000000000001E-2</v>
      </c>
      <c r="D244">
        <v>4.1840000000000002E-2</v>
      </c>
      <c r="E244">
        <v>4.6739999999999997E-2</v>
      </c>
      <c r="F244">
        <v>56613642.799999997</v>
      </c>
      <c r="G244">
        <v>7.84</v>
      </c>
      <c r="L244" t="s">
        <v>8</v>
      </c>
      <c r="M244" t="s">
        <v>8</v>
      </c>
      <c r="N244" t="s">
        <v>8</v>
      </c>
      <c r="P244">
        <f t="shared" si="959"/>
        <v>0.52886115444617643</v>
      </c>
      <c r="Q244">
        <f t="shared" si="960"/>
        <v>29940756.488611463</v>
      </c>
      <c r="R244">
        <f t="shared" si="961"/>
        <v>-1510384148.0118132</v>
      </c>
      <c r="S244">
        <f t="shared" si="962"/>
        <v>-15103.841480118132</v>
      </c>
      <c r="T244">
        <f t="shared" si="963"/>
        <v>-15.103841480118131</v>
      </c>
    </row>
    <row r="245" spans="1:20" x14ac:dyDescent="0.25">
      <c r="A245" s="5">
        <v>44348</v>
      </c>
      <c r="B245">
        <v>4.4260000000000001E-2</v>
      </c>
      <c r="C245">
        <v>4.4999999999999998E-2</v>
      </c>
      <c r="D245">
        <v>4.1980000000000003E-2</v>
      </c>
      <c r="E245">
        <v>4.3339999999999997E-2</v>
      </c>
      <c r="F245">
        <v>45090686.200000003</v>
      </c>
      <c r="G245">
        <v>-2.08</v>
      </c>
      <c r="L245" t="s">
        <v>8</v>
      </c>
      <c r="M245" t="s">
        <v>8</v>
      </c>
      <c r="N245" t="s">
        <v>7</v>
      </c>
      <c r="P245">
        <f t="shared" si="959"/>
        <v>-9.933774834437388E-2</v>
      </c>
      <c r="Q245">
        <f t="shared" si="960"/>
        <v>-4479207.2384107327</v>
      </c>
      <c r="R245">
        <f t="shared" si="961"/>
        <v>-1540324904.5004246</v>
      </c>
      <c r="S245">
        <f t="shared" si="962"/>
        <v>-15403.249045004246</v>
      </c>
      <c r="T245">
        <f t="shared" si="963"/>
        <v>-15.403249045004246</v>
      </c>
    </row>
    <row r="246" spans="1:20" x14ac:dyDescent="0.25">
      <c r="A246" s="5">
        <v>44347</v>
      </c>
      <c r="B246">
        <v>4.1320000000000003E-2</v>
      </c>
      <c r="C246">
        <v>4.4630000000000003E-2</v>
      </c>
      <c r="D246">
        <v>3.8809999999999997E-2</v>
      </c>
      <c r="E246">
        <v>4.446E-2</v>
      </c>
      <c r="F246">
        <v>45755157.600000001</v>
      </c>
      <c r="G246">
        <v>7.6</v>
      </c>
      <c r="L246" t="s">
        <v>8</v>
      </c>
      <c r="M246" t="s">
        <v>8</v>
      </c>
      <c r="N246" t="s">
        <v>7</v>
      </c>
      <c r="P246">
        <f t="shared" si="959"/>
        <v>0.94158075601374458</v>
      </c>
      <c r="Q246">
        <f t="shared" si="960"/>
        <v>43082175.884536035</v>
      </c>
      <c r="R246">
        <f t="shared" si="961"/>
        <v>-1535845697.2620139</v>
      </c>
      <c r="S246">
        <f t="shared" si="962"/>
        <v>-15358.456972620139</v>
      </c>
      <c r="T246">
        <f t="shared" si="963"/>
        <v>-15.358456972620139</v>
      </c>
    </row>
    <row r="247" spans="1:20" x14ac:dyDescent="0.25">
      <c r="A247" s="5">
        <v>44346</v>
      </c>
      <c r="B247">
        <v>3.7190000000000001E-2</v>
      </c>
      <c r="C247">
        <v>4.2520000000000002E-2</v>
      </c>
      <c r="D247">
        <v>3.5000000000000003E-2</v>
      </c>
      <c r="E247">
        <v>4.1430000000000002E-2</v>
      </c>
      <c r="F247">
        <v>47034989.100000001</v>
      </c>
      <c r="G247">
        <v>11.4</v>
      </c>
      <c r="L247" t="s">
        <v>7</v>
      </c>
      <c r="M247" t="s">
        <v>8</v>
      </c>
      <c r="N247" t="s">
        <v>7</v>
      </c>
      <c r="P247">
        <f t="shared" si="959"/>
        <v>0.71010638297872319</v>
      </c>
      <c r="Q247">
        <f t="shared" si="960"/>
        <v>33399845.983244672</v>
      </c>
      <c r="R247">
        <f t="shared" si="961"/>
        <v>-1578927873.1465499</v>
      </c>
      <c r="S247">
        <f t="shared" si="962"/>
        <v>-15789.2787314655</v>
      </c>
      <c r="T247">
        <f t="shared" si="963"/>
        <v>-15.789278731465499</v>
      </c>
    </row>
    <row r="248" spans="1:20" x14ac:dyDescent="0.25">
      <c r="A248" s="5">
        <v>44345</v>
      </c>
      <c r="B248">
        <v>4.0149999999999998E-2</v>
      </c>
      <c r="C248">
        <v>4.1739999999999999E-2</v>
      </c>
      <c r="D248">
        <v>3.5249999999999997E-2</v>
      </c>
      <c r="E248">
        <v>3.7220000000000003E-2</v>
      </c>
      <c r="F248">
        <v>52790877.5</v>
      </c>
      <c r="G248">
        <v>-7.3</v>
      </c>
      <c r="L248" t="s">
        <v>7</v>
      </c>
      <c r="M248" t="s">
        <v>7</v>
      </c>
      <c r="N248" t="s">
        <v>7</v>
      </c>
      <c r="P248">
        <f t="shared" si="959"/>
        <v>-0.39291217257318778</v>
      </c>
      <c r="Q248">
        <f t="shared" si="960"/>
        <v>-20742178.370570015</v>
      </c>
      <c r="R248">
        <f t="shared" si="961"/>
        <v>-1612327719.1297946</v>
      </c>
      <c r="S248">
        <f t="shared" si="962"/>
        <v>-16123.277191297946</v>
      </c>
      <c r="T248">
        <f t="shared" si="963"/>
        <v>-16.123277191297944</v>
      </c>
    </row>
    <row r="249" spans="1:20" x14ac:dyDescent="0.25">
      <c r="A249" s="5">
        <v>44344</v>
      </c>
      <c r="B249">
        <v>4.6420000000000003E-2</v>
      </c>
      <c r="C249">
        <v>4.7E-2</v>
      </c>
      <c r="D249">
        <v>3.7999999999999999E-2</v>
      </c>
      <c r="E249">
        <v>4.0349999999999997E-2</v>
      </c>
      <c r="F249">
        <v>79487224.5</v>
      </c>
      <c r="G249">
        <v>-13.08</v>
      </c>
      <c r="L249" t="s">
        <v>7</v>
      </c>
      <c r="M249" t="s">
        <v>7</v>
      </c>
      <c r="N249" t="s">
        <v>8</v>
      </c>
      <c r="P249">
        <f t="shared" si="959"/>
        <v>-0.4777777777777783</v>
      </c>
      <c r="Q249">
        <f t="shared" si="960"/>
        <v>-37977229.483333372</v>
      </c>
      <c r="R249">
        <f t="shared" si="961"/>
        <v>-1591585540.7592247</v>
      </c>
      <c r="S249">
        <f t="shared" si="962"/>
        <v>-15915.855407592246</v>
      </c>
      <c r="T249">
        <f t="shared" si="963"/>
        <v>-15.915855407592245</v>
      </c>
    </row>
    <row r="250" spans="1:20" x14ac:dyDescent="0.25">
      <c r="A250" s="5">
        <v>44343</v>
      </c>
      <c r="B250">
        <v>4.8469999999999999E-2</v>
      </c>
      <c r="C250">
        <v>0.05</v>
      </c>
      <c r="D250">
        <v>4.283E-2</v>
      </c>
      <c r="E250">
        <v>4.6420000000000003E-2</v>
      </c>
      <c r="F250">
        <v>63190741.100000001</v>
      </c>
      <c r="G250">
        <v>-4.2300000000000004</v>
      </c>
      <c r="L250" t="s">
        <v>7</v>
      </c>
      <c r="M250" t="s">
        <v>7</v>
      </c>
      <c r="N250" t="s">
        <v>8</v>
      </c>
      <c r="P250">
        <f t="shared" si="959"/>
        <v>1.3947001394704404E-3</v>
      </c>
      <c r="Q250">
        <f t="shared" si="960"/>
        <v>88132.135425410495</v>
      </c>
      <c r="R250">
        <f t="shared" si="961"/>
        <v>-1553608311.2758913</v>
      </c>
      <c r="S250">
        <f t="shared" si="962"/>
        <v>-15536.083112758914</v>
      </c>
      <c r="T250">
        <f t="shared" si="963"/>
        <v>-15.536083112758913</v>
      </c>
    </row>
    <row r="251" spans="1:20" x14ac:dyDescent="0.25">
      <c r="A251" s="5">
        <v>44342</v>
      </c>
      <c r="B251">
        <v>4.471E-2</v>
      </c>
      <c r="C251">
        <v>5.1920000000000001E-2</v>
      </c>
      <c r="D251">
        <v>4.3720000000000002E-2</v>
      </c>
      <c r="E251">
        <v>4.8480000000000002E-2</v>
      </c>
      <c r="F251">
        <v>81154635.299999997</v>
      </c>
      <c r="G251">
        <v>8.43</v>
      </c>
      <c r="L251" t="s">
        <v>8</v>
      </c>
      <c r="M251" t="s">
        <v>8</v>
      </c>
      <c r="N251" t="s">
        <v>8</v>
      </c>
      <c r="P251">
        <f t="shared" si="959"/>
        <v>0.16097560975609779</v>
      </c>
      <c r="Q251">
        <f t="shared" si="960"/>
        <v>13063916.901951237</v>
      </c>
      <c r="R251">
        <f t="shared" si="961"/>
        <v>-1553696443.4113166</v>
      </c>
      <c r="S251">
        <f t="shared" si="962"/>
        <v>-15536.964434113166</v>
      </c>
      <c r="T251">
        <f t="shared" si="963"/>
        <v>-15.536964434113166</v>
      </c>
    </row>
    <row r="252" spans="1:20" x14ac:dyDescent="0.25">
      <c r="A252" s="5">
        <v>44341</v>
      </c>
      <c r="B252">
        <v>4.2220000000000001E-2</v>
      </c>
      <c r="C252">
        <v>4.7100000000000003E-2</v>
      </c>
      <c r="D252">
        <v>3.7999999999999999E-2</v>
      </c>
      <c r="E252">
        <v>4.4639999999999999E-2</v>
      </c>
      <c r="F252">
        <v>107592084.8</v>
      </c>
      <c r="G252">
        <v>5.73</v>
      </c>
      <c r="L252" t="s">
        <v>8</v>
      </c>
      <c r="M252" t="s">
        <v>8</v>
      </c>
      <c r="N252" t="s">
        <v>8</v>
      </c>
      <c r="P252">
        <f t="shared" si="959"/>
        <v>0.45934065934065871</v>
      </c>
      <c r="Q252">
        <f t="shared" si="960"/>
        <v>49421419.171868064</v>
      </c>
      <c r="R252">
        <f t="shared" si="961"/>
        <v>-1566760360.3132679</v>
      </c>
      <c r="S252">
        <f t="shared" si="962"/>
        <v>-15667.60360313268</v>
      </c>
      <c r="T252">
        <f t="shared" si="963"/>
        <v>-15.66760360313268</v>
      </c>
    </row>
    <row r="253" spans="1:20" x14ac:dyDescent="0.25">
      <c r="A253" s="5">
        <v>44340</v>
      </c>
      <c r="B253">
        <v>3.3270000000000001E-2</v>
      </c>
      <c r="C253">
        <v>4.2250000000000003E-2</v>
      </c>
      <c r="D253">
        <v>3.2910000000000002E-2</v>
      </c>
      <c r="E253">
        <v>4.2070000000000003E-2</v>
      </c>
      <c r="F253">
        <v>80360300.299999997</v>
      </c>
      <c r="G253">
        <v>26.45</v>
      </c>
      <c r="L253" t="s">
        <v>8</v>
      </c>
      <c r="M253" t="s">
        <v>8</v>
      </c>
      <c r="N253" t="s">
        <v>8</v>
      </c>
      <c r="P253">
        <f t="shared" si="959"/>
        <v>0.96145610278372595</v>
      </c>
      <c r="Q253">
        <f t="shared" si="960"/>
        <v>77262901.144967884</v>
      </c>
      <c r="R253">
        <f t="shared" si="961"/>
        <v>-1616181779.485136</v>
      </c>
      <c r="S253">
        <f t="shared" si="962"/>
        <v>-16161.81779485136</v>
      </c>
      <c r="T253">
        <f t="shared" si="963"/>
        <v>-16.161817794851359</v>
      </c>
    </row>
    <row r="254" spans="1:20" x14ac:dyDescent="0.25">
      <c r="A254" s="5">
        <v>44339</v>
      </c>
      <c r="B254">
        <v>3.9190000000000003E-2</v>
      </c>
      <c r="C254">
        <v>4.1340000000000002E-2</v>
      </c>
      <c r="D254">
        <v>2.6509999999999999E-2</v>
      </c>
      <c r="E254">
        <v>3.32E-2</v>
      </c>
      <c r="F254">
        <v>100507137</v>
      </c>
      <c r="G254">
        <v>-15.28</v>
      </c>
      <c r="L254" t="s">
        <v>7</v>
      </c>
      <c r="M254" t="s">
        <v>7</v>
      </c>
      <c r="N254" t="s">
        <v>7</v>
      </c>
      <c r="P254">
        <f t="shared" si="959"/>
        <v>-9.7774780849629109E-2</v>
      </c>
      <c r="Q254">
        <f t="shared" si="960"/>
        <v>-9827063.2939986493</v>
      </c>
      <c r="R254">
        <f t="shared" si="961"/>
        <v>-1693444680.6301038</v>
      </c>
      <c r="S254">
        <f t="shared" si="962"/>
        <v>-16934.446806301039</v>
      </c>
      <c r="T254">
        <f t="shared" si="963"/>
        <v>-16.93444680630104</v>
      </c>
    </row>
    <row r="255" spans="1:20" x14ac:dyDescent="0.25">
      <c r="A255" s="5">
        <v>44338</v>
      </c>
      <c r="B255">
        <v>4.2099999999999999E-2</v>
      </c>
      <c r="C255">
        <v>4.3189999999999999E-2</v>
      </c>
      <c r="D255">
        <v>3.6389999999999999E-2</v>
      </c>
      <c r="E255">
        <v>3.9190000000000003E-2</v>
      </c>
      <c r="F255">
        <v>76497462.099999994</v>
      </c>
      <c r="G255">
        <v>-6.91</v>
      </c>
      <c r="L255" t="s">
        <v>8</v>
      </c>
      <c r="M255" t="s">
        <v>8</v>
      </c>
      <c r="N255" t="s">
        <v>7</v>
      </c>
      <c r="P255">
        <f t="shared" si="959"/>
        <v>-0.17647058823529305</v>
      </c>
      <c r="Q255">
        <f t="shared" si="960"/>
        <v>-13499552.135294035</v>
      </c>
      <c r="R255">
        <f t="shared" si="961"/>
        <v>-1683617617.3361051</v>
      </c>
      <c r="S255">
        <f t="shared" si="962"/>
        <v>-16836.176173361051</v>
      </c>
      <c r="T255">
        <f t="shared" si="963"/>
        <v>-16.83617617336105</v>
      </c>
    </row>
    <row r="256" spans="1:20" x14ac:dyDescent="0.25">
      <c r="A256" s="5">
        <v>44337</v>
      </c>
      <c r="B256">
        <v>5.2749999999999998E-2</v>
      </c>
      <c r="C256">
        <v>5.543E-2</v>
      </c>
      <c r="D256">
        <v>3.601E-2</v>
      </c>
      <c r="E256">
        <v>4.2209999999999998E-2</v>
      </c>
      <c r="F256">
        <v>122646636</v>
      </c>
      <c r="G256">
        <v>-19.98</v>
      </c>
      <c r="L256" t="s">
        <v>7</v>
      </c>
      <c r="M256" t="s">
        <v>7</v>
      </c>
      <c r="N256" t="s">
        <v>7</v>
      </c>
      <c r="P256">
        <f t="shared" si="959"/>
        <v>-0.36148300720906312</v>
      </c>
      <c r="Q256">
        <f t="shared" si="960"/>
        <v>-44334674.80535534</v>
      </c>
      <c r="R256">
        <f t="shared" si="961"/>
        <v>-1670118065.2008111</v>
      </c>
      <c r="S256">
        <f t="shared" si="962"/>
        <v>-16701.180652008112</v>
      </c>
      <c r="T256">
        <f t="shared" si="963"/>
        <v>-16.701180652008112</v>
      </c>
    </row>
    <row r="257" spans="1:20" x14ac:dyDescent="0.25">
      <c r="A257" s="5">
        <v>44336</v>
      </c>
      <c r="B257">
        <v>4.7129999999999998E-2</v>
      </c>
      <c r="C257">
        <v>5.781E-2</v>
      </c>
      <c r="D257">
        <v>4.2200000000000001E-2</v>
      </c>
      <c r="E257">
        <v>5.2789999999999997E-2</v>
      </c>
      <c r="F257">
        <v>142797507.19999999</v>
      </c>
      <c r="G257">
        <v>12.01</v>
      </c>
      <c r="L257" t="s">
        <v>8</v>
      </c>
      <c r="M257" t="s">
        <v>8</v>
      </c>
      <c r="N257" t="s">
        <v>8</v>
      </c>
      <c r="P257">
        <f t="shared" si="959"/>
        <v>0.35682254964766125</v>
      </c>
      <c r="Q257">
        <f t="shared" si="960"/>
        <v>50953370.602434263</v>
      </c>
      <c r="R257">
        <f t="shared" si="961"/>
        <v>-1625783390.3954558</v>
      </c>
      <c r="S257">
        <f t="shared" si="962"/>
        <v>-16257.833903954559</v>
      </c>
      <c r="T257">
        <f t="shared" si="963"/>
        <v>-16.257833903954559</v>
      </c>
    </row>
    <row r="258" spans="1:20" x14ac:dyDescent="0.25">
      <c r="A258" s="5">
        <v>44335</v>
      </c>
      <c r="B258">
        <v>7.3779999999999998E-2</v>
      </c>
      <c r="C258">
        <v>7.5130000000000002E-2</v>
      </c>
      <c r="D258">
        <v>3.5000000000000003E-2</v>
      </c>
      <c r="E258">
        <v>4.7140000000000001E-2</v>
      </c>
      <c r="F258">
        <v>124803311.2</v>
      </c>
      <c r="G258">
        <v>-36.11</v>
      </c>
      <c r="L258" t="s">
        <v>7</v>
      </c>
      <c r="M258" t="s">
        <v>7</v>
      </c>
      <c r="N258" t="s">
        <v>7</v>
      </c>
      <c r="P258">
        <f t="shared" si="959"/>
        <v>-0.3949663593321705</v>
      </c>
      <c r="Q258">
        <f t="shared" si="960"/>
        <v>-49293109.457263902</v>
      </c>
      <c r="R258">
        <f t="shared" si="961"/>
        <v>-1676736760.99789</v>
      </c>
      <c r="S258">
        <f t="shared" si="962"/>
        <v>-16767.367609978901</v>
      </c>
      <c r="T258">
        <f t="shared" si="963"/>
        <v>-16.767367609978901</v>
      </c>
    </row>
    <row r="259" spans="1:20" x14ac:dyDescent="0.25">
      <c r="A259" s="5">
        <v>44334</v>
      </c>
      <c r="B259">
        <v>7.145E-2</v>
      </c>
      <c r="C259">
        <v>7.7979999999999994E-2</v>
      </c>
      <c r="D259">
        <v>7.1040000000000006E-2</v>
      </c>
      <c r="E259">
        <v>7.374E-2</v>
      </c>
      <c r="F259">
        <v>42442693.799999997</v>
      </c>
      <c r="G259">
        <v>3.21</v>
      </c>
      <c r="L259" t="s">
        <v>8</v>
      </c>
      <c r="M259" t="s">
        <v>7</v>
      </c>
      <c r="N259" t="s">
        <v>7</v>
      </c>
      <c r="P259">
        <f t="shared" si="959"/>
        <v>-0.22190201729106662</v>
      </c>
      <c r="Q259">
        <f t="shared" si="960"/>
        <v>-9418119.373487046</v>
      </c>
      <c r="R259">
        <f t="shared" si="961"/>
        <v>-1627443651.540626</v>
      </c>
      <c r="S259">
        <f t="shared" si="962"/>
        <v>-16274.43651540626</v>
      </c>
      <c r="T259">
        <f t="shared" si="963"/>
        <v>-16.274436515406261</v>
      </c>
    </row>
    <row r="260" spans="1:20" x14ac:dyDescent="0.25">
      <c r="A260" s="5">
        <v>44333</v>
      </c>
      <c r="B260">
        <v>7.9479999999999995E-2</v>
      </c>
      <c r="C260">
        <v>7.9740000000000005E-2</v>
      </c>
      <c r="D260">
        <v>6.8659999999999999E-2</v>
      </c>
      <c r="E260">
        <v>7.152E-2</v>
      </c>
      <c r="F260">
        <v>57317042.899999999</v>
      </c>
      <c r="G260">
        <v>-10.02</v>
      </c>
      <c r="L260" t="s">
        <v>7</v>
      </c>
      <c r="M260" t="s">
        <v>7</v>
      </c>
      <c r="N260" t="s">
        <v>7</v>
      </c>
      <c r="P260">
        <f t="shared" si="959"/>
        <v>-0.48375451263537911</v>
      </c>
      <c r="Q260">
        <f t="shared" si="960"/>
        <v>-27727378.153790615</v>
      </c>
      <c r="R260">
        <f t="shared" si="961"/>
        <v>-1618025532.1671391</v>
      </c>
      <c r="S260">
        <f t="shared" si="962"/>
        <v>-16180.255321671391</v>
      </c>
      <c r="T260">
        <f t="shared" si="963"/>
        <v>-16.180255321671392</v>
      </c>
    </row>
    <row r="261" spans="1:20" x14ac:dyDescent="0.25">
      <c r="A261" s="5">
        <v>44332</v>
      </c>
      <c r="B261">
        <v>7.6280000000000001E-2</v>
      </c>
      <c r="C261">
        <v>8.7209999999999996E-2</v>
      </c>
      <c r="D261">
        <v>7.2819999999999996E-2</v>
      </c>
      <c r="E261">
        <v>7.9680000000000001E-2</v>
      </c>
      <c r="F261">
        <v>98635918.299999997</v>
      </c>
      <c r="G261">
        <v>4.46</v>
      </c>
      <c r="L261" t="s">
        <v>7</v>
      </c>
      <c r="M261" t="s">
        <v>7</v>
      </c>
      <c r="N261" t="s">
        <v>7</v>
      </c>
      <c r="P261">
        <f t="shared" si="959"/>
        <v>-4.6560111188324531E-2</v>
      </c>
      <c r="Q261">
        <f t="shared" si="960"/>
        <v>-4592499.3232104946</v>
      </c>
      <c r="R261">
        <f t="shared" si="961"/>
        <v>-1590298154.0133483</v>
      </c>
      <c r="S261">
        <f t="shared" si="962"/>
        <v>-15902.981540133484</v>
      </c>
      <c r="T261">
        <f t="shared" si="963"/>
        <v>-15.902981540133483</v>
      </c>
    </row>
    <row r="262" spans="1:20" x14ac:dyDescent="0.25">
      <c r="A262" s="5">
        <v>44331</v>
      </c>
      <c r="B262">
        <v>8.3099999999999993E-2</v>
      </c>
      <c r="C262">
        <v>8.4449999999999997E-2</v>
      </c>
      <c r="D262">
        <v>7.535E-2</v>
      </c>
      <c r="E262">
        <v>7.6109999999999997E-2</v>
      </c>
      <c r="F262">
        <v>75012944.900000006</v>
      </c>
      <c r="G262">
        <v>-8.41</v>
      </c>
      <c r="L262" t="s">
        <v>7</v>
      </c>
      <c r="M262" t="s">
        <v>8</v>
      </c>
      <c r="N262" t="s">
        <v>7</v>
      </c>
      <c r="P262">
        <f t="shared" ref="P262:P325" si="964">IF(C262=D262,0,((E262-D262)-(C262-E262))/(C262-D262))</f>
        <v>-0.83296703296703367</v>
      </c>
      <c r="Q262">
        <f t="shared" ref="Q262:Q325" si="965">F262*P262</f>
        <v>-62483310.147472583</v>
      </c>
      <c r="R262">
        <f t="shared" ref="R262:R325" si="966">R263+Q262</f>
        <v>-1585705654.6901379</v>
      </c>
      <c r="S262">
        <f t="shared" ref="S262:S325" si="967">R262/100000</f>
        <v>-15857.056546901378</v>
      </c>
      <c r="T262">
        <f t="shared" ref="T262:T325" si="968">S262/1000</f>
        <v>-15.857056546901378</v>
      </c>
    </row>
    <row r="263" spans="1:20" x14ac:dyDescent="0.25">
      <c r="A263" s="5">
        <v>44330</v>
      </c>
      <c r="B263">
        <v>8.0339999999999995E-2</v>
      </c>
      <c r="C263">
        <v>8.7230000000000002E-2</v>
      </c>
      <c r="D263">
        <v>7.9750000000000001E-2</v>
      </c>
      <c r="E263">
        <v>8.3110000000000003E-2</v>
      </c>
      <c r="F263">
        <v>46043063.5</v>
      </c>
      <c r="G263">
        <v>3.45</v>
      </c>
      <c r="L263" t="s">
        <v>8</v>
      </c>
      <c r="M263" t="s">
        <v>8</v>
      </c>
      <c r="N263" t="s">
        <v>7</v>
      </c>
      <c r="P263">
        <f t="shared" si="964"/>
        <v>-0.10160427807486587</v>
      </c>
      <c r="Q263">
        <f t="shared" si="965"/>
        <v>-4678172.227272707</v>
      </c>
      <c r="R263">
        <f t="shared" si="966"/>
        <v>-1523222344.5426652</v>
      </c>
      <c r="S263">
        <f t="shared" si="967"/>
        <v>-15232.223445426653</v>
      </c>
      <c r="T263">
        <f t="shared" si="968"/>
        <v>-15.232223445426653</v>
      </c>
    </row>
    <row r="264" spans="1:20" x14ac:dyDescent="0.25">
      <c r="A264" s="5">
        <v>44329</v>
      </c>
      <c r="B264">
        <v>8.0240000000000006E-2</v>
      </c>
      <c r="C264">
        <v>8.7819999999999995E-2</v>
      </c>
      <c r="D264">
        <v>7.46E-2</v>
      </c>
      <c r="E264">
        <v>8.0350000000000005E-2</v>
      </c>
      <c r="F264">
        <v>68937004</v>
      </c>
      <c r="G264">
        <v>0.14000000000000001</v>
      </c>
      <c r="L264" t="s">
        <v>7</v>
      </c>
      <c r="M264" t="s">
        <v>7</v>
      </c>
      <c r="N264" t="s">
        <v>7</v>
      </c>
      <c r="P264">
        <f t="shared" si="964"/>
        <v>-0.13010590015128487</v>
      </c>
      <c r="Q264">
        <f t="shared" si="965"/>
        <v>-8969110.9591527265</v>
      </c>
      <c r="R264">
        <f t="shared" si="966"/>
        <v>-1518544172.3153925</v>
      </c>
      <c r="S264">
        <f t="shared" si="967"/>
        <v>-15185.441723153925</v>
      </c>
      <c r="T264">
        <f t="shared" si="968"/>
        <v>-15.185441723153925</v>
      </c>
    </row>
    <row r="265" spans="1:20" x14ac:dyDescent="0.25">
      <c r="A265" s="5">
        <v>44328</v>
      </c>
      <c r="B265">
        <v>9.7170000000000006E-2</v>
      </c>
      <c r="C265">
        <v>0.10241</v>
      </c>
      <c r="D265">
        <v>7.9979999999999996E-2</v>
      </c>
      <c r="E265">
        <v>8.0810000000000007E-2</v>
      </c>
      <c r="F265">
        <v>87379258.400000006</v>
      </c>
      <c r="G265">
        <v>-16.84</v>
      </c>
      <c r="L265" t="s">
        <v>8</v>
      </c>
      <c r="M265" t="s">
        <v>7</v>
      </c>
      <c r="N265" t="s">
        <v>7</v>
      </c>
      <c r="P265">
        <f t="shared" si="964"/>
        <v>-0.92599197503343633</v>
      </c>
      <c r="Q265">
        <f t="shared" si="965"/>
        <v>-80912492.062772989</v>
      </c>
      <c r="R265">
        <f t="shared" si="966"/>
        <v>-1509575061.3562398</v>
      </c>
      <c r="S265">
        <f t="shared" si="967"/>
        <v>-15095.750613562397</v>
      </c>
      <c r="T265">
        <f t="shared" si="968"/>
        <v>-15.095750613562398</v>
      </c>
    </row>
    <row r="266" spans="1:20" x14ac:dyDescent="0.25">
      <c r="A266" s="5">
        <v>44327</v>
      </c>
      <c r="B266">
        <v>9.5409999999999995E-2</v>
      </c>
      <c r="C266">
        <v>9.8989999999999995E-2</v>
      </c>
      <c r="D266">
        <v>9.2549999999999993E-2</v>
      </c>
      <c r="E266">
        <v>9.733E-2</v>
      </c>
      <c r="F266">
        <v>59285377.700000003</v>
      </c>
      <c r="G266">
        <v>2.0099999999999998</v>
      </c>
      <c r="L266" t="s">
        <v>8</v>
      </c>
      <c r="M266" t="s">
        <v>7</v>
      </c>
      <c r="N266" t="s">
        <v>7</v>
      </c>
      <c r="P266">
        <f t="shared" si="964"/>
        <v>0.48447204968944269</v>
      </c>
      <c r="Q266">
        <f t="shared" si="965"/>
        <v>28722108.45093178</v>
      </c>
      <c r="R266">
        <f t="shared" si="966"/>
        <v>-1428662569.2934668</v>
      </c>
      <c r="S266">
        <f t="shared" si="967"/>
        <v>-14286.625692934667</v>
      </c>
      <c r="T266">
        <f t="shared" si="968"/>
        <v>-14.286625692934667</v>
      </c>
    </row>
    <row r="267" spans="1:20" x14ac:dyDescent="0.25">
      <c r="A267" s="5">
        <v>44326</v>
      </c>
      <c r="B267">
        <v>0.10604</v>
      </c>
      <c r="C267">
        <v>0.1095</v>
      </c>
      <c r="D267">
        <v>8.6199999999999999E-2</v>
      </c>
      <c r="E267">
        <v>9.5380000000000006E-2</v>
      </c>
      <c r="F267">
        <v>101625147.40000001</v>
      </c>
      <c r="G267">
        <v>-10.050000000000001</v>
      </c>
      <c r="L267" t="s">
        <v>7</v>
      </c>
      <c r="M267" t="s">
        <v>7</v>
      </c>
      <c r="N267" t="s">
        <v>7</v>
      </c>
      <c r="P267">
        <f t="shared" si="964"/>
        <v>-0.21201716738197363</v>
      </c>
      <c r="Q267">
        <f t="shared" si="965"/>
        <v>-21546275.886523545</v>
      </c>
      <c r="R267">
        <f t="shared" si="966"/>
        <v>-1457384677.7443986</v>
      </c>
      <c r="S267">
        <f t="shared" si="967"/>
        <v>-14573.846777443985</v>
      </c>
      <c r="T267">
        <f t="shared" si="968"/>
        <v>-14.573846777443984</v>
      </c>
    </row>
    <row r="268" spans="1:20" x14ac:dyDescent="0.25">
      <c r="A268" s="5">
        <v>44325</v>
      </c>
      <c r="B268">
        <v>0.1128</v>
      </c>
      <c r="C268">
        <v>0.1135</v>
      </c>
      <c r="D268">
        <v>0.10423</v>
      </c>
      <c r="E268">
        <v>0.10614999999999999</v>
      </c>
      <c r="F268">
        <v>60238354.299999997</v>
      </c>
      <c r="G268">
        <v>-5.9</v>
      </c>
      <c r="L268" t="s">
        <v>7</v>
      </c>
      <c r="M268" t="s">
        <v>8</v>
      </c>
      <c r="N268" t="s">
        <v>8</v>
      </c>
      <c r="P268">
        <f t="shared" si="964"/>
        <v>-0.58576051779935467</v>
      </c>
      <c r="Q268">
        <f t="shared" si="965"/>
        <v>-35285249.606148981</v>
      </c>
      <c r="R268">
        <f t="shared" si="966"/>
        <v>-1435838401.8578751</v>
      </c>
      <c r="S268">
        <f t="shared" si="967"/>
        <v>-14358.38401857875</v>
      </c>
      <c r="T268">
        <f t="shared" si="968"/>
        <v>-14.35838401857875</v>
      </c>
    </row>
    <row r="269" spans="1:20" x14ac:dyDescent="0.25">
      <c r="A269" s="5">
        <v>44324</v>
      </c>
      <c r="B269">
        <v>0.10768999999999999</v>
      </c>
      <c r="C269">
        <v>0.1143</v>
      </c>
      <c r="D269">
        <v>0.10589</v>
      </c>
      <c r="E269">
        <v>0.11264</v>
      </c>
      <c r="F269">
        <v>69201265.299999997</v>
      </c>
      <c r="G269">
        <v>4.5999999999999996</v>
      </c>
      <c r="L269" t="s">
        <v>8</v>
      </c>
      <c r="M269" t="s">
        <v>8</v>
      </c>
      <c r="N269" t="s">
        <v>8</v>
      </c>
      <c r="P269">
        <f t="shared" si="964"/>
        <v>0.60523186682520935</v>
      </c>
      <c r="Q269">
        <f t="shared" si="965"/>
        <v>41882810.984185576</v>
      </c>
      <c r="R269">
        <f t="shared" si="966"/>
        <v>-1400553152.2517262</v>
      </c>
      <c r="S269">
        <f t="shared" si="967"/>
        <v>-14005.531522517262</v>
      </c>
      <c r="T269">
        <f t="shared" si="968"/>
        <v>-14.005531522517261</v>
      </c>
    </row>
    <row r="270" spans="1:20" x14ac:dyDescent="0.25">
      <c r="A270" s="5">
        <v>44323</v>
      </c>
      <c r="B270">
        <v>0.11144</v>
      </c>
      <c r="C270">
        <v>0.113</v>
      </c>
      <c r="D270">
        <v>0.10417</v>
      </c>
      <c r="E270">
        <v>0.10771</v>
      </c>
      <c r="F270">
        <v>79187482.400000006</v>
      </c>
      <c r="G270">
        <v>-3.35</v>
      </c>
      <c r="L270" t="s">
        <v>7</v>
      </c>
      <c r="M270" t="s">
        <v>8</v>
      </c>
      <c r="N270" t="s">
        <v>8</v>
      </c>
      <c r="P270">
        <f t="shared" si="964"/>
        <v>-0.19818799546998875</v>
      </c>
      <c r="Q270">
        <f t="shared" si="965"/>
        <v>-15694008.403171014</v>
      </c>
      <c r="R270">
        <f t="shared" si="966"/>
        <v>-1442435963.2359116</v>
      </c>
      <c r="S270">
        <f t="shared" si="967"/>
        <v>-14424.359632359115</v>
      </c>
      <c r="T270">
        <f t="shared" si="968"/>
        <v>-14.424359632359115</v>
      </c>
    </row>
    <row r="271" spans="1:20" x14ac:dyDescent="0.25">
      <c r="A271" s="5">
        <v>44322</v>
      </c>
      <c r="B271">
        <v>0.10496</v>
      </c>
      <c r="C271">
        <v>0.12</v>
      </c>
      <c r="D271">
        <v>0.10304000000000001</v>
      </c>
      <c r="E271">
        <v>0.11143</v>
      </c>
      <c r="F271">
        <v>176140810.40000001</v>
      </c>
      <c r="G271">
        <v>6.16</v>
      </c>
      <c r="L271" t="s">
        <v>8</v>
      </c>
      <c r="M271" t="s">
        <v>8</v>
      </c>
      <c r="N271" t="s">
        <v>8</v>
      </c>
      <c r="P271">
        <f t="shared" si="964"/>
        <v>-1.0613207547169795E-2</v>
      </c>
      <c r="Q271">
        <f t="shared" si="965"/>
        <v>-1869418.9783018839</v>
      </c>
      <c r="R271">
        <f t="shared" si="966"/>
        <v>-1426741954.8327405</v>
      </c>
      <c r="S271">
        <f t="shared" si="967"/>
        <v>-14267.419548327405</v>
      </c>
      <c r="T271">
        <f t="shared" si="968"/>
        <v>-14.267419548327405</v>
      </c>
    </row>
    <row r="272" spans="1:20" x14ac:dyDescent="0.25">
      <c r="A272" s="5">
        <v>44321</v>
      </c>
      <c r="B272">
        <v>9.9750000000000005E-2</v>
      </c>
      <c r="C272">
        <v>0.11</v>
      </c>
      <c r="D272">
        <v>9.8760000000000001E-2</v>
      </c>
      <c r="E272">
        <v>0.10487</v>
      </c>
      <c r="F272">
        <v>85663828</v>
      </c>
      <c r="G272">
        <v>5.13</v>
      </c>
      <c r="L272" t="s">
        <v>8</v>
      </c>
      <c r="M272" t="s">
        <v>7</v>
      </c>
      <c r="N272" t="s">
        <v>8</v>
      </c>
      <c r="P272">
        <f t="shared" si="964"/>
        <v>8.7188612099644902E-2</v>
      </c>
      <c r="Q272">
        <f t="shared" si="965"/>
        <v>7468910.2704627002</v>
      </c>
      <c r="R272">
        <f t="shared" si="966"/>
        <v>-1424872535.8544385</v>
      </c>
      <c r="S272">
        <f t="shared" si="967"/>
        <v>-14248.725358544385</v>
      </c>
      <c r="T272">
        <f t="shared" si="968"/>
        <v>-14.248725358544386</v>
      </c>
    </row>
    <row r="273" spans="1:20" x14ac:dyDescent="0.25">
      <c r="A273" s="5">
        <v>44320</v>
      </c>
      <c r="B273">
        <v>0.11779000000000001</v>
      </c>
      <c r="C273">
        <v>0.11802</v>
      </c>
      <c r="D273">
        <v>9.9519999999999997E-2</v>
      </c>
      <c r="E273">
        <v>9.9570000000000006E-2</v>
      </c>
      <c r="F273">
        <v>126101876.8</v>
      </c>
      <c r="G273">
        <v>-15.47</v>
      </c>
      <c r="L273" t="s">
        <v>7</v>
      </c>
      <c r="M273" t="s">
        <v>7</v>
      </c>
      <c r="N273" t="s">
        <v>8</v>
      </c>
      <c r="P273">
        <f t="shared" si="964"/>
        <v>-0.99459459459459365</v>
      </c>
      <c r="Q273">
        <f t="shared" si="965"/>
        <v>-125420245.0335134</v>
      </c>
      <c r="R273">
        <f t="shared" si="966"/>
        <v>-1432341446.1249013</v>
      </c>
      <c r="S273">
        <f t="shared" si="967"/>
        <v>-14323.414461249013</v>
      </c>
      <c r="T273">
        <f t="shared" si="968"/>
        <v>-14.323414461249012</v>
      </c>
    </row>
    <row r="274" spans="1:20" x14ac:dyDescent="0.25">
      <c r="A274" s="5">
        <v>44319</v>
      </c>
      <c r="B274">
        <v>0.10979999999999999</v>
      </c>
      <c r="C274">
        <v>0.12867000000000001</v>
      </c>
      <c r="D274">
        <v>0.10913</v>
      </c>
      <c r="E274">
        <v>0.11777</v>
      </c>
      <c r="F274">
        <v>187836121.80000001</v>
      </c>
      <c r="G274">
        <v>7.26</v>
      </c>
      <c r="L274" t="s">
        <v>8</v>
      </c>
      <c r="M274" t="s">
        <v>8</v>
      </c>
      <c r="N274" t="s">
        <v>8</v>
      </c>
      <c r="P274">
        <f t="shared" si="964"/>
        <v>-0.11566018423746222</v>
      </c>
      <c r="Q274">
        <f t="shared" si="965"/>
        <v>-21725160.453838393</v>
      </c>
      <c r="R274">
        <f t="shared" si="966"/>
        <v>-1306921201.091388</v>
      </c>
      <c r="S274">
        <f t="shared" si="967"/>
        <v>-13069.21201091388</v>
      </c>
      <c r="T274">
        <f t="shared" si="968"/>
        <v>-13.06921201091388</v>
      </c>
    </row>
    <row r="275" spans="1:20" x14ac:dyDescent="0.25">
      <c r="A275" s="5">
        <v>44318</v>
      </c>
      <c r="B275">
        <v>0.109</v>
      </c>
      <c r="C275">
        <v>0.11366999999999999</v>
      </c>
      <c r="D275">
        <v>0.10203</v>
      </c>
      <c r="E275">
        <v>0.10979</v>
      </c>
      <c r="F275">
        <v>108091794.90000001</v>
      </c>
      <c r="G275">
        <v>0.72</v>
      </c>
      <c r="L275" t="s">
        <v>7</v>
      </c>
      <c r="M275" t="s">
        <v>8</v>
      </c>
      <c r="N275" t="s">
        <v>8</v>
      </c>
      <c r="P275">
        <f t="shared" si="964"/>
        <v>0.33333333333333415</v>
      </c>
      <c r="Q275">
        <f t="shared" si="965"/>
        <v>36030598.300000086</v>
      </c>
      <c r="R275">
        <f t="shared" si="966"/>
        <v>-1285196040.6375496</v>
      </c>
      <c r="S275">
        <f t="shared" si="967"/>
        <v>-12851.960406375496</v>
      </c>
      <c r="T275">
        <f t="shared" si="968"/>
        <v>-12.851960406375495</v>
      </c>
    </row>
    <row r="276" spans="1:20" x14ac:dyDescent="0.25">
      <c r="A276" s="5">
        <v>44317</v>
      </c>
      <c r="B276">
        <v>0.11792</v>
      </c>
      <c r="C276">
        <v>0.11799</v>
      </c>
      <c r="D276">
        <v>0.106</v>
      </c>
      <c r="E276">
        <v>0.10899</v>
      </c>
      <c r="F276">
        <v>139354552.40000001</v>
      </c>
      <c r="G276">
        <v>-7.57</v>
      </c>
      <c r="L276" t="s">
        <v>7</v>
      </c>
      <c r="M276" t="s">
        <v>8</v>
      </c>
      <c r="N276" t="s">
        <v>8</v>
      </c>
      <c r="P276">
        <f t="shared" si="964"/>
        <v>-0.50125104253544517</v>
      </c>
      <c r="Q276">
        <f t="shared" si="965"/>
        <v>-69851614.672560319</v>
      </c>
      <c r="R276">
        <f t="shared" si="966"/>
        <v>-1321226638.9375498</v>
      </c>
      <c r="S276">
        <f t="shared" si="967"/>
        <v>-13212.266389375498</v>
      </c>
      <c r="T276">
        <f t="shared" si="968"/>
        <v>-13.212266389375499</v>
      </c>
    </row>
    <row r="277" spans="1:20" x14ac:dyDescent="0.25">
      <c r="A277" s="5">
        <v>44316</v>
      </c>
      <c r="B277">
        <v>9.2359999999999998E-2</v>
      </c>
      <c r="C277">
        <v>0.12259</v>
      </c>
      <c r="D277">
        <v>9.0230000000000005E-2</v>
      </c>
      <c r="E277">
        <v>0.11792</v>
      </c>
      <c r="F277">
        <v>394284525.10000002</v>
      </c>
      <c r="G277">
        <v>27.67</v>
      </c>
      <c r="L277" t="s">
        <v>8</v>
      </c>
      <c r="M277" t="s">
        <v>8</v>
      </c>
      <c r="N277" t="s">
        <v>8</v>
      </c>
      <c r="P277">
        <f t="shared" si="964"/>
        <v>0.7113720642768846</v>
      </c>
      <c r="Q277">
        <f t="shared" si="965"/>
        <v>280482996.53281814</v>
      </c>
      <c r="R277">
        <f t="shared" si="966"/>
        <v>-1251375024.2649896</v>
      </c>
      <c r="S277">
        <f t="shared" si="967"/>
        <v>-12513.750242649896</v>
      </c>
      <c r="T277">
        <f t="shared" si="968"/>
        <v>-12.513750242649897</v>
      </c>
    </row>
    <row r="278" spans="1:20" x14ac:dyDescent="0.25">
      <c r="A278" s="5">
        <v>44315</v>
      </c>
      <c r="B278">
        <v>9.3710000000000002E-2</v>
      </c>
      <c r="C278">
        <v>9.8019999999999996E-2</v>
      </c>
      <c r="D278">
        <v>8.7999999999999995E-2</v>
      </c>
      <c r="E278">
        <v>9.2460000000000001E-2</v>
      </c>
      <c r="F278">
        <v>89595376.900000006</v>
      </c>
      <c r="G278">
        <v>-1.33</v>
      </c>
      <c r="L278" t="s">
        <v>8</v>
      </c>
      <c r="M278" t="s">
        <v>8</v>
      </c>
      <c r="N278" t="s">
        <v>8</v>
      </c>
      <c r="P278">
        <f t="shared" si="964"/>
        <v>-0.10978043912175546</v>
      </c>
      <c r="Q278">
        <f t="shared" si="965"/>
        <v>-9835819.8193611857</v>
      </c>
      <c r="R278">
        <f t="shared" si="966"/>
        <v>-1531858020.7978077</v>
      </c>
      <c r="S278">
        <f t="shared" si="967"/>
        <v>-15318.580207978077</v>
      </c>
      <c r="T278">
        <f t="shared" si="968"/>
        <v>-15.318580207978076</v>
      </c>
    </row>
    <row r="279" spans="1:20" x14ac:dyDescent="0.25">
      <c r="A279" s="5">
        <v>44314</v>
      </c>
      <c r="B279">
        <v>9.4839999999999994E-2</v>
      </c>
      <c r="C279">
        <v>9.6799999999999997E-2</v>
      </c>
      <c r="D279">
        <v>8.6260000000000003E-2</v>
      </c>
      <c r="E279">
        <v>9.3710000000000002E-2</v>
      </c>
      <c r="F279">
        <v>72109108.5</v>
      </c>
      <c r="G279">
        <v>-1.19</v>
      </c>
      <c r="L279" t="s">
        <v>7</v>
      </c>
      <c r="M279" t="s">
        <v>8</v>
      </c>
      <c r="N279" t="s">
        <v>8</v>
      </c>
      <c r="P279">
        <f t="shared" si="964"/>
        <v>0.41366223908918459</v>
      </c>
      <c r="Q279">
        <f t="shared" si="965"/>
        <v>29828815.280834954</v>
      </c>
      <c r="R279">
        <f t="shared" si="966"/>
        <v>-1522022200.9784465</v>
      </c>
      <c r="S279">
        <f t="shared" si="967"/>
        <v>-15220.222009784466</v>
      </c>
      <c r="T279">
        <f t="shared" si="968"/>
        <v>-15.220222009784466</v>
      </c>
    </row>
    <row r="280" spans="1:20" x14ac:dyDescent="0.25">
      <c r="A280" s="5">
        <v>44313</v>
      </c>
      <c r="B280">
        <v>8.9520000000000002E-2</v>
      </c>
      <c r="C280">
        <v>9.7000000000000003E-2</v>
      </c>
      <c r="D280">
        <v>8.8319999999999996E-2</v>
      </c>
      <c r="E280">
        <v>9.4750000000000001E-2</v>
      </c>
      <c r="F280">
        <v>87710028.799999997</v>
      </c>
      <c r="G280">
        <v>5.84</v>
      </c>
      <c r="L280" t="s">
        <v>7</v>
      </c>
      <c r="M280" t="s">
        <v>8</v>
      </c>
      <c r="N280" t="s">
        <v>8</v>
      </c>
      <c r="P280">
        <f t="shared" si="964"/>
        <v>0.48156682027649766</v>
      </c>
      <c r="Q280">
        <f t="shared" si="965"/>
        <v>42238239.675576031</v>
      </c>
      <c r="R280">
        <f t="shared" si="966"/>
        <v>-1551851016.2592814</v>
      </c>
      <c r="S280">
        <f t="shared" si="967"/>
        <v>-15518.510162592815</v>
      </c>
      <c r="T280">
        <f t="shared" si="968"/>
        <v>-15.518510162592815</v>
      </c>
    </row>
    <row r="281" spans="1:20" x14ac:dyDescent="0.25">
      <c r="A281" s="5">
        <v>44312</v>
      </c>
      <c r="B281">
        <v>7.4990000000000001E-2</v>
      </c>
      <c r="C281">
        <v>9.8890000000000006E-2</v>
      </c>
      <c r="D281">
        <v>7.4899999999999994E-2</v>
      </c>
      <c r="E281">
        <v>8.9499999999999996E-2</v>
      </c>
      <c r="F281">
        <v>127143196.59999999</v>
      </c>
      <c r="G281">
        <v>19.350000000000001</v>
      </c>
      <c r="L281" t="s">
        <v>8</v>
      </c>
      <c r="M281" t="s">
        <v>8</v>
      </c>
      <c r="N281" t="s">
        <v>8</v>
      </c>
      <c r="P281">
        <f t="shared" si="964"/>
        <v>0.21717382242601041</v>
      </c>
      <c r="Q281">
        <f t="shared" si="965"/>
        <v>27612174.001083728</v>
      </c>
      <c r="R281">
        <f t="shared" si="966"/>
        <v>-1594089255.9348574</v>
      </c>
      <c r="S281">
        <f t="shared" si="967"/>
        <v>-15940.892559348573</v>
      </c>
      <c r="T281">
        <f t="shared" si="968"/>
        <v>-15.940892559348573</v>
      </c>
    </row>
    <row r="282" spans="1:20" x14ac:dyDescent="0.25">
      <c r="A282" s="5">
        <v>44311</v>
      </c>
      <c r="B282">
        <v>7.6289999999999997E-2</v>
      </c>
      <c r="C282">
        <v>8.3690000000000001E-2</v>
      </c>
      <c r="D282">
        <v>6.9220000000000004E-2</v>
      </c>
      <c r="E282">
        <v>7.4999999999999997E-2</v>
      </c>
      <c r="F282">
        <v>68975987.900000006</v>
      </c>
      <c r="G282">
        <v>-1.69</v>
      </c>
      <c r="L282" t="s">
        <v>7</v>
      </c>
      <c r="M282" t="s">
        <v>7</v>
      </c>
      <c r="N282" t="s">
        <v>7</v>
      </c>
      <c r="P282">
        <f t="shared" si="964"/>
        <v>-0.20110573600552939</v>
      </c>
      <c r="Q282">
        <f t="shared" si="965"/>
        <v>-13871466.813337991</v>
      </c>
      <c r="R282">
        <f t="shared" si="966"/>
        <v>-1621701429.935941</v>
      </c>
      <c r="S282">
        <f t="shared" si="967"/>
        <v>-16217.014299359409</v>
      </c>
      <c r="T282">
        <f t="shared" si="968"/>
        <v>-16.217014299359409</v>
      </c>
    </row>
    <row r="283" spans="1:20" x14ac:dyDescent="0.25">
      <c r="A283" s="5">
        <v>44310</v>
      </c>
      <c r="B283">
        <v>8.2229999999999998E-2</v>
      </c>
      <c r="C283">
        <v>8.4000000000000005E-2</v>
      </c>
      <c r="D283">
        <v>7.2819999999999996E-2</v>
      </c>
      <c r="E283">
        <v>7.6280000000000001E-2</v>
      </c>
      <c r="F283">
        <v>87391803.200000003</v>
      </c>
      <c r="G283">
        <v>-7.24</v>
      </c>
      <c r="L283" t="s">
        <v>8</v>
      </c>
      <c r="M283" t="s">
        <v>8</v>
      </c>
      <c r="N283" t="s">
        <v>7</v>
      </c>
      <c r="P283">
        <f t="shared" si="964"/>
        <v>-0.38103756708407838</v>
      </c>
      <c r="Q283">
        <f t="shared" si="965"/>
        <v>-33299560.074418578</v>
      </c>
      <c r="R283">
        <f t="shared" si="966"/>
        <v>-1607829963.1226029</v>
      </c>
      <c r="S283">
        <f t="shared" si="967"/>
        <v>-16078.299631226029</v>
      </c>
      <c r="T283">
        <f t="shared" si="968"/>
        <v>-16.078299631226031</v>
      </c>
    </row>
    <row r="284" spans="1:20" x14ac:dyDescent="0.25">
      <c r="A284" s="5">
        <v>44309</v>
      </c>
      <c r="B284">
        <v>8.6279999999999996E-2</v>
      </c>
      <c r="C284">
        <v>8.8179999999999994E-2</v>
      </c>
      <c r="D284">
        <v>6.9470000000000004E-2</v>
      </c>
      <c r="E284">
        <v>8.2339999999999997E-2</v>
      </c>
      <c r="F284">
        <v>105571583.3</v>
      </c>
      <c r="G284">
        <v>-4.57</v>
      </c>
      <c r="L284" t="s">
        <v>7</v>
      </c>
      <c r="M284" t="s">
        <v>7</v>
      </c>
      <c r="N284" t="s">
        <v>7</v>
      </c>
      <c r="P284">
        <f t="shared" si="964"/>
        <v>0.37573490112239433</v>
      </c>
      <c r="Q284">
        <f t="shared" si="965"/>
        <v>39666928.412560113</v>
      </c>
      <c r="R284">
        <f t="shared" si="966"/>
        <v>-1574530403.0481844</v>
      </c>
      <c r="S284">
        <f t="shared" si="967"/>
        <v>-15745.304030481844</v>
      </c>
      <c r="T284">
        <f t="shared" si="968"/>
        <v>-15.745304030481844</v>
      </c>
    </row>
    <row r="285" spans="1:20" x14ac:dyDescent="0.25">
      <c r="A285" s="5">
        <v>44308</v>
      </c>
      <c r="B285">
        <v>9.7309999999999994E-2</v>
      </c>
      <c r="C285">
        <v>0.10198</v>
      </c>
      <c r="D285">
        <v>8.2790000000000002E-2</v>
      </c>
      <c r="E285">
        <v>8.6220000000000005E-2</v>
      </c>
      <c r="F285">
        <v>100378501.5</v>
      </c>
      <c r="G285">
        <v>-11.4</v>
      </c>
      <c r="L285" t="s">
        <v>7</v>
      </c>
      <c r="M285" t="s">
        <v>7</v>
      </c>
      <c r="N285" t="s">
        <v>7</v>
      </c>
      <c r="P285">
        <f t="shared" si="964"/>
        <v>-0.64252214695153698</v>
      </c>
      <c r="Q285">
        <f t="shared" si="965"/>
        <v>-64495410.291558072</v>
      </c>
      <c r="R285">
        <f t="shared" si="966"/>
        <v>-1614197331.4607446</v>
      </c>
      <c r="S285">
        <f t="shared" si="967"/>
        <v>-16141.973314607447</v>
      </c>
      <c r="T285">
        <f t="shared" si="968"/>
        <v>-16.141973314607448</v>
      </c>
    </row>
    <row r="286" spans="1:20" x14ac:dyDescent="0.25">
      <c r="A286" s="5">
        <v>44307</v>
      </c>
      <c r="B286">
        <v>0.10390000000000001</v>
      </c>
      <c r="C286">
        <v>0.10713</v>
      </c>
      <c r="D286">
        <v>9.6909999999999996E-2</v>
      </c>
      <c r="E286">
        <v>9.7309999999999994E-2</v>
      </c>
      <c r="F286">
        <v>92416150.700000003</v>
      </c>
      <c r="G286">
        <v>-6.34</v>
      </c>
      <c r="L286" t="s">
        <v>7</v>
      </c>
      <c r="M286" t="s">
        <v>7</v>
      </c>
      <c r="N286" t="s">
        <v>7</v>
      </c>
      <c r="P286">
        <f t="shared" si="964"/>
        <v>-0.92172211350293598</v>
      </c>
      <c r="Q286">
        <f t="shared" si="965"/>
        <v>-85182009.74500984</v>
      </c>
      <c r="R286">
        <f t="shared" si="966"/>
        <v>-1549701921.1691866</v>
      </c>
      <c r="S286">
        <f t="shared" si="967"/>
        <v>-15497.019211691866</v>
      </c>
      <c r="T286">
        <f t="shared" si="968"/>
        <v>-15.497019211691866</v>
      </c>
    </row>
    <row r="287" spans="1:20" x14ac:dyDescent="0.25">
      <c r="A287" s="5">
        <v>44306</v>
      </c>
      <c r="B287">
        <v>0.10444000000000001</v>
      </c>
      <c r="C287">
        <v>0.12299</v>
      </c>
      <c r="D287">
        <v>9.0340000000000004E-2</v>
      </c>
      <c r="E287">
        <v>0.10388</v>
      </c>
      <c r="F287">
        <v>195956216.19999999</v>
      </c>
      <c r="G287">
        <v>-0.54</v>
      </c>
      <c r="L287" t="s">
        <v>8</v>
      </c>
      <c r="M287" t="s">
        <v>8</v>
      </c>
      <c r="N287" t="s">
        <v>7</v>
      </c>
      <c r="P287">
        <f t="shared" si="964"/>
        <v>-0.17059724349157751</v>
      </c>
      <c r="Q287">
        <f t="shared" si="965"/>
        <v>-33429590.328759603</v>
      </c>
      <c r="R287">
        <f t="shared" si="966"/>
        <v>-1464519911.4241767</v>
      </c>
      <c r="S287">
        <f t="shared" si="967"/>
        <v>-14645.199114241766</v>
      </c>
      <c r="T287">
        <f t="shared" si="968"/>
        <v>-14.645199114241766</v>
      </c>
    </row>
    <row r="288" spans="1:20" x14ac:dyDescent="0.25">
      <c r="A288" s="5">
        <v>44305</v>
      </c>
      <c r="B288">
        <v>0.1028</v>
      </c>
      <c r="C288">
        <v>0.11421000000000001</v>
      </c>
      <c r="D288">
        <v>9.7000000000000003E-2</v>
      </c>
      <c r="E288">
        <v>0.10425</v>
      </c>
      <c r="F288">
        <v>115079865.09999999</v>
      </c>
      <c r="G288">
        <v>1.41</v>
      </c>
      <c r="L288" t="s">
        <v>8</v>
      </c>
      <c r="M288" t="s">
        <v>8</v>
      </c>
      <c r="N288" t="s">
        <v>7</v>
      </c>
      <c r="P288">
        <f t="shared" si="964"/>
        <v>-0.15746658919233106</v>
      </c>
      <c r="Q288">
        <f t="shared" si="965"/>
        <v>-18121233.842010576</v>
      </c>
      <c r="R288">
        <f t="shared" si="966"/>
        <v>-1431090321.095417</v>
      </c>
      <c r="S288">
        <f t="shared" si="967"/>
        <v>-14310.903210954169</v>
      </c>
      <c r="T288">
        <f t="shared" si="968"/>
        <v>-14.310903210954169</v>
      </c>
    </row>
    <row r="289" spans="1:20" x14ac:dyDescent="0.25">
      <c r="A289" s="5">
        <v>44304</v>
      </c>
      <c r="B289">
        <v>0.11602</v>
      </c>
      <c r="C289">
        <v>0.11636000000000001</v>
      </c>
      <c r="D289">
        <v>9.4E-2</v>
      </c>
      <c r="E289">
        <v>0.10274999999999999</v>
      </c>
      <c r="F289">
        <v>133640963.90000001</v>
      </c>
      <c r="G289">
        <v>-11.44</v>
      </c>
      <c r="L289" t="s">
        <v>7</v>
      </c>
      <c r="M289" t="s">
        <v>7</v>
      </c>
      <c r="N289" t="s">
        <v>7</v>
      </c>
      <c r="P289">
        <f t="shared" si="964"/>
        <v>-0.21735241502683436</v>
      </c>
      <c r="Q289">
        <f t="shared" si="965"/>
        <v>-29047186.250178989</v>
      </c>
      <c r="R289">
        <f t="shared" si="966"/>
        <v>-1412969087.2534065</v>
      </c>
      <c r="S289">
        <f t="shared" si="967"/>
        <v>-14129.690872534065</v>
      </c>
      <c r="T289">
        <f t="shared" si="968"/>
        <v>-14.129690872534065</v>
      </c>
    </row>
    <row r="290" spans="1:20" x14ac:dyDescent="0.25">
      <c r="A290" s="5">
        <v>44303</v>
      </c>
      <c r="B290">
        <v>0.11283</v>
      </c>
      <c r="C290">
        <v>0.13494999999999999</v>
      </c>
      <c r="D290">
        <v>0.111</v>
      </c>
      <c r="E290">
        <v>0.11602999999999999</v>
      </c>
      <c r="F290">
        <v>207905354.09999999</v>
      </c>
      <c r="G290">
        <v>2.84</v>
      </c>
      <c r="L290" t="s">
        <v>8</v>
      </c>
      <c r="M290" t="s">
        <v>8</v>
      </c>
      <c r="N290" t="s">
        <v>8</v>
      </c>
      <c r="P290">
        <f t="shared" si="964"/>
        <v>-0.57995824634655568</v>
      </c>
      <c r="Q290">
        <f t="shared" si="965"/>
        <v>-120576424.56989568</v>
      </c>
      <c r="R290">
        <f t="shared" si="966"/>
        <v>-1383921901.0032275</v>
      </c>
      <c r="S290">
        <f t="shared" si="967"/>
        <v>-13839.219010032275</v>
      </c>
      <c r="T290">
        <f t="shared" si="968"/>
        <v>-13.839219010032275</v>
      </c>
    </row>
    <row r="291" spans="1:20" x14ac:dyDescent="0.25">
      <c r="A291" s="5">
        <v>44302</v>
      </c>
      <c r="B291">
        <v>0.12173</v>
      </c>
      <c r="C291">
        <v>0.1225</v>
      </c>
      <c r="D291">
        <v>0.10685</v>
      </c>
      <c r="E291">
        <v>0.11285000000000001</v>
      </c>
      <c r="F291">
        <v>88156593.299999997</v>
      </c>
      <c r="G291">
        <v>-7.29</v>
      </c>
      <c r="L291" t="s">
        <v>7</v>
      </c>
      <c r="M291" t="s">
        <v>8</v>
      </c>
      <c r="N291" t="s">
        <v>8</v>
      </c>
      <c r="P291">
        <f t="shared" si="964"/>
        <v>-0.23322683706070205</v>
      </c>
      <c r="Q291">
        <f t="shared" si="965"/>
        <v>-20560483.421405677</v>
      </c>
      <c r="R291">
        <f t="shared" si="966"/>
        <v>-1263345476.4333317</v>
      </c>
      <c r="S291">
        <f t="shared" si="967"/>
        <v>-12633.454764333317</v>
      </c>
      <c r="T291">
        <f t="shared" si="968"/>
        <v>-12.633454764333317</v>
      </c>
    </row>
    <row r="292" spans="1:20" x14ac:dyDescent="0.25">
      <c r="A292" s="5">
        <v>44301</v>
      </c>
      <c r="B292">
        <v>0.11298999999999999</v>
      </c>
      <c r="C292">
        <v>0.1255</v>
      </c>
      <c r="D292">
        <v>0.10975</v>
      </c>
      <c r="E292">
        <v>0.12161</v>
      </c>
      <c r="F292">
        <v>141869880.59999999</v>
      </c>
      <c r="G292">
        <v>7.63</v>
      </c>
      <c r="L292" t="s">
        <v>8</v>
      </c>
      <c r="M292" t="s">
        <v>8</v>
      </c>
      <c r="N292" t="s">
        <v>8</v>
      </c>
      <c r="P292">
        <f t="shared" si="964"/>
        <v>0.5060317460317455</v>
      </c>
      <c r="Q292">
        <f t="shared" si="965"/>
        <v>71790663.389333248</v>
      </c>
      <c r="R292">
        <f t="shared" si="966"/>
        <v>-1242784993.0119259</v>
      </c>
      <c r="S292">
        <f t="shared" si="967"/>
        <v>-12427.849930119259</v>
      </c>
      <c r="T292">
        <f t="shared" si="968"/>
        <v>-12.427849930119258</v>
      </c>
    </row>
    <row r="293" spans="1:20" x14ac:dyDescent="0.25">
      <c r="A293" s="5">
        <v>44300</v>
      </c>
      <c r="B293">
        <v>0.10939</v>
      </c>
      <c r="C293">
        <v>0.11378000000000001</v>
      </c>
      <c r="D293">
        <v>0.10476000000000001</v>
      </c>
      <c r="E293">
        <v>0.11296</v>
      </c>
      <c r="F293">
        <v>134037059.09999999</v>
      </c>
      <c r="G293">
        <v>3.26</v>
      </c>
      <c r="L293" t="s">
        <v>8</v>
      </c>
      <c r="M293" t="s">
        <v>7</v>
      </c>
      <c r="N293" t="s">
        <v>8</v>
      </c>
      <c r="P293">
        <f t="shared" si="964"/>
        <v>0.8181818181818179</v>
      </c>
      <c r="Q293">
        <f t="shared" si="965"/>
        <v>109666684.71818177</v>
      </c>
      <c r="R293">
        <f t="shared" si="966"/>
        <v>-1314575656.4012592</v>
      </c>
      <c r="S293">
        <f t="shared" si="967"/>
        <v>-13145.756564012592</v>
      </c>
      <c r="T293">
        <f t="shared" si="968"/>
        <v>-13.145756564012592</v>
      </c>
    </row>
    <row r="294" spans="1:20" x14ac:dyDescent="0.25">
      <c r="A294" s="5">
        <v>44299</v>
      </c>
      <c r="B294">
        <v>0.11853</v>
      </c>
      <c r="C294">
        <v>0.12064</v>
      </c>
      <c r="D294">
        <v>0.10607</v>
      </c>
      <c r="E294">
        <v>0.10935</v>
      </c>
      <c r="F294">
        <v>131302069.2</v>
      </c>
      <c r="G294">
        <v>-7.74</v>
      </c>
      <c r="L294" t="s">
        <v>7</v>
      </c>
      <c r="M294" t="s">
        <v>7</v>
      </c>
      <c r="N294" t="s">
        <v>8</v>
      </c>
      <c r="P294">
        <f t="shared" si="964"/>
        <v>-0.5497597803706239</v>
      </c>
      <c r="Q294">
        <f t="shared" si="965"/>
        <v>-72184596.725600466</v>
      </c>
      <c r="R294">
        <f t="shared" si="966"/>
        <v>-1424242341.119441</v>
      </c>
      <c r="S294">
        <f t="shared" si="967"/>
        <v>-14242.42341119441</v>
      </c>
      <c r="T294">
        <f t="shared" si="968"/>
        <v>-14.242423411194411</v>
      </c>
    </row>
    <row r="295" spans="1:20" x14ac:dyDescent="0.25">
      <c r="A295" s="5">
        <v>44298</v>
      </c>
      <c r="B295">
        <v>0.12514</v>
      </c>
      <c r="C295">
        <v>0.13156999999999999</v>
      </c>
      <c r="D295">
        <v>0.11534</v>
      </c>
      <c r="E295">
        <v>0.11864</v>
      </c>
      <c r="F295">
        <v>106292867.90000001</v>
      </c>
      <c r="G295">
        <v>-5.19</v>
      </c>
      <c r="L295" t="s">
        <v>7</v>
      </c>
      <c r="M295" t="s">
        <v>7</v>
      </c>
      <c r="N295" t="s">
        <v>8</v>
      </c>
      <c r="P295">
        <f t="shared" si="964"/>
        <v>-0.59334565619223678</v>
      </c>
      <c r="Q295">
        <f t="shared" si="965"/>
        <v>-63068411.452680245</v>
      </c>
      <c r="R295">
        <f t="shared" si="966"/>
        <v>-1352057744.3938406</v>
      </c>
      <c r="S295">
        <f t="shared" si="967"/>
        <v>-13520.577443938406</v>
      </c>
      <c r="T295">
        <f t="shared" si="968"/>
        <v>-13.520577443938405</v>
      </c>
    </row>
    <row r="296" spans="1:20" x14ac:dyDescent="0.25">
      <c r="A296" s="5">
        <v>44297</v>
      </c>
      <c r="B296">
        <v>0.12876000000000001</v>
      </c>
      <c r="C296">
        <v>0.13150000000000001</v>
      </c>
      <c r="D296">
        <v>0.12384000000000001</v>
      </c>
      <c r="E296">
        <v>0.12514</v>
      </c>
      <c r="F296">
        <v>79440767.700000003</v>
      </c>
      <c r="G296">
        <v>-2.81</v>
      </c>
      <c r="L296" t="s">
        <v>7</v>
      </c>
      <c r="M296" t="s">
        <v>8</v>
      </c>
      <c r="N296" t="s">
        <v>8</v>
      </c>
      <c r="P296">
        <f t="shared" si="964"/>
        <v>-0.66057441253263827</v>
      </c>
      <c r="Q296">
        <f t="shared" si="965"/>
        <v>-52476538.454569288</v>
      </c>
      <c r="R296">
        <f t="shared" si="966"/>
        <v>-1288989332.9411602</v>
      </c>
      <c r="S296">
        <f t="shared" si="967"/>
        <v>-12889.893329411601</v>
      </c>
      <c r="T296">
        <f t="shared" si="968"/>
        <v>-12.889893329411601</v>
      </c>
    </row>
    <row r="297" spans="1:20" x14ac:dyDescent="0.25">
      <c r="A297" s="5">
        <v>44296</v>
      </c>
      <c r="B297">
        <v>0.13217999999999999</v>
      </c>
      <c r="C297">
        <v>0.14484</v>
      </c>
      <c r="D297">
        <v>0.12379999999999999</v>
      </c>
      <c r="E297">
        <v>0.12878000000000001</v>
      </c>
      <c r="F297">
        <v>201591472</v>
      </c>
      <c r="G297">
        <v>-2.57</v>
      </c>
      <c r="L297" t="s">
        <v>8</v>
      </c>
      <c r="M297" t="s">
        <v>8</v>
      </c>
      <c r="N297" t="s">
        <v>8</v>
      </c>
      <c r="P297">
        <f t="shared" si="964"/>
        <v>-0.52661596958174794</v>
      </c>
      <c r="Q297">
        <f t="shared" si="965"/>
        <v>-106161288.48669179</v>
      </c>
      <c r="R297">
        <f t="shared" si="966"/>
        <v>-1236512794.4865909</v>
      </c>
      <c r="S297">
        <f t="shared" si="967"/>
        <v>-12365.127944865908</v>
      </c>
      <c r="T297">
        <f t="shared" si="968"/>
        <v>-12.365127944865907</v>
      </c>
    </row>
    <row r="298" spans="1:20" x14ac:dyDescent="0.25">
      <c r="A298" s="5">
        <v>44295</v>
      </c>
      <c r="B298">
        <v>0.12517</v>
      </c>
      <c r="C298">
        <v>0.13250000000000001</v>
      </c>
      <c r="D298">
        <v>0.11913</v>
      </c>
      <c r="E298">
        <v>0.13219</v>
      </c>
      <c r="F298">
        <v>124997095.40000001</v>
      </c>
      <c r="G298">
        <v>5.61</v>
      </c>
      <c r="L298" t="s">
        <v>7</v>
      </c>
      <c r="M298" t="s">
        <v>8</v>
      </c>
      <c r="N298" t="s">
        <v>7</v>
      </c>
      <c r="P298">
        <f t="shared" si="964"/>
        <v>0.9536275243081519</v>
      </c>
      <c r="Q298">
        <f t="shared" si="965"/>
        <v>119200670.63201189</v>
      </c>
      <c r="R298">
        <f t="shared" si="966"/>
        <v>-1130351505.9998991</v>
      </c>
      <c r="S298">
        <f t="shared" si="967"/>
        <v>-11303.515059998992</v>
      </c>
      <c r="T298">
        <f t="shared" si="968"/>
        <v>-11.303515059998992</v>
      </c>
    </row>
    <row r="299" spans="1:20" x14ac:dyDescent="0.25">
      <c r="A299" s="5">
        <v>44294</v>
      </c>
      <c r="B299">
        <v>0.1095</v>
      </c>
      <c r="C299">
        <v>0.13438</v>
      </c>
      <c r="D299">
        <v>0.1082</v>
      </c>
      <c r="E299">
        <v>0.12517</v>
      </c>
      <c r="F299">
        <v>419523505.39999998</v>
      </c>
      <c r="G299">
        <v>14.31</v>
      </c>
      <c r="L299" t="s">
        <v>8</v>
      </c>
      <c r="M299" t="s">
        <v>8</v>
      </c>
      <c r="N299" t="s">
        <v>7</v>
      </c>
      <c r="P299">
        <f t="shared" si="964"/>
        <v>0.29640947288006131</v>
      </c>
      <c r="Q299">
        <f t="shared" si="965"/>
        <v>124350741.09640954</v>
      </c>
      <c r="R299">
        <f t="shared" si="966"/>
        <v>-1249552176.631911</v>
      </c>
      <c r="S299">
        <f t="shared" si="967"/>
        <v>-12495.521766319111</v>
      </c>
      <c r="T299">
        <f t="shared" si="968"/>
        <v>-12.495521766319111</v>
      </c>
    </row>
    <row r="300" spans="1:20" x14ac:dyDescent="0.25">
      <c r="A300" s="5">
        <v>44293</v>
      </c>
      <c r="B300">
        <v>0.11505</v>
      </c>
      <c r="C300">
        <v>0.11637</v>
      </c>
      <c r="D300">
        <v>9.7350000000000006E-2</v>
      </c>
      <c r="E300">
        <v>0.1095</v>
      </c>
      <c r="F300">
        <v>158188038.90000001</v>
      </c>
      <c r="G300">
        <v>-4.82</v>
      </c>
      <c r="L300" t="s">
        <v>7</v>
      </c>
      <c r="M300" t="s">
        <v>7</v>
      </c>
      <c r="N300" t="s">
        <v>7</v>
      </c>
      <c r="P300">
        <f t="shared" si="964"/>
        <v>0.27760252365930571</v>
      </c>
      <c r="Q300">
        <f t="shared" si="965"/>
        <v>43913398.811356425</v>
      </c>
      <c r="R300">
        <f t="shared" si="966"/>
        <v>-1373902917.7283206</v>
      </c>
      <c r="S300">
        <f t="shared" si="967"/>
        <v>-13739.029177283206</v>
      </c>
      <c r="T300">
        <f t="shared" si="968"/>
        <v>-13.739029177283205</v>
      </c>
    </row>
    <row r="301" spans="1:20" x14ac:dyDescent="0.25">
      <c r="A301" s="5">
        <v>44292</v>
      </c>
      <c r="B301">
        <v>0.12609999999999999</v>
      </c>
      <c r="C301">
        <v>0.13014999999999999</v>
      </c>
      <c r="D301">
        <v>0.11169999999999999</v>
      </c>
      <c r="E301">
        <v>0.11543</v>
      </c>
      <c r="F301">
        <v>123365881.90000001</v>
      </c>
      <c r="G301">
        <v>-8.4600000000000009</v>
      </c>
      <c r="L301" t="s">
        <v>7</v>
      </c>
      <c r="M301" t="s">
        <v>7</v>
      </c>
      <c r="N301" t="s">
        <v>8</v>
      </c>
      <c r="P301">
        <f t="shared" si="964"/>
        <v>-0.59566395663956506</v>
      </c>
      <c r="Q301">
        <f t="shared" si="965"/>
        <v>-73484609.326883301</v>
      </c>
      <c r="R301">
        <f t="shared" si="966"/>
        <v>-1417816316.5396769</v>
      </c>
      <c r="S301">
        <f t="shared" si="967"/>
        <v>-14178.163165396769</v>
      </c>
      <c r="T301">
        <f t="shared" si="968"/>
        <v>-14.17816316539677</v>
      </c>
    </row>
    <row r="302" spans="1:20" x14ac:dyDescent="0.25">
      <c r="A302" s="5">
        <v>44291</v>
      </c>
      <c r="B302">
        <v>0.12085</v>
      </c>
      <c r="C302">
        <v>0.13950000000000001</v>
      </c>
      <c r="D302">
        <v>0.11407</v>
      </c>
      <c r="E302">
        <v>0.12629000000000001</v>
      </c>
      <c r="F302">
        <v>238411327.69999999</v>
      </c>
      <c r="G302">
        <v>4.5</v>
      </c>
      <c r="L302" t="s">
        <v>8</v>
      </c>
      <c r="M302" t="s">
        <v>8</v>
      </c>
      <c r="N302" t="s">
        <v>8</v>
      </c>
      <c r="P302">
        <f t="shared" si="964"/>
        <v>-3.8930397168698019E-2</v>
      </c>
      <c r="Q302">
        <f t="shared" si="965"/>
        <v>-9281447.676877616</v>
      </c>
      <c r="R302">
        <f t="shared" si="966"/>
        <v>-1344331707.2127936</v>
      </c>
      <c r="S302">
        <f t="shared" si="967"/>
        <v>-13443.317072127937</v>
      </c>
      <c r="T302">
        <f t="shared" si="968"/>
        <v>-13.443317072127936</v>
      </c>
    </row>
    <row r="303" spans="1:20" x14ac:dyDescent="0.25">
      <c r="A303" s="5">
        <v>44290</v>
      </c>
      <c r="B303">
        <v>9.9970000000000003E-2</v>
      </c>
      <c r="C303">
        <v>0.13200000000000001</v>
      </c>
      <c r="D303">
        <v>9.8519999999999996E-2</v>
      </c>
      <c r="E303">
        <v>0.1207</v>
      </c>
      <c r="F303">
        <v>344567082.60000002</v>
      </c>
      <c r="G303">
        <v>20.74</v>
      </c>
      <c r="L303" t="s">
        <v>8</v>
      </c>
      <c r="M303" t="s">
        <v>8</v>
      </c>
      <c r="N303" t="s">
        <v>8</v>
      </c>
      <c r="P303">
        <f t="shared" si="964"/>
        <v>0.32497013142174425</v>
      </c>
      <c r="Q303">
        <f t="shared" si="965"/>
        <v>111974010.11612901</v>
      </c>
      <c r="R303">
        <f t="shared" si="966"/>
        <v>-1335050259.5359161</v>
      </c>
      <c r="S303">
        <f t="shared" si="967"/>
        <v>-13350.502595359161</v>
      </c>
      <c r="T303">
        <f t="shared" si="968"/>
        <v>-13.350502595359162</v>
      </c>
    </row>
    <row r="304" spans="1:20" x14ac:dyDescent="0.25">
      <c r="A304" s="5">
        <v>44289</v>
      </c>
      <c r="B304">
        <v>0.10875</v>
      </c>
      <c r="C304">
        <v>0.11267000000000001</v>
      </c>
      <c r="D304">
        <v>9.6860000000000002E-2</v>
      </c>
      <c r="E304">
        <v>0.10020999999999999</v>
      </c>
      <c r="F304">
        <v>138638708.30000001</v>
      </c>
      <c r="G304">
        <v>-7.85</v>
      </c>
      <c r="L304" t="s">
        <v>7</v>
      </c>
      <c r="M304" t="s">
        <v>7</v>
      </c>
      <c r="N304" t="s">
        <v>8</v>
      </c>
      <c r="P304">
        <f t="shared" si="964"/>
        <v>-0.57621758380771781</v>
      </c>
      <c r="Q304">
        <f t="shared" si="965"/>
        <v>-79886061.518849</v>
      </c>
      <c r="R304">
        <f t="shared" si="966"/>
        <v>-1447024269.652045</v>
      </c>
      <c r="S304">
        <f t="shared" si="967"/>
        <v>-14470.24269652045</v>
      </c>
      <c r="T304">
        <f t="shared" si="968"/>
        <v>-14.470242696520451</v>
      </c>
    </row>
    <row r="305" spans="1:20" x14ac:dyDescent="0.25">
      <c r="A305" s="5">
        <v>44288</v>
      </c>
      <c r="B305">
        <v>0.11731999999999999</v>
      </c>
      <c r="C305">
        <v>0.124</v>
      </c>
      <c r="D305">
        <v>0.10811999999999999</v>
      </c>
      <c r="E305">
        <v>0.10893</v>
      </c>
      <c r="F305">
        <v>123133907.09999999</v>
      </c>
      <c r="G305">
        <v>-7.15</v>
      </c>
      <c r="L305" t="s">
        <v>7</v>
      </c>
      <c r="M305" t="s">
        <v>7</v>
      </c>
      <c r="N305" t="s">
        <v>8</v>
      </c>
      <c r="P305">
        <f t="shared" si="964"/>
        <v>-0.89798488664987342</v>
      </c>
      <c r="Q305">
        <f t="shared" si="965"/>
        <v>-110572387.60994954</v>
      </c>
      <c r="R305">
        <f t="shared" si="966"/>
        <v>-1367138208.1331961</v>
      </c>
      <c r="S305">
        <f t="shared" si="967"/>
        <v>-13671.382081331962</v>
      </c>
      <c r="T305">
        <f t="shared" si="968"/>
        <v>-13.671382081331961</v>
      </c>
    </row>
    <row r="306" spans="1:20" x14ac:dyDescent="0.25">
      <c r="A306" s="5">
        <v>44287</v>
      </c>
      <c r="B306">
        <v>0.12094000000000001</v>
      </c>
      <c r="C306">
        <v>0.12608</v>
      </c>
      <c r="D306">
        <v>0.113</v>
      </c>
      <c r="E306">
        <v>0.1173</v>
      </c>
      <c r="F306">
        <v>117335313.8</v>
      </c>
      <c r="G306">
        <v>-3.01</v>
      </c>
      <c r="L306" t="s">
        <v>7</v>
      </c>
      <c r="M306" t="s">
        <v>8</v>
      </c>
      <c r="N306" t="s">
        <v>8</v>
      </c>
      <c r="P306">
        <f t="shared" si="964"/>
        <v>-0.34250764525993882</v>
      </c>
      <c r="Q306">
        <f t="shared" si="965"/>
        <v>-40188242.035474002</v>
      </c>
      <c r="R306">
        <f t="shared" si="966"/>
        <v>-1256565820.5232465</v>
      </c>
      <c r="S306">
        <f t="shared" si="967"/>
        <v>-12565.658205232465</v>
      </c>
      <c r="T306">
        <f t="shared" si="968"/>
        <v>-12.565658205232465</v>
      </c>
    </row>
    <row r="307" spans="1:20" x14ac:dyDescent="0.25">
      <c r="A307" s="5">
        <v>44286</v>
      </c>
      <c r="B307">
        <v>0.11165</v>
      </c>
      <c r="C307">
        <v>0.13200000000000001</v>
      </c>
      <c r="D307">
        <v>0.10675999999999999</v>
      </c>
      <c r="E307">
        <v>0.12096</v>
      </c>
      <c r="F307">
        <v>209299500.19999999</v>
      </c>
      <c r="G307">
        <v>8.34</v>
      </c>
      <c r="L307" t="s">
        <v>8</v>
      </c>
      <c r="M307" t="s">
        <v>8</v>
      </c>
      <c r="N307" t="s">
        <v>8</v>
      </c>
      <c r="P307">
        <f t="shared" si="964"/>
        <v>0.12519809825673511</v>
      </c>
      <c r="Q307">
        <f t="shared" si="965"/>
        <v>26203899.39112515</v>
      </c>
      <c r="R307">
        <f t="shared" si="966"/>
        <v>-1216377578.4877725</v>
      </c>
      <c r="S307">
        <f t="shared" si="967"/>
        <v>-12163.775784877726</v>
      </c>
      <c r="T307">
        <f t="shared" si="968"/>
        <v>-12.163775784877725</v>
      </c>
    </row>
    <row r="308" spans="1:20" x14ac:dyDescent="0.25">
      <c r="A308" s="5">
        <v>44285</v>
      </c>
      <c r="B308">
        <v>0.11577</v>
      </c>
      <c r="C308">
        <v>0.12794</v>
      </c>
      <c r="D308">
        <v>0.11070000000000001</v>
      </c>
      <c r="E308">
        <v>0.11169999999999999</v>
      </c>
      <c r="F308">
        <v>205696648.80000001</v>
      </c>
      <c r="G308">
        <v>-3.52</v>
      </c>
      <c r="L308" t="s">
        <v>8</v>
      </c>
      <c r="M308" t="s">
        <v>8</v>
      </c>
      <c r="N308" t="s">
        <v>8</v>
      </c>
      <c r="P308">
        <f t="shared" si="964"/>
        <v>-0.88399071925754202</v>
      </c>
      <c r="Q308">
        <f t="shared" si="965"/>
        <v>-181833928.52157804</v>
      </c>
      <c r="R308">
        <f t="shared" si="966"/>
        <v>-1242581477.8788977</v>
      </c>
      <c r="S308">
        <f t="shared" si="967"/>
        <v>-12425.814778788977</v>
      </c>
      <c r="T308">
        <f t="shared" si="968"/>
        <v>-12.425814778788977</v>
      </c>
    </row>
    <row r="309" spans="1:20" x14ac:dyDescent="0.25">
      <c r="A309" s="5">
        <v>44284</v>
      </c>
      <c r="B309">
        <v>9.7710000000000005E-2</v>
      </c>
      <c r="C309">
        <v>0.12</v>
      </c>
      <c r="D309">
        <v>9.5180000000000001E-2</v>
      </c>
      <c r="E309">
        <v>0.11597</v>
      </c>
      <c r="F309">
        <v>228221281.5</v>
      </c>
      <c r="G309">
        <v>18.690000000000001</v>
      </c>
      <c r="L309" t="s">
        <v>8</v>
      </c>
      <c r="M309" t="s">
        <v>8</v>
      </c>
      <c r="N309" t="s">
        <v>8</v>
      </c>
      <c r="P309">
        <f t="shared" si="964"/>
        <v>0.67526188557614886</v>
      </c>
      <c r="Q309">
        <f t="shared" si="965"/>
        <v>154109132.87429506</v>
      </c>
      <c r="R309">
        <f t="shared" si="966"/>
        <v>-1060747549.3573196</v>
      </c>
      <c r="S309">
        <f t="shared" si="967"/>
        <v>-10607.475493573196</v>
      </c>
      <c r="T309">
        <f t="shared" si="968"/>
        <v>-10.607475493573196</v>
      </c>
    </row>
    <row r="310" spans="1:20" x14ac:dyDescent="0.25">
      <c r="A310" s="5">
        <v>44283</v>
      </c>
      <c r="B310">
        <v>0.10485</v>
      </c>
      <c r="C310">
        <v>0.10556</v>
      </c>
      <c r="D310">
        <v>9.3520000000000006E-2</v>
      </c>
      <c r="E310">
        <v>9.7570000000000004E-2</v>
      </c>
      <c r="F310">
        <v>154403177.09999999</v>
      </c>
      <c r="G310">
        <v>-6.94</v>
      </c>
      <c r="L310" t="s">
        <v>7</v>
      </c>
      <c r="M310" t="s">
        <v>7</v>
      </c>
      <c r="N310" t="s">
        <v>8</v>
      </c>
      <c r="P310">
        <f t="shared" si="964"/>
        <v>-0.32724252491694356</v>
      </c>
      <c r="Q310">
        <f t="shared" si="965"/>
        <v>-50527285.529401995</v>
      </c>
      <c r="R310">
        <f t="shared" si="966"/>
        <v>-1214856682.2316146</v>
      </c>
      <c r="S310">
        <f t="shared" si="967"/>
        <v>-12148.566822316146</v>
      </c>
      <c r="T310">
        <f t="shared" si="968"/>
        <v>-12.148566822316146</v>
      </c>
    </row>
    <row r="311" spans="1:20" x14ac:dyDescent="0.25">
      <c r="A311" s="5">
        <v>44282</v>
      </c>
      <c r="B311">
        <v>0.1062</v>
      </c>
      <c r="C311">
        <v>0.11637</v>
      </c>
      <c r="D311">
        <v>9.6839999999999996E-2</v>
      </c>
      <c r="E311">
        <v>0.10484</v>
      </c>
      <c r="F311">
        <v>366481256.10000002</v>
      </c>
      <c r="G311">
        <v>-1.28</v>
      </c>
      <c r="L311" t="s">
        <v>8</v>
      </c>
      <c r="M311" t="s">
        <v>8</v>
      </c>
      <c r="N311" t="s">
        <v>8</v>
      </c>
      <c r="P311">
        <f t="shared" si="964"/>
        <v>-0.18074756784434154</v>
      </c>
      <c r="Q311">
        <f t="shared" si="965"/>
        <v>-66240595.700614259</v>
      </c>
      <c r="R311">
        <f t="shared" si="966"/>
        <v>-1164329396.7022126</v>
      </c>
      <c r="S311">
        <f t="shared" si="967"/>
        <v>-11643.293967022126</v>
      </c>
      <c r="T311">
        <f t="shared" si="968"/>
        <v>-11.643293967022126</v>
      </c>
    </row>
    <row r="312" spans="1:20" x14ac:dyDescent="0.25">
      <c r="A312" s="5">
        <v>44281</v>
      </c>
      <c r="B312">
        <v>7.8179999999999999E-2</v>
      </c>
      <c r="C312">
        <v>0.10789</v>
      </c>
      <c r="D312">
        <v>7.7420000000000003E-2</v>
      </c>
      <c r="E312">
        <v>0.1062</v>
      </c>
      <c r="F312">
        <v>454358060.39999998</v>
      </c>
      <c r="G312">
        <v>35.840000000000003</v>
      </c>
      <c r="L312" t="s">
        <v>8</v>
      </c>
      <c r="M312" t="s">
        <v>8</v>
      </c>
      <c r="N312" t="s">
        <v>8</v>
      </c>
      <c r="P312">
        <f t="shared" si="964"/>
        <v>0.88907121759107333</v>
      </c>
      <c r="Q312">
        <f t="shared" si="965"/>
        <v>403956673.98214644</v>
      </c>
      <c r="R312">
        <f t="shared" si="966"/>
        <v>-1098088801.0015984</v>
      </c>
      <c r="S312">
        <f t="shared" si="967"/>
        <v>-10980.888010015984</v>
      </c>
      <c r="T312">
        <f t="shared" si="968"/>
        <v>-10.980888010015985</v>
      </c>
    </row>
    <row r="313" spans="1:20" x14ac:dyDescent="0.25">
      <c r="A313" s="5">
        <v>44280</v>
      </c>
      <c r="B313">
        <v>8.2089999999999996E-2</v>
      </c>
      <c r="C313">
        <v>8.5250000000000006E-2</v>
      </c>
      <c r="D313">
        <v>7.5569999999999998E-2</v>
      </c>
      <c r="E313">
        <v>7.8350000000000003E-2</v>
      </c>
      <c r="F313">
        <v>108854437.59999999</v>
      </c>
      <c r="G313">
        <v>-4.5599999999999996</v>
      </c>
      <c r="L313" t="s">
        <v>7</v>
      </c>
      <c r="M313" t="s">
        <v>7</v>
      </c>
      <c r="N313" t="s">
        <v>8</v>
      </c>
      <c r="P313">
        <f t="shared" si="964"/>
        <v>-0.42561983471074333</v>
      </c>
      <c r="Q313">
        <f t="shared" si="965"/>
        <v>-46330607.738842919</v>
      </c>
      <c r="R313">
        <f t="shared" si="966"/>
        <v>-1502045474.9837449</v>
      </c>
      <c r="S313">
        <f t="shared" si="967"/>
        <v>-15020.454749837449</v>
      </c>
      <c r="T313">
        <f t="shared" si="968"/>
        <v>-15.020454749837448</v>
      </c>
    </row>
    <row r="314" spans="1:20" x14ac:dyDescent="0.25">
      <c r="A314" s="5">
        <v>44279</v>
      </c>
      <c r="B314">
        <v>8.1530000000000005E-2</v>
      </c>
      <c r="C314">
        <v>9.5549999999999996E-2</v>
      </c>
      <c r="D314">
        <v>0.08</v>
      </c>
      <c r="E314">
        <v>8.2089999999999996E-2</v>
      </c>
      <c r="F314">
        <v>246174470.30000001</v>
      </c>
      <c r="G314">
        <v>0.69</v>
      </c>
      <c r="L314" t="s">
        <v>8</v>
      </c>
      <c r="M314" t="s">
        <v>8</v>
      </c>
      <c r="N314" t="s">
        <v>8</v>
      </c>
      <c r="P314">
        <f t="shared" si="964"/>
        <v>-0.73118971061093307</v>
      </c>
      <c r="Q314">
        <f t="shared" si="965"/>
        <v>-180000239.69845673</v>
      </c>
      <c r="R314">
        <f t="shared" si="966"/>
        <v>-1455714867.2449019</v>
      </c>
      <c r="S314">
        <f t="shared" si="967"/>
        <v>-14557.148672449019</v>
      </c>
      <c r="T314">
        <f t="shared" si="968"/>
        <v>-14.557148672449019</v>
      </c>
    </row>
    <row r="315" spans="1:20" x14ac:dyDescent="0.25">
      <c r="A315" s="5">
        <v>44278</v>
      </c>
      <c r="B315">
        <v>8.2540000000000002E-2</v>
      </c>
      <c r="C315">
        <v>8.9109999999999995E-2</v>
      </c>
      <c r="D315">
        <v>7.6980000000000007E-2</v>
      </c>
      <c r="E315">
        <v>8.1479999999999997E-2</v>
      </c>
      <c r="F315">
        <v>175418078.5</v>
      </c>
      <c r="G315">
        <v>-1.28</v>
      </c>
      <c r="L315" t="s">
        <v>7</v>
      </c>
      <c r="M315" t="s">
        <v>7</v>
      </c>
      <c r="N315" t="s">
        <v>8</v>
      </c>
      <c r="P315">
        <f t="shared" si="964"/>
        <v>-0.2580379225061839</v>
      </c>
      <c r="Q315">
        <f t="shared" si="965"/>
        <v>-45264516.546166688</v>
      </c>
      <c r="R315">
        <f t="shared" si="966"/>
        <v>-1275714627.5464451</v>
      </c>
      <c r="S315">
        <f t="shared" si="967"/>
        <v>-12757.146275464451</v>
      </c>
      <c r="T315">
        <f t="shared" si="968"/>
        <v>-12.75714627546445</v>
      </c>
    </row>
    <row r="316" spans="1:20" x14ac:dyDescent="0.25">
      <c r="A316" s="5">
        <v>44277</v>
      </c>
      <c r="B316">
        <v>7.8600000000000003E-2</v>
      </c>
      <c r="C316">
        <v>9.4170000000000004E-2</v>
      </c>
      <c r="D316">
        <v>7.6109999999999997E-2</v>
      </c>
      <c r="E316">
        <v>8.2530000000000006E-2</v>
      </c>
      <c r="F316">
        <v>275777272.30000001</v>
      </c>
      <c r="G316">
        <v>5</v>
      </c>
      <c r="L316" t="s">
        <v>8</v>
      </c>
      <c r="M316" t="s">
        <v>8</v>
      </c>
      <c r="N316" t="s">
        <v>8</v>
      </c>
      <c r="P316">
        <f t="shared" si="964"/>
        <v>-0.28903654485049762</v>
      </c>
      <c r="Q316">
        <f t="shared" si="965"/>
        <v>-79709709.933886856</v>
      </c>
      <c r="R316">
        <f t="shared" si="966"/>
        <v>-1230450111.0002785</v>
      </c>
      <c r="S316">
        <f t="shared" si="967"/>
        <v>-12304.501110002784</v>
      </c>
      <c r="T316">
        <f t="shared" si="968"/>
        <v>-12.304501110002784</v>
      </c>
    </row>
    <row r="317" spans="1:20" x14ac:dyDescent="0.25">
      <c r="A317" s="5">
        <v>44276</v>
      </c>
      <c r="B317">
        <v>8.0110000000000001E-2</v>
      </c>
      <c r="C317">
        <v>8.1000000000000003E-2</v>
      </c>
      <c r="D317">
        <v>7.5469999999999995E-2</v>
      </c>
      <c r="E317">
        <v>7.8619999999999995E-2</v>
      </c>
      <c r="F317">
        <v>70261118.900000006</v>
      </c>
      <c r="G317">
        <v>-1.86</v>
      </c>
      <c r="L317" t="s">
        <v>7</v>
      </c>
      <c r="M317" t="s">
        <v>8</v>
      </c>
      <c r="N317" t="s">
        <v>8</v>
      </c>
      <c r="P317">
        <f t="shared" si="964"/>
        <v>0.13924050632911247</v>
      </c>
      <c r="Q317">
        <f t="shared" si="965"/>
        <v>9783193.7708859742</v>
      </c>
      <c r="R317">
        <f t="shared" si="966"/>
        <v>-1150740401.0663917</v>
      </c>
      <c r="S317">
        <f t="shared" si="967"/>
        <v>-11507.404010663917</v>
      </c>
      <c r="T317">
        <f t="shared" si="968"/>
        <v>-11.507404010663917</v>
      </c>
    </row>
    <row r="318" spans="1:20" x14ac:dyDescent="0.25">
      <c r="A318" s="5">
        <v>44275</v>
      </c>
      <c r="B318">
        <v>8.4229999999999999E-2</v>
      </c>
      <c r="C318">
        <v>8.8599999999999998E-2</v>
      </c>
      <c r="D318">
        <v>0.08</v>
      </c>
      <c r="E318">
        <v>8.0119999999999997E-2</v>
      </c>
      <c r="F318">
        <v>125594145.3</v>
      </c>
      <c r="G318">
        <v>-4.88</v>
      </c>
      <c r="L318" t="s">
        <v>7</v>
      </c>
      <c r="M318" t="s">
        <v>8</v>
      </c>
      <c r="N318" t="s">
        <v>8</v>
      </c>
      <c r="P318">
        <f t="shared" si="964"/>
        <v>-0.97209302325581504</v>
      </c>
      <c r="Q318">
        <f t="shared" si="965"/>
        <v>-122089192.40790711</v>
      </c>
      <c r="R318">
        <f t="shared" si="966"/>
        <v>-1160523594.8372777</v>
      </c>
      <c r="S318">
        <f t="shared" si="967"/>
        <v>-11605.235948372776</v>
      </c>
      <c r="T318">
        <f t="shared" si="968"/>
        <v>-11.605235948372776</v>
      </c>
    </row>
    <row r="319" spans="1:20" x14ac:dyDescent="0.25">
      <c r="A319" s="5">
        <v>44274</v>
      </c>
      <c r="B319">
        <v>8.1070000000000003E-2</v>
      </c>
      <c r="C319">
        <v>8.9450000000000002E-2</v>
      </c>
      <c r="D319">
        <v>7.8839999999999993E-2</v>
      </c>
      <c r="E319">
        <v>8.4010000000000001E-2</v>
      </c>
      <c r="F319">
        <v>147925759.59999999</v>
      </c>
      <c r="G319">
        <v>3.63</v>
      </c>
      <c r="L319" t="s">
        <v>8</v>
      </c>
      <c r="M319" t="s">
        <v>8</v>
      </c>
      <c r="N319" t="s">
        <v>8</v>
      </c>
      <c r="P319">
        <f t="shared" si="964"/>
        <v>-2.5447690857680703E-2</v>
      </c>
      <c r="Q319">
        <f t="shared" si="965"/>
        <v>-3764369.0001883935</v>
      </c>
      <c r="R319">
        <f t="shared" si="966"/>
        <v>-1038434402.4293705</v>
      </c>
      <c r="S319">
        <f t="shared" si="967"/>
        <v>-10384.344024293705</v>
      </c>
      <c r="T319">
        <f t="shared" si="968"/>
        <v>-10.384344024293705</v>
      </c>
    </row>
    <row r="320" spans="1:20" x14ac:dyDescent="0.25">
      <c r="A320" s="5">
        <v>44273</v>
      </c>
      <c r="B320">
        <v>8.1189999999999998E-2</v>
      </c>
      <c r="C320">
        <v>8.5000000000000006E-2</v>
      </c>
      <c r="D320">
        <v>7.9130000000000006E-2</v>
      </c>
      <c r="E320">
        <v>8.1079999999999999E-2</v>
      </c>
      <c r="F320">
        <v>97802939.299999997</v>
      </c>
      <c r="G320">
        <v>-0.14000000000000001</v>
      </c>
      <c r="L320" t="s">
        <v>8</v>
      </c>
      <c r="M320" t="s">
        <v>8</v>
      </c>
      <c r="N320" t="s">
        <v>8</v>
      </c>
      <c r="P320">
        <f t="shared" si="964"/>
        <v>-0.33560477001703803</v>
      </c>
      <c r="Q320">
        <f t="shared" si="965"/>
        <v>-32823132.950766832</v>
      </c>
      <c r="R320">
        <f t="shared" si="966"/>
        <v>-1034670033.4291822</v>
      </c>
      <c r="S320">
        <f t="shared" si="967"/>
        <v>-10346.700334291821</v>
      </c>
      <c r="T320">
        <f t="shared" si="968"/>
        <v>-10.346700334291821</v>
      </c>
    </row>
    <row r="321" spans="1:20" x14ac:dyDescent="0.25">
      <c r="A321" s="5">
        <v>44272</v>
      </c>
      <c r="B321">
        <v>8.6709999999999995E-2</v>
      </c>
      <c r="C321">
        <v>8.7129999999999999E-2</v>
      </c>
      <c r="D321">
        <v>7.7189999999999995E-2</v>
      </c>
      <c r="E321">
        <v>8.133E-2</v>
      </c>
      <c r="F321">
        <v>118889212.59999999</v>
      </c>
      <c r="G321">
        <v>-6.2</v>
      </c>
      <c r="L321" t="s">
        <v>7</v>
      </c>
      <c r="M321" t="s">
        <v>8</v>
      </c>
      <c r="N321" t="s">
        <v>8</v>
      </c>
      <c r="P321">
        <f t="shared" si="964"/>
        <v>-0.16700201207243401</v>
      </c>
      <c r="Q321">
        <f t="shared" si="965"/>
        <v>-19854737.717907373</v>
      </c>
      <c r="R321">
        <f t="shared" si="966"/>
        <v>-1001846900.4784154</v>
      </c>
      <c r="S321">
        <f t="shared" si="967"/>
        <v>-10018.469004784154</v>
      </c>
      <c r="T321">
        <f t="shared" si="968"/>
        <v>-10.018469004784155</v>
      </c>
    </row>
    <row r="322" spans="1:20" x14ac:dyDescent="0.25">
      <c r="A322" s="5">
        <v>44271</v>
      </c>
      <c r="B322">
        <v>8.3710000000000007E-2</v>
      </c>
      <c r="C322">
        <v>8.7620000000000003E-2</v>
      </c>
      <c r="D322">
        <v>7.8060000000000004E-2</v>
      </c>
      <c r="E322">
        <v>8.6709999999999995E-2</v>
      </c>
      <c r="F322">
        <v>172294683.5</v>
      </c>
      <c r="G322">
        <v>3.58</v>
      </c>
      <c r="L322" t="s">
        <v>8</v>
      </c>
      <c r="M322" t="s">
        <v>8</v>
      </c>
      <c r="N322" t="s">
        <v>8</v>
      </c>
      <c r="P322">
        <f t="shared" si="964"/>
        <v>0.80962343096234135</v>
      </c>
      <c r="Q322">
        <f t="shared" si="965"/>
        <v>139493812.7918407</v>
      </c>
      <c r="R322">
        <f t="shared" si="966"/>
        <v>-981992162.76050794</v>
      </c>
      <c r="S322">
        <f t="shared" si="967"/>
        <v>-9819.9216276050793</v>
      </c>
      <c r="T322">
        <f t="shared" si="968"/>
        <v>-9.8199216276050798</v>
      </c>
    </row>
    <row r="323" spans="1:20" x14ac:dyDescent="0.25">
      <c r="A323" s="5">
        <v>44270</v>
      </c>
      <c r="B323">
        <v>8.1040000000000001E-2</v>
      </c>
      <c r="C323">
        <v>9.0709999999999999E-2</v>
      </c>
      <c r="D323">
        <v>7.2999999999999995E-2</v>
      </c>
      <c r="E323">
        <v>8.3330000000000001E-2</v>
      </c>
      <c r="F323">
        <v>277398214.69999999</v>
      </c>
      <c r="G323">
        <v>2.83</v>
      </c>
      <c r="L323" t="s">
        <v>7</v>
      </c>
      <c r="M323" t="s">
        <v>7</v>
      </c>
      <c r="N323" t="s">
        <v>8</v>
      </c>
      <c r="P323">
        <f t="shared" si="964"/>
        <v>0.16657255787690614</v>
      </c>
      <c r="Q323">
        <f t="shared" si="965"/>
        <v>46206930.173066184</v>
      </c>
      <c r="R323">
        <f t="shared" si="966"/>
        <v>-1121485975.5523486</v>
      </c>
      <c r="S323">
        <f t="shared" si="967"/>
        <v>-11214.859755523486</v>
      </c>
      <c r="T323">
        <f t="shared" si="968"/>
        <v>-11.214859755523486</v>
      </c>
    </row>
    <row r="324" spans="1:20" x14ac:dyDescent="0.25">
      <c r="A324" s="5">
        <v>44269</v>
      </c>
      <c r="B324">
        <v>8.3989999999999995E-2</v>
      </c>
      <c r="C324">
        <v>9.6500000000000002E-2</v>
      </c>
      <c r="D324">
        <v>7.8609999999999999E-2</v>
      </c>
      <c r="E324">
        <v>8.1019999999999995E-2</v>
      </c>
      <c r="F324">
        <v>402103761.39999998</v>
      </c>
      <c r="G324">
        <v>-3.54</v>
      </c>
      <c r="L324" t="s">
        <v>8</v>
      </c>
      <c r="M324" t="s">
        <v>7</v>
      </c>
      <c r="N324" t="s">
        <v>8</v>
      </c>
      <c r="P324">
        <f t="shared" si="964"/>
        <v>-0.73057574063722808</v>
      </c>
      <c r="Q324">
        <f t="shared" si="965"/>
        <v>-293767253.29782021</v>
      </c>
      <c r="R324">
        <f t="shared" si="966"/>
        <v>-1167692905.7254148</v>
      </c>
      <c r="S324">
        <f t="shared" si="967"/>
        <v>-11676.929057254147</v>
      </c>
      <c r="T324">
        <f t="shared" si="968"/>
        <v>-11.676929057254148</v>
      </c>
    </row>
    <row r="325" spans="1:20" x14ac:dyDescent="0.25">
      <c r="A325" s="5">
        <v>44268</v>
      </c>
      <c r="B325">
        <v>6.5329999999999999E-2</v>
      </c>
      <c r="C325">
        <v>9.7670000000000007E-2</v>
      </c>
      <c r="D325">
        <v>6.2300000000000001E-2</v>
      </c>
      <c r="E325">
        <v>8.4000000000000005E-2</v>
      </c>
      <c r="F325">
        <v>621153737.29999995</v>
      </c>
      <c r="G325">
        <v>28.58</v>
      </c>
      <c r="L325" t="s">
        <v>7</v>
      </c>
      <c r="M325" t="s">
        <v>8</v>
      </c>
      <c r="N325" t="s">
        <v>8</v>
      </c>
      <c r="P325">
        <f t="shared" si="964"/>
        <v>0.22702855527283011</v>
      </c>
      <c r="Q325">
        <f t="shared" si="965"/>
        <v>141019635.58153802</v>
      </c>
      <c r="R325">
        <f t="shared" si="966"/>
        <v>-873925652.42759466</v>
      </c>
      <c r="S325">
        <f t="shared" si="967"/>
        <v>-8739.2565242759465</v>
      </c>
      <c r="T325">
        <f t="shared" si="968"/>
        <v>-8.7392565242759463</v>
      </c>
    </row>
    <row r="326" spans="1:20" x14ac:dyDescent="0.25">
      <c r="A326" s="5">
        <v>44267</v>
      </c>
      <c r="B326">
        <v>7.1300000000000002E-2</v>
      </c>
      <c r="C326">
        <v>7.5289999999999996E-2</v>
      </c>
      <c r="D326">
        <v>6.3130000000000006E-2</v>
      </c>
      <c r="E326">
        <v>6.5479999999999997E-2</v>
      </c>
      <c r="F326">
        <v>254231647.69999999</v>
      </c>
      <c r="G326">
        <v>-8.16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-0.61348684210526438</v>
      </c>
      <c r="Q326">
        <f t="shared" ref="Q326:Q389" si="970">F326*P326</f>
        <v>-155967770.71069109</v>
      </c>
      <c r="R326">
        <f t="shared" ref="R326:R389" si="971">R327+Q326</f>
        <v>-1014945288.0091327</v>
      </c>
      <c r="S326">
        <f t="shared" ref="S326:S389" si="972">R326/100000</f>
        <v>-10149.452880091327</v>
      </c>
      <c r="T326">
        <f t="shared" ref="T326:T389" si="973">S326/1000</f>
        <v>-10.149452880091326</v>
      </c>
    </row>
    <row r="327" spans="1:20" x14ac:dyDescent="0.25">
      <c r="A327" s="5">
        <v>44266</v>
      </c>
      <c r="B327">
        <v>7.1080000000000004E-2</v>
      </c>
      <c r="C327">
        <v>8.4760000000000002E-2</v>
      </c>
      <c r="D327">
        <v>6.9559999999999997E-2</v>
      </c>
      <c r="E327">
        <v>7.1249999999999994E-2</v>
      </c>
      <c r="F327">
        <v>606960471.60000002</v>
      </c>
      <c r="G327">
        <v>0.24</v>
      </c>
      <c r="L327" t="s">
        <v>8</v>
      </c>
      <c r="M327" t="s">
        <v>8</v>
      </c>
      <c r="N327" t="s">
        <v>8</v>
      </c>
      <c r="P327">
        <f t="shared" si="969"/>
        <v>-0.7776315789473689</v>
      </c>
      <c r="Q327">
        <f t="shared" si="970"/>
        <v>-471991629.88894767</v>
      </c>
      <c r="R327">
        <f t="shared" si="971"/>
        <v>-858977517.29844165</v>
      </c>
      <c r="S327">
        <f t="shared" si="972"/>
        <v>-8589.7751729844167</v>
      </c>
      <c r="T327">
        <f t="shared" si="973"/>
        <v>-8.5897751729844174</v>
      </c>
    </row>
    <row r="328" spans="1:20" x14ac:dyDescent="0.25">
      <c r="A328" s="5">
        <v>44265</v>
      </c>
      <c r="B328">
        <v>5.9060000000000001E-2</v>
      </c>
      <c r="C328">
        <v>7.6369999999999993E-2</v>
      </c>
      <c r="D328">
        <v>5.4820000000000001E-2</v>
      </c>
      <c r="E328">
        <v>7.0900000000000005E-2</v>
      </c>
      <c r="F328">
        <v>538135550</v>
      </c>
      <c r="G328">
        <v>20.05</v>
      </c>
      <c r="L328" t="s">
        <v>8</v>
      </c>
      <c r="M328" t="s">
        <v>8</v>
      </c>
      <c r="N328" t="s">
        <v>8</v>
      </c>
      <c r="P328">
        <f t="shared" si="969"/>
        <v>0.49234338747099854</v>
      </c>
      <c r="Q328">
        <f t="shared" si="970"/>
        <v>264947479.60556892</v>
      </c>
      <c r="R328">
        <f t="shared" si="971"/>
        <v>-386985887.40949404</v>
      </c>
      <c r="S328">
        <f t="shared" si="972"/>
        <v>-3869.8588740949403</v>
      </c>
      <c r="T328">
        <f t="shared" si="973"/>
        <v>-3.8698588740949402</v>
      </c>
    </row>
    <row r="329" spans="1:20" x14ac:dyDescent="0.25">
      <c r="A329" s="5">
        <v>44264</v>
      </c>
      <c r="B329">
        <v>5.2240000000000002E-2</v>
      </c>
      <c r="C329">
        <v>6.8199999999999997E-2</v>
      </c>
      <c r="D329">
        <v>5.0720000000000001E-2</v>
      </c>
      <c r="E329">
        <v>5.8999999999999997E-2</v>
      </c>
      <c r="F329">
        <v>394389520.19999999</v>
      </c>
      <c r="G329">
        <v>12.94</v>
      </c>
      <c r="L329" t="s">
        <v>8</v>
      </c>
      <c r="M329" t="s">
        <v>8</v>
      </c>
      <c r="N329" t="s">
        <v>8</v>
      </c>
      <c r="P329">
        <f t="shared" si="969"/>
        <v>-5.2631578947368675E-2</v>
      </c>
      <c r="Q329">
        <f t="shared" si="970"/>
        <v>-20757343.168421153</v>
      </c>
      <c r="R329">
        <f t="shared" si="971"/>
        <v>-651933367.01506293</v>
      </c>
      <c r="S329">
        <f t="shared" si="972"/>
        <v>-6519.3336701506296</v>
      </c>
      <c r="T329">
        <f t="shared" si="973"/>
        <v>-6.5193336701506297</v>
      </c>
    </row>
    <row r="330" spans="1:20" x14ac:dyDescent="0.25">
      <c r="A330" s="5">
        <v>44263</v>
      </c>
      <c r="B330">
        <v>4.53E-2</v>
      </c>
      <c r="C330">
        <v>5.2479999999999999E-2</v>
      </c>
      <c r="D330">
        <v>4.5190000000000001E-2</v>
      </c>
      <c r="E330">
        <v>5.2240000000000002E-2</v>
      </c>
      <c r="F330">
        <v>217484722.19999999</v>
      </c>
      <c r="G330">
        <v>15.32</v>
      </c>
      <c r="L330" t="s">
        <v>8</v>
      </c>
      <c r="M330" t="s">
        <v>8</v>
      </c>
      <c r="N330" t="s">
        <v>8</v>
      </c>
      <c r="P330">
        <f t="shared" si="969"/>
        <v>0.93415637860082379</v>
      </c>
      <c r="Q330">
        <f t="shared" si="970"/>
        <v>203164740.49135816</v>
      </c>
      <c r="R330">
        <f t="shared" si="971"/>
        <v>-631176023.84664178</v>
      </c>
      <c r="S330">
        <f t="shared" si="972"/>
        <v>-6311.7602384664178</v>
      </c>
      <c r="T330">
        <f t="shared" si="973"/>
        <v>-6.3117602384664178</v>
      </c>
    </row>
    <row r="331" spans="1:20" x14ac:dyDescent="0.25">
      <c r="A331" s="5">
        <v>44262</v>
      </c>
      <c r="B331">
        <v>4.2689999999999999E-2</v>
      </c>
      <c r="C331">
        <v>4.6190000000000002E-2</v>
      </c>
      <c r="D331">
        <v>4.2139999999999997E-2</v>
      </c>
      <c r="E331">
        <v>4.5249999999999999E-2</v>
      </c>
      <c r="F331">
        <v>85380110.900000006</v>
      </c>
      <c r="G331">
        <v>6</v>
      </c>
      <c r="L331" t="s">
        <v>8</v>
      </c>
      <c r="M331" t="s">
        <v>7</v>
      </c>
      <c r="N331" t="s">
        <v>8</v>
      </c>
      <c r="P331">
        <f t="shared" si="969"/>
        <v>0.53580246913580143</v>
      </c>
      <c r="Q331">
        <f t="shared" si="970"/>
        <v>45746874.235308558</v>
      </c>
      <c r="R331">
        <f t="shared" si="971"/>
        <v>-834340764.33799994</v>
      </c>
      <c r="S331">
        <f t="shared" si="972"/>
        <v>-8343.4076433800001</v>
      </c>
      <c r="T331">
        <f t="shared" si="973"/>
        <v>-8.3434076433800008</v>
      </c>
    </row>
    <row r="332" spans="1:20" x14ac:dyDescent="0.25">
      <c r="A332" s="5">
        <v>44261</v>
      </c>
      <c r="B332">
        <v>4.4450000000000003E-2</v>
      </c>
      <c r="C332">
        <v>4.573E-2</v>
      </c>
      <c r="D332">
        <v>4.1230000000000003E-2</v>
      </c>
      <c r="E332">
        <v>4.2720000000000001E-2</v>
      </c>
      <c r="F332">
        <v>136812029.69999999</v>
      </c>
      <c r="G332">
        <v>-3.89</v>
      </c>
      <c r="L332" t="s">
        <v>7</v>
      </c>
      <c r="M332" t="s">
        <v>7</v>
      </c>
      <c r="N332" t="s">
        <v>8</v>
      </c>
      <c r="P332">
        <f t="shared" si="969"/>
        <v>-0.33777777777777812</v>
      </c>
      <c r="Q332">
        <f t="shared" si="970"/>
        <v>-46212063.365333378</v>
      </c>
      <c r="R332">
        <f t="shared" si="971"/>
        <v>-880087638.57330847</v>
      </c>
      <c r="S332">
        <f t="shared" si="972"/>
        <v>-8800.876385733085</v>
      </c>
      <c r="T332">
        <f t="shared" si="973"/>
        <v>-8.8008763857330852</v>
      </c>
    </row>
    <row r="333" spans="1:20" x14ac:dyDescent="0.25">
      <c r="A333" s="5">
        <v>44260</v>
      </c>
      <c r="B333">
        <v>4.7219999999999998E-2</v>
      </c>
      <c r="C333">
        <v>5.3240000000000003E-2</v>
      </c>
      <c r="D333">
        <v>4.3299999999999998E-2</v>
      </c>
      <c r="E333">
        <v>4.444E-2</v>
      </c>
      <c r="F333">
        <v>419883403.60000002</v>
      </c>
      <c r="G333">
        <v>-5.89</v>
      </c>
      <c r="L333" t="s">
        <v>8</v>
      </c>
      <c r="M333" t="s">
        <v>8</v>
      </c>
      <c r="N333" t="s">
        <v>8</v>
      </c>
      <c r="P333">
        <f t="shared" si="969"/>
        <v>-0.77062374245472809</v>
      </c>
      <c r="Q333">
        <f t="shared" si="970"/>
        <v>-323572119.8768611</v>
      </c>
      <c r="R333">
        <f t="shared" si="971"/>
        <v>-833875575.20797515</v>
      </c>
      <c r="S333">
        <f t="shared" si="972"/>
        <v>-8338.7557520797509</v>
      </c>
      <c r="T333">
        <f t="shared" si="973"/>
        <v>-8.3387557520797504</v>
      </c>
    </row>
    <row r="334" spans="1:20" x14ac:dyDescent="0.25">
      <c r="A334" s="5">
        <v>44259</v>
      </c>
      <c r="B334">
        <v>3.8519999999999999E-2</v>
      </c>
      <c r="C334">
        <v>5.0500000000000003E-2</v>
      </c>
      <c r="D334">
        <v>3.7999999999999999E-2</v>
      </c>
      <c r="E334">
        <v>4.7230000000000001E-2</v>
      </c>
      <c r="F334">
        <v>345571065.39999998</v>
      </c>
      <c r="G334">
        <v>22.61</v>
      </c>
      <c r="L334" t="s">
        <v>8</v>
      </c>
      <c r="M334" t="s">
        <v>8</v>
      </c>
      <c r="N334" t="s">
        <v>8</v>
      </c>
      <c r="P334">
        <f t="shared" si="969"/>
        <v>0.47679999999999984</v>
      </c>
      <c r="Q334">
        <f t="shared" si="970"/>
        <v>164768283.98271993</v>
      </c>
      <c r="R334">
        <f t="shared" si="971"/>
        <v>-510303455.33111405</v>
      </c>
      <c r="S334">
        <f t="shared" si="972"/>
        <v>-5103.0345533111404</v>
      </c>
      <c r="T334">
        <f t="shared" si="973"/>
        <v>-5.1030345533111401</v>
      </c>
    </row>
    <row r="335" spans="1:20" x14ac:dyDescent="0.25">
      <c r="A335" s="5">
        <v>44258</v>
      </c>
      <c r="B335">
        <v>3.5360000000000003E-2</v>
      </c>
      <c r="C335">
        <v>0.04</v>
      </c>
      <c r="D335">
        <v>3.5229999999999997E-2</v>
      </c>
      <c r="E335">
        <v>3.8609999999999998E-2</v>
      </c>
      <c r="F335">
        <v>58031229.700000003</v>
      </c>
      <c r="G335">
        <v>9.19</v>
      </c>
      <c r="L335" t="s">
        <v>8</v>
      </c>
      <c r="M335" t="s">
        <v>8</v>
      </c>
      <c r="N335" t="s">
        <v>8</v>
      </c>
      <c r="P335">
        <f t="shared" si="969"/>
        <v>0.41719077568134116</v>
      </c>
      <c r="Q335">
        <f t="shared" si="970"/>
        <v>24210093.732285086</v>
      </c>
      <c r="R335">
        <f t="shared" si="971"/>
        <v>-675071739.31383395</v>
      </c>
      <c r="S335">
        <f t="shared" si="972"/>
        <v>-6750.7173931383395</v>
      </c>
      <c r="T335">
        <f t="shared" si="973"/>
        <v>-6.7507173931383395</v>
      </c>
    </row>
    <row r="336" spans="1:20" x14ac:dyDescent="0.25">
      <c r="A336" s="5">
        <v>44257</v>
      </c>
      <c r="B336">
        <v>3.5310000000000001E-2</v>
      </c>
      <c r="C336">
        <v>3.6310000000000002E-2</v>
      </c>
      <c r="D336">
        <v>3.3820000000000003E-2</v>
      </c>
      <c r="E336">
        <v>3.5360000000000003E-2</v>
      </c>
      <c r="F336">
        <v>47147610.700000003</v>
      </c>
      <c r="G336">
        <v>0.14000000000000001</v>
      </c>
      <c r="L336" t="s">
        <v>7</v>
      </c>
      <c r="M336" t="s">
        <v>8</v>
      </c>
      <c r="N336" t="s">
        <v>8</v>
      </c>
      <c r="P336">
        <f t="shared" si="969"/>
        <v>0.23694779116465881</v>
      </c>
      <c r="Q336">
        <f t="shared" si="970"/>
        <v>11171522.214056233</v>
      </c>
      <c r="R336">
        <f t="shared" si="971"/>
        <v>-699281833.04611909</v>
      </c>
      <c r="S336">
        <f t="shared" si="972"/>
        <v>-6992.8183304611912</v>
      </c>
      <c r="T336">
        <f t="shared" si="973"/>
        <v>-6.9928183304611915</v>
      </c>
    </row>
    <row r="337" spans="1:20" x14ac:dyDescent="0.25">
      <c r="A337" s="5">
        <v>44256</v>
      </c>
      <c r="B337">
        <v>3.356E-2</v>
      </c>
      <c r="C337">
        <v>3.6729999999999999E-2</v>
      </c>
      <c r="D337">
        <v>3.3230000000000003E-2</v>
      </c>
      <c r="E337">
        <v>3.5249999999999997E-2</v>
      </c>
      <c r="F337">
        <v>45271929.600000001</v>
      </c>
      <c r="G337">
        <v>5.04</v>
      </c>
      <c r="L337" t="s">
        <v>8</v>
      </c>
      <c r="M337" t="s">
        <v>8</v>
      </c>
      <c r="N337" t="s">
        <v>8</v>
      </c>
      <c r="P337">
        <f t="shared" si="969"/>
        <v>0.15428571428571214</v>
      </c>
      <c r="Q337">
        <f t="shared" si="970"/>
        <v>6984811.9954284746</v>
      </c>
      <c r="R337">
        <f t="shared" si="971"/>
        <v>-710453355.26017535</v>
      </c>
      <c r="S337">
        <f t="shared" si="972"/>
        <v>-7104.5335526017534</v>
      </c>
      <c r="T337">
        <f t="shared" si="973"/>
        <v>-7.1045335526017537</v>
      </c>
    </row>
    <row r="338" spans="1:20" x14ac:dyDescent="0.25">
      <c r="A338" s="5">
        <v>44255</v>
      </c>
      <c r="B338">
        <v>3.6609999999999997E-2</v>
      </c>
      <c r="C338">
        <v>3.6889999999999999E-2</v>
      </c>
      <c r="D338">
        <v>3.0949999999999998E-2</v>
      </c>
      <c r="E338">
        <v>3.3450000000000001E-2</v>
      </c>
      <c r="F338">
        <v>86925967.299999997</v>
      </c>
      <c r="G338">
        <v>-8.6300000000000008</v>
      </c>
      <c r="L338" t="s">
        <v>7</v>
      </c>
      <c r="M338" t="s">
        <v>7</v>
      </c>
      <c r="N338" t="s">
        <v>8</v>
      </c>
      <c r="P338">
        <f t="shared" si="969"/>
        <v>-0.15824915824915761</v>
      </c>
      <c r="Q338">
        <f t="shared" si="970"/>
        <v>-13755961.155218799</v>
      </c>
      <c r="R338">
        <f t="shared" si="971"/>
        <v>-717438167.25560379</v>
      </c>
      <c r="S338">
        <f t="shared" si="972"/>
        <v>-7174.3816725560382</v>
      </c>
      <c r="T338">
        <f t="shared" si="973"/>
        <v>-7.1743816725560379</v>
      </c>
    </row>
    <row r="339" spans="1:20" x14ac:dyDescent="0.25">
      <c r="A339" s="5">
        <v>44254</v>
      </c>
      <c r="B339">
        <v>3.2030000000000003E-2</v>
      </c>
      <c r="C339">
        <v>4.2000000000000003E-2</v>
      </c>
      <c r="D339">
        <v>3.2030000000000003E-2</v>
      </c>
      <c r="E339">
        <v>3.662E-2</v>
      </c>
      <c r="F339">
        <v>154415320.09999999</v>
      </c>
      <c r="G339">
        <v>14.33</v>
      </c>
      <c r="L339" t="s">
        <v>8</v>
      </c>
      <c r="M339" t="s">
        <v>8</v>
      </c>
      <c r="N339" t="s">
        <v>8</v>
      </c>
      <c r="P339">
        <f t="shared" si="969"/>
        <v>-7.9237713139418853E-2</v>
      </c>
      <c r="Q339">
        <f t="shared" si="970"/>
        <v>-12235516.838415338</v>
      </c>
      <c r="R339">
        <f t="shared" si="971"/>
        <v>-703682206.10038495</v>
      </c>
      <c r="S339">
        <f t="shared" si="972"/>
        <v>-7036.8220610038497</v>
      </c>
      <c r="T339">
        <f t="shared" si="973"/>
        <v>-7.0368220610038499</v>
      </c>
    </row>
    <row r="340" spans="1:20" x14ac:dyDescent="0.25">
      <c r="A340" s="5">
        <v>44253</v>
      </c>
      <c r="B340">
        <v>3.3079999999999998E-2</v>
      </c>
      <c r="C340">
        <v>3.56E-2</v>
      </c>
      <c r="D340">
        <v>3.0290000000000001E-2</v>
      </c>
      <c r="E340">
        <v>3.1989999999999998E-2</v>
      </c>
      <c r="F340">
        <v>65151446.899999999</v>
      </c>
      <c r="G340">
        <v>-3.3</v>
      </c>
      <c r="L340" t="s">
        <v>7</v>
      </c>
      <c r="M340" t="s">
        <v>7</v>
      </c>
      <c r="N340" t="s">
        <v>8</v>
      </c>
      <c r="P340">
        <f t="shared" si="969"/>
        <v>-0.35969868173258113</v>
      </c>
      <c r="Q340">
        <f t="shared" si="970"/>
        <v>-23434889.56290026</v>
      </c>
      <c r="R340">
        <f t="shared" si="971"/>
        <v>-691446689.26196957</v>
      </c>
      <c r="S340">
        <f t="shared" si="972"/>
        <v>-6914.4668926196955</v>
      </c>
      <c r="T340">
        <f t="shared" si="973"/>
        <v>-6.9144668926196955</v>
      </c>
    </row>
    <row r="341" spans="1:20" x14ac:dyDescent="0.25">
      <c r="A341" s="5">
        <v>44252</v>
      </c>
      <c r="B341">
        <v>3.2579999999999998E-2</v>
      </c>
      <c r="C341">
        <v>3.7850000000000002E-2</v>
      </c>
      <c r="D341">
        <v>3.184E-2</v>
      </c>
      <c r="E341">
        <v>3.3070000000000002E-2</v>
      </c>
      <c r="F341">
        <v>73975621.400000006</v>
      </c>
      <c r="G341">
        <v>1.5</v>
      </c>
      <c r="L341" t="s">
        <v>8</v>
      </c>
      <c r="M341" t="s">
        <v>8</v>
      </c>
      <c r="N341" t="s">
        <v>8</v>
      </c>
      <c r="P341">
        <f t="shared" si="969"/>
        <v>-0.59068219633943375</v>
      </c>
      <c r="Q341">
        <f t="shared" si="970"/>
        <v>-43696082.524126418</v>
      </c>
      <c r="R341">
        <f t="shared" si="971"/>
        <v>-668011799.69906926</v>
      </c>
      <c r="S341">
        <f t="shared" si="972"/>
        <v>-6680.1179969906925</v>
      </c>
      <c r="T341">
        <f t="shared" si="973"/>
        <v>-6.6801179969906928</v>
      </c>
    </row>
    <row r="342" spans="1:20" x14ac:dyDescent="0.25">
      <c r="A342" s="5">
        <v>44251</v>
      </c>
      <c r="B342">
        <v>3.107E-2</v>
      </c>
      <c r="C342">
        <v>3.4619999999999998E-2</v>
      </c>
      <c r="D342">
        <v>2.9190000000000001E-2</v>
      </c>
      <c r="E342">
        <v>3.2590000000000001E-2</v>
      </c>
      <c r="F342">
        <v>51980555.700000003</v>
      </c>
      <c r="G342">
        <v>4.8899999999999997</v>
      </c>
      <c r="L342" t="s">
        <v>8</v>
      </c>
      <c r="M342" t="s">
        <v>8</v>
      </c>
      <c r="N342" t="s">
        <v>7</v>
      </c>
      <c r="P342">
        <f t="shared" si="969"/>
        <v>0.25230202578268945</v>
      </c>
      <c r="Q342">
        <f t="shared" si="970"/>
        <v>13114799.504419927</v>
      </c>
      <c r="R342">
        <f t="shared" si="971"/>
        <v>-624315717.17494285</v>
      </c>
      <c r="S342">
        <f t="shared" si="972"/>
        <v>-6243.1571717494289</v>
      </c>
      <c r="T342">
        <f t="shared" si="973"/>
        <v>-6.243157171749429</v>
      </c>
    </row>
    <row r="343" spans="1:20" x14ac:dyDescent="0.25">
      <c r="A343" s="5">
        <v>44250</v>
      </c>
      <c r="B343">
        <v>3.9940000000000003E-2</v>
      </c>
      <c r="C343">
        <v>4.0030000000000003E-2</v>
      </c>
      <c r="D343">
        <v>2.572E-2</v>
      </c>
      <c r="E343">
        <v>3.1109999999999999E-2</v>
      </c>
      <c r="F343">
        <v>119179671.8</v>
      </c>
      <c r="G343">
        <v>-22.11</v>
      </c>
      <c r="L343" t="s">
        <v>7</v>
      </c>
      <c r="M343" t="s">
        <v>7</v>
      </c>
      <c r="N343" t="s">
        <v>7</v>
      </c>
      <c r="P343">
        <f t="shared" si="969"/>
        <v>-0.24668064290705832</v>
      </c>
      <c r="Q343">
        <f t="shared" si="970"/>
        <v>-29399318.061076209</v>
      </c>
      <c r="R343">
        <f t="shared" si="971"/>
        <v>-637430516.67936277</v>
      </c>
      <c r="S343">
        <f t="shared" si="972"/>
        <v>-6374.3051667936279</v>
      </c>
      <c r="T343">
        <f t="shared" si="973"/>
        <v>-6.3743051667936275</v>
      </c>
    </row>
    <row r="344" spans="1:20" x14ac:dyDescent="0.25">
      <c r="A344" s="5">
        <v>44249</v>
      </c>
      <c r="B344">
        <v>4.3589999999999997E-2</v>
      </c>
      <c r="C344">
        <v>4.4400000000000002E-2</v>
      </c>
      <c r="D344">
        <v>3.4500000000000003E-2</v>
      </c>
      <c r="E344">
        <v>3.9870000000000003E-2</v>
      </c>
      <c r="F344">
        <v>85648666.799999997</v>
      </c>
      <c r="G344">
        <v>-8.5299999999999994</v>
      </c>
      <c r="L344" t="s">
        <v>7</v>
      </c>
      <c r="M344" t="s">
        <v>7</v>
      </c>
      <c r="N344" t="s">
        <v>7</v>
      </c>
      <c r="P344">
        <f t="shared" si="969"/>
        <v>8.4848484848484909E-2</v>
      </c>
      <c r="Q344">
        <f t="shared" si="970"/>
        <v>7267159.6072727321</v>
      </c>
      <c r="R344">
        <f t="shared" si="971"/>
        <v>-608031198.61828661</v>
      </c>
      <c r="S344">
        <f t="shared" si="972"/>
        <v>-6080.3119861828663</v>
      </c>
      <c r="T344">
        <f t="shared" si="973"/>
        <v>-6.0803119861828661</v>
      </c>
    </row>
    <row r="345" spans="1:20" x14ac:dyDescent="0.25">
      <c r="A345" s="5">
        <v>44248</v>
      </c>
      <c r="B345">
        <v>4.3729999999999998E-2</v>
      </c>
      <c r="C345">
        <v>4.6210000000000001E-2</v>
      </c>
      <c r="D345">
        <v>4.2320000000000003E-2</v>
      </c>
      <c r="E345">
        <v>4.36E-2</v>
      </c>
      <c r="F345">
        <v>64067708.600000001</v>
      </c>
      <c r="G345">
        <v>-0.3</v>
      </c>
      <c r="L345" t="s">
        <v>7</v>
      </c>
      <c r="M345" t="s">
        <v>7</v>
      </c>
      <c r="N345" t="s">
        <v>8</v>
      </c>
      <c r="P345">
        <f t="shared" si="969"/>
        <v>-0.3419023136246801</v>
      </c>
      <c r="Q345">
        <f t="shared" si="970"/>
        <v>-21904897.798971813</v>
      </c>
      <c r="R345">
        <f t="shared" si="971"/>
        <v>-615298358.22555935</v>
      </c>
      <c r="S345">
        <f t="shared" si="972"/>
        <v>-6152.9835822555933</v>
      </c>
      <c r="T345">
        <f t="shared" si="973"/>
        <v>-6.1529835822555929</v>
      </c>
    </row>
    <row r="346" spans="1:20" x14ac:dyDescent="0.25">
      <c r="A346" s="5">
        <v>44247</v>
      </c>
      <c r="B346">
        <v>4.7759999999999997E-2</v>
      </c>
      <c r="C346">
        <v>4.9500000000000002E-2</v>
      </c>
      <c r="D346">
        <v>4.1660000000000003E-2</v>
      </c>
      <c r="E346">
        <v>4.3799999999999999E-2</v>
      </c>
      <c r="F346">
        <v>92055684.700000003</v>
      </c>
      <c r="G346">
        <v>-8.2899999999999991</v>
      </c>
      <c r="L346" t="s">
        <v>8</v>
      </c>
      <c r="M346" t="s">
        <v>7</v>
      </c>
      <c r="N346" t="s">
        <v>8</v>
      </c>
      <c r="P346">
        <f t="shared" si="969"/>
        <v>-0.45408163265306223</v>
      </c>
      <c r="Q346">
        <f t="shared" si="970"/>
        <v>-41800795.603571519</v>
      </c>
      <c r="R346">
        <f t="shared" si="971"/>
        <v>-593393460.42658758</v>
      </c>
      <c r="S346">
        <f t="shared" si="972"/>
        <v>-5933.9346042658763</v>
      </c>
      <c r="T346">
        <f t="shared" si="973"/>
        <v>-5.9339346042658763</v>
      </c>
    </row>
    <row r="347" spans="1:20" x14ac:dyDescent="0.25">
      <c r="A347" s="5">
        <v>44246</v>
      </c>
      <c r="B347">
        <v>4.403E-2</v>
      </c>
      <c r="C347">
        <v>4.8680000000000001E-2</v>
      </c>
      <c r="D347">
        <v>4.172E-2</v>
      </c>
      <c r="E347">
        <v>4.7759999999999997E-2</v>
      </c>
      <c r="F347">
        <v>121066194.5</v>
      </c>
      <c r="G347">
        <v>8.4700000000000006</v>
      </c>
      <c r="L347" t="s">
        <v>8</v>
      </c>
      <c r="M347" t="s">
        <v>8</v>
      </c>
      <c r="N347" t="s">
        <v>8</v>
      </c>
      <c r="P347">
        <f t="shared" si="969"/>
        <v>0.73563218390804486</v>
      </c>
      <c r="Q347">
        <f t="shared" si="970"/>
        <v>89060189.057471126</v>
      </c>
      <c r="R347">
        <f t="shared" si="971"/>
        <v>-551592664.82301605</v>
      </c>
      <c r="S347">
        <f t="shared" si="972"/>
        <v>-5515.92664823016</v>
      </c>
      <c r="T347">
        <f t="shared" si="973"/>
        <v>-5.5159266482301597</v>
      </c>
    </row>
    <row r="348" spans="1:20" x14ac:dyDescent="0.25">
      <c r="A348" s="5">
        <v>44245</v>
      </c>
      <c r="B348">
        <v>4.02E-2</v>
      </c>
      <c r="C348">
        <v>4.5760000000000002E-2</v>
      </c>
      <c r="D348">
        <v>4.0009999999999997E-2</v>
      </c>
      <c r="E348">
        <v>4.403E-2</v>
      </c>
      <c r="F348">
        <v>92997820</v>
      </c>
      <c r="G348">
        <v>9.5299999999999994</v>
      </c>
      <c r="L348" t="s">
        <v>8</v>
      </c>
      <c r="M348" t="s">
        <v>8</v>
      </c>
      <c r="N348" t="s">
        <v>8</v>
      </c>
      <c r="P348">
        <f t="shared" si="969"/>
        <v>0.39826086956521711</v>
      </c>
      <c r="Q348">
        <f t="shared" si="970"/>
        <v>37037392.660869539</v>
      </c>
      <c r="R348">
        <f t="shared" si="971"/>
        <v>-640652853.8804872</v>
      </c>
      <c r="S348">
        <f t="shared" si="972"/>
        <v>-6406.5285388048724</v>
      </c>
      <c r="T348">
        <f t="shared" si="973"/>
        <v>-6.4065285388048725</v>
      </c>
    </row>
    <row r="349" spans="1:20" x14ac:dyDescent="0.25">
      <c r="A349" s="5">
        <v>44244</v>
      </c>
      <c r="B349">
        <v>3.916E-2</v>
      </c>
      <c r="C349">
        <v>4.2000000000000003E-2</v>
      </c>
      <c r="D349">
        <v>3.6670000000000001E-2</v>
      </c>
      <c r="E349">
        <v>4.0160000000000001E-2</v>
      </c>
      <c r="F349">
        <v>72165542.200000003</v>
      </c>
      <c r="G349">
        <v>2.5499999999999998</v>
      </c>
      <c r="L349" t="s">
        <v>7</v>
      </c>
      <c r="M349" t="s">
        <v>8</v>
      </c>
      <c r="N349" t="s">
        <v>8</v>
      </c>
      <c r="P349">
        <f t="shared" si="969"/>
        <v>0.3095684803001873</v>
      </c>
      <c r="Q349">
        <f t="shared" si="970"/>
        <v>22340177.228893038</v>
      </c>
      <c r="R349">
        <f t="shared" si="971"/>
        <v>-677690246.5413568</v>
      </c>
      <c r="S349">
        <f t="shared" si="972"/>
        <v>-6776.9024654135683</v>
      </c>
      <c r="T349">
        <f t="shared" si="973"/>
        <v>-6.7769024654135679</v>
      </c>
    </row>
    <row r="350" spans="1:20" x14ac:dyDescent="0.25">
      <c r="A350" s="5">
        <v>44243</v>
      </c>
      <c r="B350">
        <v>3.9480000000000001E-2</v>
      </c>
      <c r="C350">
        <v>4.3580000000000001E-2</v>
      </c>
      <c r="D350">
        <v>3.7679999999999998E-2</v>
      </c>
      <c r="E350">
        <v>3.918E-2</v>
      </c>
      <c r="F350">
        <v>86036269</v>
      </c>
      <c r="G350">
        <v>-0.76</v>
      </c>
      <c r="L350" t="s">
        <v>8</v>
      </c>
      <c r="M350" t="s">
        <v>8</v>
      </c>
      <c r="N350" t="s">
        <v>8</v>
      </c>
      <c r="P350">
        <f t="shared" si="969"/>
        <v>-0.4915254237288133</v>
      </c>
      <c r="Q350">
        <f t="shared" si="970"/>
        <v>-42289013.576271161</v>
      </c>
      <c r="R350">
        <f t="shared" si="971"/>
        <v>-700030423.77024984</v>
      </c>
      <c r="S350">
        <f t="shared" si="972"/>
        <v>-7000.3042377024985</v>
      </c>
      <c r="T350">
        <f t="shared" si="973"/>
        <v>-7.0003042377024984</v>
      </c>
    </row>
    <row r="351" spans="1:20" x14ac:dyDescent="0.25">
      <c r="A351" s="5">
        <v>44242</v>
      </c>
      <c r="B351">
        <v>4.088E-2</v>
      </c>
      <c r="C351">
        <v>4.4429999999999997E-2</v>
      </c>
      <c r="D351">
        <v>3.4709999999999998E-2</v>
      </c>
      <c r="E351">
        <v>3.9449999999999999E-2</v>
      </c>
      <c r="F351">
        <v>144741787.30000001</v>
      </c>
      <c r="G351">
        <v>-3.5</v>
      </c>
      <c r="L351" t="s">
        <v>7</v>
      </c>
      <c r="M351" t="s">
        <v>7</v>
      </c>
      <c r="N351" t="s">
        <v>8</v>
      </c>
      <c r="P351">
        <f t="shared" si="969"/>
        <v>-2.4691358024691069E-2</v>
      </c>
      <c r="Q351">
        <f t="shared" si="970"/>
        <v>-3573871.2913579829</v>
      </c>
      <c r="R351">
        <f t="shared" si="971"/>
        <v>-657741410.19397867</v>
      </c>
      <c r="S351">
        <f t="shared" si="972"/>
        <v>-6577.4141019397866</v>
      </c>
      <c r="T351">
        <f t="shared" si="973"/>
        <v>-6.5774141019397865</v>
      </c>
    </row>
    <row r="352" spans="1:20" x14ac:dyDescent="0.25">
      <c r="A352" s="5">
        <v>44241</v>
      </c>
      <c r="B352">
        <v>4.4450000000000003E-2</v>
      </c>
      <c r="C352">
        <v>4.4769999999999997E-2</v>
      </c>
      <c r="D352">
        <v>4.0120000000000003E-2</v>
      </c>
      <c r="E352">
        <v>4.0800000000000003E-2</v>
      </c>
      <c r="F352">
        <v>108145290.09999999</v>
      </c>
      <c r="G352">
        <v>-8.2100000000000009</v>
      </c>
      <c r="L352" t="s">
        <v>7</v>
      </c>
      <c r="M352" t="s">
        <v>8</v>
      </c>
      <c r="N352" t="s">
        <v>8</v>
      </c>
      <c r="P352">
        <f t="shared" si="969"/>
        <v>-0.70752688172042977</v>
      </c>
      <c r="Q352">
        <f t="shared" si="970"/>
        <v>-76515699.877204254</v>
      </c>
      <c r="R352">
        <f t="shared" si="971"/>
        <v>-654167538.90262067</v>
      </c>
      <c r="S352">
        <f t="shared" si="972"/>
        <v>-6541.6753890262071</v>
      </c>
      <c r="T352">
        <f t="shared" si="973"/>
        <v>-6.5416753890262074</v>
      </c>
    </row>
    <row r="353" spans="1:20" x14ac:dyDescent="0.25">
      <c r="A353" s="5">
        <v>44240</v>
      </c>
      <c r="B353">
        <v>4.3369999999999999E-2</v>
      </c>
      <c r="C353">
        <v>4.5780000000000001E-2</v>
      </c>
      <c r="D353">
        <v>3.9899999999999998E-2</v>
      </c>
      <c r="E353">
        <v>4.4450000000000003E-2</v>
      </c>
      <c r="F353">
        <v>164257257.30000001</v>
      </c>
      <c r="G353">
        <v>2.4900000000000002</v>
      </c>
      <c r="L353" t="s">
        <v>8</v>
      </c>
      <c r="M353" t="s">
        <v>8</v>
      </c>
      <c r="N353" t="s">
        <v>8</v>
      </c>
      <c r="P353">
        <f t="shared" si="969"/>
        <v>0.54761904761904856</v>
      </c>
      <c r="Q353">
        <f t="shared" si="970"/>
        <v>89950402.807143018</v>
      </c>
      <c r="R353">
        <f t="shared" si="971"/>
        <v>-577651839.02541637</v>
      </c>
      <c r="S353">
        <f t="shared" si="972"/>
        <v>-5776.5183902541639</v>
      </c>
      <c r="T353">
        <f t="shared" si="973"/>
        <v>-5.7765183902541644</v>
      </c>
    </row>
    <row r="354" spans="1:20" x14ac:dyDescent="0.25">
      <c r="A354" s="5">
        <v>44239</v>
      </c>
      <c r="B354">
        <v>3.8429999999999999E-2</v>
      </c>
      <c r="C354">
        <v>4.4490000000000002E-2</v>
      </c>
      <c r="D354">
        <v>3.7170000000000002E-2</v>
      </c>
      <c r="E354">
        <v>4.3339999999999997E-2</v>
      </c>
      <c r="F354">
        <v>181691739.80000001</v>
      </c>
      <c r="G354">
        <v>12.78</v>
      </c>
      <c r="L354" t="s">
        <v>8</v>
      </c>
      <c r="M354" t="s">
        <v>8</v>
      </c>
      <c r="N354" t="s">
        <v>8</v>
      </c>
      <c r="P354">
        <f t="shared" si="969"/>
        <v>0.6857923497267745</v>
      </c>
      <c r="Q354">
        <f t="shared" si="970"/>
        <v>124602805.16338772</v>
      </c>
      <c r="R354">
        <f t="shared" si="971"/>
        <v>-667602241.83255935</v>
      </c>
      <c r="S354">
        <f t="shared" si="972"/>
        <v>-6676.0224183255932</v>
      </c>
      <c r="T354">
        <f t="shared" si="973"/>
        <v>-6.6760224183255934</v>
      </c>
    </row>
    <row r="355" spans="1:20" x14ac:dyDescent="0.25">
      <c r="A355" s="5">
        <v>44238</v>
      </c>
      <c r="B355">
        <v>3.4930000000000003E-2</v>
      </c>
      <c r="C355">
        <v>3.9100000000000003E-2</v>
      </c>
      <c r="D355">
        <v>3.3599999999999998E-2</v>
      </c>
      <c r="E355">
        <v>3.848E-2</v>
      </c>
      <c r="F355">
        <v>157423706.30000001</v>
      </c>
      <c r="G355">
        <v>10.16</v>
      </c>
      <c r="L355" t="s">
        <v>8</v>
      </c>
      <c r="M355" t="s">
        <v>8</v>
      </c>
      <c r="N355" t="s">
        <v>8</v>
      </c>
      <c r="P355">
        <f t="shared" si="969"/>
        <v>0.77454545454545387</v>
      </c>
      <c r="Q355">
        <f t="shared" si="970"/>
        <v>121931816.15236354</v>
      </c>
      <c r="R355">
        <f t="shared" si="971"/>
        <v>-792205046.99594712</v>
      </c>
      <c r="S355">
        <f t="shared" si="972"/>
        <v>-7922.0504699594712</v>
      </c>
      <c r="T355">
        <f t="shared" si="973"/>
        <v>-7.9220504699594709</v>
      </c>
    </row>
    <row r="356" spans="1:20" x14ac:dyDescent="0.25">
      <c r="A356" s="5">
        <v>44237</v>
      </c>
      <c r="B356">
        <v>3.3110000000000001E-2</v>
      </c>
      <c r="C356">
        <v>3.56E-2</v>
      </c>
      <c r="D356">
        <v>3.0120000000000001E-2</v>
      </c>
      <c r="E356">
        <v>3.4909999999999997E-2</v>
      </c>
      <c r="F356">
        <v>165662069.30000001</v>
      </c>
      <c r="G356">
        <v>5.44</v>
      </c>
      <c r="L356" t="s">
        <v>8</v>
      </c>
      <c r="M356" t="s">
        <v>8</v>
      </c>
      <c r="N356" t="s">
        <v>8</v>
      </c>
      <c r="P356">
        <f t="shared" si="969"/>
        <v>0.74817518248175063</v>
      </c>
      <c r="Q356">
        <f t="shared" si="970"/>
        <v>123944248.92883193</v>
      </c>
      <c r="R356">
        <f t="shared" si="971"/>
        <v>-914136863.14831066</v>
      </c>
      <c r="S356">
        <f t="shared" si="972"/>
        <v>-9141.3686314831066</v>
      </c>
      <c r="T356">
        <f t="shared" si="973"/>
        <v>-9.1413686314831057</v>
      </c>
    </row>
    <row r="357" spans="1:20" x14ac:dyDescent="0.25">
      <c r="A357" s="5">
        <v>44236</v>
      </c>
      <c r="B357">
        <v>3.0589999999999999E-2</v>
      </c>
      <c r="C357">
        <v>3.4880000000000001E-2</v>
      </c>
      <c r="D357">
        <v>0.03</v>
      </c>
      <c r="E357">
        <v>3.3099999999999997E-2</v>
      </c>
      <c r="F357">
        <v>167534219.40000001</v>
      </c>
      <c r="G357">
        <v>8.2100000000000009</v>
      </c>
      <c r="L357" t="s">
        <v>8</v>
      </c>
      <c r="M357" t="s">
        <v>8</v>
      </c>
      <c r="N357" t="s">
        <v>8</v>
      </c>
      <c r="P357">
        <f t="shared" si="969"/>
        <v>0.27049180327868733</v>
      </c>
      <c r="Q357">
        <f t="shared" si="970"/>
        <v>45316633.116393246</v>
      </c>
      <c r="R357">
        <f t="shared" si="971"/>
        <v>-1038081112.0771426</v>
      </c>
      <c r="S357">
        <f t="shared" si="972"/>
        <v>-10380.811120771426</v>
      </c>
      <c r="T357">
        <f t="shared" si="973"/>
        <v>-10.380811120771426</v>
      </c>
    </row>
    <row r="358" spans="1:20" x14ac:dyDescent="0.25">
      <c r="A358" s="5">
        <v>44235</v>
      </c>
      <c r="B358">
        <v>2.895E-2</v>
      </c>
      <c r="C358">
        <v>3.1189999999999999E-2</v>
      </c>
      <c r="D358">
        <v>2.861E-2</v>
      </c>
      <c r="E358">
        <v>3.0499999999999999E-2</v>
      </c>
      <c r="F358">
        <v>138006522.5</v>
      </c>
      <c r="G358">
        <v>5.35</v>
      </c>
      <c r="L358" t="s">
        <v>8</v>
      </c>
      <c r="M358" t="s">
        <v>8</v>
      </c>
      <c r="N358" t="s">
        <v>8</v>
      </c>
      <c r="P358">
        <f t="shared" si="969"/>
        <v>0.46511627906976749</v>
      </c>
      <c r="Q358">
        <f t="shared" si="970"/>
        <v>64189080.232558146</v>
      </c>
      <c r="R358">
        <f t="shared" si="971"/>
        <v>-1083397745.1935358</v>
      </c>
      <c r="S358">
        <f t="shared" si="972"/>
        <v>-10833.977451935358</v>
      </c>
      <c r="T358">
        <f t="shared" si="973"/>
        <v>-10.833977451935358</v>
      </c>
    </row>
    <row r="359" spans="1:20" x14ac:dyDescent="0.25">
      <c r="A359" s="5">
        <v>44234</v>
      </c>
      <c r="B359">
        <v>2.937E-2</v>
      </c>
      <c r="C359">
        <v>2.9600000000000001E-2</v>
      </c>
      <c r="D359">
        <v>2.7310000000000001E-2</v>
      </c>
      <c r="E359">
        <v>2.8899999999999999E-2</v>
      </c>
      <c r="F359">
        <v>87087491.299999997</v>
      </c>
      <c r="G359">
        <v>-1.6</v>
      </c>
      <c r="L359" t="s">
        <v>7</v>
      </c>
      <c r="M359" t="s">
        <v>8</v>
      </c>
      <c r="N359" t="s">
        <v>8</v>
      </c>
      <c r="P359">
        <f t="shared" si="969"/>
        <v>0.38864628820960473</v>
      </c>
      <c r="Q359">
        <f t="shared" si="970"/>
        <v>33846230.243231244</v>
      </c>
      <c r="R359">
        <f t="shared" si="971"/>
        <v>-1147586825.4260941</v>
      </c>
      <c r="S359">
        <f t="shared" si="972"/>
        <v>-11475.86825426094</v>
      </c>
      <c r="T359">
        <f t="shared" si="973"/>
        <v>-11.47586825426094</v>
      </c>
    </row>
    <row r="360" spans="1:20" x14ac:dyDescent="0.25">
      <c r="A360" s="5">
        <v>44233</v>
      </c>
      <c r="B360">
        <v>3.175E-2</v>
      </c>
      <c r="C360">
        <v>3.2140000000000002E-2</v>
      </c>
      <c r="D360">
        <v>2.8320000000000001E-2</v>
      </c>
      <c r="E360">
        <v>2.9389999999999999E-2</v>
      </c>
      <c r="F360">
        <v>121125501.09999999</v>
      </c>
      <c r="G360">
        <v>-7.43</v>
      </c>
      <c r="L360" t="s">
        <v>7</v>
      </c>
      <c r="M360" t="s">
        <v>8</v>
      </c>
      <c r="N360" t="s">
        <v>8</v>
      </c>
      <c r="P360">
        <f t="shared" si="969"/>
        <v>-0.43979057591623144</v>
      </c>
      <c r="Q360">
        <f t="shared" si="970"/>
        <v>-53269853.886911124</v>
      </c>
      <c r="R360">
        <f t="shared" si="971"/>
        <v>-1181433055.6693254</v>
      </c>
      <c r="S360">
        <f t="shared" si="972"/>
        <v>-11814.330556693254</v>
      </c>
      <c r="T360">
        <f t="shared" si="973"/>
        <v>-11.814330556693253</v>
      </c>
    </row>
    <row r="361" spans="1:20" x14ac:dyDescent="0.25">
      <c r="A361" s="5">
        <v>44232</v>
      </c>
      <c r="B361">
        <v>2.947E-2</v>
      </c>
      <c r="C361">
        <v>3.2149999999999998E-2</v>
      </c>
      <c r="D361">
        <v>2.938E-2</v>
      </c>
      <c r="E361">
        <v>3.1789999999999999E-2</v>
      </c>
      <c r="F361">
        <v>198460841.59999999</v>
      </c>
      <c r="G361">
        <v>7.87</v>
      </c>
      <c r="L361" t="s">
        <v>8</v>
      </c>
      <c r="M361" t="s">
        <v>8</v>
      </c>
      <c r="N361" t="s">
        <v>8</v>
      </c>
      <c r="P361">
        <f t="shared" si="969"/>
        <v>0.7400722021660654</v>
      </c>
      <c r="Q361">
        <f t="shared" si="970"/>
        <v>146875352.08664268</v>
      </c>
      <c r="R361">
        <f t="shared" si="971"/>
        <v>-1128163201.7824142</v>
      </c>
      <c r="S361">
        <f t="shared" si="972"/>
        <v>-11281.632017824142</v>
      </c>
      <c r="T361">
        <f t="shared" si="973"/>
        <v>-11.281632017824142</v>
      </c>
    </row>
    <row r="362" spans="1:20" x14ac:dyDescent="0.25">
      <c r="A362" s="5">
        <v>44231</v>
      </c>
      <c r="B362">
        <v>2.835E-2</v>
      </c>
      <c r="C362">
        <v>3.0370000000000001E-2</v>
      </c>
      <c r="D362">
        <v>2.7230000000000001E-2</v>
      </c>
      <c r="E362">
        <v>2.9430000000000001E-2</v>
      </c>
      <c r="F362">
        <v>154006651.30000001</v>
      </c>
      <c r="G362">
        <v>3.81</v>
      </c>
      <c r="L362" t="s">
        <v>7</v>
      </c>
      <c r="M362" t="s">
        <v>8</v>
      </c>
      <c r="N362" t="s">
        <v>8</v>
      </c>
      <c r="P362">
        <f t="shared" si="969"/>
        <v>0.40127388535031866</v>
      </c>
      <c r="Q362">
        <f t="shared" si="970"/>
        <v>61798847.33694271</v>
      </c>
      <c r="R362">
        <f t="shared" si="971"/>
        <v>-1275038553.8690569</v>
      </c>
      <c r="S362">
        <f t="shared" si="972"/>
        <v>-12750.385538690569</v>
      </c>
      <c r="T362">
        <f t="shared" si="973"/>
        <v>-12.750385538690569</v>
      </c>
    </row>
    <row r="363" spans="1:20" x14ac:dyDescent="0.25">
      <c r="A363" s="5">
        <v>44230</v>
      </c>
      <c r="B363">
        <v>2.767E-2</v>
      </c>
      <c r="C363">
        <v>3.0499999999999999E-2</v>
      </c>
      <c r="D363">
        <v>2.7560000000000001E-2</v>
      </c>
      <c r="E363">
        <v>2.8340000000000001E-2</v>
      </c>
      <c r="F363">
        <v>165697102.90000001</v>
      </c>
      <c r="G363">
        <v>2.42</v>
      </c>
      <c r="L363" t="s">
        <v>8</v>
      </c>
      <c r="M363" t="s">
        <v>8</v>
      </c>
      <c r="N363" t="s">
        <v>8</v>
      </c>
      <c r="P363">
        <f t="shared" si="969"/>
        <v>-0.46938775510204084</v>
      </c>
      <c r="Q363">
        <f t="shared" si="970"/>
        <v>-77776191.157142863</v>
      </c>
      <c r="R363">
        <f t="shared" si="971"/>
        <v>-1336837401.2059996</v>
      </c>
      <c r="S363">
        <f t="shared" si="972"/>
        <v>-13368.374012059996</v>
      </c>
      <c r="T363">
        <f t="shared" si="973"/>
        <v>-13.368374012059997</v>
      </c>
    </row>
    <row r="364" spans="1:20" x14ac:dyDescent="0.25">
      <c r="A364" s="5">
        <v>44229</v>
      </c>
      <c r="B364">
        <v>2.588E-2</v>
      </c>
      <c r="C364">
        <v>2.8369999999999999E-2</v>
      </c>
      <c r="D364">
        <v>2.5479999999999999E-2</v>
      </c>
      <c r="E364">
        <v>2.767E-2</v>
      </c>
      <c r="F364">
        <v>70585492.799999997</v>
      </c>
      <c r="G364">
        <v>6.92</v>
      </c>
      <c r="L364" t="s">
        <v>8</v>
      </c>
      <c r="M364" t="s">
        <v>7</v>
      </c>
      <c r="N364" t="s">
        <v>8</v>
      </c>
      <c r="P364">
        <f t="shared" si="969"/>
        <v>0.51557093425605593</v>
      </c>
      <c r="Q364">
        <f t="shared" si="970"/>
        <v>36391828.467820108</v>
      </c>
      <c r="R364">
        <f t="shared" si="971"/>
        <v>-1259061210.0488567</v>
      </c>
      <c r="S364">
        <f t="shared" si="972"/>
        <v>-12590.612100488568</v>
      </c>
      <c r="T364">
        <f t="shared" si="973"/>
        <v>-12.590612100488569</v>
      </c>
    </row>
    <row r="365" spans="1:20" x14ac:dyDescent="0.25">
      <c r="A365" s="5">
        <v>44228</v>
      </c>
      <c r="B365">
        <v>2.5409999999999999E-2</v>
      </c>
      <c r="C365">
        <v>2.63E-2</v>
      </c>
      <c r="D365">
        <v>2.4920000000000001E-2</v>
      </c>
      <c r="E365">
        <v>2.588E-2</v>
      </c>
      <c r="F365">
        <v>61680426.200000003</v>
      </c>
      <c r="G365">
        <v>1.85</v>
      </c>
      <c r="L365" t="s">
        <v>7</v>
      </c>
      <c r="M365" t="s">
        <v>7</v>
      </c>
      <c r="N365" t="s">
        <v>8</v>
      </c>
      <c r="P365">
        <f t="shared" si="969"/>
        <v>0.39130434782608631</v>
      </c>
      <c r="Q365">
        <f t="shared" si="970"/>
        <v>24135818.947826046</v>
      </c>
      <c r="R365">
        <f t="shared" si="971"/>
        <v>-1295453038.5166769</v>
      </c>
      <c r="S365">
        <f t="shared" si="972"/>
        <v>-12954.530385166769</v>
      </c>
      <c r="T365">
        <f t="shared" si="973"/>
        <v>-12.954530385166768</v>
      </c>
    </row>
    <row r="366" spans="1:20" x14ac:dyDescent="0.25">
      <c r="A366" s="5">
        <v>44227</v>
      </c>
      <c r="B366">
        <v>2.6610000000000002E-2</v>
      </c>
      <c r="C366">
        <v>2.7E-2</v>
      </c>
      <c r="D366">
        <v>2.4819999999999998E-2</v>
      </c>
      <c r="E366">
        <v>2.5430000000000001E-2</v>
      </c>
      <c r="F366">
        <v>67367111.5</v>
      </c>
      <c r="G366">
        <v>-4.43</v>
      </c>
      <c r="L366" t="s">
        <v>7</v>
      </c>
      <c r="M366" t="s">
        <v>7</v>
      </c>
      <c r="N366" t="s">
        <v>8</v>
      </c>
      <c r="P366">
        <f t="shared" si="969"/>
        <v>-0.44036697247706191</v>
      </c>
      <c r="Q366">
        <f t="shared" si="970"/>
        <v>-29666250.935779661</v>
      </c>
      <c r="R366">
        <f t="shared" si="971"/>
        <v>-1319588857.464503</v>
      </c>
      <c r="S366">
        <f t="shared" si="972"/>
        <v>-13195.888574645031</v>
      </c>
      <c r="T366">
        <f t="shared" si="973"/>
        <v>-13.19588857464503</v>
      </c>
    </row>
    <row r="367" spans="1:20" x14ac:dyDescent="0.25">
      <c r="A367" s="5">
        <v>44226</v>
      </c>
      <c r="B367">
        <v>2.7089999999999999E-2</v>
      </c>
      <c r="C367">
        <v>2.8750000000000001E-2</v>
      </c>
      <c r="D367">
        <v>2.588E-2</v>
      </c>
      <c r="E367">
        <v>2.6579999999999999E-2</v>
      </c>
      <c r="F367">
        <v>80963095.599999994</v>
      </c>
      <c r="G367">
        <v>-1.88</v>
      </c>
      <c r="L367" t="s">
        <v>7</v>
      </c>
      <c r="M367" t="s">
        <v>7</v>
      </c>
      <c r="N367" t="s">
        <v>8</v>
      </c>
      <c r="P367">
        <f t="shared" si="969"/>
        <v>-0.51219512195122019</v>
      </c>
      <c r="Q367">
        <f t="shared" si="970"/>
        <v>-41468902.624390297</v>
      </c>
      <c r="R367">
        <f t="shared" si="971"/>
        <v>-1289922606.5287235</v>
      </c>
      <c r="S367">
        <f t="shared" si="972"/>
        <v>-12899.226065287236</v>
      </c>
      <c r="T367">
        <f t="shared" si="973"/>
        <v>-12.899226065287236</v>
      </c>
    </row>
    <row r="368" spans="1:20" x14ac:dyDescent="0.25">
      <c r="A368" s="5">
        <v>44225</v>
      </c>
      <c r="B368">
        <v>2.5090000000000001E-2</v>
      </c>
      <c r="C368">
        <v>3.1480000000000001E-2</v>
      </c>
      <c r="D368">
        <v>2.47E-2</v>
      </c>
      <c r="E368">
        <v>2.7089999999999999E-2</v>
      </c>
      <c r="F368">
        <v>221932653.09999999</v>
      </c>
      <c r="G368">
        <v>7.97</v>
      </c>
      <c r="L368" t="s">
        <v>8</v>
      </c>
      <c r="M368" t="s">
        <v>8</v>
      </c>
      <c r="N368" t="s">
        <v>8</v>
      </c>
      <c r="P368">
        <f t="shared" si="969"/>
        <v>-0.29498525073746334</v>
      </c>
      <c r="Q368">
        <f t="shared" si="970"/>
        <v>-65466859.321533971</v>
      </c>
      <c r="R368">
        <f t="shared" si="971"/>
        <v>-1248453703.9043331</v>
      </c>
      <c r="S368">
        <f t="shared" si="972"/>
        <v>-12484.537039043331</v>
      </c>
      <c r="T368">
        <f t="shared" si="973"/>
        <v>-12.484537039043332</v>
      </c>
    </row>
    <row r="369" spans="1:20" x14ac:dyDescent="0.25">
      <c r="A369" s="5">
        <v>44224</v>
      </c>
      <c r="B369">
        <v>2.3290000000000002E-2</v>
      </c>
      <c r="C369">
        <v>2.5999999999999999E-2</v>
      </c>
      <c r="D369">
        <v>2.3120000000000002E-2</v>
      </c>
      <c r="E369">
        <v>2.5090000000000001E-2</v>
      </c>
      <c r="F369">
        <v>62952116.799999997</v>
      </c>
      <c r="G369">
        <v>7.73</v>
      </c>
      <c r="L369" t="s">
        <v>8</v>
      </c>
      <c r="M369" t="s">
        <v>7</v>
      </c>
      <c r="N369" t="s">
        <v>8</v>
      </c>
      <c r="P369">
        <f t="shared" si="969"/>
        <v>0.36805555555555658</v>
      </c>
      <c r="Q369">
        <f t="shared" si="970"/>
        <v>23169876.322222285</v>
      </c>
      <c r="R369">
        <f t="shared" si="971"/>
        <v>-1182986844.5827992</v>
      </c>
      <c r="S369">
        <f t="shared" si="972"/>
        <v>-11829.868445827991</v>
      </c>
      <c r="T369">
        <f t="shared" si="973"/>
        <v>-11.829868445827991</v>
      </c>
    </row>
    <row r="370" spans="1:20" x14ac:dyDescent="0.25">
      <c r="A370" s="5">
        <v>44223</v>
      </c>
      <c r="B370">
        <v>2.564E-2</v>
      </c>
      <c r="C370">
        <v>2.589E-2</v>
      </c>
      <c r="D370">
        <v>2.2349999999999998E-2</v>
      </c>
      <c r="E370">
        <v>2.3310000000000001E-2</v>
      </c>
      <c r="F370">
        <v>63828777.600000001</v>
      </c>
      <c r="G370">
        <v>-9.09</v>
      </c>
      <c r="L370" t="s">
        <v>7</v>
      </c>
      <c r="M370" t="s">
        <v>7</v>
      </c>
      <c r="N370" t="s">
        <v>8</v>
      </c>
      <c r="P370">
        <f t="shared" si="969"/>
        <v>-0.45762711864406658</v>
      </c>
      <c r="Q370">
        <f t="shared" si="970"/>
        <v>-29209779.579660941</v>
      </c>
      <c r="R370">
        <f t="shared" si="971"/>
        <v>-1206156720.9050214</v>
      </c>
      <c r="S370">
        <f t="shared" si="972"/>
        <v>-12061.567209050214</v>
      </c>
      <c r="T370">
        <f t="shared" si="973"/>
        <v>-12.061567209050214</v>
      </c>
    </row>
    <row r="371" spans="1:20" x14ac:dyDescent="0.25">
      <c r="A371" s="5">
        <v>44222</v>
      </c>
      <c r="B371">
        <v>2.528E-2</v>
      </c>
      <c r="C371">
        <v>2.6460000000000001E-2</v>
      </c>
      <c r="D371">
        <v>2.461E-2</v>
      </c>
      <c r="E371">
        <v>2.5669999999999998E-2</v>
      </c>
      <c r="F371">
        <v>49994881.399999999</v>
      </c>
      <c r="G371">
        <v>1.54</v>
      </c>
      <c r="L371" t="s">
        <v>7</v>
      </c>
      <c r="M371" t="s">
        <v>8</v>
      </c>
      <c r="N371" t="s">
        <v>8</v>
      </c>
      <c r="P371">
        <f t="shared" si="969"/>
        <v>0.14594594594594368</v>
      </c>
      <c r="Q371">
        <f t="shared" si="970"/>
        <v>7296550.2583782645</v>
      </c>
      <c r="R371">
        <f t="shared" si="971"/>
        <v>-1176946941.3253605</v>
      </c>
      <c r="S371">
        <f t="shared" si="972"/>
        <v>-11769.469413253606</v>
      </c>
      <c r="T371">
        <f t="shared" si="973"/>
        <v>-11.769469413253606</v>
      </c>
    </row>
    <row r="372" spans="1:20" x14ac:dyDescent="0.25">
      <c r="A372" s="5">
        <v>44221</v>
      </c>
      <c r="B372">
        <v>2.6509999999999999E-2</v>
      </c>
      <c r="C372">
        <v>2.724E-2</v>
      </c>
      <c r="D372">
        <v>2.5000000000000001E-2</v>
      </c>
      <c r="E372">
        <v>2.5360000000000001E-2</v>
      </c>
      <c r="F372">
        <v>74143886</v>
      </c>
      <c r="G372">
        <v>-4.34</v>
      </c>
      <c r="L372" t="s">
        <v>7</v>
      </c>
      <c r="M372" t="s">
        <v>8</v>
      </c>
      <c r="N372" t="s">
        <v>8</v>
      </c>
      <c r="P372">
        <f t="shared" si="969"/>
        <v>-0.67857142857142916</v>
      </c>
      <c r="Q372">
        <f t="shared" si="970"/>
        <v>-50311922.642857186</v>
      </c>
      <c r="R372">
        <f t="shared" si="971"/>
        <v>-1184243491.5837388</v>
      </c>
      <c r="S372">
        <f t="shared" si="972"/>
        <v>-11842.434915837388</v>
      </c>
      <c r="T372">
        <f t="shared" si="973"/>
        <v>-11.842434915837387</v>
      </c>
    </row>
    <row r="373" spans="1:20" x14ac:dyDescent="0.25">
      <c r="A373" s="5">
        <v>44220</v>
      </c>
      <c r="B373">
        <v>2.6669999999999999E-2</v>
      </c>
      <c r="C373">
        <v>2.8660000000000001E-2</v>
      </c>
      <c r="D373">
        <v>2.5229999999999999E-2</v>
      </c>
      <c r="E373">
        <v>2.6509999999999999E-2</v>
      </c>
      <c r="F373">
        <v>124551081.2</v>
      </c>
      <c r="G373">
        <v>-0.6</v>
      </c>
      <c r="L373" t="s">
        <v>8</v>
      </c>
      <c r="M373" t="s">
        <v>8</v>
      </c>
      <c r="N373" t="s">
        <v>8</v>
      </c>
      <c r="P373">
        <f t="shared" si="969"/>
        <v>-0.25364431486880529</v>
      </c>
      <c r="Q373">
        <f t="shared" si="970"/>
        <v>-31591673.657142937</v>
      </c>
      <c r="R373">
        <f t="shared" si="971"/>
        <v>-1133931568.9408817</v>
      </c>
      <c r="S373">
        <f t="shared" si="972"/>
        <v>-11339.315689408817</v>
      </c>
      <c r="T373">
        <f t="shared" si="973"/>
        <v>-11.339315689408817</v>
      </c>
    </row>
    <row r="374" spans="1:20" x14ac:dyDescent="0.25">
      <c r="A374" s="5">
        <v>44219</v>
      </c>
      <c r="B374">
        <v>2.4979999999999999E-2</v>
      </c>
      <c r="C374">
        <v>2.734E-2</v>
      </c>
      <c r="D374">
        <v>2.3769999999999999E-2</v>
      </c>
      <c r="E374">
        <v>2.6700000000000002E-2</v>
      </c>
      <c r="F374">
        <v>116812487.90000001</v>
      </c>
      <c r="G374">
        <v>6.89</v>
      </c>
      <c r="L374" t="s">
        <v>8</v>
      </c>
      <c r="M374" t="s">
        <v>8</v>
      </c>
      <c r="N374" t="s">
        <v>8</v>
      </c>
      <c r="P374">
        <f t="shared" si="969"/>
        <v>0.64145658263305427</v>
      </c>
      <c r="Q374">
        <f t="shared" si="970"/>
        <v>74930139.297199011</v>
      </c>
      <c r="R374">
        <f t="shared" si="971"/>
        <v>-1102339895.2837389</v>
      </c>
      <c r="S374">
        <f t="shared" si="972"/>
        <v>-11023.398952837388</v>
      </c>
      <c r="T374">
        <f t="shared" si="973"/>
        <v>-11.023398952837388</v>
      </c>
    </row>
    <row r="375" spans="1:20" x14ac:dyDescent="0.25">
      <c r="A375" s="5">
        <v>44218</v>
      </c>
      <c r="B375">
        <v>2.41E-2</v>
      </c>
      <c r="C375">
        <v>2.564E-2</v>
      </c>
      <c r="D375">
        <v>2.2200000000000001E-2</v>
      </c>
      <c r="E375">
        <v>2.5000000000000001E-2</v>
      </c>
      <c r="F375">
        <v>55956503</v>
      </c>
      <c r="G375">
        <v>3.73</v>
      </c>
      <c r="L375" t="s">
        <v>7</v>
      </c>
      <c r="M375" t="s">
        <v>7</v>
      </c>
      <c r="N375" t="s">
        <v>8</v>
      </c>
      <c r="P375">
        <f t="shared" si="969"/>
        <v>0.62790697674418694</v>
      </c>
      <c r="Q375">
        <f t="shared" si="970"/>
        <v>35135478.62790703</v>
      </c>
      <c r="R375">
        <f t="shared" si="971"/>
        <v>-1177270034.5809379</v>
      </c>
      <c r="S375">
        <f t="shared" si="972"/>
        <v>-11772.700345809379</v>
      </c>
      <c r="T375">
        <f t="shared" si="973"/>
        <v>-11.772700345809378</v>
      </c>
    </row>
    <row r="376" spans="1:20" x14ac:dyDescent="0.25">
      <c r="A376" s="5">
        <v>44217</v>
      </c>
      <c r="B376">
        <v>2.615E-2</v>
      </c>
      <c r="C376">
        <v>2.6859999999999998E-2</v>
      </c>
      <c r="D376">
        <v>2.3879999999999998E-2</v>
      </c>
      <c r="E376">
        <v>2.409E-2</v>
      </c>
      <c r="F376">
        <v>104128737.40000001</v>
      </c>
      <c r="G376">
        <v>-7.88</v>
      </c>
      <c r="L376" t="s">
        <v>8</v>
      </c>
      <c r="M376" t="s">
        <v>8</v>
      </c>
      <c r="N376" t="s">
        <v>8</v>
      </c>
      <c r="P376">
        <f t="shared" si="969"/>
        <v>-0.85906040268456252</v>
      </c>
      <c r="Q376">
        <f t="shared" si="970"/>
        <v>-89452875.081879064</v>
      </c>
      <c r="R376">
        <f t="shared" si="971"/>
        <v>-1212405513.2088449</v>
      </c>
      <c r="S376">
        <f t="shared" si="972"/>
        <v>-12124.05513208845</v>
      </c>
      <c r="T376">
        <f t="shared" si="973"/>
        <v>-12.124055132088449</v>
      </c>
    </row>
    <row r="377" spans="1:20" x14ac:dyDescent="0.25">
      <c r="A377" s="5">
        <v>44216</v>
      </c>
      <c r="B377">
        <v>2.5749999999999999E-2</v>
      </c>
      <c r="C377">
        <v>2.7099999999999999E-2</v>
      </c>
      <c r="D377">
        <v>2.3640000000000001E-2</v>
      </c>
      <c r="E377">
        <v>2.614E-2</v>
      </c>
      <c r="F377">
        <v>89041292.099999994</v>
      </c>
      <c r="G377">
        <v>1.51</v>
      </c>
      <c r="L377" t="s">
        <v>7</v>
      </c>
      <c r="M377" t="s">
        <v>8</v>
      </c>
      <c r="N377" t="s">
        <v>8</v>
      </c>
      <c r="P377">
        <f t="shared" si="969"/>
        <v>0.44508670520231236</v>
      </c>
      <c r="Q377">
        <f t="shared" si="970"/>
        <v>39631095.327745683</v>
      </c>
      <c r="R377">
        <f t="shared" si="971"/>
        <v>-1122952638.1269658</v>
      </c>
      <c r="S377">
        <f t="shared" si="972"/>
        <v>-11229.526381269658</v>
      </c>
      <c r="T377">
        <f t="shared" si="973"/>
        <v>-11.229526381269658</v>
      </c>
    </row>
    <row r="378" spans="1:20" x14ac:dyDescent="0.25">
      <c r="A378" s="5">
        <v>44215</v>
      </c>
      <c r="B378">
        <v>2.6429999999999999E-2</v>
      </c>
      <c r="C378">
        <v>2.8299999999999999E-2</v>
      </c>
      <c r="D378">
        <v>2.5569999999999999E-2</v>
      </c>
      <c r="E378">
        <v>2.5770000000000001E-2</v>
      </c>
      <c r="F378">
        <v>143374051.69999999</v>
      </c>
      <c r="G378">
        <v>-2.5</v>
      </c>
      <c r="L378" t="s">
        <v>8</v>
      </c>
      <c r="M378" t="s">
        <v>8</v>
      </c>
      <c r="N378" t="s">
        <v>8</v>
      </c>
      <c r="P378">
        <f t="shared" si="969"/>
        <v>-0.85347985347985178</v>
      </c>
      <c r="Q378">
        <f t="shared" si="970"/>
        <v>-122366864.63772869</v>
      </c>
      <c r="R378">
        <f t="shared" si="971"/>
        <v>-1162583733.4547114</v>
      </c>
      <c r="S378">
        <f t="shared" si="972"/>
        <v>-11625.837334547114</v>
      </c>
      <c r="T378">
        <f t="shared" si="973"/>
        <v>-11.625837334547114</v>
      </c>
    </row>
    <row r="379" spans="1:20" x14ac:dyDescent="0.25">
      <c r="A379" s="5">
        <v>44214</v>
      </c>
      <c r="B379">
        <v>2.383E-2</v>
      </c>
      <c r="C379">
        <v>2.7060000000000001E-2</v>
      </c>
      <c r="D379">
        <v>2.375E-2</v>
      </c>
      <c r="E379">
        <v>2.649E-2</v>
      </c>
      <c r="F379">
        <v>104081474.5</v>
      </c>
      <c r="G379">
        <v>11.16</v>
      </c>
      <c r="L379" t="s">
        <v>8</v>
      </c>
      <c r="M379" t="s">
        <v>8</v>
      </c>
      <c r="N379" t="s">
        <v>8</v>
      </c>
      <c r="P379">
        <f t="shared" si="969"/>
        <v>0.65558912386706891</v>
      </c>
      <c r="Q379">
        <f t="shared" si="970"/>
        <v>68234682.678247675</v>
      </c>
      <c r="R379">
        <f t="shared" si="971"/>
        <v>-1040216868.8169827</v>
      </c>
      <c r="S379">
        <f t="shared" si="972"/>
        <v>-10402.168688169828</v>
      </c>
      <c r="T379">
        <f t="shared" si="973"/>
        <v>-10.402168688169828</v>
      </c>
    </row>
    <row r="380" spans="1:20" x14ac:dyDescent="0.25">
      <c r="A380" s="5">
        <v>44213</v>
      </c>
      <c r="B380">
        <v>2.41E-2</v>
      </c>
      <c r="C380">
        <v>2.4989999999999998E-2</v>
      </c>
      <c r="D380">
        <v>2.222E-2</v>
      </c>
      <c r="E380">
        <v>2.383E-2</v>
      </c>
      <c r="F380">
        <v>76645454.599999994</v>
      </c>
      <c r="G380">
        <v>-1.1200000000000001</v>
      </c>
      <c r="L380" t="s">
        <v>7</v>
      </c>
      <c r="M380" t="s">
        <v>8</v>
      </c>
      <c r="N380" t="s">
        <v>7</v>
      </c>
      <c r="P380">
        <f t="shared" si="969"/>
        <v>0.16245487364621039</v>
      </c>
      <c r="Q380">
        <f t="shared" si="970"/>
        <v>12451427.642599354</v>
      </c>
      <c r="R380">
        <f t="shared" si="971"/>
        <v>-1108451551.4952304</v>
      </c>
      <c r="S380">
        <f t="shared" si="972"/>
        <v>-11084.515514952305</v>
      </c>
      <c r="T380">
        <f t="shared" si="973"/>
        <v>-11.084515514952304</v>
      </c>
    </row>
    <row r="381" spans="1:20" x14ac:dyDescent="0.25">
      <c r="A381" s="5">
        <v>44212</v>
      </c>
      <c r="B381">
        <v>2.2040000000000001E-2</v>
      </c>
      <c r="C381">
        <v>2.4979999999999999E-2</v>
      </c>
      <c r="D381">
        <v>2.2030000000000001E-2</v>
      </c>
      <c r="E381">
        <v>2.4160000000000001E-2</v>
      </c>
      <c r="F381">
        <v>108589853.3</v>
      </c>
      <c r="G381">
        <v>9.6199999999999992</v>
      </c>
      <c r="L381" t="s">
        <v>8</v>
      </c>
      <c r="M381" t="s">
        <v>8</v>
      </c>
      <c r="N381" t="s">
        <v>7</v>
      </c>
      <c r="P381">
        <f t="shared" si="969"/>
        <v>0.44406779661017054</v>
      </c>
      <c r="Q381">
        <f t="shared" si="970"/>
        <v>48221256.889152654</v>
      </c>
      <c r="R381">
        <f t="shared" si="971"/>
        <v>-1120902979.1378298</v>
      </c>
      <c r="S381">
        <f t="shared" si="972"/>
        <v>-11209.029791378298</v>
      </c>
      <c r="T381">
        <f t="shared" si="973"/>
        <v>-11.209029791378297</v>
      </c>
    </row>
    <row r="382" spans="1:20" x14ac:dyDescent="0.25">
      <c r="A382" s="5">
        <v>44211</v>
      </c>
      <c r="B382">
        <v>2.154E-2</v>
      </c>
      <c r="C382">
        <v>2.2689999999999998E-2</v>
      </c>
      <c r="D382">
        <v>2.06E-2</v>
      </c>
      <c r="E382">
        <v>2.2040000000000001E-2</v>
      </c>
      <c r="F382">
        <v>70075843.200000003</v>
      </c>
      <c r="G382">
        <v>2.3199999999999998</v>
      </c>
      <c r="L382" t="s">
        <v>8</v>
      </c>
      <c r="M382" t="s">
        <v>8</v>
      </c>
      <c r="N382" t="s">
        <v>7</v>
      </c>
      <c r="P382">
        <f t="shared" si="969"/>
        <v>0.3779904306220111</v>
      </c>
      <c r="Q382">
        <f t="shared" si="970"/>
        <v>26487998.147368528</v>
      </c>
      <c r="R382">
        <f t="shared" si="971"/>
        <v>-1169124236.0269825</v>
      </c>
      <c r="S382">
        <f t="shared" si="972"/>
        <v>-11691.242360269825</v>
      </c>
      <c r="T382">
        <f t="shared" si="973"/>
        <v>-11.691242360269825</v>
      </c>
    </row>
    <row r="383" spans="1:20" x14ac:dyDescent="0.25">
      <c r="A383" s="5">
        <v>44210</v>
      </c>
      <c r="B383">
        <v>2.1420000000000002E-2</v>
      </c>
      <c r="C383">
        <v>2.2159999999999999E-2</v>
      </c>
      <c r="D383">
        <v>2.1000000000000001E-2</v>
      </c>
      <c r="E383">
        <v>2.1530000000000001E-2</v>
      </c>
      <c r="F383">
        <v>53878983.200000003</v>
      </c>
      <c r="G383">
        <v>0.51</v>
      </c>
      <c r="L383" t="s">
        <v>8</v>
      </c>
      <c r="M383" t="s">
        <v>7</v>
      </c>
      <c r="N383" t="s">
        <v>7</v>
      </c>
      <c r="P383">
        <f t="shared" si="969"/>
        <v>-8.6206896551723783E-2</v>
      </c>
      <c r="Q383">
        <f t="shared" si="970"/>
        <v>-4644739.9310344635</v>
      </c>
      <c r="R383">
        <f t="shared" si="971"/>
        <v>-1195612234.174351</v>
      </c>
      <c r="S383">
        <f t="shared" si="972"/>
        <v>-11956.12234174351</v>
      </c>
      <c r="T383">
        <f t="shared" si="973"/>
        <v>-11.956122341743511</v>
      </c>
    </row>
    <row r="384" spans="1:20" x14ac:dyDescent="0.25">
      <c r="A384" s="5">
        <v>44209</v>
      </c>
      <c r="B384">
        <v>2.061E-2</v>
      </c>
      <c r="C384">
        <v>2.179E-2</v>
      </c>
      <c r="D384">
        <v>2.0060000000000001E-2</v>
      </c>
      <c r="E384">
        <v>2.1420000000000002E-2</v>
      </c>
      <c r="F384">
        <v>75023847.700000003</v>
      </c>
      <c r="G384">
        <v>3.93</v>
      </c>
      <c r="L384" t="s">
        <v>7</v>
      </c>
      <c r="M384" t="s">
        <v>7</v>
      </c>
      <c r="N384" t="s">
        <v>7</v>
      </c>
      <c r="P384">
        <f t="shared" si="969"/>
        <v>0.57225433526011671</v>
      </c>
      <c r="Q384">
        <f t="shared" si="970"/>
        <v>42932722.094219737</v>
      </c>
      <c r="R384">
        <f t="shared" si="971"/>
        <v>-1190967494.2433164</v>
      </c>
      <c r="S384">
        <f t="shared" si="972"/>
        <v>-11909.674942433165</v>
      </c>
      <c r="T384">
        <f t="shared" si="973"/>
        <v>-11.909674942433165</v>
      </c>
    </row>
    <row r="385" spans="1:20" x14ac:dyDescent="0.25">
      <c r="A385" s="5">
        <v>44208</v>
      </c>
      <c r="B385">
        <v>2.0709999999999999E-2</v>
      </c>
      <c r="C385">
        <v>2.1940000000000001E-2</v>
      </c>
      <c r="D385">
        <v>1.9879999999999998E-2</v>
      </c>
      <c r="E385">
        <v>2.0650000000000002E-2</v>
      </c>
      <c r="F385">
        <v>107536909.8</v>
      </c>
      <c r="G385">
        <v>-0.28999999999999998</v>
      </c>
      <c r="L385" t="s">
        <v>8</v>
      </c>
      <c r="M385" t="s">
        <v>7</v>
      </c>
      <c r="N385" t="s">
        <v>7</v>
      </c>
      <c r="P385">
        <f t="shared" si="969"/>
        <v>-0.2524271844660172</v>
      </c>
      <c r="Q385">
        <f t="shared" si="970"/>
        <v>-27145239.366990052</v>
      </c>
      <c r="R385">
        <f t="shared" si="971"/>
        <v>-1233900216.3375361</v>
      </c>
      <c r="S385">
        <f t="shared" si="972"/>
        <v>-12339.00216337536</v>
      </c>
      <c r="T385">
        <f t="shared" si="973"/>
        <v>-12.33900216337536</v>
      </c>
    </row>
    <row r="386" spans="1:20" x14ac:dyDescent="0.25">
      <c r="A386" s="5">
        <v>44207</v>
      </c>
      <c r="B386">
        <v>2.401E-2</v>
      </c>
      <c r="C386">
        <v>2.4039999999999999E-2</v>
      </c>
      <c r="D386">
        <v>1.9E-2</v>
      </c>
      <c r="E386">
        <v>2.069E-2</v>
      </c>
      <c r="F386">
        <v>120773926.8</v>
      </c>
      <c r="G386">
        <v>-13.83</v>
      </c>
      <c r="L386" t="s">
        <v>7</v>
      </c>
      <c r="M386" t="s">
        <v>7</v>
      </c>
      <c r="N386" t="s">
        <v>7</v>
      </c>
      <c r="P386">
        <f t="shared" si="969"/>
        <v>-0.32936507936507908</v>
      </c>
      <c r="Q386">
        <f t="shared" si="970"/>
        <v>-39778713.985714249</v>
      </c>
      <c r="R386">
        <f t="shared" si="971"/>
        <v>-1206754976.970546</v>
      </c>
      <c r="S386">
        <f t="shared" si="972"/>
        <v>-12067.54976970546</v>
      </c>
      <c r="T386">
        <f t="shared" si="973"/>
        <v>-12.06754976970546</v>
      </c>
    </row>
    <row r="387" spans="1:20" x14ac:dyDescent="0.25">
      <c r="A387" s="5">
        <v>44206</v>
      </c>
      <c r="B387">
        <v>2.4420000000000001E-2</v>
      </c>
      <c r="C387">
        <v>2.5999999999999999E-2</v>
      </c>
      <c r="D387">
        <v>2.2579999999999999E-2</v>
      </c>
      <c r="E387">
        <v>2.3980000000000001E-2</v>
      </c>
      <c r="F387">
        <v>198658802.09999999</v>
      </c>
      <c r="G387">
        <v>-1.8</v>
      </c>
      <c r="L387" t="s">
        <v>8</v>
      </c>
      <c r="M387" t="s">
        <v>8</v>
      </c>
      <c r="N387" t="s">
        <v>7</v>
      </c>
      <c r="P387">
        <f t="shared" si="969"/>
        <v>-0.18128654970760108</v>
      </c>
      <c r="Q387">
        <f t="shared" si="970"/>
        <v>-36014168.801754132</v>
      </c>
      <c r="R387">
        <f t="shared" si="971"/>
        <v>-1166976262.9848318</v>
      </c>
      <c r="S387">
        <f t="shared" si="972"/>
        <v>-11669.762629848317</v>
      </c>
      <c r="T387">
        <f t="shared" si="973"/>
        <v>-11.669762629848318</v>
      </c>
    </row>
    <row r="388" spans="1:20" x14ac:dyDescent="0.25">
      <c r="A388" s="5">
        <v>44205</v>
      </c>
      <c r="B388">
        <v>2.266E-2</v>
      </c>
      <c r="C388">
        <v>2.5080000000000002E-2</v>
      </c>
      <c r="D388">
        <v>2.2100000000000002E-2</v>
      </c>
      <c r="E388">
        <v>2.4420000000000001E-2</v>
      </c>
      <c r="F388">
        <v>192051295.69999999</v>
      </c>
      <c r="G388">
        <v>7.77</v>
      </c>
      <c r="L388" t="s">
        <v>8</v>
      </c>
      <c r="M388" t="s">
        <v>8</v>
      </c>
      <c r="N388" t="s">
        <v>7</v>
      </c>
      <c r="P388">
        <f t="shared" si="969"/>
        <v>0.55704697986577123</v>
      </c>
      <c r="Q388">
        <f t="shared" si="970"/>
        <v>106981594.24899317</v>
      </c>
      <c r="R388">
        <f t="shared" si="971"/>
        <v>-1130962094.1830776</v>
      </c>
      <c r="S388">
        <f t="shared" si="972"/>
        <v>-11309.620941830775</v>
      </c>
      <c r="T388">
        <f t="shared" si="973"/>
        <v>-11.309620941830776</v>
      </c>
    </row>
    <row r="389" spans="1:20" x14ac:dyDescent="0.25">
      <c r="A389" s="5">
        <v>44204</v>
      </c>
      <c r="B389">
        <v>2.2950000000000002E-2</v>
      </c>
      <c r="C389">
        <v>2.333E-2</v>
      </c>
      <c r="D389">
        <v>2.1059999999999999E-2</v>
      </c>
      <c r="E389">
        <v>2.265E-2</v>
      </c>
      <c r="F389">
        <v>179478911.5</v>
      </c>
      <c r="G389">
        <v>-1.31</v>
      </c>
      <c r="L389" t="s">
        <v>7</v>
      </c>
      <c r="M389" t="s">
        <v>7</v>
      </c>
      <c r="N389" t="s">
        <v>7</v>
      </c>
      <c r="P389">
        <f t="shared" si="969"/>
        <v>0.40088105726872275</v>
      </c>
      <c r="Q389">
        <f t="shared" si="970"/>
        <v>71949695.799559519</v>
      </c>
      <c r="R389">
        <f t="shared" si="971"/>
        <v>-1237943688.4320707</v>
      </c>
      <c r="S389">
        <f t="shared" si="972"/>
        <v>-12379.436884320707</v>
      </c>
      <c r="T389">
        <f t="shared" si="973"/>
        <v>-12.379436884320707</v>
      </c>
    </row>
    <row r="390" spans="1:20" x14ac:dyDescent="0.25">
      <c r="A390" s="5">
        <v>44203</v>
      </c>
      <c r="B390">
        <v>2.3449999999999999E-2</v>
      </c>
      <c r="C390">
        <v>2.5420000000000002E-2</v>
      </c>
      <c r="D390">
        <v>2.2419999999999999E-2</v>
      </c>
      <c r="E390">
        <v>2.2929999999999999E-2</v>
      </c>
      <c r="F390">
        <v>193872960.40000001</v>
      </c>
      <c r="G390">
        <v>-2.2200000000000002</v>
      </c>
      <c r="L390" t="s">
        <v>8</v>
      </c>
      <c r="M390" t="s">
        <v>8</v>
      </c>
      <c r="N390" t="s">
        <v>7</v>
      </c>
      <c r="P390">
        <f t="shared" ref="P390:P453" si="974">IF(C390=D390,0,((E390-D390)-(C390-E390))/(C390-D390))</f>
        <v>-0.66000000000000025</v>
      </c>
      <c r="Q390">
        <f t="shared" ref="Q390:Q453" si="975">F390*P390</f>
        <v>-127956153.86400005</v>
      </c>
      <c r="R390">
        <f t="shared" ref="R390:R453" si="976">R391+Q390</f>
        <v>-1309893384.2316303</v>
      </c>
      <c r="S390">
        <f t="shared" ref="S390:S453" si="977">R390/100000</f>
        <v>-13098.933842316303</v>
      </c>
      <c r="T390">
        <f t="shared" ref="T390:T453" si="978">S390/1000</f>
        <v>-13.098933842316303</v>
      </c>
    </row>
    <row r="391" spans="1:20" x14ac:dyDescent="0.25">
      <c r="A391" s="5">
        <v>44202</v>
      </c>
      <c r="B391">
        <v>2.2110000000000001E-2</v>
      </c>
      <c r="C391">
        <v>2.4199999999999999E-2</v>
      </c>
      <c r="D391">
        <v>2.155E-2</v>
      </c>
      <c r="E391">
        <v>2.3439999999999999E-2</v>
      </c>
      <c r="F391">
        <v>193820640</v>
      </c>
      <c r="G391">
        <v>6.02</v>
      </c>
      <c r="L391" t="s">
        <v>8</v>
      </c>
      <c r="M391" t="s">
        <v>8</v>
      </c>
      <c r="N391" t="s">
        <v>7</v>
      </c>
      <c r="P391">
        <f t="shared" si="974"/>
        <v>0.42641509433962238</v>
      </c>
      <c r="Q391">
        <f t="shared" si="975"/>
        <v>82648046.490565985</v>
      </c>
      <c r="R391">
        <f t="shared" si="976"/>
        <v>-1181937230.3676302</v>
      </c>
      <c r="S391">
        <f t="shared" si="977"/>
        <v>-11819.372303676302</v>
      </c>
      <c r="T391">
        <f t="shared" si="978"/>
        <v>-11.819372303676301</v>
      </c>
    </row>
    <row r="392" spans="1:20" x14ac:dyDescent="0.25">
      <c r="A392" s="5">
        <v>44201</v>
      </c>
      <c r="B392">
        <v>2.189E-2</v>
      </c>
      <c r="C392">
        <v>2.333E-2</v>
      </c>
      <c r="D392">
        <v>2.0899999999999998E-2</v>
      </c>
      <c r="E392">
        <v>2.2110000000000001E-2</v>
      </c>
      <c r="F392">
        <v>188194660</v>
      </c>
      <c r="G392">
        <v>1.01</v>
      </c>
      <c r="L392" t="s">
        <v>7</v>
      </c>
      <c r="M392" t="s">
        <v>8</v>
      </c>
      <c r="N392" t="s">
        <v>7</v>
      </c>
      <c r="P392">
        <f t="shared" si="974"/>
        <v>-4.1152263374469615E-3</v>
      </c>
      <c r="Q392">
        <f t="shared" si="975"/>
        <v>-774463.62139887619</v>
      </c>
      <c r="R392">
        <f t="shared" si="976"/>
        <v>-1264585276.8581963</v>
      </c>
      <c r="S392">
        <f t="shared" si="977"/>
        <v>-12645.852768581963</v>
      </c>
      <c r="T392">
        <f t="shared" si="978"/>
        <v>-12.645852768581962</v>
      </c>
    </row>
    <row r="393" spans="1:20" x14ac:dyDescent="0.25">
      <c r="A393" s="5">
        <v>44200</v>
      </c>
      <c r="B393">
        <v>2.197E-2</v>
      </c>
      <c r="C393">
        <v>2.3900000000000001E-2</v>
      </c>
      <c r="D393">
        <v>1.9130000000000001E-2</v>
      </c>
      <c r="E393">
        <v>2.1860000000000001E-2</v>
      </c>
      <c r="F393">
        <v>198825794.80000001</v>
      </c>
      <c r="G393">
        <v>-0.5</v>
      </c>
      <c r="L393" t="s">
        <v>8</v>
      </c>
      <c r="M393" t="s">
        <v>7</v>
      </c>
      <c r="N393" t="s">
        <v>7</v>
      </c>
      <c r="P393">
        <f t="shared" si="974"/>
        <v>0.14465408805031441</v>
      </c>
      <c r="Q393">
        <f t="shared" si="975"/>
        <v>28760964.027672946</v>
      </c>
      <c r="R393">
        <f t="shared" si="976"/>
        <v>-1263810813.2367973</v>
      </c>
      <c r="S393">
        <f t="shared" si="977"/>
        <v>-12638.108132367974</v>
      </c>
      <c r="T393">
        <f t="shared" si="978"/>
        <v>-12.638108132367973</v>
      </c>
    </row>
    <row r="394" spans="1:20" x14ac:dyDescent="0.25">
      <c r="A394" s="5">
        <v>44199</v>
      </c>
      <c r="B394">
        <v>2.138E-2</v>
      </c>
      <c r="C394">
        <v>2.2499999999999999E-2</v>
      </c>
      <c r="D394">
        <v>2.087E-2</v>
      </c>
      <c r="E394">
        <v>2.197E-2</v>
      </c>
      <c r="F394">
        <v>176195165</v>
      </c>
      <c r="G394">
        <v>2.76</v>
      </c>
      <c r="L394" t="s">
        <v>8</v>
      </c>
      <c r="M394" t="s">
        <v>7</v>
      </c>
      <c r="N394" t="s">
        <v>7</v>
      </c>
      <c r="P394">
        <f t="shared" si="974"/>
        <v>0.34969325153374309</v>
      </c>
      <c r="Q394">
        <f t="shared" si="975"/>
        <v>61614260.153374366</v>
      </c>
      <c r="R394">
        <f t="shared" si="976"/>
        <v>-1292571777.2644703</v>
      </c>
      <c r="S394">
        <f t="shared" si="977"/>
        <v>-12925.717772644703</v>
      </c>
      <c r="T394">
        <f t="shared" si="978"/>
        <v>-12.925717772644703</v>
      </c>
    </row>
    <row r="395" spans="1:20" x14ac:dyDescent="0.25">
      <c r="A395" s="5">
        <v>44198</v>
      </c>
      <c r="B395">
        <v>2.3359999999999999E-2</v>
      </c>
      <c r="C395">
        <v>2.3359999999999999E-2</v>
      </c>
      <c r="D395">
        <v>2.07E-2</v>
      </c>
      <c r="E395">
        <v>2.138E-2</v>
      </c>
      <c r="F395">
        <v>195373714.5</v>
      </c>
      <c r="G395">
        <v>-8.48</v>
      </c>
      <c r="L395" t="s">
        <v>7</v>
      </c>
      <c r="M395" t="s">
        <v>7</v>
      </c>
      <c r="N395" t="s">
        <v>7</v>
      </c>
      <c r="P395">
        <f t="shared" si="974"/>
        <v>-0.488721804511278</v>
      </c>
      <c r="Q395">
        <f t="shared" si="975"/>
        <v>-95483394.304511234</v>
      </c>
      <c r="R395">
        <f t="shared" si="976"/>
        <v>-1354186037.4178448</v>
      </c>
      <c r="S395">
        <f t="shared" si="977"/>
        <v>-13541.860374178448</v>
      </c>
      <c r="T395">
        <f t="shared" si="978"/>
        <v>-13.541860374178448</v>
      </c>
    </row>
    <row r="396" spans="1:20" x14ac:dyDescent="0.25">
      <c r="A396" s="5">
        <v>44197</v>
      </c>
      <c r="B396">
        <v>2.3859999999999999E-2</v>
      </c>
      <c r="C396">
        <v>2.4830000000000001E-2</v>
      </c>
      <c r="D396">
        <v>2.282E-2</v>
      </c>
      <c r="E396">
        <v>2.3359999999999999E-2</v>
      </c>
      <c r="F396">
        <v>183080087.30000001</v>
      </c>
      <c r="G396">
        <v>-2.1</v>
      </c>
      <c r="L396" t="s">
        <v>8</v>
      </c>
      <c r="M396" t="s">
        <v>7</v>
      </c>
      <c r="N396" t="s">
        <v>8</v>
      </c>
      <c r="P396">
        <f t="shared" si="974"/>
        <v>-0.46268656716418066</v>
      </c>
      <c r="Q396">
        <f t="shared" si="975"/>
        <v>-84708697.108955517</v>
      </c>
      <c r="R396">
        <f t="shared" si="976"/>
        <v>-1258702643.1133335</v>
      </c>
      <c r="S396">
        <f t="shared" si="977"/>
        <v>-12587.026431133334</v>
      </c>
      <c r="T396">
        <f t="shared" si="978"/>
        <v>-12.587026431133333</v>
      </c>
    </row>
    <row r="397" spans="1:20" x14ac:dyDescent="0.25">
      <c r="A397" s="5">
        <v>44196</v>
      </c>
      <c r="B397">
        <v>2.708E-2</v>
      </c>
      <c r="C397">
        <v>2.9250000000000002E-2</v>
      </c>
      <c r="D397">
        <v>2.3120000000000002E-2</v>
      </c>
      <c r="E397">
        <v>2.3890000000000002E-2</v>
      </c>
      <c r="F397">
        <v>290064673.69999999</v>
      </c>
      <c r="G397">
        <v>-11.78</v>
      </c>
      <c r="L397" t="s">
        <v>7</v>
      </c>
      <c r="M397" t="s">
        <v>7</v>
      </c>
      <c r="N397" t="s">
        <v>8</v>
      </c>
      <c r="P397">
        <f t="shared" si="974"/>
        <v>-0.74877650897226755</v>
      </c>
      <c r="Q397">
        <f t="shared" si="975"/>
        <v>-217193613.74926591</v>
      </c>
      <c r="R397">
        <f t="shared" si="976"/>
        <v>-1173993946.0043778</v>
      </c>
      <c r="S397">
        <f t="shared" si="977"/>
        <v>-11739.939460043779</v>
      </c>
      <c r="T397">
        <f t="shared" si="978"/>
        <v>-11.739939460043779</v>
      </c>
    </row>
    <row r="398" spans="1:20" x14ac:dyDescent="0.25">
      <c r="A398" s="5">
        <v>44195</v>
      </c>
      <c r="B398">
        <v>2.8830000000000001E-2</v>
      </c>
      <c r="C398">
        <v>3.2000000000000001E-2</v>
      </c>
      <c r="D398">
        <v>2.6200000000000001E-2</v>
      </c>
      <c r="E398">
        <v>2.7089999999999999E-2</v>
      </c>
      <c r="F398">
        <v>487524061.19999999</v>
      </c>
      <c r="G398">
        <v>-6.04</v>
      </c>
      <c r="L398" t="s">
        <v>8</v>
      </c>
      <c r="M398" t="s">
        <v>8</v>
      </c>
      <c r="N398" t="s">
        <v>8</v>
      </c>
      <c r="P398">
        <f t="shared" si="974"/>
        <v>-0.69310344827586257</v>
      </c>
      <c r="Q398">
        <f t="shared" si="975"/>
        <v>-337904607.93517268</v>
      </c>
      <c r="R398">
        <f t="shared" si="976"/>
        <v>-956800332.25511181</v>
      </c>
      <c r="S398">
        <f t="shared" si="977"/>
        <v>-9568.0033225511179</v>
      </c>
      <c r="T398">
        <f t="shared" si="978"/>
        <v>-9.5680033225511174</v>
      </c>
    </row>
    <row r="399" spans="1:20" x14ac:dyDescent="0.25">
      <c r="A399" s="5">
        <v>44194</v>
      </c>
      <c r="B399">
        <v>2.3140000000000001E-2</v>
      </c>
      <c r="C399">
        <v>2.9960000000000001E-2</v>
      </c>
      <c r="D399">
        <v>2.1440000000000001E-2</v>
      </c>
      <c r="E399">
        <v>2.8819999999999998E-2</v>
      </c>
      <c r="F399">
        <v>319696448.89999998</v>
      </c>
      <c r="G399">
        <v>24.55</v>
      </c>
      <c r="L399" t="s">
        <v>8</v>
      </c>
      <c r="M399" t="s">
        <v>8</v>
      </c>
      <c r="N399" t="s">
        <v>8</v>
      </c>
      <c r="P399">
        <f t="shared" si="974"/>
        <v>0.73239436619718257</v>
      </c>
      <c r="Q399">
        <f t="shared" si="975"/>
        <v>234143878.06760544</v>
      </c>
      <c r="R399">
        <f t="shared" si="976"/>
        <v>-618895724.31993914</v>
      </c>
      <c r="S399">
        <f t="shared" si="977"/>
        <v>-6188.9572431993911</v>
      </c>
      <c r="T399">
        <f t="shared" si="978"/>
        <v>-6.1889572431993907</v>
      </c>
    </row>
    <row r="400" spans="1:20" x14ac:dyDescent="0.25">
      <c r="A400" s="5">
        <v>44193</v>
      </c>
      <c r="B400">
        <v>2.0650000000000002E-2</v>
      </c>
      <c r="C400">
        <v>2.3199999999999998E-2</v>
      </c>
      <c r="D400">
        <v>2.0650000000000002E-2</v>
      </c>
      <c r="E400">
        <v>2.3140000000000001E-2</v>
      </c>
      <c r="F400">
        <v>137376812.30000001</v>
      </c>
      <c r="G400">
        <v>12.06</v>
      </c>
      <c r="L400" t="s">
        <v>8</v>
      </c>
      <c r="M400" t="s">
        <v>8</v>
      </c>
      <c r="N400" t="s">
        <v>8</v>
      </c>
      <c r="P400">
        <f t="shared" si="974"/>
        <v>0.95294117647059007</v>
      </c>
      <c r="Q400">
        <f t="shared" si="975"/>
        <v>130912021.13294144</v>
      </c>
      <c r="R400">
        <f t="shared" si="976"/>
        <v>-853039602.38754451</v>
      </c>
      <c r="S400">
        <f t="shared" si="977"/>
        <v>-8530.3960238754444</v>
      </c>
      <c r="T400">
        <f t="shared" si="978"/>
        <v>-8.5303960238754435</v>
      </c>
    </row>
    <row r="401" spans="1:20" x14ac:dyDescent="0.25">
      <c r="A401" s="5">
        <v>44192</v>
      </c>
      <c r="B401">
        <v>1.866E-2</v>
      </c>
      <c r="C401">
        <v>2.223E-2</v>
      </c>
      <c r="D401">
        <v>1.8589999999999999E-2</v>
      </c>
      <c r="E401">
        <v>2.0660000000000001E-2</v>
      </c>
      <c r="F401">
        <v>147083021.30000001</v>
      </c>
      <c r="G401">
        <v>10.72</v>
      </c>
      <c r="L401" t="s">
        <v>8</v>
      </c>
      <c r="M401" t="s">
        <v>8</v>
      </c>
      <c r="N401" t="s">
        <v>8</v>
      </c>
      <c r="P401">
        <f t="shared" si="974"/>
        <v>0.1373626373626384</v>
      </c>
      <c r="Q401">
        <f t="shared" si="975"/>
        <v>20203711.717033122</v>
      </c>
      <c r="R401">
        <f t="shared" si="976"/>
        <v>-983951623.520486</v>
      </c>
      <c r="S401">
        <f t="shared" si="977"/>
        <v>-9839.5162352048592</v>
      </c>
      <c r="T401">
        <f t="shared" si="978"/>
        <v>-9.8395162352048597</v>
      </c>
    </row>
    <row r="402" spans="1:20" x14ac:dyDescent="0.25">
      <c r="A402" s="5">
        <v>44191</v>
      </c>
      <c r="B402">
        <v>1.8720000000000001E-2</v>
      </c>
      <c r="C402">
        <v>1.9369999999999998E-2</v>
      </c>
      <c r="D402">
        <v>1.8249999999999999E-2</v>
      </c>
      <c r="E402">
        <v>1.8679999999999999E-2</v>
      </c>
      <c r="F402">
        <v>73528485.5</v>
      </c>
      <c r="G402">
        <v>-0.21</v>
      </c>
      <c r="L402" t="s">
        <v>7</v>
      </c>
      <c r="M402" t="s">
        <v>8</v>
      </c>
      <c r="N402" t="s">
        <v>7</v>
      </c>
      <c r="P402">
        <f t="shared" si="974"/>
        <v>-0.2321428571428571</v>
      </c>
      <c r="Q402">
        <f t="shared" si="975"/>
        <v>-17069112.705357138</v>
      </c>
      <c r="R402">
        <f t="shared" si="976"/>
        <v>-1004155335.2375191</v>
      </c>
      <c r="S402">
        <f t="shared" si="977"/>
        <v>-10041.553352375191</v>
      </c>
      <c r="T402">
        <f t="shared" si="978"/>
        <v>-10.041553352375191</v>
      </c>
    </row>
    <row r="403" spans="1:20" x14ac:dyDescent="0.25">
      <c r="A403" s="5">
        <v>44190</v>
      </c>
      <c r="B403">
        <v>1.941E-2</v>
      </c>
      <c r="C403">
        <v>1.9939999999999999E-2</v>
      </c>
      <c r="D403">
        <v>1.8579999999999999E-2</v>
      </c>
      <c r="E403">
        <v>1.8689999999999998E-2</v>
      </c>
      <c r="F403">
        <v>78397705.799999997</v>
      </c>
      <c r="G403">
        <v>-3.71</v>
      </c>
      <c r="L403" t="s">
        <v>8</v>
      </c>
      <c r="M403" t="s">
        <v>8</v>
      </c>
      <c r="N403" t="s">
        <v>7</v>
      </c>
      <c r="P403">
        <f t="shared" si="974"/>
        <v>-0.83823529411764852</v>
      </c>
      <c r="Q403">
        <f t="shared" si="975"/>
        <v>-65715723.979411878</v>
      </c>
      <c r="R403">
        <f t="shared" si="976"/>
        <v>-987086222.53216195</v>
      </c>
      <c r="S403">
        <f t="shared" si="977"/>
        <v>-9870.8622253216199</v>
      </c>
      <c r="T403">
        <f t="shared" si="978"/>
        <v>-9.8708622253216198</v>
      </c>
    </row>
    <row r="404" spans="1:20" x14ac:dyDescent="0.25">
      <c r="A404" s="5">
        <v>44189</v>
      </c>
      <c r="B404">
        <v>1.78E-2</v>
      </c>
      <c r="C404">
        <v>1.9740000000000001E-2</v>
      </c>
      <c r="D404">
        <v>1.6299999999999999E-2</v>
      </c>
      <c r="E404">
        <v>1.942E-2</v>
      </c>
      <c r="F404">
        <v>115392314</v>
      </c>
      <c r="G404">
        <v>9.1</v>
      </c>
      <c r="L404" t="s">
        <v>8</v>
      </c>
      <c r="M404" t="s">
        <v>8</v>
      </c>
      <c r="N404" t="s">
        <v>7</v>
      </c>
      <c r="P404">
        <f t="shared" si="974"/>
        <v>0.81395348837209269</v>
      </c>
      <c r="Q404">
        <f t="shared" si="975"/>
        <v>93923976.511627868</v>
      </c>
      <c r="R404">
        <f t="shared" si="976"/>
        <v>-921370498.55275011</v>
      </c>
      <c r="S404">
        <f t="shared" si="977"/>
        <v>-9213.7049855275018</v>
      </c>
      <c r="T404">
        <f t="shared" si="978"/>
        <v>-9.2137049855275013</v>
      </c>
    </row>
    <row r="405" spans="1:20" x14ac:dyDescent="0.25">
      <c r="A405" s="5">
        <v>44188</v>
      </c>
      <c r="B405">
        <v>2.249E-2</v>
      </c>
      <c r="C405">
        <v>2.257E-2</v>
      </c>
      <c r="D405">
        <v>1.5720000000000001E-2</v>
      </c>
      <c r="E405">
        <v>1.7809999999999999E-2</v>
      </c>
      <c r="F405">
        <v>115134400.09999999</v>
      </c>
      <c r="G405">
        <v>-20.81</v>
      </c>
      <c r="L405" t="s">
        <v>7</v>
      </c>
      <c r="M405" t="s">
        <v>7</v>
      </c>
      <c r="N405" t="s">
        <v>7</v>
      </c>
      <c r="P405">
        <f t="shared" si="974"/>
        <v>-0.38978102189781061</v>
      </c>
      <c r="Q405">
        <f t="shared" si="975"/>
        <v>-44877204.126569383</v>
      </c>
      <c r="R405">
        <f t="shared" si="976"/>
        <v>-1015294475.064378</v>
      </c>
      <c r="S405">
        <f t="shared" si="977"/>
        <v>-10152.944750643781</v>
      </c>
      <c r="T405">
        <f t="shared" si="978"/>
        <v>-10.152944750643782</v>
      </c>
    </row>
    <row r="406" spans="1:20" x14ac:dyDescent="0.25">
      <c r="A406" s="5">
        <v>44187</v>
      </c>
      <c r="B406">
        <v>2.3060000000000001E-2</v>
      </c>
      <c r="C406">
        <v>2.4400000000000002E-2</v>
      </c>
      <c r="D406">
        <v>2.0920000000000001E-2</v>
      </c>
      <c r="E406">
        <v>2.2499999999999999E-2</v>
      </c>
      <c r="F406">
        <v>116199473.90000001</v>
      </c>
      <c r="G406">
        <v>-2.4300000000000002</v>
      </c>
      <c r="L406" t="s">
        <v>7</v>
      </c>
      <c r="M406" t="s">
        <v>7</v>
      </c>
      <c r="N406" t="s">
        <v>7</v>
      </c>
      <c r="P406">
        <f t="shared" si="974"/>
        <v>-9.1954022988506967E-2</v>
      </c>
      <c r="Q406">
        <f t="shared" si="975"/>
        <v>-10685009.094253017</v>
      </c>
      <c r="R406">
        <f t="shared" si="976"/>
        <v>-970417270.93780863</v>
      </c>
      <c r="S406">
        <f t="shared" si="977"/>
        <v>-9704.1727093780864</v>
      </c>
      <c r="T406">
        <f t="shared" si="978"/>
        <v>-9.7041727093780867</v>
      </c>
    </row>
    <row r="407" spans="1:20" x14ac:dyDescent="0.25">
      <c r="A407" s="5">
        <v>44186</v>
      </c>
      <c r="B407">
        <v>2.4209999999999999E-2</v>
      </c>
      <c r="C407">
        <v>2.4729999999999999E-2</v>
      </c>
      <c r="D407">
        <v>2.2009999999999998E-2</v>
      </c>
      <c r="E407">
        <v>2.3060000000000001E-2</v>
      </c>
      <c r="F407">
        <v>79239512.200000003</v>
      </c>
      <c r="G407">
        <v>-4.75</v>
      </c>
      <c r="L407" t="s">
        <v>7</v>
      </c>
      <c r="M407" t="s">
        <v>7</v>
      </c>
      <c r="N407" t="s">
        <v>7</v>
      </c>
      <c r="P407">
        <f t="shared" si="974"/>
        <v>-0.22794117647058659</v>
      </c>
      <c r="Q407">
        <f t="shared" si="975"/>
        <v>-18061947.633823399</v>
      </c>
      <c r="R407">
        <f t="shared" si="976"/>
        <v>-959732261.84355557</v>
      </c>
      <c r="S407">
        <f t="shared" si="977"/>
        <v>-9597.3226184355553</v>
      </c>
      <c r="T407">
        <f t="shared" si="978"/>
        <v>-9.5973226184355553</v>
      </c>
    </row>
    <row r="408" spans="1:20" x14ac:dyDescent="0.25">
      <c r="A408" s="5">
        <v>44185</v>
      </c>
      <c r="B408">
        <v>2.393E-2</v>
      </c>
      <c r="C408">
        <v>2.6579999999999999E-2</v>
      </c>
      <c r="D408">
        <v>2.3550000000000001E-2</v>
      </c>
      <c r="E408">
        <v>2.4209999999999999E-2</v>
      </c>
      <c r="F408">
        <v>121774267.2</v>
      </c>
      <c r="G408">
        <v>1.17</v>
      </c>
      <c r="L408" t="s">
        <v>8</v>
      </c>
      <c r="M408" t="s">
        <v>8</v>
      </c>
      <c r="N408" t="s">
        <v>7</v>
      </c>
      <c r="P408">
        <f t="shared" si="974"/>
        <v>-0.56435643564356575</v>
      </c>
      <c r="Q408">
        <f t="shared" si="975"/>
        <v>-68724091.390099183</v>
      </c>
      <c r="R408">
        <f t="shared" si="976"/>
        <v>-941670314.20973217</v>
      </c>
      <c r="S408">
        <f t="shared" si="977"/>
        <v>-9416.7031420973217</v>
      </c>
      <c r="T408">
        <f t="shared" si="978"/>
        <v>-9.4167031420973224</v>
      </c>
    </row>
    <row r="409" spans="1:20" x14ac:dyDescent="0.25">
      <c r="A409" s="5">
        <v>44184</v>
      </c>
      <c r="B409">
        <v>2.385E-2</v>
      </c>
      <c r="C409">
        <v>2.479E-2</v>
      </c>
      <c r="D409">
        <v>2.3390000000000001E-2</v>
      </c>
      <c r="E409">
        <v>2.3949999999999999E-2</v>
      </c>
      <c r="F409">
        <v>80226253.5</v>
      </c>
      <c r="G409">
        <v>0.42</v>
      </c>
      <c r="L409" t="s">
        <v>8</v>
      </c>
      <c r="M409" t="s">
        <v>8</v>
      </c>
      <c r="N409" t="s">
        <v>7</v>
      </c>
      <c r="P409">
        <f t="shared" si="974"/>
        <v>-0.20000000000000198</v>
      </c>
      <c r="Q409">
        <f t="shared" si="975"/>
        <v>-16045250.700000159</v>
      </c>
      <c r="R409">
        <f t="shared" si="976"/>
        <v>-872946222.81963301</v>
      </c>
      <c r="S409">
        <f t="shared" si="977"/>
        <v>-8729.4622281963293</v>
      </c>
      <c r="T409">
        <f t="shared" si="978"/>
        <v>-8.7294622281963292</v>
      </c>
    </row>
    <row r="410" spans="1:20" x14ac:dyDescent="0.25">
      <c r="A410" s="5">
        <v>44183</v>
      </c>
      <c r="B410">
        <v>2.3089999999999999E-2</v>
      </c>
      <c r="C410">
        <v>2.3890000000000002E-2</v>
      </c>
      <c r="D410">
        <v>2.2540000000000001E-2</v>
      </c>
      <c r="E410">
        <v>2.3859999999999999E-2</v>
      </c>
      <c r="F410">
        <v>51412598.200000003</v>
      </c>
      <c r="G410">
        <v>3.33</v>
      </c>
      <c r="L410" t="s">
        <v>7</v>
      </c>
      <c r="M410" t="s">
        <v>8</v>
      </c>
      <c r="N410" t="s">
        <v>7</v>
      </c>
      <c r="P410">
        <f t="shared" si="974"/>
        <v>0.95555555555555227</v>
      </c>
      <c r="Q410">
        <f t="shared" si="975"/>
        <v>49127593.83555539</v>
      </c>
      <c r="R410">
        <f t="shared" si="976"/>
        <v>-856900972.11963284</v>
      </c>
      <c r="S410">
        <f t="shared" si="977"/>
        <v>-8569.0097211963275</v>
      </c>
      <c r="T410">
        <f t="shared" si="978"/>
        <v>-8.569009721196327</v>
      </c>
    </row>
    <row r="411" spans="1:20" x14ac:dyDescent="0.25">
      <c r="A411" s="5">
        <v>44182</v>
      </c>
      <c r="B411">
        <v>2.2880000000000001E-2</v>
      </c>
      <c r="C411">
        <v>2.4660000000000001E-2</v>
      </c>
      <c r="D411">
        <v>2.2769999999999999E-2</v>
      </c>
      <c r="E411">
        <v>2.3089999999999999E-2</v>
      </c>
      <c r="F411">
        <v>115299154.40000001</v>
      </c>
      <c r="G411">
        <v>0.92</v>
      </c>
      <c r="L411" t="s">
        <v>8</v>
      </c>
      <c r="M411" t="s">
        <v>8</v>
      </c>
      <c r="N411" t="s">
        <v>7</v>
      </c>
      <c r="P411">
        <f t="shared" si="974"/>
        <v>-0.66137566137566095</v>
      </c>
      <c r="Q411">
        <f t="shared" si="975"/>
        <v>-76256054.497354448</v>
      </c>
      <c r="R411">
        <f t="shared" si="976"/>
        <v>-906028565.95518827</v>
      </c>
      <c r="S411">
        <f t="shared" si="977"/>
        <v>-9060.2856595518824</v>
      </c>
      <c r="T411">
        <f t="shared" si="978"/>
        <v>-9.0602856595518819</v>
      </c>
    </row>
    <row r="412" spans="1:20" x14ac:dyDescent="0.25">
      <c r="A412" s="5">
        <v>44181</v>
      </c>
      <c r="B412">
        <v>2.2380000000000001E-2</v>
      </c>
      <c r="C412">
        <v>2.3910000000000001E-2</v>
      </c>
      <c r="D412">
        <v>2.2009999999999998E-2</v>
      </c>
      <c r="E412">
        <v>2.2880000000000001E-2</v>
      </c>
      <c r="F412">
        <v>76271316.299999997</v>
      </c>
      <c r="G412">
        <v>2.23</v>
      </c>
      <c r="L412" t="s">
        <v>8</v>
      </c>
      <c r="M412" t="s">
        <v>8</v>
      </c>
      <c r="N412" t="s">
        <v>7</v>
      </c>
      <c r="P412">
        <f t="shared" si="974"/>
        <v>-8.4210526315787765E-2</v>
      </c>
      <c r="Q412">
        <f t="shared" si="975"/>
        <v>-6422847.6884209225</v>
      </c>
      <c r="R412">
        <f t="shared" si="976"/>
        <v>-829772511.45783377</v>
      </c>
      <c r="S412">
        <f t="shared" si="977"/>
        <v>-8297.7251145783375</v>
      </c>
      <c r="T412">
        <f t="shared" si="978"/>
        <v>-8.2977251145783377</v>
      </c>
    </row>
    <row r="413" spans="1:20" x14ac:dyDescent="0.25">
      <c r="A413" s="5">
        <v>44180</v>
      </c>
      <c r="B413">
        <v>2.3599999999999999E-2</v>
      </c>
      <c r="C413">
        <v>2.392E-2</v>
      </c>
      <c r="D413">
        <v>2.2259999999999999E-2</v>
      </c>
      <c r="E413">
        <v>2.2360000000000001E-2</v>
      </c>
      <c r="F413">
        <v>54534020.299999997</v>
      </c>
      <c r="G413">
        <v>-5.25</v>
      </c>
      <c r="L413" t="s">
        <v>7</v>
      </c>
      <c r="M413" t="s">
        <v>8</v>
      </c>
      <c r="N413" t="s">
        <v>7</v>
      </c>
      <c r="P413">
        <f t="shared" si="974"/>
        <v>-0.87951807228915335</v>
      </c>
      <c r="Q413">
        <f t="shared" si="975"/>
        <v>-47963656.408433557</v>
      </c>
      <c r="R413">
        <f t="shared" si="976"/>
        <v>-823349663.76941288</v>
      </c>
      <c r="S413">
        <f t="shared" si="977"/>
        <v>-8233.4966376941284</v>
      </c>
      <c r="T413">
        <f t="shared" si="978"/>
        <v>-8.2334966376941292</v>
      </c>
    </row>
    <row r="414" spans="1:20" x14ac:dyDescent="0.25">
      <c r="A414" s="5">
        <v>44179</v>
      </c>
      <c r="B414">
        <v>2.0910000000000002E-2</v>
      </c>
      <c r="C414">
        <v>2.3789999999999999E-2</v>
      </c>
      <c r="D414">
        <v>2.0799999999999999E-2</v>
      </c>
      <c r="E414">
        <v>2.359E-2</v>
      </c>
      <c r="F414">
        <v>73858054.400000006</v>
      </c>
      <c r="G414">
        <v>12.82</v>
      </c>
      <c r="L414" t="s">
        <v>8</v>
      </c>
      <c r="M414" t="s">
        <v>8</v>
      </c>
      <c r="N414" t="s">
        <v>7</v>
      </c>
      <c r="P414">
        <f t="shared" si="974"/>
        <v>0.86622073578595393</v>
      </c>
      <c r="Q414">
        <f t="shared" si="975"/>
        <v>63977378.226087019</v>
      </c>
      <c r="R414">
        <f t="shared" si="976"/>
        <v>-775386007.36097932</v>
      </c>
      <c r="S414">
        <f t="shared" si="977"/>
        <v>-7753.8600736097933</v>
      </c>
      <c r="T414">
        <f t="shared" si="978"/>
        <v>-7.7538600736097933</v>
      </c>
    </row>
    <row r="415" spans="1:20" x14ac:dyDescent="0.25">
      <c r="A415" s="5">
        <v>44178</v>
      </c>
      <c r="B415">
        <v>2.052E-2</v>
      </c>
      <c r="C415">
        <v>2.1479999999999999E-2</v>
      </c>
      <c r="D415">
        <v>2.0500000000000001E-2</v>
      </c>
      <c r="E415">
        <v>2.0910000000000002E-2</v>
      </c>
      <c r="F415">
        <v>60158022.399999999</v>
      </c>
      <c r="G415">
        <v>1.9</v>
      </c>
      <c r="L415" t="s">
        <v>8</v>
      </c>
      <c r="M415" t="s">
        <v>7</v>
      </c>
      <c r="N415" t="s">
        <v>7</v>
      </c>
      <c r="P415">
        <f t="shared" si="974"/>
        <v>-0.16326530612244616</v>
      </c>
      <c r="Q415">
        <f t="shared" si="975"/>
        <v>-9821717.942856973</v>
      </c>
      <c r="R415">
        <f t="shared" si="976"/>
        <v>-839363385.58706629</v>
      </c>
      <c r="S415">
        <f t="shared" si="977"/>
        <v>-8393.633855870663</v>
      </c>
      <c r="T415">
        <f t="shared" si="978"/>
        <v>-8.3936338558706627</v>
      </c>
    </row>
    <row r="416" spans="1:20" x14ac:dyDescent="0.25">
      <c r="A416" s="5">
        <v>44177</v>
      </c>
      <c r="B416">
        <v>1.942E-2</v>
      </c>
      <c r="C416">
        <v>2.1000000000000001E-2</v>
      </c>
      <c r="D416">
        <v>1.9369999999999998E-2</v>
      </c>
      <c r="E416">
        <v>2.0539999999999999E-2</v>
      </c>
      <c r="F416">
        <v>51429676.399999999</v>
      </c>
      <c r="G416">
        <v>5.77</v>
      </c>
      <c r="L416" t="s">
        <v>8</v>
      </c>
      <c r="M416" t="s">
        <v>7</v>
      </c>
      <c r="N416" t="s">
        <v>7</v>
      </c>
      <c r="P416">
        <f t="shared" si="974"/>
        <v>0.43558282208588806</v>
      </c>
      <c r="Q416">
        <f t="shared" si="975"/>
        <v>22401883.585275996</v>
      </c>
      <c r="R416">
        <f t="shared" si="976"/>
        <v>-829541667.64420927</v>
      </c>
      <c r="S416">
        <f t="shared" si="977"/>
        <v>-8295.4166764420934</v>
      </c>
      <c r="T416">
        <f t="shared" si="978"/>
        <v>-8.2954166764420929</v>
      </c>
    </row>
    <row r="417" spans="1:20" x14ac:dyDescent="0.25">
      <c r="A417" s="5">
        <v>44176</v>
      </c>
      <c r="B417">
        <v>2.104E-2</v>
      </c>
      <c r="C417">
        <v>2.1059999999999999E-2</v>
      </c>
      <c r="D417">
        <v>1.847E-2</v>
      </c>
      <c r="E417">
        <v>1.9429999999999999E-2</v>
      </c>
      <c r="F417">
        <v>85636244.700000003</v>
      </c>
      <c r="G417">
        <v>-7.65</v>
      </c>
      <c r="L417" t="s">
        <v>7</v>
      </c>
      <c r="M417" t="s">
        <v>7</v>
      </c>
      <c r="N417" t="s">
        <v>7</v>
      </c>
      <c r="P417">
        <f t="shared" si="974"/>
        <v>-0.258687258687259</v>
      </c>
      <c r="Q417">
        <f t="shared" si="975"/>
        <v>-22153005.385714315</v>
      </c>
      <c r="R417">
        <f t="shared" si="976"/>
        <v>-851943551.22948527</v>
      </c>
      <c r="S417">
        <f t="shared" si="977"/>
        <v>-8519.4355122948527</v>
      </c>
      <c r="T417">
        <f t="shared" si="978"/>
        <v>-8.5194355122948533</v>
      </c>
    </row>
    <row r="418" spans="1:20" x14ac:dyDescent="0.25">
      <c r="A418" s="5">
        <v>44175</v>
      </c>
      <c r="B418">
        <v>2.1680000000000001E-2</v>
      </c>
      <c r="C418">
        <v>2.256E-2</v>
      </c>
      <c r="D418">
        <v>2.043E-2</v>
      </c>
      <c r="E418">
        <v>2.1049999999999999E-2</v>
      </c>
      <c r="F418">
        <v>87034631.5</v>
      </c>
      <c r="G418">
        <v>-2.91</v>
      </c>
      <c r="L418" t="s">
        <v>8</v>
      </c>
      <c r="M418" t="s">
        <v>8</v>
      </c>
      <c r="N418" t="s">
        <v>7</v>
      </c>
      <c r="P418">
        <f t="shared" si="974"/>
        <v>-0.41784037558685538</v>
      </c>
      <c r="Q418">
        <f t="shared" si="975"/>
        <v>-36366583.115023553</v>
      </c>
      <c r="R418">
        <f t="shared" si="976"/>
        <v>-829790545.84377098</v>
      </c>
      <c r="S418">
        <f t="shared" si="977"/>
        <v>-8297.90545843771</v>
      </c>
      <c r="T418">
        <f t="shared" si="978"/>
        <v>-8.2979054584377092</v>
      </c>
    </row>
    <row r="419" spans="1:20" x14ac:dyDescent="0.25">
      <c r="A419" s="5">
        <v>44174</v>
      </c>
      <c r="B419">
        <v>2.0650000000000002E-2</v>
      </c>
      <c r="C419">
        <v>2.189E-2</v>
      </c>
      <c r="D419">
        <v>1.9199999999999998E-2</v>
      </c>
      <c r="E419">
        <v>2.1649999999999999E-2</v>
      </c>
      <c r="F419">
        <v>90487929.299999997</v>
      </c>
      <c r="G419">
        <v>4.84</v>
      </c>
      <c r="L419" t="s">
        <v>7</v>
      </c>
      <c r="M419" t="s">
        <v>7</v>
      </c>
      <c r="N419" t="s">
        <v>7</v>
      </c>
      <c r="P419">
        <f t="shared" si="974"/>
        <v>0.82156133828996247</v>
      </c>
      <c r="Q419">
        <f t="shared" si="975"/>
        <v>74341384.294795498</v>
      </c>
      <c r="R419">
        <f t="shared" si="976"/>
        <v>-793423962.72874749</v>
      </c>
      <c r="S419">
        <f t="shared" si="977"/>
        <v>-7934.2396272874748</v>
      </c>
      <c r="T419">
        <f t="shared" si="978"/>
        <v>-7.9342396272874751</v>
      </c>
    </row>
    <row r="420" spans="1:20" x14ac:dyDescent="0.25">
      <c r="A420" s="5">
        <v>44173</v>
      </c>
      <c r="B420">
        <v>2.3040000000000001E-2</v>
      </c>
      <c r="C420">
        <v>2.3720000000000001E-2</v>
      </c>
      <c r="D420">
        <v>2.0410000000000001E-2</v>
      </c>
      <c r="E420">
        <v>2.0639999999999999E-2</v>
      </c>
      <c r="F420">
        <v>74972828</v>
      </c>
      <c r="G420">
        <v>-10.42</v>
      </c>
      <c r="L420" t="s">
        <v>7</v>
      </c>
      <c r="M420" t="s">
        <v>7</v>
      </c>
      <c r="N420" t="s">
        <v>7</v>
      </c>
      <c r="P420">
        <f t="shared" si="974"/>
        <v>-0.86102719033232777</v>
      </c>
      <c r="Q420">
        <f t="shared" si="975"/>
        <v>-64553643.444108874</v>
      </c>
      <c r="R420">
        <f t="shared" si="976"/>
        <v>-867765347.023543</v>
      </c>
      <c r="S420">
        <f t="shared" si="977"/>
        <v>-8677.6534702354293</v>
      </c>
      <c r="T420">
        <f t="shared" si="978"/>
        <v>-8.6776534702354287</v>
      </c>
    </row>
    <row r="421" spans="1:20" x14ac:dyDescent="0.25">
      <c r="A421" s="5">
        <v>44172</v>
      </c>
      <c r="B421">
        <v>2.2880000000000001E-2</v>
      </c>
      <c r="C421">
        <v>2.3859999999999999E-2</v>
      </c>
      <c r="D421">
        <v>2.249E-2</v>
      </c>
      <c r="E421">
        <v>2.3060000000000001E-2</v>
      </c>
      <c r="F421">
        <v>79734568</v>
      </c>
      <c r="G421">
        <v>0.79</v>
      </c>
      <c r="L421" t="s">
        <v>8</v>
      </c>
      <c r="M421" t="s">
        <v>7</v>
      </c>
      <c r="N421" t="s">
        <v>7</v>
      </c>
      <c r="P421">
        <f t="shared" si="974"/>
        <v>-0.16788321167883039</v>
      </c>
      <c r="Q421">
        <f t="shared" si="975"/>
        <v>-13386095.357664095</v>
      </c>
      <c r="R421">
        <f t="shared" si="976"/>
        <v>-803211703.57943416</v>
      </c>
      <c r="S421">
        <f t="shared" si="977"/>
        <v>-8032.117035794342</v>
      </c>
      <c r="T421">
        <f t="shared" si="978"/>
        <v>-8.0321170357943412</v>
      </c>
    </row>
    <row r="422" spans="1:20" x14ac:dyDescent="0.25">
      <c r="A422" s="5">
        <v>44171</v>
      </c>
      <c r="B422">
        <v>2.3470000000000001E-2</v>
      </c>
      <c r="C422">
        <v>2.3720000000000001E-2</v>
      </c>
      <c r="D422">
        <v>2.2550000000000001E-2</v>
      </c>
      <c r="E422">
        <v>2.2880000000000001E-2</v>
      </c>
      <c r="F422">
        <v>56876289.100000001</v>
      </c>
      <c r="G422">
        <v>-2.5099999999999998</v>
      </c>
      <c r="L422" t="s">
        <v>8</v>
      </c>
      <c r="M422" t="s">
        <v>7</v>
      </c>
      <c r="N422" t="s">
        <v>7</v>
      </c>
      <c r="P422">
        <f t="shared" si="974"/>
        <v>-0.43589743589743557</v>
      </c>
      <c r="Q422">
        <f t="shared" si="975"/>
        <v>-24792228.582051262</v>
      </c>
      <c r="R422">
        <f t="shared" si="976"/>
        <v>-789825608.22177005</v>
      </c>
      <c r="S422">
        <f t="shared" si="977"/>
        <v>-7898.2560822177002</v>
      </c>
      <c r="T422">
        <f t="shared" si="978"/>
        <v>-7.8982560822177001</v>
      </c>
    </row>
    <row r="423" spans="1:20" x14ac:dyDescent="0.25">
      <c r="A423" s="5">
        <v>44170</v>
      </c>
      <c r="B423">
        <v>2.2210000000000001E-2</v>
      </c>
      <c r="C423">
        <v>2.3800000000000002E-2</v>
      </c>
      <c r="D423">
        <v>2.2030000000000001E-2</v>
      </c>
      <c r="E423">
        <v>2.3470000000000001E-2</v>
      </c>
      <c r="F423">
        <v>59251894.600000001</v>
      </c>
      <c r="G423">
        <v>5.67</v>
      </c>
      <c r="L423" t="s">
        <v>7</v>
      </c>
      <c r="M423" t="s">
        <v>7</v>
      </c>
      <c r="N423" t="s">
        <v>7</v>
      </c>
      <c r="P423">
        <f t="shared" si="974"/>
        <v>0.62711864406779627</v>
      </c>
      <c r="Q423">
        <f t="shared" si="975"/>
        <v>37157967.799999982</v>
      </c>
      <c r="R423">
        <f t="shared" si="976"/>
        <v>-765033379.63971877</v>
      </c>
      <c r="S423">
        <f t="shared" si="977"/>
        <v>-7650.3337963971881</v>
      </c>
      <c r="T423">
        <f t="shared" si="978"/>
        <v>-7.650333796397188</v>
      </c>
    </row>
    <row r="424" spans="1:20" x14ac:dyDescent="0.25">
      <c r="A424" s="5">
        <v>44169</v>
      </c>
      <c r="B424">
        <v>2.4709999999999999E-2</v>
      </c>
      <c r="C424">
        <v>2.5749999999999999E-2</v>
      </c>
      <c r="D424">
        <v>2.213E-2</v>
      </c>
      <c r="E424">
        <v>2.2239999999999999E-2</v>
      </c>
      <c r="F424">
        <v>104452871.09999999</v>
      </c>
      <c r="G424">
        <v>-10</v>
      </c>
      <c r="L424" t="s">
        <v>8</v>
      </c>
      <c r="M424" t="s">
        <v>7</v>
      </c>
      <c r="N424" t="s">
        <v>7</v>
      </c>
      <c r="P424">
        <f t="shared" si="974"/>
        <v>-0.93922651933701706</v>
      </c>
      <c r="Q424">
        <f t="shared" si="975"/>
        <v>-98104906.5580111</v>
      </c>
      <c r="R424">
        <f t="shared" si="976"/>
        <v>-802191347.43971872</v>
      </c>
      <c r="S424">
        <f t="shared" si="977"/>
        <v>-8021.9134743971872</v>
      </c>
      <c r="T424">
        <f t="shared" si="978"/>
        <v>-8.0219134743971878</v>
      </c>
    </row>
    <row r="425" spans="1:20" x14ac:dyDescent="0.25">
      <c r="A425" s="5">
        <v>44168</v>
      </c>
      <c r="B425">
        <v>2.4109999999999999E-2</v>
      </c>
      <c r="C425">
        <v>2.479E-2</v>
      </c>
      <c r="D425">
        <v>2.333E-2</v>
      </c>
      <c r="E425">
        <v>2.479E-2</v>
      </c>
      <c r="F425">
        <v>69445994.099999994</v>
      </c>
      <c r="G425">
        <v>2.82</v>
      </c>
      <c r="L425" t="s">
        <v>8</v>
      </c>
      <c r="M425" t="s">
        <v>7</v>
      </c>
      <c r="N425" t="s">
        <v>7</v>
      </c>
      <c r="P425">
        <f t="shared" si="974"/>
        <v>1</v>
      </c>
      <c r="Q425">
        <f t="shared" si="975"/>
        <v>69445994.099999994</v>
      </c>
      <c r="R425">
        <f t="shared" si="976"/>
        <v>-704086440.88170767</v>
      </c>
      <c r="S425">
        <f t="shared" si="977"/>
        <v>-7040.8644088170768</v>
      </c>
      <c r="T425">
        <f t="shared" si="978"/>
        <v>-7.0408644088170771</v>
      </c>
    </row>
    <row r="426" spans="1:20" x14ac:dyDescent="0.25">
      <c r="A426" s="5">
        <v>44167</v>
      </c>
      <c r="B426">
        <v>2.2800000000000001E-2</v>
      </c>
      <c r="C426">
        <v>2.4279999999999999E-2</v>
      </c>
      <c r="D426">
        <v>2.2460000000000001E-2</v>
      </c>
      <c r="E426">
        <v>2.41E-2</v>
      </c>
      <c r="F426">
        <v>51596535.899999999</v>
      </c>
      <c r="G426">
        <v>5.7</v>
      </c>
      <c r="L426" t="s">
        <v>8</v>
      </c>
      <c r="M426" t="s">
        <v>7</v>
      </c>
      <c r="N426" t="s">
        <v>7</v>
      </c>
      <c r="P426">
        <f t="shared" si="974"/>
        <v>0.80219780219780246</v>
      </c>
      <c r="Q426">
        <f t="shared" si="975"/>
        <v>41390627.70000001</v>
      </c>
      <c r="R426">
        <f t="shared" si="976"/>
        <v>-773532434.98170769</v>
      </c>
      <c r="S426">
        <f t="shared" si="977"/>
        <v>-7735.3243498170768</v>
      </c>
      <c r="T426">
        <f t="shared" si="978"/>
        <v>-7.7353243498170769</v>
      </c>
    </row>
    <row r="427" spans="1:20" x14ac:dyDescent="0.25">
      <c r="A427" s="5">
        <v>44166</v>
      </c>
      <c r="B427">
        <v>2.3480000000000001E-2</v>
      </c>
      <c r="C427">
        <v>2.5159999999999998E-2</v>
      </c>
      <c r="D427">
        <v>2.2030000000000001E-2</v>
      </c>
      <c r="E427">
        <v>2.282E-2</v>
      </c>
      <c r="F427">
        <v>68456467.599999994</v>
      </c>
      <c r="G427">
        <v>-2.81</v>
      </c>
      <c r="L427" t="s">
        <v>7</v>
      </c>
      <c r="M427" t="s">
        <v>7</v>
      </c>
      <c r="N427" t="s">
        <v>7</v>
      </c>
      <c r="P427">
        <f t="shared" si="974"/>
        <v>-0.49520766773162961</v>
      </c>
      <c r="Q427">
        <f t="shared" si="975"/>
        <v>-33900167.661341868</v>
      </c>
      <c r="R427">
        <f t="shared" si="976"/>
        <v>-814923062.68170774</v>
      </c>
      <c r="S427">
        <f t="shared" si="977"/>
        <v>-8149.2306268170778</v>
      </c>
      <c r="T427">
        <f t="shared" si="978"/>
        <v>-8.1492306268170775</v>
      </c>
    </row>
    <row r="428" spans="1:20" x14ac:dyDescent="0.25">
      <c r="A428" s="5">
        <v>44165</v>
      </c>
      <c r="B428">
        <v>2.4840000000000001E-2</v>
      </c>
      <c r="C428">
        <v>2.5399999999999999E-2</v>
      </c>
      <c r="D428">
        <v>2.308E-2</v>
      </c>
      <c r="E428">
        <v>2.3429999999999999E-2</v>
      </c>
      <c r="F428">
        <v>84983547.299999997</v>
      </c>
      <c r="G428">
        <v>-5.68</v>
      </c>
      <c r="L428" t="s">
        <v>7</v>
      </c>
      <c r="M428" t="s">
        <v>8</v>
      </c>
      <c r="N428" t="s">
        <v>7</v>
      </c>
      <c r="P428">
        <f t="shared" si="974"/>
        <v>-0.69827586206896575</v>
      </c>
      <c r="Q428">
        <f t="shared" si="975"/>
        <v>-59341959.752586223</v>
      </c>
      <c r="R428">
        <f t="shared" si="976"/>
        <v>-781022895.02036583</v>
      </c>
      <c r="S428">
        <f t="shared" si="977"/>
        <v>-7810.2289502036583</v>
      </c>
      <c r="T428">
        <f t="shared" si="978"/>
        <v>-7.8102289502036584</v>
      </c>
    </row>
    <row r="429" spans="1:20" x14ac:dyDescent="0.25">
      <c r="A429" s="5">
        <v>44164</v>
      </c>
      <c r="B429">
        <v>2.1250000000000002E-2</v>
      </c>
      <c r="C429">
        <v>2.5989999999999999E-2</v>
      </c>
      <c r="D429">
        <v>2.0920000000000001E-2</v>
      </c>
      <c r="E429">
        <v>2.4850000000000001E-2</v>
      </c>
      <c r="F429">
        <v>211435973.90000001</v>
      </c>
      <c r="G429">
        <v>16.940000000000001</v>
      </c>
      <c r="L429" t="s">
        <v>8</v>
      </c>
      <c r="M429" t="s">
        <v>8</v>
      </c>
      <c r="N429" t="s">
        <v>7</v>
      </c>
      <c r="P429">
        <f t="shared" si="974"/>
        <v>0.55029585798816605</v>
      </c>
      <c r="Q429">
        <f t="shared" si="975"/>
        <v>116352340.66686399</v>
      </c>
      <c r="R429">
        <f t="shared" si="976"/>
        <v>-721680935.26777959</v>
      </c>
      <c r="S429">
        <f t="shared" si="977"/>
        <v>-7216.8093526777957</v>
      </c>
      <c r="T429">
        <f t="shared" si="978"/>
        <v>-7.2168093526777959</v>
      </c>
    </row>
    <row r="430" spans="1:20" x14ac:dyDescent="0.25">
      <c r="A430" s="5">
        <v>44163</v>
      </c>
      <c r="B430">
        <v>2.128E-2</v>
      </c>
      <c r="C430">
        <v>2.2509999999999999E-2</v>
      </c>
      <c r="D430">
        <v>2.0670000000000001E-2</v>
      </c>
      <c r="E430">
        <v>2.1270000000000001E-2</v>
      </c>
      <c r="F430">
        <v>58154754</v>
      </c>
      <c r="G430">
        <v>-0.05</v>
      </c>
      <c r="L430" t="s">
        <v>8</v>
      </c>
      <c r="M430" t="s">
        <v>8</v>
      </c>
      <c r="N430" t="s">
        <v>7</v>
      </c>
      <c r="P430">
        <f t="shared" si="974"/>
        <v>-0.34782608695652117</v>
      </c>
      <c r="Q430">
        <f t="shared" si="975"/>
        <v>-20227740.521739099</v>
      </c>
      <c r="R430">
        <f t="shared" si="976"/>
        <v>-838033275.93464363</v>
      </c>
      <c r="S430">
        <f t="shared" si="977"/>
        <v>-8380.3327593464364</v>
      </c>
      <c r="T430">
        <f t="shared" si="978"/>
        <v>-8.3803327593464356</v>
      </c>
    </row>
    <row r="431" spans="1:20" x14ac:dyDescent="0.25">
      <c r="A431" s="5">
        <v>44162</v>
      </c>
      <c r="B431">
        <v>2.0879999999999999E-2</v>
      </c>
      <c r="C431">
        <v>2.2069999999999999E-2</v>
      </c>
      <c r="D431">
        <v>2.0140000000000002E-2</v>
      </c>
      <c r="E431">
        <v>2.1270000000000001E-2</v>
      </c>
      <c r="F431">
        <v>77560653.099999994</v>
      </c>
      <c r="G431">
        <v>1.87</v>
      </c>
      <c r="L431" t="s">
        <v>8</v>
      </c>
      <c r="M431" t="s">
        <v>7</v>
      </c>
      <c r="N431" t="s">
        <v>7</v>
      </c>
      <c r="P431">
        <f t="shared" si="974"/>
        <v>0.17098445595854966</v>
      </c>
      <c r="Q431">
        <f t="shared" si="975"/>
        <v>13261666.074093297</v>
      </c>
      <c r="R431">
        <f t="shared" si="976"/>
        <v>-817805535.4129045</v>
      </c>
      <c r="S431">
        <f t="shared" si="977"/>
        <v>-8178.0553541290446</v>
      </c>
      <c r="T431">
        <f t="shared" si="978"/>
        <v>-8.1780553541290448</v>
      </c>
    </row>
    <row r="432" spans="1:20" x14ac:dyDescent="0.25">
      <c r="A432" s="5">
        <v>44161</v>
      </c>
      <c r="B432">
        <v>2.4029999999999999E-2</v>
      </c>
      <c r="C432">
        <v>2.5860000000000001E-2</v>
      </c>
      <c r="D432">
        <v>1.8460000000000001E-2</v>
      </c>
      <c r="E432">
        <v>2.094E-2</v>
      </c>
      <c r="F432">
        <v>197047878.59999999</v>
      </c>
      <c r="G432">
        <v>-12.86</v>
      </c>
      <c r="L432" t="s">
        <v>7</v>
      </c>
      <c r="M432" t="s">
        <v>7</v>
      </c>
      <c r="N432" t="s">
        <v>7</v>
      </c>
      <c r="P432">
        <f t="shared" si="974"/>
        <v>-0.32972972972972986</v>
      </c>
      <c r="Q432">
        <f t="shared" si="975"/>
        <v>-64972543.754594617</v>
      </c>
      <c r="R432">
        <f t="shared" si="976"/>
        <v>-831067201.48699784</v>
      </c>
      <c r="S432">
        <f t="shared" si="977"/>
        <v>-8310.6720148699787</v>
      </c>
      <c r="T432">
        <f t="shared" si="978"/>
        <v>-8.3106720148699793</v>
      </c>
    </row>
    <row r="433" spans="1:20" x14ac:dyDescent="0.25">
      <c r="A433" s="5">
        <v>44160</v>
      </c>
      <c r="B433">
        <v>2.495E-2</v>
      </c>
      <c r="C433">
        <v>2.708E-2</v>
      </c>
      <c r="D433">
        <v>2.342E-2</v>
      </c>
      <c r="E433">
        <v>2.4049999999999998E-2</v>
      </c>
      <c r="F433">
        <v>98262679</v>
      </c>
      <c r="G433">
        <v>-3.61</v>
      </c>
      <c r="L433" t="s">
        <v>8</v>
      </c>
      <c r="M433" t="s">
        <v>8</v>
      </c>
      <c r="N433" t="s">
        <v>8</v>
      </c>
      <c r="P433">
        <f t="shared" si="974"/>
        <v>-0.65573770491803351</v>
      </c>
      <c r="Q433">
        <f t="shared" si="975"/>
        <v>-64434543.606557451</v>
      </c>
      <c r="R433">
        <f t="shared" si="976"/>
        <v>-766094657.73240328</v>
      </c>
      <c r="S433">
        <f t="shared" si="977"/>
        <v>-7660.9465773240327</v>
      </c>
      <c r="T433">
        <f t="shared" si="978"/>
        <v>-7.6609465773240331</v>
      </c>
    </row>
    <row r="434" spans="1:20" x14ac:dyDescent="0.25">
      <c r="A434" s="5">
        <v>44159</v>
      </c>
      <c r="B434">
        <v>2.5649999999999999E-2</v>
      </c>
      <c r="C434">
        <v>2.6370000000000001E-2</v>
      </c>
      <c r="D434">
        <v>2.264E-2</v>
      </c>
      <c r="E434">
        <v>2.496E-2</v>
      </c>
      <c r="F434">
        <v>162248114.90000001</v>
      </c>
      <c r="G434">
        <v>-2.69</v>
      </c>
      <c r="L434" t="s">
        <v>8</v>
      </c>
      <c r="M434" t="s">
        <v>8</v>
      </c>
      <c r="N434" t="s">
        <v>8</v>
      </c>
      <c r="P434">
        <f t="shared" si="974"/>
        <v>0.24396782841822989</v>
      </c>
      <c r="Q434">
        <f t="shared" si="975"/>
        <v>39583320.257104449</v>
      </c>
      <c r="R434">
        <f t="shared" si="976"/>
        <v>-701660114.12584579</v>
      </c>
      <c r="S434">
        <f t="shared" si="977"/>
        <v>-7016.6011412584576</v>
      </c>
      <c r="T434">
        <f t="shared" si="978"/>
        <v>-7.0166011412584579</v>
      </c>
    </row>
    <row r="435" spans="1:20" x14ac:dyDescent="0.25">
      <c r="A435" s="5">
        <v>44158</v>
      </c>
      <c r="B435">
        <v>2.249E-2</v>
      </c>
      <c r="C435">
        <v>2.606E-2</v>
      </c>
      <c r="D435">
        <v>2.2100000000000002E-2</v>
      </c>
      <c r="E435">
        <v>2.5680000000000001E-2</v>
      </c>
      <c r="F435">
        <v>211481684.5</v>
      </c>
      <c r="G435">
        <v>14.18</v>
      </c>
      <c r="L435" t="s">
        <v>8</v>
      </c>
      <c r="M435" t="s">
        <v>8</v>
      </c>
      <c r="N435" t="s">
        <v>8</v>
      </c>
      <c r="P435">
        <f t="shared" si="974"/>
        <v>0.80808080808080884</v>
      </c>
      <c r="Q435">
        <f t="shared" si="975"/>
        <v>170894290.50505066</v>
      </c>
      <c r="R435">
        <f t="shared" si="976"/>
        <v>-741243434.38295019</v>
      </c>
      <c r="S435">
        <f t="shared" si="977"/>
        <v>-7412.4343438295018</v>
      </c>
      <c r="T435">
        <f t="shared" si="978"/>
        <v>-7.4124343438295019</v>
      </c>
    </row>
    <row r="436" spans="1:20" x14ac:dyDescent="0.25">
      <c r="A436" s="5">
        <v>44157</v>
      </c>
      <c r="B436">
        <v>2.1930000000000002E-2</v>
      </c>
      <c r="C436">
        <v>2.4729999999999999E-2</v>
      </c>
      <c r="D436">
        <v>2.0500000000000001E-2</v>
      </c>
      <c r="E436">
        <v>2.2460000000000001E-2</v>
      </c>
      <c r="F436">
        <v>256352513.80000001</v>
      </c>
      <c r="G436">
        <v>2.42</v>
      </c>
      <c r="L436" t="s">
        <v>8</v>
      </c>
      <c r="M436" t="s">
        <v>8</v>
      </c>
      <c r="N436" t="s">
        <v>8</v>
      </c>
      <c r="P436">
        <f t="shared" si="974"/>
        <v>-7.3286052009455774E-2</v>
      </c>
      <c r="Q436">
        <f t="shared" si="975"/>
        <v>-18787063.659101531</v>
      </c>
      <c r="R436">
        <f t="shared" si="976"/>
        <v>-912137724.88800085</v>
      </c>
      <c r="S436">
        <f t="shared" si="977"/>
        <v>-9121.3772488800078</v>
      </c>
      <c r="T436">
        <f t="shared" si="978"/>
        <v>-9.1213772488800071</v>
      </c>
    </row>
    <row r="437" spans="1:20" x14ac:dyDescent="0.25">
      <c r="A437" s="5">
        <v>44156</v>
      </c>
      <c r="B437">
        <v>2.0140000000000002E-2</v>
      </c>
      <c r="C437">
        <v>2.2859999999999998E-2</v>
      </c>
      <c r="D437">
        <v>1.9869999999999999E-2</v>
      </c>
      <c r="E437">
        <v>2.1930000000000002E-2</v>
      </c>
      <c r="F437">
        <v>182489207.5</v>
      </c>
      <c r="G437">
        <v>8.89</v>
      </c>
      <c r="L437" t="s">
        <v>8</v>
      </c>
      <c r="M437" t="s">
        <v>8</v>
      </c>
      <c r="N437" t="s">
        <v>8</v>
      </c>
      <c r="P437">
        <f t="shared" si="974"/>
        <v>0.37792642140468435</v>
      </c>
      <c r="Q437">
        <f t="shared" si="975"/>
        <v>68967493.135451883</v>
      </c>
      <c r="R437">
        <f t="shared" si="976"/>
        <v>-893350661.22889936</v>
      </c>
      <c r="S437">
        <f t="shared" si="977"/>
        <v>-8933.506612288993</v>
      </c>
      <c r="T437">
        <f t="shared" si="978"/>
        <v>-8.9335066122889923</v>
      </c>
    </row>
    <row r="438" spans="1:20" x14ac:dyDescent="0.25">
      <c r="A438" s="5">
        <v>44155</v>
      </c>
      <c r="B438">
        <v>1.9099999999999999E-2</v>
      </c>
      <c r="C438">
        <v>2.128E-2</v>
      </c>
      <c r="D438">
        <v>1.907E-2</v>
      </c>
      <c r="E438">
        <v>2.0109999999999999E-2</v>
      </c>
      <c r="F438">
        <v>188923728.09999999</v>
      </c>
      <c r="G438">
        <v>5.29</v>
      </c>
      <c r="L438" t="s">
        <v>8</v>
      </c>
      <c r="M438" t="s">
        <v>7</v>
      </c>
      <c r="N438" t="s">
        <v>8</v>
      </c>
      <c r="P438">
        <f t="shared" si="974"/>
        <v>-5.8823529411765448E-2</v>
      </c>
      <c r="Q438">
        <f t="shared" si="975"/>
        <v>-11113160.476470727</v>
      </c>
      <c r="R438">
        <f t="shared" si="976"/>
        <v>-962318154.36435127</v>
      </c>
      <c r="S438">
        <f t="shared" si="977"/>
        <v>-9623.1815436435136</v>
      </c>
      <c r="T438">
        <f t="shared" si="978"/>
        <v>-9.6231815436435131</v>
      </c>
    </row>
    <row r="439" spans="1:20" x14ac:dyDescent="0.25">
      <c r="A439" s="5">
        <v>44154</v>
      </c>
      <c r="B439">
        <v>1.9300000000000001E-2</v>
      </c>
      <c r="C439">
        <v>1.9630000000000002E-2</v>
      </c>
      <c r="D439">
        <v>1.8499999999999999E-2</v>
      </c>
      <c r="E439">
        <v>1.9099999999999999E-2</v>
      </c>
      <c r="F439">
        <v>160414718.19999999</v>
      </c>
      <c r="G439">
        <v>-1.04</v>
      </c>
      <c r="L439" t="s">
        <v>7</v>
      </c>
      <c r="M439" t="s">
        <v>7</v>
      </c>
      <c r="N439" t="s">
        <v>8</v>
      </c>
      <c r="P439">
        <f t="shared" si="974"/>
        <v>6.1946902654864591E-2</v>
      </c>
      <c r="Q439">
        <f t="shared" si="975"/>
        <v>9937194.9327429347</v>
      </c>
      <c r="R439">
        <f t="shared" si="976"/>
        <v>-951204993.88788056</v>
      </c>
      <c r="S439">
        <f t="shared" si="977"/>
        <v>-9512.0499388788048</v>
      </c>
      <c r="T439">
        <f t="shared" si="978"/>
        <v>-9.5120499388788051</v>
      </c>
    </row>
    <row r="440" spans="1:20" x14ac:dyDescent="0.25">
      <c r="A440" s="5">
        <v>44153</v>
      </c>
      <c r="B440">
        <v>2.146E-2</v>
      </c>
      <c r="C440">
        <v>2.1850000000000001E-2</v>
      </c>
      <c r="D440">
        <v>1.866E-2</v>
      </c>
      <c r="E440">
        <v>1.9310000000000001E-2</v>
      </c>
      <c r="F440">
        <v>194678600.19999999</v>
      </c>
      <c r="G440">
        <v>-10.02</v>
      </c>
      <c r="L440" t="s">
        <v>7</v>
      </c>
      <c r="M440" t="s">
        <v>7</v>
      </c>
      <c r="N440" t="s">
        <v>8</v>
      </c>
      <c r="P440">
        <f t="shared" si="974"/>
        <v>-0.59247648902821259</v>
      </c>
      <c r="Q440">
        <f t="shared" si="975"/>
        <v>-115342493.53542309</v>
      </c>
      <c r="R440">
        <f t="shared" si="976"/>
        <v>-961142188.82062352</v>
      </c>
      <c r="S440">
        <f t="shared" si="977"/>
        <v>-9611.421888206236</v>
      </c>
      <c r="T440">
        <f t="shared" si="978"/>
        <v>-9.6114218882062357</v>
      </c>
    </row>
    <row r="441" spans="1:20" x14ac:dyDescent="0.25">
      <c r="A441" s="5">
        <v>44152</v>
      </c>
      <c r="B441">
        <v>1.951E-2</v>
      </c>
      <c r="C441">
        <v>2.2419999999999999E-2</v>
      </c>
      <c r="D441">
        <v>1.916E-2</v>
      </c>
      <c r="E441">
        <v>2.146E-2</v>
      </c>
      <c r="F441">
        <v>193373891.30000001</v>
      </c>
      <c r="G441">
        <v>9.99</v>
      </c>
      <c r="L441" t="s">
        <v>8</v>
      </c>
      <c r="M441" t="s">
        <v>8</v>
      </c>
      <c r="N441" t="s">
        <v>8</v>
      </c>
      <c r="P441">
        <f t="shared" si="974"/>
        <v>0.41104294478527648</v>
      </c>
      <c r="Q441">
        <f t="shared" si="975"/>
        <v>79484973.724539965</v>
      </c>
      <c r="R441">
        <f t="shared" si="976"/>
        <v>-845799695.28520048</v>
      </c>
      <c r="S441">
        <f t="shared" si="977"/>
        <v>-8457.9969528520051</v>
      </c>
      <c r="T441">
        <f t="shared" si="978"/>
        <v>-8.4579969528520049</v>
      </c>
    </row>
    <row r="442" spans="1:20" x14ac:dyDescent="0.25">
      <c r="A442" s="5">
        <v>44151</v>
      </c>
      <c r="B442">
        <v>1.7739999999999999E-2</v>
      </c>
      <c r="C442">
        <v>1.9800000000000002E-2</v>
      </c>
      <c r="D442">
        <v>1.738E-2</v>
      </c>
      <c r="E442">
        <v>1.95E-2</v>
      </c>
      <c r="F442">
        <v>182280600.80000001</v>
      </c>
      <c r="G442">
        <v>9.92</v>
      </c>
      <c r="L442" t="s">
        <v>8</v>
      </c>
      <c r="M442" t="s">
        <v>8</v>
      </c>
      <c r="N442" t="s">
        <v>8</v>
      </c>
      <c r="P442">
        <f t="shared" si="974"/>
        <v>0.75206611570247817</v>
      </c>
      <c r="Q442">
        <f t="shared" si="975"/>
        <v>137087063.41157004</v>
      </c>
      <c r="R442">
        <f t="shared" si="976"/>
        <v>-925284669.00974047</v>
      </c>
      <c r="S442">
        <f t="shared" si="977"/>
        <v>-9252.8466900974054</v>
      </c>
      <c r="T442">
        <f t="shared" si="978"/>
        <v>-9.2528466900974049</v>
      </c>
    </row>
    <row r="443" spans="1:20" x14ac:dyDescent="0.25">
      <c r="A443" s="5">
        <v>44150</v>
      </c>
      <c r="B443">
        <v>1.703E-2</v>
      </c>
      <c r="C443">
        <v>1.8689999999999998E-2</v>
      </c>
      <c r="D443">
        <v>1.669E-2</v>
      </c>
      <c r="E443">
        <v>1.7760000000000001E-2</v>
      </c>
      <c r="F443">
        <v>168133602.09999999</v>
      </c>
      <c r="G443">
        <v>4.29</v>
      </c>
      <c r="L443" t="s">
        <v>8</v>
      </c>
      <c r="M443" t="s">
        <v>7</v>
      </c>
      <c r="N443" t="s">
        <v>8</v>
      </c>
      <c r="P443">
        <f t="shared" si="974"/>
        <v>7.0000000000002408E-2</v>
      </c>
      <c r="Q443">
        <f t="shared" si="975"/>
        <v>11769352.147000404</v>
      </c>
      <c r="R443">
        <f t="shared" si="976"/>
        <v>-1062371732.4213105</v>
      </c>
      <c r="S443">
        <f t="shared" si="977"/>
        <v>-10623.717324213105</v>
      </c>
      <c r="T443">
        <f t="shared" si="978"/>
        <v>-10.623717324213105</v>
      </c>
    </row>
    <row r="444" spans="1:20" x14ac:dyDescent="0.25">
      <c r="A444" s="5">
        <v>44149</v>
      </c>
      <c r="B444">
        <v>1.7409999999999998E-2</v>
      </c>
      <c r="C444">
        <v>1.7590000000000001E-2</v>
      </c>
      <c r="D444">
        <v>1.6420000000000001E-2</v>
      </c>
      <c r="E444">
        <v>1.7000000000000001E-2</v>
      </c>
      <c r="F444">
        <v>116481623.5</v>
      </c>
      <c r="G444">
        <v>-2.35</v>
      </c>
      <c r="L444" t="s">
        <v>7</v>
      </c>
      <c r="M444" t="s">
        <v>7</v>
      </c>
      <c r="N444" t="s">
        <v>8</v>
      </c>
      <c r="P444">
        <f t="shared" si="974"/>
        <v>-8.5470085470081923E-3</v>
      </c>
      <c r="Q444">
        <f t="shared" si="975"/>
        <v>-995569.4316238903</v>
      </c>
      <c r="R444">
        <f t="shared" si="976"/>
        <v>-1074141084.568311</v>
      </c>
      <c r="S444">
        <f t="shared" si="977"/>
        <v>-10741.410845683109</v>
      </c>
      <c r="T444">
        <f t="shared" si="978"/>
        <v>-10.741410845683109</v>
      </c>
    </row>
    <row r="445" spans="1:20" x14ac:dyDescent="0.25">
      <c r="A445" s="5">
        <v>44148</v>
      </c>
      <c r="B445">
        <v>1.651E-2</v>
      </c>
      <c r="C445">
        <v>1.796E-2</v>
      </c>
      <c r="D445">
        <v>1.6330000000000001E-2</v>
      </c>
      <c r="E445">
        <v>1.7420000000000001E-2</v>
      </c>
      <c r="F445">
        <v>52463055.700000003</v>
      </c>
      <c r="G445">
        <v>5.51</v>
      </c>
      <c r="L445" t="s">
        <v>8</v>
      </c>
      <c r="M445" t="s">
        <v>7</v>
      </c>
      <c r="N445" t="s">
        <v>8</v>
      </c>
      <c r="P445">
        <f t="shared" si="974"/>
        <v>0.33742331288343685</v>
      </c>
      <c r="Q445">
        <f t="shared" si="975"/>
        <v>17702258.058282275</v>
      </c>
      <c r="R445">
        <f t="shared" si="976"/>
        <v>-1073145515.1366872</v>
      </c>
      <c r="S445">
        <f t="shared" si="977"/>
        <v>-10731.455151366872</v>
      </c>
      <c r="T445">
        <f t="shared" si="978"/>
        <v>-10.731455151366871</v>
      </c>
    </row>
    <row r="446" spans="1:20" x14ac:dyDescent="0.25">
      <c r="A446" s="5">
        <v>44147</v>
      </c>
      <c r="B446">
        <v>1.7590000000000001E-2</v>
      </c>
      <c r="C446">
        <v>1.8120000000000001E-2</v>
      </c>
      <c r="D446">
        <v>1.6299999999999999E-2</v>
      </c>
      <c r="E446">
        <v>1.6539999999999999E-2</v>
      </c>
      <c r="F446">
        <v>55259466.100000001</v>
      </c>
      <c r="G446">
        <v>-5.97</v>
      </c>
      <c r="L446" t="s">
        <v>7</v>
      </c>
      <c r="M446" t="s">
        <v>7</v>
      </c>
      <c r="N446" t="s">
        <v>8</v>
      </c>
      <c r="P446">
        <f t="shared" si="974"/>
        <v>-0.73626373626373587</v>
      </c>
      <c r="Q446">
        <f t="shared" si="975"/>
        <v>-40685540.974725254</v>
      </c>
      <c r="R446">
        <f t="shared" si="976"/>
        <v>-1090847773.1949694</v>
      </c>
      <c r="S446">
        <f t="shared" si="977"/>
        <v>-10908.477731949693</v>
      </c>
      <c r="T446">
        <f t="shared" si="978"/>
        <v>-10.908477731949693</v>
      </c>
    </row>
    <row r="447" spans="1:20" x14ac:dyDescent="0.25">
      <c r="A447" s="5">
        <v>44146</v>
      </c>
      <c r="B447">
        <v>1.9890000000000001E-2</v>
      </c>
      <c r="C447">
        <v>1.9970000000000002E-2</v>
      </c>
      <c r="D447">
        <v>1.7559999999999999E-2</v>
      </c>
      <c r="E447">
        <v>1.7600000000000001E-2</v>
      </c>
      <c r="F447">
        <v>41399771.200000003</v>
      </c>
      <c r="G447">
        <v>-11.51</v>
      </c>
      <c r="L447" t="s">
        <v>7</v>
      </c>
      <c r="M447" t="s">
        <v>8</v>
      </c>
      <c r="N447" t="s">
        <v>8</v>
      </c>
      <c r="P447">
        <f t="shared" si="974"/>
        <v>-0.96680497925311049</v>
      </c>
      <c r="Q447">
        <f t="shared" si="975"/>
        <v>-40025504.936099522</v>
      </c>
      <c r="R447">
        <f t="shared" si="976"/>
        <v>-1050162232.2202441</v>
      </c>
      <c r="S447">
        <f t="shared" si="977"/>
        <v>-10501.62232220244</v>
      </c>
      <c r="T447">
        <f t="shared" si="978"/>
        <v>-10.50162232220244</v>
      </c>
    </row>
    <row r="448" spans="1:20" x14ac:dyDescent="0.25">
      <c r="A448" s="5">
        <v>44145</v>
      </c>
      <c r="B448">
        <v>1.7229999999999999E-2</v>
      </c>
      <c r="C448">
        <v>1.9959999999999999E-2</v>
      </c>
      <c r="D448">
        <v>1.7059999999999999E-2</v>
      </c>
      <c r="E448">
        <v>1.9869999999999999E-2</v>
      </c>
      <c r="F448">
        <v>41019696.200000003</v>
      </c>
      <c r="G448">
        <v>15.32</v>
      </c>
      <c r="L448" t="s">
        <v>8</v>
      </c>
      <c r="M448" t="s">
        <v>8</v>
      </c>
      <c r="N448" t="s">
        <v>8</v>
      </c>
      <c r="P448">
        <f t="shared" si="974"/>
        <v>0.93793103448275872</v>
      </c>
      <c r="Q448">
        <f t="shared" si="975"/>
        <v>38473646.091034487</v>
      </c>
      <c r="R448">
        <f t="shared" si="976"/>
        <v>-1010136727.2841445</v>
      </c>
      <c r="S448">
        <f t="shared" si="977"/>
        <v>-10101.367272841446</v>
      </c>
      <c r="T448">
        <f t="shared" si="978"/>
        <v>-10.101367272841445</v>
      </c>
    </row>
    <row r="449" spans="1:20" x14ac:dyDescent="0.25">
      <c r="A449" s="5">
        <v>44144</v>
      </c>
      <c r="B449">
        <v>1.8350000000000002E-2</v>
      </c>
      <c r="C449">
        <v>1.865E-2</v>
      </c>
      <c r="D449">
        <v>1.7000000000000001E-2</v>
      </c>
      <c r="E449">
        <v>1.7180000000000001E-2</v>
      </c>
      <c r="F449">
        <v>32556927.600000001</v>
      </c>
      <c r="G449">
        <v>-6.38</v>
      </c>
      <c r="L449" t="s">
        <v>8</v>
      </c>
      <c r="M449" t="s">
        <v>8</v>
      </c>
      <c r="N449" t="s">
        <v>8</v>
      </c>
      <c r="P449">
        <f t="shared" si="974"/>
        <v>-0.78181818181818208</v>
      </c>
      <c r="Q449">
        <f t="shared" si="975"/>
        <v>-25453597.941818193</v>
      </c>
      <c r="R449">
        <f t="shared" si="976"/>
        <v>-1048610373.3751791</v>
      </c>
      <c r="S449">
        <f t="shared" si="977"/>
        <v>-10486.10373375179</v>
      </c>
      <c r="T449">
        <f t="shared" si="978"/>
        <v>-10.48610373375179</v>
      </c>
    </row>
    <row r="450" spans="1:20" x14ac:dyDescent="0.25">
      <c r="A450" s="5">
        <v>44143</v>
      </c>
      <c r="B450">
        <v>1.6590000000000001E-2</v>
      </c>
      <c r="C450">
        <v>1.8780000000000002E-2</v>
      </c>
      <c r="D450">
        <v>1.636E-2</v>
      </c>
      <c r="E450">
        <v>1.8270000000000002E-2</v>
      </c>
      <c r="F450">
        <v>43022907.799999997</v>
      </c>
      <c r="G450">
        <v>10.130000000000001</v>
      </c>
      <c r="L450" t="s">
        <v>7</v>
      </c>
      <c r="M450" t="s">
        <v>8</v>
      </c>
      <c r="N450" t="s">
        <v>8</v>
      </c>
      <c r="P450">
        <f t="shared" si="974"/>
        <v>0.57851239669421517</v>
      </c>
      <c r="Q450">
        <f t="shared" si="975"/>
        <v>24889285.504132241</v>
      </c>
      <c r="R450">
        <f t="shared" si="976"/>
        <v>-1023156775.4333608</v>
      </c>
      <c r="S450">
        <f t="shared" si="977"/>
        <v>-10231.567754333608</v>
      </c>
      <c r="T450">
        <f t="shared" si="978"/>
        <v>-10.231567754333607</v>
      </c>
    </row>
    <row r="451" spans="1:20" x14ac:dyDescent="0.25">
      <c r="A451" s="5">
        <v>44142</v>
      </c>
      <c r="B451">
        <v>1.584E-2</v>
      </c>
      <c r="C451">
        <v>1.8800000000000001E-2</v>
      </c>
      <c r="D451">
        <v>1.583E-2</v>
      </c>
      <c r="E451">
        <v>1.6549999999999999E-2</v>
      </c>
      <c r="F451">
        <v>100435452.8</v>
      </c>
      <c r="G451">
        <v>4.4800000000000004</v>
      </c>
      <c r="L451" t="s">
        <v>8</v>
      </c>
      <c r="M451" t="s">
        <v>8</v>
      </c>
      <c r="N451" t="s">
        <v>8</v>
      </c>
      <c r="P451">
        <f t="shared" si="974"/>
        <v>-0.51515151515151625</v>
      </c>
      <c r="Q451">
        <f t="shared" si="975"/>
        <v>-51739475.684848592</v>
      </c>
      <c r="R451">
        <f t="shared" si="976"/>
        <v>-1048046060.9374931</v>
      </c>
      <c r="S451">
        <f t="shared" si="977"/>
        <v>-10480.460609374932</v>
      </c>
      <c r="T451">
        <f t="shared" si="978"/>
        <v>-10.480460609374932</v>
      </c>
    </row>
    <row r="452" spans="1:20" x14ac:dyDescent="0.25">
      <c r="A452" s="5">
        <v>44141</v>
      </c>
      <c r="B452">
        <v>1.4189999999999999E-2</v>
      </c>
      <c r="C452">
        <v>1.6490000000000001E-2</v>
      </c>
      <c r="D452">
        <v>1.4149999999999999E-2</v>
      </c>
      <c r="E452">
        <v>1.5820000000000001E-2</v>
      </c>
      <c r="F452">
        <v>44409709</v>
      </c>
      <c r="G452">
        <v>11.49</v>
      </c>
      <c r="L452" t="s">
        <v>8</v>
      </c>
      <c r="M452" t="s">
        <v>8</v>
      </c>
      <c r="N452" t="s">
        <v>7</v>
      </c>
      <c r="P452">
        <f t="shared" si="974"/>
        <v>0.42735042735042739</v>
      </c>
      <c r="Q452">
        <f t="shared" si="975"/>
        <v>18978508.11965812</v>
      </c>
      <c r="R452">
        <f t="shared" si="976"/>
        <v>-996306585.25264454</v>
      </c>
      <c r="S452">
        <f t="shared" si="977"/>
        <v>-9963.0658525264462</v>
      </c>
      <c r="T452">
        <f t="shared" si="978"/>
        <v>-9.9630658525264462</v>
      </c>
    </row>
    <row r="453" spans="1:20" x14ac:dyDescent="0.25">
      <c r="A453" s="5">
        <v>44140</v>
      </c>
      <c r="B453">
        <v>1.3520000000000001E-2</v>
      </c>
      <c r="C453">
        <v>1.434E-2</v>
      </c>
      <c r="D453">
        <v>1.328E-2</v>
      </c>
      <c r="E453">
        <v>1.417E-2</v>
      </c>
      <c r="F453">
        <v>18456350.800000001</v>
      </c>
      <c r="G453">
        <v>4.8099999999999996</v>
      </c>
      <c r="L453" t="s">
        <v>8</v>
      </c>
      <c r="M453" t="s">
        <v>7</v>
      </c>
      <c r="N453" t="s">
        <v>7</v>
      </c>
      <c r="P453">
        <f t="shared" si="974"/>
        <v>0.679245283018868</v>
      </c>
      <c r="Q453">
        <f t="shared" si="975"/>
        <v>12536389.222641511</v>
      </c>
      <c r="R453">
        <f t="shared" si="976"/>
        <v>-1015285093.3723027</v>
      </c>
      <c r="S453">
        <f t="shared" si="977"/>
        <v>-10152.850933723026</v>
      </c>
      <c r="T453">
        <f t="shared" si="978"/>
        <v>-10.152850933723027</v>
      </c>
    </row>
    <row r="454" spans="1:20" x14ac:dyDescent="0.25">
      <c r="A454" s="5">
        <v>44139</v>
      </c>
      <c r="B454">
        <v>1.363E-2</v>
      </c>
      <c r="C454">
        <v>1.376E-2</v>
      </c>
      <c r="D454">
        <v>1.2930000000000001E-2</v>
      </c>
      <c r="E454">
        <v>1.35E-2</v>
      </c>
      <c r="F454">
        <v>13511766.9</v>
      </c>
      <c r="G454">
        <v>-0.95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0.37349397590361427</v>
      </c>
      <c r="Q454">
        <f t="shared" ref="Q454:Q517" si="980">F454*P454</f>
        <v>5046563.5409638528</v>
      </c>
      <c r="R454">
        <f t="shared" ref="R454:R517" si="981">R455+Q454</f>
        <v>-1027821482.5949441</v>
      </c>
      <c r="S454">
        <f t="shared" ref="S454:S517" si="982">R454/100000</f>
        <v>-10278.214825949441</v>
      </c>
      <c r="T454">
        <f t="shared" ref="T454:T517" si="983">S454/1000</f>
        <v>-10.278214825949441</v>
      </c>
    </row>
    <row r="455" spans="1:20" x14ac:dyDescent="0.25">
      <c r="A455" s="5">
        <v>44138</v>
      </c>
      <c r="B455">
        <v>1.4460000000000001E-2</v>
      </c>
      <c r="C455">
        <v>1.447E-2</v>
      </c>
      <c r="D455">
        <v>1.316E-2</v>
      </c>
      <c r="E455">
        <v>1.363E-2</v>
      </c>
      <c r="F455">
        <v>25005748.100000001</v>
      </c>
      <c r="G455">
        <v>-5.74</v>
      </c>
      <c r="L455" t="s">
        <v>7</v>
      </c>
      <c r="M455" t="s">
        <v>7</v>
      </c>
      <c r="N455" t="s">
        <v>7</v>
      </c>
      <c r="P455">
        <f t="shared" si="979"/>
        <v>-0.28244274809160336</v>
      </c>
      <c r="Q455">
        <f t="shared" si="980"/>
        <v>-7062692.2114503896</v>
      </c>
      <c r="R455">
        <f t="shared" si="981"/>
        <v>-1032868046.135908</v>
      </c>
      <c r="S455">
        <f t="shared" si="982"/>
        <v>-10328.680461359079</v>
      </c>
      <c r="T455">
        <f t="shared" si="983"/>
        <v>-10.328680461359079</v>
      </c>
    </row>
    <row r="456" spans="1:20" x14ac:dyDescent="0.25">
      <c r="A456" s="5">
        <v>44137</v>
      </c>
      <c r="B456">
        <v>1.469E-2</v>
      </c>
      <c r="C456">
        <v>1.533E-2</v>
      </c>
      <c r="D456">
        <v>1.421E-2</v>
      </c>
      <c r="E456">
        <v>1.4460000000000001E-2</v>
      </c>
      <c r="F456">
        <v>29221755.699999999</v>
      </c>
      <c r="G456">
        <v>-1.57</v>
      </c>
      <c r="L456" t="s">
        <v>7</v>
      </c>
      <c r="M456" t="s">
        <v>7</v>
      </c>
      <c r="N456" t="s">
        <v>7</v>
      </c>
      <c r="P456">
        <f t="shared" si="979"/>
        <v>-0.55357142857142794</v>
      </c>
      <c r="Q456">
        <f t="shared" si="980"/>
        <v>-16176329.048214266</v>
      </c>
      <c r="R456">
        <f t="shared" si="981"/>
        <v>-1025805353.9244577</v>
      </c>
      <c r="S456">
        <f t="shared" si="982"/>
        <v>-10258.053539244576</v>
      </c>
      <c r="T456">
        <f t="shared" si="983"/>
        <v>-10.258053539244576</v>
      </c>
    </row>
    <row r="457" spans="1:20" x14ac:dyDescent="0.25">
      <c r="A457" s="5">
        <v>44136</v>
      </c>
      <c r="B457">
        <v>1.575E-2</v>
      </c>
      <c r="C457">
        <v>1.755E-2</v>
      </c>
      <c r="D457">
        <v>1.465E-2</v>
      </c>
      <c r="E457">
        <v>1.47E-2</v>
      </c>
      <c r="F457">
        <v>95485747.400000006</v>
      </c>
      <c r="G457">
        <v>-6.67</v>
      </c>
      <c r="L457" t="s">
        <v>8</v>
      </c>
      <c r="M457" t="s">
        <v>8</v>
      </c>
      <c r="N457" t="s">
        <v>7</v>
      </c>
      <c r="P457">
        <f t="shared" si="979"/>
        <v>-0.9655172413793105</v>
      </c>
      <c r="Q457">
        <f t="shared" si="980"/>
        <v>-92193135.420689672</v>
      </c>
      <c r="R457">
        <f t="shared" si="981"/>
        <v>-1009629024.8762434</v>
      </c>
      <c r="S457">
        <f t="shared" si="982"/>
        <v>-10096.290248762434</v>
      </c>
      <c r="T457">
        <f t="shared" si="983"/>
        <v>-10.096290248762434</v>
      </c>
    </row>
    <row r="458" spans="1:20" x14ac:dyDescent="0.25">
      <c r="A458" s="5">
        <v>44135</v>
      </c>
      <c r="B458">
        <v>1.3220000000000001E-2</v>
      </c>
      <c r="C458">
        <v>1.5949999999999999E-2</v>
      </c>
      <c r="D458">
        <v>1.3089999999999999E-2</v>
      </c>
      <c r="E458">
        <v>1.575E-2</v>
      </c>
      <c r="F458">
        <v>74109607.099999994</v>
      </c>
      <c r="G458">
        <v>19.14</v>
      </c>
      <c r="L458" t="s">
        <v>8</v>
      </c>
      <c r="M458" t="s">
        <v>8</v>
      </c>
      <c r="N458" t="s">
        <v>7</v>
      </c>
      <c r="P458">
        <f t="shared" si="979"/>
        <v>0.86013986013986099</v>
      </c>
      <c r="Q458">
        <f t="shared" si="980"/>
        <v>63744627.086014047</v>
      </c>
      <c r="R458">
        <f t="shared" si="981"/>
        <v>-917435889.45555365</v>
      </c>
      <c r="S458">
        <f t="shared" si="982"/>
        <v>-9174.3588945555366</v>
      </c>
      <c r="T458">
        <f t="shared" si="983"/>
        <v>-9.174358894555537</v>
      </c>
    </row>
    <row r="459" spans="1:20" x14ac:dyDescent="0.25">
      <c r="A459" s="5">
        <v>44134</v>
      </c>
      <c r="B459">
        <v>1.3299999999999999E-2</v>
      </c>
      <c r="C459">
        <v>1.34E-2</v>
      </c>
      <c r="D459">
        <v>1.2500000000000001E-2</v>
      </c>
      <c r="E459">
        <v>1.321E-2</v>
      </c>
      <c r="F459">
        <v>14684258.9</v>
      </c>
      <c r="G459">
        <v>-0.68</v>
      </c>
      <c r="L459" t="s">
        <v>7</v>
      </c>
      <c r="M459" t="s">
        <v>7</v>
      </c>
      <c r="N459" t="s">
        <v>7</v>
      </c>
      <c r="P459">
        <f t="shared" si="979"/>
        <v>0.57777777777777561</v>
      </c>
      <c r="Q459">
        <f t="shared" si="980"/>
        <v>8484238.4755555242</v>
      </c>
      <c r="R459">
        <f t="shared" si="981"/>
        <v>-981180516.54156768</v>
      </c>
      <c r="S459">
        <f t="shared" si="982"/>
        <v>-9811.805165415677</v>
      </c>
      <c r="T459">
        <f t="shared" si="983"/>
        <v>-9.8118051654156773</v>
      </c>
    </row>
    <row r="460" spans="1:20" x14ac:dyDescent="0.25">
      <c r="A460" s="5">
        <v>44133</v>
      </c>
      <c r="B460">
        <v>1.4460000000000001E-2</v>
      </c>
      <c r="C460">
        <v>1.461E-2</v>
      </c>
      <c r="D460">
        <v>1.2999999999999999E-2</v>
      </c>
      <c r="E460">
        <v>1.328E-2</v>
      </c>
      <c r="F460">
        <v>22703697.899999999</v>
      </c>
      <c r="G460">
        <v>-8.16</v>
      </c>
      <c r="L460" t="s">
        <v>7</v>
      </c>
      <c r="M460" t="s">
        <v>7</v>
      </c>
      <c r="N460" t="s">
        <v>7</v>
      </c>
      <c r="P460">
        <f t="shared" si="979"/>
        <v>-0.65217391304347738</v>
      </c>
      <c r="Q460">
        <f t="shared" si="980"/>
        <v>-14806759.49999998</v>
      </c>
      <c r="R460">
        <f t="shared" si="981"/>
        <v>-989664755.01712322</v>
      </c>
      <c r="S460">
        <f t="shared" si="982"/>
        <v>-9896.6475501712321</v>
      </c>
      <c r="T460">
        <f t="shared" si="983"/>
        <v>-9.8966475501712328</v>
      </c>
    </row>
    <row r="461" spans="1:20" x14ac:dyDescent="0.25">
      <c r="A461" s="5">
        <v>44132</v>
      </c>
      <c r="B461">
        <v>1.525E-2</v>
      </c>
      <c r="C461">
        <v>1.554E-2</v>
      </c>
      <c r="D461">
        <v>1.4069999999999999E-2</v>
      </c>
      <c r="E461">
        <v>1.4460000000000001E-2</v>
      </c>
      <c r="F461">
        <v>21578417.699999999</v>
      </c>
      <c r="G461">
        <v>-5.18</v>
      </c>
      <c r="L461" t="s">
        <v>7</v>
      </c>
      <c r="M461" t="s">
        <v>7</v>
      </c>
      <c r="N461" t="s">
        <v>7</v>
      </c>
      <c r="P461">
        <f t="shared" si="979"/>
        <v>-0.46938775510203912</v>
      </c>
      <c r="Q461">
        <f t="shared" si="980"/>
        <v>-10128645.042857105</v>
      </c>
      <c r="R461">
        <f t="shared" si="981"/>
        <v>-974857995.51712322</v>
      </c>
      <c r="S461">
        <f t="shared" si="982"/>
        <v>-9748.5799551712316</v>
      </c>
      <c r="T461">
        <f t="shared" si="983"/>
        <v>-9.7485799551712322</v>
      </c>
    </row>
    <row r="462" spans="1:20" x14ac:dyDescent="0.25">
      <c r="A462" s="5">
        <v>44131</v>
      </c>
      <c r="B462">
        <v>1.609E-2</v>
      </c>
      <c r="C462">
        <v>1.6199999999999999E-2</v>
      </c>
      <c r="D462">
        <v>1.5089999999999999E-2</v>
      </c>
      <c r="E462">
        <v>1.5259999999999999E-2</v>
      </c>
      <c r="F462">
        <v>16762634.4</v>
      </c>
      <c r="G462">
        <v>-5.16</v>
      </c>
      <c r="L462" t="s">
        <v>7</v>
      </c>
      <c r="M462" t="s">
        <v>7</v>
      </c>
      <c r="N462" t="s">
        <v>7</v>
      </c>
      <c r="P462">
        <f t="shared" si="979"/>
        <v>-0.6936936936936936</v>
      </c>
      <c r="Q462">
        <f t="shared" si="980"/>
        <v>-11628133.772972971</v>
      </c>
      <c r="R462">
        <f t="shared" si="981"/>
        <v>-964729350.47426617</v>
      </c>
      <c r="S462">
        <f t="shared" si="982"/>
        <v>-9647.2935047426618</v>
      </c>
      <c r="T462">
        <f t="shared" si="983"/>
        <v>-9.6472935047426613</v>
      </c>
    </row>
    <row r="463" spans="1:20" x14ac:dyDescent="0.25">
      <c r="A463" s="5">
        <v>44130</v>
      </c>
      <c r="B463">
        <v>1.712E-2</v>
      </c>
      <c r="C463">
        <v>1.7500000000000002E-2</v>
      </c>
      <c r="D463">
        <v>1.553E-2</v>
      </c>
      <c r="E463">
        <v>1.609E-2</v>
      </c>
      <c r="F463">
        <v>15061875.699999999</v>
      </c>
      <c r="G463">
        <v>-6.02</v>
      </c>
      <c r="L463" t="s">
        <v>7</v>
      </c>
      <c r="M463" t="s">
        <v>7</v>
      </c>
      <c r="N463" t="s">
        <v>7</v>
      </c>
      <c r="P463">
        <f t="shared" si="979"/>
        <v>-0.43147208121827474</v>
      </c>
      <c r="Q463">
        <f t="shared" si="980"/>
        <v>-6498778.8553299587</v>
      </c>
      <c r="R463">
        <f t="shared" si="981"/>
        <v>-953101216.70129323</v>
      </c>
      <c r="S463">
        <f t="shared" si="982"/>
        <v>-9531.012167012932</v>
      </c>
      <c r="T463">
        <f t="shared" si="983"/>
        <v>-9.531012167012932</v>
      </c>
    </row>
    <row r="464" spans="1:20" x14ac:dyDescent="0.25">
      <c r="A464" s="5">
        <v>44129</v>
      </c>
      <c r="B464">
        <v>1.721E-2</v>
      </c>
      <c r="C464">
        <v>1.755E-2</v>
      </c>
      <c r="D464">
        <v>1.686E-2</v>
      </c>
      <c r="E464">
        <v>1.7129999999999999E-2</v>
      </c>
      <c r="F464">
        <v>9718209.1999999993</v>
      </c>
      <c r="G464">
        <v>-0.46</v>
      </c>
      <c r="L464" t="s">
        <v>7</v>
      </c>
      <c r="M464" t="s">
        <v>7</v>
      </c>
      <c r="N464" t="s">
        <v>7</v>
      </c>
      <c r="P464">
        <f t="shared" si="979"/>
        <v>-0.21739130434782739</v>
      </c>
      <c r="Q464">
        <f t="shared" si="980"/>
        <v>-2112654.173913056</v>
      </c>
      <c r="R464">
        <f t="shared" si="981"/>
        <v>-946602437.84596324</v>
      </c>
      <c r="S464">
        <f t="shared" si="982"/>
        <v>-9466.0243784596332</v>
      </c>
      <c r="T464">
        <f t="shared" si="983"/>
        <v>-9.4660243784596325</v>
      </c>
    </row>
    <row r="465" spans="1:20" x14ac:dyDescent="0.25">
      <c r="A465" s="5">
        <v>44128</v>
      </c>
      <c r="B465">
        <v>1.737E-2</v>
      </c>
      <c r="C465">
        <v>1.7829999999999999E-2</v>
      </c>
      <c r="D465">
        <v>1.7170000000000001E-2</v>
      </c>
      <c r="E465">
        <v>1.721E-2</v>
      </c>
      <c r="F465">
        <v>11630830.800000001</v>
      </c>
      <c r="G465">
        <v>-0.92</v>
      </c>
      <c r="L465" t="s">
        <v>7</v>
      </c>
      <c r="M465" t="s">
        <v>7</v>
      </c>
      <c r="N465" t="s">
        <v>7</v>
      </c>
      <c r="P465">
        <f t="shared" si="979"/>
        <v>-0.87878787878788323</v>
      </c>
      <c r="Q465">
        <f t="shared" si="980"/>
        <v>-10221033.127272779</v>
      </c>
      <c r="R465">
        <f t="shared" si="981"/>
        <v>-944489783.67205024</v>
      </c>
      <c r="S465">
        <f t="shared" si="982"/>
        <v>-9444.8978367205018</v>
      </c>
      <c r="T465">
        <f t="shared" si="983"/>
        <v>-9.4448978367205019</v>
      </c>
    </row>
    <row r="466" spans="1:20" x14ac:dyDescent="0.25">
      <c r="A466" s="5">
        <v>44127</v>
      </c>
      <c r="B466">
        <v>1.7729999999999999E-2</v>
      </c>
      <c r="C466">
        <v>1.8010000000000002E-2</v>
      </c>
      <c r="D466">
        <v>1.7059999999999999E-2</v>
      </c>
      <c r="E466">
        <v>1.738E-2</v>
      </c>
      <c r="F466">
        <v>13255093.6</v>
      </c>
      <c r="G466">
        <v>-1.97</v>
      </c>
      <c r="L466" t="s">
        <v>7</v>
      </c>
      <c r="M466" t="s">
        <v>7</v>
      </c>
      <c r="N466" t="s">
        <v>7</v>
      </c>
      <c r="P466">
        <f t="shared" si="979"/>
        <v>-0.3263157894736845</v>
      </c>
      <c r="Q466">
        <f t="shared" si="980"/>
        <v>-4325346.3326315824</v>
      </c>
      <c r="R466">
        <f t="shared" si="981"/>
        <v>-934268750.54477751</v>
      </c>
      <c r="S466">
        <f t="shared" si="982"/>
        <v>-9342.687505447775</v>
      </c>
      <c r="T466">
        <f t="shared" si="983"/>
        <v>-9.3426875054477758</v>
      </c>
    </row>
    <row r="467" spans="1:20" x14ac:dyDescent="0.25">
      <c r="A467" s="5">
        <v>44126</v>
      </c>
      <c r="B467">
        <v>1.7090000000000001E-2</v>
      </c>
      <c r="C467">
        <v>1.8499999999999999E-2</v>
      </c>
      <c r="D467">
        <v>1.6799999999999999E-2</v>
      </c>
      <c r="E467">
        <v>1.7729999999999999E-2</v>
      </c>
      <c r="F467">
        <v>18135871</v>
      </c>
      <c r="G467">
        <v>3.74</v>
      </c>
      <c r="L467" t="s">
        <v>8</v>
      </c>
      <c r="M467" t="s">
        <v>7</v>
      </c>
      <c r="N467" t="s">
        <v>7</v>
      </c>
      <c r="P467">
        <f t="shared" si="979"/>
        <v>9.4117647058823764E-2</v>
      </c>
      <c r="Q467">
        <f t="shared" si="980"/>
        <v>1706905.5058823572</v>
      </c>
      <c r="R467">
        <f t="shared" si="981"/>
        <v>-929943404.21214592</v>
      </c>
      <c r="S467">
        <f t="shared" si="982"/>
        <v>-9299.4340421214602</v>
      </c>
      <c r="T467">
        <f t="shared" si="983"/>
        <v>-9.2994340421214599</v>
      </c>
    </row>
    <row r="468" spans="1:20" x14ac:dyDescent="0.25">
      <c r="A468" s="5">
        <v>44125</v>
      </c>
      <c r="B468">
        <v>1.6979999999999999E-2</v>
      </c>
      <c r="C468">
        <v>1.788E-2</v>
      </c>
      <c r="D468">
        <v>1.678E-2</v>
      </c>
      <c r="E468">
        <v>1.7090000000000001E-2</v>
      </c>
      <c r="F468">
        <v>16560432</v>
      </c>
      <c r="G468">
        <v>0.65</v>
      </c>
      <c r="L468" t="s">
        <v>7</v>
      </c>
      <c r="M468" t="s">
        <v>7</v>
      </c>
      <c r="N468" t="s">
        <v>7</v>
      </c>
      <c r="P468">
        <f t="shared" si="979"/>
        <v>-0.43636363636363423</v>
      </c>
      <c r="Q468">
        <f t="shared" si="980"/>
        <v>-7226370.3272726918</v>
      </c>
      <c r="R468">
        <f t="shared" si="981"/>
        <v>-931650309.71802831</v>
      </c>
      <c r="S468">
        <f t="shared" si="982"/>
        <v>-9316.5030971802826</v>
      </c>
      <c r="T468">
        <f t="shared" si="983"/>
        <v>-9.3165030971802825</v>
      </c>
    </row>
    <row r="469" spans="1:20" x14ac:dyDescent="0.25">
      <c r="A469" s="5">
        <v>44124</v>
      </c>
      <c r="B469">
        <v>1.84E-2</v>
      </c>
      <c r="C469">
        <v>1.8450000000000001E-2</v>
      </c>
      <c r="D469">
        <v>1.669E-2</v>
      </c>
      <c r="E469">
        <v>1.695E-2</v>
      </c>
      <c r="F469">
        <v>15351427.9</v>
      </c>
      <c r="G469">
        <v>-7.88</v>
      </c>
      <c r="L469" t="s">
        <v>7</v>
      </c>
      <c r="M469" t="s">
        <v>7</v>
      </c>
      <c r="N469" t="s">
        <v>7</v>
      </c>
      <c r="P469">
        <f t="shared" si="979"/>
        <v>-0.70454545454545492</v>
      </c>
      <c r="Q469">
        <f t="shared" si="980"/>
        <v>-10815778.747727279</v>
      </c>
      <c r="R469">
        <f t="shared" si="981"/>
        <v>-924423939.39075565</v>
      </c>
      <c r="S469">
        <f t="shared" si="982"/>
        <v>-9244.2393939075573</v>
      </c>
      <c r="T469">
        <f t="shared" si="983"/>
        <v>-9.2442393939075576</v>
      </c>
    </row>
    <row r="470" spans="1:20" x14ac:dyDescent="0.25">
      <c r="A470" s="5">
        <v>44123</v>
      </c>
      <c r="B470">
        <v>1.8610000000000002E-2</v>
      </c>
      <c r="C470">
        <v>1.8790000000000001E-2</v>
      </c>
      <c r="D470">
        <v>1.8089999999999998E-2</v>
      </c>
      <c r="E470">
        <v>1.839E-2</v>
      </c>
      <c r="F470">
        <v>9320950.5999999996</v>
      </c>
      <c r="G470">
        <v>-1.18</v>
      </c>
      <c r="L470" t="s">
        <v>7</v>
      </c>
      <c r="M470" t="s">
        <v>7</v>
      </c>
      <c r="N470" t="s">
        <v>7</v>
      </c>
      <c r="P470">
        <f t="shared" si="979"/>
        <v>-0.14285714285714143</v>
      </c>
      <c r="Q470">
        <f t="shared" si="980"/>
        <v>-1331564.3714285581</v>
      </c>
      <c r="R470">
        <f t="shared" si="981"/>
        <v>-913608160.64302838</v>
      </c>
      <c r="S470">
        <f t="shared" si="982"/>
        <v>-9136.0816064302835</v>
      </c>
      <c r="T470">
        <f t="shared" si="983"/>
        <v>-9.1360816064302828</v>
      </c>
    </row>
    <row r="471" spans="1:20" x14ac:dyDescent="0.25">
      <c r="A471" s="5">
        <v>44122</v>
      </c>
      <c r="B471">
        <v>1.8790000000000001E-2</v>
      </c>
      <c r="C471">
        <v>1.9970000000000002E-2</v>
      </c>
      <c r="D471">
        <v>1.8370000000000001E-2</v>
      </c>
      <c r="E471">
        <v>1.856E-2</v>
      </c>
      <c r="F471">
        <v>21085347.699999999</v>
      </c>
      <c r="G471">
        <v>-1.22</v>
      </c>
      <c r="L471" t="s">
        <v>8</v>
      </c>
      <c r="M471" t="s">
        <v>7</v>
      </c>
      <c r="N471" t="s">
        <v>7</v>
      </c>
      <c r="P471">
        <f t="shared" si="979"/>
        <v>-0.76250000000000107</v>
      </c>
      <c r="Q471">
        <f t="shared" si="980"/>
        <v>-16077577.621250022</v>
      </c>
      <c r="R471">
        <f t="shared" si="981"/>
        <v>-912276596.27159977</v>
      </c>
      <c r="S471">
        <f t="shared" si="982"/>
        <v>-9122.7659627159974</v>
      </c>
      <c r="T471">
        <f t="shared" si="983"/>
        <v>-9.1227659627159969</v>
      </c>
    </row>
    <row r="472" spans="1:20" x14ac:dyDescent="0.25">
      <c r="A472" s="5">
        <v>44121</v>
      </c>
      <c r="B472">
        <v>1.8290000000000001E-2</v>
      </c>
      <c r="C472">
        <v>1.9050000000000001E-2</v>
      </c>
      <c r="D472">
        <v>1.8030000000000001E-2</v>
      </c>
      <c r="E472">
        <v>1.8800000000000001E-2</v>
      </c>
      <c r="F472">
        <v>16651095.699999999</v>
      </c>
      <c r="G472">
        <v>2.79</v>
      </c>
      <c r="L472" t="s">
        <v>7</v>
      </c>
      <c r="M472" t="s">
        <v>7</v>
      </c>
      <c r="N472" t="s">
        <v>7</v>
      </c>
      <c r="P472">
        <f t="shared" si="979"/>
        <v>0.50980392156862708</v>
      </c>
      <c r="Q472">
        <f t="shared" si="980"/>
        <v>8488793.8862745035</v>
      </c>
      <c r="R472">
        <f t="shared" si="981"/>
        <v>-896199018.65034974</v>
      </c>
      <c r="S472">
        <f t="shared" si="982"/>
        <v>-8961.9901865034972</v>
      </c>
      <c r="T472">
        <f t="shared" si="983"/>
        <v>-8.9619901865034972</v>
      </c>
    </row>
    <row r="473" spans="1:20" x14ac:dyDescent="0.25">
      <c r="A473" s="5">
        <v>44120</v>
      </c>
      <c r="B473">
        <v>2.068E-2</v>
      </c>
      <c r="C473">
        <v>2.0709999999999999E-2</v>
      </c>
      <c r="D473">
        <v>1.7909999999999999E-2</v>
      </c>
      <c r="E473">
        <v>1.8319999999999999E-2</v>
      </c>
      <c r="F473">
        <v>60385112.700000003</v>
      </c>
      <c r="G473">
        <v>-11.41</v>
      </c>
      <c r="L473" t="s">
        <v>7</v>
      </c>
      <c r="M473" t="s">
        <v>7</v>
      </c>
      <c r="N473" t="s">
        <v>7</v>
      </c>
      <c r="P473">
        <f t="shared" si="979"/>
        <v>-0.70714285714285674</v>
      </c>
      <c r="Q473">
        <f t="shared" si="980"/>
        <v>-42700901.123571403</v>
      </c>
      <c r="R473">
        <f t="shared" si="981"/>
        <v>-904687812.53662419</v>
      </c>
      <c r="S473">
        <f t="shared" si="982"/>
        <v>-9046.8781253662419</v>
      </c>
      <c r="T473">
        <f t="shared" si="983"/>
        <v>-9.0468781253662414</v>
      </c>
    </row>
    <row r="474" spans="1:20" x14ac:dyDescent="0.25">
      <c r="A474" s="5">
        <v>44119</v>
      </c>
      <c r="B474">
        <v>2.179E-2</v>
      </c>
      <c r="C474">
        <v>2.2179999999999998E-2</v>
      </c>
      <c r="D474">
        <v>2.0420000000000001E-2</v>
      </c>
      <c r="E474">
        <v>2.0650000000000002E-2</v>
      </c>
      <c r="F474">
        <v>51134408.399999999</v>
      </c>
      <c r="G474">
        <v>-5.23</v>
      </c>
      <c r="L474" t="s">
        <v>8</v>
      </c>
      <c r="M474" t="s">
        <v>8</v>
      </c>
      <c r="N474" t="s">
        <v>7</v>
      </c>
      <c r="P474">
        <f t="shared" si="979"/>
        <v>-0.73863636363636209</v>
      </c>
      <c r="Q474">
        <f t="shared" si="980"/>
        <v>-37769733.477272645</v>
      </c>
      <c r="R474">
        <f t="shared" si="981"/>
        <v>-861986911.4130528</v>
      </c>
      <c r="S474">
        <f t="shared" si="982"/>
        <v>-8619.869114130528</v>
      </c>
      <c r="T474">
        <f t="shared" si="983"/>
        <v>-8.6198691141305286</v>
      </c>
    </row>
    <row r="475" spans="1:20" x14ac:dyDescent="0.25">
      <c r="A475" s="5">
        <v>44118</v>
      </c>
      <c r="B475">
        <v>2.0029999999999999E-2</v>
      </c>
      <c r="C475">
        <v>2.3199999999999998E-2</v>
      </c>
      <c r="D475">
        <v>1.9390000000000001E-2</v>
      </c>
      <c r="E475">
        <v>2.179E-2</v>
      </c>
      <c r="F475">
        <v>116549166.59999999</v>
      </c>
      <c r="G475">
        <v>8.7899999999999991</v>
      </c>
      <c r="L475" t="s">
        <v>7</v>
      </c>
      <c r="M475" t="s">
        <v>8</v>
      </c>
      <c r="N475" t="s">
        <v>7</v>
      </c>
      <c r="P475">
        <f t="shared" si="979"/>
        <v>0.25984251968503991</v>
      </c>
      <c r="Q475">
        <f t="shared" si="980"/>
        <v>30284429.116535496</v>
      </c>
      <c r="R475">
        <f t="shared" si="981"/>
        <v>-824217177.93578017</v>
      </c>
      <c r="S475">
        <f t="shared" si="982"/>
        <v>-8242.1717793578009</v>
      </c>
      <c r="T475">
        <f t="shared" si="983"/>
        <v>-8.2421717793578004</v>
      </c>
    </row>
    <row r="476" spans="1:20" x14ac:dyDescent="0.25">
      <c r="A476" s="5">
        <v>44117</v>
      </c>
      <c r="B476">
        <v>2.0299999999999999E-2</v>
      </c>
      <c r="C476">
        <v>2.0400000000000001E-2</v>
      </c>
      <c r="D476">
        <v>1.9730000000000001E-2</v>
      </c>
      <c r="E476">
        <v>0.02</v>
      </c>
      <c r="F476">
        <v>8778192.6999999993</v>
      </c>
      <c r="G476">
        <v>-1.48</v>
      </c>
      <c r="L476" t="s">
        <v>7</v>
      </c>
      <c r="M476" t="s">
        <v>8</v>
      </c>
      <c r="N476" t="s">
        <v>7</v>
      </c>
      <c r="P476">
        <f t="shared" si="979"/>
        <v>-0.19402985074627097</v>
      </c>
      <c r="Q476">
        <f t="shared" si="980"/>
        <v>-1703231.4194030052</v>
      </c>
      <c r="R476">
        <f t="shared" si="981"/>
        <v>-854501607.05231571</v>
      </c>
      <c r="S476">
        <f t="shared" si="982"/>
        <v>-8545.0160705231574</v>
      </c>
      <c r="T476">
        <f t="shared" si="983"/>
        <v>-8.5450160705231575</v>
      </c>
    </row>
    <row r="477" spans="1:20" x14ac:dyDescent="0.25">
      <c r="A477" s="5">
        <v>44116</v>
      </c>
      <c r="B477">
        <v>2.0129999999999999E-2</v>
      </c>
      <c r="C477">
        <v>2.1399999999999999E-2</v>
      </c>
      <c r="D477">
        <v>0.02</v>
      </c>
      <c r="E477">
        <v>2.0289999999999999E-2</v>
      </c>
      <c r="F477">
        <v>18238875.100000001</v>
      </c>
      <c r="G477">
        <v>0.79</v>
      </c>
      <c r="L477" t="s">
        <v>8</v>
      </c>
      <c r="M477" t="s">
        <v>8</v>
      </c>
      <c r="N477" t="s">
        <v>7</v>
      </c>
      <c r="P477">
        <f t="shared" si="979"/>
        <v>-0.5857142857142873</v>
      </c>
      <c r="Q477">
        <f t="shared" si="980"/>
        <v>-10682769.701428602</v>
      </c>
      <c r="R477">
        <f t="shared" si="981"/>
        <v>-852798375.63291276</v>
      </c>
      <c r="S477">
        <f t="shared" si="982"/>
        <v>-8527.9837563291276</v>
      </c>
      <c r="T477">
        <f t="shared" si="983"/>
        <v>-8.5279837563291281</v>
      </c>
    </row>
    <row r="478" spans="1:20" x14ac:dyDescent="0.25">
      <c r="A478" s="5">
        <v>44115</v>
      </c>
      <c r="B478">
        <v>1.9869999999999999E-2</v>
      </c>
      <c r="C478">
        <v>2.0310000000000002E-2</v>
      </c>
      <c r="D478">
        <v>1.951E-2</v>
      </c>
      <c r="E478">
        <v>2.0109999999999999E-2</v>
      </c>
      <c r="F478">
        <v>11265676.699999999</v>
      </c>
      <c r="G478">
        <v>1.21</v>
      </c>
      <c r="L478" t="s">
        <v>8</v>
      </c>
      <c r="M478" t="s">
        <v>8</v>
      </c>
      <c r="N478" t="s">
        <v>7</v>
      </c>
      <c r="P478">
        <f t="shared" si="979"/>
        <v>0.49999999999999567</v>
      </c>
      <c r="Q478">
        <f t="shared" si="980"/>
        <v>5632838.3499999512</v>
      </c>
      <c r="R478">
        <f t="shared" si="981"/>
        <v>-842115605.9314841</v>
      </c>
      <c r="S478">
        <f t="shared" si="982"/>
        <v>-8421.1560593148406</v>
      </c>
      <c r="T478">
        <f t="shared" si="983"/>
        <v>-8.4211560593148409</v>
      </c>
    </row>
    <row r="479" spans="1:20" x14ac:dyDescent="0.25">
      <c r="A479" s="5">
        <v>44114</v>
      </c>
      <c r="B479">
        <v>2.0039999999999999E-2</v>
      </c>
      <c r="C479">
        <v>2.1000000000000001E-2</v>
      </c>
      <c r="D479">
        <v>1.9869999999999999E-2</v>
      </c>
      <c r="E479">
        <v>1.9910000000000001E-2</v>
      </c>
      <c r="F479">
        <v>15459429.699999999</v>
      </c>
      <c r="G479">
        <v>-0.65</v>
      </c>
      <c r="L479" t="s">
        <v>8</v>
      </c>
      <c r="M479" t="s">
        <v>8</v>
      </c>
      <c r="N479" t="s">
        <v>7</v>
      </c>
      <c r="P479">
        <f t="shared" si="979"/>
        <v>-0.92920353982300574</v>
      </c>
      <c r="Q479">
        <f t="shared" si="980"/>
        <v>-14364956.800884906</v>
      </c>
      <c r="R479">
        <f t="shared" si="981"/>
        <v>-847748444.28148401</v>
      </c>
      <c r="S479">
        <f t="shared" si="982"/>
        <v>-8477.4844428148408</v>
      </c>
      <c r="T479">
        <f t="shared" si="983"/>
        <v>-8.4774844428148413</v>
      </c>
    </row>
    <row r="480" spans="1:20" x14ac:dyDescent="0.25">
      <c r="A480" s="5">
        <v>44113</v>
      </c>
      <c r="B480">
        <v>1.9029999999999998E-2</v>
      </c>
      <c r="C480">
        <v>2.019E-2</v>
      </c>
      <c r="D480">
        <v>1.8689999999999998E-2</v>
      </c>
      <c r="E480">
        <v>2.0029999999999999E-2</v>
      </c>
      <c r="F480">
        <v>16948031.5</v>
      </c>
      <c r="G480">
        <v>5.25</v>
      </c>
      <c r="L480" t="s">
        <v>8</v>
      </c>
      <c r="M480" t="s">
        <v>8</v>
      </c>
      <c r="N480" t="s">
        <v>7</v>
      </c>
      <c r="P480">
        <f t="shared" si="979"/>
        <v>0.78666666666666629</v>
      </c>
      <c r="Q480">
        <f t="shared" si="980"/>
        <v>13332451.44666666</v>
      </c>
      <c r="R480">
        <f t="shared" si="981"/>
        <v>-833383487.48059905</v>
      </c>
      <c r="S480">
        <f t="shared" si="982"/>
        <v>-8333.8348748059907</v>
      </c>
      <c r="T480">
        <f t="shared" si="983"/>
        <v>-8.3338348748059907</v>
      </c>
    </row>
    <row r="481" spans="1:20" x14ac:dyDescent="0.25">
      <c r="A481" s="5">
        <v>44112</v>
      </c>
      <c r="B481">
        <v>1.8530000000000001E-2</v>
      </c>
      <c r="C481">
        <v>1.924E-2</v>
      </c>
      <c r="D481">
        <v>1.789E-2</v>
      </c>
      <c r="E481">
        <v>1.9019999999999999E-2</v>
      </c>
      <c r="F481">
        <v>14546419.800000001</v>
      </c>
      <c r="G481">
        <v>2.64</v>
      </c>
      <c r="L481" t="s">
        <v>8</v>
      </c>
      <c r="M481" t="s">
        <v>7</v>
      </c>
      <c r="N481" t="s">
        <v>7</v>
      </c>
      <c r="P481">
        <f t="shared" si="979"/>
        <v>0.67407407407407205</v>
      </c>
      <c r="Q481">
        <f t="shared" si="980"/>
        <v>9805364.4577777497</v>
      </c>
      <c r="R481">
        <f t="shared" si="981"/>
        <v>-846715938.92726576</v>
      </c>
      <c r="S481">
        <f t="shared" si="982"/>
        <v>-8467.1593892726578</v>
      </c>
      <c r="T481">
        <f t="shared" si="983"/>
        <v>-8.4671593892726573</v>
      </c>
    </row>
    <row r="482" spans="1:20" x14ac:dyDescent="0.25">
      <c r="A482" s="5">
        <v>44111</v>
      </c>
      <c r="B482">
        <v>1.796E-2</v>
      </c>
      <c r="C482">
        <v>1.8769999999999998E-2</v>
      </c>
      <c r="D482">
        <v>1.7330000000000002E-2</v>
      </c>
      <c r="E482">
        <v>1.8550000000000001E-2</v>
      </c>
      <c r="F482">
        <v>15408464.800000001</v>
      </c>
      <c r="G482">
        <v>3.29</v>
      </c>
      <c r="L482" t="s">
        <v>7</v>
      </c>
      <c r="M482" t="s">
        <v>7</v>
      </c>
      <c r="N482" t="s">
        <v>7</v>
      </c>
      <c r="P482">
        <f t="shared" si="979"/>
        <v>0.69444444444444664</v>
      </c>
      <c r="Q482">
        <f t="shared" si="980"/>
        <v>10700322.777777812</v>
      </c>
      <c r="R482">
        <f t="shared" si="981"/>
        <v>-856521303.3850435</v>
      </c>
      <c r="S482">
        <f t="shared" si="982"/>
        <v>-8565.2130338504357</v>
      </c>
      <c r="T482">
        <f t="shared" si="983"/>
        <v>-8.5652130338504353</v>
      </c>
    </row>
    <row r="483" spans="1:20" x14ac:dyDescent="0.25">
      <c r="A483" s="5">
        <v>44110</v>
      </c>
      <c r="B483">
        <v>2.1520000000000001E-2</v>
      </c>
      <c r="C483">
        <v>2.164E-2</v>
      </c>
      <c r="D483">
        <v>1.7780000000000001E-2</v>
      </c>
      <c r="E483">
        <v>1.7899999999999999E-2</v>
      </c>
      <c r="F483">
        <v>29515408.699999999</v>
      </c>
      <c r="G483">
        <v>-16.82</v>
      </c>
      <c r="L483" t="s">
        <v>7</v>
      </c>
      <c r="M483" t="s">
        <v>7</v>
      </c>
      <c r="N483" t="s">
        <v>7</v>
      </c>
      <c r="P483">
        <f t="shared" si="979"/>
        <v>-0.93782383419689186</v>
      </c>
      <c r="Q483">
        <f t="shared" si="980"/>
        <v>-27680253.754922301</v>
      </c>
      <c r="R483">
        <f t="shared" si="981"/>
        <v>-867221626.16282129</v>
      </c>
      <c r="S483">
        <f t="shared" si="982"/>
        <v>-8672.216261628213</v>
      </c>
      <c r="T483">
        <f t="shared" si="983"/>
        <v>-8.672216261628213</v>
      </c>
    </row>
    <row r="484" spans="1:20" x14ac:dyDescent="0.25">
      <c r="A484" s="5">
        <v>44109</v>
      </c>
      <c r="B484">
        <v>2.1749999999999999E-2</v>
      </c>
      <c r="C484">
        <v>2.2069999999999999E-2</v>
      </c>
      <c r="D484">
        <v>2.1229999999999999E-2</v>
      </c>
      <c r="E484">
        <v>2.1479999999999999E-2</v>
      </c>
      <c r="F484">
        <v>11514958.199999999</v>
      </c>
      <c r="G484">
        <v>-1.24</v>
      </c>
      <c r="L484" t="s">
        <v>7</v>
      </c>
      <c r="M484" t="s">
        <v>7</v>
      </c>
      <c r="N484" t="s">
        <v>7</v>
      </c>
      <c r="P484">
        <f t="shared" si="979"/>
        <v>-0.40476190476190455</v>
      </c>
      <c r="Q484">
        <f t="shared" si="980"/>
        <v>-4660816.4142857119</v>
      </c>
      <c r="R484">
        <f t="shared" si="981"/>
        <v>-839541372.40789902</v>
      </c>
      <c r="S484">
        <f t="shared" si="982"/>
        <v>-8395.4137240789896</v>
      </c>
      <c r="T484">
        <f t="shared" si="983"/>
        <v>-8.3954137240789901</v>
      </c>
    </row>
    <row r="485" spans="1:20" x14ac:dyDescent="0.25">
      <c r="A485" s="5">
        <v>44108</v>
      </c>
      <c r="B485">
        <v>2.1499999999999998E-2</v>
      </c>
      <c r="C485">
        <v>2.3349999999999999E-2</v>
      </c>
      <c r="D485">
        <v>2.1350000000000001E-2</v>
      </c>
      <c r="E485">
        <v>2.1829999999999999E-2</v>
      </c>
      <c r="F485">
        <v>30058097.199999999</v>
      </c>
      <c r="G485">
        <v>1.53</v>
      </c>
      <c r="L485" t="s">
        <v>8</v>
      </c>
      <c r="M485" t="s">
        <v>7</v>
      </c>
      <c r="N485" t="s">
        <v>7</v>
      </c>
      <c r="P485">
        <f t="shared" si="979"/>
        <v>-0.52000000000000179</v>
      </c>
      <c r="Q485">
        <f t="shared" si="980"/>
        <v>-15630210.544000054</v>
      </c>
      <c r="R485">
        <f t="shared" si="981"/>
        <v>-834880555.99361336</v>
      </c>
      <c r="S485">
        <f t="shared" si="982"/>
        <v>-8348.8055599361342</v>
      </c>
      <c r="T485">
        <f t="shared" si="983"/>
        <v>-8.3488055599361335</v>
      </c>
    </row>
    <row r="486" spans="1:20" x14ac:dyDescent="0.25">
      <c r="A486" s="5">
        <v>44107</v>
      </c>
      <c r="B486">
        <v>2.1489999999999999E-2</v>
      </c>
      <c r="C486">
        <v>2.188E-2</v>
      </c>
      <c r="D486">
        <v>2.1160000000000002E-2</v>
      </c>
      <c r="E486">
        <v>2.1530000000000001E-2</v>
      </c>
      <c r="F486">
        <v>11308256.9</v>
      </c>
      <c r="G486">
        <v>0.19</v>
      </c>
      <c r="L486" t="s">
        <v>8</v>
      </c>
      <c r="M486" t="s">
        <v>7</v>
      </c>
      <c r="N486" t="s">
        <v>7</v>
      </c>
      <c r="P486">
        <f t="shared" si="979"/>
        <v>2.7777777777776708E-2</v>
      </c>
      <c r="Q486">
        <f t="shared" si="980"/>
        <v>314118.24722221011</v>
      </c>
      <c r="R486">
        <f t="shared" si="981"/>
        <v>-819250345.44961333</v>
      </c>
      <c r="S486">
        <f t="shared" si="982"/>
        <v>-8192.5034544961327</v>
      </c>
      <c r="T486">
        <f t="shared" si="983"/>
        <v>-8.1925034544961335</v>
      </c>
    </row>
    <row r="487" spans="1:20" x14ac:dyDescent="0.25">
      <c r="A487" s="5">
        <v>44106</v>
      </c>
      <c r="B487">
        <v>2.1850000000000001E-2</v>
      </c>
      <c r="C487">
        <v>2.2190000000000001E-2</v>
      </c>
      <c r="D487">
        <v>2.01E-2</v>
      </c>
      <c r="E487">
        <v>2.1530000000000001E-2</v>
      </c>
      <c r="F487">
        <v>24265427.399999999</v>
      </c>
      <c r="G487">
        <v>-1.46</v>
      </c>
      <c r="L487" t="s">
        <v>7</v>
      </c>
      <c r="M487" t="s">
        <v>7</v>
      </c>
      <c r="N487" t="s">
        <v>7</v>
      </c>
      <c r="P487">
        <f t="shared" si="979"/>
        <v>0.36842105263157859</v>
      </c>
      <c r="Q487">
        <f t="shared" si="980"/>
        <v>8939894.3052631486</v>
      </c>
      <c r="R487">
        <f t="shared" si="981"/>
        <v>-819564463.69683552</v>
      </c>
      <c r="S487">
        <f t="shared" si="982"/>
        <v>-8195.6446369683545</v>
      </c>
      <c r="T487">
        <f t="shared" si="983"/>
        <v>-8.1956446369683551</v>
      </c>
    </row>
    <row r="488" spans="1:20" x14ac:dyDescent="0.25">
      <c r="A488" s="5">
        <v>44105</v>
      </c>
      <c r="B488">
        <v>2.3189999999999999E-2</v>
      </c>
      <c r="C488">
        <v>2.4060000000000002E-2</v>
      </c>
      <c r="D488">
        <v>2.1000000000000001E-2</v>
      </c>
      <c r="E488">
        <v>2.1919999999999999E-2</v>
      </c>
      <c r="F488">
        <v>29575441.5</v>
      </c>
      <c r="G488">
        <v>-5.48</v>
      </c>
      <c r="L488" t="s">
        <v>7</v>
      </c>
      <c r="M488" t="s">
        <v>7</v>
      </c>
      <c r="N488" t="s">
        <v>7</v>
      </c>
      <c r="P488">
        <f t="shared" si="979"/>
        <v>-0.3986928104575182</v>
      </c>
      <c r="Q488">
        <f t="shared" si="980"/>
        <v>-11791515.892156918</v>
      </c>
      <c r="R488">
        <f t="shared" si="981"/>
        <v>-828504358.00209868</v>
      </c>
      <c r="S488">
        <f t="shared" si="982"/>
        <v>-8285.0435800209871</v>
      </c>
      <c r="T488">
        <f t="shared" si="983"/>
        <v>-8.2850435800209876</v>
      </c>
    </row>
    <row r="489" spans="1:20" x14ac:dyDescent="0.25">
      <c r="A489" s="5">
        <v>44104</v>
      </c>
      <c r="B489">
        <v>2.4510000000000001E-2</v>
      </c>
      <c r="C489">
        <v>2.462E-2</v>
      </c>
      <c r="D489">
        <v>2.2800000000000001E-2</v>
      </c>
      <c r="E489">
        <v>2.315E-2</v>
      </c>
      <c r="F489">
        <v>31632992.600000001</v>
      </c>
      <c r="G489">
        <v>-5.55</v>
      </c>
      <c r="L489" t="s">
        <v>7</v>
      </c>
      <c r="M489" t="s">
        <v>7</v>
      </c>
      <c r="N489" t="s">
        <v>7</v>
      </c>
      <c r="P489">
        <f t="shared" si="979"/>
        <v>-0.61538461538461553</v>
      </c>
      <c r="Q489">
        <f t="shared" si="980"/>
        <v>-19466456.984615389</v>
      </c>
      <c r="R489">
        <f t="shared" si="981"/>
        <v>-816712842.10994172</v>
      </c>
      <c r="S489">
        <f t="shared" si="982"/>
        <v>-8167.1284210994172</v>
      </c>
      <c r="T489">
        <f t="shared" si="983"/>
        <v>-8.1671284210994166</v>
      </c>
    </row>
    <row r="490" spans="1:20" x14ac:dyDescent="0.25">
      <c r="A490" s="5">
        <v>44103</v>
      </c>
      <c r="B490">
        <v>2.4320000000000001E-2</v>
      </c>
      <c r="C490">
        <v>2.64E-2</v>
      </c>
      <c r="D490">
        <v>2.3279999999999999E-2</v>
      </c>
      <c r="E490">
        <v>2.4590000000000001E-2</v>
      </c>
      <c r="F490">
        <v>71836120.400000006</v>
      </c>
      <c r="G490">
        <v>1.1100000000000001</v>
      </c>
      <c r="L490" t="s">
        <v>7</v>
      </c>
      <c r="M490" t="s">
        <v>7</v>
      </c>
      <c r="N490" t="s">
        <v>7</v>
      </c>
      <c r="P490">
        <f t="shared" si="979"/>
        <v>-0.16025641025640922</v>
      </c>
      <c r="Q490">
        <f t="shared" si="980"/>
        <v>-11512198.782051207</v>
      </c>
      <c r="R490">
        <f t="shared" si="981"/>
        <v>-797246385.12532628</v>
      </c>
      <c r="S490">
        <f t="shared" si="982"/>
        <v>-7972.4638512532629</v>
      </c>
      <c r="T490">
        <f t="shared" si="983"/>
        <v>-7.9724638512532628</v>
      </c>
    </row>
    <row r="491" spans="1:20" x14ac:dyDescent="0.25">
      <c r="A491" s="5">
        <v>44102</v>
      </c>
      <c r="B491">
        <v>2.3349999999999999E-2</v>
      </c>
      <c r="C491">
        <v>2.8479999999999998E-2</v>
      </c>
      <c r="D491">
        <v>2.332E-2</v>
      </c>
      <c r="E491">
        <v>2.435E-2</v>
      </c>
      <c r="F491">
        <v>95555956.099999994</v>
      </c>
      <c r="G491">
        <v>4.28</v>
      </c>
      <c r="L491" t="s">
        <v>8</v>
      </c>
      <c r="M491" t="s">
        <v>8</v>
      </c>
      <c r="N491" t="s">
        <v>7</v>
      </c>
      <c r="P491">
        <f t="shared" si="979"/>
        <v>-0.60077519379844957</v>
      </c>
      <c r="Q491">
        <f t="shared" si="980"/>
        <v>-57407648.044573635</v>
      </c>
      <c r="R491">
        <f t="shared" si="981"/>
        <v>-785734186.34327507</v>
      </c>
      <c r="S491">
        <f t="shared" si="982"/>
        <v>-7857.3418634327509</v>
      </c>
      <c r="T491">
        <f t="shared" si="983"/>
        <v>-7.857341863432751</v>
      </c>
    </row>
    <row r="492" spans="1:20" x14ac:dyDescent="0.25">
      <c r="A492" s="5">
        <v>44101</v>
      </c>
      <c r="B492">
        <v>2.3279999999999999E-2</v>
      </c>
      <c r="C492">
        <v>2.4E-2</v>
      </c>
      <c r="D492">
        <v>2.121E-2</v>
      </c>
      <c r="E492">
        <v>2.3400000000000001E-2</v>
      </c>
      <c r="F492">
        <v>63017373.299999997</v>
      </c>
      <c r="G492">
        <v>0.52</v>
      </c>
      <c r="L492" t="s">
        <v>7</v>
      </c>
      <c r="M492" t="s">
        <v>8</v>
      </c>
      <c r="N492" t="s">
        <v>7</v>
      </c>
      <c r="P492">
        <f t="shared" si="979"/>
        <v>0.56989247311827984</v>
      </c>
      <c r="Q492">
        <f t="shared" si="980"/>
        <v>35913126.719354853</v>
      </c>
      <c r="R492">
        <f t="shared" si="981"/>
        <v>-728326538.29870141</v>
      </c>
      <c r="S492">
        <f t="shared" si="982"/>
        <v>-7283.2653829870142</v>
      </c>
      <c r="T492">
        <f t="shared" si="983"/>
        <v>-7.2832653829870138</v>
      </c>
    </row>
    <row r="493" spans="1:20" x14ac:dyDescent="0.25">
      <c r="A493" s="5">
        <v>44100</v>
      </c>
      <c r="B493">
        <v>2.282E-2</v>
      </c>
      <c r="C493">
        <v>2.376E-2</v>
      </c>
      <c r="D493">
        <v>2.273E-2</v>
      </c>
      <c r="E493">
        <v>2.3279999999999999E-2</v>
      </c>
      <c r="F493">
        <v>24129755.899999999</v>
      </c>
      <c r="G493">
        <v>2.02</v>
      </c>
      <c r="L493" t="s">
        <v>8</v>
      </c>
      <c r="M493" t="s">
        <v>8</v>
      </c>
      <c r="N493" t="s">
        <v>7</v>
      </c>
      <c r="P493">
        <f t="shared" si="979"/>
        <v>6.7961165048540939E-2</v>
      </c>
      <c r="Q493">
        <f t="shared" si="980"/>
        <v>1639886.3233009044</v>
      </c>
      <c r="R493">
        <f t="shared" si="981"/>
        <v>-764239665.01805627</v>
      </c>
      <c r="S493">
        <f t="shared" si="982"/>
        <v>-7642.3966501805626</v>
      </c>
      <c r="T493">
        <f t="shared" si="983"/>
        <v>-7.6423966501805625</v>
      </c>
    </row>
    <row r="494" spans="1:20" x14ac:dyDescent="0.25">
      <c r="A494" s="5">
        <v>44099</v>
      </c>
      <c r="B494">
        <v>2.3740000000000001E-2</v>
      </c>
      <c r="C494">
        <v>2.3810000000000001E-2</v>
      </c>
      <c r="D494">
        <v>2.0129999999999999E-2</v>
      </c>
      <c r="E494">
        <v>2.281E-2</v>
      </c>
      <c r="F494">
        <v>73821912.099999994</v>
      </c>
      <c r="G494">
        <v>-3.92</v>
      </c>
      <c r="L494" t="s">
        <v>7</v>
      </c>
      <c r="M494" t="s">
        <v>7</v>
      </c>
      <c r="N494" t="s">
        <v>7</v>
      </c>
      <c r="P494">
        <f t="shared" si="979"/>
        <v>0.4565217391304347</v>
      </c>
      <c r="Q494">
        <f t="shared" si="980"/>
        <v>33701307.69782608</v>
      </c>
      <c r="R494">
        <f t="shared" si="981"/>
        <v>-765879551.34135723</v>
      </c>
      <c r="S494">
        <f t="shared" si="982"/>
        <v>-7658.7955134135727</v>
      </c>
      <c r="T494">
        <f t="shared" si="983"/>
        <v>-7.6587955134135726</v>
      </c>
    </row>
    <row r="495" spans="1:20" x14ac:dyDescent="0.25">
      <c r="A495" s="5">
        <v>44098</v>
      </c>
      <c r="B495">
        <v>2.0979999999999999E-2</v>
      </c>
      <c r="C495">
        <v>2.3820000000000001E-2</v>
      </c>
      <c r="D495">
        <v>2.0490000000000001E-2</v>
      </c>
      <c r="E495">
        <v>2.375E-2</v>
      </c>
      <c r="F495">
        <v>66206154.100000001</v>
      </c>
      <c r="G495">
        <v>13.2</v>
      </c>
      <c r="L495" t="s">
        <v>8</v>
      </c>
      <c r="M495" t="s">
        <v>7</v>
      </c>
      <c r="N495" t="s">
        <v>7</v>
      </c>
      <c r="P495">
        <f t="shared" si="979"/>
        <v>0.95795795795795757</v>
      </c>
      <c r="Q495">
        <f t="shared" si="980"/>
        <v>63422712.185885862</v>
      </c>
      <c r="R495">
        <f t="shared" si="981"/>
        <v>-799580859.03918326</v>
      </c>
      <c r="S495">
        <f t="shared" si="982"/>
        <v>-7995.8085903918327</v>
      </c>
      <c r="T495">
        <f t="shared" si="983"/>
        <v>-7.9958085903918326</v>
      </c>
    </row>
    <row r="496" spans="1:20" x14ac:dyDescent="0.25">
      <c r="A496" s="5">
        <v>44097</v>
      </c>
      <c r="B496">
        <v>2.4989999999999998E-2</v>
      </c>
      <c r="C496">
        <v>2.545E-2</v>
      </c>
      <c r="D496">
        <v>2.052E-2</v>
      </c>
      <c r="E496">
        <v>2.1000000000000001E-2</v>
      </c>
      <c r="F496">
        <v>48505176.299999997</v>
      </c>
      <c r="G496">
        <v>-15.97</v>
      </c>
      <c r="L496" t="s">
        <v>7</v>
      </c>
      <c r="M496" t="s">
        <v>7</v>
      </c>
      <c r="N496" t="s">
        <v>7</v>
      </c>
      <c r="P496">
        <f t="shared" si="979"/>
        <v>-0.80527383367139915</v>
      </c>
      <c r="Q496">
        <f t="shared" si="980"/>
        <v>-39059949.272008091</v>
      </c>
      <c r="R496">
        <f t="shared" si="981"/>
        <v>-863003571.22506917</v>
      </c>
      <c r="S496">
        <f t="shared" si="982"/>
        <v>-8630.0357122506921</v>
      </c>
      <c r="T496">
        <f t="shared" si="983"/>
        <v>-8.6300357122506917</v>
      </c>
    </row>
    <row r="497" spans="1:20" x14ac:dyDescent="0.25">
      <c r="A497" s="5">
        <v>44096</v>
      </c>
      <c r="B497">
        <v>2.513E-2</v>
      </c>
      <c r="C497">
        <v>2.598E-2</v>
      </c>
      <c r="D497">
        <v>2.367E-2</v>
      </c>
      <c r="E497">
        <v>2.4979999999999999E-2</v>
      </c>
      <c r="F497">
        <v>25653684.199999999</v>
      </c>
      <c r="G497">
        <v>-0.6</v>
      </c>
      <c r="L497" t="s">
        <v>7</v>
      </c>
      <c r="M497" t="s">
        <v>7</v>
      </c>
      <c r="N497" t="s">
        <v>7</v>
      </c>
      <c r="P497">
        <f t="shared" si="979"/>
        <v>0.13419913419913326</v>
      </c>
      <c r="Q497">
        <f t="shared" si="980"/>
        <v>3442702.2086579846</v>
      </c>
      <c r="R497">
        <f t="shared" si="981"/>
        <v>-823943621.9530611</v>
      </c>
      <c r="S497">
        <f t="shared" si="982"/>
        <v>-8239.4362195306112</v>
      </c>
      <c r="T497">
        <f t="shared" si="983"/>
        <v>-8.2394362195306119</v>
      </c>
    </row>
    <row r="498" spans="1:20" x14ac:dyDescent="0.25">
      <c r="A498" s="5">
        <v>44095</v>
      </c>
      <c r="B498">
        <v>2.937E-2</v>
      </c>
      <c r="C498">
        <v>3.1449999999999999E-2</v>
      </c>
      <c r="D498">
        <v>2.376E-2</v>
      </c>
      <c r="E498">
        <v>2.5100000000000001E-2</v>
      </c>
      <c r="F498">
        <v>74777253.799999997</v>
      </c>
      <c r="G498">
        <v>-14.54</v>
      </c>
      <c r="L498" t="s">
        <v>7</v>
      </c>
      <c r="M498" t="s">
        <v>7</v>
      </c>
      <c r="N498" t="s">
        <v>7</v>
      </c>
      <c r="P498">
        <f t="shared" si="979"/>
        <v>-0.65149544863459008</v>
      </c>
      <c r="Q498">
        <f t="shared" si="980"/>
        <v>-48717040.512093604</v>
      </c>
      <c r="R498">
        <f t="shared" si="981"/>
        <v>-827386324.16171908</v>
      </c>
      <c r="S498">
        <f t="shared" si="982"/>
        <v>-8273.8632416171913</v>
      </c>
      <c r="T498">
        <f t="shared" si="983"/>
        <v>-8.2738632416171907</v>
      </c>
    </row>
    <row r="499" spans="1:20" x14ac:dyDescent="0.25">
      <c r="A499" s="5">
        <v>44094</v>
      </c>
      <c r="B499">
        <v>3.2439999999999997E-2</v>
      </c>
      <c r="C499">
        <v>3.2779999999999997E-2</v>
      </c>
      <c r="D499">
        <v>2.86E-2</v>
      </c>
      <c r="E499">
        <v>2.937E-2</v>
      </c>
      <c r="F499">
        <v>33308894.600000001</v>
      </c>
      <c r="G499">
        <v>-9.4600000000000009</v>
      </c>
      <c r="L499" t="s">
        <v>7</v>
      </c>
      <c r="M499" t="s">
        <v>7</v>
      </c>
      <c r="N499" t="s">
        <v>7</v>
      </c>
      <c r="P499">
        <f t="shared" si="979"/>
        <v>-0.6315789473684208</v>
      </c>
      <c r="Q499">
        <f t="shared" si="980"/>
        <v>-21037196.589473676</v>
      </c>
      <c r="R499">
        <f t="shared" si="981"/>
        <v>-778669283.64962542</v>
      </c>
      <c r="S499">
        <f t="shared" si="982"/>
        <v>-7786.6928364962541</v>
      </c>
      <c r="T499">
        <f t="shared" si="983"/>
        <v>-7.786692836496254</v>
      </c>
    </row>
    <row r="500" spans="1:20" x14ac:dyDescent="0.25">
      <c r="A500" s="5">
        <v>44093</v>
      </c>
      <c r="B500">
        <v>3.1919999999999997E-2</v>
      </c>
      <c r="C500">
        <v>3.3590000000000002E-2</v>
      </c>
      <c r="D500">
        <v>3.0880000000000001E-2</v>
      </c>
      <c r="E500">
        <v>3.2480000000000002E-2</v>
      </c>
      <c r="F500">
        <v>41913694.5</v>
      </c>
      <c r="G500">
        <v>1.75</v>
      </c>
      <c r="L500" t="s">
        <v>8</v>
      </c>
      <c r="M500" t="s">
        <v>8</v>
      </c>
      <c r="N500" t="s">
        <v>7</v>
      </c>
      <c r="P500">
        <f t="shared" si="979"/>
        <v>0.18081180811808145</v>
      </c>
      <c r="Q500">
        <f t="shared" si="980"/>
        <v>7578490.8874538857</v>
      </c>
      <c r="R500">
        <f t="shared" si="981"/>
        <v>-757632087.0601517</v>
      </c>
      <c r="S500">
        <f t="shared" si="982"/>
        <v>-7576.3208706015166</v>
      </c>
      <c r="T500">
        <f t="shared" si="983"/>
        <v>-7.576320870601517</v>
      </c>
    </row>
    <row r="501" spans="1:20" x14ac:dyDescent="0.25">
      <c r="A501" s="5">
        <v>44092</v>
      </c>
      <c r="B501">
        <v>3.1109999999999999E-2</v>
      </c>
      <c r="C501">
        <v>3.279E-2</v>
      </c>
      <c r="D501">
        <v>2.989E-2</v>
      </c>
      <c r="E501">
        <v>3.1899999999999998E-2</v>
      </c>
      <c r="F501">
        <v>49623131.100000001</v>
      </c>
      <c r="G501">
        <v>2.54</v>
      </c>
      <c r="L501" t="s">
        <v>7</v>
      </c>
      <c r="M501" t="s">
        <v>8</v>
      </c>
      <c r="N501" t="s">
        <v>7</v>
      </c>
      <c r="P501">
        <f t="shared" si="979"/>
        <v>0.3862068965517228</v>
      </c>
      <c r="Q501">
        <f t="shared" si="980"/>
        <v>19164795.459310278</v>
      </c>
      <c r="R501">
        <f t="shared" si="981"/>
        <v>-765210577.94760561</v>
      </c>
      <c r="S501">
        <f t="shared" si="982"/>
        <v>-7652.1057794760563</v>
      </c>
      <c r="T501">
        <f t="shared" si="983"/>
        <v>-7.6521057794760567</v>
      </c>
    </row>
    <row r="502" spans="1:20" x14ac:dyDescent="0.25">
      <c r="A502" s="5">
        <v>44091</v>
      </c>
      <c r="B502">
        <v>2.938E-2</v>
      </c>
      <c r="C502">
        <v>3.6089999999999997E-2</v>
      </c>
      <c r="D502">
        <v>2.8899999999999999E-2</v>
      </c>
      <c r="E502">
        <v>3.1109999999999999E-2</v>
      </c>
      <c r="F502">
        <v>127331832</v>
      </c>
      <c r="G502">
        <v>5.89</v>
      </c>
      <c r="L502" t="s">
        <v>8</v>
      </c>
      <c r="M502" t="s">
        <v>8</v>
      </c>
      <c r="N502" t="s">
        <v>7</v>
      </c>
      <c r="P502">
        <f t="shared" si="979"/>
        <v>-0.38525730180806661</v>
      </c>
      <c r="Q502">
        <f t="shared" si="980"/>
        <v>-49055518.030598037</v>
      </c>
      <c r="R502">
        <f t="shared" si="981"/>
        <v>-784375373.4069159</v>
      </c>
      <c r="S502">
        <f t="shared" si="982"/>
        <v>-7843.7537340691588</v>
      </c>
      <c r="T502">
        <f t="shared" si="983"/>
        <v>-7.8437537340691588</v>
      </c>
    </row>
    <row r="503" spans="1:20" x14ac:dyDescent="0.25">
      <c r="A503" s="5">
        <v>44090</v>
      </c>
      <c r="B503">
        <v>3.3730000000000003E-2</v>
      </c>
      <c r="C503">
        <v>3.3730000000000003E-2</v>
      </c>
      <c r="D503">
        <v>2.8639999999999999E-2</v>
      </c>
      <c r="E503">
        <v>2.938E-2</v>
      </c>
      <c r="F503">
        <v>84211853.200000003</v>
      </c>
      <c r="G503">
        <v>-12.9</v>
      </c>
      <c r="L503" t="s">
        <v>7</v>
      </c>
      <c r="M503" t="s">
        <v>7</v>
      </c>
      <c r="N503" t="s">
        <v>7</v>
      </c>
      <c r="P503">
        <f t="shared" si="979"/>
        <v>-0.7092337917485263</v>
      </c>
      <c r="Q503">
        <f t="shared" si="980"/>
        <v>-59725891.955206268</v>
      </c>
      <c r="R503">
        <f t="shared" si="981"/>
        <v>-735319855.37631786</v>
      </c>
      <c r="S503">
        <f t="shared" si="982"/>
        <v>-7353.198553763179</v>
      </c>
      <c r="T503">
        <f t="shared" si="983"/>
        <v>-7.3531985537631792</v>
      </c>
    </row>
    <row r="504" spans="1:20" x14ac:dyDescent="0.25">
      <c r="A504" s="5">
        <v>44089</v>
      </c>
      <c r="B504">
        <v>3.7379999999999997E-2</v>
      </c>
      <c r="C504">
        <v>4.1450000000000001E-2</v>
      </c>
      <c r="D504">
        <v>3.3610000000000001E-2</v>
      </c>
      <c r="E504">
        <v>3.3790000000000001E-2</v>
      </c>
      <c r="F504">
        <v>103494328.09999999</v>
      </c>
      <c r="G504">
        <v>-9.6</v>
      </c>
      <c r="L504" t="s">
        <v>8</v>
      </c>
      <c r="M504" t="s">
        <v>7</v>
      </c>
      <c r="N504" t="s">
        <v>8</v>
      </c>
      <c r="P504">
        <f t="shared" si="979"/>
        <v>-0.95408163265306134</v>
      </c>
      <c r="Q504">
        <f t="shared" si="980"/>
        <v>-98742037.523979604</v>
      </c>
      <c r="R504">
        <f t="shared" si="981"/>
        <v>-675593963.42111158</v>
      </c>
      <c r="S504">
        <f t="shared" si="982"/>
        <v>-6755.9396342111158</v>
      </c>
      <c r="T504">
        <f t="shared" si="983"/>
        <v>-6.7559396342111162</v>
      </c>
    </row>
    <row r="505" spans="1:20" x14ac:dyDescent="0.25">
      <c r="A505" s="5">
        <v>44088</v>
      </c>
      <c r="B505">
        <v>3.9059999999999997E-2</v>
      </c>
      <c r="C505">
        <v>3.9059999999999997E-2</v>
      </c>
      <c r="D505">
        <v>3.6299999999999999E-2</v>
      </c>
      <c r="E505">
        <v>3.7330000000000002E-2</v>
      </c>
      <c r="F505">
        <v>46201305.100000001</v>
      </c>
      <c r="G505">
        <v>-4.43</v>
      </c>
      <c r="L505" t="s">
        <v>8</v>
      </c>
      <c r="M505" t="s">
        <v>8</v>
      </c>
      <c r="N505" t="s">
        <v>8</v>
      </c>
      <c r="P505">
        <f t="shared" si="979"/>
        <v>-0.25362318840579445</v>
      </c>
      <c r="Q505">
        <f t="shared" si="980"/>
        <v>-11717722.307970893</v>
      </c>
      <c r="R505">
        <f t="shared" si="981"/>
        <v>-576851925.89713192</v>
      </c>
      <c r="S505">
        <f t="shared" si="982"/>
        <v>-5768.5192589713188</v>
      </c>
      <c r="T505">
        <f t="shared" si="983"/>
        <v>-5.7685192589713186</v>
      </c>
    </row>
    <row r="506" spans="1:20" x14ac:dyDescent="0.25">
      <c r="A506" s="5">
        <v>44087</v>
      </c>
      <c r="B506">
        <v>3.9260000000000003E-2</v>
      </c>
      <c r="C506">
        <v>4.2000000000000003E-2</v>
      </c>
      <c r="D506">
        <v>3.6519999999999997E-2</v>
      </c>
      <c r="E506">
        <v>3.8960000000000002E-2</v>
      </c>
      <c r="F506">
        <v>41779110.700000003</v>
      </c>
      <c r="G506">
        <v>-0.76</v>
      </c>
      <c r="L506" t="s">
        <v>7</v>
      </c>
      <c r="M506" t="s">
        <v>8</v>
      </c>
      <c r="N506" t="s">
        <v>8</v>
      </c>
      <c r="P506">
        <f t="shared" si="979"/>
        <v>-0.10948905109488974</v>
      </c>
      <c r="Q506">
        <f t="shared" si="980"/>
        <v>-4574355.1861313554</v>
      </c>
      <c r="R506">
        <f t="shared" si="981"/>
        <v>-565134203.58916104</v>
      </c>
      <c r="S506">
        <f t="shared" si="982"/>
        <v>-5651.3420358916101</v>
      </c>
      <c r="T506">
        <f t="shared" si="983"/>
        <v>-5.6513420358916102</v>
      </c>
    </row>
    <row r="507" spans="1:20" x14ac:dyDescent="0.25">
      <c r="A507" s="5">
        <v>44086</v>
      </c>
      <c r="B507">
        <v>4.0370000000000003E-2</v>
      </c>
      <c r="C507">
        <v>4.0480000000000002E-2</v>
      </c>
      <c r="D507">
        <v>3.7879999999999997E-2</v>
      </c>
      <c r="E507">
        <v>3.9269999999999999E-2</v>
      </c>
      <c r="F507">
        <v>42361955.799999997</v>
      </c>
      <c r="G507">
        <v>-2.72</v>
      </c>
      <c r="L507" t="s">
        <v>7</v>
      </c>
      <c r="M507" t="s">
        <v>8</v>
      </c>
      <c r="N507" t="s">
        <v>8</v>
      </c>
      <c r="P507">
        <f t="shared" si="979"/>
        <v>6.9230769230768943E-2</v>
      </c>
      <c r="Q507">
        <f t="shared" si="980"/>
        <v>2932750.7861538338</v>
      </c>
      <c r="R507">
        <f t="shared" si="981"/>
        <v>-560559848.40302968</v>
      </c>
      <c r="S507">
        <f t="shared" si="982"/>
        <v>-5605.5984840302972</v>
      </c>
      <c r="T507">
        <f t="shared" si="983"/>
        <v>-5.6055984840302973</v>
      </c>
    </row>
    <row r="508" spans="1:20" x14ac:dyDescent="0.25">
      <c r="A508" s="5">
        <v>44085</v>
      </c>
      <c r="B508">
        <v>4.2479999999999997E-2</v>
      </c>
      <c r="C508">
        <v>4.2900000000000001E-2</v>
      </c>
      <c r="D508">
        <v>3.9370000000000002E-2</v>
      </c>
      <c r="E508">
        <v>4.0320000000000002E-2</v>
      </c>
      <c r="F508">
        <v>26525094.800000001</v>
      </c>
      <c r="G508">
        <v>-5.08</v>
      </c>
      <c r="L508" t="s">
        <v>7</v>
      </c>
      <c r="M508" t="s">
        <v>8</v>
      </c>
      <c r="N508" t="s">
        <v>8</v>
      </c>
      <c r="P508">
        <f t="shared" si="979"/>
        <v>-0.4617563739376771</v>
      </c>
      <c r="Q508">
        <f t="shared" si="980"/>
        <v>-12248131.593201134</v>
      </c>
      <c r="R508">
        <f t="shared" si="981"/>
        <v>-563492599.18918347</v>
      </c>
      <c r="S508">
        <f t="shared" si="982"/>
        <v>-5634.9259918918351</v>
      </c>
      <c r="T508">
        <f t="shared" si="983"/>
        <v>-5.6349259918918353</v>
      </c>
    </row>
    <row r="509" spans="1:20" x14ac:dyDescent="0.25">
      <c r="A509" s="5">
        <v>44084</v>
      </c>
      <c r="B509">
        <v>4.1450000000000001E-2</v>
      </c>
      <c r="C509">
        <v>4.4040000000000003E-2</v>
      </c>
      <c r="D509">
        <v>4.0550000000000003E-2</v>
      </c>
      <c r="E509">
        <v>4.2470000000000001E-2</v>
      </c>
      <c r="F509">
        <v>60270462.100000001</v>
      </c>
      <c r="G509">
        <v>2.46</v>
      </c>
      <c r="L509" t="s">
        <v>8</v>
      </c>
      <c r="M509" t="s">
        <v>8</v>
      </c>
      <c r="N509" t="s">
        <v>8</v>
      </c>
      <c r="P509">
        <f t="shared" si="979"/>
        <v>0.1002865329512883</v>
      </c>
      <c r="Q509">
        <f t="shared" si="980"/>
        <v>6044315.6833810229</v>
      </c>
      <c r="R509">
        <f t="shared" si="981"/>
        <v>-551244467.59598231</v>
      </c>
      <c r="S509">
        <f t="shared" si="982"/>
        <v>-5512.4446759598231</v>
      </c>
      <c r="T509">
        <f t="shared" si="983"/>
        <v>-5.5124446759598236</v>
      </c>
    </row>
    <row r="510" spans="1:20" x14ac:dyDescent="0.25">
      <c r="A510" s="5">
        <v>44083</v>
      </c>
      <c r="B510">
        <v>4.0869999999999997E-2</v>
      </c>
      <c r="C510">
        <v>4.215E-2</v>
      </c>
      <c r="D510">
        <v>3.9820000000000001E-2</v>
      </c>
      <c r="E510">
        <v>4.1439999999999998E-2</v>
      </c>
      <c r="F510">
        <v>48123128.299999997</v>
      </c>
      <c r="G510">
        <v>1.39</v>
      </c>
      <c r="L510" t="s">
        <v>8</v>
      </c>
      <c r="M510" t="s">
        <v>8</v>
      </c>
      <c r="N510" t="s">
        <v>8</v>
      </c>
      <c r="P510">
        <f t="shared" si="979"/>
        <v>0.39055793991416077</v>
      </c>
      <c r="Q510">
        <f t="shared" si="980"/>
        <v>18794869.851072848</v>
      </c>
      <c r="R510">
        <f t="shared" si="981"/>
        <v>-557288783.27936339</v>
      </c>
      <c r="S510">
        <f t="shared" si="982"/>
        <v>-5572.8878327936336</v>
      </c>
      <c r="T510">
        <f t="shared" si="983"/>
        <v>-5.5728878327936338</v>
      </c>
    </row>
    <row r="511" spans="1:20" x14ac:dyDescent="0.25">
      <c r="A511" s="5">
        <v>44082</v>
      </c>
      <c r="B511">
        <v>4.0370000000000003E-2</v>
      </c>
      <c r="C511">
        <v>4.2229999999999997E-2</v>
      </c>
      <c r="D511">
        <v>3.7719999999999997E-2</v>
      </c>
      <c r="E511">
        <v>4.095E-2</v>
      </c>
      <c r="F511">
        <v>85260349.299999997</v>
      </c>
      <c r="G511">
        <v>1.44</v>
      </c>
      <c r="L511" t="s">
        <v>8</v>
      </c>
      <c r="M511" t="s">
        <v>8</v>
      </c>
      <c r="N511" t="s">
        <v>8</v>
      </c>
      <c r="P511">
        <f t="shared" si="979"/>
        <v>0.43237250554323886</v>
      </c>
      <c r="Q511">
        <f t="shared" si="980"/>
        <v>36864230.85033273</v>
      </c>
      <c r="R511">
        <f t="shared" si="981"/>
        <v>-576083653.1304363</v>
      </c>
      <c r="S511">
        <f t="shared" si="982"/>
        <v>-5760.8365313043632</v>
      </c>
      <c r="T511">
        <f t="shared" si="983"/>
        <v>-5.7608365313043635</v>
      </c>
    </row>
    <row r="512" spans="1:20" x14ac:dyDescent="0.25">
      <c r="A512" s="5">
        <v>44081</v>
      </c>
      <c r="B512">
        <v>4.1390000000000003E-2</v>
      </c>
      <c r="C512">
        <v>4.2999999999999997E-2</v>
      </c>
      <c r="D512">
        <v>3.5299999999999998E-2</v>
      </c>
      <c r="E512">
        <v>4.0370000000000003E-2</v>
      </c>
      <c r="F512">
        <v>64388158</v>
      </c>
      <c r="G512">
        <v>-2.46</v>
      </c>
      <c r="L512" t="s">
        <v>7</v>
      </c>
      <c r="M512" t="s">
        <v>7</v>
      </c>
      <c r="N512" t="s">
        <v>8</v>
      </c>
      <c r="P512">
        <f t="shared" si="979"/>
        <v>0.31688311688311843</v>
      </c>
      <c r="Q512">
        <f t="shared" si="980"/>
        <v>20403520.197402697</v>
      </c>
      <c r="R512">
        <f t="shared" si="981"/>
        <v>-612947883.98076904</v>
      </c>
      <c r="S512">
        <f t="shared" si="982"/>
        <v>-6129.4788398076907</v>
      </c>
      <c r="T512">
        <f t="shared" si="983"/>
        <v>-6.1294788398076907</v>
      </c>
    </row>
    <row r="513" spans="1:20" x14ac:dyDescent="0.25">
      <c r="A513" s="5">
        <v>44080</v>
      </c>
      <c r="B513">
        <v>3.2259999999999997E-2</v>
      </c>
      <c r="C513">
        <v>4.5220000000000003E-2</v>
      </c>
      <c r="D513">
        <v>3.0470000000000001E-2</v>
      </c>
      <c r="E513">
        <v>4.1419999999999998E-2</v>
      </c>
      <c r="F513">
        <v>185250632.90000001</v>
      </c>
      <c r="G513">
        <v>28.39</v>
      </c>
      <c r="L513" t="s">
        <v>8</v>
      </c>
      <c r="M513" t="s">
        <v>8</v>
      </c>
      <c r="N513" t="s">
        <v>8</v>
      </c>
      <c r="P513">
        <f t="shared" si="979"/>
        <v>0.48474576271186387</v>
      </c>
      <c r="Q513">
        <f t="shared" si="980"/>
        <v>89799459.33796601</v>
      </c>
      <c r="R513">
        <f t="shared" si="981"/>
        <v>-633351404.17817175</v>
      </c>
      <c r="S513">
        <f t="shared" si="982"/>
        <v>-6333.5140417817174</v>
      </c>
      <c r="T513">
        <f t="shared" si="983"/>
        <v>-6.3335140417817177</v>
      </c>
    </row>
    <row r="514" spans="1:20" x14ac:dyDescent="0.25">
      <c r="A514" s="5">
        <v>44079</v>
      </c>
      <c r="B514">
        <v>4.0809999999999999E-2</v>
      </c>
      <c r="C514">
        <v>4.122E-2</v>
      </c>
      <c r="D514">
        <v>3.015E-2</v>
      </c>
      <c r="E514">
        <v>3.2099999999999997E-2</v>
      </c>
      <c r="F514">
        <v>50092669</v>
      </c>
      <c r="G514">
        <v>-21.34</v>
      </c>
      <c r="L514" t="s">
        <v>7</v>
      </c>
      <c r="M514" t="s">
        <v>7</v>
      </c>
      <c r="N514" t="s">
        <v>7</v>
      </c>
      <c r="P514">
        <f t="shared" si="979"/>
        <v>-0.64769647696477017</v>
      </c>
      <c r="Q514">
        <f t="shared" si="980"/>
        <v>-32444845.233062357</v>
      </c>
      <c r="R514">
        <f t="shared" si="981"/>
        <v>-723150863.51613772</v>
      </c>
      <c r="S514">
        <f t="shared" si="982"/>
        <v>-7231.5086351613772</v>
      </c>
      <c r="T514">
        <f t="shared" si="983"/>
        <v>-7.2315086351613775</v>
      </c>
    </row>
    <row r="515" spans="1:20" x14ac:dyDescent="0.25">
      <c r="A515" s="5">
        <v>44078</v>
      </c>
      <c r="B515">
        <v>3.9419999999999997E-2</v>
      </c>
      <c r="C515">
        <v>4.4499999999999998E-2</v>
      </c>
      <c r="D515">
        <v>3.5450000000000002E-2</v>
      </c>
      <c r="E515">
        <v>4.0890000000000003E-2</v>
      </c>
      <c r="F515">
        <v>98823486.799999997</v>
      </c>
      <c r="G515">
        <v>3.73</v>
      </c>
      <c r="L515" t="s">
        <v>7</v>
      </c>
      <c r="M515" t="s">
        <v>7</v>
      </c>
      <c r="N515" t="s">
        <v>8</v>
      </c>
      <c r="P515">
        <f t="shared" si="979"/>
        <v>0.2022099447513819</v>
      </c>
      <c r="Q515">
        <f t="shared" si="980"/>
        <v>19983091.805966917</v>
      </c>
      <c r="R515">
        <f t="shared" si="981"/>
        <v>-690706018.28307533</v>
      </c>
      <c r="S515">
        <f t="shared" si="982"/>
        <v>-6907.0601828307535</v>
      </c>
      <c r="T515">
        <f t="shared" si="983"/>
        <v>-6.9070601828307536</v>
      </c>
    </row>
    <row r="516" spans="1:20" x14ac:dyDescent="0.25">
      <c r="A516" s="5">
        <v>44077</v>
      </c>
      <c r="B516">
        <v>3.9879999999999999E-2</v>
      </c>
      <c r="C516">
        <v>4.7E-2</v>
      </c>
      <c r="D516">
        <v>3.8559999999999997E-2</v>
      </c>
      <c r="E516">
        <v>3.9419999999999997E-2</v>
      </c>
      <c r="F516">
        <v>179177971.59999999</v>
      </c>
      <c r="G516">
        <v>-1.1499999999999999</v>
      </c>
      <c r="L516" t="s">
        <v>8</v>
      </c>
      <c r="M516" t="s">
        <v>8</v>
      </c>
      <c r="N516" t="s">
        <v>8</v>
      </c>
      <c r="P516">
        <f t="shared" si="979"/>
        <v>-0.79620853080568732</v>
      </c>
      <c r="Q516">
        <f t="shared" si="980"/>
        <v>-142663029.52037916</v>
      </c>
      <c r="R516">
        <f t="shared" si="981"/>
        <v>-710689110.08904231</v>
      </c>
      <c r="S516">
        <f t="shared" si="982"/>
        <v>-7106.8911008904233</v>
      </c>
      <c r="T516">
        <f t="shared" si="983"/>
        <v>-7.1068911008904232</v>
      </c>
    </row>
    <row r="517" spans="1:20" x14ac:dyDescent="0.25">
      <c r="A517" s="5">
        <v>44076</v>
      </c>
      <c r="B517">
        <v>4.0309999999999999E-2</v>
      </c>
      <c r="C517">
        <v>4.1180000000000001E-2</v>
      </c>
      <c r="D517">
        <v>3.6580000000000001E-2</v>
      </c>
      <c r="E517">
        <v>3.9899999999999998E-2</v>
      </c>
      <c r="F517">
        <v>57989123.200000003</v>
      </c>
      <c r="G517">
        <v>-1.02</v>
      </c>
      <c r="L517" t="s">
        <v>7</v>
      </c>
      <c r="M517" t="s">
        <v>7</v>
      </c>
      <c r="N517" t="s">
        <v>8</v>
      </c>
      <c r="P517">
        <f t="shared" si="979"/>
        <v>0.44347826086956377</v>
      </c>
      <c r="Q517">
        <f t="shared" si="980"/>
        <v>25716915.506086875</v>
      </c>
      <c r="R517">
        <f t="shared" si="981"/>
        <v>-568026080.56866312</v>
      </c>
      <c r="S517">
        <f t="shared" si="982"/>
        <v>-5680.2608056866311</v>
      </c>
      <c r="T517">
        <f t="shared" si="983"/>
        <v>-5.6802608056866308</v>
      </c>
    </row>
    <row r="518" spans="1:20" x14ac:dyDescent="0.25">
      <c r="A518" s="5">
        <v>44075</v>
      </c>
      <c r="B518">
        <v>4.4040000000000003E-2</v>
      </c>
      <c r="C518">
        <v>4.6309999999999997E-2</v>
      </c>
      <c r="D518">
        <v>4.0059999999999998E-2</v>
      </c>
      <c r="E518">
        <v>4.0300000000000002E-2</v>
      </c>
      <c r="F518">
        <v>73224949.099999994</v>
      </c>
      <c r="G518">
        <v>-8.49</v>
      </c>
      <c r="L518" t="s">
        <v>8</v>
      </c>
      <c r="M518" t="s">
        <v>8</v>
      </c>
      <c r="N518" t="s">
        <v>8</v>
      </c>
      <c r="P518">
        <f t="shared" ref="P518:P581" si="984">IF(C518=D518,0,((E518-D518)-(C518-E518))/(C518-D518))</f>
        <v>-0.92319999999999869</v>
      </c>
      <c r="Q518">
        <f t="shared" ref="Q518:Q581" si="985">F518*P518</f>
        <v>-67601273.009119898</v>
      </c>
      <c r="R518">
        <f t="shared" ref="R518:R581" si="986">R519+Q518</f>
        <v>-593742996.07474995</v>
      </c>
      <c r="S518">
        <f t="shared" ref="S518:S581" si="987">R518/100000</f>
        <v>-5937.4299607474995</v>
      </c>
      <c r="T518">
        <f t="shared" ref="T518:T581" si="988">S518/1000</f>
        <v>-5.9374299607474992</v>
      </c>
    </row>
    <row r="519" spans="1:20" x14ac:dyDescent="0.25">
      <c r="A519" s="5">
        <v>44074</v>
      </c>
      <c r="B519">
        <v>4.215E-2</v>
      </c>
      <c r="C519">
        <v>4.4790000000000003E-2</v>
      </c>
      <c r="D519">
        <v>4.1880000000000001E-2</v>
      </c>
      <c r="E519">
        <v>4.4019999999999997E-2</v>
      </c>
      <c r="F519">
        <v>51190553.100000001</v>
      </c>
      <c r="G519">
        <v>4.4400000000000004</v>
      </c>
      <c r="L519" t="s">
        <v>8</v>
      </c>
      <c r="M519" t="s">
        <v>8</v>
      </c>
      <c r="N519" t="s">
        <v>8</v>
      </c>
      <c r="P519">
        <f t="shared" si="984"/>
        <v>0.47079037800686868</v>
      </c>
      <c r="Q519">
        <f t="shared" si="985"/>
        <v>24100019.844329685</v>
      </c>
      <c r="R519">
        <f t="shared" si="986"/>
        <v>-526141723.06563008</v>
      </c>
      <c r="S519">
        <f t="shared" si="987"/>
        <v>-5261.4172306563005</v>
      </c>
      <c r="T519">
        <f t="shared" si="988"/>
        <v>-5.2614172306563001</v>
      </c>
    </row>
    <row r="520" spans="1:20" x14ac:dyDescent="0.25">
      <c r="A520" s="5">
        <v>44073</v>
      </c>
      <c r="B520">
        <v>4.0820000000000002E-2</v>
      </c>
      <c r="C520">
        <v>4.6580000000000003E-2</v>
      </c>
      <c r="D520">
        <v>3.9980000000000002E-2</v>
      </c>
      <c r="E520">
        <v>4.2130000000000001E-2</v>
      </c>
      <c r="F520">
        <v>54858011.100000001</v>
      </c>
      <c r="G520">
        <v>3.21</v>
      </c>
      <c r="L520" t="s">
        <v>7</v>
      </c>
      <c r="M520" t="s">
        <v>8</v>
      </c>
      <c r="N520" t="s">
        <v>8</v>
      </c>
      <c r="P520">
        <f t="shared" si="984"/>
        <v>-0.3484848484848489</v>
      </c>
      <c r="Q520">
        <f t="shared" si="985"/>
        <v>-19117185.68636366</v>
      </c>
      <c r="R520">
        <f t="shared" si="986"/>
        <v>-550241742.90995979</v>
      </c>
      <c r="S520">
        <f t="shared" si="987"/>
        <v>-5502.4174290995979</v>
      </c>
      <c r="T520">
        <f t="shared" si="988"/>
        <v>-5.502417429099598</v>
      </c>
    </row>
    <row r="521" spans="1:20" x14ac:dyDescent="0.25">
      <c r="A521" s="5">
        <v>44072</v>
      </c>
      <c r="B521">
        <v>4.2540000000000001E-2</v>
      </c>
      <c r="C521">
        <v>4.3920000000000001E-2</v>
      </c>
      <c r="D521">
        <v>4.0750000000000001E-2</v>
      </c>
      <c r="E521">
        <v>4.0869999999999997E-2</v>
      </c>
      <c r="F521">
        <v>40395165.399999999</v>
      </c>
      <c r="G521">
        <v>-3.93</v>
      </c>
      <c r="L521" t="s">
        <v>7</v>
      </c>
      <c r="M521" t="s">
        <v>8</v>
      </c>
      <c r="N521" t="s">
        <v>8</v>
      </c>
      <c r="P521">
        <f t="shared" si="984"/>
        <v>-0.9242902208201923</v>
      </c>
      <c r="Q521">
        <f t="shared" si="985"/>
        <v>-37336856.347634189</v>
      </c>
      <c r="R521">
        <f t="shared" si="986"/>
        <v>-531124557.2235961</v>
      </c>
      <c r="S521">
        <f t="shared" si="987"/>
        <v>-5311.2455722359609</v>
      </c>
      <c r="T521">
        <f t="shared" si="988"/>
        <v>-5.3112455722359613</v>
      </c>
    </row>
    <row r="522" spans="1:20" x14ac:dyDescent="0.25">
      <c r="A522" s="5">
        <v>44071</v>
      </c>
      <c r="B522">
        <v>3.755E-2</v>
      </c>
      <c r="C522">
        <v>4.3999999999999997E-2</v>
      </c>
      <c r="D522">
        <v>3.7499999999999999E-2</v>
      </c>
      <c r="E522">
        <v>4.2599999999999999E-2</v>
      </c>
      <c r="F522">
        <v>107597887.5</v>
      </c>
      <c r="G522">
        <v>13.45</v>
      </c>
      <c r="L522" t="s">
        <v>8</v>
      </c>
      <c r="M522" t="s">
        <v>8</v>
      </c>
      <c r="N522" t="s">
        <v>8</v>
      </c>
      <c r="P522">
        <f t="shared" si="984"/>
        <v>0.56923076923076965</v>
      </c>
      <c r="Q522">
        <f t="shared" si="985"/>
        <v>61248028.269230813</v>
      </c>
      <c r="R522">
        <f t="shared" si="986"/>
        <v>-493787700.8759619</v>
      </c>
      <c r="S522">
        <f t="shared" si="987"/>
        <v>-4937.8770087596185</v>
      </c>
      <c r="T522">
        <f t="shared" si="988"/>
        <v>-4.9378770087596182</v>
      </c>
    </row>
    <row r="523" spans="1:20" x14ac:dyDescent="0.25">
      <c r="A523" s="5">
        <v>44070</v>
      </c>
      <c r="B523">
        <v>3.773E-2</v>
      </c>
      <c r="C523">
        <v>3.9199999999999999E-2</v>
      </c>
      <c r="D523">
        <v>3.4939999999999999E-2</v>
      </c>
      <c r="E523">
        <v>3.7620000000000001E-2</v>
      </c>
      <c r="F523">
        <v>52199766</v>
      </c>
      <c r="G523">
        <v>-0.28999999999999998</v>
      </c>
      <c r="L523" t="s">
        <v>7</v>
      </c>
      <c r="M523" t="s">
        <v>8</v>
      </c>
      <c r="N523" t="s">
        <v>8</v>
      </c>
      <c r="P523">
        <f t="shared" si="984"/>
        <v>0.25821596244131545</v>
      </c>
      <c r="Q523">
        <f t="shared" si="985"/>
        <v>13478812.816901455</v>
      </c>
      <c r="R523">
        <f t="shared" si="986"/>
        <v>-555035729.14519274</v>
      </c>
      <c r="S523">
        <f t="shared" si="987"/>
        <v>-5550.3572914519273</v>
      </c>
      <c r="T523">
        <f t="shared" si="988"/>
        <v>-5.5503572914519275</v>
      </c>
    </row>
    <row r="524" spans="1:20" x14ac:dyDescent="0.25">
      <c r="A524" s="5">
        <v>44069</v>
      </c>
      <c r="B524">
        <v>3.8199999999999998E-2</v>
      </c>
      <c r="C524">
        <v>3.9239999999999997E-2</v>
      </c>
      <c r="D524">
        <v>3.6409999999999998E-2</v>
      </c>
      <c r="E524">
        <v>3.7679999999999998E-2</v>
      </c>
      <c r="F524">
        <v>42210159.700000003</v>
      </c>
      <c r="G524">
        <v>-1.36</v>
      </c>
      <c r="L524" t="s">
        <v>7</v>
      </c>
      <c r="M524" t="s">
        <v>8</v>
      </c>
      <c r="N524" t="s">
        <v>8</v>
      </c>
      <c r="P524">
        <f t="shared" si="984"/>
        <v>-0.10247349823321508</v>
      </c>
      <c r="Q524">
        <f t="shared" si="985"/>
        <v>-4325422.7254416766</v>
      </c>
      <c r="R524">
        <f t="shared" si="986"/>
        <v>-568514541.96209419</v>
      </c>
      <c r="S524">
        <f t="shared" si="987"/>
        <v>-5685.1454196209415</v>
      </c>
      <c r="T524">
        <f t="shared" si="988"/>
        <v>-5.6851454196209419</v>
      </c>
    </row>
    <row r="525" spans="1:20" x14ac:dyDescent="0.25">
      <c r="A525" s="5">
        <v>44068</v>
      </c>
      <c r="B525">
        <v>3.882E-2</v>
      </c>
      <c r="C525">
        <v>4.1259999999999998E-2</v>
      </c>
      <c r="D525">
        <v>3.5060000000000001E-2</v>
      </c>
      <c r="E525">
        <v>3.8240000000000003E-2</v>
      </c>
      <c r="F525">
        <v>68007444.799999997</v>
      </c>
      <c r="G525">
        <v>-1.49</v>
      </c>
      <c r="L525" t="s">
        <v>8</v>
      </c>
      <c r="M525" t="s">
        <v>8</v>
      </c>
      <c r="N525" t="s">
        <v>8</v>
      </c>
      <c r="P525">
        <f t="shared" si="984"/>
        <v>2.5806451612904423E-2</v>
      </c>
      <c r="Q525">
        <f t="shared" si="985"/>
        <v>1755030.8335484683</v>
      </c>
      <c r="R525">
        <f t="shared" si="986"/>
        <v>-564189119.23665249</v>
      </c>
      <c r="S525">
        <f t="shared" si="987"/>
        <v>-5641.8911923665246</v>
      </c>
      <c r="T525">
        <f t="shared" si="988"/>
        <v>-5.6418911923665247</v>
      </c>
    </row>
    <row r="526" spans="1:20" x14ac:dyDescent="0.25">
      <c r="A526" s="5">
        <v>44067</v>
      </c>
      <c r="B526">
        <v>3.6499999999999998E-2</v>
      </c>
      <c r="C526">
        <v>4.1000000000000002E-2</v>
      </c>
      <c r="D526">
        <v>3.533E-2</v>
      </c>
      <c r="E526">
        <v>3.8809999999999997E-2</v>
      </c>
      <c r="F526">
        <v>61279878.5</v>
      </c>
      <c r="G526">
        <v>6.33</v>
      </c>
      <c r="L526" t="s">
        <v>8</v>
      </c>
      <c r="M526" t="s">
        <v>8</v>
      </c>
      <c r="N526" t="s">
        <v>8</v>
      </c>
      <c r="P526">
        <f t="shared" si="984"/>
        <v>0.22751322751322614</v>
      </c>
      <c r="Q526">
        <f t="shared" si="985"/>
        <v>13941982.939153355</v>
      </c>
      <c r="R526">
        <f t="shared" si="986"/>
        <v>-565944150.07020092</v>
      </c>
      <c r="S526">
        <f t="shared" si="987"/>
        <v>-5659.4415007020089</v>
      </c>
      <c r="T526">
        <f t="shared" si="988"/>
        <v>-5.6594415007020089</v>
      </c>
    </row>
    <row r="527" spans="1:20" x14ac:dyDescent="0.25">
      <c r="A527" s="5">
        <v>44066</v>
      </c>
      <c r="B527">
        <v>3.8730000000000001E-2</v>
      </c>
      <c r="C527">
        <v>3.9940000000000003E-2</v>
      </c>
      <c r="D527">
        <v>3.6089999999999997E-2</v>
      </c>
      <c r="E527">
        <v>3.6540000000000003E-2</v>
      </c>
      <c r="F527">
        <v>48100758.399999999</v>
      </c>
      <c r="G527">
        <v>-5.65</v>
      </c>
      <c r="L527" t="s">
        <v>8</v>
      </c>
      <c r="M527" t="s">
        <v>8</v>
      </c>
      <c r="N527" t="s">
        <v>8</v>
      </c>
      <c r="P527">
        <f t="shared" si="984"/>
        <v>-0.76623376623376349</v>
      </c>
      <c r="Q527">
        <f t="shared" si="985"/>
        <v>-36856425.267532334</v>
      </c>
      <c r="R527">
        <f t="shared" si="986"/>
        <v>-579886133.00935423</v>
      </c>
      <c r="S527">
        <f t="shared" si="987"/>
        <v>-5798.8613300935422</v>
      </c>
      <c r="T527">
        <f t="shared" si="988"/>
        <v>-5.7988613300935423</v>
      </c>
    </row>
    <row r="528" spans="1:20" x14ac:dyDescent="0.25">
      <c r="A528" s="5">
        <v>44065</v>
      </c>
      <c r="B528">
        <v>3.5119999999999998E-2</v>
      </c>
      <c r="C528">
        <v>3.9100000000000003E-2</v>
      </c>
      <c r="D528">
        <v>3.2539999999999999E-2</v>
      </c>
      <c r="E528">
        <v>3.8879999999999998E-2</v>
      </c>
      <c r="F528">
        <v>63824892.700000003</v>
      </c>
      <c r="G528">
        <v>10.71</v>
      </c>
      <c r="L528" t="s">
        <v>7</v>
      </c>
      <c r="M528" t="s">
        <v>7</v>
      </c>
      <c r="N528" t="s">
        <v>8</v>
      </c>
      <c r="P528">
        <f t="shared" si="984"/>
        <v>0.93292682926829118</v>
      </c>
      <c r="Q528">
        <f t="shared" si="985"/>
        <v>59543954.774999909</v>
      </c>
      <c r="R528">
        <f t="shared" si="986"/>
        <v>-543029707.74182189</v>
      </c>
      <c r="S528">
        <f t="shared" si="987"/>
        <v>-5430.2970774182186</v>
      </c>
      <c r="T528">
        <f t="shared" si="988"/>
        <v>-5.4302970774182189</v>
      </c>
    </row>
    <row r="529" spans="1:20" x14ac:dyDescent="0.25">
      <c r="A529" s="5">
        <v>44064</v>
      </c>
      <c r="B529">
        <v>4.1239999999999999E-2</v>
      </c>
      <c r="C529">
        <v>4.3709999999999999E-2</v>
      </c>
      <c r="D529">
        <v>3.5029999999999999E-2</v>
      </c>
      <c r="E529">
        <v>3.5119999999999998E-2</v>
      </c>
      <c r="F529">
        <v>88809385.099999994</v>
      </c>
      <c r="G529">
        <v>-14.84</v>
      </c>
      <c r="L529" t="s">
        <v>7</v>
      </c>
      <c r="M529" t="s">
        <v>7</v>
      </c>
      <c r="N529" t="s">
        <v>8</v>
      </c>
      <c r="P529">
        <f t="shared" si="984"/>
        <v>-0.97926267281105994</v>
      </c>
      <c r="Q529">
        <f t="shared" si="985"/>
        <v>-86967715.823732719</v>
      </c>
      <c r="R529">
        <f t="shared" si="986"/>
        <v>-602573662.51682174</v>
      </c>
      <c r="S529">
        <f t="shared" si="987"/>
        <v>-6025.7366251682179</v>
      </c>
      <c r="T529">
        <f t="shared" si="988"/>
        <v>-6.0257366251682178</v>
      </c>
    </row>
    <row r="530" spans="1:20" x14ac:dyDescent="0.25">
      <c r="A530" s="5">
        <v>44063</v>
      </c>
      <c r="B530">
        <v>3.9530000000000003E-2</v>
      </c>
      <c r="C530">
        <v>4.41E-2</v>
      </c>
      <c r="D530">
        <v>3.952E-2</v>
      </c>
      <c r="E530">
        <v>4.1239999999999999E-2</v>
      </c>
      <c r="F530">
        <v>92534312.099999994</v>
      </c>
      <c r="G530">
        <v>4.33</v>
      </c>
      <c r="L530" t="s">
        <v>8</v>
      </c>
      <c r="M530" t="s">
        <v>8</v>
      </c>
      <c r="N530" t="s">
        <v>8</v>
      </c>
      <c r="P530">
        <f t="shared" si="984"/>
        <v>-0.24890829694323185</v>
      </c>
      <c r="Q530">
        <f t="shared" si="985"/>
        <v>-23032558.033624493</v>
      </c>
      <c r="R530">
        <f t="shared" si="986"/>
        <v>-515605946.69308907</v>
      </c>
      <c r="S530">
        <f t="shared" si="987"/>
        <v>-5156.0594669308903</v>
      </c>
      <c r="T530">
        <f t="shared" si="988"/>
        <v>-5.1560594669308903</v>
      </c>
    </row>
    <row r="531" spans="1:20" x14ac:dyDescent="0.25">
      <c r="A531" s="5">
        <v>44062</v>
      </c>
      <c r="B531">
        <v>4.2470000000000001E-2</v>
      </c>
      <c r="C531">
        <v>4.4319999999999998E-2</v>
      </c>
      <c r="D531">
        <v>2.1999999999999999E-2</v>
      </c>
      <c r="E531">
        <v>3.9559999999999998E-2</v>
      </c>
      <c r="F531">
        <v>157024553.5</v>
      </c>
      <c r="G531">
        <v>-6.85</v>
      </c>
      <c r="L531" t="s">
        <v>7</v>
      </c>
      <c r="M531" t="s">
        <v>7</v>
      </c>
      <c r="N531" t="s">
        <v>7</v>
      </c>
      <c r="P531">
        <f t="shared" si="984"/>
        <v>0.57347670250896055</v>
      </c>
      <c r="Q531">
        <f t="shared" si="985"/>
        <v>90049923.154121861</v>
      </c>
      <c r="R531">
        <f t="shared" si="986"/>
        <v>-492573388.6594646</v>
      </c>
      <c r="S531">
        <f t="shared" si="987"/>
        <v>-4925.7338865946458</v>
      </c>
      <c r="T531">
        <f t="shared" si="988"/>
        <v>-4.9257338865946458</v>
      </c>
    </row>
    <row r="532" spans="1:20" x14ac:dyDescent="0.25">
      <c r="A532" s="5">
        <v>44061</v>
      </c>
      <c r="B532">
        <v>4.5580000000000002E-2</v>
      </c>
      <c r="C532">
        <v>4.9820000000000003E-2</v>
      </c>
      <c r="D532">
        <v>4.1860000000000001E-2</v>
      </c>
      <c r="E532">
        <v>4.2470000000000001E-2</v>
      </c>
      <c r="F532">
        <v>126097729.5</v>
      </c>
      <c r="G532">
        <v>-6.82</v>
      </c>
      <c r="L532" t="s">
        <v>7</v>
      </c>
      <c r="M532" t="s">
        <v>7</v>
      </c>
      <c r="N532" t="s">
        <v>7</v>
      </c>
      <c r="P532">
        <f t="shared" si="984"/>
        <v>-0.84673366834170871</v>
      </c>
      <c r="Q532">
        <f t="shared" si="985"/>
        <v>-106771193.06909549</v>
      </c>
      <c r="R532">
        <f t="shared" si="986"/>
        <v>-582623311.81358647</v>
      </c>
      <c r="S532">
        <f t="shared" si="987"/>
        <v>-5826.233118135865</v>
      </c>
      <c r="T532">
        <f t="shared" si="988"/>
        <v>-5.8262331181358649</v>
      </c>
    </row>
    <row r="533" spans="1:20" x14ac:dyDescent="0.25">
      <c r="A533" s="5">
        <v>44060</v>
      </c>
      <c r="B533">
        <v>5.0520000000000002E-2</v>
      </c>
      <c r="C533">
        <v>5.2999999999999999E-2</v>
      </c>
      <c r="D533">
        <v>4.5179999999999998E-2</v>
      </c>
      <c r="E533">
        <v>4.5539999999999997E-2</v>
      </c>
      <c r="F533">
        <v>173894412.30000001</v>
      </c>
      <c r="G533">
        <v>-9.86</v>
      </c>
      <c r="L533" t="s">
        <v>8</v>
      </c>
      <c r="M533" t="s">
        <v>8</v>
      </c>
      <c r="N533" t="s">
        <v>8</v>
      </c>
      <c r="P533">
        <f t="shared" si="984"/>
        <v>-0.90792838874680326</v>
      </c>
      <c r="Q533">
        <f t="shared" si="985"/>
        <v>-157883673.57161129</v>
      </c>
      <c r="R533">
        <f t="shared" si="986"/>
        <v>-475852118.74449104</v>
      </c>
      <c r="S533">
        <f t="shared" si="987"/>
        <v>-4758.5211874449105</v>
      </c>
      <c r="T533">
        <f t="shared" si="988"/>
        <v>-4.7585211874449103</v>
      </c>
    </row>
    <row r="534" spans="1:20" x14ac:dyDescent="0.25">
      <c r="A534" s="5">
        <v>44059</v>
      </c>
      <c r="B534">
        <v>4.5539999999999997E-2</v>
      </c>
      <c r="C534">
        <v>5.3499999999999999E-2</v>
      </c>
      <c r="D534">
        <v>4.3770000000000003E-2</v>
      </c>
      <c r="E534">
        <v>5.0500000000000003E-2</v>
      </c>
      <c r="F534">
        <v>151124562.59999999</v>
      </c>
      <c r="G534">
        <v>10.89</v>
      </c>
      <c r="L534" t="s">
        <v>7</v>
      </c>
      <c r="M534" t="s">
        <v>7</v>
      </c>
      <c r="N534" t="s">
        <v>8</v>
      </c>
      <c r="P534">
        <f t="shared" si="984"/>
        <v>0.38335046248715371</v>
      </c>
      <c r="Q534">
        <f t="shared" si="985"/>
        <v>57933670.965878807</v>
      </c>
      <c r="R534">
        <f t="shared" si="986"/>
        <v>-317968445.17287976</v>
      </c>
      <c r="S534">
        <f t="shared" si="987"/>
        <v>-3179.6844517287977</v>
      </c>
      <c r="T534">
        <f t="shared" si="988"/>
        <v>-3.1796844517287979</v>
      </c>
    </row>
    <row r="535" spans="1:20" x14ac:dyDescent="0.25">
      <c r="A535" s="5">
        <v>44058</v>
      </c>
      <c r="B535">
        <v>4.9700000000000001E-2</v>
      </c>
      <c r="C535">
        <v>5.7950000000000002E-2</v>
      </c>
      <c r="D535">
        <v>4.5310000000000003E-2</v>
      </c>
      <c r="E535">
        <v>4.5560000000000003E-2</v>
      </c>
      <c r="F535">
        <v>276616762.5</v>
      </c>
      <c r="G535">
        <v>-8.33</v>
      </c>
      <c r="L535" t="s">
        <v>8</v>
      </c>
      <c r="M535" t="s">
        <v>8</v>
      </c>
      <c r="N535" t="s">
        <v>8</v>
      </c>
      <c r="P535">
        <f t="shared" si="984"/>
        <v>-0.96044303797468356</v>
      </c>
      <c r="Q535">
        <f t="shared" si="985"/>
        <v>-265674643.73022151</v>
      </c>
      <c r="R535">
        <f t="shared" si="986"/>
        <v>-375902116.13875854</v>
      </c>
      <c r="S535">
        <f t="shared" si="987"/>
        <v>-3759.0211613875854</v>
      </c>
      <c r="T535">
        <f t="shared" si="988"/>
        <v>-3.7590211613875852</v>
      </c>
    </row>
    <row r="536" spans="1:20" x14ac:dyDescent="0.25">
      <c r="A536" s="5">
        <v>44057</v>
      </c>
      <c r="B536">
        <v>3.8100000000000002E-2</v>
      </c>
      <c r="C536">
        <v>5.4269999999999999E-2</v>
      </c>
      <c r="D536">
        <v>3.6720000000000003E-2</v>
      </c>
      <c r="E536">
        <v>4.9700000000000001E-2</v>
      </c>
      <c r="F536">
        <v>204660859.30000001</v>
      </c>
      <c r="G536">
        <v>30.45</v>
      </c>
      <c r="L536" t="s">
        <v>8</v>
      </c>
      <c r="M536" t="s">
        <v>8</v>
      </c>
      <c r="N536" t="s">
        <v>8</v>
      </c>
      <c r="P536">
        <f t="shared" si="984"/>
        <v>0.47920227920227937</v>
      </c>
      <c r="Q536">
        <f t="shared" si="985"/>
        <v>98073950.240057021</v>
      </c>
      <c r="R536">
        <f t="shared" si="986"/>
        <v>-110227472.408537</v>
      </c>
      <c r="S536">
        <f t="shared" si="987"/>
        <v>-1102.2747240853701</v>
      </c>
      <c r="T536">
        <f t="shared" si="988"/>
        <v>-1.1022747240853701</v>
      </c>
    </row>
    <row r="537" spans="1:20" x14ac:dyDescent="0.25">
      <c r="A537" s="5">
        <v>44056</v>
      </c>
      <c r="B537">
        <v>3.3649999999999999E-2</v>
      </c>
      <c r="C537">
        <v>4.5960000000000001E-2</v>
      </c>
      <c r="D537">
        <v>3.3529999999999997E-2</v>
      </c>
      <c r="E537">
        <v>3.8039999999999997E-2</v>
      </c>
      <c r="F537">
        <v>175664720.30000001</v>
      </c>
      <c r="G537">
        <v>13.05</v>
      </c>
      <c r="L537" t="s">
        <v>8</v>
      </c>
      <c r="M537" t="s">
        <v>8</v>
      </c>
      <c r="N537" t="s">
        <v>8</v>
      </c>
      <c r="P537">
        <f t="shared" si="984"/>
        <v>-0.27433628318584091</v>
      </c>
      <c r="Q537">
        <f t="shared" si="985"/>
        <v>-48191206.453982338</v>
      </c>
      <c r="R537">
        <f t="shared" si="986"/>
        <v>-208301422.64859402</v>
      </c>
      <c r="S537">
        <f t="shared" si="987"/>
        <v>-2083.0142264859401</v>
      </c>
      <c r="T537">
        <f t="shared" si="988"/>
        <v>-2.0830142264859401</v>
      </c>
    </row>
    <row r="538" spans="1:20" x14ac:dyDescent="0.25">
      <c r="A538" s="5">
        <v>44055</v>
      </c>
      <c r="B538">
        <v>3.4549999999999997E-2</v>
      </c>
      <c r="C538">
        <v>3.7870000000000001E-2</v>
      </c>
      <c r="D538">
        <v>3.1600000000000003E-2</v>
      </c>
      <c r="E538">
        <v>3.3680000000000002E-2</v>
      </c>
      <c r="F538">
        <v>160415673.59999999</v>
      </c>
      <c r="G538">
        <v>-2.52</v>
      </c>
      <c r="L538" t="s">
        <v>8</v>
      </c>
      <c r="M538" t="s">
        <v>8</v>
      </c>
      <c r="N538" t="s">
        <v>7</v>
      </c>
      <c r="P538">
        <f t="shared" si="984"/>
        <v>-0.33652312599681045</v>
      </c>
      <c r="Q538">
        <f t="shared" si="985"/>
        <v>-53983583.938756019</v>
      </c>
      <c r="R538">
        <f t="shared" si="986"/>
        <v>-160110216.1946117</v>
      </c>
      <c r="S538">
        <f t="shared" si="987"/>
        <v>-1601.1021619461169</v>
      </c>
      <c r="T538">
        <f t="shared" si="988"/>
        <v>-1.601102161946117</v>
      </c>
    </row>
    <row r="539" spans="1:20" x14ac:dyDescent="0.25">
      <c r="A539" s="5">
        <v>44054</v>
      </c>
      <c r="B539">
        <v>3.8649999999999997E-2</v>
      </c>
      <c r="C539">
        <v>3.8649999999999997E-2</v>
      </c>
      <c r="D539">
        <v>2.8320000000000001E-2</v>
      </c>
      <c r="E539">
        <v>3.4619999999999998E-2</v>
      </c>
      <c r="F539">
        <v>244557931.19999999</v>
      </c>
      <c r="G539">
        <v>-10.43</v>
      </c>
      <c r="L539" t="s">
        <v>7</v>
      </c>
      <c r="M539" t="s">
        <v>7</v>
      </c>
      <c r="N539" t="s">
        <v>7</v>
      </c>
      <c r="P539">
        <f t="shared" si="984"/>
        <v>0.21974830590513056</v>
      </c>
      <c r="Q539">
        <f t="shared" si="985"/>
        <v>53741191.076863468</v>
      </c>
      <c r="R539">
        <f t="shared" si="986"/>
        <v>-106126632.25585568</v>
      </c>
      <c r="S539">
        <f t="shared" si="987"/>
        <v>-1061.2663225585568</v>
      </c>
      <c r="T539">
        <f t="shared" si="988"/>
        <v>-1.0612663225585568</v>
      </c>
    </row>
    <row r="540" spans="1:20" x14ac:dyDescent="0.25">
      <c r="A540" s="5">
        <v>44053</v>
      </c>
      <c r="B540">
        <v>2.9069999999999999E-2</v>
      </c>
      <c r="C540">
        <v>4.0919999999999998E-2</v>
      </c>
      <c r="D540">
        <v>2.7730000000000001E-2</v>
      </c>
      <c r="E540">
        <v>3.866E-2</v>
      </c>
      <c r="F540">
        <v>250005597.19999999</v>
      </c>
      <c r="G540">
        <v>32.99</v>
      </c>
      <c r="L540" t="s">
        <v>8</v>
      </c>
      <c r="M540" t="s">
        <v>8</v>
      </c>
      <c r="N540" t="s">
        <v>8</v>
      </c>
      <c r="P540">
        <f t="shared" si="984"/>
        <v>0.65731614859742249</v>
      </c>
      <c r="Q540">
        <f t="shared" si="985"/>
        <v>164332716.27930254</v>
      </c>
      <c r="R540">
        <f t="shared" si="986"/>
        <v>-159867823.33271915</v>
      </c>
      <c r="S540">
        <f t="shared" si="987"/>
        <v>-1598.6782333271915</v>
      </c>
      <c r="T540">
        <f t="shared" si="988"/>
        <v>-1.5986782333271914</v>
      </c>
    </row>
    <row r="541" spans="1:20" x14ac:dyDescent="0.25">
      <c r="A541" s="5">
        <v>44052</v>
      </c>
      <c r="B541">
        <v>2.9440000000000001E-2</v>
      </c>
      <c r="C541">
        <v>2.945E-2</v>
      </c>
      <c r="D541">
        <v>2.6679999999999999E-2</v>
      </c>
      <c r="E541">
        <v>2.9149999999999999E-2</v>
      </c>
      <c r="F541">
        <v>65830230.200000003</v>
      </c>
      <c r="G541">
        <v>-0.99</v>
      </c>
      <c r="L541" t="s">
        <v>7</v>
      </c>
      <c r="M541" t="s">
        <v>8</v>
      </c>
      <c r="N541" t="s">
        <v>8</v>
      </c>
      <c r="P541">
        <f t="shared" si="984"/>
        <v>0.78339350180505307</v>
      </c>
      <c r="Q541">
        <f t="shared" si="985"/>
        <v>51570974.561010763</v>
      </c>
      <c r="R541">
        <f t="shared" si="986"/>
        <v>-324200539.61202168</v>
      </c>
      <c r="S541">
        <f t="shared" si="987"/>
        <v>-3242.005396120217</v>
      </c>
      <c r="T541">
        <f t="shared" si="988"/>
        <v>-3.2420053961202169</v>
      </c>
    </row>
    <row r="542" spans="1:20" x14ac:dyDescent="0.25">
      <c r="A542" s="5">
        <v>44051</v>
      </c>
      <c r="B542">
        <v>2.6360000000000001E-2</v>
      </c>
      <c r="C542">
        <v>2.9700000000000001E-2</v>
      </c>
      <c r="D542">
        <v>2.5999999999999999E-2</v>
      </c>
      <c r="E542">
        <v>2.9389999999999999E-2</v>
      </c>
      <c r="F542">
        <v>63690812.799999997</v>
      </c>
      <c r="G542">
        <v>11.49</v>
      </c>
      <c r="L542" t="s">
        <v>8</v>
      </c>
      <c r="M542" t="s">
        <v>8</v>
      </c>
      <c r="N542" t="s">
        <v>8</v>
      </c>
      <c r="P542">
        <f t="shared" si="984"/>
        <v>0.83243243243243181</v>
      </c>
      <c r="Q542">
        <f t="shared" si="985"/>
        <v>53018298.22270266</v>
      </c>
      <c r="R542">
        <f t="shared" si="986"/>
        <v>-375771514.17303246</v>
      </c>
      <c r="S542">
        <f t="shared" si="987"/>
        <v>-3757.7151417303248</v>
      </c>
      <c r="T542">
        <f t="shared" si="988"/>
        <v>-3.7577151417303249</v>
      </c>
    </row>
    <row r="543" spans="1:20" x14ac:dyDescent="0.25">
      <c r="A543" s="5">
        <v>44050</v>
      </c>
      <c r="B543">
        <v>2.6929999999999999E-2</v>
      </c>
      <c r="C543">
        <v>2.8989999999999998E-2</v>
      </c>
      <c r="D543">
        <v>2.5309999999999999E-2</v>
      </c>
      <c r="E543">
        <v>2.6339999999999999E-2</v>
      </c>
      <c r="F543">
        <v>107733654.8</v>
      </c>
      <c r="G543">
        <v>-2.19</v>
      </c>
      <c r="L543" t="s">
        <v>8</v>
      </c>
      <c r="M543" t="s">
        <v>8</v>
      </c>
      <c r="N543" t="s">
        <v>8</v>
      </c>
      <c r="P543">
        <f t="shared" si="984"/>
        <v>-0.44021739130434789</v>
      </c>
      <c r="Q543">
        <f t="shared" si="985"/>
        <v>-47426228.471739136</v>
      </c>
      <c r="R543">
        <f t="shared" si="986"/>
        <v>-428789812.39573514</v>
      </c>
      <c r="S543">
        <f t="shared" si="987"/>
        <v>-4287.8981239573513</v>
      </c>
      <c r="T543">
        <f t="shared" si="988"/>
        <v>-4.2878981239573513</v>
      </c>
    </row>
    <row r="544" spans="1:20" x14ac:dyDescent="0.25">
      <c r="A544" s="5">
        <v>44049</v>
      </c>
      <c r="B544">
        <v>2.3140000000000001E-2</v>
      </c>
      <c r="C544">
        <v>2.741E-2</v>
      </c>
      <c r="D544">
        <v>2.308E-2</v>
      </c>
      <c r="E544">
        <v>2.691E-2</v>
      </c>
      <c r="F544">
        <v>116651991</v>
      </c>
      <c r="G544">
        <v>16.29</v>
      </c>
      <c r="L544" t="s">
        <v>8</v>
      </c>
      <c r="M544" t="s">
        <v>8</v>
      </c>
      <c r="N544" t="s">
        <v>8</v>
      </c>
      <c r="P544">
        <f t="shared" si="984"/>
        <v>0.76905311778290975</v>
      </c>
      <c r="Q544">
        <f t="shared" si="985"/>
        <v>89711577.37413393</v>
      </c>
      <c r="R544">
        <f t="shared" si="986"/>
        <v>-381363583.92399603</v>
      </c>
      <c r="S544">
        <f t="shared" si="987"/>
        <v>-3813.6358392399602</v>
      </c>
      <c r="T544">
        <f t="shared" si="988"/>
        <v>-3.8136358392399603</v>
      </c>
    </row>
    <row r="545" spans="1:20" x14ac:dyDescent="0.25">
      <c r="A545" s="5">
        <v>44048</v>
      </c>
      <c r="B545">
        <v>2.2509999999999999E-2</v>
      </c>
      <c r="C545">
        <v>2.3879999999999998E-2</v>
      </c>
      <c r="D545">
        <v>2.2110000000000001E-2</v>
      </c>
      <c r="E545">
        <v>2.3120000000000002E-2</v>
      </c>
      <c r="F545">
        <v>36258152.600000001</v>
      </c>
      <c r="G545">
        <v>2.71</v>
      </c>
      <c r="L545" t="s">
        <v>8</v>
      </c>
      <c r="M545" t="s">
        <v>7</v>
      </c>
      <c r="N545" t="s">
        <v>8</v>
      </c>
      <c r="P545">
        <f t="shared" si="984"/>
        <v>0.14124293785310965</v>
      </c>
      <c r="Q545">
        <f t="shared" si="985"/>
        <v>5121207.9943503663</v>
      </c>
      <c r="R545">
        <f t="shared" si="986"/>
        <v>-471075161.29812998</v>
      </c>
      <c r="S545">
        <f t="shared" si="987"/>
        <v>-4710.7516129812993</v>
      </c>
      <c r="T545">
        <f t="shared" si="988"/>
        <v>-4.7107516129812996</v>
      </c>
    </row>
    <row r="546" spans="1:20" x14ac:dyDescent="0.25">
      <c r="A546" s="5">
        <v>44047</v>
      </c>
      <c r="B546">
        <v>2.283E-2</v>
      </c>
      <c r="C546">
        <v>2.29E-2</v>
      </c>
      <c r="D546">
        <v>2.2370000000000001E-2</v>
      </c>
      <c r="E546">
        <v>2.2509999999999999E-2</v>
      </c>
      <c r="F546">
        <v>20170003.300000001</v>
      </c>
      <c r="G546">
        <v>-1.4</v>
      </c>
      <c r="L546" t="s">
        <v>8</v>
      </c>
      <c r="M546" t="s">
        <v>7</v>
      </c>
      <c r="N546" t="s">
        <v>8</v>
      </c>
      <c r="P546">
        <f t="shared" si="984"/>
        <v>-0.47169811320755484</v>
      </c>
      <c r="Q546">
        <f t="shared" si="985"/>
        <v>-9514152.5000001546</v>
      </c>
      <c r="R546">
        <f t="shared" si="986"/>
        <v>-476196369.29248035</v>
      </c>
      <c r="S546">
        <f t="shared" si="987"/>
        <v>-4761.9636929248036</v>
      </c>
      <c r="T546">
        <f t="shared" si="988"/>
        <v>-4.7619636929248035</v>
      </c>
    </row>
    <row r="547" spans="1:20" x14ac:dyDescent="0.25">
      <c r="A547" s="5">
        <v>44046</v>
      </c>
      <c r="B547">
        <v>2.147E-2</v>
      </c>
      <c r="C547">
        <v>2.3310000000000001E-2</v>
      </c>
      <c r="D547">
        <v>2.138E-2</v>
      </c>
      <c r="E547">
        <v>2.282E-2</v>
      </c>
      <c r="F547">
        <v>49178045.799999997</v>
      </c>
      <c r="G547">
        <v>6.29</v>
      </c>
      <c r="L547" t="s">
        <v>8</v>
      </c>
      <c r="M547" t="s">
        <v>7</v>
      </c>
      <c r="N547" t="s">
        <v>8</v>
      </c>
      <c r="P547">
        <f t="shared" si="984"/>
        <v>0.49222797927461082</v>
      </c>
      <c r="Q547">
        <f t="shared" si="985"/>
        <v>24206810.10880826</v>
      </c>
      <c r="R547">
        <f t="shared" si="986"/>
        <v>-466682216.79248017</v>
      </c>
      <c r="S547">
        <f t="shared" si="987"/>
        <v>-4666.8221679248018</v>
      </c>
      <c r="T547">
        <f t="shared" si="988"/>
        <v>-4.6668221679248019</v>
      </c>
    </row>
    <row r="548" spans="1:20" x14ac:dyDescent="0.25">
      <c r="A548" s="5">
        <v>44045</v>
      </c>
      <c r="B548">
        <v>2.2380000000000001E-2</v>
      </c>
      <c r="C548">
        <v>2.2409999999999999E-2</v>
      </c>
      <c r="D548">
        <v>2.0799999999999999E-2</v>
      </c>
      <c r="E548">
        <v>2.1489999999999999E-2</v>
      </c>
      <c r="F548">
        <v>36905546.200000003</v>
      </c>
      <c r="G548">
        <v>-3.98</v>
      </c>
      <c r="L548" t="s">
        <v>7</v>
      </c>
      <c r="M548" t="s">
        <v>7</v>
      </c>
      <c r="N548" t="s">
        <v>8</v>
      </c>
      <c r="P548">
        <f t="shared" si="984"/>
        <v>-0.14285714285714346</v>
      </c>
      <c r="Q548">
        <f t="shared" si="985"/>
        <v>-5272220.8857143084</v>
      </c>
      <c r="R548">
        <f t="shared" si="986"/>
        <v>-490889026.90128845</v>
      </c>
      <c r="S548">
        <f t="shared" si="987"/>
        <v>-4908.8902690128843</v>
      </c>
      <c r="T548">
        <f t="shared" si="988"/>
        <v>-4.9088902690128844</v>
      </c>
    </row>
    <row r="549" spans="1:20" x14ac:dyDescent="0.25">
      <c r="A549" s="5">
        <v>44044</v>
      </c>
      <c r="B549">
        <v>2.3120000000000002E-2</v>
      </c>
      <c r="C549">
        <v>2.3210000000000001E-2</v>
      </c>
      <c r="D549">
        <v>2.198E-2</v>
      </c>
      <c r="E549">
        <v>2.2349999999999998E-2</v>
      </c>
      <c r="F549">
        <v>37100102.899999999</v>
      </c>
      <c r="G549">
        <v>-3.33</v>
      </c>
      <c r="L549" t="s">
        <v>7</v>
      </c>
      <c r="M549" t="s">
        <v>7</v>
      </c>
      <c r="N549" t="s">
        <v>8</v>
      </c>
      <c r="P549">
        <f t="shared" si="984"/>
        <v>-0.39837398373984029</v>
      </c>
      <c r="Q549">
        <f t="shared" si="985"/>
        <v>-14779715.789431</v>
      </c>
      <c r="R549">
        <f t="shared" si="986"/>
        <v>-485616806.01557416</v>
      </c>
      <c r="S549">
        <f t="shared" si="987"/>
        <v>-4856.1680601557418</v>
      </c>
      <c r="T549">
        <f t="shared" si="988"/>
        <v>-4.856168060155742</v>
      </c>
    </row>
    <row r="550" spans="1:20" x14ac:dyDescent="0.25">
      <c r="A550" s="5">
        <v>44043</v>
      </c>
      <c r="B550">
        <v>2.2929999999999999E-2</v>
      </c>
      <c r="C550">
        <v>2.4320000000000001E-2</v>
      </c>
      <c r="D550">
        <v>2.24E-2</v>
      </c>
      <c r="E550">
        <v>2.3120000000000002E-2</v>
      </c>
      <c r="F550">
        <v>56262793.899999999</v>
      </c>
      <c r="G550">
        <v>0.83</v>
      </c>
      <c r="L550" t="s">
        <v>8</v>
      </c>
      <c r="M550" t="s">
        <v>7</v>
      </c>
      <c r="N550" t="s">
        <v>8</v>
      </c>
      <c r="P550">
        <f t="shared" si="984"/>
        <v>-0.24999999999999864</v>
      </c>
      <c r="Q550">
        <f t="shared" si="985"/>
        <v>-14065698.474999923</v>
      </c>
      <c r="R550">
        <f t="shared" si="986"/>
        <v>-470837090.22614318</v>
      </c>
      <c r="S550">
        <f t="shared" si="987"/>
        <v>-4708.3709022614321</v>
      </c>
      <c r="T550">
        <f t="shared" si="988"/>
        <v>-4.7083709022614322</v>
      </c>
    </row>
    <row r="551" spans="1:20" x14ac:dyDescent="0.25">
      <c r="A551" s="5">
        <v>44042</v>
      </c>
      <c r="B551">
        <v>2.171E-2</v>
      </c>
      <c r="C551">
        <v>2.3879999999999998E-2</v>
      </c>
      <c r="D551">
        <v>2.1299999999999999E-2</v>
      </c>
      <c r="E551">
        <v>2.2960000000000001E-2</v>
      </c>
      <c r="F551">
        <v>66976231.600000001</v>
      </c>
      <c r="G551">
        <v>5.76</v>
      </c>
      <c r="L551" t="s">
        <v>7</v>
      </c>
      <c r="M551" t="s">
        <v>7</v>
      </c>
      <c r="N551" t="s">
        <v>8</v>
      </c>
      <c r="P551">
        <f t="shared" si="984"/>
        <v>0.28682170542635849</v>
      </c>
      <c r="Q551">
        <f t="shared" si="985"/>
        <v>19210236.970542762</v>
      </c>
      <c r="R551">
        <f t="shared" si="986"/>
        <v>-456771391.75114328</v>
      </c>
      <c r="S551">
        <f t="shared" si="987"/>
        <v>-4567.7139175114326</v>
      </c>
      <c r="T551">
        <f t="shared" si="988"/>
        <v>-4.5677139175114325</v>
      </c>
    </row>
    <row r="552" spans="1:20" x14ac:dyDescent="0.25">
      <c r="A552" s="5">
        <v>44041</v>
      </c>
      <c r="B552">
        <v>2.341E-2</v>
      </c>
      <c r="C552">
        <v>2.41E-2</v>
      </c>
      <c r="D552">
        <v>2.1239999999999998E-2</v>
      </c>
      <c r="E552">
        <v>2.1700000000000001E-2</v>
      </c>
      <c r="F552">
        <v>51087975.600000001</v>
      </c>
      <c r="G552">
        <v>-7.3</v>
      </c>
      <c r="L552" t="s">
        <v>8</v>
      </c>
      <c r="M552" t="s">
        <v>7</v>
      </c>
      <c r="N552" t="s">
        <v>8</v>
      </c>
      <c r="P552">
        <f t="shared" si="984"/>
        <v>-0.678321678321677</v>
      </c>
      <c r="Q552">
        <f t="shared" si="985"/>
        <v>-34654081.351048887</v>
      </c>
      <c r="R552">
        <f t="shared" si="986"/>
        <v>-475981628.72168607</v>
      </c>
      <c r="S552">
        <f t="shared" si="987"/>
        <v>-4759.8162872168605</v>
      </c>
      <c r="T552">
        <f t="shared" si="988"/>
        <v>-4.7598162872168608</v>
      </c>
    </row>
    <row r="553" spans="1:20" x14ac:dyDescent="0.25">
      <c r="A553" s="5">
        <v>44040</v>
      </c>
      <c r="B553">
        <v>2.0910000000000002E-2</v>
      </c>
      <c r="C553">
        <v>2.351E-2</v>
      </c>
      <c r="D553">
        <v>2.0279999999999999E-2</v>
      </c>
      <c r="E553">
        <v>2.3390000000000001E-2</v>
      </c>
      <c r="F553">
        <v>93238483.5</v>
      </c>
      <c r="G553">
        <v>11.86</v>
      </c>
      <c r="L553" t="s">
        <v>8</v>
      </c>
      <c r="M553" t="s">
        <v>7</v>
      </c>
      <c r="N553" t="s">
        <v>8</v>
      </c>
      <c r="P553">
        <f t="shared" si="984"/>
        <v>0.9256965944272455</v>
      </c>
      <c r="Q553">
        <f t="shared" si="985"/>
        <v>86310546.645510927</v>
      </c>
      <c r="R553">
        <f t="shared" si="986"/>
        <v>-441327547.37063718</v>
      </c>
      <c r="S553">
        <f t="shared" si="987"/>
        <v>-4413.2754737063715</v>
      </c>
      <c r="T553">
        <f t="shared" si="988"/>
        <v>-4.4132754737063715</v>
      </c>
    </row>
    <row r="554" spans="1:20" x14ac:dyDescent="0.25">
      <c r="A554" s="5">
        <v>44039</v>
      </c>
      <c r="B554">
        <v>2.4199999999999999E-2</v>
      </c>
      <c r="C554">
        <v>2.4219999999999998E-2</v>
      </c>
      <c r="D554">
        <v>2.043E-2</v>
      </c>
      <c r="E554">
        <v>2.0879999999999999E-2</v>
      </c>
      <c r="F554">
        <v>117014313.3</v>
      </c>
      <c r="G554">
        <v>-13.72</v>
      </c>
      <c r="L554" t="s">
        <v>7</v>
      </c>
      <c r="M554" t="s">
        <v>7</v>
      </c>
      <c r="N554" t="s">
        <v>8</v>
      </c>
      <c r="P554">
        <f t="shared" si="984"/>
        <v>-0.76253298153034343</v>
      </c>
      <c r="Q554">
        <f t="shared" si="985"/>
        <v>-89227273.202374712</v>
      </c>
      <c r="R554">
        <f t="shared" si="986"/>
        <v>-527638094.01614809</v>
      </c>
      <c r="S554">
        <f t="shared" si="987"/>
        <v>-5276.3809401614808</v>
      </c>
      <c r="T554">
        <f t="shared" si="988"/>
        <v>-5.2763809401614807</v>
      </c>
    </row>
    <row r="555" spans="1:20" x14ac:dyDescent="0.25">
      <c r="A555" s="5">
        <v>44038</v>
      </c>
      <c r="B555">
        <v>2.5780000000000001E-2</v>
      </c>
      <c r="C555">
        <v>2.8000000000000001E-2</v>
      </c>
      <c r="D555">
        <v>2.3619999999999999E-2</v>
      </c>
      <c r="E555">
        <v>2.4199999999999999E-2</v>
      </c>
      <c r="F555">
        <v>147054177.40000001</v>
      </c>
      <c r="G555">
        <v>-6.13</v>
      </c>
      <c r="L555" t="s">
        <v>8</v>
      </c>
      <c r="M555" t="s">
        <v>8</v>
      </c>
      <c r="N555" t="s">
        <v>8</v>
      </c>
      <c r="P555">
        <f t="shared" si="984"/>
        <v>-0.73515981735159797</v>
      </c>
      <c r="Q555">
        <f t="shared" si="985"/>
        <v>-108108322.19817349</v>
      </c>
      <c r="R555">
        <f t="shared" si="986"/>
        <v>-438410820.81377339</v>
      </c>
      <c r="S555">
        <f t="shared" si="987"/>
        <v>-4384.1082081377335</v>
      </c>
      <c r="T555">
        <f t="shared" si="988"/>
        <v>-4.3841082081377332</v>
      </c>
    </row>
    <row r="556" spans="1:20" x14ac:dyDescent="0.25">
      <c r="A556" s="5">
        <v>44037</v>
      </c>
      <c r="B556">
        <v>2.2780000000000002E-2</v>
      </c>
      <c r="C556">
        <v>2.6200000000000001E-2</v>
      </c>
      <c r="D556">
        <v>2.2769999999999999E-2</v>
      </c>
      <c r="E556">
        <v>2.5739999999999999E-2</v>
      </c>
      <c r="F556">
        <v>110206707.59999999</v>
      </c>
      <c r="G556">
        <v>12.99</v>
      </c>
      <c r="L556" t="s">
        <v>8</v>
      </c>
      <c r="M556" t="s">
        <v>8</v>
      </c>
      <c r="N556" t="s">
        <v>7</v>
      </c>
      <c r="P556">
        <f t="shared" si="984"/>
        <v>0.73177842565597562</v>
      </c>
      <c r="Q556">
        <f t="shared" si="985"/>
        <v>80646890.984256431</v>
      </c>
      <c r="R556">
        <f t="shared" si="986"/>
        <v>-330302498.61559993</v>
      </c>
      <c r="S556">
        <f t="shared" si="987"/>
        <v>-3303.0249861559992</v>
      </c>
      <c r="T556">
        <f t="shared" si="988"/>
        <v>-3.3030249861559993</v>
      </c>
    </row>
    <row r="557" spans="1:20" x14ac:dyDescent="0.25">
      <c r="A557" s="5">
        <v>44036</v>
      </c>
      <c r="B557">
        <v>2.2540000000000001E-2</v>
      </c>
      <c r="C557">
        <v>2.3220000000000001E-2</v>
      </c>
      <c r="D557">
        <v>2.1860000000000001E-2</v>
      </c>
      <c r="E557">
        <v>2.2749999999999999E-2</v>
      </c>
      <c r="F557">
        <v>33001965.199999999</v>
      </c>
      <c r="G557">
        <v>0.93</v>
      </c>
      <c r="L557" t="s">
        <v>7</v>
      </c>
      <c r="M557" t="s">
        <v>7</v>
      </c>
      <c r="N557" t="s">
        <v>7</v>
      </c>
      <c r="P557">
        <f t="shared" si="984"/>
        <v>0.30882352941176233</v>
      </c>
      <c r="Q557">
        <f t="shared" si="985"/>
        <v>10191783.370588157</v>
      </c>
      <c r="R557">
        <f t="shared" si="986"/>
        <v>-410949389.59985638</v>
      </c>
      <c r="S557">
        <f t="shared" si="987"/>
        <v>-4109.4938959985639</v>
      </c>
      <c r="T557">
        <f t="shared" si="988"/>
        <v>-4.1094938959985639</v>
      </c>
    </row>
    <row r="558" spans="1:20" x14ac:dyDescent="0.25">
      <c r="A558" s="5">
        <v>44035</v>
      </c>
      <c r="B558">
        <v>2.266E-2</v>
      </c>
      <c r="C558">
        <v>2.3349999999999999E-2</v>
      </c>
      <c r="D558">
        <v>2.2169999999999999E-2</v>
      </c>
      <c r="E558">
        <v>2.2530000000000001E-2</v>
      </c>
      <c r="F558">
        <v>49697628.899999999</v>
      </c>
      <c r="G558">
        <v>-0.56999999999999995</v>
      </c>
      <c r="L558" t="s">
        <v>7</v>
      </c>
      <c r="M558" t="s">
        <v>7</v>
      </c>
      <c r="N558" t="s">
        <v>7</v>
      </c>
      <c r="P558">
        <f t="shared" si="984"/>
        <v>-0.38983050847457201</v>
      </c>
      <c r="Q558">
        <f t="shared" si="985"/>
        <v>-19373651.944067586</v>
      </c>
      <c r="R558">
        <f t="shared" si="986"/>
        <v>-421141172.97044456</v>
      </c>
      <c r="S558">
        <f t="shared" si="987"/>
        <v>-4211.4117297044459</v>
      </c>
      <c r="T558">
        <f t="shared" si="988"/>
        <v>-4.2114117297044462</v>
      </c>
    </row>
    <row r="559" spans="1:20" x14ac:dyDescent="0.25">
      <c r="A559" s="5">
        <v>44034</v>
      </c>
      <c r="B559">
        <v>2.181E-2</v>
      </c>
      <c r="C559">
        <v>2.4230000000000002E-2</v>
      </c>
      <c r="D559">
        <v>2.1659999999999999E-2</v>
      </c>
      <c r="E559">
        <v>2.266E-2</v>
      </c>
      <c r="F559">
        <v>119568276.09999999</v>
      </c>
      <c r="G559">
        <v>3.9</v>
      </c>
      <c r="L559" t="s">
        <v>8</v>
      </c>
      <c r="M559" t="s">
        <v>7</v>
      </c>
      <c r="N559" t="s">
        <v>7</v>
      </c>
      <c r="P559">
        <f t="shared" si="984"/>
        <v>-0.22178988326848265</v>
      </c>
      <c r="Q559">
        <f t="shared" si="985"/>
        <v>-26519033.998832703</v>
      </c>
      <c r="R559">
        <f t="shared" si="986"/>
        <v>-401767521.02637696</v>
      </c>
      <c r="S559">
        <f t="shared" si="987"/>
        <v>-4017.6752102637697</v>
      </c>
      <c r="T559">
        <f t="shared" si="988"/>
        <v>-4.0176752102637696</v>
      </c>
    </row>
    <row r="560" spans="1:20" x14ac:dyDescent="0.25">
      <c r="A560" s="5">
        <v>44033</v>
      </c>
      <c r="B560">
        <v>2.2169999999999999E-2</v>
      </c>
      <c r="C560">
        <v>2.2919999999999999E-2</v>
      </c>
      <c r="D560">
        <v>2.1499999999999998E-2</v>
      </c>
      <c r="E560">
        <v>2.18E-2</v>
      </c>
      <c r="F560">
        <v>49965493.399999999</v>
      </c>
      <c r="G560">
        <v>-1.67</v>
      </c>
      <c r="L560" t="s">
        <v>7</v>
      </c>
      <c r="M560" t="s">
        <v>7</v>
      </c>
      <c r="N560" t="s">
        <v>7</v>
      </c>
      <c r="P560">
        <f t="shared" si="984"/>
        <v>-0.57746478873239238</v>
      </c>
      <c r="Q560">
        <f t="shared" si="985"/>
        <v>-28853313.090140745</v>
      </c>
      <c r="R560">
        <f t="shared" si="986"/>
        <v>-375248487.02754426</v>
      </c>
      <c r="S560">
        <f t="shared" si="987"/>
        <v>-3752.4848702754425</v>
      </c>
      <c r="T560">
        <f t="shared" si="988"/>
        <v>-3.7524848702754423</v>
      </c>
    </row>
    <row r="561" spans="1:104" x14ac:dyDescent="0.25">
      <c r="A561" s="5">
        <v>44032</v>
      </c>
      <c r="B561">
        <v>2.2290000000000001E-2</v>
      </c>
      <c r="C561">
        <v>2.4E-2</v>
      </c>
      <c r="D561">
        <v>2.1780000000000001E-2</v>
      </c>
      <c r="E561">
        <v>2.2249999999999999E-2</v>
      </c>
      <c r="F561">
        <v>92742797.299999997</v>
      </c>
      <c r="G561">
        <v>-0.18</v>
      </c>
      <c r="L561" t="s">
        <v>8</v>
      </c>
      <c r="M561" t="s">
        <v>7</v>
      </c>
      <c r="N561" t="s">
        <v>7</v>
      </c>
      <c r="P561">
        <f t="shared" si="984"/>
        <v>-0.57657657657657813</v>
      </c>
      <c r="Q561">
        <f t="shared" si="985"/>
        <v>-53473324.56936951</v>
      </c>
      <c r="R561">
        <f t="shared" si="986"/>
        <v>-346395173.9374035</v>
      </c>
      <c r="S561">
        <f t="shared" si="987"/>
        <v>-3463.9517393740348</v>
      </c>
      <c r="T561">
        <f t="shared" si="988"/>
        <v>-3.4639517393740347</v>
      </c>
      <c r="CZ561" t="s">
        <v>7</v>
      </c>
    </row>
    <row r="562" spans="1:104" x14ac:dyDescent="0.25">
      <c r="A562" s="5">
        <v>44031</v>
      </c>
      <c r="B562">
        <v>2.2939999999999999E-2</v>
      </c>
      <c r="C562">
        <v>2.376E-2</v>
      </c>
      <c r="D562">
        <v>2.1180000000000001E-2</v>
      </c>
      <c r="E562">
        <v>2.223E-2</v>
      </c>
      <c r="F562">
        <v>84592479.799999997</v>
      </c>
      <c r="G562">
        <v>-3.1</v>
      </c>
      <c r="L562" t="s">
        <v>7</v>
      </c>
      <c r="M562" t="s">
        <v>7</v>
      </c>
      <c r="N562" t="s">
        <v>7</v>
      </c>
      <c r="P562">
        <f t="shared" si="984"/>
        <v>-0.18604651162790753</v>
      </c>
      <c r="Q562">
        <f t="shared" si="985"/>
        <v>-15738135.776744232</v>
      </c>
      <c r="R562">
        <f t="shared" si="986"/>
        <v>-292921849.36803401</v>
      </c>
      <c r="S562">
        <f t="shared" si="987"/>
        <v>-2929.2184936803401</v>
      </c>
      <c r="T562">
        <f t="shared" si="988"/>
        <v>-2.9292184936803403</v>
      </c>
      <c r="CZ562" t="s">
        <v>7</v>
      </c>
    </row>
    <row r="563" spans="1:104" x14ac:dyDescent="0.25">
      <c r="A563" s="5">
        <v>44030</v>
      </c>
      <c r="B563">
        <v>2.367E-2</v>
      </c>
      <c r="C563">
        <v>2.665E-2</v>
      </c>
      <c r="D563">
        <v>2.2610000000000002E-2</v>
      </c>
      <c r="E563">
        <v>2.2859999999999998E-2</v>
      </c>
      <c r="F563">
        <v>164976996.59999999</v>
      </c>
      <c r="G563">
        <v>-3.42</v>
      </c>
      <c r="L563" t="s">
        <v>8</v>
      </c>
      <c r="M563" t="s">
        <v>8</v>
      </c>
      <c r="N563" t="s">
        <v>7</v>
      </c>
      <c r="P563">
        <f t="shared" si="984"/>
        <v>-0.87623762376237779</v>
      </c>
      <c r="Q563">
        <f t="shared" si="985"/>
        <v>-144559051.47623786</v>
      </c>
      <c r="R563">
        <f t="shared" si="986"/>
        <v>-277183713.59128976</v>
      </c>
      <c r="S563">
        <f t="shared" si="987"/>
        <v>-2771.8371359128978</v>
      </c>
      <c r="T563">
        <f t="shared" si="988"/>
        <v>-2.7718371359128979</v>
      </c>
      <c r="CZ563" t="s">
        <v>7</v>
      </c>
    </row>
    <row r="564" spans="1:104" x14ac:dyDescent="0.25">
      <c r="A564" s="5">
        <v>44029</v>
      </c>
      <c r="B564">
        <v>2.036E-2</v>
      </c>
      <c r="C564">
        <v>2.4410000000000001E-2</v>
      </c>
      <c r="D564">
        <v>1.9890000000000001E-2</v>
      </c>
      <c r="E564">
        <v>2.3650000000000001E-2</v>
      </c>
      <c r="F564">
        <v>154080730.69999999</v>
      </c>
      <c r="G564">
        <v>16.16</v>
      </c>
      <c r="L564" t="s">
        <v>8</v>
      </c>
      <c r="M564" t="s">
        <v>8</v>
      </c>
      <c r="N564" t="s">
        <v>7</v>
      </c>
      <c r="P564">
        <f t="shared" si="984"/>
        <v>0.66371681415929185</v>
      </c>
      <c r="Q564">
        <f t="shared" si="985"/>
        <v>102265971.70353979</v>
      </c>
      <c r="R564">
        <f t="shared" si="986"/>
        <v>-132624662.11505187</v>
      </c>
      <c r="S564">
        <f t="shared" si="987"/>
        <v>-1326.2466211505186</v>
      </c>
      <c r="T564">
        <f t="shared" si="988"/>
        <v>-1.3262466211505186</v>
      </c>
    </row>
    <row r="565" spans="1:104" x14ac:dyDescent="0.25">
      <c r="A565" s="5">
        <v>44028</v>
      </c>
      <c r="B565">
        <v>2.281E-2</v>
      </c>
      <c r="C565">
        <v>2.316E-2</v>
      </c>
      <c r="D565">
        <v>2.0070000000000001E-2</v>
      </c>
      <c r="E565">
        <v>2.0389999999999998E-2</v>
      </c>
      <c r="F565">
        <v>99404098.400000006</v>
      </c>
      <c r="G565">
        <v>-10.61</v>
      </c>
      <c r="L565" t="s">
        <v>7</v>
      </c>
      <c r="M565" t="s">
        <v>7</v>
      </c>
      <c r="N565" t="s">
        <v>7</v>
      </c>
      <c r="P565">
        <f t="shared" si="984"/>
        <v>-0.79288025889967806</v>
      </c>
      <c r="Q565">
        <f t="shared" si="985"/>
        <v>-78815547.275081083</v>
      </c>
      <c r="R565">
        <f t="shared" si="986"/>
        <v>-234890633.81859165</v>
      </c>
      <c r="S565">
        <f t="shared" si="987"/>
        <v>-2348.9063381859164</v>
      </c>
      <c r="T565">
        <f t="shared" si="988"/>
        <v>-2.3489063381859165</v>
      </c>
    </row>
    <row r="566" spans="1:104" x14ac:dyDescent="0.25">
      <c r="A566" s="5">
        <v>44027</v>
      </c>
      <c r="B566">
        <v>2.3109999999999999E-2</v>
      </c>
      <c r="C566">
        <v>2.3900000000000001E-2</v>
      </c>
      <c r="D566">
        <v>2.2190000000000001E-2</v>
      </c>
      <c r="E566">
        <v>2.283E-2</v>
      </c>
      <c r="F566">
        <v>75917825.400000006</v>
      </c>
      <c r="G566">
        <v>-1.21</v>
      </c>
      <c r="L566" t="s">
        <v>7</v>
      </c>
      <c r="M566" t="s">
        <v>7</v>
      </c>
      <c r="N566" t="s">
        <v>7</v>
      </c>
      <c r="P566">
        <f t="shared" si="984"/>
        <v>-0.25146198830409555</v>
      </c>
      <c r="Q566">
        <f t="shared" si="985"/>
        <v>-19090447.32280717</v>
      </c>
      <c r="R566">
        <f t="shared" si="986"/>
        <v>-156075086.54351056</v>
      </c>
      <c r="S566">
        <f t="shared" si="987"/>
        <v>-1560.7508654351057</v>
      </c>
      <c r="T566">
        <f t="shared" si="988"/>
        <v>-1.5607508654351057</v>
      </c>
    </row>
    <row r="567" spans="1:104" x14ac:dyDescent="0.25">
      <c r="A567" s="5">
        <v>44026</v>
      </c>
      <c r="B567">
        <v>2.3820000000000001E-2</v>
      </c>
      <c r="C567">
        <v>2.4219999999999998E-2</v>
      </c>
      <c r="D567">
        <v>2.2239999999999999E-2</v>
      </c>
      <c r="E567">
        <v>2.3120000000000002E-2</v>
      </c>
      <c r="F567">
        <v>97618244.5</v>
      </c>
      <c r="G567">
        <v>-2.94</v>
      </c>
      <c r="L567" t="s">
        <v>8</v>
      </c>
      <c r="M567" t="s">
        <v>7</v>
      </c>
      <c r="N567" t="s">
        <v>7</v>
      </c>
      <c r="P567">
        <f t="shared" si="984"/>
        <v>-0.11111111111110838</v>
      </c>
      <c r="Q567">
        <f t="shared" si="985"/>
        <v>-10846471.611110846</v>
      </c>
      <c r="R567">
        <f t="shared" si="986"/>
        <v>-136984639.22070339</v>
      </c>
      <c r="S567">
        <f t="shared" si="987"/>
        <v>-1369.8463922070339</v>
      </c>
      <c r="T567">
        <f t="shared" si="988"/>
        <v>-1.3698463922070339</v>
      </c>
    </row>
    <row r="568" spans="1:104" x14ac:dyDescent="0.25">
      <c r="A568" s="5">
        <v>44025</v>
      </c>
      <c r="B568">
        <v>2.4150000000000001E-2</v>
      </c>
      <c r="C568">
        <v>2.5940000000000001E-2</v>
      </c>
      <c r="D568">
        <v>2.179E-2</v>
      </c>
      <c r="E568">
        <v>2.3820000000000001E-2</v>
      </c>
      <c r="F568">
        <v>275080261.69999999</v>
      </c>
      <c r="G568">
        <v>-1.37</v>
      </c>
      <c r="L568" t="s">
        <v>7</v>
      </c>
      <c r="M568" t="s">
        <v>7</v>
      </c>
      <c r="N568" t="s">
        <v>7</v>
      </c>
      <c r="P568">
        <f t="shared" si="984"/>
        <v>-2.1686746987951755E-2</v>
      </c>
      <c r="Q568">
        <f t="shared" si="985"/>
        <v>-5965596.0368674556</v>
      </c>
      <c r="R568">
        <f t="shared" si="986"/>
        <v>-126138167.60959256</v>
      </c>
      <c r="S568">
        <f t="shared" si="987"/>
        <v>-1261.3816760959255</v>
      </c>
      <c r="T568">
        <f t="shared" si="988"/>
        <v>-1.2613816760959256</v>
      </c>
    </row>
    <row r="569" spans="1:104" x14ac:dyDescent="0.25">
      <c r="A569" s="5">
        <v>44024</v>
      </c>
      <c r="B569">
        <v>2.81E-2</v>
      </c>
      <c r="C569">
        <v>2.87E-2</v>
      </c>
      <c r="D569">
        <v>2.3859999999999999E-2</v>
      </c>
      <c r="E569">
        <v>2.4140000000000002E-2</v>
      </c>
      <c r="F569">
        <v>147646252.09999999</v>
      </c>
      <c r="G569">
        <v>-14.09</v>
      </c>
      <c r="L569" t="s">
        <v>7</v>
      </c>
      <c r="M569" t="s">
        <v>7</v>
      </c>
      <c r="N569" t="s">
        <v>7</v>
      </c>
      <c r="P569">
        <f t="shared" si="984"/>
        <v>-0.88429752066115597</v>
      </c>
      <c r="Q569">
        <f t="shared" si="985"/>
        <v>-130563214.66694199</v>
      </c>
      <c r="R569">
        <f t="shared" si="986"/>
        <v>-120172571.5727251</v>
      </c>
      <c r="S569">
        <f t="shared" si="987"/>
        <v>-1201.7257157272511</v>
      </c>
      <c r="T569">
        <f t="shared" si="988"/>
        <v>-1.2017257157272512</v>
      </c>
    </row>
    <row r="570" spans="1:104" x14ac:dyDescent="0.25">
      <c r="A570" s="5">
        <v>44023</v>
      </c>
      <c r="B570">
        <v>3.6490000000000002E-2</v>
      </c>
      <c r="C570">
        <v>3.6519999999999997E-2</v>
      </c>
      <c r="D570">
        <v>2.7650000000000001E-2</v>
      </c>
      <c r="E570">
        <v>2.8160000000000001E-2</v>
      </c>
      <c r="F570">
        <v>183023859.09999999</v>
      </c>
      <c r="G570">
        <v>-22.83</v>
      </c>
      <c r="L570" t="s">
        <v>7</v>
      </c>
      <c r="M570" t="s">
        <v>7</v>
      </c>
      <c r="N570" t="s">
        <v>7</v>
      </c>
      <c r="P570">
        <f t="shared" si="984"/>
        <v>-0.88500563697857937</v>
      </c>
      <c r="Q570">
        <f t="shared" si="985"/>
        <v>-161977147.00507325</v>
      </c>
      <c r="R570">
        <f t="shared" si="986"/>
        <v>10390643.094216883</v>
      </c>
      <c r="S570">
        <f t="shared" si="987"/>
        <v>103.90643094216883</v>
      </c>
      <c r="T570">
        <f t="shared" si="988"/>
        <v>0.10390643094216882</v>
      </c>
    </row>
    <row r="571" spans="1:104" x14ac:dyDescent="0.25">
      <c r="A571" s="5">
        <v>44022</v>
      </c>
      <c r="B571">
        <v>2.673E-2</v>
      </c>
      <c r="C571">
        <v>3.9820000000000001E-2</v>
      </c>
      <c r="D571">
        <v>2.5180000000000001E-2</v>
      </c>
      <c r="E571">
        <v>3.6420000000000001E-2</v>
      </c>
      <c r="F571">
        <v>1172666743.5</v>
      </c>
      <c r="G571">
        <v>36.25</v>
      </c>
      <c r="L571" t="s">
        <v>8</v>
      </c>
      <c r="M571" t="s">
        <v>8</v>
      </c>
      <c r="N571" t="s">
        <v>8</v>
      </c>
      <c r="P571">
        <f t="shared" si="984"/>
        <v>0.53551912568306004</v>
      </c>
      <c r="Q571">
        <f t="shared" si="985"/>
        <v>627985469.1967212</v>
      </c>
      <c r="R571">
        <f t="shared" si="986"/>
        <v>172367790.09929013</v>
      </c>
      <c r="S571">
        <f t="shared" si="987"/>
        <v>1723.6779009929014</v>
      </c>
      <c r="T571">
        <f t="shared" si="988"/>
        <v>1.7236779009929015</v>
      </c>
    </row>
    <row r="572" spans="1:104" x14ac:dyDescent="0.25">
      <c r="A572" s="5">
        <v>44021</v>
      </c>
      <c r="B572">
        <v>1.515E-2</v>
      </c>
      <c r="C572">
        <v>2.8209999999999999E-2</v>
      </c>
      <c r="D572">
        <v>1.431E-2</v>
      </c>
      <c r="E572">
        <v>2.665E-2</v>
      </c>
      <c r="F572">
        <v>607766365.20000005</v>
      </c>
      <c r="G572">
        <v>75.91</v>
      </c>
      <c r="L572" t="s">
        <v>8</v>
      </c>
      <c r="M572" t="s">
        <v>8</v>
      </c>
      <c r="N572" t="s">
        <v>8</v>
      </c>
      <c r="P572">
        <f t="shared" si="984"/>
        <v>0.77553956834532389</v>
      </c>
      <c r="Q572">
        <f t="shared" si="985"/>
        <v>471346864.5220145</v>
      </c>
      <c r="R572">
        <f t="shared" si="986"/>
        <v>-455617679.09743106</v>
      </c>
      <c r="S572">
        <f t="shared" si="987"/>
        <v>-4556.1767909743103</v>
      </c>
      <c r="T572">
        <f t="shared" si="988"/>
        <v>-4.5561767909743107</v>
      </c>
    </row>
    <row r="573" spans="1:104" x14ac:dyDescent="0.25">
      <c r="A573" s="5">
        <v>44020</v>
      </c>
      <c r="B573">
        <v>1.3480000000000001E-2</v>
      </c>
      <c r="C573">
        <v>1.5900000000000001E-2</v>
      </c>
      <c r="D573">
        <v>1.34E-2</v>
      </c>
      <c r="E573">
        <v>1.516E-2</v>
      </c>
      <c r="F573">
        <v>64900242.700000003</v>
      </c>
      <c r="G573">
        <v>12.46</v>
      </c>
      <c r="L573" t="s">
        <v>8</v>
      </c>
      <c r="M573" t="s">
        <v>8</v>
      </c>
      <c r="N573" t="s">
        <v>8</v>
      </c>
      <c r="P573">
        <f t="shared" si="984"/>
        <v>0.40799999999999925</v>
      </c>
      <c r="Q573">
        <f t="shared" si="985"/>
        <v>26479299.021599952</v>
      </c>
      <c r="R573">
        <f t="shared" si="986"/>
        <v>-926964543.61944556</v>
      </c>
      <c r="S573">
        <f t="shared" si="987"/>
        <v>-9269.6454361944561</v>
      </c>
      <c r="T573">
        <f t="shared" si="988"/>
        <v>-9.2696454361944554</v>
      </c>
    </row>
    <row r="574" spans="1:104" x14ac:dyDescent="0.25">
      <c r="A574" s="5">
        <v>44019</v>
      </c>
      <c r="B574">
        <v>1.366E-2</v>
      </c>
      <c r="C574">
        <v>1.372E-2</v>
      </c>
      <c r="D574">
        <v>1.337E-2</v>
      </c>
      <c r="E574">
        <v>1.3469999999999999E-2</v>
      </c>
      <c r="F574">
        <v>9251632.5999999996</v>
      </c>
      <c r="G574">
        <v>-1.39</v>
      </c>
      <c r="L574" t="s">
        <v>7</v>
      </c>
      <c r="M574" t="s">
        <v>8</v>
      </c>
      <c r="N574" t="s">
        <v>8</v>
      </c>
      <c r="P574">
        <f t="shared" si="984"/>
        <v>-0.42857142857143138</v>
      </c>
      <c r="Q574">
        <f t="shared" si="985"/>
        <v>-3964985.400000026</v>
      </c>
      <c r="R574">
        <f t="shared" si="986"/>
        <v>-953443842.64104557</v>
      </c>
      <c r="S574">
        <f t="shared" si="987"/>
        <v>-9534.4384264104556</v>
      </c>
      <c r="T574">
        <f t="shared" si="988"/>
        <v>-9.5344384264104551</v>
      </c>
    </row>
    <row r="575" spans="1:104" x14ac:dyDescent="0.25">
      <c r="A575" s="5">
        <v>44018</v>
      </c>
      <c r="B575">
        <v>1.345E-2</v>
      </c>
      <c r="C575">
        <v>1.37E-2</v>
      </c>
      <c r="D575">
        <v>1.325E-2</v>
      </c>
      <c r="E575">
        <v>1.366E-2</v>
      </c>
      <c r="F575">
        <v>26814382.5</v>
      </c>
      <c r="G575">
        <v>1.56</v>
      </c>
      <c r="L575" t="s">
        <v>7</v>
      </c>
      <c r="M575" t="s">
        <v>8</v>
      </c>
      <c r="N575" t="s">
        <v>8</v>
      </c>
      <c r="P575">
        <f t="shared" si="984"/>
        <v>0.82222222222222208</v>
      </c>
      <c r="Q575">
        <f t="shared" si="985"/>
        <v>22047381.166666664</v>
      </c>
      <c r="R575">
        <f t="shared" si="986"/>
        <v>-949478857.24104559</v>
      </c>
      <c r="S575">
        <f t="shared" si="987"/>
        <v>-9494.7885724104563</v>
      </c>
      <c r="T575">
        <f t="shared" si="988"/>
        <v>-9.4947885724104566</v>
      </c>
    </row>
    <row r="576" spans="1:104" x14ac:dyDescent="0.25">
      <c r="A576" s="5">
        <v>44017</v>
      </c>
      <c r="B576">
        <v>1.353E-2</v>
      </c>
      <c r="C576">
        <v>1.383E-2</v>
      </c>
      <c r="D576">
        <v>1.298E-2</v>
      </c>
      <c r="E576">
        <v>1.346E-2</v>
      </c>
      <c r="F576">
        <v>21377287</v>
      </c>
      <c r="G576">
        <v>-0.52</v>
      </c>
      <c r="L576" t="s">
        <v>7</v>
      </c>
      <c r="M576" t="s">
        <v>8</v>
      </c>
      <c r="N576" t="s">
        <v>8</v>
      </c>
      <c r="P576">
        <f t="shared" si="984"/>
        <v>0.12941176470588114</v>
      </c>
      <c r="Q576">
        <f t="shared" si="985"/>
        <v>2766472.4352940917</v>
      </c>
      <c r="R576">
        <f t="shared" si="986"/>
        <v>-971526238.40771222</v>
      </c>
      <c r="S576">
        <f t="shared" si="987"/>
        <v>-9715.262384077123</v>
      </c>
      <c r="T576">
        <f t="shared" si="988"/>
        <v>-9.7152623840771231</v>
      </c>
    </row>
    <row r="577" spans="1:20" x14ac:dyDescent="0.25">
      <c r="A577" s="5">
        <v>44016</v>
      </c>
      <c r="B577">
        <v>1.353E-2</v>
      </c>
      <c r="C577">
        <v>1.3950000000000001E-2</v>
      </c>
      <c r="D577">
        <v>1.325E-2</v>
      </c>
      <c r="E577">
        <v>1.353E-2</v>
      </c>
      <c r="F577">
        <v>13349405</v>
      </c>
      <c r="G577">
        <v>0</v>
      </c>
      <c r="L577" t="s">
        <v>8</v>
      </c>
      <c r="M577" t="s">
        <v>8</v>
      </c>
      <c r="N577" t="s">
        <v>8</v>
      </c>
      <c r="P577">
        <f t="shared" si="984"/>
        <v>-0.19999999999999901</v>
      </c>
      <c r="Q577">
        <f t="shared" si="985"/>
        <v>-2669880.999999987</v>
      </c>
      <c r="R577">
        <f t="shared" si="986"/>
        <v>-974292710.84300625</v>
      </c>
      <c r="S577">
        <f t="shared" si="987"/>
        <v>-9742.9271084300617</v>
      </c>
      <c r="T577">
        <f t="shared" si="988"/>
        <v>-9.7429271084300613</v>
      </c>
    </row>
    <row r="578" spans="1:20" x14ac:dyDescent="0.25">
      <c r="A578" s="5">
        <v>44015</v>
      </c>
      <c r="B578">
        <v>1.304E-2</v>
      </c>
      <c r="C578">
        <v>1.3690000000000001E-2</v>
      </c>
      <c r="D578">
        <v>1.3010000000000001E-2</v>
      </c>
      <c r="E578">
        <v>1.354E-2</v>
      </c>
      <c r="F578">
        <v>13256121</v>
      </c>
      <c r="G578">
        <v>3.83</v>
      </c>
      <c r="L578" t="s">
        <v>8</v>
      </c>
      <c r="M578" t="s">
        <v>8</v>
      </c>
      <c r="N578" t="s">
        <v>8</v>
      </c>
      <c r="P578">
        <f t="shared" si="984"/>
        <v>0.55882352941176228</v>
      </c>
      <c r="Q578">
        <f t="shared" si="985"/>
        <v>7407832.3235293794</v>
      </c>
      <c r="R578">
        <f t="shared" si="986"/>
        <v>-971622829.84300625</v>
      </c>
      <c r="S578">
        <f t="shared" si="987"/>
        <v>-9716.2282984300618</v>
      </c>
      <c r="T578">
        <f t="shared" si="988"/>
        <v>-9.7162282984300621</v>
      </c>
    </row>
    <row r="579" spans="1:20" x14ac:dyDescent="0.25">
      <c r="A579" s="5">
        <v>44014</v>
      </c>
      <c r="B579">
        <v>1.3650000000000001E-2</v>
      </c>
      <c r="C579">
        <v>1.367E-2</v>
      </c>
      <c r="D579">
        <v>1.2800000000000001E-2</v>
      </c>
      <c r="E579">
        <v>1.303E-2</v>
      </c>
      <c r="F579">
        <v>18917021.399999999</v>
      </c>
      <c r="G579">
        <v>-4.54</v>
      </c>
      <c r="L579" t="s">
        <v>7</v>
      </c>
      <c r="M579" t="s">
        <v>8</v>
      </c>
      <c r="N579" t="s">
        <v>8</v>
      </c>
      <c r="P579">
        <f t="shared" si="984"/>
        <v>-0.4712643678160931</v>
      </c>
      <c r="Q579">
        <f t="shared" si="985"/>
        <v>-8914918.1310345046</v>
      </c>
      <c r="R579">
        <f t="shared" si="986"/>
        <v>-979030662.16653562</v>
      </c>
      <c r="S579">
        <f t="shared" si="987"/>
        <v>-9790.3066216653569</v>
      </c>
      <c r="T579">
        <f t="shared" si="988"/>
        <v>-9.7903066216653567</v>
      </c>
    </row>
    <row r="580" spans="1:20" x14ac:dyDescent="0.25">
      <c r="A580" s="5">
        <v>44013</v>
      </c>
      <c r="B580">
        <v>1.3809999999999999E-2</v>
      </c>
      <c r="C580">
        <v>1.388E-2</v>
      </c>
      <c r="D580">
        <v>1.306E-2</v>
      </c>
      <c r="E580">
        <v>1.3639999999999999E-2</v>
      </c>
      <c r="F580">
        <v>20910783.100000001</v>
      </c>
      <c r="G580">
        <v>-1.23</v>
      </c>
      <c r="L580" t="s">
        <v>7</v>
      </c>
      <c r="M580" t="s">
        <v>8</v>
      </c>
      <c r="N580" t="s">
        <v>8</v>
      </c>
      <c r="P580">
        <f t="shared" si="984"/>
        <v>0.41463414634146156</v>
      </c>
      <c r="Q580">
        <f t="shared" si="985"/>
        <v>8670324.699999962</v>
      </c>
      <c r="R580">
        <f t="shared" si="986"/>
        <v>-970115744.03550112</v>
      </c>
      <c r="S580">
        <f t="shared" si="987"/>
        <v>-9701.1574403550112</v>
      </c>
      <c r="T580">
        <f t="shared" si="988"/>
        <v>-9.7011574403550114</v>
      </c>
    </row>
    <row r="581" spans="1:20" x14ac:dyDescent="0.25">
      <c r="A581" s="5">
        <v>44012</v>
      </c>
      <c r="B581">
        <v>1.261E-2</v>
      </c>
      <c r="C581">
        <v>1.4200000000000001E-2</v>
      </c>
      <c r="D581">
        <v>1.256E-2</v>
      </c>
      <c r="E581">
        <v>1.3809999999999999E-2</v>
      </c>
      <c r="F581">
        <v>29328734.5</v>
      </c>
      <c r="G581">
        <v>9.52</v>
      </c>
      <c r="L581" t="s">
        <v>8</v>
      </c>
      <c r="M581" t="s">
        <v>8</v>
      </c>
      <c r="N581" t="s">
        <v>8</v>
      </c>
      <c r="P581">
        <f t="shared" si="984"/>
        <v>0.52439024390243749</v>
      </c>
      <c r="Q581">
        <f t="shared" si="985"/>
        <v>15379702.237804834</v>
      </c>
      <c r="R581">
        <f t="shared" si="986"/>
        <v>-978786068.73550105</v>
      </c>
      <c r="S581">
        <f t="shared" si="987"/>
        <v>-9787.8606873550107</v>
      </c>
      <c r="T581">
        <f t="shared" si="988"/>
        <v>-9.7878606873550105</v>
      </c>
    </row>
    <row r="582" spans="1:20" x14ac:dyDescent="0.25">
      <c r="A582" s="5">
        <v>44011</v>
      </c>
      <c r="B582">
        <v>1.2120000000000001E-2</v>
      </c>
      <c r="C582">
        <v>1.2749999999999999E-2</v>
      </c>
      <c r="D582">
        <v>1.204E-2</v>
      </c>
      <c r="E582">
        <v>1.26E-2</v>
      </c>
      <c r="F582">
        <v>9587811.5</v>
      </c>
      <c r="G582">
        <v>3.96</v>
      </c>
      <c r="L582" t="s">
        <v>8</v>
      </c>
      <c r="M582" t="s">
        <v>7</v>
      </c>
      <c r="N582" t="s">
        <v>8</v>
      </c>
      <c r="P582">
        <f t="shared" ref="P582:P645" si="989">IF(C582=D582,0,((E582-D582)-(C582-E582))/(C582-D582))</f>
        <v>0.57746478873239626</v>
      </c>
      <c r="Q582">
        <f t="shared" ref="Q582:Q645" si="990">F582*P582</f>
        <v>5536623.542253539</v>
      </c>
      <c r="R582">
        <f t="shared" ref="R582:R645" si="991">R583+Q582</f>
        <v>-994165770.97330594</v>
      </c>
      <c r="S582">
        <f t="shared" ref="S582:S645" si="992">R582/100000</f>
        <v>-9941.6577097330592</v>
      </c>
      <c r="T582">
        <f t="shared" ref="T582:T645" si="993">S582/1000</f>
        <v>-9.9416577097330592</v>
      </c>
    </row>
    <row r="583" spans="1:20" x14ac:dyDescent="0.25">
      <c r="A583" s="5">
        <v>44010</v>
      </c>
      <c r="B583">
        <v>1.1780000000000001E-2</v>
      </c>
      <c r="C583">
        <v>1.251E-2</v>
      </c>
      <c r="D583">
        <v>1.1599999999999999E-2</v>
      </c>
      <c r="E583">
        <v>1.213E-2</v>
      </c>
      <c r="F583">
        <v>11764559.1</v>
      </c>
      <c r="G583">
        <v>2.97</v>
      </c>
      <c r="L583" t="s">
        <v>8</v>
      </c>
      <c r="M583" t="s">
        <v>7</v>
      </c>
      <c r="N583" t="s">
        <v>8</v>
      </c>
      <c r="P583">
        <f t="shared" si="989"/>
        <v>0.16483516483516555</v>
      </c>
      <c r="Q583">
        <f t="shared" si="990"/>
        <v>1939213.0384615469</v>
      </c>
      <c r="R583">
        <f t="shared" si="991"/>
        <v>-999702394.51555943</v>
      </c>
      <c r="S583">
        <f t="shared" si="992"/>
        <v>-9997.0239451555935</v>
      </c>
      <c r="T583">
        <f t="shared" si="993"/>
        <v>-9.9970239451555933</v>
      </c>
    </row>
    <row r="584" spans="1:20" x14ac:dyDescent="0.25">
      <c r="A584" s="5">
        <v>44009</v>
      </c>
      <c r="B584">
        <v>1.2919999999999999E-2</v>
      </c>
      <c r="C584">
        <v>1.2999999999999999E-2</v>
      </c>
      <c r="D584">
        <v>1.1339999999999999E-2</v>
      </c>
      <c r="E584">
        <v>1.179E-2</v>
      </c>
      <c r="F584">
        <v>28413465.800000001</v>
      </c>
      <c r="G584">
        <v>-8.75</v>
      </c>
      <c r="L584" t="s">
        <v>7</v>
      </c>
      <c r="M584" t="s">
        <v>7</v>
      </c>
      <c r="N584" t="s">
        <v>8</v>
      </c>
      <c r="P584">
        <f t="shared" si="989"/>
        <v>-0.45783132530120391</v>
      </c>
      <c r="Q584">
        <f t="shared" si="990"/>
        <v>-13008574.703614432</v>
      </c>
      <c r="R584">
        <f t="shared" si="991"/>
        <v>-1001641607.554021</v>
      </c>
      <c r="S584">
        <f t="shared" si="992"/>
        <v>-10016.41607554021</v>
      </c>
      <c r="T584">
        <f t="shared" si="993"/>
        <v>-10.01641607554021</v>
      </c>
    </row>
    <row r="585" spans="1:20" x14ac:dyDescent="0.25">
      <c r="A585" s="5">
        <v>44008</v>
      </c>
      <c r="B585">
        <v>1.3390000000000001E-2</v>
      </c>
      <c r="C585">
        <v>1.341E-2</v>
      </c>
      <c r="D585">
        <v>1.274E-2</v>
      </c>
      <c r="E585">
        <v>1.291E-2</v>
      </c>
      <c r="F585">
        <v>12684472.5</v>
      </c>
      <c r="G585">
        <v>-3.58</v>
      </c>
      <c r="L585" t="s">
        <v>8</v>
      </c>
      <c r="M585" t="s">
        <v>7</v>
      </c>
      <c r="N585" t="s">
        <v>8</v>
      </c>
      <c r="P585">
        <f t="shared" si="989"/>
        <v>-0.49253731343283613</v>
      </c>
      <c r="Q585">
        <f t="shared" si="990"/>
        <v>-6247576.0074626906</v>
      </c>
      <c r="R585">
        <f t="shared" si="991"/>
        <v>-988633032.85040653</v>
      </c>
      <c r="S585">
        <f t="shared" si="992"/>
        <v>-9886.3303285040656</v>
      </c>
      <c r="T585">
        <f t="shared" si="993"/>
        <v>-9.8863303285040658</v>
      </c>
    </row>
    <row r="586" spans="1:20" x14ac:dyDescent="0.25">
      <c r="A586" s="5">
        <v>44007</v>
      </c>
      <c r="B586">
        <v>1.268E-2</v>
      </c>
      <c r="C586">
        <v>1.3390000000000001E-2</v>
      </c>
      <c r="D586">
        <v>1.217E-2</v>
      </c>
      <c r="E586">
        <v>1.338E-2</v>
      </c>
      <c r="F586">
        <v>19287845.300000001</v>
      </c>
      <c r="G586">
        <v>5.52</v>
      </c>
      <c r="L586" t="s">
        <v>7</v>
      </c>
      <c r="M586" t="s">
        <v>7</v>
      </c>
      <c r="N586" t="s">
        <v>8</v>
      </c>
      <c r="P586">
        <f t="shared" si="989"/>
        <v>0.98360655737704705</v>
      </c>
      <c r="Q586">
        <f t="shared" si="990"/>
        <v>18971651.114754058</v>
      </c>
      <c r="R586">
        <f t="shared" si="991"/>
        <v>-982385456.84294379</v>
      </c>
      <c r="S586">
        <f t="shared" si="992"/>
        <v>-9823.8545684294386</v>
      </c>
      <c r="T586">
        <f t="shared" si="993"/>
        <v>-9.8238545684294394</v>
      </c>
    </row>
    <row r="587" spans="1:20" x14ac:dyDescent="0.25">
      <c r="A587" s="5">
        <v>44006</v>
      </c>
      <c r="B587">
        <v>1.3469999999999999E-2</v>
      </c>
      <c r="C587">
        <v>1.37E-2</v>
      </c>
      <c r="D587">
        <v>1.235E-2</v>
      </c>
      <c r="E587">
        <v>1.268E-2</v>
      </c>
      <c r="F587">
        <v>20697510.600000001</v>
      </c>
      <c r="G587">
        <v>-5.86</v>
      </c>
      <c r="L587" t="s">
        <v>7</v>
      </c>
      <c r="M587" t="s">
        <v>7</v>
      </c>
      <c r="N587" t="s">
        <v>8</v>
      </c>
      <c r="P587">
        <f t="shared" si="989"/>
        <v>-0.51111111111111063</v>
      </c>
      <c r="Q587">
        <f t="shared" si="990"/>
        <v>-10578727.639999991</v>
      </c>
      <c r="R587">
        <f t="shared" si="991"/>
        <v>-1001357107.9576979</v>
      </c>
      <c r="S587">
        <f t="shared" si="992"/>
        <v>-10013.571079576979</v>
      </c>
      <c r="T587">
        <f t="shared" si="993"/>
        <v>-10.013571079576979</v>
      </c>
    </row>
    <row r="588" spans="1:20" x14ac:dyDescent="0.25">
      <c r="A588" s="5">
        <v>44005</v>
      </c>
      <c r="B588">
        <v>1.366E-2</v>
      </c>
      <c r="C588">
        <v>1.3780000000000001E-2</v>
      </c>
      <c r="D588">
        <v>1.328E-2</v>
      </c>
      <c r="E588">
        <v>1.3469999999999999E-2</v>
      </c>
      <c r="F588">
        <v>11887850.4</v>
      </c>
      <c r="G588">
        <v>-1.39</v>
      </c>
      <c r="L588" t="s">
        <v>7</v>
      </c>
      <c r="M588" t="s">
        <v>8</v>
      </c>
      <c r="N588" t="s">
        <v>8</v>
      </c>
      <c r="P588">
        <f t="shared" si="989"/>
        <v>-0.24000000000000388</v>
      </c>
      <c r="Q588">
        <f t="shared" si="990"/>
        <v>-2853084.096000046</v>
      </c>
      <c r="R588">
        <f t="shared" si="991"/>
        <v>-990778380.31769788</v>
      </c>
      <c r="S588">
        <f t="shared" si="992"/>
        <v>-9907.7838031769788</v>
      </c>
      <c r="T588">
        <f t="shared" si="993"/>
        <v>-9.9077838031769794</v>
      </c>
    </row>
    <row r="589" spans="1:20" x14ac:dyDescent="0.25">
      <c r="A589" s="5">
        <v>44004</v>
      </c>
      <c r="B589">
        <v>1.379E-2</v>
      </c>
      <c r="C589">
        <v>1.4069999999999999E-2</v>
      </c>
      <c r="D589">
        <v>1.336E-2</v>
      </c>
      <c r="E589">
        <v>1.363E-2</v>
      </c>
      <c r="F589">
        <v>20596089.699999999</v>
      </c>
      <c r="G589">
        <v>-1.1599999999999999</v>
      </c>
      <c r="L589" t="s">
        <v>7</v>
      </c>
      <c r="M589" t="s">
        <v>8</v>
      </c>
      <c r="N589" t="s">
        <v>8</v>
      </c>
      <c r="P589">
        <f t="shared" si="989"/>
        <v>-0.23943661971831026</v>
      </c>
      <c r="Q589">
        <f t="shared" si="990"/>
        <v>-4931458.0971831065</v>
      </c>
      <c r="R589">
        <f t="shared" si="991"/>
        <v>-987925296.22169781</v>
      </c>
      <c r="S589">
        <f t="shared" si="992"/>
        <v>-9879.2529622169786</v>
      </c>
      <c r="T589">
        <f t="shared" si="993"/>
        <v>-9.8792529622169791</v>
      </c>
    </row>
    <row r="590" spans="1:20" x14ac:dyDescent="0.25">
      <c r="A590" s="5">
        <v>44003</v>
      </c>
      <c r="B590">
        <v>1.41E-2</v>
      </c>
      <c r="C590">
        <v>1.4120000000000001E-2</v>
      </c>
      <c r="D590">
        <v>1.362E-2</v>
      </c>
      <c r="E590">
        <v>1.379E-2</v>
      </c>
      <c r="F590">
        <v>18854662.100000001</v>
      </c>
      <c r="G590">
        <v>-2.2000000000000002</v>
      </c>
      <c r="L590" t="s">
        <v>7</v>
      </c>
      <c r="M590" t="s">
        <v>8</v>
      </c>
      <c r="N590" t="s">
        <v>8</v>
      </c>
      <c r="P590">
        <f t="shared" si="989"/>
        <v>-0.32000000000000056</v>
      </c>
      <c r="Q590">
        <f t="shared" si="990"/>
        <v>-6033491.8720000107</v>
      </c>
      <c r="R590">
        <f t="shared" si="991"/>
        <v>-982993838.1245147</v>
      </c>
      <c r="S590">
        <f t="shared" si="992"/>
        <v>-9829.938381245147</v>
      </c>
      <c r="T590">
        <f t="shared" si="993"/>
        <v>-9.8299383812451477</v>
      </c>
    </row>
    <row r="591" spans="1:20" x14ac:dyDescent="0.25">
      <c r="A591" s="5">
        <v>44002</v>
      </c>
      <c r="B591">
        <v>1.4239999999999999E-2</v>
      </c>
      <c r="C591">
        <v>1.444E-2</v>
      </c>
      <c r="D591">
        <v>1.3979999999999999E-2</v>
      </c>
      <c r="E591">
        <v>1.41E-2</v>
      </c>
      <c r="F591">
        <v>21194350.600000001</v>
      </c>
      <c r="G591">
        <v>-0.98</v>
      </c>
      <c r="L591" t="s">
        <v>8</v>
      </c>
      <c r="M591" t="s">
        <v>8</v>
      </c>
      <c r="N591" t="s">
        <v>8</v>
      </c>
      <c r="P591">
        <f t="shared" si="989"/>
        <v>-0.47826086956521641</v>
      </c>
      <c r="Q591">
        <f t="shared" si="990"/>
        <v>-10136428.547826067</v>
      </c>
      <c r="R591">
        <f t="shared" si="991"/>
        <v>-976960346.25251472</v>
      </c>
      <c r="S591">
        <f t="shared" si="992"/>
        <v>-9769.6034625251468</v>
      </c>
      <c r="T591">
        <f t="shared" si="993"/>
        <v>-9.7696034625251471</v>
      </c>
    </row>
    <row r="592" spans="1:20" x14ac:dyDescent="0.25">
      <c r="A592" s="5">
        <v>44001</v>
      </c>
      <c r="B592">
        <v>1.4319999999999999E-2</v>
      </c>
      <c r="C592">
        <v>1.4930000000000001E-2</v>
      </c>
      <c r="D592">
        <v>1.3650000000000001E-2</v>
      </c>
      <c r="E592">
        <v>1.4250000000000001E-2</v>
      </c>
      <c r="F592">
        <v>47436130.200000003</v>
      </c>
      <c r="G592">
        <v>-0.49</v>
      </c>
      <c r="L592" t="s">
        <v>8</v>
      </c>
      <c r="M592" t="s">
        <v>8</v>
      </c>
      <c r="N592" t="s">
        <v>8</v>
      </c>
      <c r="P592">
        <f t="shared" si="989"/>
        <v>-6.2500000000000167E-2</v>
      </c>
      <c r="Q592">
        <f t="shared" si="990"/>
        <v>-2964758.1375000081</v>
      </c>
      <c r="R592">
        <f t="shared" si="991"/>
        <v>-966823917.70468867</v>
      </c>
      <c r="S592">
        <f t="shared" si="992"/>
        <v>-9668.2391770468876</v>
      </c>
      <c r="T592">
        <f t="shared" si="993"/>
        <v>-9.6682391770468872</v>
      </c>
    </row>
    <row r="593" spans="1:20" x14ac:dyDescent="0.25">
      <c r="A593" s="5">
        <v>44000</v>
      </c>
      <c r="B593">
        <v>1.38E-2</v>
      </c>
      <c r="C593">
        <v>1.44E-2</v>
      </c>
      <c r="D593">
        <v>1.3259999999999999E-2</v>
      </c>
      <c r="E593">
        <v>1.431E-2</v>
      </c>
      <c r="F593">
        <v>54890767.899999999</v>
      </c>
      <c r="G593">
        <v>3.7</v>
      </c>
      <c r="L593" t="s">
        <v>7</v>
      </c>
      <c r="M593" t="s">
        <v>8</v>
      </c>
      <c r="N593" t="s">
        <v>8</v>
      </c>
      <c r="P593">
        <f t="shared" si="989"/>
        <v>0.84210526315789513</v>
      </c>
      <c r="Q593">
        <f t="shared" si="990"/>
        <v>46223804.547368445</v>
      </c>
      <c r="R593">
        <f t="shared" si="991"/>
        <v>-963859159.56718862</v>
      </c>
      <c r="S593">
        <f t="shared" si="992"/>
        <v>-9638.5915956718854</v>
      </c>
      <c r="T593">
        <f t="shared" si="993"/>
        <v>-9.6385915956718851</v>
      </c>
    </row>
    <row r="594" spans="1:20" x14ac:dyDescent="0.25">
      <c r="A594" s="5">
        <v>43999</v>
      </c>
      <c r="B594">
        <v>1.3520000000000001E-2</v>
      </c>
      <c r="C594">
        <v>1.525E-2</v>
      </c>
      <c r="D594">
        <v>1.3050000000000001E-2</v>
      </c>
      <c r="E594">
        <v>1.3809999999999999E-2</v>
      </c>
      <c r="F594">
        <v>127814262.40000001</v>
      </c>
      <c r="G594">
        <v>2.14</v>
      </c>
      <c r="L594" t="s">
        <v>8</v>
      </c>
      <c r="M594" t="s">
        <v>8</v>
      </c>
      <c r="N594" t="s">
        <v>8</v>
      </c>
      <c r="P594">
        <f t="shared" si="989"/>
        <v>-0.30909090909091008</v>
      </c>
      <c r="Q594">
        <f t="shared" si="990"/>
        <v>-39506226.560000129</v>
      </c>
      <c r="R594">
        <f t="shared" si="991"/>
        <v>-1010082964.114557</v>
      </c>
      <c r="S594">
        <f t="shared" si="992"/>
        <v>-10100.82964114557</v>
      </c>
      <c r="T594">
        <f t="shared" si="993"/>
        <v>-10.10082964114557</v>
      </c>
    </row>
    <row r="595" spans="1:20" x14ac:dyDescent="0.25">
      <c r="A595" s="5">
        <v>43998</v>
      </c>
      <c r="B595">
        <v>1.242E-2</v>
      </c>
      <c r="C595">
        <v>1.413E-2</v>
      </c>
      <c r="D595">
        <v>1.238E-2</v>
      </c>
      <c r="E595">
        <v>1.35E-2</v>
      </c>
      <c r="F595">
        <v>47181876.399999999</v>
      </c>
      <c r="G595">
        <v>8.6999999999999993</v>
      </c>
      <c r="L595" t="s">
        <v>8</v>
      </c>
      <c r="M595" t="s">
        <v>8</v>
      </c>
      <c r="N595" t="s">
        <v>8</v>
      </c>
      <c r="P595">
        <f t="shared" si="989"/>
        <v>0.27999999999999953</v>
      </c>
      <c r="Q595">
        <f t="shared" si="990"/>
        <v>13210925.391999977</v>
      </c>
      <c r="R595">
        <f t="shared" si="991"/>
        <v>-970576737.55455685</v>
      </c>
      <c r="S595">
        <f t="shared" si="992"/>
        <v>-9705.7673755455689</v>
      </c>
      <c r="T595">
        <f t="shared" si="993"/>
        <v>-9.7057673755455696</v>
      </c>
    </row>
    <row r="596" spans="1:20" x14ac:dyDescent="0.25">
      <c r="A596" s="5">
        <v>43997</v>
      </c>
      <c r="B596">
        <v>1.2279999999999999E-2</v>
      </c>
      <c r="C596">
        <v>1.2449999999999999E-2</v>
      </c>
      <c r="D596">
        <v>1.106E-2</v>
      </c>
      <c r="E596">
        <v>1.243E-2</v>
      </c>
      <c r="F596">
        <v>27677423.199999999</v>
      </c>
      <c r="G596">
        <v>1.22</v>
      </c>
      <c r="L596" t="s">
        <v>7</v>
      </c>
      <c r="M596" t="s">
        <v>7</v>
      </c>
      <c r="N596" t="s">
        <v>8</v>
      </c>
      <c r="P596">
        <f t="shared" si="989"/>
        <v>0.97122302158273499</v>
      </c>
      <c r="Q596">
        <f t="shared" si="990"/>
        <v>26880950.589928091</v>
      </c>
      <c r="R596">
        <f t="shared" si="991"/>
        <v>-983787662.94655681</v>
      </c>
      <c r="S596">
        <f t="shared" si="992"/>
        <v>-9837.8766294655688</v>
      </c>
      <c r="T596">
        <f t="shared" si="993"/>
        <v>-9.8378766294655691</v>
      </c>
    </row>
    <row r="597" spans="1:20" x14ac:dyDescent="0.25">
      <c r="A597" s="5">
        <v>43996</v>
      </c>
      <c r="B597">
        <v>1.302E-2</v>
      </c>
      <c r="C597">
        <v>1.324E-2</v>
      </c>
      <c r="D597">
        <v>1.2160000000000001E-2</v>
      </c>
      <c r="E597">
        <v>1.226E-2</v>
      </c>
      <c r="F597">
        <v>15833375.9</v>
      </c>
      <c r="G597">
        <v>-5.84</v>
      </c>
      <c r="L597" t="s">
        <v>7</v>
      </c>
      <c r="M597" t="s">
        <v>7</v>
      </c>
      <c r="N597" t="s">
        <v>8</v>
      </c>
      <c r="P597">
        <f t="shared" si="989"/>
        <v>-0.81481481481481588</v>
      </c>
      <c r="Q597">
        <f t="shared" si="990"/>
        <v>-12901269.25185187</v>
      </c>
      <c r="R597">
        <f t="shared" si="991"/>
        <v>-1010668613.5364848</v>
      </c>
      <c r="S597">
        <f t="shared" si="992"/>
        <v>-10106.686135364849</v>
      </c>
      <c r="T597">
        <f t="shared" si="993"/>
        <v>-10.10668613536485</v>
      </c>
    </row>
    <row r="598" spans="1:20" x14ac:dyDescent="0.25">
      <c r="A598" s="5">
        <v>43995</v>
      </c>
      <c r="B598">
        <v>1.274E-2</v>
      </c>
      <c r="C598">
        <v>1.3140000000000001E-2</v>
      </c>
      <c r="D598">
        <v>1.2710000000000001E-2</v>
      </c>
      <c r="E598">
        <v>1.303E-2</v>
      </c>
      <c r="F598">
        <v>14854355.800000001</v>
      </c>
      <c r="G598">
        <v>2.2799999999999998</v>
      </c>
      <c r="L598" t="s">
        <v>8</v>
      </c>
      <c r="M598" t="s">
        <v>7</v>
      </c>
      <c r="N598" t="s">
        <v>8</v>
      </c>
      <c r="P598">
        <f t="shared" si="989"/>
        <v>0.48837209302325224</v>
      </c>
      <c r="Q598">
        <f t="shared" si="990"/>
        <v>7254452.8325580871</v>
      </c>
      <c r="R598">
        <f t="shared" si="991"/>
        <v>-997767344.28463292</v>
      </c>
      <c r="S598">
        <f t="shared" si="992"/>
        <v>-9977.6734428463296</v>
      </c>
      <c r="T598">
        <f t="shared" si="993"/>
        <v>-9.9776734428463296</v>
      </c>
    </row>
    <row r="599" spans="1:20" x14ac:dyDescent="0.25">
      <c r="A599" s="5">
        <v>43994</v>
      </c>
      <c r="B599">
        <v>1.2149999999999999E-2</v>
      </c>
      <c r="C599">
        <v>1.298E-2</v>
      </c>
      <c r="D599">
        <v>1.2019999999999999E-2</v>
      </c>
      <c r="E599">
        <v>1.2749999999999999E-2</v>
      </c>
      <c r="F599">
        <v>17580316.100000001</v>
      </c>
      <c r="G599">
        <v>4.9400000000000004</v>
      </c>
      <c r="L599" t="s">
        <v>7</v>
      </c>
      <c r="M599" t="s">
        <v>7</v>
      </c>
      <c r="N599" t="s">
        <v>8</v>
      </c>
      <c r="P599">
        <f t="shared" si="989"/>
        <v>0.52083333333333159</v>
      </c>
      <c r="Q599">
        <f t="shared" si="990"/>
        <v>9156414.6354166362</v>
      </c>
      <c r="R599">
        <f t="shared" si="991"/>
        <v>-1005021797.117191</v>
      </c>
      <c r="S599">
        <f t="shared" si="992"/>
        <v>-10050.217971171909</v>
      </c>
      <c r="T599">
        <f t="shared" si="993"/>
        <v>-10.050217971171909</v>
      </c>
    </row>
    <row r="600" spans="1:20" x14ac:dyDescent="0.25">
      <c r="A600" s="5">
        <v>43993</v>
      </c>
      <c r="B600">
        <v>1.3469999999999999E-2</v>
      </c>
      <c r="C600">
        <v>1.421E-2</v>
      </c>
      <c r="D600">
        <v>1.209E-2</v>
      </c>
      <c r="E600">
        <v>1.214E-2</v>
      </c>
      <c r="F600">
        <v>58719092</v>
      </c>
      <c r="G600">
        <v>-9.8699999999999992</v>
      </c>
      <c r="L600" t="s">
        <v>8</v>
      </c>
      <c r="M600" t="s">
        <v>7</v>
      </c>
      <c r="N600" t="s">
        <v>8</v>
      </c>
      <c r="P600">
        <f t="shared" si="989"/>
        <v>-0.95283018867924563</v>
      </c>
      <c r="Q600">
        <f t="shared" si="990"/>
        <v>-55949323.509433985</v>
      </c>
      <c r="R600">
        <f t="shared" si="991"/>
        <v>-1014178211.7526076</v>
      </c>
      <c r="S600">
        <f t="shared" si="992"/>
        <v>-10141.782117526076</v>
      </c>
      <c r="T600">
        <f t="shared" si="993"/>
        <v>-10.141782117526075</v>
      </c>
    </row>
    <row r="601" spans="1:20" x14ac:dyDescent="0.25">
      <c r="A601" s="5">
        <v>43992</v>
      </c>
      <c r="B601">
        <v>1.34E-2</v>
      </c>
      <c r="C601">
        <v>1.391E-2</v>
      </c>
      <c r="D601">
        <v>1.2529999999999999E-2</v>
      </c>
      <c r="E601">
        <v>1.3469999999999999E-2</v>
      </c>
      <c r="F601">
        <v>41986407.200000003</v>
      </c>
      <c r="G601">
        <v>0.52</v>
      </c>
      <c r="L601" t="s">
        <v>8</v>
      </c>
      <c r="M601" t="s">
        <v>8</v>
      </c>
      <c r="N601" t="s">
        <v>8</v>
      </c>
      <c r="P601">
        <f t="shared" si="989"/>
        <v>0.36231884057970892</v>
      </c>
      <c r="Q601">
        <f t="shared" si="990"/>
        <v>15212466.376811543</v>
      </c>
      <c r="R601">
        <f t="shared" si="991"/>
        <v>-958228888.2431736</v>
      </c>
      <c r="S601">
        <f t="shared" si="992"/>
        <v>-9582.2888824317361</v>
      </c>
      <c r="T601">
        <f t="shared" si="993"/>
        <v>-9.5822888824317367</v>
      </c>
    </row>
    <row r="602" spans="1:20" x14ac:dyDescent="0.25">
      <c r="A602" s="5">
        <v>43991</v>
      </c>
      <c r="B602">
        <v>1.2670000000000001E-2</v>
      </c>
      <c r="C602">
        <v>1.409E-2</v>
      </c>
      <c r="D602">
        <v>1.2529999999999999E-2</v>
      </c>
      <c r="E602">
        <v>1.34E-2</v>
      </c>
      <c r="F602">
        <v>74060686.400000006</v>
      </c>
      <c r="G602">
        <v>5.76</v>
      </c>
      <c r="L602" t="s">
        <v>7</v>
      </c>
      <c r="M602" t="s">
        <v>8</v>
      </c>
      <c r="N602" t="s">
        <v>8</v>
      </c>
      <c r="P602">
        <f t="shared" si="989"/>
        <v>0.1153846153846162</v>
      </c>
      <c r="Q602">
        <f t="shared" si="990"/>
        <v>8545463.8153846767</v>
      </c>
      <c r="R602">
        <f t="shared" si="991"/>
        <v>-973441354.6199851</v>
      </c>
      <c r="S602">
        <f t="shared" si="992"/>
        <v>-9734.4135461998503</v>
      </c>
      <c r="T602">
        <f t="shared" si="993"/>
        <v>-9.7344135461998498</v>
      </c>
    </row>
    <row r="603" spans="1:20" x14ac:dyDescent="0.25">
      <c r="A603" s="5">
        <v>43990</v>
      </c>
      <c r="B603">
        <v>1.221E-2</v>
      </c>
      <c r="C603">
        <v>1.4579999999999999E-2</v>
      </c>
      <c r="D603">
        <v>1.1780000000000001E-2</v>
      </c>
      <c r="E603">
        <v>1.265E-2</v>
      </c>
      <c r="F603">
        <v>162469516.80000001</v>
      </c>
      <c r="G603">
        <v>3.6</v>
      </c>
      <c r="L603" t="s">
        <v>8</v>
      </c>
      <c r="M603" t="s">
        <v>8</v>
      </c>
      <c r="N603" t="s">
        <v>8</v>
      </c>
      <c r="P603">
        <f t="shared" si="989"/>
        <v>-0.37857142857142884</v>
      </c>
      <c r="Q603">
        <f t="shared" si="990"/>
        <v>-61506317.074285761</v>
      </c>
      <c r="R603">
        <f t="shared" si="991"/>
        <v>-981986818.43536973</v>
      </c>
      <c r="S603">
        <f t="shared" si="992"/>
        <v>-9819.8681843536979</v>
      </c>
      <c r="T603">
        <f t="shared" si="993"/>
        <v>-9.8198681843536981</v>
      </c>
    </row>
    <row r="604" spans="1:20" x14ac:dyDescent="0.25">
      <c r="A604" s="5">
        <v>43989</v>
      </c>
      <c r="B604">
        <v>1.132E-2</v>
      </c>
      <c r="C604">
        <v>1.2279999999999999E-2</v>
      </c>
      <c r="D604">
        <v>1.1299999999999999E-2</v>
      </c>
      <c r="E604">
        <v>1.2189999999999999E-2</v>
      </c>
      <c r="F604">
        <v>62739995.600000001</v>
      </c>
      <c r="G604">
        <v>7.69</v>
      </c>
      <c r="L604" t="s">
        <v>8</v>
      </c>
      <c r="M604" t="s">
        <v>8</v>
      </c>
      <c r="N604" t="s">
        <v>8</v>
      </c>
      <c r="P604">
        <f t="shared" si="989"/>
        <v>0.81632653061224525</v>
      </c>
      <c r="Q604">
        <f t="shared" si="990"/>
        <v>51216322.938775532</v>
      </c>
      <c r="R604">
        <f t="shared" si="991"/>
        <v>-920480501.36108398</v>
      </c>
      <c r="S604">
        <f t="shared" si="992"/>
        <v>-9204.8050136108395</v>
      </c>
      <c r="T604">
        <f t="shared" si="993"/>
        <v>-9.204805013610839</v>
      </c>
    </row>
    <row r="605" spans="1:20" x14ac:dyDescent="0.25">
      <c r="A605" s="5">
        <v>43988</v>
      </c>
      <c r="B605">
        <v>1.116E-2</v>
      </c>
      <c r="C605">
        <v>1.14E-2</v>
      </c>
      <c r="D605">
        <v>1.0999999999999999E-2</v>
      </c>
      <c r="E605">
        <v>1.132E-2</v>
      </c>
      <c r="F605">
        <v>14877318.1</v>
      </c>
      <c r="G605">
        <v>1.43</v>
      </c>
      <c r="L605" t="s">
        <v>8</v>
      </c>
      <c r="M605" t="s">
        <v>8</v>
      </c>
      <c r="N605" t="s">
        <v>8</v>
      </c>
      <c r="P605">
        <f t="shared" si="989"/>
        <v>0.6</v>
      </c>
      <c r="Q605">
        <f t="shared" si="990"/>
        <v>8926390.8599999994</v>
      </c>
      <c r="R605">
        <f t="shared" si="991"/>
        <v>-971696824.29985952</v>
      </c>
      <c r="S605">
        <f t="shared" si="992"/>
        <v>-9716.9682429985951</v>
      </c>
      <c r="T605">
        <f t="shared" si="993"/>
        <v>-9.7169682429985951</v>
      </c>
    </row>
    <row r="606" spans="1:20" x14ac:dyDescent="0.25">
      <c r="A606" s="5">
        <v>43987</v>
      </c>
      <c r="B606">
        <v>1.119E-2</v>
      </c>
      <c r="C606">
        <v>1.145E-2</v>
      </c>
      <c r="D606">
        <v>1.112E-2</v>
      </c>
      <c r="E606">
        <v>1.1169999999999999E-2</v>
      </c>
      <c r="F606">
        <v>13192017</v>
      </c>
      <c r="G606">
        <v>-0.18</v>
      </c>
      <c r="L606" t="s">
        <v>8</v>
      </c>
      <c r="M606" t="s">
        <v>8</v>
      </c>
      <c r="N606" t="s">
        <v>8</v>
      </c>
      <c r="P606">
        <f t="shared" si="989"/>
        <v>-0.69696969696969924</v>
      </c>
      <c r="Q606">
        <f t="shared" si="990"/>
        <v>-9194436.0909091216</v>
      </c>
      <c r="R606">
        <f t="shared" si="991"/>
        <v>-980623215.15985954</v>
      </c>
      <c r="S606">
        <f t="shared" si="992"/>
        <v>-9806.232151598595</v>
      </c>
      <c r="T606">
        <f t="shared" si="993"/>
        <v>-9.8062321515985946</v>
      </c>
    </row>
    <row r="607" spans="1:20" x14ac:dyDescent="0.25">
      <c r="A607" s="5">
        <v>43986</v>
      </c>
      <c r="B607">
        <v>1.132E-2</v>
      </c>
      <c r="C607">
        <v>1.1509999999999999E-2</v>
      </c>
      <c r="D607">
        <v>1.098E-2</v>
      </c>
      <c r="E607">
        <v>1.119E-2</v>
      </c>
      <c r="F607">
        <v>24585290.5</v>
      </c>
      <c r="G607">
        <v>-1.1499999999999999</v>
      </c>
      <c r="L607" t="s">
        <v>8</v>
      </c>
      <c r="M607" t="s">
        <v>8</v>
      </c>
      <c r="N607" t="s">
        <v>8</v>
      </c>
      <c r="P607">
        <f t="shared" si="989"/>
        <v>-0.20754716981131915</v>
      </c>
      <c r="Q607">
        <f t="shared" si="990"/>
        <v>-5102607.4622641113</v>
      </c>
      <c r="R607">
        <f t="shared" si="991"/>
        <v>-971428779.06895041</v>
      </c>
      <c r="S607">
        <f t="shared" si="992"/>
        <v>-9714.2877906895046</v>
      </c>
      <c r="T607">
        <f t="shared" si="993"/>
        <v>-9.7142877906895038</v>
      </c>
    </row>
    <row r="608" spans="1:20" x14ac:dyDescent="0.25">
      <c r="A608" s="5">
        <v>43985</v>
      </c>
      <c r="B608">
        <v>1.0840000000000001E-2</v>
      </c>
      <c r="C608">
        <v>1.1509999999999999E-2</v>
      </c>
      <c r="D608">
        <v>1.069E-2</v>
      </c>
      <c r="E608">
        <v>1.1339999999999999E-2</v>
      </c>
      <c r="F608">
        <v>29953340.600000001</v>
      </c>
      <c r="G608">
        <v>4.6100000000000003</v>
      </c>
      <c r="L608" t="s">
        <v>8</v>
      </c>
      <c r="M608" t="s">
        <v>8</v>
      </c>
      <c r="N608" t="s">
        <v>8</v>
      </c>
      <c r="P608">
        <f t="shared" si="989"/>
        <v>0.58536585365853633</v>
      </c>
      <c r="Q608">
        <f t="shared" si="990"/>
        <v>17533662.790243894</v>
      </c>
      <c r="R608">
        <f t="shared" si="991"/>
        <v>-966326171.60668635</v>
      </c>
      <c r="S608">
        <f t="shared" si="992"/>
        <v>-9663.2617160668633</v>
      </c>
      <c r="T608">
        <f t="shared" si="993"/>
        <v>-9.663261716066863</v>
      </c>
    </row>
    <row r="609" spans="1:20" x14ac:dyDescent="0.25">
      <c r="A609" s="5">
        <v>43984</v>
      </c>
      <c r="B609">
        <v>1.103E-2</v>
      </c>
      <c r="C609">
        <v>1.132E-2</v>
      </c>
      <c r="D609">
        <v>1.0330000000000001E-2</v>
      </c>
      <c r="E609">
        <v>1.0829999999999999E-2</v>
      </c>
      <c r="F609">
        <v>29457410.5</v>
      </c>
      <c r="G609">
        <v>-1.81</v>
      </c>
      <c r="L609" t="s">
        <v>7</v>
      </c>
      <c r="M609" t="s">
        <v>8</v>
      </c>
      <c r="N609" t="s">
        <v>8</v>
      </c>
      <c r="P609">
        <f t="shared" si="989"/>
        <v>1.0101010101007942E-2</v>
      </c>
      <c r="Q609">
        <f t="shared" si="990"/>
        <v>297549.60101003741</v>
      </c>
      <c r="R609">
        <f t="shared" si="991"/>
        <v>-983859834.39693022</v>
      </c>
      <c r="S609">
        <f t="shared" si="992"/>
        <v>-9838.5983439693027</v>
      </c>
      <c r="T609">
        <f t="shared" si="993"/>
        <v>-9.8385983439693021</v>
      </c>
    </row>
    <row r="610" spans="1:20" x14ac:dyDescent="0.25">
      <c r="A610" s="5">
        <v>43983</v>
      </c>
      <c r="B610">
        <v>1.09E-2</v>
      </c>
      <c r="C610">
        <v>1.112E-2</v>
      </c>
      <c r="D610">
        <v>1.0699999999999999E-2</v>
      </c>
      <c r="E610">
        <v>1.103E-2</v>
      </c>
      <c r="F610">
        <v>32666145.600000001</v>
      </c>
      <c r="G610">
        <v>1.19</v>
      </c>
      <c r="L610" t="s">
        <v>7</v>
      </c>
      <c r="M610" t="s">
        <v>8</v>
      </c>
      <c r="N610" t="s">
        <v>8</v>
      </c>
      <c r="P610">
        <f t="shared" si="989"/>
        <v>0.57142857142857262</v>
      </c>
      <c r="Q610">
        <f t="shared" si="990"/>
        <v>18666368.914285753</v>
      </c>
      <c r="R610">
        <f t="shared" si="991"/>
        <v>-984157383.9979403</v>
      </c>
      <c r="S610">
        <f t="shared" si="992"/>
        <v>-9841.5738399794027</v>
      </c>
      <c r="T610">
        <f t="shared" si="993"/>
        <v>-9.8415738399794019</v>
      </c>
    </row>
    <row r="611" spans="1:20" x14ac:dyDescent="0.25">
      <c r="A611" s="5">
        <v>43982</v>
      </c>
      <c r="B611">
        <v>1.149E-2</v>
      </c>
      <c r="C611">
        <v>1.163E-2</v>
      </c>
      <c r="D611">
        <v>1.081E-2</v>
      </c>
      <c r="E611">
        <v>1.089E-2</v>
      </c>
      <c r="F611">
        <v>26562384.699999999</v>
      </c>
      <c r="G611">
        <v>-5.22</v>
      </c>
      <c r="L611" t="s">
        <v>8</v>
      </c>
      <c r="M611" t="s">
        <v>8</v>
      </c>
      <c r="N611" t="s">
        <v>8</v>
      </c>
      <c r="P611">
        <f t="shared" si="989"/>
        <v>-0.80487804878048719</v>
      </c>
      <c r="Q611">
        <f t="shared" si="990"/>
        <v>-21379480.368292667</v>
      </c>
      <c r="R611">
        <f t="shared" si="991"/>
        <v>-1002823752.9122261</v>
      </c>
      <c r="S611">
        <f t="shared" si="992"/>
        <v>-10028.237529122262</v>
      </c>
      <c r="T611">
        <f t="shared" si="993"/>
        <v>-10.028237529122261</v>
      </c>
    </row>
    <row r="612" spans="1:20" x14ac:dyDescent="0.25">
      <c r="A612" s="5">
        <v>43981</v>
      </c>
      <c r="B612">
        <v>1.1089999999999999E-2</v>
      </c>
      <c r="C612">
        <v>1.157E-2</v>
      </c>
      <c r="D612">
        <v>1.0959999999999999E-2</v>
      </c>
      <c r="E612">
        <v>1.1509999999999999E-2</v>
      </c>
      <c r="F612">
        <v>24316960.199999999</v>
      </c>
      <c r="G612">
        <v>3.79</v>
      </c>
      <c r="L612" t="s">
        <v>7</v>
      </c>
      <c r="M612" t="s">
        <v>8</v>
      </c>
      <c r="N612" t="s">
        <v>8</v>
      </c>
      <c r="P612">
        <f t="shared" si="989"/>
        <v>0.80327868852458717</v>
      </c>
      <c r="Q612">
        <f t="shared" si="990"/>
        <v>19533295.898360584</v>
      </c>
      <c r="R612">
        <f t="shared" si="991"/>
        <v>-981444272.54393339</v>
      </c>
      <c r="S612">
        <f t="shared" si="992"/>
        <v>-9814.442725439334</v>
      </c>
      <c r="T612">
        <f t="shared" si="993"/>
        <v>-9.8144427254393332</v>
      </c>
    </row>
    <row r="613" spans="1:20" x14ac:dyDescent="0.25">
      <c r="A613" s="5">
        <v>43980</v>
      </c>
      <c r="B613">
        <v>1.102E-2</v>
      </c>
      <c r="C613">
        <v>1.1259999999999999E-2</v>
      </c>
      <c r="D613">
        <v>1.09E-2</v>
      </c>
      <c r="E613">
        <v>1.108E-2</v>
      </c>
      <c r="F613">
        <v>21100347.5</v>
      </c>
      <c r="G613">
        <v>0.54</v>
      </c>
      <c r="L613" t="s">
        <v>7</v>
      </c>
      <c r="M613" t="s">
        <v>8</v>
      </c>
      <c r="N613" t="s">
        <v>8</v>
      </c>
      <c r="P613">
        <f t="shared" si="989"/>
        <v>0</v>
      </c>
      <c r="Q613">
        <f t="shared" si="990"/>
        <v>0</v>
      </c>
      <c r="R613">
        <f t="shared" si="991"/>
        <v>-1000977568.442294</v>
      </c>
      <c r="S613">
        <f t="shared" si="992"/>
        <v>-10009.775684422941</v>
      </c>
      <c r="T613">
        <f t="shared" si="993"/>
        <v>-10.009775684422941</v>
      </c>
    </row>
    <row r="614" spans="1:20" x14ac:dyDescent="0.25">
      <c r="A614" s="5">
        <v>43979</v>
      </c>
      <c r="B614">
        <v>1.094E-2</v>
      </c>
      <c r="C614">
        <v>1.124E-2</v>
      </c>
      <c r="D614">
        <v>1.0840000000000001E-2</v>
      </c>
      <c r="E614">
        <v>1.102E-2</v>
      </c>
      <c r="F614">
        <v>26637552.300000001</v>
      </c>
      <c r="G614">
        <v>0.73</v>
      </c>
      <c r="L614" t="s">
        <v>7</v>
      </c>
      <c r="M614" t="s">
        <v>8</v>
      </c>
      <c r="N614" t="s">
        <v>8</v>
      </c>
      <c r="P614">
        <f t="shared" si="989"/>
        <v>-0.10000000000000044</v>
      </c>
      <c r="Q614">
        <f t="shared" si="990"/>
        <v>-2663755.2300000116</v>
      </c>
      <c r="R614">
        <f t="shared" si="991"/>
        <v>-1000977568.442294</v>
      </c>
      <c r="S614">
        <f t="shared" si="992"/>
        <v>-10009.775684422941</v>
      </c>
      <c r="T614">
        <f t="shared" si="993"/>
        <v>-10.009775684422941</v>
      </c>
    </row>
    <row r="615" spans="1:20" x14ac:dyDescent="0.25">
      <c r="A615" s="5">
        <v>43978</v>
      </c>
      <c r="B615">
        <v>1.1050000000000001E-2</v>
      </c>
      <c r="C615">
        <v>1.123E-2</v>
      </c>
      <c r="D615">
        <v>1.073E-2</v>
      </c>
      <c r="E615">
        <v>1.094E-2</v>
      </c>
      <c r="F615">
        <v>39581767.899999999</v>
      </c>
      <c r="G615">
        <v>-1</v>
      </c>
      <c r="L615" t="s">
        <v>7</v>
      </c>
      <c r="M615" t="s">
        <v>8</v>
      </c>
      <c r="N615" t="s">
        <v>8</v>
      </c>
      <c r="P615">
        <f t="shared" si="989"/>
        <v>-0.16000000000000028</v>
      </c>
      <c r="Q615">
        <f t="shared" si="990"/>
        <v>-6333082.8640000112</v>
      </c>
      <c r="R615">
        <f t="shared" si="991"/>
        <v>-998313813.21229398</v>
      </c>
      <c r="S615">
        <f t="shared" si="992"/>
        <v>-9983.1381321229401</v>
      </c>
      <c r="T615">
        <f t="shared" si="993"/>
        <v>-9.9831381321229404</v>
      </c>
    </row>
    <row r="616" spans="1:20" x14ac:dyDescent="0.25">
      <c r="A616" s="5">
        <v>43977</v>
      </c>
      <c r="B616">
        <v>1.1209999999999999E-2</v>
      </c>
      <c r="C616">
        <v>1.1639999999999999E-2</v>
      </c>
      <c r="D616">
        <v>1.0869999999999999E-2</v>
      </c>
      <c r="E616">
        <v>1.1050000000000001E-2</v>
      </c>
      <c r="F616">
        <v>33018671</v>
      </c>
      <c r="G616">
        <v>-1.43</v>
      </c>
      <c r="L616" t="s">
        <v>7</v>
      </c>
      <c r="M616" t="s">
        <v>8</v>
      </c>
      <c r="N616" t="s">
        <v>8</v>
      </c>
      <c r="P616">
        <f t="shared" si="989"/>
        <v>-0.53246753246752887</v>
      </c>
      <c r="Q616">
        <f t="shared" si="990"/>
        <v>-17581370.272727154</v>
      </c>
      <c r="R616">
        <f t="shared" si="991"/>
        <v>-991980730.34829402</v>
      </c>
      <c r="S616">
        <f t="shared" si="992"/>
        <v>-9919.8073034829395</v>
      </c>
      <c r="T616">
        <f t="shared" si="993"/>
        <v>-9.9198073034829388</v>
      </c>
    </row>
    <row r="617" spans="1:20" x14ac:dyDescent="0.25">
      <c r="A617" s="5">
        <v>43976</v>
      </c>
      <c r="B617">
        <v>1.0460000000000001E-2</v>
      </c>
      <c r="C617">
        <v>1.21E-2</v>
      </c>
      <c r="D617">
        <v>1.0410000000000001E-2</v>
      </c>
      <c r="E617">
        <v>1.123E-2</v>
      </c>
      <c r="F617">
        <v>81560095.200000003</v>
      </c>
      <c r="G617">
        <v>7.36</v>
      </c>
      <c r="L617" t="s">
        <v>8</v>
      </c>
      <c r="M617" t="s">
        <v>8</v>
      </c>
      <c r="N617" t="s">
        <v>8</v>
      </c>
      <c r="P617">
        <f t="shared" si="989"/>
        <v>-2.958579881656789E-2</v>
      </c>
      <c r="Q617">
        <f t="shared" si="990"/>
        <v>-2413020.5680473247</v>
      </c>
      <c r="R617">
        <f t="shared" si="991"/>
        <v>-974399360.07556689</v>
      </c>
      <c r="S617">
        <f t="shared" si="992"/>
        <v>-9743.993600755668</v>
      </c>
      <c r="T617">
        <f t="shared" si="993"/>
        <v>-9.7439936007556689</v>
      </c>
    </row>
    <row r="618" spans="1:20" x14ac:dyDescent="0.25">
      <c r="A618" s="5">
        <v>43975</v>
      </c>
      <c r="B618">
        <v>1.0619999999999999E-2</v>
      </c>
      <c r="C618">
        <v>1.0959999999999999E-2</v>
      </c>
      <c r="D618">
        <v>1.04E-2</v>
      </c>
      <c r="E618">
        <v>1.0489999999999999E-2</v>
      </c>
      <c r="F618">
        <v>27308948.699999999</v>
      </c>
      <c r="G618">
        <v>-1.22</v>
      </c>
      <c r="L618" t="s">
        <v>8</v>
      </c>
      <c r="M618" t="s">
        <v>7</v>
      </c>
      <c r="N618" t="s">
        <v>8</v>
      </c>
      <c r="P618">
        <f t="shared" si="989"/>
        <v>-0.67857142857142916</v>
      </c>
      <c r="Q618">
        <f t="shared" si="990"/>
        <v>-18531072.332142871</v>
      </c>
      <c r="R618">
        <f t="shared" si="991"/>
        <v>-971986339.5075196</v>
      </c>
      <c r="S618">
        <f t="shared" si="992"/>
        <v>-9719.8633950751955</v>
      </c>
      <c r="T618">
        <f t="shared" si="993"/>
        <v>-9.7198633950751958</v>
      </c>
    </row>
    <row r="619" spans="1:20" x14ac:dyDescent="0.25">
      <c r="A619" s="5">
        <v>43974</v>
      </c>
      <c r="B619">
        <v>1.072E-2</v>
      </c>
      <c r="C619">
        <v>1.082E-2</v>
      </c>
      <c r="D619">
        <v>1.0529999999999999E-2</v>
      </c>
      <c r="E619">
        <v>1.06E-2</v>
      </c>
      <c r="F619">
        <v>16322550.4</v>
      </c>
      <c r="G619">
        <v>-1.1200000000000001</v>
      </c>
      <c r="L619" t="s">
        <v>8</v>
      </c>
      <c r="M619" t="s">
        <v>7</v>
      </c>
      <c r="N619" t="s">
        <v>8</v>
      </c>
      <c r="P619">
        <f t="shared" si="989"/>
        <v>-0.51724137931034109</v>
      </c>
      <c r="Q619">
        <f t="shared" si="990"/>
        <v>-8442698.4827585593</v>
      </c>
      <c r="R619">
        <f t="shared" si="991"/>
        <v>-953455267.17537677</v>
      </c>
      <c r="S619">
        <f t="shared" si="992"/>
        <v>-9534.5526717537668</v>
      </c>
      <c r="T619">
        <f t="shared" si="993"/>
        <v>-9.534552671753767</v>
      </c>
    </row>
    <row r="620" spans="1:20" x14ac:dyDescent="0.25">
      <c r="A620" s="5">
        <v>43973</v>
      </c>
      <c r="B620">
        <v>1.01E-2</v>
      </c>
      <c r="C620">
        <v>1.0829999999999999E-2</v>
      </c>
      <c r="D620">
        <v>1.0019999999999999E-2</v>
      </c>
      <c r="E620">
        <v>1.072E-2</v>
      </c>
      <c r="F620">
        <v>28882190.600000001</v>
      </c>
      <c r="G620">
        <v>6.14</v>
      </c>
      <c r="L620" t="s">
        <v>8</v>
      </c>
      <c r="M620" t="s">
        <v>7</v>
      </c>
      <c r="N620" t="s">
        <v>8</v>
      </c>
      <c r="P620">
        <f t="shared" si="989"/>
        <v>0.72839506172839752</v>
      </c>
      <c r="Q620">
        <f t="shared" si="990"/>
        <v>21037645.004938345</v>
      </c>
      <c r="R620">
        <f t="shared" si="991"/>
        <v>-945012568.69261825</v>
      </c>
      <c r="S620">
        <f t="shared" si="992"/>
        <v>-9450.1256869261833</v>
      </c>
      <c r="T620">
        <f t="shared" si="993"/>
        <v>-9.4501256869261834</v>
      </c>
    </row>
    <row r="621" spans="1:20" x14ac:dyDescent="0.25">
      <c r="A621" s="5">
        <v>43972</v>
      </c>
      <c r="B621">
        <v>1.076E-2</v>
      </c>
      <c r="C621">
        <v>1.0880000000000001E-2</v>
      </c>
      <c r="D621">
        <v>9.92E-3</v>
      </c>
      <c r="E621">
        <v>1.01E-2</v>
      </c>
      <c r="F621">
        <v>37365478</v>
      </c>
      <c r="G621">
        <v>-6.13</v>
      </c>
      <c r="L621" t="s">
        <v>7</v>
      </c>
      <c r="M621" t="s">
        <v>7</v>
      </c>
      <c r="N621" t="s">
        <v>8</v>
      </c>
      <c r="P621">
        <f t="shared" si="989"/>
        <v>-0.62500000000000111</v>
      </c>
      <c r="Q621">
        <f t="shared" si="990"/>
        <v>-23353423.750000041</v>
      </c>
      <c r="R621">
        <f t="shared" si="991"/>
        <v>-966050213.69755661</v>
      </c>
      <c r="S621">
        <f t="shared" si="992"/>
        <v>-9660.5021369755668</v>
      </c>
      <c r="T621">
        <f t="shared" si="993"/>
        <v>-9.6605021369755661</v>
      </c>
    </row>
    <row r="622" spans="1:20" x14ac:dyDescent="0.25">
      <c r="A622" s="5">
        <v>43971</v>
      </c>
      <c r="B622">
        <v>1.0829999999999999E-2</v>
      </c>
      <c r="C622">
        <v>1.1140000000000001E-2</v>
      </c>
      <c r="D622">
        <v>1.056E-2</v>
      </c>
      <c r="E622">
        <v>1.077E-2</v>
      </c>
      <c r="F622">
        <v>26759714.800000001</v>
      </c>
      <c r="G622">
        <v>-0.55000000000000004</v>
      </c>
      <c r="L622" t="s">
        <v>7</v>
      </c>
      <c r="M622" t="s">
        <v>7</v>
      </c>
      <c r="N622" t="s">
        <v>8</v>
      </c>
      <c r="P622">
        <f t="shared" si="989"/>
        <v>-0.27586206896551768</v>
      </c>
      <c r="Q622">
        <f t="shared" si="990"/>
        <v>-7381990.2896551844</v>
      </c>
      <c r="R622">
        <f t="shared" si="991"/>
        <v>-942696789.94755661</v>
      </c>
      <c r="S622">
        <f t="shared" si="992"/>
        <v>-9426.9678994755668</v>
      </c>
      <c r="T622">
        <f t="shared" si="993"/>
        <v>-9.4269678994755672</v>
      </c>
    </row>
    <row r="623" spans="1:20" x14ac:dyDescent="0.25">
      <c r="A623" s="5">
        <v>43970</v>
      </c>
      <c r="B623">
        <v>1.0840000000000001E-2</v>
      </c>
      <c r="C623">
        <v>1.094E-2</v>
      </c>
      <c r="D623">
        <v>1.0619999999999999E-2</v>
      </c>
      <c r="E623">
        <v>1.081E-2</v>
      </c>
      <c r="F623">
        <v>27084287.100000001</v>
      </c>
      <c r="G623">
        <v>-0.28000000000000003</v>
      </c>
      <c r="L623" t="s">
        <v>7</v>
      </c>
      <c r="M623" t="s">
        <v>7</v>
      </c>
      <c r="N623" t="s">
        <v>8</v>
      </c>
      <c r="P623">
        <f t="shared" si="989"/>
        <v>0.18750000000000272</v>
      </c>
      <c r="Q623">
        <f t="shared" si="990"/>
        <v>5078303.8312500743</v>
      </c>
      <c r="R623">
        <f t="shared" si="991"/>
        <v>-935314799.65790141</v>
      </c>
      <c r="S623">
        <f t="shared" si="992"/>
        <v>-9353.1479965790149</v>
      </c>
      <c r="T623">
        <f t="shared" si="993"/>
        <v>-9.3531479965790147</v>
      </c>
    </row>
    <row r="624" spans="1:20" x14ac:dyDescent="0.25">
      <c r="A624" s="5">
        <v>43969</v>
      </c>
      <c r="B624">
        <v>1.0840000000000001E-2</v>
      </c>
      <c r="C624">
        <v>1.095E-2</v>
      </c>
      <c r="D624">
        <v>1.038E-2</v>
      </c>
      <c r="E624">
        <v>1.0840000000000001E-2</v>
      </c>
      <c r="F624">
        <v>52814295.100000001</v>
      </c>
      <c r="G624">
        <v>0</v>
      </c>
      <c r="L624" t="s">
        <v>7</v>
      </c>
      <c r="M624" t="s">
        <v>7</v>
      </c>
      <c r="N624" t="s">
        <v>8</v>
      </c>
      <c r="P624">
        <f t="shared" si="989"/>
        <v>0.61403508771930138</v>
      </c>
      <c r="Q624">
        <f t="shared" si="990"/>
        <v>32429830.32456157</v>
      </c>
      <c r="R624">
        <f t="shared" si="991"/>
        <v>-940393103.48915148</v>
      </c>
      <c r="S624">
        <f t="shared" si="992"/>
        <v>-9403.9310348915151</v>
      </c>
      <c r="T624">
        <f t="shared" si="993"/>
        <v>-9.4039310348915155</v>
      </c>
    </row>
    <row r="625" spans="1:20" x14ac:dyDescent="0.25">
      <c r="A625" s="5">
        <v>43968</v>
      </c>
      <c r="B625">
        <v>1.0919999999999999E-2</v>
      </c>
      <c r="C625">
        <v>1.14E-2</v>
      </c>
      <c r="D625">
        <v>1.0800000000000001E-2</v>
      </c>
      <c r="E625">
        <v>1.085E-2</v>
      </c>
      <c r="F625">
        <v>34476900.200000003</v>
      </c>
      <c r="G625">
        <v>-0.64</v>
      </c>
      <c r="L625" t="s">
        <v>7</v>
      </c>
      <c r="M625" t="s">
        <v>7</v>
      </c>
      <c r="N625" t="s">
        <v>8</v>
      </c>
      <c r="P625">
        <f t="shared" si="989"/>
        <v>-0.83333333333333426</v>
      </c>
      <c r="Q625">
        <f t="shared" si="990"/>
        <v>-28730750.166666701</v>
      </c>
      <c r="R625">
        <f t="shared" si="991"/>
        <v>-972822933.81371307</v>
      </c>
      <c r="S625">
        <f t="shared" si="992"/>
        <v>-9728.229338137131</v>
      </c>
      <c r="T625">
        <f t="shared" si="993"/>
        <v>-9.7282293381371314</v>
      </c>
    </row>
    <row r="626" spans="1:20" x14ac:dyDescent="0.25">
      <c r="A626" s="5">
        <v>43967</v>
      </c>
      <c r="B626">
        <v>1.095E-2</v>
      </c>
      <c r="C626">
        <v>1.159E-2</v>
      </c>
      <c r="D626">
        <v>1.0800000000000001E-2</v>
      </c>
      <c r="E626">
        <v>1.095E-2</v>
      </c>
      <c r="F626">
        <v>65242296.899999999</v>
      </c>
      <c r="G626">
        <v>0</v>
      </c>
      <c r="L626" t="s">
        <v>7</v>
      </c>
      <c r="M626" t="s">
        <v>7</v>
      </c>
      <c r="N626" t="s">
        <v>8</v>
      </c>
      <c r="P626">
        <f t="shared" si="989"/>
        <v>-0.62025316455696389</v>
      </c>
      <c r="Q626">
        <f t="shared" si="990"/>
        <v>-40466741.115189992</v>
      </c>
      <c r="R626">
        <f t="shared" si="991"/>
        <v>-944092183.64704633</v>
      </c>
      <c r="S626">
        <f t="shared" si="992"/>
        <v>-9440.9218364704629</v>
      </c>
      <c r="T626">
        <f t="shared" si="993"/>
        <v>-9.4409218364704621</v>
      </c>
    </row>
    <row r="627" spans="1:20" x14ac:dyDescent="0.25">
      <c r="A627" s="5">
        <v>43966</v>
      </c>
      <c r="B627">
        <v>1.2789999999999999E-2</v>
      </c>
      <c r="C627">
        <v>1.306E-2</v>
      </c>
      <c r="D627">
        <v>1.0800000000000001E-2</v>
      </c>
      <c r="E627">
        <v>1.095E-2</v>
      </c>
      <c r="F627">
        <v>201723241.80000001</v>
      </c>
      <c r="G627">
        <v>-14.39</v>
      </c>
      <c r="L627" t="s">
        <v>8</v>
      </c>
      <c r="M627" t="s">
        <v>8</v>
      </c>
      <c r="N627" t="s">
        <v>8</v>
      </c>
      <c r="P627">
        <f t="shared" si="989"/>
        <v>-0.86725663716814239</v>
      </c>
      <c r="Q627">
        <f t="shared" si="990"/>
        <v>-174945820.32212406</v>
      </c>
      <c r="R627">
        <f t="shared" si="991"/>
        <v>-903625442.5318563</v>
      </c>
      <c r="S627">
        <f t="shared" si="992"/>
        <v>-9036.2544253185624</v>
      </c>
      <c r="T627">
        <f t="shared" si="993"/>
        <v>-9.0362544253185622</v>
      </c>
    </row>
    <row r="628" spans="1:20" x14ac:dyDescent="0.25">
      <c r="A628" s="5">
        <v>43965</v>
      </c>
      <c r="B628">
        <v>1.0869999999999999E-2</v>
      </c>
      <c r="C628">
        <v>1.3440000000000001E-2</v>
      </c>
      <c r="D628">
        <v>1.005E-2</v>
      </c>
      <c r="E628">
        <v>1.2789999999999999E-2</v>
      </c>
      <c r="F628">
        <v>183617507.80000001</v>
      </c>
      <c r="G628">
        <v>17.66</v>
      </c>
      <c r="L628" t="s">
        <v>7</v>
      </c>
      <c r="M628" t="s">
        <v>7</v>
      </c>
      <c r="N628" t="s">
        <v>8</v>
      </c>
      <c r="P628">
        <f t="shared" si="989"/>
        <v>0.6165191740412973</v>
      </c>
      <c r="Q628">
        <f t="shared" si="990"/>
        <v>113203714.24837747</v>
      </c>
      <c r="R628">
        <f t="shared" si="991"/>
        <v>-728679622.20973217</v>
      </c>
      <c r="S628">
        <f t="shared" si="992"/>
        <v>-7286.7962220973213</v>
      </c>
      <c r="T628">
        <f t="shared" si="993"/>
        <v>-7.2867962220973217</v>
      </c>
    </row>
    <row r="629" spans="1:20" x14ac:dyDescent="0.25">
      <c r="A629" s="5">
        <v>43964</v>
      </c>
      <c r="B629">
        <v>1.129E-2</v>
      </c>
      <c r="C629">
        <v>1.208E-2</v>
      </c>
      <c r="D629">
        <v>1.055E-2</v>
      </c>
      <c r="E629">
        <v>1.086E-2</v>
      </c>
      <c r="F629">
        <v>175573237.69999999</v>
      </c>
      <c r="G629">
        <v>-3.81</v>
      </c>
      <c r="L629" t="s">
        <v>7</v>
      </c>
      <c r="M629" t="s">
        <v>7</v>
      </c>
      <c r="N629" t="s">
        <v>8</v>
      </c>
      <c r="P629">
        <f t="shared" si="989"/>
        <v>-0.59477124183006602</v>
      </c>
      <c r="Q629">
        <f t="shared" si="990"/>
        <v>-104425912.61895436</v>
      </c>
      <c r="R629">
        <f t="shared" si="991"/>
        <v>-841883336.45810962</v>
      </c>
      <c r="S629">
        <f t="shared" si="992"/>
        <v>-8418.8333645810962</v>
      </c>
      <c r="T629">
        <f t="shared" si="993"/>
        <v>-8.4188333645810971</v>
      </c>
    </row>
    <row r="630" spans="1:20" x14ac:dyDescent="0.25">
      <c r="A630" s="5">
        <v>43963</v>
      </c>
      <c r="B630">
        <v>1.214E-2</v>
      </c>
      <c r="C630">
        <v>1.35E-2</v>
      </c>
      <c r="D630">
        <v>1.076E-2</v>
      </c>
      <c r="E630">
        <v>1.129E-2</v>
      </c>
      <c r="F630">
        <v>164855337.59999999</v>
      </c>
      <c r="G630">
        <v>-7</v>
      </c>
      <c r="L630" t="s">
        <v>8</v>
      </c>
      <c r="M630" t="s">
        <v>8</v>
      </c>
      <c r="N630" t="s">
        <v>8</v>
      </c>
      <c r="P630">
        <f t="shared" si="989"/>
        <v>-0.61313868613138733</v>
      </c>
      <c r="Q630">
        <f t="shared" si="990"/>
        <v>-101079185.0978103</v>
      </c>
      <c r="R630">
        <f t="shared" si="991"/>
        <v>-737457423.83915532</v>
      </c>
      <c r="S630">
        <f t="shared" si="992"/>
        <v>-7374.5742383915531</v>
      </c>
      <c r="T630">
        <f t="shared" si="993"/>
        <v>-7.3745742383915527</v>
      </c>
    </row>
    <row r="631" spans="1:20" x14ac:dyDescent="0.25">
      <c r="A631" s="5">
        <v>43962</v>
      </c>
      <c r="B631">
        <v>1.1990000000000001E-2</v>
      </c>
      <c r="C631">
        <v>1.294E-2</v>
      </c>
      <c r="D631">
        <v>1.0959999999999999E-2</v>
      </c>
      <c r="E631">
        <v>1.214E-2</v>
      </c>
      <c r="F631">
        <v>77720930.5</v>
      </c>
      <c r="G631">
        <v>1.25</v>
      </c>
      <c r="L631" t="s">
        <v>8</v>
      </c>
      <c r="M631" t="s">
        <v>8</v>
      </c>
      <c r="N631" t="s">
        <v>8</v>
      </c>
      <c r="P631">
        <f t="shared" si="989"/>
        <v>0.19191919191919191</v>
      </c>
      <c r="Q631">
        <f t="shared" si="990"/>
        <v>14916138.176767675</v>
      </c>
      <c r="R631">
        <f t="shared" si="991"/>
        <v>-636378238.74134505</v>
      </c>
      <c r="S631">
        <f t="shared" si="992"/>
        <v>-6363.7823874134501</v>
      </c>
      <c r="T631">
        <f t="shared" si="993"/>
        <v>-6.3637823874134503</v>
      </c>
    </row>
    <row r="632" spans="1:20" x14ac:dyDescent="0.25">
      <c r="A632" s="5">
        <v>43961</v>
      </c>
      <c r="B632">
        <v>1.205E-2</v>
      </c>
      <c r="C632">
        <v>1.2930000000000001E-2</v>
      </c>
      <c r="D632">
        <v>1.022E-2</v>
      </c>
      <c r="E632">
        <v>1.197E-2</v>
      </c>
      <c r="F632">
        <v>82418901.700000003</v>
      </c>
      <c r="G632">
        <v>-0.66</v>
      </c>
      <c r="L632" t="s">
        <v>7</v>
      </c>
      <c r="M632" t="s">
        <v>7</v>
      </c>
      <c r="N632" t="s">
        <v>8</v>
      </c>
      <c r="P632">
        <f t="shared" si="989"/>
        <v>0.2915129151291509</v>
      </c>
      <c r="Q632">
        <f t="shared" si="990"/>
        <v>24026174.296309933</v>
      </c>
      <c r="R632">
        <f t="shared" si="991"/>
        <v>-651294376.91811275</v>
      </c>
      <c r="S632">
        <f t="shared" si="992"/>
        <v>-6512.9437691811272</v>
      </c>
      <c r="T632">
        <f t="shared" si="993"/>
        <v>-6.5129437691811276</v>
      </c>
    </row>
    <row r="633" spans="1:20" x14ac:dyDescent="0.25">
      <c r="A633" s="5">
        <v>43960</v>
      </c>
      <c r="B633">
        <v>1.155E-2</v>
      </c>
      <c r="C633">
        <v>1.2370000000000001E-2</v>
      </c>
      <c r="D633">
        <v>1.153E-2</v>
      </c>
      <c r="E633">
        <v>1.204E-2</v>
      </c>
      <c r="F633">
        <v>27231349.100000001</v>
      </c>
      <c r="G633">
        <v>4.24</v>
      </c>
      <c r="L633" t="s">
        <v>7</v>
      </c>
      <c r="M633" t="s">
        <v>8</v>
      </c>
      <c r="N633" t="s">
        <v>8</v>
      </c>
      <c r="P633">
        <f t="shared" si="989"/>
        <v>0.21428571428571369</v>
      </c>
      <c r="Q633">
        <f t="shared" si="990"/>
        <v>5835289.0928571271</v>
      </c>
      <c r="R633">
        <f t="shared" si="991"/>
        <v>-675320551.2144227</v>
      </c>
      <c r="S633">
        <f t="shared" si="992"/>
        <v>-6753.2055121442272</v>
      </c>
      <c r="T633">
        <f t="shared" si="993"/>
        <v>-6.7532055121442269</v>
      </c>
    </row>
    <row r="634" spans="1:20" x14ac:dyDescent="0.25">
      <c r="A634" s="5">
        <v>43959</v>
      </c>
      <c r="B634">
        <v>1.0120000000000001E-2</v>
      </c>
      <c r="C634">
        <v>1.268E-2</v>
      </c>
      <c r="D634">
        <v>1.0070000000000001E-2</v>
      </c>
      <c r="E634">
        <v>1.158E-2</v>
      </c>
      <c r="F634">
        <v>97161700.400000006</v>
      </c>
      <c r="G634">
        <v>14.43</v>
      </c>
      <c r="L634" t="s">
        <v>8</v>
      </c>
      <c r="M634" t="s">
        <v>8</v>
      </c>
      <c r="N634" t="s">
        <v>8</v>
      </c>
      <c r="P634">
        <f t="shared" si="989"/>
        <v>0.15708812260536359</v>
      </c>
      <c r="Q634">
        <f t="shared" si="990"/>
        <v>15262949.104980806</v>
      </c>
      <c r="R634">
        <f t="shared" si="991"/>
        <v>-681155840.30727983</v>
      </c>
      <c r="S634">
        <f t="shared" si="992"/>
        <v>-6811.5584030727987</v>
      </c>
      <c r="T634">
        <f t="shared" si="993"/>
        <v>-6.8115584030727989</v>
      </c>
    </row>
    <row r="635" spans="1:20" x14ac:dyDescent="0.25">
      <c r="A635" s="5">
        <v>43958</v>
      </c>
      <c r="B635">
        <v>0.01</v>
      </c>
      <c r="C635">
        <v>1.023E-2</v>
      </c>
      <c r="D635">
        <v>9.7599999999999996E-3</v>
      </c>
      <c r="E635">
        <v>1.0109999999999999E-2</v>
      </c>
      <c r="F635">
        <v>14829873.9</v>
      </c>
      <c r="G635">
        <v>1.1000000000000001</v>
      </c>
      <c r="L635" t="s">
        <v>8</v>
      </c>
      <c r="M635" t="s">
        <v>7</v>
      </c>
      <c r="N635" t="s">
        <v>8</v>
      </c>
      <c r="P635">
        <f t="shared" si="989"/>
        <v>0.48936170212765817</v>
      </c>
      <c r="Q635">
        <f t="shared" si="990"/>
        <v>7257172.3340425324</v>
      </c>
      <c r="R635">
        <f t="shared" si="991"/>
        <v>-696418789.41226065</v>
      </c>
      <c r="S635">
        <f t="shared" si="992"/>
        <v>-6964.1878941226068</v>
      </c>
      <c r="T635">
        <f t="shared" si="993"/>
        <v>-6.964187894122607</v>
      </c>
    </row>
    <row r="636" spans="1:20" x14ac:dyDescent="0.25">
      <c r="A636" s="5">
        <v>43957</v>
      </c>
      <c r="B636">
        <v>9.9500000000000005E-3</v>
      </c>
      <c r="C636">
        <v>1.0319999999999999E-2</v>
      </c>
      <c r="D636">
        <v>9.8499999999999994E-3</v>
      </c>
      <c r="E636">
        <v>1.0030000000000001E-2</v>
      </c>
      <c r="F636">
        <v>11312621.9</v>
      </c>
      <c r="G636">
        <v>0.8</v>
      </c>
      <c r="L636" t="s">
        <v>8</v>
      </c>
      <c r="M636" t="s">
        <v>7</v>
      </c>
      <c r="N636" t="s">
        <v>8</v>
      </c>
      <c r="P636">
        <f t="shared" si="989"/>
        <v>-0.23404255319148354</v>
      </c>
      <c r="Q636">
        <f t="shared" si="990"/>
        <v>-2647634.9127658918</v>
      </c>
      <c r="R636">
        <f t="shared" si="991"/>
        <v>-703675961.7463032</v>
      </c>
      <c r="S636">
        <f t="shared" si="992"/>
        <v>-7036.7596174630316</v>
      </c>
      <c r="T636">
        <f t="shared" si="993"/>
        <v>-7.0367596174630318</v>
      </c>
    </row>
    <row r="637" spans="1:20" x14ac:dyDescent="0.25">
      <c r="A637" s="5">
        <v>43956</v>
      </c>
      <c r="B637">
        <v>9.7999999999999997E-3</v>
      </c>
      <c r="C637">
        <v>9.9900000000000006E-3</v>
      </c>
      <c r="D637">
        <v>9.7000000000000003E-3</v>
      </c>
      <c r="E637">
        <v>9.9500000000000005E-3</v>
      </c>
      <c r="F637">
        <v>10957635.9</v>
      </c>
      <c r="G637">
        <v>1.53</v>
      </c>
      <c r="L637" t="s">
        <v>8</v>
      </c>
      <c r="M637" t="s">
        <v>7</v>
      </c>
      <c r="N637" t="s">
        <v>8</v>
      </c>
      <c r="P637">
        <f t="shared" si="989"/>
        <v>0.72413793103448232</v>
      </c>
      <c r="Q637">
        <f t="shared" si="990"/>
        <v>7934839.7896551676</v>
      </c>
      <c r="R637">
        <f t="shared" si="991"/>
        <v>-701028326.83353734</v>
      </c>
      <c r="S637">
        <f t="shared" si="992"/>
        <v>-7010.2832683353736</v>
      </c>
      <c r="T637">
        <f t="shared" si="993"/>
        <v>-7.0102832683353737</v>
      </c>
    </row>
    <row r="638" spans="1:20" x14ac:dyDescent="0.25">
      <c r="A638" s="5">
        <v>43955</v>
      </c>
      <c r="B638">
        <v>1.051E-2</v>
      </c>
      <c r="C638">
        <v>1.06E-2</v>
      </c>
      <c r="D638">
        <v>9.1900000000000003E-3</v>
      </c>
      <c r="E638">
        <v>9.7800000000000005E-3</v>
      </c>
      <c r="F638">
        <v>29184967.600000001</v>
      </c>
      <c r="G638">
        <v>-6.95</v>
      </c>
      <c r="L638" t="s">
        <v>7</v>
      </c>
      <c r="M638" t="s">
        <v>7</v>
      </c>
      <c r="N638" t="s">
        <v>8</v>
      </c>
      <c r="P638">
        <f t="shared" si="989"/>
        <v>-0.16312056737588607</v>
      </c>
      <c r="Q638">
        <f t="shared" si="990"/>
        <v>-4760668.4737588521</v>
      </c>
      <c r="R638">
        <f t="shared" si="991"/>
        <v>-708963166.62319255</v>
      </c>
      <c r="S638">
        <f t="shared" si="992"/>
        <v>-7089.6316662319259</v>
      </c>
      <c r="T638">
        <f t="shared" si="993"/>
        <v>-7.0896316662319263</v>
      </c>
    </row>
    <row r="639" spans="1:20" x14ac:dyDescent="0.25">
      <c r="A639" s="5">
        <v>43954</v>
      </c>
      <c r="B639">
        <v>1.12E-2</v>
      </c>
      <c r="C639">
        <v>1.1270000000000001E-2</v>
      </c>
      <c r="D639">
        <v>1.018E-2</v>
      </c>
      <c r="E639">
        <v>1.055E-2</v>
      </c>
      <c r="F639">
        <v>15605909.699999999</v>
      </c>
      <c r="G639">
        <v>-5.8</v>
      </c>
      <c r="L639" t="s">
        <v>7</v>
      </c>
      <c r="M639" t="s">
        <v>8</v>
      </c>
      <c r="N639" t="s">
        <v>8</v>
      </c>
      <c r="P639">
        <f t="shared" si="989"/>
        <v>-0.32110091743119212</v>
      </c>
      <c r="Q639">
        <f t="shared" si="990"/>
        <v>-5011071.9220183399</v>
      </c>
      <c r="R639">
        <f t="shared" si="991"/>
        <v>-704202498.14943373</v>
      </c>
      <c r="S639">
        <f t="shared" si="992"/>
        <v>-7042.0249814943372</v>
      </c>
      <c r="T639">
        <f t="shared" si="993"/>
        <v>-7.042024981494337</v>
      </c>
    </row>
    <row r="640" spans="1:20" x14ac:dyDescent="0.25">
      <c r="A640" s="5">
        <v>43953</v>
      </c>
      <c r="B640">
        <v>1.059E-2</v>
      </c>
      <c r="C640">
        <v>1.145E-2</v>
      </c>
      <c r="D640">
        <v>1.0460000000000001E-2</v>
      </c>
      <c r="E640">
        <v>1.1209999999999999E-2</v>
      </c>
      <c r="F640">
        <v>23906118.199999999</v>
      </c>
      <c r="G640">
        <v>5.85</v>
      </c>
      <c r="L640" t="s">
        <v>7</v>
      </c>
      <c r="M640" t="s">
        <v>8</v>
      </c>
      <c r="N640" t="s">
        <v>8</v>
      </c>
      <c r="P640">
        <f t="shared" si="989"/>
        <v>0.51515151515151369</v>
      </c>
      <c r="Q640">
        <f t="shared" si="990"/>
        <v>12315273.012121176</v>
      </c>
      <c r="R640">
        <f t="shared" si="991"/>
        <v>-699191426.22741544</v>
      </c>
      <c r="S640">
        <f t="shared" si="992"/>
        <v>-6991.9142622741547</v>
      </c>
      <c r="T640">
        <f t="shared" si="993"/>
        <v>-6.9919142622741548</v>
      </c>
    </row>
    <row r="641" spans="1:20" x14ac:dyDescent="0.25">
      <c r="A641" s="5">
        <v>43952</v>
      </c>
      <c r="B641">
        <v>1.021E-2</v>
      </c>
      <c r="C641">
        <v>1.142E-2</v>
      </c>
      <c r="D641">
        <v>1.008E-2</v>
      </c>
      <c r="E641">
        <v>1.061E-2</v>
      </c>
      <c r="F641">
        <v>53214439</v>
      </c>
      <c r="G641">
        <v>3.92</v>
      </c>
      <c r="L641" t="s">
        <v>8</v>
      </c>
      <c r="M641" t="s">
        <v>8</v>
      </c>
      <c r="N641" t="s">
        <v>8</v>
      </c>
      <c r="P641">
        <f t="shared" si="989"/>
        <v>-0.2089552238805977</v>
      </c>
      <c r="Q641">
        <f t="shared" si="990"/>
        <v>-11119435.014925409</v>
      </c>
      <c r="R641">
        <f t="shared" si="991"/>
        <v>-711506699.23953664</v>
      </c>
      <c r="S641">
        <f t="shared" si="992"/>
        <v>-7115.0669923953665</v>
      </c>
      <c r="T641">
        <f t="shared" si="993"/>
        <v>-7.1150669923953664</v>
      </c>
    </row>
    <row r="642" spans="1:20" x14ac:dyDescent="0.25">
      <c r="A642" s="5">
        <v>43951</v>
      </c>
      <c r="B642">
        <v>1.0200000000000001E-2</v>
      </c>
      <c r="C642">
        <v>1.0500000000000001E-2</v>
      </c>
      <c r="D642">
        <v>9.6699999999999998E-3</v>
      </c>
      <c r="E642">
        <v>1.021E-2</v>
      </c>
      <c r="F642">
        <v>23266734.800000001</v>
      </c>
      <c r="G642">
        <v>0.1</v>
      </c>
      <c r="L642" t="s">
        <v>7</v>
      </c>
      <c r="M642" t="s">
        <v>8</v>
      </c>
      <c r="N642" t="s">
        <v>8</v>
      </c>
      <c r="P642">
        <f t="shared" si="989"/>
        <v>0.3012048192771084</v>
      </c>
      <c r="Q642">
        <f t="shared" si="990"/>
        <v>7008052.6506024096</v>
      </c>
      <c r="R642">
        <f t="shared" si="991"/>
        <v>-700387264.22461128</v>
      </c>
      <c r="S642">
        <f t="shared" si="992"/>
        <v>-7003.8726422461132</v>
      </c>
      <c r="T642">
        <f t="shared" si="993"/>
        <v>-7.0038726422461135</v>
      </c>
    </row>
    <row r="643" spans="1:20" x14ac:dyDescent="0.25">
      <c r="A643" s="5">
        <v>43950</v>
      </c>
      <c r="B643">
        <v>9.9399999999999992E-3</v>
      </c>
      <c r="C643">
        <v>1.0699999999999999E-2</v>
      </c>
      <c r="D643">
        <v>9.9100000000000004E-3</v>
      </c>
      <c r="E643">
        <v>1.0200000000000001E-2</v>
      </c>
      <c r="F643">
        <v>37618255</v>
      </c>
      <c r="G643">
        <v>2.62</v>
      </c>
      <c r="L643" t="s">
        <v>8</v>
      </c>
      <c r="M643" t="s">
        <v>8</v>
      </c>
      <c r="N643" t="s">
        <v>8</v>
      </c>
      <c r="P643">
        <f t="shared" si="989"/>
        <v>-0.26582278481012483</v>
      </c>
      <c r="Q643">
        <f t="shared" si="990"/>
        <v>-9999789.3037974034</v>
      </c>
      <c r="R643">
        <f t="shared" si="991"/>
        <v>-707395316.87521374</v>
      </c>
      <c r="S643">
        <f t="shared" si="992"/>
        <v>-7073.9531687521376</v>
      </c>
      <c r="T643">
        <f t="shared" si="993"/>
        <v>-7.073953168752138</v>
      </c>
    </row>
    <row r="644" spans="1:20" x14ac:dyDescent="0.25">
      <c r="A644" s="5">
        <v>43949</v>
      </c>
      <c r="B644">
        <v>9.7400000000000004E-3</v>
      </c>
      <c r="C644">
        <v>1.0189999999999999E-2</v>
      </c>
      <c r="D644">
        <v>9.4500000000000001E-3</v>
      </c>
      <c r="E644">
        <v>9.9399999999999992E-3</v>
      </c>
      <c r="F644">
        <v>22494033.699999999</v>
      </c>
      <c r="G644">
        <v>2.0499999999999998</v>
      </c>
      <c r="L644" t="s">
        <v>8</v>
      </c>
      <c r="M644" t="s">
        <v>8</v>
      </c>
      <c r="N644" t="s">
        <v>8</v>
      </c>
      <c r="P644">
        <f t="shared" si="989"/>
        <v>0.32432432432432312</v>
      </c>
      <c r="Q644">
        <f t="shared" si="990"/>
        <v>7295362.2810810534</v>
      </c>
      <c r="R644">
        <f t="shared" si="991"/>
        <v>-697395527.57141638</v>
      </c>
      <c r="S644">
        <f t="shared" si="992"/>
        <v>-6973.9552757141637</v>
      </c>
      <c r="T644">
        <f t="shared" si="993"/>
        <v>-6.9739552757141636</v>
      </c>
    </row>
    <row r="645" spans="1:20" x14ac:dyDescent="0.25">
      <c r="A645" s="5">
        <v>43948</v>
      </c>
      <c r="B645">
        <v>9.8600000000000007E-3</v>
      </c>
      <c r="C645">
        <v>1.03E-2</v>
      </c>
      <c r="D645">
        <v>9.4999999999999998E-3</v>
      </c>
      <c r="E645">
        <v>9.7400000000000004E-3</v>
      </c>
      <c r="F645">
        <v>26998742.199999999</v>
      </c>
      <c r="G645">
        <v>-1.22</v>
      </c>
      <c r="L645" t="s">
        <v>7</v>
      </c>
      <c r="M645" t="s">
        <v>8</v>
      </c>
      <c r="N645" t="s">
        <v>8</v>
      </c>
      <c r="P645">
        <f t="shared" si="989"/>
        <v>-0.39999999999999869</v>
      </c>
      <c r="Q645">
        <f t="shared" si="990"/>
        <v>-10799496.879999964</v>
      </c>
      <c r="R645">
        <f t="shared" si="991"/>
        <v>-704690889.85249746</v>
      </c>
      <c r="S645">
        <f t="shared" si="992"/>
        <v>-7046.9088985249746</v>
      </c>
      <c r="T645">
        <f t="shared" si="993"/>
        <v>-7.0469088985249746</v>
      </c>
    </row>
    <row r="646" spans="1:20" x14ac:dyDescent="0.25">
      <c r="A646" s="5">
        <v>43947</v>
      </c>
      <c r="B646">
        <v>1.0619999999999999E-2</v>
      </c>
      <c r="C646">
        <v>1.064E-2</v>
      </c>
      <c r="D646">
        <v>9.7599999999999996E-3</v>
      </c>
      <c r="E646">
        <v>9.8799999999999999E-3</v>
      </c>
      <c r="F646">
        <v>44400605.399999999</v>
      </c>
      <c r="G646">
        <v>-6.97</v>
      </c>
      <c r="L646" t="s">
        <v>7</v>
      </c>
      <c r="M646" t="s">
        <v>8</v>
      </c>
      <c r="N646" t="s">
        <v>8</v>
      </c>
      <c r="P646">
        <f t="shared" ref="P646:P709" si="994">IF(C646=D646,0,((E646-D646)-(C646-E646))/(C646-D646))</f>
        <v>-0.72727272727272674</v>
      </c>
      <c r="Q646">
        <f t="shared" ref="Q646:Q709" si="995">F646*P646</f>
        <v>-32291349.381818157</v>
      </c>
      <c r="R646">
        <f t="shared" ref="R646:R709" si="996">R647+Q646</f>
        <v>-693891392.97249746</v>
      </c>
      <c r="S646">
        <f t="shared" ref="S646:S709" si="997">R646/100000</f>
        <v>-6938.9139297249749</v>
      </c>
      <c r="T646">
        <f t="shared" ref="T646:T709" si="998">S646/1000</f>
        <v>-6.9389139297249747</v>
      </c>
    </row>
    <row r="647" spans="1:20" x14ac:dyDescent="0.25">
      <c r="A647" s="5">
        <v>43946</v>
      </c>
      <c r="B647">
        <v>9.7699999999999992E-3</v>
      </c>
      <c r="C647">
        <v>1.082E-2</v>
      </c>
      <c r="D647">
        <v>9.6200000000000001E-3</v>
      </c>
      <c r="E647">
        <v>1.0619999999999999E-2</v>
      </c>
      <c r="F647">
        <v>46616711.100000001</v>
      </c>
      <c r="G647">
        <v>8.6999999999999993</v>
      </c>
      <c r="L647" t="s">
        <v>8</v>
      </c>
      <c r="M647" t="s">
        <v>8</v>
      </c>
      <c r="N647" t="s">
        <v>8</v>
      </c>
      <c r="P647">
        <f t="shared" si="994"/>
        <v>0.66666666666666574</v>
      </c>
      <c r="Q647">
        <f t="shared" si="995"/>
        <v>31077807.399999958</v>
      </c>
      <c r="R647">
        <f t="shared" si="996"/>
        <v>-661600043.59067929</v>
      </c>
      <c r="S647">
        <f t="shared" si="997"/>
        <v>-6616.0004359067925</v>
      </c>
      <c r="T647">
        <f t="shared" si="998"/>
        <v>-6.6160004359067921</v>
      </c>
    </row>
    <row r="648" spans="1:20" x14ac:dyDescent="0.25">
      <c r="A648" s="5">
        <v>43945</v>
      </c>
      <c r="B648">
        <v>9.1999999999999998E-3</v>
      </c>
      <c r="C648">
        <v>1.056E-2</v>
      </c>
      <c r="D648">
        <v>9.0799999999999995E-3</v>
      </c>
      <c r="E648">
        <v>9.75E-3</v>
      </c>
      <c r="F648">
        <v>48210248.299999997</v>
      </c>
      <c r="G648">
        <v>5.98</v>
      </c>
      <c r="L648" t="s">
        <v>8</v>
      </c>
      <c r="M648" t="s">
        <v>8</v>
      </c>
      <c r="N648" t="s">
        <v>8</v>
      </c>
      <c r="P648">
        <f t="shared" si="994"/>
        <v>-9.4594594594594225E-2</v>
      </c>
      <c r="Q648">
        <f t="shared" si="995"/>
        <v>-4560428.8932432253</v>
      </c>
      <c r="R648">
        <f t="shared" si="996"/>
        <v>-692677850.99067926</v>
      </c>
      <c r="S648">
        <f t="shared" si="997"/>
        <v>-6926.7785099067924</v>
      </c>
      <c r="T648">
        <f t="shared" si="998"/>
        <v>-6.926778509906792</v>
      </c>
    </row>
    <row r="649" spans="1:20" x14ac:dyDescent="0.25">
      <c r="A649" s="5">
        <v>43944</v>
      </c>
      <c r="B649">
        <v>9.3699999999999999E-3</v>
      </c>
      <c r="C649">
        <v>1.014E-2</v>
      </c>
      <c r="D649">
        <v>8.9700000000000005E-3</v>
      </c>
      <c r="E649">
        <v>9.1900000000000003E-3</v>
      </c>
      <c r="F649">
        <v>41787392.100000001</v>
      </c>
      <c r="G649">
        <v>-1.92</v>
      </c>
      <c r="L649" t="s">
        <v>7</v>
      </c>
      <c r="M649" t="s">
        <v>8</v>
      </c>
      <c r="N649" t="s">
        <v>8</v>
      </c>
      <c r="P649">
        <f t="shared" si="994"/>
        <v>-0.62393162393162416</v>
      </c>
      <c r="Q649">
        <f t="shared" si="995"/>
        <v>-26072475.412820522</v>
      </c>
      <c r="R649">
        <f t="shared" si="996"/>
        <v>-688117422.09743607</v>
      </c>
      <c r="S649">
        <f t="shared" si="997"/>
        <v>-6881.1742209743607</v>
      </c>
      <c r="T649">
        <f t="shared" si="998"/>
        <v>-6.8811742209743603</v>
      </c>
    </row>
    <row r="650" spans="1:20" x14ac:dyDescent="0.25">
      <c r="A650" s="5">
        <v>43943</v>
      </c>
      <c r="B650">
        <v>8.4799999999999997E-3</v>
      </c>
      <c r="C650">
        <v>1.022E-2</v>
      </c>
      <c r="D650">
        <v>8.4200000000000004E-3</v>
      </c>
      <c r="E650">
        <v>9.3500000000000007E-3</v>
      </c>
      <c r="F650">
        <v>99970280</v>
      </c>
      <c r="G650">
        <v>10.26</v>
      </c>
      <c r="L650" t="s">
        <v>8</v>
      </c>
      <c r="M650" t="s">
        <v>8</v>
      </c>
      <c r="N650" t="s">
        <v>8</v>
      </c>
      <c r="P650">
        <f t="shared" si="994"/>
        <v>3.3333333333333909E-2</v>
      </c>
      <c r="Q650">
        <f t="shared" si="995"/>
        <v>3332342.6666667243</v>
      </c>
      <c r="R650">
        <f t="shared" si="996"/>
        <v>-662044946.68461549</v>
      </c>
      <c r="S650">
        <f t="shared" si="997"/>
        <v>-6620.4494668461548</v>
      </c>
      <c r="T650">
        <f t="shared" si="998"/>
        <v>-6.6204494668461544</v>
      </c>
    </row>
    <row r="651" spans="1:20" x14ac:dyDescent="0.25">
      <c r="A651" s="5">
        <v>43942</v>
      </c>
      <c r="B651">
        <v>7.6E-3</v>
      </c>
      <c r="C651">
        <v>8.6599999999999993E-3</v>
      </c>
      <c r="D651">
        <v>7.5199999999999998E-3</v>
      </c>
      <c r="E651">
        <v>8.4899999999999993E-3</v>
      </c>
      <c r="F651">
        <v>48861187.399999999</v>
      </c>
      <c r="G651">
        <v>11.71</v>
      </c>
      <c r="L651" t="s">
        <v>8</v>
      </c>
      <c r="M651" t="s">
        <v>8</v>
      </c>
      <c r="N651" t="s">
        <v>8</v>
      </c>
      <c r="P651">
        <f t="shared" si="994"/>
        <v>0.70175438596491213</v>
      </c>
      <c r="Q651">
        <f t="shared" si="995"/>
        <v>34288552.561403498</v>
      </c>
      <c r="R651">
        <f t="shared" si="996"/>
        <v>-665377289.35128224</v>
      </c>
      <c r="S651">
        <f t="shared" si="997"/>
        <v>-6653.7728935128225</v>
      </c>
      <c r="T651">
        <f t="shared" si="998"/>
        <v>-6.6537728935128229</v>
      </c>
    </row>
    <row r="652" spans="1:20" x14ac:dyDescent="0.25">
      <c r="A652" s="5">
        <v>43941</v>
      </c>
      <c r="B652">
        <v>7.92E-3</v>
      </c>
      <c r="C652">
        <v>8.1399999999999997E-3</v>
      </c>
      <c r="D652">
        <v>7.5799999999999999E-3</v>
      </c>
      <c r="E652">
        <v>7.6E-3</v>
      </c>
      <c r="F652">
        <v>19188981</v>
      </c>
      <c r="G652">
        <v>-4.04</v>
      </c>
      <c r="L652" t="s">
        <v>7</v>
      </c>
      <c r="M652" t="s">
        <v>8</v>
      </c>
      <c r="N652" t="s">
        <v>8</v>
      </c>
      <c r="P652">
        <f t="shared" si="994"/>
        <v>-0.92857142857142838</v>
      </c>
      <c r="Q652">
        <f t="shared" si="995"/>
        <v>-17818339.499999996</v>
      </c>
      <c r="R652">
        <f t="shared" si="996"/>
        <v>-699665841.91268575</v>
      </c>
      <c r="S652">
        <f t="shared" si="997"/>
        <v>-6996.6584191268576</v>
      </c>
      <c r="T652">
        <f t="shared" si="998"/>
        <v>-6.9966584191268577</v>
      </c>
    </row>
    <row r="653" spans="1:20" x14ac:dyDescent="0.25">
      <c r="A653" s="5">
        <v>43940</v>
      </c>
      <c r="B653">
        <v>8.2000000000000007E-3</v>
      </c>
      <c r="C653">
        <v>8.2100000000000003E-3</v>
      </c>
      <c r="D653">
        <v>7.8399999999999997E-3</v>
      </c>
      <c r="E653">
        <v>7.9100000000000004E-3</v>
      </c>
      <c r="F653">
        <v>13905058.300000001</v>
      </c>
      <c r="G653">
        <v>-3.54</v>
      </c>
      <c r="L653" t="s">
        <v>7</v>
      </c>
      <c r="M653" t="s">
        <v>8</v>
      </c>
      <c r="N653" t="s">
        <v>8</v>
      </c>
      <c r="P653">
        <f t="shared" si="994"/>
        <v>-0.62162162162161883</v>
      </c>
      <c r="Q653">
        <f t="shared" si="995"/>
        <v>-8643684.8891891502</v>
      </c>
      <c r="R653">
        <f t="shared" si="996"/>
        <v>-681847502.41268575</v>
      </c>
      <c r="S653">
        <f t="shared" si="997"/>
        <v>-6818.4750241268575</v>
      </c>
      <c r="T653">
        <f t="shared" si="998"/>
        <v>-6.8184750241268572</v>
      </c>
    </row>
    <row r="654" spans="1:20" x14ac:dyDescent="0.25">
      <c r="A654" s="5">
        <v>43939</v>
      </c>
      <c r="B654">
        <v>8.2100000000000003E-3</v>
      </c>
      <c r="C654">
        <v>8.5699999999999995E-3</v>
      </c>
      <c r="D654">
        <v>7.8799999999999999E-3</v>
      </c>
      <c r="E654">
        <v>8.2000000000000007E-3</v>
      </c>
      <c r="F654">
        <v>29748360.199999999</v>
      </c>
      <c r="G654">
        <v>-0.12</v>
      </c>
      <c r="L654" t="s">
        <v>8</v>
      </c>
      <c r="M654" t="s">
        <v>8</v>
      </c>
      <c r="N654" t="s">
        <v>8</v>
      </c>
      <c r="P654">
        <f t="shared" si="994"/>
        <v>-7.2463768115939117E-2</v>
      </c>
      <c r="Q654">
        <f t="shared" si="995"/>
        <v>-2155678.2753622322</v>
      </c>
      <c r="R654">
        <f t="shared" si="996"/>
        <v>-673203817.52349663</v>
      </c>
      <c r="S654">
        <f t="shared" si="997"/>
        <v>-6732.0381752349667</v>
      </c>
      <c r="T654">
        <f t="shared" si="998"/>
        <v>-6.7320381752349672</v>
      </c>
    </row>
    <row r="655" spans="1:20" x14ac:dyDescent="0.25">
      <c r="A655" s="5">
        <v>43938</v>
      </c>
      <c r="B655">
        <v>7.8300000000000002E-3</v>
      </c>
      <c r="C655">
        <v>8.3800000000000003E-3</v>
      </c>
      <c r="D655">
        <v>7.6600000000000001E-3</v>
      </c>
      <c r="E655">
        <v>8.2400000000000008E-3</v>
      </c>
      <c r="F655">
        <v>16453869.199999999</v>
      </c>
      <c r="G655">
        <v>5.24</v>
      </c>
      <c r="L655" t="s">
        <v>7</v>
      </c>
      <c r="M655" t="s">
        <v>8</v>
      </c>
      <c r="N655" t="s">
        <v>8</v>
      </c>
      <c r="P655">
        <f t="shared" si="994"/>
        <v>0.6111111111111126</v>
      </c>
      <c r="Q655">
        <f t="shared" si="995"/>
        <v>10055142.288888913</v>
      </c>
      <c r="R655">
        <f t="shared" si="996"/>
        <v>-671048139.24813437</v>
      </c>
      <c r="S655">
        <f t="shared" si="997"/>
        <v>-6710.4813924813434</v>
      </c>
      <c r="T655">
        <f t="shared" si="998"/>
        <v>-6.7104813924813431</v>
      </c>
    </row>
    <row r="656" spans="1:20" x14ac:dyDescent="0.25">
      <c r="A656" s="5">
        <v>43937</v>
      </c>
      <c r="B656">
        <v>7.1999999999999998E-3</v>
      </c>
      <c r="C656">
        <v>8.5400000000000007E-3</v>
      </c>
      <c r="D656">
        <v>6.9300000000000004E-3</v>
      </c>
      <c r="E656">
        <v>7.8200000000000006E-3</v>
      </c>
      <c r="F656">
        <v>49521515.200000003</v>
      </c>
      <c r="G656">
        <v>8.61</v>
      </c>
      <c r="L656" t="s">
        <v>8</v>
      </c>
      <c r="M656" t="s">
        <v>8</v>
      </c>
      <c r="N656" t="s">
        <v>8</v>
      </c>
      <c r="P656">
        <f t="shared" si="994"/>
        <v>0.10559006211180123</v>
      </c>
      <c r="Q656">
        <f t="shared" si="995"/>
        <v>5228979.8658385091</v>
      </c>
      <c r="R656">
        <f t="shared" si="996"/>
        <v>-681103281.53702331</v>
      </c>
      <c r="S656">
        <f t="shared" si="997"/>
        <v>-6811.032815370233</v>
      </c>
      <c r="T656">
        <f t="shared" si="998"/>
        <v>-6.8110328153702326</v>
      </c>
    </row>
    <row r="657" spans="1:20" x14ac:dyDescent="0.25">
      <c r="A657" s="5">
        <v>43936</v>
      </c>
      <c r="B657">
        <v>7.1999999999999998E-3</v>
      </c>
      <c r="C657">
        <v>7.6499999999999997E-3</v>
      </c>
      <c r="D657">
        <v>7.0499999999999998E-3</v>
      </c>
      <c r="E657">
        <v>7.2199999999999999E-3</v>
      </c>
      <c r="F657">
        <v>28488636.300000001</v>
      </c>
      <c r="G657">
        <v>0.28000000000000003</v>
      </c>
      <c r="L657" t="s">
        <v>8</v>
      </c>
      <c r="M657" t="s">
        <v>7</v>
      </c>
      <c r="N657" t="s">
        <v>8</v>
      </c>
      <c r="P657">
        <f t="shared" si="994"/>
        <v>-0.43333333333333313</v>
      </c>
      <c r="Q657">
        <f t="shared" si="995"/>
        <v>-12345075.729999995</v>
      </c>
      <c r="R657">
        <f t="shared" si="996"/>
        <v>-686332261.40286183</v>
      </c>
      <c r="S657">
        <f t="shared" si="997"/>
        <v>-6863.3226140286188</v>
      </c>
      <c r="T657">
        <f t="shared" si="998"/>
        <v>-6.8633226140286192</v>
      </c>
    </row>
    <row r="658" spans="1:20" x14ac:dyDescent="0.25">
      <c r="A658" s="5">
        <v>43935</v>
      </c>
      <c r="B658">
        <v>6.9499999999999996E-3</v>
      </c>
      <c r="C658">
        <v>7.3299999999999997E-3</v>
      </c>
      <c r="D658">
        <v>6.8700000000000002E-3</v>
      </c>
      <c r="E658">
        <v>7.1900000000000002E-3</v>
      </c>
      <c r="F658">
        <v>15130076.6</v>
      </c>
      <c r="G658">
        <v>3.45</v>
      </c>
      <c r="L658" t="s">
        <v>8</v>
      </c>
      <c r="M658" t="s">
        <v>7</v>
      </c>
      <c r="N658" t="s">
        <v>8</v>
      </c>
      <c r="P658">
        <f t="shared" si="994"/>
        <v>0.39130434782608842</v>
      </c>
      <c r="Q658">
        <f t="shared" si="995"/>
        <v>5920464.7565217614</v>
      </c>
      <c r="R658">
        <f t="shared" si="996"/>
        <v>-673987185.67286181</v>
      </c>
      <c r="S658">
        <f t="shared" si="997"/>
        <v>-6739.8718567286178</v>
      </c>
      <c r="T658">
        <f t="shared" si="998"/>
        <v>-6.7398718567286178</v>
      </c>
    </row>
    <row r="659" spans="1:20" x14ac:dyDescent="0.25">
      <c r="A659" s="5">
        <v>43934</v>
      </c>
      <c r="B659">
        <v>7.0699999999999999E-3</v>
      </c>
      <c r="C659">
        <v>7.0699999999999999E-3</v>
      </c>
      <c r="D659">
        <v>6.7200000000000003E-3</v>
      </c>
      <c r="E659">
        <v>6.9100000000000003E-3</v>
      </c>
      <c r="F659">
        <v>9706387.0999999996</v>
      </c>
      <c r="G659">
        <v>-2.2599999999999998</v>
      </c>
      <c r="L659" t="s">
        <v>7</v>
      </c>
      <c r="M659" t="s">
        <v>7</v>
      </c>
      <c r="N659" t="s">
        <v>8</v>
      </c>
      <c r="P659">
        <f t="shared" si="994"/>
        <v>8.5714285714287269E-2</v>
      </c>
      <c r="Q659">
        <f t="shared" si="995"/>
        <v>831976.03714287223</v>
      </c>
      <c r="R659">
        <f t="shared" si="996"/>
        <v>-679907650.42938364</v>
      </c>
      <c r="S659">
        <f t="shared" si="997"/>
        <v>-6799.0765042938365</v>
      </c>
      <c r="T659">
        <f t="shared" si="998"/>
        <v>-6.7990765042938364</v>
      </c>
    </row>
    <row r="660" spans="1:20" x14ac:dyDescent="0.25">
      <c r="A660" s="5">
        <v>43933</v>
      </c>
      <c r="B660">
        <v>7.11E-3</v>
      </c>
      <c r="C660">
        <v>7.4099999999999999E-3</v>
      </c>
      <c r="D660">
        <v>7.0200000000000002E-3</v>
      </c>
      <c r="E660">
        <v>7.11E-3</v>
      </c>
      <c r="F660">
        <v>7143866.2000000002</v>
      </c>
      <c r="G660">
        <v>0</v>
      </c>
      <c r="L660" t="s">
        <v>7</v>
      </c>
      <c r="M660" t="s">
        <v>8</v>
      </c>
      <c r="N660" t="s">
        <v>8</v>
      </c>
      <c r="P660">
        <f t="shared" si="994"/>
        <v>-0.5384615384615391</v>
      </c>
      <c r="Q660">
        <f t="shared" si="995"/>
        <v>-3846697.1846153894</v>
      </c>
      <c r="R660">
        <f t="shared" si="996"/>
        <v>-680739626.46652651</v>
      </c>
      <c r="S660">
        <f t="shared" si="997"/>
        <v>-6807.3962646652653</v>
      </c>
      <c r="T660">
        <f t="shared" si="998"/>
        <v>-6.8073962646652655</v>
      </c>
    </row>
    <row r="661" spans="1:20" x14ac:dyDescent="0.25">
      <c r="A661" s="5">
        <v>43932</v>
      </c>
      <c r="B661">
        <v>7.0899999999999999E-3</v>
      </c>
      <c r="C661">
        <v>7.3200000000000001E-3</v>
      </c>
      <c r="D661">
        <v>6.94E-3</v>
      </c>
      <c r="E661">
        <v>7.1000000000000004E-3</v>
      </c>
      <c r="F661">
        <v>8372839.9000000004</v>
      </c>
      <c r="G661">
        <v>0.14000000000000001</v>
      </c>
      <c r="L661" t="s">
        <v>7</v>
      </c>
      <c r="M661" t="s">
        <v>8</v>
      </c>
      <c r="N661" t="s">
        <v>8</v>
      </c>
      <c r="P661">
        <f t="shared" si="994"/>
        <v>-0.15789473684210334</v>
      </c>
      <c r="Q661">
        <f t="shared" si="995"/>
        <v>-1322027.3526315629</v>
      </c>
      <c r="R661">
        <f t="shared" si="996"/>
        <v>-676892929.28191113</v>
      </c>
      <c r="S661">
        <f t="shared" si="997"/>
        <v>-6768.9292928191117</v>
      </c>
      <c r="T661">
        <f t="shared" si="998"/>
        <v>-6.768929292819112</v>
      </c>
    </row>
    <row r="662" spans="1:20" x14ac:dyDescent="0.25">
      <c r="A662" s="5">
        <v>43931</v>
      </c>
      <c r="B662">
        <v>7.7999999999999996E-3</v>
      </c>
      <c r="C662">
        <v>7.8600000000000007E-3</v>
      </c>
      <c r="D662">
        <v>6.9499999999999996E-3</v>
      </c>
      <c r="E662">
        <v>7.0899999999999999E-3</v>
      </c>
      <c r="F662">
        <v>14896538.199999999</v>
      </c>
      <c r="G662">
        <v>-9.1</v>
      </c>
      <c r="L662" t="s">
        <v>7</v>
      </c>
      <c r="M662" t="s">
        <v>8</v>
      </c>
      <c r="N662" t="s">
        <v>8</v>
      </c>
      <c r="P662">
        <f t="shared" si="994"/>
        <v>-0.69230769230769185</v>
      </c>
      <c r="Q662">
        <f t="shared" si="995"/>
        <v>-10312987.984615378</v>
      </c>
      <c r="R662">
        <f t="shared" si="996"/>
        <v>-675570901.92927957</v>
      </c>
      <c r="S662">
        <f t="shared" si="997"/>
        <v>-6755.7090192927953</v>
      </c>
      <c r="T662">
        <f t="shared" si="998"/>
        <v>-6.7557090192927953</v>
      </c>
    </row>
    <row r="663" spans="1:20" x14ac:dyDescent="0.25">
      <c r="A663" s="5">
        <v>43930</v>
      </c>
      <c r="B663">
        <v>7.9799999999999992E-3</v>
      </c>
      <c r="C663">
        <v>8.0000000000000002E-3</v>
      </c>
      <c r="D663">
        <v>7.5900000000000004E-3</v>
      </c>
      <c r="E663">
        <v>7.77E-3</v>
      </c>
      <c r="F663">
        <v>13283373.4</v>
      </c>
      <c r="G663">
        <v>-2.63</v>
      </c>
      <c r="L663" t="s">
        <v>8</v>
      </c>
      <c r="M663" t="s">
        <v>8</v>
      </c>
      <c r="N663" t="s">
        <v>8</v>
      </c>
      <c r="P663">
        <f t="shared" si="994"/>
        <v>-0.12195121951219656</v>
      </c>
      <c r="Q663">
        <f t="shared" si="995"/>
        <v>-1619923.5853658728</v>
      </c>
      <c r="R663">
        <f t="shared" si="996"/>
        <v>-665257913.94466424</v>
      </c>
      <c r="S663">
        <f t="shared" si="997"/>
        <v>-6652.5791394466423</v>
      </c>
      <c r="T663">
        <f t="shared" si="998"/>
        <v>-6.652579139446642</v>
      </c>
    </row>
    <row r="664" spans="1:20" x14ac:dyDescent="0.25">
      <c r="A664" s="5">
        <v>43929</v>
      </c>
      <c r="B664">
        <v>7.5700000000000003E-3</v>
      </c>
      <c r="C664">
        <v>7.9600000000000001E-3</v>
      </c>
      <c r="D664">
        <v>7.45E-3</v>
      </c>
      <c r="E664">
        <v>7.9600000000000001E-3</v>
      </c>
      <c r="F664">
        <v>11946000.800000001</v>
      </c>
      <c r="G664">
        <v>5.15</v>
      </c>
      <c r="L664" t="s">
        <v>7</v>
      </c>
      <c r="M664" t="s">
        <v>8</v>
      </c>
      <c r="N664" t="s">
        <v>8</v>
      </c>
      <c r="P664">
        <f t="shared" si="994"/>
        <v>1</v>
      </c>
      <c r="Q664">
        <f t="shared" si="995"/>
        <v>11946000.800000001</v>
      </c>
      <c r="R664">
        <f t="shared" si="996"/>
        <v>-663637990.35929835</v>
      </c>
      <c r="S664">
        <f t="shared" si="997"/>
        <v>-6636.3799035929833</v>
      </c>
      <c r="T664">
        <f t="shared" si="998"/>
        <v>-6.6363799035929834</v>
      </c>
    </row>
    <row r="665" spans="1:20" x14ac:dyDescent="0.25">
      <c r="A665" s="5">
        <v>43928</v>
      </c>
      <c r="B665">
        <v>7.8799999999999999E-3</v>
      </c>
      <c r="C665">
        <v>8.0499999999999999E-3</v>
      </c>
      <c r="D665">
        <v>7.45E-3</v>
      </c>
      <c r="E665">
        <v>7.5500000000000003E-3</v>
      </c>
      <c r="F665">
        <v>21530796.100000001</v>
      </c>
      <c r="G665">
        <v>-4.1900000000000004</v>
      </c>
      <c r="L665" t="s">
        <v>7</v>
      </c>
      <c r="M665" t="s">
        <v>8</v>
      </c>
      <c r="N665" t="s">
        <v>8</v>
      </c>
      <c r="P665">
        <f t="shared" si="994"/>
        <v>-0.66666666666666574</v>
      </c>
      <c r="Q665">
        <f t="shared" si="995"/>
        <v>-14353864.066666648</v>
      </c>
      <c r="R665">
        <f t="shared" si="996"/>
        <v>-675583991.1592983</v>
      </c>
      <c r="S665">
        <f t="shared" si="997"/>
        <v>-6755.8399115929833</v>
      </c>
      <c r="T665">
        <f t="shared" si="998"/>
        <v>-6.7558399115929832</v>
      </c>
    </row>
    <row r="666" spans="1:20" x14ac:dyDescent="0.25">
      <c r="A666" s="5">
        <v>43927</v>
      </c>
      <c r="B666">
        <v>7.6400000000000001E-3</v>
      </c>
      <c r="C666">
        <v>8.0199999999999994E-3</v>
      </c>
      <c r="D666">
        <v>7.4700000000000001E-3</v>
      </c>
      <c r="E666">
        <v>7.8700000000000003E-3</v>
      </c>
      <c r="F666">
        <v>33629742.600000001</v>
      </c>
      <c r="G666">
        <v>3.01</v>
      </c>
      <c r="L666" t="s">
        <v>8</v>
      </c>
      <c r="M666" t="s">
        <v>8</v>
      </c>
      <c r="N666" t="s">
        <v>8</v>
      </c>
      <c r="P666">
        <f t="shared" si="994"/>
        <v>0.45454545454545714</v>
      </c>
      <c r="Q666">
        <f t="shared" si="995"/>
        <v>15286246.636363724</v>
      </c>
      <c r="R666">
        <f t="shared" si="996"/>
        <v>-661230127.0926317</v>
      </c>
      <c r="S666">
        <f t="shared" si="997"/>
        <v>-6612.3012709263166</v>
      </c>
      <c r="T666">
        <f t="shared" si="998"/>
        <v>-6.6123012709263165</v>
      </c>
    </row>
    <row r="667" spans="1:20" x14ac:dyDescent="0.25">
      <c r="A667" s="5">
        <v>43926</v>
      </c>
      <c r="B667">
        <v>7.8499999999999993E-3</v>
      </c>
      <c r="C667">
        <v>8.0800000000000004E-3</v>
      </c>
      <c r="D667">
        <v>7.4099999999999999E-3</v>
      </c>
      <c r="E667">
        <v>7.6400000000000001E-3</v>
      </c>
      <c r="F667">
        <v>35953556.299999997</v>
      </c>
      <c r="G667">
        <v>-2.68</v>
      </c>
      <c r="L667" t="s">
        <v>7</v>
      </c>
      <c r="M667" t="s">
        <v>8</v>
      </c>
      <c r="N667" t="s">
        <v>8</v>
      </c>
      <c r="P667">
        <f t="shared" si="994"/>
        <v>-0.31343283582089548</v>
      </c>
      <c r="Q667">
        <f t="shared" si="995"/>
        <v>-11269025.108955221</v>
      </c>
      <c r="R667">
        <f t="shared" si="996"/>
        <v>-676516373.72899544</v>
      </c>
      <c r="S667">
        <f t="shared" si="997"/>
        <v>-6765.163737289954</v>
      </c>
      <c r="T667">
        <f t="shared" si="998"/>
        <v>-6.7651637372899538</v>
      </c>
    </row>
    <row r="668" spans="1:20" x14ac:dyDescent="0.25">
      <c r="A668" s="5">
        <v>43925</v>
      </c>
      <c r="B668">
        <v>7.0899999999999999E-3</v>
      </c>
      <c r="C668">
        <v>8.0499999999999999E-3</v>
      </c>
      <c r="D668">
        <v>7.0800000000000004E-3</v>
      </c>
      <c r="E668">
        <v>7.8399999999999997E-3</v>
      </c>
      <c r="F668">
        <v>50070978.200000003</v>
      </c>
      <c r="G668">
        <v>10.58</v>
      </c>
      <c r="L668" t="s">
        <v>8</v>
      </c>
      <c r="M668" t="s">
        <v>8</v>
      </c>
      <c r="N668" t="s">
        <v>8</v>
      </c>
      <c r="P668">
        <f t="shared" si="994"/>
        <v>0.56701030927835006</v>
      </c>
      <c r="Q668">
        <f t="shared" si="995"/>
        <v>28390760.835051525</v>
      </c>
      <c r="R668">
        <f t="shared" si="996"/>
        <v>-665247348.62004018</v>
      </c>
      <c r="S668">
        <f t="shared" si="997"/>
        <v>-6652.4734862004016</v>
      </c>
      <c r="T668">
        <f t="shared" si="998"/>
        <v>-6.6524734862004014</v>
      </c>
    </row>
    <row r="669" spans="1:20" x14ac:dyDescent="0.25">
      <c r="A669" s="5">
        <v>43924</v>
      </c>
      <c r="B669">
        <v>6.9899999999999997E-3</v>
      </c>
      <c r="C669">
        <v>7.6E-3</v>
      </c>
      <c r="D669">
        <v>6.8199999999999997E-3</v>
      </c>
      <c r="E669">
        <v>7.11E-3</v>
      </c>
      <c r="F669">
        <v>39675061.299999997</v>
      </c>
      <c r="G669">
        <v>1.72</v>
      </c>
      <c r="L669" t="s">
        <v>8</v>
      </c>
      <c r="M669" t="s">
        <v>8</v>
      </c>
      <c r="N669" t="s">
        <v>8</v>
      </c>
      <c r="P669">
        <f t="shared" si="994"/>
        <v>-0.25641025641025589</v>
      </c>
      <c r="Q669">
        <f t="shared" si="995"/>
        <v>-10173092.64102562</v>
      </c>
      <c r="R669">
        <f t="shared" si="996"/>
        <v>-693638109.45509171</v>
      </c>
      <c r="S669">
        <f t="shared" si="997"/>
        <v>-6936.3810945509167</v>
      </c>
      <c r="T669">
        <f t="shared" si="998"/>
        <v>-6.9363810945509163</v>
      </c>
    </row>
    <row r="670" spans="1:20" x14ac:dyDescent="0.25">
      <c r="A670" s="5">
        <v>43923</v>
      </c>
      <c r="B670">
        <v>6.4599999999999996E-3</v>
      </c>
      <c r="C670">
        <v>7.1199999999999996E-3</v>
      </c>
      <c r="D670">
        <v>6.43E-3</v>
      </c>
      <c r="E670">
        <v>6.9899999999999997E-3</v>
      </c>
      <c r="F670">
        <v>24891120.600000001</v>
      </c>
      <c r="G670">
        <v>8.1999999999999993</v>
      </c>
      <c r="L670" t="s">
        <v>8</v>
      </c>
      <c r="M670" t="s">
        <v>8</v>
      </c>
      <c r="N670" t="s">
        <v>8</v>
      </c>
      <c r="P670">
        <f t="shared" si="994"/>
        <v>0.62318840579710155</v>
      </c>
      <c r="Q670">
        <f t="shared" si="995"/>
        <v>15511857.765217395</v>
      </c>
      <c r="R670">
        <f t="shared" si="996"/>
        <v>-683465016.81406605</v>
      </c>
      <c r="S670">
        <f t="shared" si="997"/>
        <v>-6834.6501681406608</v>
      </c>
      <c r="T670">
        <f t="shared" si="998"/>
        <v>-6.8346501681406604</v>
      </c>
    </row>
    <row r="671" spans="1:20" x14ac:dyDescent="0.25">
      <c r="A671" s="5">
        <v>43922</v>
      </c>
      <c r="B671">
        <v>6.3299999999999997E-3</v>
      </c>
      <c r="C671">
        <v>6.5900000000000004E-3</v>
      </c>
      <c r="D671">
        <v>6.0600000000000003E-3</v>
      </c>
      <c r="E671">
        <v>6.4700000000000001E-3</v>
      </c>
      <c r="F671">
        <v>13666591.9</v>
      </c>
      <c r="G671">
        <v>2.21</v>
      </c>
      <c r="L671" t="s">
        <v>8</v>
      </c>
      <c r="M671" t="s">
        <v>7</v>
      </c>
      <c r="N671" t="s">
        <v>8</v>
      </c>
      <c r="P671">
        <f t="shared" si="994"/>
        <v>0.5471698113207536</v>
      </c>
      <c r="Q671">
        <f t="shared" si="995"/>
        <v>7477946.51132074</v>
      </c>
      <c r="R671">
        <f t="shared" si="996"/>
        <v>-698976874.57928348</v>
      </c>
      <c r="S671">
        <f t="shared" si="997"/>
        <v>-6989.768745792835</v>
      </c>
      <c r="T671">
        <f t="shared" si="998"/>
        <v>-6.9897687457928352</v>
      </c>
    </row>
    <row r="672" spans="1:20" x14ac:dyDescent="0.25">
      <c r="A672" s="5">
        <v>43921</v>
      </c>
      <c r="B672">
        <v>6.3600000000000002E-3</v>
      </c>
      <c r="C672">
        <v>6.43E-3</v>
      </c>
      <c r="D672">
        <v>6.2100000000000002E-3</v>
      </c>
      <c r="E672">
        <v>6.3400000000000001E-3</v>
      </c>
      <c r="F672">
        <v>10689080.1</v>
      </c>
      <c r="G672">
        <v>-0.31</v>
      </c>
      <c r="L672" t="s">
        <v>8</v>
      </c>
      <c r="M672" t="s">
        <v>7</v>
      </c>
      <c r="N672" t="s">
        <v>8</v>
      </c>
      <c r="P672">
        <f t="shared" si="994"/>
        <v>0.18181818181818254</v>
      </c>
      <c r="Q672">
        <f t="shared" si="995"/>
        <v>1943469.1090909168</v>
      </c>
      <c r="R672">
        <f t="shared" si="996"/>
        <v>-706454821.09060419</v>
      </c>
      <c r="S672">
        <f t="shared" si="997"/>
        <v>-7064.5482109060422</v>
      </c>
      <c r="T672">
        <f t="shared" si="998"/>
        <v>-7.0645482109060422</v>
      </c>
    </row>
    <row r="673" spans="1:20" x14ac:dyDescent="0.25">
      <c r="A673" s="5">
        <v>43920</v>
      </c>
      <c r="B673">
        <v>5.94E-3</v>
      </c>
      <c r="C673">
        <v>6.6299999999999996E-3</v>
      </c>
      <c r="D673">
        <v>5.9100000000000003E-3</v>
      </c>
      <c r="E673">
        <v>6.3499999999999997E-3</v>
      </c>
      <c r="F673">
        <v>17680816.399999999</v>
      </c>
      <c r="G673">
        <v>6.9</v>
      </c>
      <c r="L673" t="s">
        <v>7</v>
      </c>
      <c r="M673" t="s">
        <v>7</v>
      </c>
      <c r="N673" t="s">
        <v>8</v>
      </c>
      <c r="P673">
        <f t="shared" si="994"/>
        <v>0.22222222222222182</v>
      </c>
      <c r="Q673">
        <f t="shared" si="995"/>
        <v>3929070.3111111037</v>
      </c>
      <c r="R673">
        <f t="shared" si="996"/>
        <v>-708398290.19969511</v>
      </c>
      <c r="S673">
        <f t="shared" si="997"/>
        <v>-7083.9829019969511</v>
      </c>
      <c r="T673">
        <f t="shared" si="998"/>
        <v>-7.0839829019969507</v>
      </c>
    </row>
    <row r="674" spans="1:20" x14ac:dyDescent="0.25">
      <c r="A674" s="5">
        <v>43919</v>
      </c>
      <c r="B674">
        <v>6.45E-3</v>
      </c>
      <c r="C674">
        <v>6.5799999999999999E-3</v>
      </c>
      <c r="D674">
        <v>5.9300000000000004E-3</v>
      </c>
      <c r="E674">
        <v>5.9500000000000004E-3</v>
      </c>
      <c r="F674">
        <v>16191554.699999999</v>
      </c>
      <c r="G674">
        <v>-7.75</v>
      </c>
      <c r="L674" t="s">
        <v>8</v>
      </c>
      <c r="M674" t="s">
        <v>7</v>
      </c>
      <c r="N674" t="s">
        <v>8</v>
      </c>
      <c r="P674">
        <f t="shared" si="994"/>
        <v>-0.93846153846153824</v>
      </c>
      <c r="Q674">
        <f t="shared" si="995"/>
        <v>-15195151.33384615</v>
      </c>
      <c r="R674">
        <f t="shared" si="996"/>
        <v>-712327360.5108062</v>
      </c>
      <c r="S674">
        <f t="shared" si="997"/>
        <v>-7123.2736051080619</v>
      </c>
      <c r="T674">
        <f t="shared" si="998"/>
        <v>-7.1232736051080616</v>
      </c>
    </row>
    <row r="675" spans="1:20" x14ac:dyDescent="0.25">
      <c r="A675" s="5">
        <v>43918</v>
      </c>
      <c r="B675">
        <v>6.4000000000000003E-3</v>
      </c>
      <c r="C675">
        <v>6.4900000000000001E-3</v>
      </c>
      <c r="D675">
        <v>5.94E-3</v>
      </c>
      <c r="E675">
        <v>6.4599999999999996E-3</v>
      </c>
      <c r="F675">
        <v>16515905.1</v>
      </c>
      <c r="G675">
        <v>0.94</v>
      </c>
      <c r="L675" t="s">
        <v>7</v>
      </c>
      <c r="M675" t="s">
        <v>7</v>
      </c>
      <c r="N675" t="s">
        <v>8</v>
      </c>
      <c r="P675">
        <f t="shared" si="994"/>
        <v>0.8909090909090891</v>
      </c>
      <c r="Q675">
        <f t="shared" si="995"/>
        <v>14714169.998181788</v>
      </c>
      <c r="R675">
        <f t="shared" si="996"/>
        <v>-697132209.17696011</v>
      </c>
      <c r="S675">
        <f t="shared" si="997"/>
        <v>-6971.3220917696008</v>
      </c>
      <c r="T675">
        <f t="shared" si="998"/>
        <v>-6.9713220917696006</v>
      </c>
    </row>
    <row r="676" spans="1:20" x14ac:dyDescent="0.25">
      <c r="A676" s="5">
        <v>43917</v>
      </c>
      <c r="B676">
        <v>6.5399999999999998E-3</v>
      </c>
      <c r="C676">
        <v>7.1000000000000004E-3</v>
      </c>
      <c r="D676">
        <v>6.3499999999999997E-3</v>
      </c>
      <c r="E676">
        <v>6.4000000000000003E-3</v>
      </c>
      <c r="F676">
        <v>36396387.100000001</v>
      </c>
      <c r="G676">
        <v>-2.14</v>
      </c>
      <c r="L676" t="s">
        <v>8</v>
      </c>
      <c r="M676" t="s">
        <v>8</v>
      </c>
      <c r="N676" t="s">
        <v>8</v>
      </c>
      <c r="P676">
        <f t="shared" si="994"/>
        <v>-0.86666666666666525</v>
      </c>
      <c r="Q676">
        <f t="shared" si="995"/>
        <v>-31543535.486666616</v>
      </c>
      <c r="R676">
        <f t="shared" si="996"/>
        <v>-711846379.17514193</v>
      </c>
      <c r="S676">
        <f t="shared" si="997"/>
        <v>-7118.4637917514192</v>
      </c>
      <c r="T676">
        <f t="shared" si="998"/>
        <v>-7.1184637917514193</v>
      </c>
    </row>
    <row r="677" spans="1:20" x14ac:dyDescent="0.25">
      <c r="A677" s="5">
        <v>43916</v>
      </c>
      <c r="B677">
        <v>6.7600000000000004E-3</v>
      </c>
      <c r="C677">
        <v>6.8599999999999998E-3</v>
      </c>
      <c r="D677">
        <v>6.3600000000000002E-3</v>
      </c>
      <c r="E677">
        <v>6.5399999999999998E-3</v>
      </c>
      <c r="F677">
        <v>12431355.9</v>
      </c>
      <c r="G677">
        <v>-3.25</v>
      </c>
      <c r="L677" t="s">
        <v>8</v>
      </c>
      <c r="M677" t="s">
        <v>8</v>
      </c>
      <c r="N677" t="s">
        <v>8</v>
      </c>
      <c r="P677">
        <f t="shared" si="994"/>
        <v>-0.28000000000000097</v>
      </c>
      <c r="Q677">
        <f t="shared" si="995"/>
        <v>-3480779.6520000123</v>
      </c>
      <c r="R677">
        <f t="shared" si="996"/>
        <v>-680302843.68847537</v>
      </c>
      <c r="S677">
        <f t="shared" si="997"/>
        <v>-6803.0284368847533</v>
      </c>
      <c r="T677">
        <f t="shared" si="998"/>
        <v>-6.8030284368847536</v>
      </c>
    </row>
    <row r="678" spans="1:20" x14ac:dyDescent="0.25">
      <c r="A678" s="5">
        <v>43915</v>
      </c>
      <c r="B678">
        <v>7.0200000000000002E-3</v>
      </c>
      <c r="C678">
        <v>7.0200000000000002E-3</v>
      </c>
      <c r="D678">
        <v>6.3600000000000002E-3</v>
      </c>
      <c r="E678">
        <v>6.7499999999999999E-3</v>
      </c>
      <c r="F678">
        <v>20238286.199999999</v>
      </c>
      <c r="G678">
        <v>-3.85</v>
      </c>
      <c r="L678" t="s">
        <v>7</v>
      </c>
      <c r="M678" t="s">
        <v>8</v>
      </c>
      <c r="N678" t="s">
        <v>8</v>
      </c>
      <c r="P678">
        <f t="shared" si="994"/>
        <v>0.18181818181818099</v>
      </c>
      <c r="Q678">
        <f t="shared" si="995"/>
        <v>3679688.3999999831</v>
      </c>
      <c r="R678">
        <f t="shared" si="996"/>
        <v>-676822064.0364753</v>
      </c>
      <c r="S678">
        <f t="shared" si="997"/>
        <v>-6768.2206403647533</v>
      </c>
      <c r="T678">
        <f t="shared" si="998"/>
        <v>-6.7682206403647536</v>
      </c>
    </row>
    <row r="679" spans="1:20" x14ac:dyDescent="0.25">
      <c r="A679" s="5">
        <v>43914</v>
      </c>
      <c r="B679">
        <v>6.4200000000000004E-3</v>
      </c>
      <c r="C679">
        <v>7.26E-3</v>
      </c>
      <c r="D679">
        <v>6.3200000000000001E-3</v>
      </c>
      <c r="E679">
        <v>7.0200000000000002E-3</v>
      </c>
      <c r="F679">
        <v>46106710.5</v>
      </c>
      <c r="G679">
        <v>9.35</v>
      </c>
      <c r="L679" t="s">
        <v>8</v>
      </c>
      <c r="M679" t="s">
        <v>8</v>
      </c>
      <c r="N679" t="s">
        <v>8</v>
      </c>
      <c r="P679">
        <f t="shared" si="994"/>
        <v>0.48936170212766</v>
      </c>
      <c r="Q679">
        <f t="shared" si="995"/>
        <v>22562858.329787254</v>
      </c>
      <c r="R679">
        <f t="shared" si="996"/>
        <v>-680501752.43647528</v>
      </c>
      <c r="S679">
        <f t="shared" si="997"/>
        <v>-6805.0175243647527</v>
      </c>
      <c r="T679">
        <f t="shared" si="998"/>
        <v>-6.8050175243647528</v>
      </c>
    </row>
    <row r="680" spans="1:20" x14ac:dyDescent="0.25">
      <c r="A680" s="5">
        <v>43913</v>
      </c>
      <c r="B680">
        <v>5.8900000000000003E-3</v>
      </c>
      <c r="C680">
        <v>6.4700000000000001E-3</v>
      </c>
      <c r="D680">
        <v>5.6100000000000004E-3</v>
      </c>
      <c r="E680">
        <v>6.43E-3</v>
      </c>
      <c r="F680">
        <v>32776650.300000001</v>
      </c>
      <c r="G680">
        <v>9.17</v>
      </c>
      <c r="L680" t="s">
        <v>7</v>
      </c>
      <c r="M680" t="s">
        <v>7</v>
      </c>
      <c r="N680" t="s">
        <v>8</v>
      </c>
      <c r="P680">
        <f t="shared" si="994"/>
        <v>0.90697674418604624</v>
      </c>
      <c r="Q680">
        <f t="shared" si="995"/>
        <v>29727659.574418597</v>
      </c>
      <c r="R680">
        <f t="shared" si="996"/>
        <v>-703064610.76626253</v>
      </c>
      <c r="S680">
        <f t="shared" si="997"/>
        <v>-7030.6461076626256</v>
      </c>
      <c r="T680">
        <f t="shared" si="998"/>
        <v>-7.0306461076626254</v>
      </c>
    </row>
    <row r="681" spans="1:20" x14ac:dyDescent="0.25">
      <c r="A681" s="5">
        <v>43912</v>
      </c>
      <c r="B681">
        <v>6.8599999999999998E-3</v>
      </c>
      <c r="C681">
        <v>7.0200000000000002E-3</v>
      </c>
      <c r="D681">
        <v>5.7999999999999996E-3</v>
      </c>
      <c r="E681">
        <v>5.9100000000000003E-3</v>
      </c>
      <c r="F681">
        <v>28661194.5</v>
      </c>
      <c r="G681">
        <v>-13.85</v>
      </c>
      <c r="L681" t="s">
        <v>7</v>
      </c>
      <c r="M681" t="s">
        <v>8</v>
      </c>
      <c r="N681" t="s">
        <v>8</v>
      </c>
      <c r="P681">
        <f t="shared" si="994"/>
        <v>-0.8196721311475399</v>
      </c>
      <c r="Q681">
        <f t="shared" si="995"/>
        <v>-23492782.377049148</v>
      </c>
      <c r="R681">
        <f t="shared" si="996"/>
        <v>-732792270.34068108</v>
      </c>
      <c r="S681">
        <f t="shared" si="997"/>
        <v>-7327.9227034068108</v>
      </c>
      <c r="T681">
        <f t="shared" si="998"/>
        <v>-7.3279227034068111</v>
      </c>
    </row>
    <row r="682" spans="1:20" x14ac:dyDescent="0.25">
      <c r="A682" s="5">
        <v>43911</v>
      </c>
      <c r="B682">
        <v>6.5500000000000003E-3</v>
      </c>
      <c r="C682">
        <v>7.1300000000000001E-3</v>
      </c>
      <c r="D682">
        <v>5.9199999999999999E-3</v>
      </c>
      <c r="E682">
        <v>6.8599999999999998E-3</v>
      </c>
      <c r="F682">
        <v>34376609.100000001</v>
      </c>
      <c r="G682">
        <v>4.7300000000000004</v>
      </c>
      <c r="L682" t="s">
        <v>8</v>
      </c>
      <c r="M682" t="s">
        <v>7</v>
      </c>
      <c r="N682" t="s">
        <v>8</v>
      </c>
      <c r="P682">
        <f t="shared" si="994"/>
        <v>0.55371900826446241</v>
      </c>
      <c r="Q682">
        <f t="shared" si="995"/>
        <v>19034981.898347095</v>
      </c>
      <c r="R682">
        <f t="shared" si="996"/>
        <v>-709299487.96363199</v>
      </c>
      <c r="S682">
        <f t="shared" si="997"/>
        <v>-7092.9948796363196</v>
      </c>
      <c r="T682">
        <f t="shared" si="998"/>
        <v>-7.0929948796363194</v>
      </c>
    </row>
    <row r="683" spans="1:20" x14ac:dyDescent="0.25">
      <c r="A683" s="5">
        <v>43910</v>
      </c>
      <c r="B683">
        <v>5.8100000000000001E-3</v>
      </c>
      <c r="C683">
        <v>6.9199999999999999E-3</v>
      </c>
      <c r="D683">
        <v>5.6899999999999997E-3</v>
      </c>
      <c r="E683">
        <v>6.5300000000000002E-3</v>
      </c>
      <c r="F683">
        <v>68740789.299999997</v>
      </c>
      <c r="G683">
        <v>12.39</v>
      </c>
      <c r="L683" t="s">
        <v>8</v>
      </c>
      <c r="M683" t="s">
        <v>8</v>
      </c>
      <c r="N683" t="s">
        <v>8</v>
      </c>
      <c r="P683">
        <f t="shared" si="994"/>
        <v>0.36585365853658591</v>
      </c>
      <c r="Q683">
        <f t="shared" si="995"/>
        <v>25149069.256097596</v>
      </c>
      <c r="R683">
        <f t="shared" si="996"/>
        <v>-728334469.86197913</v>
      </c>
      <c r="S683">
        <f t="shared" si="997"/>
        <v>-7283.3446986197914</v>
      </c>
      <c r="T683">
        <f t="shared" si="998"/>
        <v>-7.2833446986197918</v>
      </c>
    </row>
    <row r="684" spans="1:20" x14ac:dyDescent="0.25">
      <c r="A684" s="5">
        <v>43909</v>
      </c>
      <c r="B684">
        <v>4.9100000000000003E-3</v>
      </c>
      <c r="C684">
        <v>6.1700000000000001E-3</v>
      </c>
      <c r="D684">
        <v>4.81E-3</v>
      </c>
      <c r="E684">
        <v>5.7999999999999996E-3</v>
      </c>
      <c r="F684">
        <v>51024806.299999997</v>
      </c>
      <c r="G684">
        <v>18.13</v>
      </c>
      <c r="L684" t="s">
        <v>8</v>
      </c>
      <c r="M684" t="s">
        <v>8</v>
      </c>
      <c r="N684" t="s">
        <v>8</v>
      </c>
      <c r="P684">
        <f t="shared" si="994"/>
        <v>0.45588235294117574</v>
      </c>
      <c r="Q684">
        <f t="shared" si="995"/>
        <v>23261308.754411727</v>
      </c>
      <c r="R684">
        <f t="shared" si="996"/>
        <v>-753483539.11807668</v>
      </c>
      <c r="S684">
        <f t="shared" si="997"/>
        <v>-7534.8353911807671</v>
      </c>
      <c r="T684">
        <f t="shared" si="998"/>
        <v>-7.5348353911807671</v>
      </c>
    </row>
    <row r="685" spans="1:20" x14ac:dyDescent="0.25">
      <c r="A685" s="5">
        <v>43908</v>
      </c>
      <c r="B685">
        <v>4.7499999999999999E-3</v>
      </c>
      <c r="C685">
        <v>5.1200000000000004E-3</v>
      </c>
      <c r="D685">
        <v>4.4900000000000001E-3</v>
      </c>
      <c r="E685">
        <v>4.9100000000000003E-3</v>
      </c>
      <c r="F685">
        <v>19402120.600000001</v>
      </c>
      <c r="G685">
        <v>3.37</v>
      </c>
      <c r="L685" t="s">
        <v>8</v>
      </c>
      <c r="M685" t="s">
        <v>8</v>
      </c>
      <c r="N685" t="s">
        <v>8</v>
      </c>
      <c r="P685">
        <f t="shared" si="994"/>
        <v>0.33333333333333331</v>
      </c>
      <c r="Q685">
        <f t="shared" si="995"/>
        <v>6467373.5333333332</v>
      </c>
      <c r="R685">
        <f t="shared" si="996"/>
        <v>-776744847.87248838</v>
      </c>
      <c r="S685">
        <f t="shared" si="997"/>
        <v>-7767.4484787248839</v>
      </c>
      <c r="T685">
        <f t="shared" si="998"/>
        <v>-7.7674484787248836</v>
      </c>
    </row>
    <row r="686" spans="1:20" x14ac:dyDescent="0.25">
      <c r="A686" s="5">
        <v>43907</v>
      </c>
      <c r="B686">
        <v>4.3699999999999998E-3</v>
      </c>
      <c r="C686">
        <v>5.0000000000000001E-3</v>
      </c>
      <c r="D686">
        <v>4.2700000000000004E-3</v>
      </c>
      <c r="E686">
        <v>4.7800000000000004E-3</v>
      </c>
      <c r="F686">
        <v>18645720.5</v>
      </c>
      <c r="G686">
        <v>9.3800000000000008</v>
      </c>
      <c r="L686" t="s">
        <v>8</v>
      </c>
      <c r="M686" t="s">
        <v>8</v>
      </c>
      <c r="N686" t="s">
        <v>8</v>
      </c>
      <c r="P686">
        <f t="shared" si="994"/>
        <v>0.39726027397260333</v>
      </c>
      <c r="Q686">
        <f t="shared" si="995"/>
        <v>7407204.0342465863</v>
      </c>
      <c r="R686">
        <f t="shared" si="996"/>
        <v>-783212221.40582168</v>
      </c>
      <c r="S686">
        <f t="shared" si="997"/>
        <v>-7832.1222140582167</v>
      </c>
      <c r="T686">
        <f t="shared" si="998"/>
        <v>-7.8321222140582165</v>
      </c>
    </row>
    <row r="687" spans="1:20" x14ac:dyDescent="0.25">
      <c r="A687" s="5">
        <v>43906</v>
      </c>
      <c r="B687">
        <v>5.3499999999999997E-3</v>
      </c>
      <c r="C687">
        <v>5.3499999999999997E-3</v>
      </c>
      <c r="D687">
        <v>3.9899999999999996E-3</v>
      </c>
      <c r="E687">
        <v>4.3699999999999998E-3</v>
      </c>
      <c r="F687">
        <v>28088171.199999999</v>
      </c>
      <c r="G687">
        <v>-18.32</v>
      </c>
      <c r="L687" t="s">
        <v>7</v>
      </c>
      <c r="M687" t="s">
        <v>7</v>
      </c>
      <c r="N687" t="s">
        <v>8</v>
      </c>
      <c r="P687">
        <f t="shared" si="994"/>
        <v>-0.44117647058823517</v>
      </c>
      <c r="Q687">
        <f t="shared" si="995"/>
        <v>-12391840.235294113</v>
      </c>
      <c r="R687">
        <f t="shared" si="996"/>
        <v>-790619425.44006824</v>
      </c>
      <c r="S687">
        <f t="shared" si="997"/>
        <v>-7906.1942544006824</v>
      </c>
      <c r="T687">
        <f t="shared" si="998"/>
        <v>-7.906194254400682</v>
      </c>
    </row>
    <row r="688" spans="1:20" x14ac:dyDescent="0.25">
      <c r="A688" s="5">
        <v>43905</v>
      </c>
      <c r="B688">
        <v>5.3099999999999996E-3</v>
      </c>
      <c r="C688">
        <v>5.6600000000000001E-3</v>
      </c>
      <c r="D688">
        <v>5.1399999999999996E-3</v>
      </c>
      <c r="E688">
        <v>5.3499999999999997E-3</v>
      </c>
      <c r="F688">
        <v>22968188.800000001</v>
      </c>
      <c r="G688">
        <v>0.75</v>
      </c>
      <c r="L688" t="s">
        <v>7</v>
      </c>
      <c r="M688" t="s">
        <v>8</v>
      </c>
      <c r="N688" t="s">
        <v>8</v>
      </c>
      <c r="P688">
        <f t="shared" si="994"/>
        <v>-0.19230769230769262</v>
      </c>
      <c r="Q688">
        <f t="shared" si="995"/>
        <v>-4416959.3846153924</v>
      </c>
      <c r="R688">
        <f t="shared" si="996"/>
        <v>-778227585.20477414</v>
      </c>
      <c r="S688">
        <f t="shared" si="997"/>
        <v>-7782.2758520477419</v>
      </c>
      <c r="T688">
        <f t="shared" si="998"/>
        <v>-7.782275852047742</v>
      </c>
    </row>
    <row r="689" spans="1:20" x14ac:dyDescent="0.25">
      <c r="A689" s="5">
        <v>43904</v>
      </c>
      <c r="B689">
        <v>5.5500000000000002E-3</v>
      </c>
      <c r="C689">
        <v>5.7400000000000003E-3</v>
      </c>
      <c r="D689">
        <v>5.1700000000000001E-3</v>
      </c>
      <c r="E689">
        <v>5.3099999999999996E-3</v>
      </c>
      <c r="F689">
        <v>23611159.699999999</v>
      </c>
      <c r="G689">
        <v>-4.32</v>
      </c>
      <c r="L689" t="s">
        <v>8</v>
      </c>
      <c r="M689" t="s">
        <v>8</v>
      </c>
      <c r="N689" t="s">
        <v>8</v>
      </c>
      <c r="P689">
        <f t="shared" si="994"/>
        <v>-0.50877192982456332</v>
      </c>
      <c r="Q689">
        <f t="shared" si="995"/>
        <v>-12012695.285964957</v>
      </c>
      <c r="R689">
        <f t="shared" si="996"/>
        <v>-773810625.82015872</v>
      </c>
      <c r="S689">
        <f t="shared" si="997"/>
        <v>-7738.1062582015875</v>
      </c>
      <c r="T689">
        <f t="shared" si="998"/>
        <v>-7.7381062582015874</v>
      </c>
    </row>
    <row r="690" spans="1:20" x14ac:dyDescent="0.25">
      <c r="A690" s="5">
        <v>43903</v>
      </c>
      <c r="B690">
        <v>4.7800000000000004E-3</v>
      </c>
      <c r="C690">
        <v>5.7400000000000003E-3</v>
      </c>
      <c r="D690">
        <v>3.2599999999999999E-3</v>
      </c>
      <c r="E690">
        <v>5.5300000000000002E-3</v>
      </c>
      <c r="F690">
        <v>53371378.799999997</v>
      </c>
      <c r="G690">
        <v>15.69</v>
      </c>
      <c r="L690" t="s">
        <v>7</v>
      </c>
      <c r="M690" t="s">
        <v>7</v>
      </c>
      <c r="N690" t="s">
        <v>7</v>
      </c>
      <c r="P690">
        <f t="shared" si="994"/>
        <v>0.83064516129032251</v>
      </c>
      <c r="Q690">
        <f t="shared" si="995"/>
        <v>44332677.551612899</v>
      </c>
      <c r="R690">
        <f t="shared" si="996"/>
        <v>-761797930.53419375</v>
      </c>
      <c r="S690">
        <f t="shared" si="997"/>
        <v>-7617.9793053419371</v>
      </c>
      <c r="T690">
        <f t="shared" si="998"/>
        <v>-7.6179793053419367</v>
      </c>
    </row>
    <row r="691" spans="1:20" x14ac:dyDescent="0.25">
      <c r="A691" s="5">
        <v>43902</v>
      </c>
      <c r="B691">
        <v>9.8399999999999998E-3</v>
      </c>
      <c r="C691">
        <v>9.8600000000000007E-3</v>
      </c>
      <c r="D691">
        <v>4.5399999999999998E-3</v>
      </c>
      <c r="E691">
        <v>4.7699999999999999E-3</v>
      </c>
      <c r="F691">
        <v>52131232.399999999</v>
      </c>
      <c r="G691">
        <v>-51.52</v>
      </c>
      <c r="L691" t="s">
        <v>7</v>
      </c>
      <c r="M691" t="s">
        <v>7</v>
      </c>
      <c r="N691" t="s">
        <v>7</v>
      </c>
      <c r="P691">
        <f t="shared" si="994"/>
        <v>-0.91353383458646609</v>
      </c>
      <c r="Q691">
        <f t="shared" si="995"/>
        <v>-47623644.636090219</v>
      </c>
      <c r="R691">
        <f t="shared" si="996"/>
        <v>-806130608.08580661</v>
      </c>
      <c r="S691">
        <f t="shared" si="997"/>
        <v>-8061.3060808580658</v>
      </c>
      <c r="T691">
        <f t="shared" si="998"/>
        <v>-8.0613060808580652</v>
      </c>
    </row>
    <row r="692" spans="1:20" x14ac:dyDescent="0.25">
      <c r="A692" s="5">
        <v>43901</v>
      </c>
      <c r="B692">
        <v>9.6600000000000002E-3</v>
      </c>
      <c r="C692">
        <v>1.008E-2</v>
      </c>
      <c r="D692">
        <v>8.6499999999999997E-3</v>
      </c>
      <c r="E692">
        <v>9.8300000000000002E-3</v>
      </c>
      <c r="F692">
        <v>47921416.299999997</v>
      </c>
      <c r="G692">
        <v>1.76</v>
      </c>
      <c r="L692" t="s">
        <v>7</v>
      </c>
      <c r="M692" t="s">
        <v>8</v>
      </c>
      <c r="N692" t="s">
        <v>7</v>
      </c>
      <c r="P692">
        <f t="shared" si="994"/>
        <v>0.6503496503496502</v>
      </c>
      <c r="Q692">
        <f t="shared" si="995"/>
        <v>31165676.334965024</v>
      </c>
      <c r="R692">
        <f t="shared" si="996"/>
        <v>-758506963.44971645</v>
      </c>
      <c r="S692">
        <f t="shared" si="997"/>
        <v>-7585.0696344971648</v>
      </c>
      <c r="T692">
        <f t="shared" si="998"/>
        <v>-7.5850696344971649</v>
      </c>
    </row>
    <row r="693" spans="1:20" x14ac:dyDescent="0.25">
      <c r="A693" s="5">
        <v>43900</v>
      </c>
      <c r="B693">
        <v>8.9700000000000005E-3</v>
      </c>
      <c r="C693">
        <v>1.0160000000000001E-2</v>
      </c>
      <c r="D693">
        <v>8.9700000000000005E-3</v>
      </c>
      <c r="E693">
        <v>9.6500000000000006E-3</v>
      </c>
      <c r="F693">
        <v>29239713.699999999</v>
      </c>
      <c r="G693">
        <v>7.58</v>
      </c>
      <c r="L693" t="s">
        <v>8</v>
      </c>
      <c r="M693" t="s">
        <v>8</v>
      </c>
      <c r="N693" t="s">
        <v>7</v>
      </c>
      <c r="P693">
        <f t="shared" si="994"/>
        <v>0.14285714285714285</v>
      </c>
      <c r="Q693">
        <f t="shared" si="995"/>
        <v>4177101.9571428569</v>
      </c>
      <c r="R693">
        <f t="shared" si="996"/>
        <v>-789672639.78468144</v>
      </c>
      <c r="S693">
        <f t="shared" si="997"/>
        <v>-7896.7263978468145</v>
      </c>
      <c r="T693">
        <f t="shared" si="998"/>
        <v>-7.8967263978468143</v>
      </c>
    </row>
    <row r="694" spans="1:20" x14ac:dyDescent="0.25">
      <c r="A694" s="5">
        <v>43899</v>
      </c>
      <c r="B694">
        <v>9.0600000000000003E-3</v>
      </c>
      <c r="C694">
        <v>1.0489999999999999E-2</v>
      </c>
      <c r="D694">
        <v>8.26E-3</v>
      </c>
      <c r="E694">
        <v>8.9700000000000005E-3</v>
      </c>
      <c r="F694">
        <v>40703762.600000001</v>
      </c>
      <c r="G694">
        <v>-0.99</v>
      </c>
      <c r="L694" t="s">
        <v>7</v>
      </c>
      <c r="M694" t="s">
        <v>7</v>
      </c>
      <c r="N694" t="s">
        <v>7</v>
      </c>
      <c r="P694">
        <f t="shared" si="994"/>
        <v>-0.36322869955156883</v>
      </c>
      <c r="Q694">
        <f t="shared" si="995"/>
        <v>-14784774.756053785</v>
      </c>
      <c r="R694">
        <f t="shared" si="996"/>
        <v>-793849741.74182427</v>
      </c>
      <c r="S694">
        <f t="shared" si="997"/>
        <v>-7938.4974174182425</v>
      </c>
      <c r="T694">
        <f t="shared" si="998"/>
        <v>-7.9384974174182421</v>
      </c>
    </row>
    <row r="695" spans="1:20" x14ac:dyDescent="0.25">
      <c r="A695" s="5">
        <v>43898</v>
      </c>
      <c r="B695">
        <v>1.1129999999999999E-2</v>
      </c>
      <c r="C695">
        <v>1.115E-2</v>
      </c>
      <c r="D695">
        <v>8.8800000000000007E-3</v>
      </c>
      <c r="E695">
        <v>9.0900000000000009E-3</v>
      </c>
      <c r="F695">
        <v>32868786.699999999</v>
      </c>
      <c r="G695">
        <v>-18.329999999999998</v>
      </c>
      <c r="L695" t="s">
        <v>7</v>
      </c>
      <c r="M695" t="s">
        <v>7</v>
      </c>
      <c r="N695" t="s">
        <v>7</v>
      </c>
      <c r="P695">
        <f t="shared" si="994"/>
        <v>-0.81497797356828183</v>
      </c>
      <c r="Q695">
        <f t="shared" si="995"/>
        <v>-26787337.178414091</v>
      </c>
      <c r="R695">
        <f t="shared" si="996"/>
        <v>-779064966.98577046</v>
      </c>
      <c r="S695">
        <f t="shared" si="997"/>
        <v>-7790.6496698577048</v>
      </c>
      <c r="T695">
        <f t="shared" si="998"/>
        <v>-7.7906496698577046</v>
      </c>
    </row>
    <row r="696" spans="1:20" x14ac:dyDescent="0.25">
      <c r="A696" s="5">
        <v>43897</v>
      </c>
      <c r="B696">
        <v>1.176E-2</v>
      </c>
      <c r="C696">
        <v>1.217E-2</v>
      </c>
      <c r="D696">
        <v>1.0800000000000001E-2</v>
      </c>
      <c r="E696">
        <v>1.115E-2</v>
      </c>
      <c r="F696">
        <v>31933563.899999999</v>
      </c>
      <c r="G696">
        <v>-5.19</v>
      </c>
      <c r="L696" t="s">
        <v>7</v>
      </c>
      <c r="M696" t="s">
        <v>8</v>
      </c>
      <c r="N696" t="s">
        <v>8</v>
      </c>
      <c r="P696">
        <f t="shared" si="994"/>
        <v>-0.48905109489051141</v>
      </c>
      <c r="Q696">
        <f t="shared" si="995"/>
        <v>-15617144.38905111</v>
      </c>
      <c r="R696">
        <f t="shared" si="996"/>
        <v>-752277629.80735636</v>
      </c>
      <c r="S696">
        <f t="shared" si="997"/>
        <v>-7522.7762980735633</v>
      </c>
      <c r="T696">
        <f t="shared" si="998"/>
        <v>-7.5227762980735635</v>
      </c>
    </row>
    <row r="697" spans="1:20" x14ac:dyDescent="0.25">
      <c r="A697" s="5">
        <v>43896</v>
      </c>
      <c r="B697">
        <v>1.226E-2</v>
      </c>
      <c r="C697">
        <v>1.259E-2</v>
      </c>
      <c r="D697">
        <v>1.1650000000000001E-2</v>
      </c>
      <c r="E697">
        <v>1.176E-2</v>
      </c>
      <c r="F697">
        <v>30499395.100000001</v>
      </c>
      <c r="G697">
        <v>-4.08</v>
      </c>
      <c r="L697" t="s">
        <v>7</v>
      </c>
      <c r="M697" t="s">
        <v>8</v>
      </c>
      <c r="N697" t="s">
        <v>8</v>
      </c>
      <c r="P697">
        <f t="shared" si="994"/>
        <v>-0.76595744680851274</v>
      </c>
      <c r="Q697">
        <f t="shared" si="995"/>
        <v>-23361238.800000064</v>
      </c>
      <c r="R697">
        <f t="shared" si="996"/>
        <v>-736660485.41830528</v>
      </c>
      <c r="S697">
        <f t="shared" si="997"/>
        <v>-7366.6048541830523</v>
      </c>
      <c r="T697">
        <f t="shared" si="998"/>
        <v>-7.366604854183052</v>
      </c>
    </row>
    <row r="698" spans="1:20" x14ac:dyDescent="0.25">
      <c r="A698" s="5">
        <v>43895</v>
      </c>
      <c r="B698">
        <v>1.129E-2</v>
      </c>
      <c r="C698">
        <v>1.2800000000000001E-2</v>
      </c>
      <c r="D698">
        <v>1.129E-2</v>
      </c>
      <c r="E698">
        <v>1.226E-2</v>
      </c>
      <c r="F698">
        <v>74246954</v>
      </c>
      <c r="G698">
        <v>8.59</v>
      </c>
      <c r="L698" t="s">
        <v>8</v>
      </c>
      <c r="M698" t="s">
        <v>8</v>
      </c>
      <c r="N698" t="s">
        <v>8</v>
      </c>
      <c r="P698">
        <f t="shared" si="994"/>
        <v>0.28476821192052953</v>
      </c>
      <c r="Q698">
        <f t="shared" si="995"/>
        <v>21143172.331125807</v>
      </c>
      <c r="R698">
        <f t="shared" si="996"/>
        <v>-713299246.61830521</v>
      </c>
      <c r="S698">
        <f t="shared" si="997"/>
        <v>-7132.9924661830519</v>
      </c>
      <c r="T698">
        <f t="shared" si="998"/>
        <v>-7.1329924661830519</v>
      </c>
    </row>
    <row r="699" spans="1:20" x14ac:dyDescent="0.25">
      <c r="A699" s="5">
        <v>43894</v>
      </c>
      <c r="B699">
        <v>1.1129999999999999E-2</v>
      </c>
      <c r="C699">
        <v>1.1469999999999999E-2</v>
      </c>
      <c r="D699">
        <v>1.094E-2</v>
      </c>
      <c r="E699">
        <v>1.1299999999999999E-2</v>
      </c>
      <c r="F699">
        <v>58699132</v>
      </c>
      <c r="G699">
        <v>1.53</v>
      </c>
      <c r="L699" t="s">
        <v>7</v>
      </c>
      <c r="M699" t="s">
        <v>8</v>
      </c>
      <c r="N699" t="s">
        <v>7</v>
      </c>
      <c r="P699">
        <f t="shared" si="994"/>
        <v>0.35849056603773488</v>
      </c>
      <c r="Q699">
        <f t="shared" si="995"/>
        <v>21043085.056603719</v>
      </c>
      <c r="R699">
        <f t="shared" si="996"/>
        <v>-734442418.94943106</v>
      </c>
      <c r="S699">
        <f t="shared" si="997"/>
        <v>-7344.4241894943107</v>
      </c>
      <c r="T699">
        <f t="shared" si="998"/>
        <v>-7.344424189494311</v>
      </c>
    </row>
    <row r="700" spans="1:20" x14ac:dyDescent="0.25">
      <c r="A700" s="5">
        <v>43893</v>
      </c>
      <c r="B700">
        <v>1.095E-2</v>
      </c>
      <c r="C700">
        <v>1.1730000000000001E-2</v>
      </c>
      <c r="D700">
        <v>1.073E-2</v>
      </c>
      <c r="E700">
        <v>1.1169999999999999E-2</v>
      </c>
      <c r="F700">
        <v>65834172.299999997</v>
      </c>
      <c r="G700">
        <v>2.0099999999999998</v>
      </c>
      <c r="L700" t="s">
        <v>8</v>
      </c>
      <c r="M700" t="s">
        <v>8</v>
      </c>
      <c r="N700" t="s">
        <v>7</v>
      </c>
      <c r="P700">
        <f t="shared" si="994"/>
        <v>-0.12000000000000194</v>
      </c>
      <c r="Q700">
        <f t="shared" si="995"/>
        <v>-7900100.6760001276</v>
      </c>
      <c r="R700">
        <f t="shared" si="996"/>
        <v>-755485504.00603473</v>
      </c>
      <c r="S700">
        <f t="shared" si="997"/>
        <v>-7554.8550400603472</v>
      </c>
      <c r="T700">
        <f t="shared" si="998"/>
        <v>-7.5548550400603469</v>
      </c>
    </row>
    <row r="701" spans="1:20" x14ac:dyDescent="0.25">
      <c r="A701" s="5">
        <v>43892</v>
      </c>
      <c r="B701">
        <v>9.6399999999999993E-3</v>
      </c>
      <c r="C701">
        <v>1.1520000000000001E-2</v>
      </c>
      <c r="D701">
        <v>9.6100000000000005E-3</v>
      </c>
      <c r="E701">
        <v>1.093E-2</v>
      </c>
      <c r="F701">
        <v>52514274.899999999</v>
      </c>
      <c r="G701">
        <v>13.38</v>
      </c>
      <c r="L701" t="s">
        <v>8</v>
      </c>
      <c r="M701" t="s">
        <v>8</v>
      </c>
      <c r="N701" t="s">
        <v>7</v>
      </c>
      <c r="P701">
        <f t="shared" si="994"/>
        <v>0.38219895287958094</v>
      </c>
      <c r="Q701">
        <f t="shared" si="995"/>
        <v>20070900.878010459</v>
      </c>
      <c r="R701">
        <f t="shared" si="996"/>
        <v>-747585403.33003461</v>
      </c>
      <c r="S701">
        <f t="shared" si="997"/>
        <v>-7475.8540333003457</v>
      </c>
      <c r="T701">
        <f t="shared" si="998"/>
        <v>-7.4758540333003456</v>
      </c>
    </row>
    <row r="702" spans="1:20" x14ac:dyDescent="0.25">
      <c r="A702" s="5">
        <v>43891</v>
      </c>
      <c r="B702">
        <v>9.5300000000000003E-3</v>
      </c>
      <c r="C702">
        <v>9.9900000000000006E-3</v>
      </c>
      <c r="D702">
        <v>9.3200000000000002E-3</v>
      </c>
      <c r="E702">
        <v>9.6299999999999997E-3</v>
      </c>
      <c r="F702">
        <v>24974036.899999999</v>
      </c>
      <c r="G702">
        <v>1.05</v>
      </c>
      <c r="L702" t="s">
        <v>7</v>
      </c>
      <c r="M702" t="s">
        <v>7</v>
      </c>
      <c r="N702" t="s">
        <v>7</v>
      </c>
      <c r="P702">
        <f t="shared" si="994"/>
        <v>-7.462686567164388E-2</v>
      </c>
      <c r="Q702">
        <f t="shared" si="995"/>
        <v>-1863734.0970149774</v>
      </c>
      <c r="R702">
        <f t="shared" si="996"/>
        <v>-767656304.20804513</v>
      </c>
      <c r="S702">
        <f t="shared" si="997"/>
        <v>-7676.5630420804509</v>
      </c>
      <c r="T702">
        <f t="shared" si="998"/>
        <v>-7.6765630420804509</v>
      </c>
    </row>
    <row r="703" spans="1:20" x14ac:dyDescent="0.25">
      <c r="A703" s="5">
        <v>43890</v>
      </c>
      <c r="B703">
        <v>9.4900000000000002E-3</v>
      </c>
      <c r="C703">
        <v>1.04E-2</v>
      </c>
      <c r="D703">
        <v>9.4900000000000002E-3</v>
      </c>
      <c r="E703">
        <v>9.5600000000000008E-3</v>
      </c>
      <c r="F703">
        <v>33851570</v>
      </c>
      <c r="G703">
        <v>0.74</v>
      </c>
      <c r="L703" t="s">
        <v>8</v>
      </c>
      <c r="M703" t="s">
        <v>7</v>
      </c>
      <c r="N703" t="s">
        <v>7</v>
      </c>
      <c r="P703">
        <f t="shared" si="994"/>
        <v>-0.8461538461538447</v>
      </c>
      <c r="Q703">
        <f t="shared" si="995"/>
        <v>-28643636.153846104</v>
      </c>
      <c r="R703">
        <f t="shared" si="996"/>
        <v>-765792570.1110301</v>
      </c>
      <c r="S703">
        <f t="shared" si="997"/>
        <v>-7657.9257011103009</v>
      </c>
      <c r="T703">
        <f t="shared" si="998"/>
        <v>-7.657925701110301</v>
      </c>
    </row>
    <row r="704" spans="1:20" x14ac:dyDescent="0.25">
      <c r="A704" s="5">
        <v>43889</v>
      </c>
      <c r="B704">
        <v>9.7199999999999995E-3</v>
      </c>
      <c r="C704">
        <v>1.0109999999999999E-2</v>
      </c>
      <c r="D704">
        <v>9.0100000000000006E-3</v>
      </c>
      <c r="E704">
        <v>9.5200000000000007E-3</v>
      </c>
      <c r="F704">
        <v>28984594.199999999</v>
      </c>
      <c r="G704">
        <v>-2.06</v>
      </c>
      <c r="L704" t="s">
        <v>7</v>
      </c>
      <c r="M704" t="s">
        <v>7</v>
      </c>
      <c r="N704" t="s">
        <v>7</v>
      </c>
      <c r="P704">
        <f t="shared" si="994"/>
        <v>-7.2727272727271433E-2</v>
      </c>
      <c r="Q704">
        <f t="shared" si="995"/>
        <v>-2107970.4872726896</v>
      </c>
      <c r="R704">
        <f t="shared" si="996"/>
        <v>-737148933.95718396</v>
      </c>
      <c r="S704">
        <f t="shared" si="997"/>
        <v>-7371.48933957184</v>
      </c>
      <c r="T704">
        <f t="shared" si="998"/>
        <v>-7.3714893395718404</v>
      </c>
    </row>
    <row r="705" spans="1:20" x14ac:dyDescent="0.25">
      <c r="A705" s="5">
        <v>43888</v>
      </c>
      <c r="B705">
        <v>9.58E-3</v>
      </c>
      <c r="C705">
        <v>1.025E-2</v>
      </c>
      <c r="D705">
        <v>9.0699999999999999E-3</v>
      </c>
      <c r="E705">
        <v>9.6900000000000007E-3</v>
      </c>
      <c r="F705">
        <v>32716685.300000001</v>
      </c>
      <c r="G705">
        <v>1.1499999999999999</v>
      </c>
      <c r="L705" t="s">
        <v>8</v>
      </c>
      <c r="M705" t="s">
        <v>7</v>
      </c>
      <c r="N705" t="s">
        <v>7</v>
      </c>
      <c r="P705">
        <f t="shared" si="994"/>
        <v>5.0847457627119494E-2</v>
      </c>
      <c r="Q705">
        <f t="shared" si="995"/>
        <v>1663560.2694915533</v>
      </c>
      <c r="R705">
        <f t="shared" si="996"/>
        <v>-735040963.46991122</v>
      </c>
      <c r="S705">
        <f t="shared" si="997"/>
        <v>-7350.4096346991118</v>
      </c>
      <c r="T705">
        <f t="shared" si="998"/>
        <v>-7.3504096346991119</v>
      </c>
    </row>
    <row r="706" spans="1:20" x14ac:dyDescent="0.25">
      <c r="A706" s="5">
        <v>43887</v>
      </c>
      <c r="B706">
        <v>1.119E-2</v>
      </c>
      <c r="C706">
        <v>1.125E-2</v>
      </c>
      <c r="D706">
        <v>8.9999999999999993E-3</v>
      </c>
      <c r="E706">
        <v>9.58E-3</v>
      </c>
      <c r="F706">
        <v>57606964.100000001</v>
      </c>
      <c r="G706">
        <v>-14.39</v>
      </c>
      <c r="L706" t="s">
        <v>7</v>
      </c>
      <c r="M706" t="s">
        <v>7</v>
      </c>
      <c r="N706" t="s">
        <v>7</v>
      </c>
      <c r="P706">
        <f t="shared" si="994"/>
        <v>-0.4844444444444439</v>
      </c>
      <c r="Q706">
        <f t="shared" si="995"/>
        <v>-27907373.719555523</v>
      </c>
      <c r="R706">
        <f t="shared" si="996"/>
        <v>-736704523.73940277</v>
      </c>
      <c r="S706">
        <f t="shared" si="997"/>
        <v>-7367.0452373940279</v>
      </c>
      <c r="T706">
        <f t="shared" si="998"/>
        <v>-7.3670452373940281</v>
      </c>
    </row>
    <row r="707" spans="1:20" x14ac:dyDescent="0.25">
      <c r="A707" s="5">
        <v>43886</v>
      </c>
      <c r="B707">
        <v>1.265E-2</v>
      </c>
      <c r="C707">
        <v>1.3310000000000001E-2</v>
      </c>
      <c r="D707">
        <v>1.0959999999999999E-2</v>
      </c>
      <c r="E707">
        <v>1.115E-2</v>
      </c>
      <c r="F707">
        <v>61120038</v>
      </c>
      <c r="G707">
        <v>-11.86</v>
      </c>
      <c r="L707" t="s">
        <v>7</v>
      </c>
      <c r="M707" t="s">
        <v>7</v>
      </c>
      <c r="N707" t="s">
        <v>7</v>
      </c>
      <c r="P707">
        <f t="shared" si="994"/>
        <v>-0.83829787234042485</v>
      </c>
      <c r="Q707">
        <f t="shared" si="995"/>
        <v>-51236797.812765919</v>
      </c>
      <c r="R707">
        <f t="shared" si="996"/>
        <v>-708797150.01984727</v>
      </c>
      <c r="S707">
        <f t="shared" si="997"/>
        <v>-7087.9715001984723</v>
      </c>
      <c r="T707">
        <f t="shared" si="998"/>
        <v>-7.0879715001984724</v>
      </c>
    </row>
    <row r="708" spans="1:20" x14ac:dyDescent="0.25">
      <c r="A708" s="5">
        <v>43885</v>
      </c>
      <c r="B708">
        <v>1.257E-2</v>
      </c>
      <c r="C708">
        <v>1.3390000000000001E-2</v>
      </c>
      <c r="D708">
        <v>1.2290000000000001E-2</v>
      </c>
      <c r="E708">
        <v>1.264E-2</v>
      </c>
      <c r="F708">
        <v>51916760.700000003</v>
      </c>
      <c r="G708">
        <v>0.56000000000000005</v>
      </c>
      <c r="L708" t="s">
        <v>8</v>
      </c>
      <c r="M708" t="s">
        <v>8</v>
      </c>
      <c r="N708" t="s">
        <v>7</v>
      </c>
      <c r="P708">
        <f t="shared" si="994"/>
        <v>-0.36363636363636448</v>
      </c>
      <c r="Q708">
        <f t="shared" si="995"/>
        <v>-18878822.072727319</v>
      </c>
      <c r="R708">
        <f t="shared" si="996"/>
        <v>-657560352.20708132</v>
      </c>
      <c r="S708">
        <f t="shared" si="997"/>
        <v>-6575.6035220708136</v>
      </c>
      <c r="T708">
        <f t="shared" si="998"/>
        <v>-6.5756035220708133</v>
      </c>
    </row>
    <row r="709" spans="1:20" x14ac:dyDescent="0.25">
      <c r="A709" s="5">
        <v>43884</v>
      </c>
      <c r="B709">
        <v>1.226E-2</v>
      </c>
      <c r="C709">
        <v>1.2919999999999999E-2</v>
      </c>
      <c r="D709">
        <v>1.2160000000000001E-2</v>
      </c>
      <c r="E709">
        <v>1.255E-2</v>
      </c>
      <c r="F709">
        <v>27970667.199999999</v>
      </c>
      <c r="G709">
        <v>2.37</v>
      </c>
      <c r="L709" t="s">
        <v>8</v>
      </c>
      <c r="M709" t="s">
        <v>7</v>
      </c>
      <c r="N709" t="s">
        <v>7</v>
      </c>
      <c r="P709">
        <f t="shared" si="994"/>
        <v>2.6315789473685472E-2</v>
      </c>
      <c r="Q709">
        <f t="shared" si="995"/>
        <v>736070.18947371945</v>
      </c>
      <c r="R709">
        <f t="shared" si="996"/>
        <v>-638681530.134354</v>
      </c>
      <c r="S709">
        <f t="shared" si="997"/>
        <v>-6386.8153013435403</v>
      </c>
      <c r="T709">
        <f t="shared" si="998"/>
        <v>-6.3868153013435407</v>
      </c>
    </row>
    <row r="710" spans="1:20" x14ac:dyDescent="0.25">
      <c r="A710" s="5">
        <v>43883</v>
      </c>
      <c r="B710">
        <v>1.2999999999999999E-2</v>
      </c>
      <c r="C710">
        <v>1.307E-2</v>
      </c>
      <c r="D710">
        <v>1.0749999999999999E-2</v>
      </c>
      <c r="E710">
        <v>1.225E-2</v>
      </c>
      <c r="F710">
        <v>39999789.899999999</v>
      </c>
      <c r="G710">
        <v>-5.77</v>
      </c>
      <c r="L710" t="s">
        <v>7</v>
      </c>
      <c r="M710" t="s">
        <v>7</v>
      </c>
      <c r="N710" t="s">
        <v>7</v>
      </c>
      <c r="P710">
        <f t="shared" ref="P710:P766" si="999">IF(C710=D710,0,((E710-D710)-(C710-E710))/(C710-D710))</f>
        <v>0.29310344827586271</v>
      </c>
      <c r="Q710">
        <f t="shared" ref="Q710:Q766" si="1000">F710*P710</f>
        <v>11724076.350000026</v>
      </c>
      <c r="R710">
        <f t="shared" ref="R710:R766" si="1001">R711+Q710</f>
        <v>-639417600.32382774</v>
      </c>
      <c r="S710">
        <f t="shared" ref="S710:S766" si="1002">R710/100000</f>
        <v>-6394.1760032382772</v>
      </c>
      <c r="T710">
        <f t="shared" ref="T710:T766" si="1003">S710/1000</f>
        <v>-6.3941760032382771</v>
      </c>
    </row>
    <row r="711" spans="1:20" x14ac:dyDescent="0.25">
      <c r="A711" s="5">
        <v>43882</v>
      </c>
      <c r="B711">
        <v>1.2880000000000001E-2</v>
      </c>
      <c r="C711">
        <v>1.3650000000000001E-2</v>
      </c>
      <c r="D711">
        <v>1.257E-2</v>
      </c>
      <c r="E711">
        <v>1.299E-2</v>
      </c>
      <c r="F711">
        <v>47449633.5</v>
      </c>
      <c r="G711">
        <v>0.85</v>
      </c>
      <c r="L711" t="s">
        <v>8</v>
      </c>
      <c r="M711" t="s">
        <v>7</v>
      </c>
      <c r="N711" t="s">
        <v>7</v>
      </c>
      <c r="P711">
        <f t="shared" si="999"/>
        <v>-0.22222222222222257</v>
      </c>
      <c r="Q711">
        <f t="shared" si="1000"/>
        <v>-10544363.000000017</v>
      </c>
      <c r="R711">
        <f t="shared" si="1001"/>
        <v>-651141676.67382777</v>
      </c>
      <c r="S711">
        <f t="shared" si="1002"/>
        <v>-6511.4167667382781</v>
      </c>
      <c r="T711">
        <f t="shared" si="1003"/>
        <v>-6.5114167667382779</v>
      </c>
    </row>
    <row r="712" spans="1:20" x14ac:dyDescent="0.25">
      <c r="A712" s="5">
        <v>43881</v>
      </c>
      <c r="B712">
        <v>1.355E-2</v>
      </c>
      <c r="C712">
        <v>1.4080000000000001E-2</v>
      </c>
      <c r="D712">
        <v>1.2120000000000001E-2</v>
      </c>
      <c r="E712">
        <v>1.285E-2</v>
      </c>
      <c r="F712">
        <v>94005933.299999997</v>
      </c>
      <c r="G712">
        <v>-5.17</v>
      </c>
      <c r="L712" t="s">
        <v>7</v>
      </c>
      <c r="M712" t="s">
        <v>7</v>
      </c>
      <c r="N712" t="s">
        <v>7</v>
      </c>
      <c r="P712">
        <f t="shared" si="999"/>
        <v>-0.25510204081632676</v>
      </c>
      <c r="Q712">
        <f t="shared" si="1000"/>
        <v>-23981105.43367349</v>
      </c>
      <c r="R712">
        <f t="shared" si="1001"/>
        <v>-640597313.67382777</v>
      </c>
      <c r="S712">
        <f t="shared" si="1002"/>
        <v>-6405.9731367382774</v>
      </c>
      <c r="T712">
        <f t="shared" si="1003"/>
        <v>-6.4059731367382771</v>
      </c>
    </row>
    <row r="713" spans="1:20" x14ac:dyDescent="0.25">
      <c r="A713" s="5">
        <v>43880</v>
      </c>
      <c r="B713">
        <v>1.7809999999999999E-2</v>
      </c>
      <c r="C713">
        <v>1.806E-2</v>
      </c>
      <c r="D713">
        <v>1.302E-2</v>
      </c>
      <c r="E713">
        <v>1.358E-2</v>
      </c>
      <c r="F713">
        <v>223062175.19999999</v>
      </c>
      <c r="G713">
        <v>-23.75</v>
      </c>
      <c r="L713" t="s">
        <v>7</v>
      </c>
      <c r="M713" t="s">
        <v>7</v>
      </c>
      <c r="N713" t="s">
        <v>7</v>
      </c>
      <c r="P713">
        <f t="shared" si="999"/>
        <v>-0.7777777777777779</v>
      </c>
      <c r="Q713">
        <f t="shared" si="1000"/>
        <v>-173492802.93333334</v>
      </c>
      <c r="R713">
        <f t="shared" si="1001"/>
        <v>-616616208.24015427</v>
      </c>
      <c r="S713">
        <f t="shared" si="1002"/>
        <v>-6166.1620824015426</v>
      </c>
      <c r="T713">
        <f t="shared" si="1003"/>
        <v>-6.1661620824015424</v>
      </c>
    </row>
    <row r="714" spans="1:20" x14ac:dyDescent="0.25">
      <c r="A714" s="5">
        <v>43879</v>
      </c>
      <c r="B714">
        <v>2.0320000000000001E-2</v>
      </c>
      <c r="C714">
        <v>2.3E-2</v>
      </c>
      <c r="D714">
        <v>1.711E-2</v>
      </c>
      <c r="E714">
        <v>1.7819999999999999E-2</v>
      </c>
      <c r="F714">
        <v>201480378.69999999</v>
      </c>
      <c r="G714">
        <v>-12.3</v>
      </c>
      <c r="L714" t="s">
        <v>8</v>
      </c>
      <c r="M714" t="s">
        <v>7</v>
      </c>
      <c r="N714" t="s">
        <v>8</v>
      </c>
      <c r="P714">
        <f t="shared" si="999"/>
        <v>-0.75891341256366762</v>
      </c>
      <c r="Q714">
        <f t="shared" si="1000"/>
        <v>-152906161.76383707</v>
      </c>
      <c r="R714">
        <f t="shared" si="1001"/>
        <v>-443123405.30682087</v>
      </c>
      <c r="S714">
        <f t="shared" si="1002"/>
        <v>-4431.2340530682086</v>
      </c>
      <c r="T714">
        <f t="shared" si="1003"/>
        <v>-4.4312340530682084</v>
      </c>
    </row>
    <row r="715" spans="1:20" x14ac:dyDescent="0.25">
      <c r="A715" s="5">
        <v>43878</v>
      </c>
      <c r="B715">
        <v>1.771E-2</v>
      </c>
      <c r="C715">
        <v>2.24E-2</v>
      </c>
      <c r="D715">
        <v>1.7670000000000002E-2</v>
      </c>
      <c r="E715">
        <v>2.017E-2</v>
      </c>
      <c r="F715">
        <v>96580711.900000006</v>
      </c>
      <c r="G715">
        <v>13.89</v>
      </c>
      <c r="L715" t="s">
        <v>8</v>
      </c>
      <c r="M715" t="s">
        <v>8</v>
      </c>
      <c r="N715" t="s">
        <v>8</v>
      </c>
      <c r="P715">
        <f t="shared" si="999"/>
        <v>5.7082452431289538E-2</v>
      </c>
      <c r="Q715">
        <f t="shared" si="1000"/>
        <v>5513063.8928118302</v>
      </c>
      <c r="R715">
        <f t="shared" si="1001"/>
        <v>-290217243.54298383</v>
      </c>
      <c r="S715">
        <f t="shared" si="1002"/>
        <v>-2902.1724354298385</v>
      </c>
      <c r="T715">
        <f t="shared" si="1003"/>
        <v>-2.9021724354298386</v>
      </c>
    </row>
    <row r="716" spans="1:20" x14ac:dyDescent="0.25">
      <c r="A716" s="5">
        <v>43877</v>
      </c>
      <c r="B716">
        <v>1.7409999999999998E-2</v>
      </c>
      <c r="C716">
        <v>1.9480000000000001E-2</v>
      </c>
      <c r="D716">
        <v>1.6729999999999998E-2</v>
      </c>
      <c r="E716">
        <v>1.772E-2</v>
      </c>
      <c r="F716">
        <v>36730580.399999999</v>
      </c>
      <c r="G716">
        <v>1.78</v>
      </c>
      <c r="L716" t="s">
        <v>8</v>
      </c>
      <c r="M716" t="s">
        <v>8</v>
      </c>
      <c r="N716" t="s">
        <v>8</v>
      </c>
      <c r="P716">
        <f t="shared" si="999"/>
        <v>-0.27999999999999969</v>
      </c>
      <c r="Q716">
        <f t="shared" si="1000"/>
        <v>-10284562.511999989</v>
      </c>
      <c r="R716">
        <f t="shared" si="1001"/>
        <v>-295730307.43579566</v>
      </c>
      <c r="S716">
        <f t="shared" si="1002"/>
        <v>-2957.3030743579566</v>
      </c>
      <c r="T716">
        <f t="shared" si="1003"/>
        <v>-2.9573030743579567</v>
      </c>
    </row>
    <row r="717" spans="1:20" x14ac:dyDescent="0.25">
      <c r="A717" s="5">
        <v>43876</v>
      </c>
      <c r="B717">
        <v>1.9349999999999999E-2</v>
      </c>
      <c r="C717">
        <v>1.95E-2</v>
      </c>
      <c r="D717">
        <v>1.6539999999999999E-2</v>
      </c>
      <c r="E717">
        <v>1.7420000000000001E-2</v>
      </c>
      <c r="F717">
        <v>46370264</v>
      </c>
      <c r="G717">
        <v>-9.9700000000000006</v>
      </c>
      <c r="L717" t="s">
        <v>7</v>
      </c>
      <c r="M717" t="s">
        <v>7</v>
      </c>
      <c r="N717" t="s">
        <v>8</v>
      </c>
      <c r="P717">
        <f t="shared" si="999"/>
        <v>-0.40540540540540398</v>
      </c>
      <c r="Q717">
        <f t="shared" si="1000"/>
        <v>-18798755.675675608</v>
      </c>
      <c r="R717">
        <f t="shared" si="1001"/>
        <v>-285445744.9237957</v>
      </c>
      <c r="S717">
        <f t="shared" si="1002"/>
        <v>-2854.457449237957</v>
      </c>
      <c r="T717">
        <f t="shared" si="1003"/>
        <v>-2.8544574492379571</v>
      </c>
    </row>
    <row r="718" spans="1:20" x14ac:dyDescent="0.25">
      <c r="A718" s="5">
        <v>43875</v>
      </c>
      <c r="B718">
        <v>1.864E-2</v>
      </c>
      <c r="C718">
        <v>1.9789999999999999E-2</v>
      </c>
      <c r="D718">
        <v>1.7819999999999999E-2</v>
      </c>
      <c r="E718">
        <v>1.933E-2</v>
      </c>
      <c r="F718">
        <v>18620800.899999999</v>
      </c>
      <c r="G718">
        <v>3.7</v>
      </c>
      <c r="L718" t="s">
        <v>7</v>
      </c>
      <c r="M718" t="s">
        <v>7</v>
      </c>
      <c r="N718" t="s">
        <v>8</v>
      </c>
      <c r="P718">
        <f t="shared" si="999"/>
        <v>0.53299492385786928</v>
      </c>
      <c r="Q718">
        <f t="shared" si="1000"/>
        <v>9924792.3578680437</v>
      </c>
      <c r="R718">
        <f t="shared" si="1001"/>
        <v>-266646989.2481201</v>
      </c>
      <c r="S718">
        <f t="shared" si="1002"/>
        <v>-2666.469892481201</v>
      </c>
      <c r="T718">
        <f t="shared" si="1003"/>
        <v>-2.6664698924812011</v>
      </c>
    </row>
    <row r="719" spans="1:20" x14ac:dyDescent="0.25">
      <c r="A719" s="5">
        <v>43874</v>
      </c>
      <c r="B719">
        <v>1.9519999999999999E-2</v>
      </c>
      <c r="C719">
        <v>2.0129999999999999E-2</v>
      </c>
      <c r="D719">
        <v>1.7350000000000001E-2</v>
      </c>
      <c r="E719">
        <v>1.8630000000000001E-2</v>
      </c>
      <c r="F719">
        <v>30712773.899999999</v>
      </c>
      <c r="G719">
        <v>-4.5599999999999996</v>
      </c>
      <c r="L719" t="s">
        <v>8</v>
      </c>
      <c r="M719" t="s">
        <v>7</v>
      </c>
      <c r="N719" t="s">
        <v>8</v>
      </c>
      <c r="P719">
        <f t="shared" si="999"/>
        <v>-7.9136690647481356E-2</v>
      </c>
      <c r="Q719">
        <f t="shared" si="1000"/>
        <v>-2430507.2870503394</v>
      </c>
      <c r="R719">
        <f t="shared" si="1001"/>
        <v>-276571781.60598814</v>
      </c>
      <c r="S719">
        <f t="shared" si="1002"/>
        <v>-2765.7178160598814</v>
      </c>
      <c r="T719">
        <f t="shared" si="1003"/>
        <v>-2.7657178160598814</v>
      </c>
    </row>
    <row r="720" spans="1:20" x14ac:dyDescent="0.25">
      <c r="A720" s="5">
        <v>43873</v>
      </c>
      <c r="B720">
        <v>1.9089999999999999E-2</v>
      </c>
      <c r="C720">
        <v>2.0379999999999999E-2</v>
      </c>
      <c r="D720">
        <v>1.7600000000000001E-2</v>
      </c>
      <c r="E720">
        <v>1.9429999999999999E-2</v>
      </c>
      <c r="F720">
        <v>45200380.5</v>
      </c>
      <c r="G720">
        <v>1.78</v>
      </c>
      <c r="L720" t="s">
        <v>7</v>
      </c>
      <c r="M720" t="s">
        <v>8</v>
      </c>
      <c r="N720" t="s">
        <v>8</v>
      </c>
      <c r="P720">
        <f t="shared" si="999"/>
        <v>0.31654676258992792</v>
      </c>
      <c r="Q720">
        <f t="shared" si="1000"/>
        <v>14308034.115107907</v>
      </c>
      <c r="R720">
        <f t="shared" si="1001"/>
        <v>-274141274.31893778</v>
      </c>
      <c r="S720">
        <f t="shared" si="1002"/>
        <v>-2741.4127431893776</v>
      </c>
      <c r="T720">
        <f t="shared" si="1003"/>
        <v>-2.7414127431893776</v>
      </c>
    </row>
    <row r="721" spans="1:20" x14ac:dyDescent="0.25">
      <c r="A721" s="5">
        <v>43872</v>
      </c>
      <c r="B721">
        <v>1.5699999999999999E-2</v>
      </c>
      <c r="C721">
        <v>2.0580000000000001E-2</v>
      </c>
      <c r="D721">
        <v>1.5180000000000001E-2</v>
      </c>
      <c r="E721">
        <v>1.908E-2</v>
      </c>
      <c r="F721">
        <v>44386873.799999997</v>
      </c>
      <c r="G721">
        <v>21.53</v>
      </c>
      <c r="L721" t="s">
        <v>8</v>
      </c>
      <c r="M721" t="s">
        <v>8</v>
      </c>
      <c r="N721" t="s">
        <v>8</v>
      </c>
      <c r="P721">
        <f t="shared" si="999"/>
        <v>0.44444444444444398</v>
      </c>
      <c r="Q721">
        <f t="shared" si="1000"/>
        <v>19727499.466666646</v>
      </c>
      <c r="R721">
        <f t="shared" si="1001"/>
        <v>-288449308.43404567</v>
      </c>
      <c r="S721">
        <f t="shared" si="1002"/>
        <v>-2884.4930843404568</v>
      </c>
      <c r="T721">
        <f t="shared" si="1003"/>
        <v>-2.8844930843404568</v>
      </c>
    </row>
    <row r="722" spans="1:20" x14ac:dyDescent="0.25">
      <c r="A722" s="5">
        <v>43871</v>
      </c>
      <c r="B722">
        <v>1.6500000000000001E-2</v>
      </c>
      <c r="C722">
        <v>1.7010000000000001E-2</v>
      </c>
      <c r="D722">
        <v>1.507E-2</v>
      </c>
      <c r="E722">
        <v>1.562E-2</v>
      </c>
      <c r="F722">
        <v>27135510.5</v>
      </c>
      <c r="G722">
        <v>-5.33</v>
      </c>
      <c r="L722" t="s">
        <v>7</v>
      </c>
      <c r="M722" t="s">
        <v>7</v>
      </c>
      <c r="N722" t="s">
        <v>8</v>
      </c>
      <c r="P722">
        <f t="shared" si="999"/>
        <v>-0.43298969072164956</v>
      </c>
      <c r="Q722">
        <f t="shared" si="1000"/>
        <v>-11749396.298969073</v>
      </c>
      <c r="R722">
        <f t="shared" si="1001"/>
        <v>-308176807.90071231</v>
      </c>
      <c r="S722">
        <f t="shared" si="1002"/>
        <v>-3081.7680790071231</v>
      </c>
      <c r="T722">
        <f t="shared" si="1003"/>
        <v>-3.0817680790071229</v>
      </c>
    </row>
    <row r="723" spans="1:20" x14ac:dyDescent="0.25">
      <c r="A723" s="5">
        <v>43870</v>
      </c>
      <c r="B723">
        <v>1.6410000000000001E-2</v>
      </c>
      <c r="C723">
        <v>1.704E-2</v>
      </c>
      <c r="D723">
        <v>1.609E-2</v>
      </c>
      <c r="E723">
        <v>1.6379999999999999E-2</v>
      </c>
      <c r="F723">
        <v>19931975.699999999</v>
      </c>
      <c r="G723">
        <v>-0.18</v>
      </c>
      <c r="L723" t="s">
        <v>8</v>
      </c>
      <c r="M723" t="s">
        <v>7</v>
      </c>
      <c r="N723" t="s">
        <v>8</v>
      </c>
      <c r="P723">
        <f t="shared" si="999"/>
        <v>-0.38947368421052891</v>
      </c>
      <c r="Q723">
        <f t="shared" si="1000"/>
        <v>-7762980.0094737355</v>
      </c>
      <c r="R723">
        <f t="shared" si="1001"/>
        <v>-296427411.60174322</v>
      </c>
      <c r="S723">
        <f t="shared" si="1002"/>
        <v>-2964.2741160174323</v>
      </c>
      <c r="T723">
        <f t="shared" si="1003"/>
        <v>-2.9642741160174322</v>
      </c>
    </row>
    <row r="724" spans="1:20" x14ac:dyDescent="0.25">
      <c r="A724" s="5">
        <v>43869</v>
      </c>
      <c r="B724">
        <v>1.8610000000000002E-2</v>
      </c>
      <c r="C724">
        <v>1.8689999999999998E-2</v>
      </c>
      <c r="D724">
        <v>1.55E-2</v>
      </c>
      <c r="E724">
        <v>1.6480000000000002E-2</v>
      </c>
      <c r="F724">
        <v>28389073</v>
      </c>
      <c r="G724">
        <v>-11.45</v>
      </c>
      <c r="L724" t="s">
        <v>7</v>
      </c>
      <c r="M724" t="s">
        <v>7</v>
      </c>
      <c r="N724" t="s">
        <v>8</v>
      </c>
      <c r="P724">
        <f t="shared" si="999"/>
        <v>-0.38557993730407386</v>
      </c>
      <c r="Q724">
        <f t="shared" si="1000"/>
        <v>-10946256.987460775</v>
      </c>
      <c r="R724">
        <f t="shared" si="1001"/>
        <v>-288664431.59226948</v>
      </c>
      <c r="S724">
        <f t="shared" si="1002"/>
        <v>-2886.6443159226947</v>
      </c>
      <c r="T724">
        <f t="shared" si="1003"/>
        <v>-2.8866443159226947</v>
      </c>
    </row>
    <row r="725" spans="1:20" x14ac:dyDescent="0.25">
      <c r="A725" s="5">
        <v>43868</v>
      </c>
      <c r="B725">
        <v>1.487E-2</v>
      </c>
      <c r="C725">
        <v>1.8790000000000001E-2</v>
      </c>
      <c r="D725">
        <v>1.4800000000000001E-2</v>
      </c>
      <c r="E725">
        <v>1.8620000000000001E-2</v>
      </c>
      <c r="F725">
        <v>23958641.199999999</v>
      </c>
      <c r="G725">
        <v>25.22</v>
      </c>
      <c r="L725" t="s">
        <v>8</v>
      </c>
      <c r="M725" t="s">
        <v>8</v>
      </c>
      <c r="N725" t="s">
        <v>8</v>
      </c>
      <c r="P725">
        <f t="shared" si="999"/>
        <v>0.91478696741854637</v>
      </c>
      <c r="Q725">
        <f t="shared" si="1000"/>
        <v>21917052.726817042</v>
      </c>
      <c r="R725">
        <f t="shared" si="1001"/>
        <v>-277718174.60480869</v>
      </c>
      <c r="S725">
        <f t="shared" si="1002"/>
        <v>-2777.181746048087</v>
      </c>
      <c r="T725">
        <f t="shared" si="1003"/>
        <v>-2.777181746048087</v>
      </c>
    </row>
    <row r="726" spans="1:20" x14ac:dyDescent="0.25">
      <c r="A726" s="5">
        <v>43867</v>
      </c>
      <c r="B726">
        <v>1.4420000000000001E-2</v>
      </c>
      <c r="C726">
        <v>1.533E-2</v>
      </c>
      <c r="D726">
        <v>1.401E-2</v>
      </c>
      <c r="E726">
        <v>1.4930000000000001E-2</v>
      </c>
      <c r="F726">
        <v>19971566.800000001</v>
      </c>
      <c r="G726">
        <v>3.54</v>
      </c>
      <c r="L726" t="s">
        <v>8</v>
      </c>
      <c r="M726" t="s">
        <v>8</v>
      </c>
      <c r="N726" t="s">
        <v>8</v>
      </c>
      <c r="P726">
        <f t="shared" si="999"/>
        <v>0.39393939393939498</v>
      </c>
      <c r="Q726">
        <f t="shared" si="1000"/>
        <v>7867586.9212121423</v>
      </c>
      <c r="R726">
        <f t="shared" si="1001"/>
        <v>-299635227.3316257</v>
      </c>
      <c r="S726">
        <f t="shared" si="1002"/>
        <v>-2996.3522733162572</v>
      </c>
      <c r="T726">
        <f t="shared" si="1003"/>
        <v>-2.9963522733162571</v>
      </c>
    </row>
    <row r="727" spans="1:20" x14ac:dyDescent="0.25">
      <c r="A727" s="5">
        <v>43866</v>
      </c>
      <c r="B727">
        <v>1.29E-2</v>
      </c>
      <c r="C727">
        <v>1.5140000000000001E-2</v>
      </c>
      <c r="D727">
        <v>1.289E-2</v>
      </c>
      <c r="E727">
        <v>1.4420000000000001E-2</v>
      </c>
      <c r="F727">
        <v>37049572.200000003</v>
      </c>
      <c r="G727">
        <v>11.78</v>
      </c>
      <c r="L727" t="s">
        <v>8</v>
      </c>
      <c r="M727" t="s">
        <v>8</v>
      </c>
      <c r="N727" t="s">
        <v>8</v>
      </c>
      <c r="P727">
        <f t="shared" si="999"/>
        <v>0.35999999999999993</v>
      </c>
      <c r="Q727">
        <f t="shared" si="1000"/>
        <v>13337845.991999999</v>
      </c>
      <c r="R727">
        <f t="shared" si="1001"/>
        <v>-307502814.25283784</v>
      </c>
      <c r="S727">
        <f t="shared" si="1002"/>
        <v>-3075.0281425283783</v>
      </c>
      <c r="T727">
        <f t="shared" si="1003"/>
        <v>-3.0750281425283785</v>
      </c>
    </row>
    <row r="728" spans="1:20" x14ac:dyDescent="0.25">
      <c r="A728" s="5">
        <v>43865</v>
      </c>
      <c r="B728">
        <v>1.193E-2</v>
      </c>
      <c r="C728">
        <v>1.4239999999999999E-2</v>
      </c>
      <c r="D728">
        <v>1.1730000000000001E-2</v>
      </c>
      <c r="E728">
        <v>1.294E-2</v>
      </c>
      <c r="F728">
        <v>34531943.100000001</v>
      </c>
      <c r="G728">
        <v>8.4700000000000006</v>
      </c>
      <c r="L728" t="s">
        <v>8</v>
      </c>
      <c r="M728" t="s">
        <v>8</v>
      </c>
      <c r="N728" t="s">
        <v>8</v>
      </c>
      <c r="P728">
        <f t="shared" si="999"/>
        <v>-3.585657370517923E-2</v>
      </c>
      <c r="Q728">
        <f t="shared" si="1000"/>
        <v>-1238197.1629482054</v>
      </c>
      <c r="R728">
        <f t="shared" si="1001"/>
        <v>-320840660.24483782</v>
      </c>
      <c r="S728">
        <f t="shared" si="1002"/>
        <v>-3208.4066024483782</v>
      </c>
      <c r="T728">
        <f t="shared" si="1003"/>
        <v>-3.2084066024483784</v>
      </c>
    </row>
    <row r="729" spans="1:20" x14ac:dyDescent="0.25">
      <c r="A729" s="5">
        <v>43864</v>
      </c>
      <c r="B729">
        <v>1.133E-2</v>
      </c>
      <c r="C729">
        <v>1.2370000000000001E-2</v>
      </c>
      <c r="D729">
        <v>1.124E-2</v>
      </c>
      <c r="E729">
        <v>1.193E-2</v>
      </c>
      <c r="F729">
        <v>20405900.300000001</v>
      </c>
      <c r="G729">
        <v>5.3</v>
      </c>
      <c r="L729" t="s">
        <v>8</v>
      </c>
      <c r="M729" t="s">
        <v>8</v>
      </c>
      <c r="N729" t="s">
        <v>8</v>
      </c>
      <c r="P729">
        <f t="shared" si="999"/>
        <v>0.22123893805309586</v>
      </c>
      <c r="Q729">
        <f t="shared" si="1000"/>
        <v>4514579.7123893499</v>
      </c>
      <c r="R729">
        <f t="shared" si="1001"/>
        <v>-319602463.08188963</v>
      </c>
      <c r="S729">
        <f t="shared" si="1002"/>
        <v>-3196.0246308188962</v>
      </c>
      <c r="T729">
        <f t="shared" si="1003"/>
        <v>-3.1960246308188962</v>
      </c>
    </row>
    <row r="730" spans="1:20" x14ac:dyDescent="0.25">
      <c r="A730" s="5">
        <v>43863</v>
      </c>
      <c r="B730">
        <v>1.1469999999999999E-2</v>
      </c>
      <c r="C730">
        <v>1.2E-2</v>
      </c>
      <c r="D730">
        <v>1.064E-2</v>
      </c>
      <c r="E730">
        <v>1.1350000000000001E-2</v>
      </c>
      <c r="F730">
        <v>25668076.800000001</v>
      </c>
      <c r="G730">
        <v>-1.05</v>
      </c>
      <c r="L730" t="s">
        <v>7</v>
      </c>
      <c r="M730" t="s">
        <v>8</v>
      </c>
      <c r="N730" t="s">
        <v>8</v>
      </c>
      <c r="P730">
        <f t="shared" si="999"/>
        <v>4.4117647058824282E-2</v>
      </c>
      <c r="Q730">
        <f t="shared" si="1000"/>
        <v>1132415.1529411958</v>
      </c>
      <c r="R730">
        <f t="shared" si="1001"/>
        <v>-324117042.79427898</v>
      </c>
      <c r="S730">
        <f t="shared" si="1002"/>
        <v>-3241.17042794279</v>
      </c>
      <c r="T730">
        <f t="shared" si="1003"/>
        <v>-3.24117042794279</v>
      </c>
    </row>
    <row r="731" spans="1:20" x14ac:dyDescent="0.25">
      <c r="A731" s="5">
        <v>43862</v>
      </c>
      <c r="B731">
        <v>1.149E-2</v>
      </c>
      <c r="C731">
        <v>1.201E-2</v>
      </c>
      <c r="D731">
        <v>1.0869999999999999E-2</v>
      </c>
      <c r="E731">
        <v>1.1480000000000001E-2</v>
      </c>
      <c r="F731">
        <v>52679294.100000001</v>
      </c>
      <c r="G731">
        <v>-0.09</v>
      </c>
      <c r="L731" t="s">
        <v>7</v>
      </c>
      <c r="M731" t="s">
        <v>8</v>
      </c>
      <c r="N731" t="s">
        <v>8</v>
      </c>
      <c r="P731">
        <f t="shared" si="999"/>
        <v>7.0175438596492903E-2</v>
      </c>
      <c r="Q731">
        <f t="shared" si="1000"/>
        <v>3696792.5684211408</v>
      </c>
      <c r="R731">
        <f t="shared" si="1001"/>
        <v>-325249457.94722015</v>
      </c>
      <c r="S731">
        <f t="shared" si="1002"/>
        <v>-3252.4945794722016</v>
      </c>
      <c r="T731">
        <f t="shared" si="1003"/>
        <v>-3.2524945794722018</v>
      </c>
    </row>
    <row r="732" spans="1:20" x14ac:dyDescent="0.25">
      <c r="A732" s="5">
        <v>43861</v>
      </c>
      <c r="B732">
        <v>9.3799999999999994E-3</v>
      </c>
      <c r="C732">
        <v>1.204E-2</v>
      </c>
      <c r="D732">
        <v>9.3799999999999994E-3</v>
      </c>
      <c r="E732">
        <v>1.1469999999999999E-2</v>
      </c>
      <c r="F732">
        <v>47012952</v>
      </c>
      <c r="G732">
        <v>22.28</v>
      </c>
      <c r="L732" t="s">
        <v>8</v>
      </c>
      <c r="M732" t="s">
        <v>8</v>
      </c>
      <c r="N732" t="s">
        <v>8</v>
      </c>
      <c r="P732">
        <f t="shared" si="999"/>
        <v>0.57142857142857073</v>
      </c>
      <c r="Q732">
        <f t="shared" si="1000"/>
        <v>26864543.999999966</v>
      </c>
      <c r="R732">
        <f t="shared" si="1001"/>
        <v>-328946250.51564127</v>
      </c>
      <c r="S732">
        <f t="shared" si="1002"/>
        <v>-3289.4625051564126</v>
      </c>
      <c r="T732">
        <f t="shared" si="1003"/>
        <v>-3.2894625051564126</v>
      </c>
    </row>
    <row r="733" spans="1:20" x14ac:dyDescent="0.25">
      <c r="A733" s="5">
        <v>43860</v>
      </c>
      <c r="B733">
        <v>9.3900000000000008E-3</v>
      </c>
      <c r="C733">
        <v>9.6900000000000007E-3</v>
      </c>
      <c r="D733">
        <v>9.3500000000000007E-3</v>
      </c>
      <c r="E733">
        <v>9.3699999999999999E-3</v>
      </c>
      <c r="F733">
        <v>12541526.5</v>
      </c>
      <c r="G733">
        <v>-0.21</v>
      </c>
      <c r="L733" t="s">
        <v>7</v>
      </c>
      <c r="M733" t="s">
        <v>8</v>
      </c>
      <c r="N733" t="s">
        <v>7</v>
      </c>
      <c r="P733">
        <f t="shared" si="999"/>
        <v>-0.88235294117647534</v>
      </c>
      <c r="Q733">
        <f t="shared" si="1000"/>
        <v>-11066052.794117706</v>
      </c>
      <c r="R733">
        <f t="shared" si="1001"/>
        <v>-355810794.51564121</v>
      </c>
      <c r="S733">
        <f t="shared" si="1002"/>
        <v>-3558.1079451564119</v>
      </c>
      <c r="T733">
        <f t="shared" si="1003"/>
        <v>-3.5581079451564119</v>
      </c>
    </row>
    <row r="734" spans="1:20" x14ac:dyDescent="0.25">
      <c r="A734" s="5">
        <v>43859</v>
      </c>
      <c r="B734">
        <v>9.4000000000000004E-3</v>
      </c>
      <c r="C734">
        <v>9.8700000000000003E-3</v>
      </c>
      <c r="D734">
        <v>9.1500000000000001E-3</v>
      </c>
      <c r="E734">
        <v>9.41E-3</v>
      </c>
      <c r="F734">
        <v>24072142.399999999</v>
      </c>
      <c r="G734">
        <v>0.11</v>
      </c>
      <c r="L734" t="s">
        <v>7</v>
      </c>
      <c r="M734" t="s">
        <v>8</v>
      </c>
      <c r="N734" t="s">
        <v>7</v>
      </c>
      <c r="P734">
        <f t="shared" si="999"/>
        <v>-0.27777777777777846</v>
      </c>
      <c r="Q734">
        <f t="shared" si="1000"/>
        <v>-6686706.2222222378</v>
      </c>
      <c r="R734">
        <f t="shared" si="1001"/>
        <v>-344744741.72152352</v>
      </c>
      <c r="S734">
        <f t="shared" si="1002"/>
        <v>-3447.4474172152354</v>
      </c>
      <c r="T734">
        <f t="shared" si="1003"/>
        <v>-3.4474474172152356</v>
      </c>
    </row>
    <row r="735" spans="1:20" x14ac:dyDescent="0.25">
      <c r="A735" s="5">
        <v>43858</v>
      </c>
      <c r="B735">
        <v>9.1400000000000006E-3</v>
      </c>
      <c r="C735">
        <v>9.8600000000000007E-3</v>
      </c>
      <c r="D735">
        <v>8.8599999999999998E-3</v>
      </c>
      <c r="E735">
        <v>9.4000000000000004E-3</v>
      </c>
      <c r="F735">
        <v>25970953.800000001</v>
      </c>
      <c r="G735">
        <v>2.84</v>
      </c>
      <c r="L735" t="s">
        <v>8</v>
      </c>
      <c r="M735" t="s">
        <v>8</v>
      </c>
      <c r="N735" t="s">
        <v>7</v>
      </c>
      <c r="P735">
        <f t="shared" si="999"/>
        <v>8.000000000000014E-2</v>
      </c>
      <c r="Q735">
        <f t="shared" si="1000"/>
        <v>2077676.3040000037</v>
      </c>
      <c r="R735">
        <f t="shared" si="1001"/>
        <v>-338058035.49930131</v>
      </c>
      <c r="S735">
        <f t="shared" si="1002"/>
        <v>-3380.5803549930133</v>
      </c>
      <c r="T735">
        <f t="shared" si="1003"/>
        <v>-3.3805803549930133</v>
      </c>
    </row>
    <row r="736" spans="1:20" x14ac:dyDescent="0.25">
      <c r="A736" s="5">
        <v>43857</v>
      </c>
      <c r="B736">
        <v>8.8800000000000007E-3</v>
      </c>
      <c r="C736">
        <v>9.2700000000000005E-3</v>
      </c>
      <c r="D736">
        <v>8.6499999999999997E-3</v>
      </c>
      <c r="E736">
        <v>9.1400000000000006E-3</v>
      </c>
      <c r="F736">
        <v>17311457.300000001</v>
      </c>
      <c r="G736">
        <v>2.93</v>
      </c>
      <c r="L736" t="s">
        <v>8</v>
      </c>
      <c r="M736" t="s">
        <v>8</v>
      </c>
      <c r="N736" t="s">
        <v>7</v>
      </c>
      <c r="P736">
        <f t="shared" si="999"/>
        <v>0.5806451612903234</v>
      </c>
      <c r="Q736">
        <f t="shared" si="1000"/>
        <v>10051813.916129047</v>
      </c>
      <c r="R736">
        <f t="shared" si="1001"/>
        <v>-340135711.80330133</v>
      </c>
      <c r="S736">
        <f t="shared" si="1002"/>
        <v>-3401.3571180330132</v>
      </c>
      <c r="T736">
        <f t="shared" si="1003"/>
        <v>-3.4013571180330131</v>
      </c>
    </row>
    <row r="737" spans="1:20" x14ac:dyDescent="0.25">
      <c r="A737" s="5">
        <v>43856</v>
      </c>
      <c r="B737">
        <v>8.8299999999999993E-3</v>
      </c>
      <c r="C737">
        <v>8.9099999999999995E-3</v>
      </c>
      <c r="D737">
        <v>8.5900000000000004E-3</v>
      </c>
      <c r="E737">
        <v>8.8699999999999994E-3</v>
      </c>
      <c r="F737">
        <v>9911441.1999999993</v>
      </c>
      <c r="G737">
        <v>0.45</v>
      </c>
      <c r="L737" t="s">
        <v>7</v>
      </c>
      <c r="M737" t="s">
        <v>8</v>
      </c>
      <c r="N737" t="s">
        <v>7</v>
      </c>
      <c r="P737">
        <f t="shared" si="999"/>
        <v>0.74999999999999867</v>
      </c>
      <c r="Q737">
        <f t="shared" si="1000"/>
        <v>7433580.8999999864</v>
      </c>
      <c r="R737">
        <f t="shared" si="1001"/>
        <v>-350187525.71943039</v>
      </c>
      <c r="S737">
        <f t="shared" si="1002"/>
        <v>-3501.8752571943037</v>
      </c>
      <c r="T737">
        <f t="shared" si="1003"/>
        <v>-3.5018752571943037</v>
      </c>
    </row>
    <row r="738" spans="1:20" x14ac:dyDescent="0.25">
      <c r="A738" s="5">
        <v>43855</v>
      </c>
      <c r="B738">
        <v>8.8999999999999999E-3</v>
      </c>
      <c r="C738">
        <v>8.94E-3</v>
      </c>
      <c r="D738">
        <v>8.6499999999999997E-3</v>
      </c>
      <c r="E738">
        <v>8.8599999999999998E-3</v>
      </c>
      <c r="F738">
        <v>9066288.0999999996</v>
      </c>
      <c r="G738">
        <v>-0.45</v>
      </c>
      <c r="L738" t="s">
        <v>7</v>
      </c>
      <c r="M738" t="s">
        <v>8</v>
      </c>
      <c r="N738" t="s">
        <v>7</v>
      </c>
      <c r="P738">
        <f t="shared" si="999"/>
        <v>0.44827586206896469</v>
      </c>
      <c r="Q738">
        <f t="shared" si="1000"/>
        <v>4064198.1137930956</v>
      </c>
      <c r="R738">
        <f t="shared" si="1001"/>
        <v>-357621106.61943036</v>
      </c>
      <c r="S738">
        <f t="shared" si="1002"/>
        <v>-3576.2110661943038</v>
      </c>
      <c r="T738">
        <f t="shared" si="1003"/>
        <v>-3.5762110661943036</v>
      </c>
    </row>
    <row r="739" spans="1:20" x14ac:dyDescent="0.25">
      <c r="A739" s="5">
        <v>43854</v>
      </c>
      <c r="B739">
        <v>9.3399999999999993E-3</v>
      </c>
      <c r="C739">
        <v>9.4400000000000005E-3</v>
      </c>
      <c r="D739">
        <v>8.6099999999999996E-3</v>
      </c>
      <c r="E739">
        <v>8.8999999999999999E-3</v>
      </c>
      <c r="F739">
        <v>13601515.6</v>
      </c>
      <c r="G739">
        <v>-4.71</v>
      </c>
      <c r="L739" t="s">
        <v>7</v>
      </c>
      <c r="M739" t="s">
        <v>8</v>
      </c>
      <c r="N739" t="s">
        <v>7</v>
      </c>
      <c r="P739">
        <f t="shared" si="999"/>
        <v>-0.3012048192771084</v>
      </c>
      <c r="Q739">
        <f t="shared" si="1000"/>
        <v>-4096842.0481927707</v>
      </c>
      <c r="R739">
        <f t="shared" si="1001"/>
        <v>-361685304.73322344</v>
      </c>
      <c r="S739">
        <f t="shared" si="1002"/>
        <v>-3616.8530473322344</v>
      </c>
      <c r="T739">
        <f t="shared" si="1003"/>
        <v>-3.6168530473322344</v>
      </c>
    </row>
    <row r="740" spans="1:20" x14ac:dyDescent="0.25">
      <c r="A740" s="5">
        <v>43853</v>
      </c>
      <c r="B740">
        <v>9.6699999999999998E-3</v>
      </c>
      <c r="C740">
        <v>9.6900000000000007E-3</v>
      </c>
      <c r="D740">
        <v>8.7799999999999996E-3</v>
      </c>
      <c r="E740">
        <v>9.3799999999999994E-3</v>
      </c>
      <c r="F740">
        <v>32527985.800000001</v>
      </c>
      <c r="G740">
        <v>-3</v>
      </c>
      <c r="L740" t="s">
        <v>7</v>
      </c>
      <c r="M740" t="s">
        <v>8</v>
      </c>
      <c r="N740" t="s">
        <v>7</v>
      </c>
      <c r="P740">
        <f t="shared" si="999"/>
        <v>0.31868131868131677</v>
      </c>
      <c r="Q740">
        <f t="shared" si="1000"/>
        <v>10366061.408791147</v>
      </c>
      <c r="R740">
        <f t="shared" si="1001"/>
        <v>-357588462.68503064</v>
      </c>
      <c r="S740">
        <f t="shared" si="1002"/>
        <v>-3575.8846268503062</v>
      </c>
      <c r="T740">
        <f t="shared" si="1003"/>
        <v>-3.5758846268503062</v>
      </c>
    </row>
    <row r="741" spans="1:20" x14ac:dyDescent="0.25">
      <c r="A741" s="5">
        <v>43852</v>
      </c>
      <c r="B741">
        <v>8.6400000000000001E-3</v>
      </c>
      <c r="C741">
        <v>9.8099999999999993E-3</v>
      </c>
      <c r="D741">
        <v>8.4600000000000005E-3</v>
      </c>
      <c r="E741">
        <v>9.6900000000000007E-3</v>
      </c>
      <c r="F741">
        <v>43166069.5</v>
      </c>
      <c r="G741">
        <v>12.15</v>
      </c>
      <c r="L741" t="s">
        <v>8</v>
      </c>
      <c r="M741" t="s">
        <v>8</v>
      </c>
      <c r="N741" t="s">
        <v>7</v>
      </c>
      <c r="P741">
        <f t="shared" si="999"/>
        <v>0.82222222222222419</v>
      </c>
      <c r="Q741">
        <f t="shared" si="1000"/>
        <v>35492101.588888973</v>
      </c>
      <c r="R741">
        <f t="shared" si="1001"/>
        <v>-367954524.09382176</v>
      </c>
      <c r="S741">
        <f t="shared" si="1002"/>
        <v>-3679.5452409382178</v>
      </c>
      <c r="T741">
        <f t="shared" si="1003"/>
        <v>-3.6795452409382179</v>
      </c>
    </row>
    <row r="742" spans="1:20" x14ac:dyDescent="0.25">
      <c r="A742" s="5">
        <v>43851</v>
      </c>
      <c r="B742">
        <v>8.5299999999999994E-3</v>
      </c>
      <c r="C742">
        <v>8.8199999999999997E-3</v>
      </c>
      <c r="D742">
        <v>8.3899999999999999E-3</v>
      </c>
      <c r="E742">
        <v>8.6E-3</v>
      </c>
      <c r="F742">
        <v>19571290.199999999</v>
      </c>
      <c r="G742">
        <v>0.82</v>
      </c>
      <c r="L742" t="s">
        <v>8</v>
      </c>
      <c r="M742" t="s">
        <v>7</v>
      </c>
      <c r="N742" t="s">
        <v>7</v>
      </c>
      <c r="P742">
        <f t="shared" si="999"/>
        <v>-2.3255813953487435E-2</v>
      </c>
      <c r="Q742">
        <f t="shared" si="1000"/>
        <v>-455146.28372091189</v>
      </c>
      <c r="R742">
        <f t="shared" si="1001"/>
        <v>-403446625.68271077</v>
      </c>
      <c r="S742">
        <f t="shared" si="1002"/>
        <v>-4034.4662568271078</v>
      </c>
      <c r="T742">
        <f t="shared" si="1003"/>
        <v>-4.0344662568271081</v>
      </c>
    </row>
    <row r="743" spans="1:20" x14ac:dyDescent="0.25">
      <c r="A743" s="5">
        <v>43850</v>
      </c>
      <c r="B743">
        <v>8.1099999999999992E-3</v>
      </c>
      <c r="C743">
        <v>8.9499999999999996E-3</v>
      </c>
      <c r="D743">
        <v>8.0000000000000002E-3</v>
      </c>
      <c r="E743">
        <v>8.5400000000000007E-3</v>
      </c>
      <c r="F743">
        <v>29380874</v>
      </c>
      <c r="G743">
        <v>5.3</v>
      </c>
      <c r="L743" t="s">
        <v>8</v>
      </c>
      <c r="M743" t="s">
        <v>7</v>
      </c>
      <c r="N743" t="s">
        <v>7</v>
      </c>
      <c r="P743">
        <f t="shared" si="999"/>
        <v>0.13684210526315971</v>
      </c>
      <c r="Q743">
        <f t="shared" si="1000"/>
        <v>4020540.6526316321</v>
      </c>
      <c r="R743">
        <f t="shared" si="1001"/>
        <v>-402991479.39898986</v>
      </c>
      <c r="S743">
        <f t="shared" si="1002"/>
        <v>-4029.9147939898985</v>
      </c>
      <c r="T743">
        <f t="shared" si="1003"/>
        <v>-4.0299147939898985</v>
      </c>
    </row>
    <row r="744" spans="1:20" x14ac:dyDescent="0.25">
      <c r="A744" s="5">
        <v>43849</v>
      </c>
      <c r="B744">
        <v>8.4600000000000005E-3</v>
      </c>
      <c r="C744">
        <v>8.5900000000000004E-3</v>
      </c>
      <c r="D744">
        <v>7.9500000000000005E-3</v>
      </c>
      <c r="E744">
        <v>8.0999999999999996E-3</v>
      </c>
      <c r="F744">
        <v>21222278.300000001</v>
      </c>
      <c r="G744">
        <v>-4.26</v>
      </c>
      <c r="L744" t="s">
        <v>7</v>
      </c>
      <c r="M744" t="s">
        <v>7</v>
      </c>
      <c r="N744" t="s">
        <v>7</v>
      </c>
      <c r="P744">
        <f t="shared" si="999"/>
        <v>-0.53125000000000278</v>
      </c>
      <c r="Q744">
        <f t="shared" si="1000"/>
        <v>-11274335.346875058</v>
      </c>
      <c r="R744">
        <f t="shared" si="1001"/>
        <v>-407012020.0516215</v>
      </c>
      <c r="S744">
        <f t="shared" si="1002"/>
        <v>-4070.1202005162149</v>
      </c>
      <c r="T744">
        <f t="shared" si="1003"/>
        <v>-4.0701202005162154</v>
      </c>
    </row>
    <row r="745" spans="1:20" x14ac:dyDescent="0.25">
      <c r="A745" s="5">
        <v>43848</v>
      </c>
      <c r="B745">
        <v>8.6199999999999992E-3</v>
      </c>
      <c r="C745">
        <v>8.6999999999999994E-3</v>
      </c>
      <c r="D745">
        <v>8.3899999999999999E-3</v>
      </c>
      <c r="E745">
        <v>8.4799999999999997E-3</v>
      </c>
      <c r="F745">
        <v>18446609.5</v>
      </c>
      <c r="G745">
        <v>-1.62</v>
      </c>
      <c r="L745" t="s">
        <v>7</v>
      </c>
      <c r="M745" t="s">
        <v>7</v>
      </c>
      <c r="N745" t="s">
        <v>7</v>
      </c>
      <c r="P745">
        <f t="shared" si="999"/>
        <v>-0.41935483870967777</v>
      </c>
      <c r="Q745">
        <f t="shared" si="1000"/>
        <v>-7735674.9516129093</v>
      </c>
      <c r="R745">
        <f t="shared" si="1001"/>
        <v>-395737684.70474643</v>
      </c>
      <c r="S745">
        <f t="shared" si="1002"/>
        <v>-3957.3768470474643</v>
      </c>
      <c r="T745">
        <f t="shared" si="1003"/>
        <v>-3.9573768470474642</v>
      </c>
    </row>
    <row r="746" spans="1:20" x14ac:dyDescent="0.25">
      <c r="A746" s="5">
        <v>43847</v>
      </c>
      <c r="B746">
        <v>8.7399999999999995E-3</v>
      </c>
      <c r="C746">
        <v>8.8400000000000006E-3</v>
      </c>
      <c r="D746">
        <v>8.1499999999999993E-3</v>
      </c>
      <c r="E746">
        <v>8.6099999999999996E-3</v>
      </c>
      <c r="F746">
        <v>33306791.100000001</v>
      </c>
      <c r="G746">
        <v>-1.49</v>
      </c>
      <c r="L746" t="s">
        <v>7</v>
      </c>
      <c r="M746" t="s">
        <v>7</v>
      </c>
      <c r="N746" t="s">
        <v>7</v>
      </c>
      <c r="P746">
        <f t="shared" si="999"/>
        <v>0.33333333333333165</v>
      </c>
      <c r="Q746">
        <f t="shared" si="1000"/>
        <v>11102263.699999945</v>
      </c>
      <c r="R746">
        <f t="shared" si="1001"/>
        <v>-388002009.75313354</v>
      </c>
      <c r="S746">
        <f t="shared" si="1002"/>
        <v>-3880.0200975313355</v>
      </c>
      <c r="T746">
        <f t="shared" si="1003"/>
        <v>-3.8800200975313355</v>
      </c>
    </row>
    <row r="747" spans="1:20" x14ac:dyDescent="0.25">
      <c r="A747" s="5">
        <v>43846</v>
      </c>
      <c r="B747">
        <v>9.1299999999999992E-3</v>
      </c>
      <c r="C747">
        <v>9.1400000000000006E-3</v>
      </c>
      <c r="D747">
        <v>8.5900000000000004E-3</v>
      </c>
      <c r="E747">
        <v>8.7500000000000008E-3</v>
      </c>
      <c r="F747">
        <v>29953140.5</v>
      </c>
      <c r="G747">
        <v>-4.16</v>
      </c>
      <c r="L747" t="s">
        <v>7</v>
      </c>
      <c r="M747" t="s">
        <v>7</v>
      </c>
      <c r="N747" t="s">
        <v>7</v>
      </c>
      <c r="P747">
        <f t="shared" si="999"/>
        <v>-0.41818181818181682</v>
      </c>
      <c r="Q747">
        <f t="shared" si="1000"/>
        <v>-12525858.754545413</v>
      </c>
      <c r="R747">
        <f t="shared" si="1001"/>
        <v>-399104273.45313346</v>
      </c>
      <c r="S747">
        <f t="shared" si="1002"/>
        <v>-3991.0427345313346</v>
      </c>
      <c r="T747">
        <f t="shared" si="1003"/>
        <v>-3.9910427345313346</v>
      </c>
    </row>
    <row r="748" spans="1:20" x14ac:dyDescent="0.25">
      <c r="A748" s="5">
        <v>43845</v>
      </c>
      <c r="B748">
        <v>8.8800000000000007E-3</v>
      </c>
      <c r="C748">
        <v>9.4999999999999998E-3</v>
      </c>
      <c r="D748">
        <v>8.7600000000000004E-3</v>
      </c>
      <c r="E748">
        <v>9.11E-3</v>
      </c>
      <c r="F748">
        <v>27913091</v>
      </c>
      <c r="G748">
        <v>2.59</v>
      </c>
      <c r="L748" t="s">
        <v>8</v>
      </c>
      <c r="M748" t="s">
        <v>7</v>
      </c>
      <c r="N748" t="s">
        <v>7</v>
      </c>
      <c r="P748">
        <f t="shared" si="999"/>
        <v>-5.4054054054054244E-2</v>
      </c>
      <c r="Q748">
        <f t="shared" si="1000"/>
        <v>-1508815.7297297351</v>
      </c>
      <c r="R748">
        <f t="shared" si="1001"/>
        <v>-386578414.69858807</v>
      </c>
      <c r="S748">
        <f t="shared" si="1002"/>
        <v>-3865.7841469858809</v>
      </c>
      <c r="T748">
        <f t="shared" si="1003"/>
        <v>-3.8657841469858809</v>
      </c>
    </row>
    <row r="749" spans="1:20" x14ac:dyDescent="0.25">
      <c r="A749" s="5">
        <v>43844</v>
      </c>
      <c r="B749">
        <v>8.8999999999999999E-3</v>
      </c>
      <c r="C749">
        <v>9.1400000000000006E-3</v>
      </c>
      <c r="D749">
        <v>8.5100000000000002E-3</v>
      </c>
      <c r="E749">
        <v>8.8900000000000003E-3</v>
      </c>
      <c r="F749">
        <v>29383276.100000001</v>
      </c>
      <c r="G749">
        <v>-0.11</v>
      </c>
      <c r="L749" t="s">
        <v>7</v>
      </c>
      <c r="M749" t="s">
        <v>7</v>
      </c>
      <c r="N749" t="s">
        <v>7</v>
      </c>
      <c r="P749">
        <f t="shared" si="999"/>
        <v>0.20634920634920609</v>
      </c>
      <c r="Q749">
        <f t="shared" si="1000"/>
        <v>6063215.7031745957</v>
      </c>
      <c r="R749">
        <f t="shared" si="1001"/>
        <v>-385069598.96885836</v>
      </c>
      <c r="S749">
        <f t="shared" si="1002"/>
        <v>-3850.6959896885837</v>
      </c>
      <c r="T749">
        <f t="shared" si="1003"/>
        <v>-3.8506959896885835</v>
      </c>
    </row>
    <row r="750" spans="1:20" x14ac:dyDescent="0.25">
      <c r="A750" s="5">
        <v>43843</v>
      </c>
      <c r="B750">
        <v>9.2300000000000004E-3</v>
      </c>
      <c r="C750">
        <v>9.2499999999999995E-3</v>
      </c>
      <c r="D750">
        <v>8.5000000000000006E-3</v>
      </c>
      <c r="E750">
        <v>8.9300000000000004E-3</v>
      </c>
      <c r="F750">
        <v>15791861.1</v>
      </c>
      <c r="G750">
        <v>-3.25</v>
      </c>
      <c r="L750" t="s">
        <v>7</v>
      </c>
      <c r="M750" t="s">
        <v>7</v>
      </c>
      <c r="N750" t="s">
        <v>7</v>
      </c>
      <c r="P750">
        <f t="shared" si="999"/>
        <v>0.14666666666666783</v>
      </c>
      <c r="Q750">
        <f t="shared" si="1000"/>
        <v>2316139.6280000182</v>
      </c>
      <c r="R750">
        <f t="shared" si="1001"/>
        <v>-391132814.67203295</v>
      </c>
      <c r="S750">
        <f t="shared" si="1002"/>
        <v>-3911.3281467203296</v>
      </c>
      <c r="T750">
        <f t="shared" si="1003"/>
        <v>-3.9113281467203298</v>
      </c>
    </row>
    <row r="751" spans="1:20" x14ac:dyDescent="0.25">
      <c r="A751" s="5">
        <v>43842</v>
      </c>
      <c r="B751">
        <v>9.2499999999999995E-3</v>
      </c>
      <c r="C751">
        <v>9.2599999999999991E-3</v>
      </c>
      <c r="D751">
        <v>9.0600000000000003E-3</v>
      </c>
      <c r="E751">
        <v>9.2300000000000004E-3</v>
      </c>
      <c r="F751">
        <v>7199099.5</v>
      </c>
      <c r="G751">
        <v>-0.22</v>
      </c>
      <c r="L751" t="s">
        <v>7</v>
      </c>
      <c r="M751" t="s">
        <v>7</v>
      </c>
      <c r="N751" t="s">
        <v>7</v>
      </c>
      <c r="P751">
        <f t="shared" si="999"/>
        <v>0.70000000000001039</v>
      </c>
      <c r="Q751">
        <f t="shared" si="1000"/>
        <v>5039369.6500000749</v>
      </c>
      <c r="R751">
        <f t="shared" si="1001"/>
        <v>-393448954.30003297</v>
      </c>
      <c r="S751">
        <f t="shared" si="1002"/>
        <v>-3934.4895430003298</v>
      </c>
      <c r="T751">
        <f t="shared" si="1003"/>
        <v>-3.9344895430003297</v>
      </c>
    </row>
    <row r="752" spans="1:20" x14ac:dyDescent="0.25">
      <c r="A752" s="5">
        <v>43841</v>
      </c>
      <c r="B752">
        <v>9.2099999999999994E-3</v>
      </c>
      <c r="C752">
        <v>9.6399999999999993E-3</v>
      </c>
      <c r="D752">
        <v>9.1199999999999996E-3</v>
      </c>
      <c r="E752">
        <v>9.2200000000000008E-3</v>
      </c>
      <c r="F752">
        <v>15633204.5</v>
      </c>
      <c r="G752">
        <v>0.11</v>
      </c>
      <c r="L752" t="s">
        <v>7</v>
      </c>
      <c r="M752" t="s">
        <v>7</v>
      </c>
      <c r="N752" t="s">
        <v>7</v>
      </c>
      <c r="P752">
        <f t="shared" si="999"/>
        <v>-0.61538461538461076</v>
      </c>
      <c r="Q752">
        <f t="shared" si="1000"/>
        <v>-9620433.5384614654</v>
      </c>
      <c r="R752">
        <f t="shared" si="1001"/>
        <v>-398488323.95003307</v>
      </c>
      <c r="S752">
        <f t="shared" si="1002"/>
        <v>-3984.8832395003305</v>
      </c>
      <c r="T752">
        <f t="shared" si="1003"/>
        <v>-3.9848832395003306</v>
      </c>
    </row>
    <row r="753" spans="1:20" x14ac:dyDescent="0.25">
      <c r="A753" s="5">
        <v>43840</v>
      </c>
      <c r="B753">
        <v>9.2399999999999999E-3</v>
      </c>
      <c r="C753">
        <v>9.3900000000000008E-3</v>
      </c>
      <c r="D753">
        <v>8.9999999999999993E-3</v>
      </c>
      <c r="E753">
        <v>9.2099999999999994E-3</v>
      </c>
      <c r="F753">
        <v>15450143.199999999</v>
      </c>
      <c r="G753">
        <v>-0.32</v>
      </c>
      <c r="L753" t="s">
        <v>7</v>
      </c>
      <c r="M753" t="s">
        <v>7</v>
      </c>
      <c r="N753" t="s">
        <v>7</v>
      </c>
      <c r="P753">
        <f t="shared" si="999"/>
        <v>7.69230769230735E-2</v>
      </c>
      <c r="Q753">
        <f t="shared" si="1000"/>
        <v>1188472.5538461008</v>
      </c>
      <c r="R753">
        <f t="shared" si="1001"/>
        <v>-388867890.41157162</v>
      </c>
      <c r="S753">
        <f t="shared" si="1002"/>
        <v>-3888.6789041157163</v>
      </c>
      <c r="T753">
        <f t="shared" si="1003"/>
        <v>-3.8886789041157162</v>
      </c>
    </row>
    <row r="754" spans="1:20" x14ac:dyDescent="0.25">
      <c r="A754" s="5">
        <v>43839</v>
      </c>
      <c r="B754">
        <v>9.4400000000000005E-3</v>
      </c>
      <c r="C754">
        <v>9.7300000000000008E-3</v>
      </c>
      <c r="D754">
        <v>9.1900000000000003E-3</v>
      </c>
      <c r="E754">
        <v>9.2499999999999995E-3</v>
      </c>
      <c r="F754">
        <v>14920128.1</v>
      </c>
      <c r="G754">
        <v>-2.0099999999999998</v>
      </c>
      <c r="L754" t="s">
        <v>7</v>
      </c>
      <c r="M754" t="s">
        <v>7</v>
      </c>
      <c r="N754" t="s">
        <v>7</v>
      </c>
      <c r="P754">
        <f t="shared" si="999"/>
        <v>-0.77777777777778068</v>
      </c>
      <c r="Q754">
        <f t="shared" si="1000"/>
        <v>-11604544.077777822</v>
      </c>
      <c r="R754">
        <f t="shared" si="1001"/>
        <v>-390056362.96541774</v>
      </c>
      <c r="S754">
        <f t="shared" si="1002"/>
        <v>-3900.5636296541775</v>
      </c>
      <c r="T754">
        <f t="shared" si="1003"/>
        <v>-3.9005636296541777</v>
      </c>
    </row>
    <row r="755" spans="1:20" x14ac:dyDescent="0.25">
      <c r="A755" s="5">
        <v>43838</v>
      </c>
      <c r="B755">
        <v>9.7999999999999997E-3</v>
      </c>
      <c r="C755">
        <v>9.9000000000000008E-3</v>
      </c>
      <c r="D755">
        <v>9.3399999999999993E-3</v>
      </c>
      <c r="E755">
        <v>9.4599999999999997E-3</v>
      </c>
      <c r="F755">
        <v>41811395.899999999</v>
      </c>
      <c r="G755">
        <v>-3.47</v>
      </c>
      <c r="L755" t="s">
        <v>7</v>
      </c>
      <c r="M755" t="s">
        <v>7</v>
      </c>
      <c r="N755" t="s">
        <v>7</v>
      </c>
      <c r="P755">
        <f t="shared" si="999"/>
        <v>-0.5714285714285714</v>
      </c>
      <c r="Q755">
        <f t="shared" si="1000"/>
        <v>-23892226.228571426</v>
      </c>
      <c r="R755">
        <f t="shared" si="1001"/>
        <v>-378451818.88763994</v>
      </c>
      <c r="S755">
        <f t="shared" si="1002"/>
        <v>-3784.5181888763996</v>
      </c>
      <c r="T755">
        <f t="shared" si="1003"/>
        <v>-3.7845181888763997</v>
      </c>
    </row>
    <row r="756" spans="1:20" x14ac:dyDescent="0.25">
      <c r="A756" s="5">
        <v>43837</v>
      </c>
      <c r="B756">
        <v>1.0019999999999999E-2</v>
      </c>
      <c r="C756">
        <v>1.0279999999999999E-2</v>
      </c>
      <c r="D756">
        <v>9.7000000000000003E-3</v>
      </c>
      <c r="E756">
        <v>9.8399999999999998E-3</v>
      </c>
      <c r="F756">
        <v>162249500.5</v>
      </c>
      <c r="G756">
        <v>-1.8</v>
      </c>
      <c r="L756" t="s">
        <v>7</v>
      </c>
      <c r="M756" t="s">
        <v>7</v>
      </c>
      <c r="N756" t="s">
        <v>7</v>
      </c>
      <c r="P756">
        <f t="shared" si="999"/>
        <v>-0.51724137931034564</v>
      </c>
      <c r="Q756">
        <f t="shared" si="1000"/>
        <v>-83922155.43103461</v>
      </c>
      <c r="R756">
        <f t="shared" si="1001"/>
        <v>-354559592.65906852</v>
      </c>
      <c r="S756">
        <f t="shared" si="1002"/>
        <v>-3545.5959265906854</v>
      </c>
      <c r="T756">
        <f t="shared" si="1003"/>
        <v>-3.5455959265906856</v>
      </c>
    </row>
    <row r="757" spans="1:20" x14ac:dyDescent="0.25">
      <c r="A757" s="5">
        <v>43836</v>
      </c>
      <c r="B757">
        <v>1.008E-2</v>
      </c>
      <c r="C757">
        <v>1.035E-2</v>
      </c>
      <c r="D757">
        <v>9.8499999999999994E-3</v>
      </c>
      <c r="E757">
        <v>9.9900000000000006E-3</v>
      </c>
      <c r="F757">
        <v>154482575.5</v>
      </c>
      <c r="G757">
        <v>-0.89</v>
      </c>
      <c r="L757" t="s">
        <v>7</v>
      </c>
      <c r="M757" t="s">
        <v>7</v>
      </c>
      <c r="N757" t="s">
        <v>7</v>
      </c>
      <c r="P757">
        <f t="shared" si="999"/>
        <v>-0.43999999999999556</v>
      </c>
      <c r="Q757">
        <f t="shared" si="1000"/>
        <v>-67972333.219999313</v>
      </c>
      <c r="R757">
        <f t="shared" si="1001"/>
        <v>-270637437.2280339</v>
      </c>
      <c r="S757">
        <f t="shared" si="1002"/>
        <v>-2706.3743722803388</v>
      </c>
      <c r="T757">
        <f t="shared" si="1003"/>
        <v>-2.7063743722803388</v>
      </c>
    </row>
    <row r="758" spans="1:20" x14ac:dyDescent="0.25">
      <c r="A758" s="5">
        <v>43835</v>
      </c>
      <c r="B758">
        <v>1.022E-2</v>
      </c>
      <c r="C758">
        <v>1.0500000000000001E-2</v>
      </c>
      <c r="D758">
        <v>1.005E-2</v>
      </c>
      <c r="E758">
        <v>1.008E-2</v>
      </c>
      <c r="F758">
        <v>146186722.5</v>
      </c>
      <c r="G758">
        <v>-1.37</v>
      </c>
      <c r="L758" t="s">
        <v>8</v>
      </c>
      <c r="M758" t="s">
        <v>7</v>
      </c>
      <c r="N758" t="s">
        <v>7</v>
      </c>
      <c r="P758">
        <f t="shared" si="999"/>
        <v>-0.86666666666666459</v>
      </c>
      <c r="Q758">
        <f t="shared" si="1000"/>
        <v>-126695159.4999997</v>
      </c>
      <c r="R758">
        <f t="shared" si="1001"/>
        <v>-202665104.00803459</v>
      </c>
      <c r="S758">
        <f t="shared" si="1002"/>
        <v>-2026.6510400803459</v>
      </c>
      <c r="T758">
        <f t="shared" si="1003"/>
        <v>-2.0266510400803459</v>
      </c>
    </row>
    <row r="759" spans="1:20" x14ac:dyDescent="0.25">
      <c r="A759" s="5">
        <v>43834</v>
      </c>
      <c r="B759">
        <v>1.0059999999999999E-2</v>
      </c>
      <c r="C759">
        <v>1.0540000000000001E-2</v>
      </c>
      <c r="D759">
        <v>9.9000000000000008E-3</v>
      </c>
      <c r="E759">
        <v>1.022E-2</v>
      </c>
      <c r="F759">
        <v>178608202.30000001</v>
      </c>
      <c r="G759">
        <v>1.59</v>
      </c>
      <c r="L759" t="s">
        <v>8</v>
      </c>
      <c r="M759" t="s">
        <v>7</v>
      </c>
      <c r="N759" t="s">
        <v>7</v>
      </c>
      <c r="P759">
        <f t="shared" si="999"/>
        <v>-2.7105054312137615E-15</v>
      </c>
      <c r="Q759">
        <f t="shared" si="1000"/>
        <v>-4.8411850239347628E-7</v>
      </c>
      <c r="R759">
        <f t="shared" si="1001"/>
        <v>-75969944.5080349</v>
      </c>
      <c r="S759">
        <f t="shared" si="1002"/>
        <v>-759.69944508034905</v>
      </c>
      <c r="T759">
        <f t="shared" si="1003"/>
        <v>-0.75969944508034903</v>
      </c>
    </row>
    <row r="760" spans="1:20" x14ac:dyDescent="0.25">
      <c r="A760" s="5">
        <v>43833</v>
      </c>
      <c r="B760">
        <v>9.8499999999999994E-3</v>
      </c>
      <c r="C760">
        <v>1.0370000000000001E-2</v>
      </c>
      <c r="D760">
        <v>9.7099999999999999E-3</v>
      </c>
      <c r="E760">
        <v>1.0070000000000001E-2</v>
      </c>
      <c r="F760">
        <v>458153874.19999999</v>
      </c>
      <c r="G760">
        <v>2.23</v>
      </c>
      <c r="L760" t="s">
        <v>8</v>
      </c>
      <c r="M760" t="s">
        <v>7</v>
      </c>
      <c r="N760" t="s">
        <v>7</v>
      </c>
      <c r="P760">
        <f t="shared" si="999"/>
        <v>9.0909090909092341E-2</v>
      </c>
      <c r="Q760">
        <f t="shared" si="1000"/>
        <v>41650352.200000659</v>
      </c>
      <c r="R760">
        <f t="shared" si="1001"/>
        <v>-75969944.508034423</v>
      </c>
      <c r="S760">
        <f t="shared" si="1002"/>
        <v>-759.69944508034428</v>
      </c>
      <c r="T760">
        <f t="shared" si="1003"/>
        <v>-0.75969944508034426</v>
      </c>
    </row>
    <row r="761" spans="1:20" x14ac:dyDescent="0.25">
      <c r="A761" s="5">
        <v>43832</v>
      </c>
      <c r="B761">
        <v>1.064E-2</v>
      </c>
      <c r="C761">
        <v>1.065E-2</v>
      </c>
      <c r="D761">
        <v>9.5499999999999995E-3</v>
      </c>
      <c r="E761">
        <v>9.8499999999999994E-3</v>
      </c>
      <c r="F761">
        <v>584581577.39999998</v>
      </c>
      <c r="G761">
        <v>-7.42</v>
      </c>
      <c r="L761" t="s">
        <v>7</v>
      </c>
      <c r="M761" t="s">
        <v>7</v>
      </c>
      <c r="N761" t="s">
        <v>7</v>
      </c>
      <c r="P761">
        <f t="shared" si="999"/>
        <v>-0.45454545454545481</v>
      </c>
      <c r="Q761">
        <f t="shared" si="1000"/>
        <v>-265718898.81818196</v>
      </c>
      <c r="R761">
        <f t="shared" si="1001"/>
        <v>-117620296.70803508</v>
      </c>
      <c r="S761">
        <f t="shared" si="1002"/>
        <v>-1176.2029670803508</v>
      </c>
      <c r="T761">
        <f t="shared" si="1003"/>
        <v>-1.1762029670803509</v>
      </c>
    </row>
    <row r="762" spans="1:20" x14ac:dyDescent="0.25">
      <c r="A762" s="5">
        <v>43831</v>
      </c>
      <c r="B762">
        <v>1.0279999999999999E-2</v>
      </c>
      <c r="C762">
        <v>1.0919999999999999E-2</v>
      </c>
      <c r="D762">
        <v>1.023E-2</v>
      </c>
      <c r="E762">
        <v>1.064E-2</v>
      </c>
      <c r="F762">
        <v>786061811.20000005</v>
      </c>
      <c r="G762">
        <v>3.5</v>
      </c>
      <c r="P762">
        <f t="shared" si="999"/>
        <v>0.18840579710145175</v>
      </c>
      <c r="Q762">
        <f t="shared" si="1000"/>
        <v>148098602.11014688</v>
      </c>
      <c r="R762">
        <f t="shared" si="1001"/>
        <v>148098602.11014688</v>
      </c>
      <c r="S762">
        <f t="shared" si="1002"/>
        <v>1480.9860211014689</v>
      </c>
      <c r="T762">
        <f t="shared" si="1003"/>
        <v>1.4809860211014689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OC719" sqref="OC719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$A$718</v>
      </c>
      <c r="D111" s="1" t="str">
        <f>ADDRESS(C121-1,D121,1,1)</f>
        <v>$OC$718</v>
      </c>
      <c r="E111"/>
    </row>
    <row r="112" spans="1:5" x14ac:dyDescent="0.25">
      <c r="A112" s="7">
        <v>12164.144957890772</v>
      </c>
      <c r="C112" s="1" t="str">
        <f>ADDRESS(C121,1,1,1)</f>
        <v>$A$719</v>
      </c>
      <c r="D112" s="1" t="str">
        <f>ADDRESS(C121,D121-1,1,1)</f>
        <v>$OB$719</v>
      </c>
      <c r="E112"/>
    </row>
    <row r="113" spans="1:5" x14ac:dyDescent="0.25">
      <c r="A113" s="7">
        <v>11925.63231165762</v>
      </c>
      <c r="C113" s="1" t="str">
        <f>ADDRESS(C121+1,1,1,1)</f>
        <v>$A$720</v>
      </c>
      <c r="D113" s="1" t="str">
        <f>ADDRESS(C121-1,D121+1,1,1)</f>
        <v>$OD$718</v>
      </c>
    </row>
    <row r="114" spans="1:5" x14ac:dyDescent="0.25">
      <c r="A114" s="7">
        <v>11691.796383978059</v>
      </c>
      <c r="C114" s="1" t="str">
        <f>ADDRESS(C121,D121,1,1)</f>
        <v>$OC$719</v>
      </c>
      <c r="D114" s="1" t="str">
        <f>ADDRESS(C121+1,D121+1,1,1)</f>
        <v>$OD$720</v>
      </c>
    </row>
    <row r="115" spans="1:5" x14ac:dyDescent="0.25">
      <c r="A115" s="7">
        <v>11462.545474488292</v>
      </c>
      <c r="C115" s="1" t="str">
        <f>ADDRESS(C121+1,D121,1,1)</f>
        <v>$OC$720</v>
      </c>
    </row>
    <row r="116" spans="1:5" x14ac:dyDescent="0.25">
      <c r="A116" s="7">
        <v>11237.789680870874</v>
      </c>
      <c r="C116" s="1">
        <f>C117-1</f>
        <v>718</v>
      </c>
    </row>
    <row r="117" spans="1:5" x14ac:dyDescent="0.25">
      <c r="A117" s="7">
        <v>11017.440863598895</v>
      </c>
      <c r="C117" s="1">
        <f>C121</f>
        <v>719</v>
      </c>
      <c r="D117" s="1">
        <f>D121</f>
        <v>393</v>
      </c>
    </row>
    <row r="118" spans="1:5" x14ac:dyDescent="0.25">
      <c r="A118" s="7">
        <v>10801.412611371465</v>
      </c>
      <c r="C118" s="1">
        <f>C117+1</f>
        <v>720</v>
      </c>
      <c r="D118" s="1">
        <f>D117+1</f>
        <v>394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719</v>
      </c>
      <c r="D121" s="19">
        <v>393</v>
      </c>
      <c r="E121" s="19"/>
    </row>
    <row r="122" spans="1:5" x14ac:dyDescent="0.25">
      <c r="A122" s="7">
        <v>9978.8356356406348</v>
      </c>
      <c r="C122" s="1" t="str">
        <f>INDEX(1:1048576,C117,D117)</f>
        <v>X</v>
      </c>
    </row>
    <row r="123" spans="1:5" x14ac:dyDescent="0.25">
      <c r="A123" s="7">
        <v>9783.1721918045441</v>
      </c>
      <c r="C123" s="1" t="str">
        <f>"R"&amp;C121</f>
        <v>R719</v>
      </c>
      <c r="D123" s="1" t="str">
        <f>"C"&amp;D121</f>
        <v>C393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7.3244889378503E-2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X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/>
      </c>
      <c r="D136" s="1" t="str">
        <f>IF(C133=$U$1,IF(C130&gt;(C127*1.02),$U$1,IF(D130&lt;(C127*0.942322334547044),$S$1,"")),"")</f>
        <v>O</v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354" x14ac:dyDescent="0.25">
      <c r="A641" s="7">
        <v>0.34323433454431179</v>
      </c>
      <c r="B641"/>
      <c r="C641"/>
      <c r="D641"/>
      <c r="E641"/>
      <c r="F641" s="27" t="s">
        <v>7</v>
      </c>
    </row>
    <row r="642" spans="1:354" x14ac:dyDescent="0.25">
      <c r="A642" s="7">
        <v>0.33650424955324681</v>
      </c>
      <c r="B642"/>
      <c r="C642"/>
      <c r="D642"/>
      <c r="E642"/>
      <c r="F642" s="27" t="s">
        <v>7</v>
      </c>
    </row>
    <row r="643" spans="1:354" x14ac:dyDescent="0.25">
      <c r="A643" s="7">
        <v>0.3299061270129871</v>
      </c>
      <c r="B643"/>
      <c r="C643"/>
      <c r="D643"/>
      <c r="E643"/>
      <c r="F643" s="27" t="s">
        <v>7</v>
      </c>
    </row>
    <row r="644" spans="1:354" x14ac:dyDescent="0.25">
      <c r="A644" s="7">
        <v>0.32343737942449713</v>
      </c>
      <c r="B644"/>
      <c r="C644"/>
      <c r="D644"/>
      <c r="E644"/>
      <c r="F644" s="27" t="s">
        <v>7</v>
      </c>
    </row>
    <row r="645" spans="1:354" x14ac:dyDescent="0.25">
      <c r="A645" s="7">
        <v>0.31709547002401678</v>
      </c>
      <c r="B645"/>
      <c r="C645"/>
      <c r="D645"/>
      <c r="E645"/>
      <c r="F645" s="27" t="s">
        <v>7</v>
      </c>
    </row>
    <row r="646" spans="1:354" x14ac:dyDescent="0.25">
      <c r="A646" s="7">
        <v>0.31087791178825175</v>
      </c>
      <c r="B646"/>
      <c r="C646"/>
      <c r="D646"/>
      <c r="E646"/>
      <c r="F646" s="27" t="s">
        <v>7</v>
      </c>
    </row>
    <row r="647" spans="1:354" x14ac:dyDescent="0.25">
      <c r="A647" s="7">
        <v>0.30478226645907036</v>
      </c>
      <c r="B647"/>
      <c r="C647"/>
      <c r="D647"/>
      <c r="E647"/>
      <c r="F647" s="27" t="s">
        <v>7</v>
      </c>
    </row>
    <row r="648" spans="1:354" x14ac:dyDescent="0.25">
      <c r="A648" s="7">
        <v>0.29880614358732388</v>
      </c>
      <c r="B648"/>
      <c r="C648"/>
      <c r="D648"/>
      <c r="E648"/>
      <c r="F648" s="27" t="s">
        <v>7</v>
      </c>
    </row>
    <row r="649" spans="1:354" x14ac:dyDescent="0.25">
      <c r="A649" s="7">
        <v>0.2929471995954156</v>
      </c>
      <c r="B649"/>
      <c r="C649"/>
      <c r="D649"/>
      <c r="E649"/>
      <c r="F649" s="27" t="s">
        <v>7</v>
      </c>
    </row>
    <row r="650" spans="1:354" x14ac:dyDescent="0.25">
      <c r="A650" s="7">
        <v>0.28720313685825055</v>
      </c>
      <c r="B650"/>
      <c r="C650"/>
      <c r="D650"/>
      <c r="E650"/>
      <c r="F650" s="27" t="s">
        <v>7</v>
      </c>
    </row>
    <row r="651" spans="1:354" x14ac:dyDescent="0.25">
      <c r="A651" s="7">
        <v>0.28157170280220645</v>
      </c>
      <c r="B651"/>
      <c r="C651"/>
      <c r="D651"/>
      <c r="E651"/>
      <c r="F651" s="27" t="s">
        <v>7</v>
      </c>
    </row>
    <row r="652" spans="1:354" x14ac:dyDescent="0.25">
      <c r="A652" s="7">
        <v>0.27605068902177105</v>
      </c>
      <c r="B652"/>
      <c r="C652"/>
      <c r="D652"/>
      <c r="E652"/>
      <c r="F652" s="27" t="s">
        <v>7</v>
      </c>
    </row>
    <row r="653" spans="1:354" x14ac:dyDescent="0.25">
      <c r="A653" s="7">
        <v>0.27063793041350104</v>
      </c>
      <c r="B653"/>
      <c r="C653"/>
      <c r="D653"/>
      <c r="E653"/>
      <c r="F653" s="27" t="s">
        <v>7</v>
      </c>
      <c r="MO653" s="27" t="s">
        <v>8</v>
      </c>
    </row>
    <row r="654" spans="1:354" x14ac:dyDescent="0.25">
      <c r="A654" s="7">
        <v>0.26533130432696184</v>
      </c>
      <c r="B654"/>
      <c r="C654"/>
      <c r="D654"/>
      <c r="E654"/>
      <c r="F654" s="27" t="s">
        <v>7</v>
      </c>
      <c r="MO654" s="27" t="s">
        <v>8</v>
      </c>
      <c r="MP654" s="27" t="s">
        <v>7</v>
      </c>
    </row>
    <row r="655" spans="1:354" x14ac:dyDescent="0.25">
      <c r="A655" s="7">
        <v>0.26012872973231554</v>
      </c>
      <c r="B655"/>
      <c r="C655"/>
      <c r="D655"/>
      <c r="E655"/>
      <c r="F655" s="27" t="s">
        <v>7</v>
      </c>
      <c r="MO655" s="27" t="s">
        <v>8</v>
      </c>
      <c r="MP655" s="27" t="s">
        <v>7</v>
      </c>
    </row>
    <row r="656" spans="1:354" x14ac:dyDescent="0.25">
      <c r="A656" s="7">
        <v>0.25502816640423093</v>
      </c>
      <c r="B656"/>
      <c r="C656"/>
      <c r="D656"/>
      <c r="E656"/>
      <c r="F656" s="27" t="s">
        <v>7</v>
      </c>
      <c r="MO656" s="27" t="s">
        <v>8</v>
      </c>
      <c r="MP656" s="27" t="s">
        <v>7</v>
      </c>
    </row>
    <row r="657" spans="1:362" x14ac:dyDescent="0.25">
      <c r="A657" s="7">
        <v>0.25002761412179503</v>
      </c>
      <c r="B657"/>
      <c r="C657"/>
      <c r="D657"/>
      <c r="E657"/>
      <c r="F657" s="27" t="s">
        <v>7</v>
      </c>
      <c r="MO657" s="27" t="s">
        <v>8</v>
      </c>
      <c r="MP657" s="27" t="s">
        <v>7</v>
      </c>
    </row>
    <row r="658" spans="1:362" x14ac:dyDescent="0.25">
      <c r="A658" s="7">
        <v>0.24512511188411276</v>
      </c>
      <c r="B658"/>
      <c r="C658"/>
      <c r="D658"/>
      <c r="E658"/>
      <c r="F658" s="27" t="s">
        <v>7</v>
      </c>
      <c r="MO658" s="27" t="s">
        <v>8</v>
      </c>
      <c r="MP658" s="27" t="s">
        <v>7</v>
      </c>
    </row>
    <row r="659" spans="1:362" x14ac:dyDescent="0.25">
      <c r="A659" s="7">
        <v>0.24031873714128701</v>
      </c>
      <c r="B659"/>
      <c r="C659"/>
      <c r="D659"/>
      <c r="E659"/>
      <c r="F659" s="27" t="s">
        <v>7</v>
      </c>
      <c r="MO659" s="27" t="s">
        <v>8</v>
      </c>
      <c r="MP659" s="27" t="s">
        <v>7</v>
      </c>
    </row>
    <row r="660" spans="1:362" x14ac:dyDescent="0.25">
      <c r="A660" s="7">
        <v>0.23560660504047748</v>
      </c>
      <c r="B660"/>
      <c r="C660"/>
      <c r="D660"/>
      <c r="E660"/>
      <c r="F660" s="27" t="s">
        <v>7</v>
      </c>
      <c r="MO660" s="27" t="s">
        <v>8</v>
      </c>
      <c r="MP660" s="27" t="s">
        <v>7</v>
      </c>
    </row>
    <row r="661" spans="1:362" x14ac:dyDescent="0.25">
      <c r="A661" s="7">
        <v>0.23098686768674265</v>
      </c>
      <c r="B661"/>
      <c r="C661"/>
      <c r="D661"/>
      <c r="E661"/>
      <c r="F661" s="27" t="s">
        <v>7</v>
      </c>
      <c r="MO661" s="27" t="s">
        <v>8</v>
      </c>
      <c r="MP661" s="27" t="s">
        <v>7</v>
      </c>
      <c r="MU661" s="27" t="s">
        <v>8</v>
      </c>
    </row>
    <row r="662" spans="1:362" x14ac:dyDescent="0.25">
      <c r="A662" s="7">
        <v>0.22645771341837515</v>
      </c>
      <c r="B662"/>
      <c r="C662"/>
      <c r="D662"/>
      <c r="E662"/>
      <c r="F662" s="27" t="s">
        <v>7</v>
      </c>
      <c r="MO662" s="27" t="s">
        <v>8</v>
      </c>
      <c r="MP662" s="27" t="s">
        <v>7</v>
      </c>
      <c r="MU662" s="27" t="s">
        <v>8</v>
      </c>
      <c r="MV662" s="27" t="s">
        <v>7</v>
      </c>
    </row>
    <row r="663" spans="1:362" x14ac:dyDescent="0.25">
      <c r="A663" s="7">
        <v>0.22201736609644623</v>
      </c>
      <c r="B663"/>
      <c r="C663"/>
      <c r="D663"/>
      <c r="E663"/>
      <c r="F663" s="27" t="s">
        <v>7</v>
      </c>
      <c r="MO663" s="27" t="s">
        <v>8</v>
      </c>
      <c r="MP663" s="27" t="s">
        <v>7</v>
      </c>
      <c r="MU663" s="27" t="s">
        <v>8</v>
      </c>
      <c r="MV663" s="27" t="s">
        <v>7</v>
      </c>
    </row>
    <row r="664" spans="1:362" x14ac:dyDescent="0.25">
      <c r="A664" s="7">
        <v>0.21766408440828061</v>
      </c>
      <c r="B664"/>
      <c r="C664"/>
      <c r="D664"/>
      <c r="E664"/>
      <c r="F664" s="27" t="s">
        <v>7</v>
      </c>
      <c r="MO664" s="27" t="s">
        <v>8</v>
      </c>
      <c r="MP664" s="27" t="s">
        <v>7</v>
      </c>
      <c r="MU664" s="27" t="s">
        <v>8</v>
      </c>
      <c r="MV664" s="27" t="s">
        <v>7</v>
      </c>
    </row>
    <row r="665" spans="1:362" x14ac:dyDescent="0.25">
      <c r="A665" s="7">
        <v>0.21339616118458882</v>
      </c>
      <c r="B665"/>
      <c r="C665"/>
      <c r="D665"/>
      <c r="E665"/>
      <c r="F665" s="27" t="s">
        <v>7</v>
      </c>
      <c r="MO665" s="27" t="s">
        <v>8</v>
      </c>
      <c r="MP665" s="27" t="s">
        <v>7</v>
      </c>
      <c r="MQ665" s="27" t="s">
        <v>8</v>
      </c>
      <c r="MU665" s="27" t="s">
        <v>8</v>
      </c>
      <c r="MV665" s="27" t="s">
        <v>7</v>
      </c>
    </row>
    <row r="666" spans="1:362" x14ac:dyDescent="0.25">
      <c r="A666" s="7">
        <v>0.20921192272998904</v>
      </c>
      <c r="B666"/>
      <c r="C666"/>
      <c r="D666"/>
      <c r="E666"/>
      <c r="F666" s="27" t="s">
        <v>7</v>
      </c>
      <c r="MO666" s="27" t="s">
        <v>8</v>
      </c>
      <c r="MP666" s="27" t="s">
        <v>7</v>
      </c>
      <c r="MQ666" s="27" t="s">
        <v>8</v>
      </c>
      <c r="MR666" s="27" t="s">
        <v>7</v>
      </c>
      <c r="MS666" s="27" t="s">
        <v>8</v>
      </c>
      <c r="MU666" s="27" t="s">
        <v>8</v>
      </c>
      <c r="MV666" s="27" t="s">
        <v>7</v>
      </c>
    </row>
    <row r="667" spans="1:362" x14ac:dyDescent="0.25">
      <c r="A667" s="7">
        <v>0.20510972816665593</v>
      </c>
      <c r="B667"/>
      <c r="C667"/>
      <c r="D667"/>
      <c r="E667"/>
      <c r="F667" s="27" t="s">
        <v>7</v>
      </c>
      <c r="MO667" s="27" t="s">
        <v>8</v>
      </c>
      <c r="MP667" s="27" t="s">
        <v>7</v>
      </c>
      <c r="MQ667" s="27" t="s">
        <v>8</v>
      </c>
      <c r="MR667" s="27" t="s">
        <v>7</v>
      </c>
      <c r="MS667" s="27" t="s">
        <v>8</v>
      </c>
      <c r="MT667" s="27" t="s">
        <v>7</v>
      </c>
      <c r="MU667" s="27" t="s">
        <v>8</v>
      </c>
      <c r="MV667" s="27" t="s">
        <v>7</v>
      </c>
    </row>
    <row r="668" spans="1:362" x14ac:dyDescent="0.25">
      <c r="A668" s="7">
        <v>0.20108796879083912</v>
      </c>
      <c r="B668"/>
      <c r="C668"/>
      <c r="D668"/>
      <c r="E668"/>
      <c r="F668" s="27" t="s">
        <v>7</v>
      </c>
      <c r="MO668" s="27" t="s">
        <v>8</v>
      </c>
      <c r="MP668" s="27" t="s">
        <v>7</v>
      </c>
      <c r="MQ668" s="27" t="s">
        <v>8</v>
      </c>
      <c r="MR668" s="27" t="s">
        <v>7</v>
      </c>
      <c r="MS668" s="27" t="s">
        <v>8</v>
      </c>
      <c r="MT668" s="27" t="s">
        <v>7</v>
      </c>
      <c r="MU668" s="27" t="s">
        <v>8</v>
      </c>
      <c r="MV668" s="27" t="s">
        <v>7</v>
      </c>
    </row>
    <row r="669" spans="1:362" x14ac:dyDescent="0.25">
      <c r="A669" s="7">
        <v>0.19714506744199917</v>
      </c>
      <c r="B669"/>
      <c r="C669"/>
      <c r="D669"/>
      <c r="E669"/>
      <c r="F669" s="27" t="s">
        <v>7</v>
      </c>
      <c r="MO669" s="27" t="s">
        <v>8</v>
      </c>
      <c r="MP669" s="27" t="s">
        <v>7</v>
      </c>
      <c r="MQ669" s="27" t="s">
        <v>8</v>
      </c>
      <c r="MR669" s="27" t="s">
        <v>7</v>
      </c>
      <c r="MS669" s="27" t="s">
        <v>8</v>
      </c>
      <c r="MT669" s="27" t="s">
        <v>7</v>
      </c>
      <c r="MU669" s="27" t="s">
        <v>8</v>
      </c>
      <c r="MV669" s="27" t="s">
        <v>7</v>
      </c>
    </row>
    <row r="670" spans="1:362" x14ac:dyDescent="0.25">
      <c r="A670" s="7">
        <v>0.19327947788431293</v>
      </c>
      <c r="B670"/>
      <c r="C670"/>
      <c r="D670"/>
      <c r="E670"/>
      <c r="F670" s="27" t="s">
        <v>7</v>
      </c>
      <c r="MG670" s="27" t="s">
        <v>8</v>
      </c>
      <c r="MO670" s="27" t="s">
        <v>8</v>
      </c>
      <c r="MP670" s="27" t="s">
        <v>7</v>
      </c>
      <c r="MQ670" s="27" t="s">
        <v>8</v>
      </c>
      <c r="MR670" s="27" t="s">
        <v>7</v>
      </c>
      <c r="MS670" s="27" t="s">
        <v>8</v>
      </c>
      <c r="MT670" s="27" t="s">
        <v>7</v>
      </c>
      <c r="MU670" s="27" t="s">
        <v>8</v>
      </c>
      <c r="MV670" s="27" t="s">
        <v>7</v>
      </c>
      <c r="MW670" s="27" t="s">
        <v>8</v>
      </c>
    </row>
    <row r="671" spans="1:362" x14ac:dyDescent="0.25">
      <c r="A671" s="7">
        <v>0.18948968420030682</v>
      </c>
      <c r="B671"/>
      <c r="C671"/>
      <c r="D671"/>
      <c r="E671"/>
      <c r="F671" s="27" t="s">
        <v>7</v>
      </c>
      <c r="MG671" s="27" t="s">
        <v>8</v>
      </c>
      <c r="MH671" s="27" t="s">
        <v>7</v>
      </c>
      <c r="MO671" s="27" t="s">
        <v>8</v>
      </c>
      <c r="MP671" s="27" t="s">
        <v>7</v>
      </c>
      <c r="MQ671" s="27" t="s">
        <v>8</v>
      </c>
      <c r="MR671" s="27" t="s">
        <v>7</v>
      </c>
      <c r="MT671" s="27" t="s">
        <v>7</v>
      </c>
      <c r="MU671" s="27" t="s">
        <v>8</v>
      </c>
      <c r="MV671" s="27" t="s">
        <v>7</v>
      </c>
      <c r="MW671" s="27" t="s">
        <v>8</v>
      </c>
      <c r="MX671" s="27" t="s">
        <v>7</v>
      </c>
    </row>
    <row r="672" spans="1:362" x14ac:dyDescent="0.25">
      <c r="A672" s="7">
        <v>0.18577420019637925</v>
      </c>
      <c r="B672"/>
      <c r="C672"/>
      <c r="D672"/>
      <c r="E672"/>
      <c r="F672" s="27" t="s">
        <v>7</v>
      </c>
      <c r="MG672" s="27" t="s">
        <v>8</v>
      </c>
      <c r="MH672" s="27" t="s">
        <v>7</v>
      </c>
      <c r="MO672" s="27" t="s">
        <v>8</v>
      </c>
      <c r="MP672" s="27" t="s">
        <v>7</v>
      </c>
      <c r="MQ672" s="27" t="s">
        <v>8</v>
      </c>
      <c r="MT672" s="27" t="s">
        <v>7</v>
      </c>
      <c r="MU672" s="27" t="s">
        <v>8</v>
      </c>
      <c r="MV672" s="27" t="s">
        <v>7</v>
      </c>
      <c r="MW672" s="27" t="s">
        <v>8</v>
      </c>
      <c r="MX672" s="27" t="s">
        <v>7</v>
      </c>
    </row>
    <row r="673" spans="1:370" x14ac:dyDescent="0.25">
      <c r="A673" s="7">
        <v>0.18213156881997963</v>
      </c>
      <c r="B673"/>
      <c r="C673"/>
      <c r="D673"/>
      <c r="E673"/>
      <c r="F673" s="27" t="s">
        <v>7</v>
      </c>
      <c r="MG673" s="27" t="s">
        <v>8</v>
      </c>
      <c r="MH673" s="27" t="s">
        <v>7</v>
      </c>
      <c r="MO673" s="27" t="s">
        <v>8</v>
      </c>
      <c r="MP673" s="27" t="s">
        <v>7</v>
      </c>
      <c r="MQ673" s="27" t="s">
        <v>8</v>
      </c>
      <c r="MT673" s="27" t="s">
        <v>7</v>
      </c>
      <c r="MU673" s="27" t="s">
        <v>8</v>
      </c>
      <c r="MV673" s="27" t="s">
        <v>7</v>
      </c>
      <c r="MW673" s="27" t="s">
        <v>8</v>
      </c>
      <c r="MX673" s="27" t="s">
        <v>7</v>
      </c>
    </row>
    <row r="674" spans="1:370" x14ac:dyDescent="0.25">
      <c r="A674" s="7">
        <v>0.17856036158821534</v>
      </c>
      <c r="B674"/>
      <c r="C674"/>
      <c r="D674"/>
      <c r="E674"/>
      <c r="F674" s="27" t="s">
        <v>7</v>
      </c>
      <c r="MG674" s="27" t="s">
        <v>8</v>
      </c>
      <c r="MH674" s="27" t="s">
        <v>7</v>
      </c>
      <c r="MO674" s="27" t="s">
        <v>8</v>
      </c>
      <c r="MP674" s="27" t="s">
        <v>7</v>
      </c>
      <c r="MT674" s="27" t="s">
        <v>7</v>
      </c>
      <c r="MV674" s="27" t="s">
        <v>7</v>
      </c>
      <c r="MW674" s="27" t="s">
        <v>8</v>
      </c>
      <c r="MX674" s="27" t="s">
        <v>7</v>
      </c>
    </row>
    <row r="675" spans="1:370" x14ac:dyDescent="0.25">
      <c r="A675" s="7">
        <v>0.17505917802766208</v>
      </c>
      <c r="B675"/>
      <c r="C675"/>
      <c r="D675"/>
      <c r="E675"/>
      <c r="F675" s="27" t="s">
        <v>7</v>
      </c>
      <c r="MG675" s="27" t="s">
        <v>8</v>
      </c>
      <c r="MH675" s="27" t="s">
        <v>7</v>
      </c>
      <c r="MO675" s="27" t="s">
        <v>8</v>
      </c>
      <c r="MV675" s="27" t="s">
        <v>7</v>
      </c>
      <c r="MW675" s="27" t="s">
        <v>8</v>
      </c>
      <c r="MX675" s="27" t="s">
        <v>7</v>
      </c>
    </row>
    <row r="676" spans="1:370" x14ac:dyDescent="0.25">
      <c r="A676" s="7">
        <v>0.17162664512515888</v>
      </c>
      <c r="B676"/>
      <c r="C676"/>
      <c r="D676"/>
      <c r="E676"/>
      <c r="F676" s="27" t="s">
        <v>7</v>
      </c>
      <c r="MG676" s="27" t="s">
        <v>8</v>
      </c>
      <c r="MH676" s="27" t="s">
        <v>7</v>
      </c>
      <c r="MO676" s="27" t="s">
        <v>8</v>
      </c>
      <c r="MV676" s="27" t="s">
        <v>7</v>
      </c>
      <c r="MW676" s="27" t="s">
        <v>8</v>
      </c>
      <c r="MX676" s="27" t="s">
        <v>7</v>
      </c>
    </row>
    <row r="677" spans="1:370" x14ac:dyDescent="0.25">
      <c r="A677" s="7">
        <v>0.16826141678937145</v>
      </c>
      <c r="B677"/>
      <c r="C677"/>
      <c r="D677"/>
      <c r="E677"/>
      <c r="F677" s="27" t="s">
        <v>7</v>
      </c>
      <c r="MG677" s="27" t="s">
        <v>8</v>
      </c>
      <c r="MH677" s="27" t="s">
        <v>7</v>
      </c>
      <c r="MO677" s="27" t="s">
        <v>8</v>
      </c>
      <c r="MV677" s="27" t="s">
        <v>7</v>
      </c>
      <c r="MW677" s="27" t="s">
        <v>8</v>
      </c>
      <c r="MX677" s="27" t="s">
        <v>7</v>
      </c>
      <c r="MY677" s="27" t="s">
        <v>8</v>
      </c>
    </row>
    <row r="678" spans="1:370" x14ac:dyDescent="0.25">
      <c r="A678" s="7">
        <v>0.16496217332291319</v>
      </c>
      <c r="B678"/>
      <c r="C678"/>
      <c r="D678"/>
      <c r="E678"/>
      <c r="F678" s="27" t="s">
        <v>7</v>
      </c>
      <c r="MG678" s="27" t="s">
        <v>8</v>
      </c>
      <c r="MH678" s="27" t="s">
        <v>7</v>
      </c>
      <c r="MO678" s="27" t="s">
        <v>8</v>
      </c>
      <c r="MV678" s="27" t="s">
        <v>7</v>
      </c>
      <c r="MW678" s="27" t="s">
        <v>8</v>
      </c>
      <c r="MX678" s="27" t="s">
        <v>7</v>
      </c>
      <c r="MY678" s="27" t="s">
        <v>8</v>
      </c>
      <c r="MZ678" s="27" t="s">
        <v>7</v>
      </c>
    </row>
    <row r="679" spans="1:370" x14ac:dyDescent="0.25">
      <c r="A679" s="7">
        <v>0.16172762090481685</v>
      </c>
      <c r="B679"/>
      <c r="C679"/>
      <c r="D679"/>
      <c r="E679"/>
      <c r="F679" s="27" t="s">
        <v>7</v>
      </c>
      <c r="ME679" s="27" t="s">
        <v>8</v>
      </c>
      <c r="MG679" s="27" t="s">
        <v>8</v>
      </c>
      <c r="MH679" s="27" t="s">
        <v>7</v>
      </c>
      <c r="MM679" s="27" t="s">
        <v>8</v>
      </c>
      <c r="MO679" s="27" t="s">
        <v>8</v>
      </c>
      <c r="MV679" s="27" t="s">
        <v>7</v>
      </c>
      <c r="MW679" s="27" t="s">
        <v>8</v>
      </c>
      <c r="MX679" s="27" t="s">
        <v>7</v>
      </c>
      <c r="MY679" s="27" t="s">
        <v>8</v>
      </c>
      <c r="MZ679" s="27" t="s">
        <v>7</v>
      </c>
    </row>
    <row r="680" spans="1:370" x14ac:dyDescent="0.25">
      <c r="A680" s="7">
        <v>0.15855649108315376</v>
      </c>
      <c r="B680"/>
      <c r="C680"/>
      <c r="D680"/>
      <c r="E680"/>
      <c r="F680" s="27" t="s">
        <v>7</v>
      </c>
      <c r="ME680" s="27" t="s">
        <v>8</v>
      </c>
      <c r="MF680" s="27" t="s">
        <v>7</v>
      </c>
      <c r="MG680" s="27" t="s">
        <v>8</v>
      </c>
      <c r="MH680" s="27" t="s">
        <v>7</v>
      </c>
      <c r="MM680" s="27" t="s">
        <v>8</v>
      </c>
      <c r="MN680" s="27" t="s">
        <v>7</v>
      </c>
      <c r="MO680" s="27" t="s">
        <v>8</v>
      </c>
      <c r="MV680" s="27" t="s">
        <v>7</v>
      </c>
      <c r="MW680" s="27" t="s">
        <v>8</v>
      </c>
      <c r="MX680" s="27" t="s">
        <v>7</v>
      </c>
      <c r="MY680" s="27" t="s">
        <v>8</v>
      </c>
      <c r="MZ680" s="27" t="s">
        <v>7</v>
      </c>
      <c r="NA680" s="27" t="s">
        <v>8</v>
      </c>
      <c r="NE680" s="27" t="s">
        <v>8</v>
      </c>
    </row>
    <row r="681" spans="1:370" x14ac:dyDescent="0.25">
      <c r="A681" s="7">
        <v>0.15544754027760171</v>
      </c>
      <c r="B681"/>
      <c r="C681"/>
      <c r="D681"/>
      <c r="E681"/>
      <c r="F681" s="27" t="s">
        <v>7</v>
      </c>
      <c r="ME681" s="27" t="s">
        <v>8</v>
      </c>
      <c r="MF681" s="27" t="s">
        <v>7</v>
      </c>
      <c r="MG681" s="27" t="s">
        <v>8</v>
      </c>
      <c r="MH681" s="27" t="s">
        <v>7</v>
      </c>
      <c r="MI681" s="27" t="s">
        <v>8</v>
      </c>
      <c r="MM681" s="27" t="s">
        <v>8</v>
      </c>
      <c r="MN681" s="27" t="s">
        <v>7</v>
      </c>
      <c r="MO681" s="27" t="s">
        <v>8</v>
      </c>
      <c r="MV681" s="27" t="s">
        <v>7</v>
      </c>
      <c r="MW681" s="27" t="s">
        <v>8</v>
      </c>
      <c r="MX681" s="27" t="s">
        <v>7</v>
      </c>
      <c r="MY681" s="27" t="s">
        <v>8</v>
      </c>
      <c r="MZ681" s="27" t="s">
        <v>7</v>
      </c>
      <c r="NA681" s="27" t="s">
        <v>8</v>
      </c>
      <c r="NB681" s="27" t="s">
        <v>7</v>
      </c>
      <c r="NE681" s="27" t="s">
        <v>8</v>
      </c>
      <c r="NF681" s="27" t="s">
        <v>7</v>
      </c>
    </row>
    <row r="682" spans="1:370" x14ac:dyDescent="0.25">
      <c r="A682" s="7">
        <v>0.15239954929176638</v>
      </c>
      <c r="B682"/>
      <c r="C682"/>
      <c r="D682"/>
      <c r="E682"/>
      <c r="F682" s="27" t="s">
        <v>7</v>
      </c>
      <c r="ME682" s="27" t="s">
        <v>8</v>
      </c>
      <c r="MF682" s="27" t="s">
        <v>7</v>
      </c>
      <c r="MG682" s="27" t="s">
        <v>8</v>
      </c>
      <c r="MH682" s="27" t="s">
        <v>7</v>
      </c>
      <c r="MI682" s="27" t="s">
        <v>8</v>
      </c>
      <c r="MJ682" s="27" t="s">
        <v>7</v>
      </c>
      <c r="MM682" s="27" t="s">
        <v>8</v>
      </c>
      <c r="MN682" s="27" t="s">
        <v>7</v>
      </c>
      <c r="MO682" s="27" t="s">
        <v>8</v>
      </c>
      <c r="MV682" s="27" t="s">
        <v>7</v>
      </c>
      <c r="MW682" s="27" t="s">
        <v>8</v>
      </c>
      <c r="MX682" s="27" t="s">
        <v>7</v>
      </c>
      <c r="MZ682" s="27" t="s">
        <v>7</v>
      </c>
      <c r="NA682" s="27" t="s">
        <v>8</v>
      </c>
      <c r="NB682" s="27" t="s">
        <v>7</v>
      </c>
      <c r="NC682" s="27" t="s">
        <v>8</v>
      </c>
      <c r="NE682" s="27" t="s">
        <v>8</v>
      </c>
      <c r="NF682" s="27" t="s">
        <v>7</v>
      </c>
    </row>
    <row r="683" spans="1:370" x14ac:dyDescent="0.25">
      <c r="A683" s="7">
        <v>0.14941132283506509</v>
      </c>
      <c r="B683"/>
      <c r="C683"/>
      <c r="D683"/>
      <c r="E683"/>
      <c r="F683" s="27" t="s">
        <v>7</v>
      </c>
      <c r="ME683" s="27" t="s">
        <v>8</v>
      </c>
      <c r="MF683" s="27" t="s">
        <v>7</v>
      </c>
      <c r="MG683" s="27" t="s">
        <v>8</v>
      </c>
      <c r="MH683" s="27" t="s">
        <v>7</v>
      </c>
      <c r="MI683" s="27" t="s">
        <v>8</v>
      </c>
      <c r="MJ683" s="27" t="s">
        <v>7</v>
      </c>
      <c r="MK683" s="27" t="s">
        <v>8</v>
      </c>
      <c r="MM683" s="27" t="s">
        <v>8</v>
      </c>
      <c r="MN683" s="27" t="s">
        <v>7</v>
      </c>
      <c r="MO683" s="27" t="s">
        <v>8</v>
      </c>
      <c r="MV683" s="27" t="s">
        <v>7</v>
      </c>
      <c r="MZ683" s="27" t="s">
        <v>7</v>
      </c>
      <c r="NA683" s="27" t="s">
        <v>8</v>
      </c>
      <c r="NB683" s="27" t="s">
        <v>7</v>
      </c>
      <c r="NC683" s="27" t="s">
        <v>8</v>
      </c>
      <c r="ND683" s="27" t="s">
        <v>7</v>
      </c>
      <c r="NE683" s="27" t="s">
        <v>8</v>
      </c>
      <c r="NF683" s="27" t="s">
        <v>7</v>
      </c>
    </row>
    <row r="684" spans="1:370" x14ac:dyDescent="0.25">
      <c r="A684" s="7">
        <v>0.14648168905398537</v>
      </c>
      <c r="B684"/>
      <c r="C684"/>
      <c r="D684"/>
      <c r="E684"/>
      <c r="F684" s="27" t="s">
        <v>7</v>
      </c>
      <c r="ME684" s="27" t="s">
        <v>8</v>
      </c>
      <c r="MF684" s="27" t="s">
        <v>7</v>
      </c>
      <c r="MG684" s="27" t="s">
        <v>8</v>
      </c>
      <c r="MH684" s="27" t="s">
        <v>7</v>
      </c>
      <c r="MJ684" s="27" t="s">
        <v>7</v>
      </c>
      <c r="MK684" s="27" t="s">
        <v>8</v>
      </c>
      <c r="ML684" s="27" t="s">
        <v>7</v>
      </c>
      <c r="MM684" s="27" t="s">
        <v>8</v>
      </c>
      <c r="MN684" s="27" t="s">
        <v>7</v>
      </c>
      <c r="MO684" s="27" t="s">
        <v>8</v>
      </c>
      <c r="MZ684" s="27" t="s">
        <v>7</v>
      </c>
      <c r="NA684" s="27" t="s">
        <v>8</v>
      </c>
      <c r="NB684" s="27" t="s">
        <v>7</v>
      </c>
      <c r="NC684" s="27" t="s">
        <v>8</v>
      </c>
      <c r="ND684" s="27" t="s">
        <v>7</v>
      </c>
      <c r="NE684" s="27" t="s">
        <v>8</v>
      </c>
      <c r="NF684" s="27" t="s">
        <v>7</v>
      </c>
    </row>
    <row r="685" spans="1:370" x14ac:dyDescent="0.25">
      <c r="A685" s="7">
        <v>0.14360949907253467</v>
      </c>
      <c r="B685"/>
      <c r="C685"/>
      <c r="D685"/>
      <c r="E685"/>
      <c r="F685" s="27" t="s">
        <v>7</v>
      </c>
      <c r="II685" s="27" t="s">
        <v>8</v>
      </c>
      <c r="ME685" s="27" t="s">
        <v>8</v>
      </c>
      <c r="MF685" s="27" t="s">
        <v>7</v>
      </c>
      <c r="MG685" s="27" t="s">
        <v>8</v>
      </c>
      <c r="MJ685" s="27" t="s">
        <v>7</v>
      </c>
      <c r="MK685" s="27" t="s">
        <v>8</v>
      </c>
      <c r="ML685" s="27" t="s">
        <v>7</v>
      </c>
      <c r="MM685" s="27" t="s">
        <v>8</v>
      </c>
      <c r="MN685" s="27" t="s">
        <v>7</v>
      </c>
      <c r="MO685" s="27" t="s">
        <v>8</v>
      </c>
      <c r="MZ685" s="27" t="s">
        <v>7</v>
      </c>
      <c r="NA685" s="27" t="s">
        <v>8</v>
      </c>
      <c r="NB685" s="27" t="s">
        <v>7</v>
      </c>
      <c r="NC685" s="27" t="s">
        <v>8</v>
      </c>
      <c r="ND685" s="27" t="s">
        <v>7</v>
      </c>
      <c r="NF685" s="27" t="s">
        <v>7</v>
      </c>
    </row>
    <row r="686" spans="1:370" x14ac:dyDescent="0.25">
      <c r="A686" s="7">
        <v>0.14079362654170066</v>
      </c>
      <c r="B686"/>
      <c r="C686"/>
      <c r="D686"/>
      <c r="E686"/>
      <c r="F686" s="27" t="s">
        <v>7</v>
      </c>
      <c r="II686" s="27" t="s">
        <v>8</v>
      </c>
      <c r="IJ686" s="27" t="s">
        <v>7</v>
      </c>
      <c r="ME686" s="27" t="s">
        <v>8</v>
      </c>
      <c r="MF686" s="27" t="s">
        <v>7</v>
      </c>
      <c r="MG686" s="27" t="s">
        <v>8</v>
      </c>
      <c r="MJ686" s="27" t="s">
        <v>7</v>
      </c>
      <c r="MK686" s="27" t="s">
        <v>8</v>
      </c>
      <c r="ML686" s="27" t="s">
        <v>7</v>
      </c>
      <c r="MM686" s="27" t="s">
        <v>8</v>
      </c>
      <c r="MN686" s="27" t="s">
        <v>7</v>
      </c>
      <c r="MO686" s="27" t="s">
        <v>8</v>
      </c>
      <c r="MZ686" s="27" t="s">
        <v>7</v>
      </c>
      <c r="NA686" s="27" t="s">
        <v>8</v>
      </c>
      <c r="NB686" s="27" t="s">
        <v>7</v>
      </c>
      <c r="NC686" s="27" t="s">
        <v>8</v>
      </c>
      <c r="NF686" s="27" t="s">
        <v>7</v>
      </c>
    </row>
    <row r="687" spans="1:370" x14ac:dyDescent="0.25">
      <c r="A687" s="7">
        <v>0.13803296719774574</v>
      </c>
      <c r="B687"/>
      <c r="C687"/>
      <c r="D687"/>
      <c r="E687"/>
      <c r="F687" s="27" t="s">
        <v>7</v>
      </c>
      <c r="IE687" s="27" t="s">
        <v>8</v>
      </c>
      <c r="II687" s="27" t="s">
        <v>8</v>
      </c>
      <c r="IJ687" s="27" t="s">
        <v>7</v>
      </c>
      <c r="ME687" s="27" t="s">
        <v>8</v>
      </c>
      <c r="MF687" s="27" t="s">
        <v>7</v>
      </c>
      <c r="MG687" s="27" t="s">
        <v>8</v>
      </c>
      <c r="MJ687" s="27" t="s">
        <v>7</v>
      </c>
      <c r="ML687" s="27" t="s">
        <v>7</v>
      </c>
      <c r="MM687" s="27" t="s">
        <v>8</v>
      </c>
      <c r="MN687" s="27" t="s">
        <v>7</v>
      </c>
      <c r="MO687" s="27" t="s">
        <v>8</v>
      </c>
      <c r="MZ687" s="27" t="s">
        <v>7</v>
      </c>
      <c r="NA687" s="27" t="s">
        <v>8</v>
      </c>
      <c r="NB687" s="27" t="s">
        <v>7</v>
      </c>
      <c r="NF687" s="27" t="s">
        <v>7</v>
      </c>
    </row>
    <row r="688" spans="1:370" x14ac:dyDescent="0.25">
      <c r="A688" s="7">
        <v>0.1353264384291625</v>
      </c>
      <c r="B688"/>
      <c r="C688"/>
      <c r="D688"/>
      <c r="E688"/>
      <c r="F688" s="27" t="s">
        <v>7</v>
      </c>
      <c r="IE688" s="27" t="s">
        <v>8</v>
      </c>
      <c r="IF688" s="27" t="s">
        <v>7</v>
      </c>
      <c r="II688" s="27" t="s">
        <v>8</v>
      </c>
      <c r="IJ688" s="27" t="s">
        <v>7</v>
      </c>
      <c r="ME688" s="27" t="s">
        <v>8</v>
      </c>
      <c r="MF688" s="27" t="s">
        <v>7</v>
      </c>
      <c r="MG688" s="27" t="s">
        <v>8</v>
      </c>
      <c r="ML688" s="27" t="s">
        <v>7</v>
      </c>
      <c r="MM688" s="27" t="s">
        <v>8</v>
      </c>
      <c r="MN688" s="27" t="s">
        <v>7</v>
      </c>
      <c r="MO688" s="27" t="s">
        <v>8</v>
      </c>
      <c r="MZ688" s="27" t="s">
        <v>7</v>
      </c>
      <c r="NF688" s="27" t="s">
        <v>7</v>
      </c>
    </row>
    <row r="689" spans="1:384" x14ac:dyDescent="0.25">
      <c r="A689" s="7">
        <v>0.13267297885212009</v>
      </c>
      <c r="B689"/>
      <c r="C689"/>
      <c r="D689"/>
      <c r="E689"/>
      <c r="F689" s="27" t="s">
        <v>7</v>
      </c>
      <c r="IE689" s="27" t="s">
        <v>8</v>
      </c>
      <c r="IF689" s="27" t="s">
        <v>7</v>
      </c>
      <c r="IG689" s="27" t="s">
        <v>8</v>
      </c>
      <c r="II689" s="27" t="s">
        <v>8</v>
      </c>
      <c r="IJ689" s="27" t="s">
        <v>7</v>
      </c>
      <c r="IM689" s="27" t="s">
        <v>8</v>
      </c>
      <c r="ME689" s="27" t="s">
        <v>8</v>
      </c>
      <c r="MF689" s="27" t="s">
        <v>7</v>
      </c>
      <c r="MG689" s="27" t="s">
        <v>8</v>
      </c>
      <c r="ML689" s="27" t="s">
        <v>7</v>
      </c>
      <c r="MM689" s="27" t="s">
        <v>8</v>
      </c>
      <c r="MN689" s="27" t="s">
        <v>7</v>
      </c>
      <c r="NF689" s="27" t="s">
        <v>7</v>
      </c>
    </row>
    <row r="690" spans="1:384" x14ac:dyDescent="0.25">
      <c r="A690" s="7">
        <v>0.13007154789423539</v>
      </c>
      <c r="B690"/>
      <c r="C690"/>
      <c r="D690"/>
      <c r="E690"/>
      <c r="F690" s="27" t="s">
        <v>7</v>
      </c>
      <c r="IC690" s="27" t="s">
        <v>8</v>
      </c>
      <c r="IE690" s="27" t="s">
        <v>8</v>
      </c>
      <c r="IF690" s="27" t="s">
        <v>7</v>
      </c>
      <c r="IG690" s="27" t="s">
        <v>8</v>
      </c>
      <c r="IH690" s="27" t="s">
        <v>7</v>
      </c>
      <c r="II690" s="27" t="s">
        <v>8</v>
      </c>
      <c r="IJ690" s="27" t="s">
        <v>7</v>
      </c>
      <c r="IM690" s="27" t="s">
        <v>8</v>
      </c>
      <c r="IN690" s="27" t="s">
        <v>7</v>
      </c>
      <c r="ME690" s="27" t="s">
        <v>8</v>
      </c>
      <c r="MF690" s="27" t="s">
        <v>7</v>
      </c>
      <c r="MG690" s="27" t="s">
        <v>8</v>
      </c>
      <c r="ML690" s="27" t="s">
        <v>7</v>
      </c>
      <c r="MM690" s="27" t="s">
        <v>8</v>
      </c>
      <c r="NF690" s="27" t="s">
        <v>7</v>
      </c>
    </row>
    <row r="691" spans="1:384" x14ac:dyDescent="0.25">
      <c r="A691" s="7">
        <v>0.12752112538650529</v>
      </c>
      <c r="B691"/>
      <c r="C691"/>
      <c r="D691"/>
      <c r="E691"/>
      <c r="F691" s="27" t="s">
        <v>7</v>
      </c>
      <c r="IC691" s="27" t="s">
        <v>8</v>
      </c>
      <c r="ID691" s="27" t="s">
        <v>7</v>
      </c>
      <c r="IE691" s="27" t="s">
        <v>8</v>
      </c>
      <c r="IF691" s="27" t="s">
        <v>7</v>
      </c>
      <c r="IG691" s="27" t="s">
        <v>8</v>
      </c>
      <c r="IH691" s="27" t="s">
        <v>7</v>
      </c>
      <c r="II691" s="27" t="s">
        <v>8</v>
      </c>
      <c r="IJ691" s="27" t="s">
        <v>7</v>
      </c>
      <c r="IM691" s="27" t="s">
        <v>8</v>
      </c>
      <c r="IN691" s="27" t="s">
        <v>7</v>
      </c>
      <c r="IW691" s="27" t="s">
        <v>8</v>
      </c>
      <c r="ME691" s="27" t="s">
        <v>8</v>
      </c>
      <c r="MF691" s="27" t="s">
        <v>7</v>
      </c>
      <c r="MG691" s="27" t="s">
        <v>8</v>
      </c>
      <c r="ML691" s="27" t="s">
        <v>7</v>
      </c>
      <c r="MM691" s="27" t="s">
        <v>8</v>
      </c>
      <c r="NF691" s="27" t="s">
        <v>7</v>
      </c>
      <c r="NQ691" s="27" t="s">
        <v>8</v>
      </c>
    </row>
    <row r="692" spans="1:384" x14ac:dyDescent="0.25">
      <c r="A692" s="7">
        <v>0.12502071116324048</v>
      </c>
      <c r="B692"/>
      <c r="C692"/>
      <c r="D692"/>
      <c r="E692"/>
      <c r="F692" s="27" t="s">
        <v>7</v>
      </c>
      <c r="IC692" s="27" t="s">
        <v>8</v>
      </c>
      <c r="ID692" s="27" t="s">
        <v>7</v>
      </c>
      <c r="IE692" s="27" t="s">
        <v>8</v>
      </c>
      <c r="IF692" s="27" t="s">
        <v>7</v>
      </c>
      <c r="IG692" s="27" t="s">
        <v>8</v>
      </c>
      <c r="IH692" s="27" t="s">
        <v>7</v>
      </c>
      <c r="II692" s="27" t="s">
        <v>8</v>
      </c>
      <c r="IJ692" s="27" t="s">
        <v>7</v>
      </c>
      <c r="IK692" s="27" t="s">
        <v>8</v>
      </c>
      <c r="IM692" s="27" t="s">
        <v>8</v>
      </c>
      <c r="IN692" s="27" t="s">
        <v>7</v>
      </c>
      <c r="IW692" s="27" t="s">
        <v>8</v>
      </c>
      <c r="IX692" s="27" t="s">
        <v>7</v>
      </c>
      <c r="ME692" s="27" t="s">
        <v>8</v>
      </c>
      <c r="MF692" s="27" t="s">
        <v>7</v>
      </c>
      <c r="MG692" s="27" t="s">
        <v>8</v>
      </c>
      <c r="ML692" s="27" t="s">
        <v>7</v>
      </c>
      <c r="MM692" s="27" t="s">
        <v>8</v>
      </c>
      <c r="NF692" s="27" t="s">
        <v>7</v>
      </c>
      <c r="NQ692" s="27" t="s">
        <v>8</v>
      </c>
      <c r="NR692" s="27" t="s">
        <v>7</v>
      </c>
    </row>
    <row r="693" spans="1:384" x14ac:dyDescent="0.25">
      <c r="A693" s="7">
        <v>0.1225693246698436</v>
      </c>
      <c r="B693"/>
      <c r="C693"/>
      <c r="D693"/>
      <c r="E693"/>
      <c r="F693" s="27" t="s">
        <v>7</v>
      </c>
      <c r="IC693" s="27" t="s">
        <v>8</v>
      </c>
      <c r="ID693" s="27" t="s">
        <v>7</v>
      </c>
      <c r="IE693" s="27" t="s">
        <v>8</v>
      </c>
      <c r="IF693" s="27" t="s">
        <v>7</v>
      </c>
      <c r="IG693" s="27" t="s">
        <v>8</v>
      </c>
      <c r="IH693" s="27" t="s">
        <v>7</v>
      </c>
      <c r="II693" s="27" t="s">
        <v>8</v>
      </c>
      <c r="IJ693" s="27" t="s">
        <v>7</v>
      </c>
      <c r="IK693" s="27" t="s">
        <v>8</v>
      </c>
      <c r="IL693" s="27" t="s">
        <v>7</v>
      </c>
      <c r="IM693" s="27" t="s">
        <v>8</v>
      </c>
      <c r="IN693" s="27" t="s">
        <v>7</v>
      </c>
      <c r="IO693" s="27" t="s">
        <v>8</v>
      </c>
      <c r="IU693" s="27" t="s">
        <v>8</v>
      </c>
      <c r="IW693" s="27" t="s">
        <v>8</v>
      </c>
      <c r="IX693" s="27" t="s">
        <v>7</v>
      </c>
      <c r="ME693" s="27" t="s">
        <v>8</v>
      </c>
      <c r="MF693" s="27" t="s">
        <v>7</v>
      </c>
      <c r="MG693" s="27" t="s">
        <v>8</v>
      </c>
      <c r="ML693" s="27" t="s">
        <v>7</v>
      </c>
      <c r="MM693" s="27" t="s">
        <v>8</v>
      </c>
      <c r="NF693" s="27" t="s">
        <v>7</v>
      </c>
      <c r="NQ693" s="27" t="s">
        <v>8</v>
      </c>
      <c r="NR693" s="27" t="s">
        <v>7</v>
      </c>
    </row>
    <row r="694" spans="1:384" x14ac:dyDescent="0.25">
      <c r="A694" s="7">
        <v>0.12016600457827803</v>
      </c>
      <c r="B694"/>
      <c r="C694"/>
      <c r="D694"/>
      <c r="E694"/>
      <c r="F694" s="27" t="s">
        <v>7</v>
      </c>
      <c r="IC694" s="27" t="s">
        <v>8</v>
      </c>
      <c r="ID694" s="27" t="s">
        <v>7</v>
      </c>
      <c r="IE694" s="27" t="s">
        <v>8</v>
      </c>
      <c r="IF694" s="27" t="s">
        <v>7</v>
      </c>
      <c r="IG694" s="27" t="s">
        <v>8</v>
      </c>
      <c r="IH694" s="27" t="s">
        <v>7</v>
      </c>
      <c r="IJ694" s="27" t="s">
        <v>7</v>
      </c>
      <c r="IK694" s="27" t="s">
        <v>8</v>
      </c>
      <c r="IL694" s="27" t="s">
        <v>7</v>
      </c>
      <c r="IM694" s="27" t="s">
        <v>8</v>
      </c>
      <c r="IN694" s="27" t="s">
        <v>7</v>
      </c>
      <c r="IO694" s="27" t="s">
        <v>8</v>
      </c>
      <c r="IP694" s="27" t="s">
        <v>7</v>
      </c>
      <c r="IU694" s="27" t="s">
        <v>8</v>
      </c>
      <c r="IV694" s="27" t="s">
        <v>7</v>
      </c>
      <c r="IW694" s="27" t="s">
        <v>8</v>
      </c>
      <c r="IX694" s="27" t="s">
        <v>7</v>
      </c>
      <c r="ME694" s="27" t="s">
        <v>8</v>
      </c>
      <c r="MF694" s="27" t="s">
        <v>7</v>
      </c>
      <c r="MG694" s="27" t="s">
        <v>8</v>
      </c>
      <c r="ML694" s="27" t="s">
        <v>7</v>
      </c>
      <c r="MM694" s="27" t="s">
        <v>8</v>
      </c>
      <c r="NF694" s="27" t="s">
        <v>7</v>
      </c>
      <c r="NG694" s="27" t="s">
        <v>8</v>
      </c>
      <c r="NI694" s="27" t="s">
        <v>8</v>
      </c>
      <c r="NQ694" s="27" t="s">
        <v>8</v>
      </c>
      <c r="NR694" s="27" t="s">
        <v>7</v>
      </c>
    </row>
    <row r="695" spans="1:384" x14ac:dyDescent="0.25">
      <c r="A695" s="7">
        <v>0.1178098084100765</v>
      </c>
      <c r="B695"/>
      <c r="C695"/>
      <c r="D695"/>
      <c r="E695"/>
      <c r="F695" s="27" t="s">
        <v>7</v>
      </c>
      <c r="IC695" s="27" t="s">
        <v>8</v>
      </c>
      <c r="ID695" s="27" t="s">
        <v>7</v>
      </c>
      <c r="IE695" s="27" t="s">
        <v>8</v>
      </c>
      <c r="IF695" s="27" t="s">
        <v>7</v>
      </c>
      <c r="IG695" s="27" t="s">
        <v>8</v>
      </c>
      <c r="IJ695" s="27" t="s">
        <v>7</v>
      </c>
      <c r="IK695" s="27" t="s">
        <v>8</v>
      </c>
      <c r="IL695" s="27" t="s">
        <v>7</v>
      </c>
      <c r="IM695" s="27" t="s">
        <v>8</v>
      </c>
      <c r="IN695" s="27" t="s">
        <v>7</v>
      </c>
      <c r="IO695" s="27" t="s">
        <v>8</v>
      </c>
      <c r="IP695" s="27" t="s">
        <v>7</v>
      </c>
      <c r="IU695" s="27" t="s">
        <v>8</v>
      </c>
      <c r="IV695" s="27" t="s">
        <v>7</v>
      </c>
      <c r="IW695" s="27" t="s">
        <v>8</v>
      </c>
      <c r="IX695" s="27" t="s">
        <v>7</v>
      </c>
      <c r="IY695" s="27" t="s">
        <v>8</v>
      </c>
      <c r="MC695" s="27" t="s">
        <v>8</v>
      </c>
      <c r="ME695" s="27" t="s">
        <v>8</v>
      </c>
      <c r="MF695" s="27" t="s">
        <v>7</v>
      </c>
      <c r="MG695" s="27" t="s">
        <v>8</v>
      </c>
      <c r="ML695" s="27" t="s">
        <v>7</v>
      </c>
      <c r="MM695" s="27" t="s">
        <v>8</v>
      </c>
      <c r="NF695" s="27" t="s">
        <v>7</v>
      </c>
      <c r="NG695" s="27" t="s">
        <v>8</v>
      </c>
      <c r="NH695" s="27" t="s">
        <v>7</v>
      </c>
      <c r="NI695" s="27" t="s">
        <v>8</v>
      </c>
      <c r="NJ695" s="27" t="s">
        <v>7</v>
      </c>
      <c r="NM695" s="27" t="s">
        <v>8</v>
      </c>
      <c r="NQ695" s="27" t="s">
        <v>8</v>
      </c>
      <c r="NR695" s="27" t="s">
        <v>7</v>
      </c>
    </row>
    <row r="696" spans="1:384" x14ac:dyDescent="0.25">
      <c r="A696" s="7">
        <v>0.11549981216674166</v>
      </c>
      <c r="B696"/>
      <c r="C696"/>
      <c r="D696"/>
      <c r="E696"/>
      <c r="F696" s="27" t="s">
        <v>7</v>
      </c>
      <c r="IA696" s="27" t="s">
        <v>8</v>
      </c>
      <c r="IC696" s="27" t="s">
        <v>8</v>
      </c>
      <c r="ID696" s="27" t="s">
        <v>7</v>
      </c>
      <c r="IE696" s="27" t="s">
        <v>8</v>
      </c>
      <c r="IF696" s="27" t="s">
        <v>7</v>
      </c>
      <c r="IG696" s="27" t="s">
        <v>8</v>
      </c>
      <c r="IJ696" s="27" t="s">
        <v>7</v>
      </c>
      <c r="IK696" s="27" t="s">
        <v>8</v>
      </c>
      <c r="IL696" s="27" t="s">
        <v>7</v>
      </c>
      <c r="IM696" s="27" t="s">
        <v>8</v>
      </c>
      <c r="IN696" s="27" t="s">
        <v>7</v>
      </c>
      <c r="IO696" s="27" t="s">
        <v>8</v>
      </c>
      <c r="IP696" s="27" t="s">
        <v>7</v>
      </c>
      <c r="IU696" s="27" t="s">
        <v>8</v>
      </c>
      <c r="IV696" s="27" t="s">
        <v>7</v>
      </c>
      <c r="IW696" s="27" t="s">
        <v>8</v>
      </c>
      <c r="IX696" s="27" t="s">
        <v>7</v>
      </c>
      <c r="IY696" s="27" t="s">
        <v>8</v>
      </c>
      <c r="IZ696" s="27" t="s">
        <v>7</v>
      </c>
      <c r="MC696" s="27" t="s">
        <v>8</v>
      </c>
      <c r="MD696" s="27" t="s">
        <v>7</v>
      </c>
      <c r="ME696" s="27" t="s">
        <v>8</v>
      </c>
      <c r="MF696" s="27" t="s">
        <v>7</v>
      </c>
      <c r="MG696" s="27" t="s">
        <v>8</v>
      </c>
      <c r="ML696" s="27" t="s">
        <v>7</v>
      </c>
      <c r="NF696" s="27" t="s">
        <v>7</v>
      </c>
      <c r="NG696" s="27" t="s">
        <v>8</v>
      </c>
      <c r="NH696" s="27" t="s">
        <v>7</v>
      </c>
      <c r="NI696" s="27" t="s">
        <v>8</v>
      </c>
      <c r="NJ696" s="27" t="s">
        <v>7</v>
      </c>
      <c r="NM696" s="27" t="s">
        <v>8</v>
      </c>
      <c r="NN696" s="27" t="s">
        <v>7</v>
      </c>
      <c r="NO696" s="27" t="s">
        <v>8</v>
      </c>
      <c r="NQ696" s="27" t="s">
        <v>8</v>
      </c>
      <c r="NR696" s="27" t="s">
        <v>7</v>
      </c>
    </row>
    <row r="697" spans="1:384" x14ac:dyDescent="0.25">
      <c r="A697" s="7">
        <v>0.11323510996739378</v>
      </c>
      <c r="B697"/>
      <c r="C697"/>
      <c r="D697"/>
      <c r="E697"/>
      <c r="F697" s="27" t="s">
        <v>7</v>
      </c>
      <c r="IA697" s="27" t="s">
        <v>8</v>
      </c>
      <c r="IB697" s="27" t="s">
        <v>7</v>
      </c>
      <c r="IC697" s="27" t="s">
        <v>8</v>
      </c>
      <c r="ID697" s="27" t="s">
        <v>7</v>
      </c>
      <c r="IE697" s="27" t="s">
        <v>8</v>
      </c>
      <c r="IF697" s="27" t="s">
        <v>7</v>
      </c>
      <c r="IG697" s="27" t="s">
        <v>8</v>
      </c>
      <c r="IJ697" s="27" t="s">
        <v>7</v>
      </c>
      <c r="IK697" s="27" t="s">
        <v>8</v>
      </c>
      <c r="IL697" s="27" t="s">
        <v>7</v>
      </c>
      <c r="IM697" s="27" t="s">
        <v>8</v>
      </c>
      <c r="IN697" s="27" t="s">
        <v>7</v>
      </c>
      <c r="IO697" s="27" t="s">
        <v>8</v>
      </c>
      <c r="IP697" s="27" t="s">
        <v>7</v>
      </c>
      <c r="IU697" s="27" t="s">
        <v>8</v>
      </c>
      <c r="IV697" s="27" t="s">
        <v>7</v>
      </c>
      <c r="IW697" s="27" t="s">
        <v>8</v>
      </c>
      <c r="IX697" s="27" t="s">
        <v>7</v>
      </c>
      <c r="IY697" s="27" t="s">
        <v>8</v>
      </c>
      <c r="IZ697" s="27" t="s">
        <v>7</v>
      </c>
      <c r="JA697" s="27" t="s">
        <v>8</v>
      </c>
      <c r="MC697" s="27" t="s">
        <v>8</v>
      </c>
      <c r="MD697" s="27" t="s">
        <v>7</v>
      </c>
      <c r="ME697" s="27" t="s">
        <v>8</v>
      </c>
      <c r="MF697" s="27" t="s">
        <v>7</v>
      </c>
      <c r="NF697" s="27" t="s">
        <v>7</v>
      </c>
      <c r="NG697" s="27" t="s">
        <v>8</v>
      </c>
      <c r="NH697" s="27" t="s">
        <v>7</v>
      </c>
      <c r="NI697" s="27" t="s">
        <v>8</v>
      </c>
      <c r="NJ697" s="27" t="s">
        <v>7</v>
      </c>
      <c r="NM697" s="27" t="s">
        <v>8</v>
      </c>
      <c r="NN697" s="27" t="s">
        <v>7</v>
      </c>
      <c r="NO697" s="27" t="s">
        <v>8</v>
      </c>
      <c r="NP697" s="27" t="s">
        <v>7</v>
      </c>
      <c r="NQ697" s="27" t="s">
        <v>8</v>
      </c>
      <c r="NR697" s="27" t="s">
        <v>7</v>
      </c>
    </row>
    <row r="698" spans="1:384" x14ac:dyDescent="0.25">
      <c r="A698" s="7">
        <v>0.11101481369352331</v>
      </c>
      <c r="B698"/>
      <c r="C698"/>
      <c r="D698"/>
      <c r="E698"/>
      <c r="F698" s="27" t="s">
        <v>7</v>
      </c>
      <c r="IA698" s="27" t="s">
        <v>8</v>
      </c>
      <c r="IB698" s="27" t="s">
        <v>7</v>
      </c>
      <c r="IC698" s="27" t="s">
        <v>8</v>
      </c>
      <c r="ID698" s="27" t="s">
        <v>7</v>
      </c>
      <c r="IE698" s="27" t="s">
        <v>8</v>
      </c>
      <c r="IF698" s="27" t="s">
        <v>7</v>
      </c>
      <c r="IG698" s="27" t="s">
        <v>8</v>
      </c>
      <c r="IJ698" s="27" t="s">
        <v>7</v>
      </c>
      <c r="IK698" s="27" t="s">
        <v>8</v>
      </c>
      <c r="IL698" s="27" t="s">
        <v>7</v>
      </c>
      <c r="IM698" s="27" t="s">
        <v>8</v>
      </c>
      <c r="IN698" s="27" t="s">
        <v>7</v>
      </c>
      <c r="IO698" s="27" t="s">
        <v>8</v>
      </c>
      <c r="IP698" s="27" t="s">
        <v>7</v>
      </c>
      <c r="IU698" s="27" t="s">
        <v>8</v>
      </c>
      <c r="IV698" s="27" t="s">
        <v>7</v>
      </c>
      <c r="IW698" s="27" t="s">
        <v>8</v>
      </c>
      <c r="IX698" s="27" t="s">
        <v>7</v>
      </c>
      <c r="IY698" s="27" t="s">
        <v>8</v>
      </c>
      <c r="IZ698" s="27" t="s">
        <v>7</v>
      </c>
      <c r="JA698" s="27" t="s">
        <v>8</v>
      </c>
      <c r="JB698" s="27" t="s">
        <v>7</v>
      </c>
      <c r="MC698" s="27" t="s">
        <v>8</v>
      </c>
      <c r="MD698" s="27" t="s">
        <v>7</v>
      </c>
      <c r="ME698" s="27" t="s">
        <v>8</v>
      </c>
      <c r="NF698" s="27" t="s">
        <v>7</v>
      </c>
      <c r="NG698" s="27" t="s">
        <v>8</v>
      </c>
      <c r="NH698" s="27" t="s">
        <v>7</v>
      </c>
      <c r="NI698" s="27" t="s">
        <v>8</v>
      </c>
      <c r="NJ698" s="27" t="s">
        <v>7</v>
      </c>
      <c r="NM698" s="27" t="s">
        <v>8</v>
      </c>
      <c r="NN698" s="27" t="s">
        <v>7</v>
      </c>
      <c r="NO698" s="27" t="s">
        <v>8</v>
      </c>
      <c r="NP698" s="27" t="s">
        <v>7</v>
      </c>
      <c r="NQ698" s="27" t="s">
        <v>8</v>
      </c>
      <c r="NR698" s="27" t="s">
        <v>7</v>
      </c>
    </row>
    <row r="699" spans="1:384" x14ac:dyDescent="0.25">
      <c r="A699" s="7">
        <v>0.10883805264070913</v>
      </c>
      <c r="B699"/>
      <c r="C699"/>
      <c r="D699"/>
      <c r="E699"/>
      <c r="F699" s="27" t="s">
        <v>7</v>
      </c>
      <c r="IA699" s="27" t="s">
        <v>8</v>
      </c>
      <c r="IB699" s="27" t="s">
        <v>7</v>
      </c>
      <c r="IC699" s="27" t="s">
        <v>8</v>
      </c>
      <c r="ID699" s="27" t="s">
        <v>7</v>
      </c>
      <c r="IE699" s="27" t="s">
        <v>8</v>
      </c>
      <c r="IF699" s="27" t="s">
        <v>7</v>
      </c>
      <c r="IG699" s="27" t="s">
        <v>8</v>
      </c>
      <c r="IJ699" s="27" t="s">
        <v>7</v>
      </c>
      <c r="IK699" s="27" t="s">
        <v>8</v>
      </c>
      <c r="IL699" s="27" t="s">
        <v>7</v>
      </c>
      <c r="IN699" s="27" t="s">
        <v>7</v>
      </c>
      <c r="IO699" s="27" t="s">
        <v>8</v>
      </c>
      <c r="IP699" s="27" t="s">
        <v>7</v>
      </c>
      <c r="IU699" s="27" t="s">
        <v>8</v>
      </c>
      <c r="IV699" s="27" t="s">
        <v>7</v>
      </c>
      <c r="IW699" s="27" t="s">
        <v>8</v>
      </c>
      <c r="IX699" s="27" t="s">
        <v>7</v>
      </c>
      <c r="IY699" s="27" t="s">
        <v>8</v>
      </c>
      <c r="IZ699" s="27" t="s">
        <v>7</v>
      </c>
      <c r="JA699" s="27" t="s">
        <v>8</v>
      </c>
      <c r="JB699" s="27" t="s">
        <v>7</v>
      </c>
      <c r="MC699" s="27" t="s">
        <v>8</v>
      </c>
      <c r="MD699" s="27" t="s">
        <v>7</v>
      </c>
      <c r="ME699" s="27" t="s">
        <v>8</v>
      </c>
      <c r="NF699" s="27" t="s">
        <v>7</v>
      </c>
      <c r="NG699" s="27" t="s">
        <v>8</v>
      </c>
      <c r="NH699" s="27" t="s">
        <v>7</v>
      </c>
      <c r="NI699" s="27" t="s">
        <v>8</v>
      </c>
      <c r="NJ699" s="27" t="s">
        <v>7</v>
      </c>
      <c r="NM699" s="27" t="s">
        <v>8</v>
      </c>
      <c r="NN699" s="27" t="s">
        <v>7</v>
      </c>
      <c r="NO699" s="27" t="s">
        <v>8</v>
      </c>
      <c r="NP699" s="27" t="s">
        <v>7</v>
      </c>
      <c r="NQ699" s="27" t="s">
        <v>8</v>
      </c>
      <c r="NR699" s="27" t="s">
        <v>7</v>
      </c>
    </row>
    <row r="700" spans="1:384" x14ac:dyDescent="0.25">
      <c r="A700" s="7">
        <v>0.10670397317716582</v>
      </c>
      <c r="B700"/>
      <c r="C700"/>
      <c r="D700"/>
      <c r="E700"/>
      <c r="F700" s="27" t="s">
        <v>7</v>
      </c>
      <c r="IA700" s="27" t="s">
        <v>8</v>
      </c>
      <c r="IB700" s="27" t="s">
        <v>7</v>
      </c>
      <c r="IC700" s="27" t="s">
        <v>8</v>
      </c>
      <c r="ID700" s="27" t="s">
        <v>7</v>
      </c>
      <c r="IE700" s="27" t="s">
        <v>8</v>
      </c>
      <c r="IF700" s="27" t="s">
        <v>7</v>
      </c>
      <c r="IG700" s="27" t="s">
        <v>8</v>
      </c>
      <c r="IJ700" s="27" t="s">
        <v>7</v>
      </c>
      <c r="IN700" s="27" t="s">
        <v>7</v>
      </c>
      <c r="IO700" s="27" t="s">
        <v>8</v>
      </c>
      <c r="IP700" s="27" t="s">
        <v>7</v>
      </c>
      <c r="IU700" s="27" t="s">
        <v>8</v>
      </c>
      <c r="IV700" s="27" t="s">
        <v>7</v>
      </c>
      <c r="IW700" s="27" t="s">
        <v>8</v>
      </c>
      <c r="IX700" s="27" t="s">
        <v>7</v>
      </c>
      <c r="IY700" s="27" t="s">
        <v>8</v>
      </c>
      <c r="IZ700" s="27" t="s">
        <v>7</v>
      </c>
      <c r="JA700" s="27" t="s">
        <v>8</v>
      </c>
      <c r="JB700" s="27" t="s">
        <v>7</v>
      </c>
      <c r="MC700" s="27" t="s">
        <v>8</v>
      </c>
      <c r="MD700" s="27" t="s">
        <v>7</v>
      </c>
      <c r="ME700" s="27" t="s">
        <v>8</v>
      </c>
      <c r="NF700" s="27" t="s">
        <v>7</v>
      </c>
      <c r="NG700" s="27" t="s">
        <v>8</v>
      </c>
      <c r="NH700" s="27" t="s">
        <v>7</v>
      </c>
      <c r="NI700" s="27" t="s">
        <v>8</v>
      </c>
      <c r="NJ700" s="27" t="s">
        <v>7</v>
      </c>
      <c r="NM700" s="27" t="s">
        <v>8</v>
      </c>
      <c r="NN700" s="27" t="s">
        <v>7</v>
      </c>
      <c r="NO700" s="27" t="s">
        <v>8</v>
      </c>
      <c r="NP700" s="27" t="s">
        <v>7</v>
      </c>
      <c r="NQ700" s="27" t="s">
        <v>8</v>
      </c>
      <c r="NR700" s="27" t="s">
        <v>7</v>
      </c>
    </row>
    <row r="701" spans="1:384" x14ac:dyDescent="0.25">
      <c r="A701" s="7">
        <v>0.1046117384089861</v>
      </c>
      <c r="B701"/>
      <c r="C701"/>
      <c r="D701"/>
      <c r="E701"/>
      <c r="F701" s="27" t="s">
        <v>7</v>
      </c>
      <c r="IA701" s="27" t="s">
        <v>8</v>
      </c>
      <c r="IB701" s="27" t="s">
        <v>7</v>
      </c>
      <c r="IC701" s="27" t="s">
        <v>8</v>
      </c>
      <c r="ID701" s="27" t="s">
        <v>7</v>
      </c>
      <c r="IE701" s="27" t="s">
        <v>8</v>
      </c>
      <c r="IF701" s="27" t="s">
        <v>7</v>
      </c>
      <c r="IG701" s="27" t="s">
        <v>8</v>
      </c>
      <c r="IN701" s="27" t="s">
        <v>7</v>
      </c>
      <c r="IO701" s="27" t="s">
        <v>8</v>
      </c>
      <c r="IP701" s="27" t="s">
        <v>7</v>
      </c>
      <c r="IU701" s="27" t="s">
        <v>8</v>
      </c>
      <c r="IV701" s="27" t="s">
        <v>7</v>
      </c>
      <c r="IW701" s="27" t="s">
        <v>8</v>
      </c>
      <c r="IX701" s="27" t="s">
        <v>7</v>
      </c>
      <c r="IY701" s="27" t="s">
        <v>8</v>
      </c>
      <c r="IZ701" s="27" t="s">
        <v>7</v>
      </c>
      <c r="JB701" s="27" t="s">
        <v>7</v>
      </c>
      <c r="MC701" s="27" t="s">
        <v>8</v>
      </c>
      <c r="MD701" s="27" t="s">
        <v>7</v>
      </c>
      <c r="ME701" s="27" t="s">
        <v>8</v>
      </c>
      <c r="NF701" s="27" t="s">
        <v>7</v>
      </c>
      <c r="NG701" s="27" t="s">
        <v>8</v>
      </c>
      <c r="NH701" s="27" t="s">
        <v>7</v>
      </c>
      <c r="NI701" s="27" t="s">
        <v>8</v>
      </c>
      <c r="NJ701" s="27" t="s">
        <v>7</v>
      </c>
      <c r="NK701" s="27" t="s">
        <v>8</v>
      </c>
      <c r="NM701" s="27" t="s">
        <v>8</v>
      </c>
      <c r="NN701" s="27" t="s">
        <v>7</v>
      </c>
      <c r="NO701" s="27" t="s">
        <v>8</v>
      </c>
      <c r="NP701" s="27" t="s">
        <v>7</v>
      </c>
      <c r="NR701" s="27" t="s">
        <v>7</v>
      </c>
    </row>
    <row r="702" spans="1:384" x14ac:dyDescent="0.25">
      <c r="A702" s="7">
        <v>0.10256052785194716</v>
      </c>
      <c r="B702"/>
      <c r="C702"/>
      <c r="D702"/>
      <c r="E702"/>
      <c r="F702" s="27" t="s">
        <v>7</v>
      </c>
      <c r="IA702" s="27" t="s">
        <v>8</v>
      </c>
      <c r="IB702" s="27" t="s">
        <v>7</v>
      </c>
      <c r="IC702" s="27" t="s">
        <v>8</v>
      </c>
      <c r="ID702" s="27" t="s">
        <v>7</v>
      </c>
      <c r="IE702" s="27" t="s">
        <v>8</v>
      </c>
      <c r="IF702" s="27" t="s">
        <v>7</v>
      </c>
      <c r="IG702" s="27" t="s">
        <v>8</v>
      </c>
      <c r="IN702" s="27" t="s">
        <v>7</v>
      </c>
      <c r="IO702" s="27" t="s">
        <v>8</v>
      </c>
      <c r="IP702" s="27" t="s">
        <v>7</v>
      </c>
      <c r="IU702" s="27" t="s">
        <v>8</v>
      </c>
      <c r="IV702" s="27" t="s">
        <v>7</v>
      </c>
      <c r="IX702" s="27" t="s">
        <v>7</v>
      </c>
      <c r="IY702" s="27" t="s">
        <v>8</v>
      </c>
      <c r="JB702" s="27" t="s">
        <v>7</v>
      </c>
      <c r="MC702" s="27" t="s">
        <v>8</v>
      </c>
      <c r="MD702" s="27" t="s">
        <v>7</v>
      </c>
      <c r="ME702" s="27" t="s">
        <v>8</v>
      </c>
      <c r="NF702" s="27" t="s">
        <v>7</v>
      </c>
      <c r="NG702" s="27" t="s">
        <v>8</v>
      </c>
      <c r="NH702" s="27" t="s">
        <v>7</v>
      </c>
      <c r="NI702" s="27" t="s">
        <v>8</v>
      </c>
      <c r="NJ702" s="27" t="s">
        <v>7</v>
      </c>
      <c r="NK702" s="27" t="s">
        <v>8</v>
      </c>
      <c r="NL702" s="27" t="s">
        <v>7</v>
      </c>
      <c r="NM702" s="27" t="s">
        <v>8</v>
      </c>
      <c r="NN702" s="27" t="s">
        <v>7</v>
      </c>
      <c r="NO702" s="27" t="s">
        <v>8</v>
      </c>
      <c r="NR702" s="27" t="s">
        <v>7</v>
      </c>
      <c r="NS702" s="27" t="s">
        <v>8</v>
      </c>
    </row>
    <row r="703" spans="1:384" x14ac:dyDescent="0.25">
      <c r="A703" s="7">
        <v>0.10054953710975212</v>
      </c>
      <c r="B703"/>
      <c r="C703"/>
      <c r="D703"/>
      <c r="E703"/>
      <c r="F703" s="27" t="s">
        <v>7</v>
      </c>
      <c r="IA703" s="27" t="s">
        <v>8</v>
      </c>
      <c r="IB703" s="27" t="s">
        <v>7</v>
      </c>
      <c r="IC703" s="27" t="s">
        <v>8</v>
      </c>
      <c r="ID703" s="27" t="s">
        <v>7</v>
      </c>
      <c r="IE703" s="27" t="s">
        <v>8</v>
      </c>
      <c r="IF703" s="27" t="s">
        <v>7</v>
      </c>
      <c r="IG703" s="27" t="s">
        <v>8</v>
      </c>
      <c r="IN703" s="27" t="s">
        <v>7</v>
      </c>
      <c r="IO703" s="27" t="s">
        <v>8</v>
      </c>
      <c r="IP703" s="27" t="s">
        <v>7</v>
      </c>
      <c r="IU703" s="27" t="s">
        <v>8</v>
      </c>
      <c r="IX703" s="27" t="s">
        <v>7</v>
      </c>
      <c r="JB703" s="27" t="s">
        <v>7</v>
      </c>
      <c r="JC703" s="27" t="s">
        <v>8</v>
      </c>
      <c r="MC703" s="27" t="s">
        <v>8</v>
      </c>
      <c r="MD703" s="27" t="s">
        <v>7</v>
      </c>
      <c r="ME703" s="27" t="s">
        <v>8</v>
      </c>
      <c r="NF703" s="27" t="s">
        <v>7</v>
      </c>
      <c r="NG703" s="27" t="s">
        <v>8</v>
      </c>
      <c r="NH703" s="27" t="s">
        <v>7</v>
      </c>
      <c r="NJ703" s="27" t="s">
        <v>7</v>
      </c>
      <c r="NK703" s="27" t="s">
        <v>8</v>
      </c>
      <c r="NL703" s="27" t="s">
        <v>7</v>
      </c>
      <c r="NM703" s="27" t="s">
        <v>8</v>
      </c>
      <c r="NN703" s="27" t="s">
        <v>7</v>
      </c>
      <c r="NO703" s="27" t="s">
        <v>8</v>
      </c>
      <c r="NR703" s="27" t="s">
        <v>7</v>
      </c>
      <c r="NS703" s="27" t="s">
        <v>8</v>
      </c>
      <c r="NT703" s="27" t="s">
        <v>7</v>
      </c>
    </row>
    <row r="704" spans="1:384" x14ac:dyDescent="0.25">
      <c r="A704" s="7">
        <v>9.8577977558580512E-2</v>
      </c>
      <c r="B704"/>
      <c r="C704"/>
      <c r="D704"/>
      <c r="E704"/>
      <c r="F704" s="27" t="s">
        <v>7</v>
      </c>
      <c r="IA704" s="27" t="s">
        <v>8</v>
      </c>
      <c r="IB704" s="27" t="s">
        <v>7</v>
      </c>
      <c r="IC704" s="27" t="s">
        <v>8</v>
      </c>
      <c r="ID704" s="27" t="s">
        <v>7</v>
      </c>
      <c r="IF704" s="27" t="s">
        <v>7</v>
      </c>
      <c r="IN704" s="27" t="s">
        <v>7</v>
      </c>
      <c r="IO704" s="27" t="s">
        <v>8</v>
      </c>
      <c r="IP704" s="27" t="s">
        <v>7</v>
      </c>
      <c r="IS704" s="27" t="s">
        <v>8</v>
      </c>
      <c r="IU704" s="27" t="s">
        <v>8</v>
      </c>
      <c r="JB704" s="27" t="s">
        <v>7</v>
      </c>
      <c r="JC704" s="27" t="s">
        <v>8</v>
      </c>
      <c r="JD704" s="27" t="s">
        <v>7</v>
      </c>
      <c r="MC704" s="27" t="s">
        <v>8</v>
      </c>
      <c r="MD704" s="27" t="s">
        <v>7</v>
      </c>
      <c r="ME704" s="27" t="s">
        <v>8</v>
      </c>
      <c r="NF704" s="27" t="s">
        <v>7</v>
      </c>
      <c r="NG704" s="27" t="s">
        <v>8</v>
      </c>
      <c r="NJ704" s="27" t="s">
        <v>7</v>
      </c>
      <c r="NL704" s="27" t="s">
        <v>7</v>
      </c>
      <c r="NM704" s="27" t="s">
        <v>8</v>
      </c>
      <c r="NN704" s="27" t="s">
        <v>7</v>
      </c>
      <c r="NO704" s="27" t="s">
        <v>8</v>
      </c>
      <c r="NR704" s="27" t="s">
        <v>7</v>
      </c>
      <c r="NS704" s="27" t="s">
        <v>8</v>
      </c>
      <c r="NT704" s="27" t="s">
        <v>7</v>
      </c>
    </row>
    <row r="705" spans="1:393" x14ac:dyDescent="0.25">
      <c r="A705" s="7">
        <v>9.6645076037824032E-2</v>
      </c>
      <c r="B705"/>
      <c r="C705"/>
      <c r="D705"/>
      <c r="E705"/>
      <c r="F705" s="27" t="s">
        <v>7</v>
      </c>
      <c r="IA705" s="27" t="s">
        <v>8</v>
      </c>
      <c r="IB705" s="27" t="s">
        <v>7</v>
      </c>
      <c r="IC705" s="27" t="s">
        <v>8</v>
      </c>
      <c r="IN705" s="27" t="s">
        <v>7</v>
      </c>
      <c r="IO705" s="27" t="s">
        <v>8</v>
      </c>
      <c r="IP705" s="27" t="s">
        <v>7</v>
      </c>
      <c r="IS705" s="27" t="s">
        <v>8</v>
      </c>
      <c r="IT705" s="27" t="s">
        <v>7</v>
      </c>
      <c r="IU705" s="27" t="s">
        <v>8</v>
      </c>
      <c r="JB705" s="27" t="s">
        <v>7</v>
      </c>
      <c r="JC705" s="27" t="s">
        <v>8</v>
      </c>
      <c r="JD705" s="27" t="s">
        <v>7</v>
      </c>
      <c r="LI705" s="27" t="s">
        <v>8</v>
      </c>
      <c r="MC705" s="27" t="s">
        <v>8</v>
      </c>
      <c r="MD705" s="27" t="s">
        <v>7</v>
      </c>
      <c r="ME705" s="27" t="s">
        <v>8</v>
      </c>
      <c r="NF705" s="27" t="s">
        <v>7</v>
      </c>
      <c r="NG705" s="27" t="s">
        <v>8</v>
      </c>
      <c r="NL705" s="27" t="s">
        <v>7</v>
      </c>
      <c r="NM705" s="27" t="s">
        <v>8</v>
      </c>
      <c r="NN705" s="27" t="s">
        <v>7</v>
      </c>
      <c r="NO705" s="27" t="s">
        <v>8</v>
      </c>
      <c r="NR705" s="27" t="s">
        <v>7</v>
      </c>
      <c r="NS705" s="27" t="s">
        <v>8</v>
      </c>
      <c r="NT705" s="27" t="s">
        <v>7</v>
      </c>
    </row>
    <row r="706" spans="1:393" x14ac:dyDescent="0.25">
      <c r="A706" s="7">
        <v>9.4750074546886304E-2</v>
      </c>
      <c r="B706"/>
      <c r="C706"/>
      <c r="D706"/>
      <c r="E706"/>
      <c r="F706" s="27" t="s">
        <v>7</v>
      </c>
      <c r="HQ706" s="27" t="s">
        <v>8</v>
      </c>
      <c r="HY706" s="27" t="s">
        <v>8</v>
      </c>
      <c r="IA706" s="27" t="s">
        <v>8</v>
      </c>
      <c r="IB706" s="27" t="s">
        <v>7</v>
      </c>
      <c r="IN706" s="27" t="s">
        <v>7</v>
      </c>
      <c r="IP706" s="27" t="s">
        <v>7</v>
      </c>
      <c r="IS706" s="27" t="s">
        <v>8</v>
      </c>
      <c r="IT706" s="27" t="s">
        <v>7</v>
      </c>
      <c r="IU706" s="27" t="s">
        <v>8</v>
      </c>
      <c r="JB706" s="27" t="s">
        <v>7</v>
      </c>
      <c r="JC706" s="27" t="s">
        <v>8</v>
      </c>
      <c r="JD706" s="27" t="s">
        <v>7</v>
      </c>
      <c r="LI706" s="27" t="s">
        <v>8</v>
      </c>
      <c r="LJ706" s="27" t="s">
        <v>7</v>
      </c>
      <c r="MC706" s="27" t="s">
        <v>8</v>
      </c>
      <c r="MD706" s="27" t="s">
        <v>7</v>
      </c>
      <c r="ME706" s="27" t="s">
        <v>8</v>
      </c>
      <c r="NF706" s="27" t="s">
        <v>7</v>
      </c>
      <c r="NG706" s="27" t="s">
        <v>8</v>
      </c>
      <c r="NL706" s="27" t="s">
        <v>7</v>
      </c>
      <c r="NM706" s="27" t="s">
        <v>8</v>
      </c>
      <c r="NN706" s="27" t="s">
        <v>7</v>
      </c>
      <c r="NO706" s="27" t="s">
        <v>8</v>
      </c>
      <c r="NR706" s="27" t="s">
        <v>7</v>
      </c>
      <c r="NT706" s="27" t="s">
        <v>7</v>
      </c>
    </row>
    <row r="707" spans="1:393" x14ac:dyDescent="0.25">
      <c r="A707" s="7">
        <v>9.2892229947927743E-2</v>
      </c>
      <c r="B707"/>
      <c r="C707"/>
      <c r="D707"/>
      <c r="E707"/>
      <c r="F707" s="27" t="s">
        <v>7</v>
      </c>
      <c r="HQ707" s="27" t="s">
        <v>8</v>
      </c>
      <c r="HR707" s="27" t="s">
        <v>7</v>
      </c>
      <c r="HW707" s="27" t="s">
        <v>8</v>
      </c>
      <c r="HY707" s="27" t="s">
        <v>8</v>
      </c>
      <c r="HZ707" s="27" t="s">
        <v>7</v>
      </c>
      <c r="IA707" s="27" t="s">
        <v>8</v>
      </c>
      <c r="IP707" s="27" t="s">
        <v>7</v>
      </c>
      <c r="IS707" s="27" t="s">
        <v>8</v>
      </c>
      <c r="IT707" s="27" t="s">
        <v>7</v>
      </c>
      <c r="IU707" s="27" t="s">
        <v>8</v>
      </c>
      <c r="JB707" s="27" t="s">
        <v>7</v>
      </c>
      <c r="JC707" s="27" t="s">
        <v>8</v>
      </c>
      <c r="JD707" s="27" t="s">
        <v>7</v>
      </c>
      <c r="LI707" s="27" t="s">
        <v>8</v>
      </c>
      <c r="LJ707" s="27" t="s">
        <v>7</v>
      </c>
      <c r="MC707" s="27" t="s">
        <v>8</v>
      </c>
      <c r="MD707" s="27" t="s">
        <v>7</v>
      </c>
      <c r="ME707" s="27" t="s">
        <v>8</v>
      </c>
      <c r="NF707" s="27" t="s">
        <v>7</v>
      </c>
      <c r="NG707" s="27" t="s">
        <v>8</v>
      </c>
      <c r="NL707" s="27" t="s">
        <v>7</v>
      </c>
      <c r="NM707" s="27" t="s">
        <v>8</v>
      </c>
      <c r="NN707" s="27" t="s">
        <v>7</v>
      </c>
      <c r="NO707" s="27" t="s">
        <v>8</v>
      </c>
      <c r="NT707" s="27" t="s">
        <v>7</v>
      </c>
      <c r="NU707" s="27" t="s">
        <v>8</v>
      </c>
    </row>
    <row r="708" spans="1:393" x14ac:dyDescent="0.25">
      <c r="A708" s="7">
        <v>9.1070813674438963E-2</v>
      </c>
      <c r="B708"/>
      <c r="C708"/>
      <c r="D708"/>
      <c r="E708"/>
      <c r="F708" s="27" t="s">
        <v>7</v>
      </c>
      <c r="HQ708" s="27" t="s">
        <v>8</v>
      </c>
      <c r="HR708" s="27" t="s">
        <v>7</v>
      </c>
      <c r="HW708" s="27" t="s">
        <v>8</v>
      </c>
      <c r="HX708" s="27" t="s">
        <v>7</v>
      </c>
      <c r="HY708" s="27" t="s">
        <v>8</v>
      </c>
      <c r="HZ708" s="27" t="s">
        <v>7</v>
      </c>
      <c r="IA708" s="27" t="s">
        <v>8</v>
      </c>
      <c r="IP708" s="27" t="s">
        <v>7</v>
      </c>
      <c r="IS708" s="27" t="s">
        <v>8</v>
      </c>
      <c r="IT708" s="27" t="s">
        <v>7</v>
      </c>
      <c r="IU708" s="27" t="s">
        <v>8</v>
      </c>
      <c r="JB708" s="27" t="s">
        <v>7</v>
      </c>
      <c r="JC708" s="27" t="s">
        <v>8</v>
      </c>
      <c r="JD708" s="27" t="s">
        <v>7</v>
      </c>
      <c r="LI708" s="27" t="s">
        <v>8</v>
      </c>
      <c r="LJ708" s="27" t="s">
        <v>7</v>
      </c>
      <c r="MC708" s="27" t="s">
        <v>8</v>
      </c>
      <c r="MD708" s="27" t="s">
        <v>7</v>
      </c>
      <c r="ME708" s="27" t="s">
        <v>8</v>
      </c>
      <c r="NF708" s="27" t="s">
        <v>7</v>
      </c>
      <c r="NG708" s="27" t="s">
        <v>8</v>
      </c>
      <c r="NL708" s="27" t="s">
        <v>7</v>
      </c>
      <c r="NM708" s="27" t="s">
        <v>8</v>
      </c>
      <c r="NN708" s="27" t="s">
        <v>7</v>
      </c>
      <c r="NO708" s="27" t="s">
        <v>8</v>
      </c>
      <c r="NT708" s="27" t="s">
        <v>7</v>
      </c>
      <c r="NU708" s="27" t="s">
        <v>8</v>
      </c>
      <c r="NV708" s="27" t="s">
        <v>7</v>
      </c>
    </row>
    <row r="709" spans="1:393" x14ac:dyDescent="0.25">
      <c r="A709" s="7">
        <v>8.9285111445528392E-2</v>
      </c>
      <c r="B709"/>
      <c r="C709"/>
      <c r="D709"/>
      <c r="E709"/>
      <c r="F709" s="27" t="s">
        <v>7</v>
      </c>
      <c r="HQ709" s="27" t="s">
        <v>8</v>
      </c>
      <c r="HR709" s="27" t="s">
        <v>7</v>
      </c>
      <c r="HU709" s="27" t="s">
        <v>8</v>
      </c>
      <c r="HW709" s="27" t="s">
        <v>8</v>
      </c>
      <c r="HX709" s="27" t="s">
        <v>7</v>
      </c>
      <c r="HY709" s="27" t="s">
        <v>8</v>
      </c>
      <c r="HZ709" s="27" t="s">
        <v>7</v>
      </c>
      <c r="IA709" s="27" t="s">
        <v>8</v>
      </c>
      <c r="IP709" s="27" t="s">
        <v>7</v>
      </c>
      <c r="IS709" s="27" t="s">
        <v>8</v>
      </c>
      <c r="IT709" s="27" t="s">
        <v>7</v>
      </c>
      <c r="IU709" s="27" t="s">
        <v>8</v>
      </c>
      <c r="JB709" s="27" t="s">
        <v>7</v>
      </c>
      <c r="JC709" s="27" t="s">
        <v>8</v>
      </c>
      <c r="JD709" s="27" t="s">
        <v>7</v>
      </c>
      <c r="LI709" s="27" t="s">
        <v>8</v>
      </c>
      <c r="LJ709" s="27" t="s">
        <v>7</v>
      </c>
      <c r="MC709" s="27" t="s">
        <v>8</v>
      </c>
      <c r="MD709" s="27" t="s">
        <v>7</v>
      </c>
      <c r="ME709" s="27" t="s">
        <v>8</v>
      </c>
      <c r="NF709" s="27" t="s">
        <v>7</v>
      </c>
      <c r="NG709" s="27" t="s">
        <v>8</v>
      </c>
      <c r="NL709" s="27" t="s">
        <v>7</v>
      </c>
      <c r="NM709" s="27" t="s">
        <v>8</v>
      </c>
      <c r="NN709" s="27" t="s">
        <v>7</v>
      </c>
      <c r="NT709" s="27" t="s">
        <v>7</v>
      </c>
      <c r="NU709" s="27" t="s">
        <v>8</v>
      </c>
      <c r="NV709" s="27" t="s">
        <v>7</v>
      </c>
    </row>
    <row r="710" spans="1:393" x14ac:dyDescent="0.25">
      <c r="A710" s="7">
        <v>8.7534422985812155E-2</v>
      </c>
      <c r="B710"/>
      <c r="C710"/>
      <c r="D710"/>
      <c r="E710"/>
      <c r="F710" s="27" t="s">
        <v>7</v>
      </c>
      <c r="HQ710" s="27" t="s">
        <v>8</v>
      </c>
      <c r="HR710" s="27" t="s">
        <v>7</v>
      </c>
      <c r="HS710" s="27" t="s">
        <v>8</v>
      </c>
      <c r="HU710" s="27" t="s">
        <v>8</v>
      </c>
      <c r="HV710" s="27" t="s">
        <v>7</v>
      </c>
      <c r="HW710" s="27" t="s">
        <v>8</v>
      </c>
      <c r="HX710" s="27" t="s">
        <v>7</v>
      </c>
      <c r="HY710" s="27" t="s">
        <v>8</v>
      </c>
      <c r="HZ710" s="27" t="s">
        <v>7</v>
      </c>
      <c r="IA710" s="27" t="s">
        <v>8</v>
      </c>
      <c r="IP710" s="27" t="s">
        <v>7</v>
      </c>
      <c r="IS710" s="27" t="s">
        <v>8</v>
      </c>
      <c r="IT710" s="27" t="s">
        <v>7</v>
      </c>
      <c r="JB710" s="27" t="s">
        <v>7</v>
      </c>
      <c r="JD710" s="27" t="s">
        <v>7</v>
      </c>
      <c r="LI710" s="27" t="s">
        <v>8</v>
      </c>
      <c r="LJ710" s="27" t="s">
        <v>7</v>
      </c>
      <c r="LO710" s="27" t="s">
        <v>8</v>
      </c>
      <c r="MC710" s="27" t="s">
        <v>8</v>
      </c>
      <c r="MD710" s="27" t="s">
        <v>7</v>
      </c>
      <c r="ME710" s="27" t="s">
        <v>8</v>
      </c>
      <c r="NF710" s="27" t="s">
        <v>7</v>
      </c>
      <c r="NG710" s="27" t="s">
        <v>8</v>
      </c>
      <c r="NL710" s="27" t="s">
        <v>7</v>
      </c>
      <c r="NT710" s="27" t="s">
        <v>7</v>
      </c>
      <c r="NV710" s="27" t="s">
        <v>7</v>
      </c>
      <c r="NW710" s="27" t="s">
        <v>8</v>
      </c>
      <c r="NY710" s="27" t="s">
        <v>8</v>
      </c>
    </row>
    <row r="711" spans="1:393" x14ac:dyDescent="0.25">
      <c r="A711" s="7">
        <v>8.5818061750796232E-2</v>
      </c>
      <c r="B711"/>
      <c r="C711"/>
      <c r="D711"/>
      <c r="E711"/>
      <c r="F711" s="27" t="s">
        <v>7</v>
      </c>
      <c r="HQ711" s="27" t="s">
        <v>8</v>
      </c>
      <c r="HR711" s="27" t="s">
        <v>7</v>
      </c>
      <c r="HS711" s="27" t="s">
        <v>8</v>
      </c>
      <c r="HT711" s="27" t="s">
        <v>7</v>
      </c>
      <c r="HU711" s="27" t="s">
        <v>8</v>
      </c>
      <c r="HV711" s="27" t="s">
        <v>7</v>
      </c>
      <c r="HW711" s="27" t="s">
        <v>8</v>
      </c>
      <c r="HX711" s="27" t="s">
        <v>7</v>
      </c>
      <c r="HY711" s="27" t="s">
        <v>8</v>
      </c>
      <c r="HZ711" s="27" t="s">
        <v>7</v>
      </c>
      <c r="IA711" s="27" t="s">
        <v>8</v>
      </c>
      <c r="IP711" s="27" t="s">
        <v>7</v>
      </c>
      <c r="IS711" s="27" t="s">
        <v>8</v>
      </c>
      <c r="JD711" s="27" t="s">
        <v>7</v>
      </c>
      <c r="JE711" s="27" t="s">
        <v>8</v>
      </c>
      <c r="LC711" s="27" t="s">
        <v>8</v>
      </c>
      <c r="LI711" s="27" t="s">
        <v>8</v>
      </c>
      <c r="LJ711" s="27" t="s">
        <v>7</v>
      </c>
      <c r="LM711" s="27" t="s">
        <v>8</v>
      </c>
      <c r="LO711" s="27" t="s">
        <v>8</v>
      </c>
      <c r="LP711" s="27" t="s">
        <v>7</v>
      </c>
      <c r="MC711" s="27" t="s">
        <v>8</v>
      </c>
      <c r="MD711" s="27" t="s">
        <v>7</v>
      </c>
      <c r="ME711" s="27" t="s">
        <v>8</v>
      </c>
      <c r="NF711" s="27" t="s">
        <v>7</v>
      </c>
      <c r="NV711" s="27" t="s">
        <v>7</v>
      </c>
      <c r="NW711" s="27" t="s">
        <v>8</v>
      </c>
      <c r="NX711" s="27" t="s">
        <v>7</v>
      </c>
      <c r="NY711" s="27" t="s">
        <v>8</v>
      </c>
      <c r="NZ711" s="27" t="s">
        <v>7</v>
      </c>
    </row>
    <row r="712" spans="1:393" x14ac:dyDescent="0.25">
      <c r="A712" s="7">
        <v>8.4135354657643366E-2</v>
      </c>
      <c r="B712"/>
      <c r="C712"/>
      <c r="D712"/>
      <c r="E712"/>
      <c r="F712" s="27" t="s">
        <v>7</v>
      </c>
      <c r="HO712" s="27" t="s">
        <v>8</v>
      </c>
      <c r="HQ712" s="27" t="s">
        <v>8</v>
      </c>
      <c r="HR712" s="27" t="s">
        <v>7</v>
      </c>
      <c r="HS712" s="27" t="s">
        <v>8</v>
      </c>
      <c r="HT712" s="27" t="s">
        <v>7</v>
      </c>
      <c r="HU712" s="27" t="s">
        <v>8</v>
      </c>
      <c r="HV712" s="27" t="s">
        <v>7</v>
      </c>
      <c r="HW712" s="27" t="s">
        <v>8</v>
      </c>
      <c r="HX712" s="27" t="s">
        <v>7</v>
      </c>
      <c r="HY712" s="27" t="s">
        <v>8</v>
      </c>
      <c r="HZ712" s="27" t="s">
        <v>7</v>
      </c>
      <c r="IA712" s="27" t="s">
        <v>8</v>
      </c>
      <c r="IP712" s="27" t="s">
        <v>7</v>
      </c>
      <c r="IS712" s="27" t="s">
        <v>8</v>
      </c>
      <c r="JD712" s="27" t="s">
        <v>7</v>
      </c>
      <c r="JE712" s="27" t="s">
        <v>8</v>
      </c>
      <c r="JF712" s="27" t="s">
        <v>7</v>
      </c>
      <c r="LC712" s="27" t="s">
        <v>8</v>
      </c>
      <c r="LD712" s="27" t="s">
        <v>7</v>
      </c>
      <c r="LI712" s="27" t="s">
        <v>8</v>
      </c>
      <c r="LJ712" s="27" t="s">
        <v>7</v>
      </c>
      <c r="LM712" s="27" t="s">
        <v>8</v>
      </c>
      <c r="LN712" s="27" t="s">
        <v>7</v>
      </c>
      <c r="LO712" s="27" t="s">
        <v>8</v>
      </c>
      <c r="LP712" s="27" t="s">
        <v>7</v>
      </c>
      <c r="MC712" s="27" t="s">
        <v>8</v>
      </c>
      <c r="MD712" s="27" t="s">
        <v>7</v>
      </c>
      <c r="NV712" s="27" t="s">
        <v>7</v>
      </c>
      <c r="NW712" s="27" t="s">
        <v>8</v>
      </c>
      <c r="NX712" s="27" t="s">
        <v>7</v>
      </c>
      <c r="NY712" s="27" t="s">
        <v>8</v>
      </c>
      <c r="NZ712" s="27" t="s">
        <v>7</v>
      </c>
    </row>
    <row r="713" spans="1:393" x14ac:dyDescent="0.25">
      <c r="A713" s="7">
        <v>8.248564182121898E-2</v>
      </c>
      <c r="B713"/>
      <c r="C713"/>
      <c r="D713"/>
      <c r="E713"/>
      <c r="F713" s="27" t="s">
        <v>7</v>
      </c>
      <c r="HO713" s="27" t="s">
        <v>8</v>
      </c>
      <c r="HP713" s="27" t="s">
        <v>7</v>
      </c>
      <c r="HQ713" s="27" t="s">
        <v>8</v>
      </c>
      <c r="HR713" s="27" t="s">
        <v>7</v>
      </c>
      <c r="HS713" s="27" t="s">
        <v>8</v>
      </c>
      <c r="HT713" s="27" t="s">
        <v>7</v>
      </c>
      <c r="HU713" s="27" t="s">
        <v>8</v>
      </c>
      <c r="HV713" s="27" t="s">
        <v>7</v>
      </c>
      <c r="HW713" s="27" t="s">
        <v>8</v>
      </c>
      <c r="HX713" s="27" t="s">
        <v>7</v>
      </c>
      <c r="HY713" s="27" t="s">
        <v>8</v>
      </c>
      <c r="HZ713" s="27" t="s">
        <v>7</v>
      </c>
      <c r="IA713" s="27" t="s">
        <v>8</v>
      </c>
      <c r="IP713" s="27" t="s">
        <v>7</v>
      </c>
      <c r="IQ713" s="27" t="s">
        <v>8</v>
      </c>
      <c r="IS713" s="27" t="s">
        <v>8</v>
      </c>
      <c r="JD713" s="27" t="s">
        <v>7</v>
      </c>
      <c r="JE713" s="27" t="s">
        <v>8</v>
      </c>
      <c r="JF713" s="27" t="s">
        <v>7</v>
      </c>
      <c r="LC713" s="27" t="s">
        <v>8</v>
      </c>
      <c r="LD713" s="27" t="s">
        <v>7</v>
      </c>
      <c r="LE713" s="27" t="s">
        <v>8</v>
      </c>
      <c r="LI713" s="27" t="s">
        <v>8</v>
      </c>
      <c r="LJ713" s="27" t="s">
        <v>7</v>
      </c>
      <c r="LM713" s="27" t="s">
        <v>8</v>
      </c>
      <c r="LN713" s="27" t="s">
        <v>7</v>
      </c>
      <c r="LO713" s="27" t="s">
        <v>8</v>
      </c>
      <c r="LP713" s="27" t="s">
        <v>7</v>
      </c>
      <c r="MC713" s="27" t="s">
        <v>8</v>
      </c>
      <c r="NV713" s="27" t="s">
        <v>7</v>
      </c>
      <c r="NW713" s="27" t="s">
        <v>8</v>
      </c>
      <c r="NX713" s="27" t="s">
        <v>7</v>
      </c>
      <c r="NZ713" s="27" t="s">
        <v>7</v>
      </c>
    </row>
    <row r="714" spans="1:393" x14ac:dyDescent="0.25">
      <c r="A714" s="7">
        <v>8.0868276295312735E-2</v>
      </c>
      <c r="B714"/>
      <c r="C714"/>
      <c r="D714"/>
      <c r="E714"/>
      <c r="F714" s="27" t="s">
        <v>7</v>
      </c>
      <c r="HO714" s="27" t="s">
        <v>8</v>
      </c>
      <c r="HP714" s="27" t="s">
        <v>7</v>
      </c>
      <c r="HQ714" s="27" t="s">
        <v>8</v>
      </c>
      <c r="HR714" s="27" t="s">
        <v>7</v>
      </c>
      <c r="HS714" s="27" t="s">
        <v>8</v>
      </c>
      <c r="HT714" s="27" t="s">
        <v>7</v>
      </c>
      <c r="HU714" s="27" t="s">
        <v>8</v>
      </c>
      <c r="HV714" s="27" t="s">
        <v>7</v>
      </c>
      <c r="HW714" s="27" t="s">
        <v>8</v>
      </c>
      <c r="HX714" s="27" t="s">
        <v>7</v>
      </c>
      <c r="HY714" s="27" t="s">
        <v>8</v>
      </c>
      <c r="HZ714" s="27" t="s">
        <v>7</v>
      </c>
      <c r="IA714" s="27" t="s">
        <v>8</v>
      </c>
      <c r="IP714" s="27" t="s">
        <v>7</v>
      </c>
      <c r="IQ714" s="27" t="s">
        <v>8</v>
      </c>
      <c r="IR714" s="27" t="s">
        <v>7</v>
      </c>
      <c r="IS714" s="27" t="s">
        <v>8</v>
      </c>
      <c r="JD714" s="27" t="s">
        <v>7</v>
      </c>
      <c r="JE714" s="27" t="s">
        <v>8</v>
      </c>
      <c r="JF714" s="27" t="s">
        <v>7</v>
      </c>
      <c r="LC714" s="27" t="s">
        <v>8</v>
      </c>
      <c r="LD714" s="27" t="s">
        <v>7</v>
      </c>
      <c r="LE714" s="27" t="s">
        <v>8</v>
      </c>
      <c r="LF714" s="27" t="s">
        <v>7</v>
      </c>
      <c r="LI714" s="27" t="s">
        <v>8</v>
      </c>
      <c r="LJ714" s="27" t="s">
        <v>7</v>
      </c>
      <c r="LM714" s="27" t="s">
        <v>8</v>
      </c>
      <c r="LN714" s="27" t="s">
        <v>7</v>
      </c>
      <c r="LP714" s="27" t="s">
        <v>7</v>
      </c>
      <c r="MC714" s="27" t="s">
        <v>8</v>
      </c>
      <c r="NV714" s="27" t="s">
        <v>7</v>
      </c>
      <c r="NW714" s="27" t="s">
        <v>8</v>
      </c>
      <c r="NZ714" s="27" t="s">
        <v>7</v>
      </c>
    </row>
    <row r="715" spans="1:393" x14ac:dyDescent="0.25">
      <c r="A715" s="7">
        <v>7.9282623818934056E-2</v>
      </c>
      <c r="B715"/>
      <c r="C715"/>
      <c r="D715"/>
      <c r="E715"/>
      <c r="F715" s="27" t="s">
        <v>7</v>
      </c>
      <c r="HO715" s="27" t="s">
        <v>8</v>
      </c>
      <c r="HP715" s="27" t="s">
        <v>7</v>
      </c>
      <c r="HQ715" s="27" t="s">
        <v>8</v>
      </c>
      <c r="HR715" s="27" t="s">
        <v>7</v>
      </c>
      <c r="HS715" s="27" t="s">
        <v>8</v>
      </c>
      <c r="HT715" s="27" t="s">
        <v>7</v>
      </c>
      <c r="HU715" s="27" t="s">
        <v>8</v>
      </c>
      <c r="HV715" s="27" t="s">
        <v>7</v>
      </c>
      <c r="HW715" s="27" t="s">
        <v>8</v>
      </c>
      <c r="HX715" s="27" t="s">
        <v>7</v>
      </c>
      <c r="HY715" s="27" t="s">
        <v>8</v>
      </c>
      <c r="HZ715" s="27" t="s">
        <v>7</v>
      </c>
      <c r="IA715" s="27" t="s">
        <v>8</v>
      </c>
      <c r="IP715" s="27" t="s">
        <v>7</v>
      </c>
      <c r="IQ715" s="27" t="s">
        <v>8</v>
      </c>
      <c r="IR715" s="27" t="s">
        <v>7</v>
      </c>
      <c r="IS715" s="27" t="s">
        <v>8</v>
      </c>
      <c r="JD715" s="27" t="s">
        <v>7</v>
      </c>
      <c r="JE715" s="27" t="s">
        <v>8</v>
      </c>
      <c r="JF715" s="27" t="s">
        <v>7</v>
      </c>
      <c r="LC715" s="27" t="s">
        <v>8</v>
      </c>
      <c r="LD715" s="27" t="s">
        <v>7</v>
      </c>
      <c r="LE715" s="27" t="s">
        <v>8</v>
      </c>
      <c r="LF715" s="27" t="s">
        <v>7</v>
      </c>
      <c r="LI715" s="27" t="s">
        <v>8</v>
      </c>
      <c r="LJ715" s="27" t="s">
        <v>7</v>
      </c>
      <c r="LM715" s="27" t="s">
        <v>8</v>
      </c>
      <c r="LP715" s="27" t="s">
        <v>7</v>
      </c>
      <c r="LW715" s="27" t="s">
        <v>8</v>
      </c>
      <c r="LY715" s="27" t="s">
        <v>8</v>
      </c>
      <c r="MC715" s="27" t="s">
        <v>8</v>
      </c>
      <c r="NV715" s="27" t="s">
        <v>7</v>
      </c>
      <c r="NW715" s="27" t="s">
        <v>8</v>
      </c>
      <c r="NZ715" s="27" t="s">
        <v>7</v>
      </c>
    </row>
    <row r="716" spans="1:393" x14ac:dyDescent="0.25">
      <c r="A716" s="7">
        <v>7.7728062567582412E-2</v>
      </c>
      <c r="B716"/>
      <c r="C716"/>
      <c r="D716"/>
      <c r="E716"/>
      <c r="F716" s="27" t="s">
        <v>7</v>
      </c>
      <c r="HO716" s="27" t="s">
        <v>8</v>
      </c>
      <c r="HP716" s="27" t="s">
        <v>7</v>
      </c>
      <c r="HQ716" s="27" t="s">
        <v>8</v>
      </c>
      <c r="HR716" s="27" t="s">
        <v>7</v>
      </c>
      <c r="HS716" s="27" t="s">
        <v>8</v>
      </c>
      <c r="HT716" s="27" t="s">
        <v>7</v>
      </c>
      <c r="HV716" s="27" t="s">
        <v>7</v>
      </c>
      <c r="HW716" s="27" t="s">
        <v>8</v>
      </c>
      <c r="HX716" s="27" t="s">
        <v>7</v>
      </c>
      <c r="HZ716" s="27" t="s">
        <v>7</v>
      </c>
      <c r="IA716" s="27" t="s">
        <v>8</v>
      </c>
      <c r="IP716" s="27" t="s">
        <v>7</v>
      </c>
      <c r="IQ716" s="27" t="s">
        <v>8</v>
      </c>
      <c r="IR716" s="27" t="s">
        <v>7</v>
      </c>
      <c r="IS716" s="27" t="s">
        <v>8</v>
      </c>
      <c r="JD716" s="27" t="s">
        <v>7</v>
      </c>
      <c r="JE716" s="27" t="s">
        <v>8</v>
      </c>
      <c r="JF716" s="27" t="s">
        <v>7</v>
      </c>
      <c r="JG716" s="27" t="s">
        <v>8</v>
      </c>
      <c r="LC716" s="27" t="s">
        <v>8</v>
      </c>
      <c r="LD716" s="27" t="s">
        <v>7</v>
      </c>
      <c r="LE716" s="27" t="s">
        <v>8</v>
      </c>
      <c r="LF716" s="27" t="s">
        <v>7</v>
      </c>
      <c r="LG716" s="27" t="s">
        <v>8</v>
      </c>
      <c r="LI716" s="27" t="s">
        <v>8</v>
      </c>
      <c r="LJ716" s="27" t="s">
        <v>7</v>
      </c>
      <c r="LK716" s="27" t="s">
        <v>8</v>
      </c>
      <c r="LM716" s="27" t="s">
        <v>8</v>
      </c>
      <c r="LP716" s="27" t="s">
        <v>7</v>
      </c>
      <c r="LW716" s="27" t="s">
        <v>8</v>
      </c>
      <c r="LX716" s="27" t="s">
        <v>7</v>
      </c>
      <c r="LY716" s="27" t="s">
        <v>8</v>
      </c>
      <c r="LZ716" s="27" t="s">
        <v>7</v>
      </c>
      <c r="MC716" s="27" t="s">
        <v>8</v>
      </c>
      <c r="NV716" s="27" t="s">
        <v>7</v>
      </c>
      <c r="NZ716" s="27" t="s">
        <v>7</v>
      </c>
    </row>
    <row r="717" spans="1:393" x14ac:dyDescent="0.25">
      <c r="A717" s="7">
        <v>7.6203982909394521E-2</v>
      </c>
      <c r="B717"/>
      <c r="C717"/>
      <c r="D717"/>
      <c r="E717"/>
      <c r="F717" s="27" t="s">
        <v>7</v>
      </c>
      <c r="HO717" s="27" t="s">
        <v>8</v>
      </c>
      <c r="HP717" s="27" t="s">
        <v>7</v>
      </c>
      <c r="HQ717" s="27" t="s">
        <v>8</v>
      </c>
      <c r="HR717" s="27" t="s">
        <v>7</v>
      </c>
      <c r="HS717" s="27" t="s">
        <v>8</v>
      </c>
      <c r="HV717" s="27" t="s">
        <v>7</v>
      </c>
      <c r="HZ717" s="27" t="s">
        <v>7</v>
      </c>
      <c r="IP717" s="27" t="s">
        <v>7</v>
      </c>
      <c r="IQ717" s="27" t="s">
        <v>8</v>
      </c>
      <c r="IR717" s="27" t="s">
        <v>7</v>
      </c>
      <c r="IS717" s="27" t="s">
        <v>8</v>
      </c>
      <c r="JD717" s="27" t="s">
        <v>7</v>
      </c>
      <c r="JE717" s="27" t="s">
        <v>8</v>
      </c>
      <c r="JF717" s="27" t="s">
        <v>7</v>
      </c>
      <c r="JG717" s="27" t="s">
        <v>8</v>
      </c>
      <c r="JH717" s="27" t="s">
        <v>7</v>
      </c>
      <c r="LC717" s="27" t="s">
        <v>8</v>
      </c>
      <c r="LD717" s="27" t="s">
        <v>7</v>
      </c>
      <c r="LE717" s="27" t="s">
        <v>8</v>
      </c>
      <c r="LF717" s="27" t="s">
        <v>7</v>
      </c>
      <c r="LG717" s="27" t="s">
        <v>8</v>
      </c>
      <c r="LH717" s="27" t="s">
        <v>7</v>
      </c>
      <c r="LI717" s="27" t="s">
        <v>8</v>
      </c>
      <c r="LJ717" s="27" t="s">
        <v>7</v>
      </c>
      <c r="LK717" s="27" t="s">
        <v>8</v>
      </c>
      <c r="LL717" s="27" t="s">
        <v>7</v>
      </c>
      <c r="LM717" s="27" t="s">
        <v>8</v>
      </c>
      <c r="LP717" s="27" t="s">
        <v>7</v>
      </c>
      <c r="LW717" s="27" t="s">
        <v>8</v>
      </c>
      <c r="LX717" s="27" t="s">
        <v>7</v>
      </c>
      <c r="LY717" s="27" t="s">
        <v>8</v>
      </c>
      <c r="LZ717" s="27" t="s">
        <v>7</v>
      </c>
      <c r="MA717" s="27" t="s">
        <v>8</v>
      </c>
      <c r="MC717" s="27" t="s">
        <v>8</v>
      </c>
      <c r="NZ717" s="27" t="s">
        <v>7</v>
      </c>
    </row>
    <row r="718" spans="1:393" x14ac:dyDescent="0.25">
      <c r="A718" s="7">
        <v>7.4709787166073058E-2</v>
      </c>
      <c r="B718"/>
      <c r="C718"/>
      <c r="D718"/>
      <c r="E718"/>
      <c r="F718" s="27" t="s">
        <v>7</v>
      </c>
      <c r="HO718" s="27" t="s">
        <v>8</v>
      </c>
      <c r="HP718" s="27" t="s">
        <v>7</v>
      </c>
      <c r="HQ718" s="27" t="s">
        <v>8</v>
      </c>
      <c r="HR718" s="27" t="s">
        <v>7</v>
      </c>
      <c r="HS718" s="27" t="s">
        <v>8</v>
      </c>
      <c r="IP718" s="27" t="s">
        <v>7</v>
      </c>
      <c r="IQ718" s="27" t="s">
        <v>8</v>
      </c>
      <c r="IR718" s="27" t="s">
        <v>7</v>
      </c>
      <c r="IS718" s="27" t="s">
        <v>8</v>
      </c>
      <c r="JD718" s="27" t="s">
        <v>7</v>
      </c>
      <c r="JF718" s="27" t="s">
        <v>7</v>
      </c>
      <c r="JG718" s="27" t="s">
        <v>8</v>
      </c>
      <c r="JH718" s="27" t="s">
        <v>7</v>
      </c>
      <c r="LC718" s="27" t="s">
        <v>8</v>
      </c>
      <c r="LD718" s="27" t="s">
        <v>7</v>
      </c>
      <c r="LE718" s="27" t="s">
        <v>8</v>
      </c>
      <c r="LF718" s="27" t="s">
        <v>7</v>
      </c>
      <c r="LG718" s="27" t="s">
        <v>8</v>
      </c>
      <c r="LH718" s="27" t="s">
        <v>7</v>
      </c>
      <c r="LI718" s="27" t="s">
        <v>8</v>
      </c>
      <c r="LJ718" s="27" t="s">
        <v>7</v>
      </c>
      <c r="LK718" s="27" t="s">
        <v>8</v>
      </c>
      <c r="LL718" s="27" t="s">
        <v>7</v>
      </c>
      <c r="LM718" s="27" t="s">
        <v>8</v>
      </c>
      <c r="LP718" s="27" t="s">
        <v>7</v>
      </c>
      <c r="LW718" s="27" t="s">
        <v>8</v>
      </c>
      <c r="LX718" s="27" t="s">
        <v>7</v>
      </c>
      <c r="LY718" s="27" t="s">
        <v>8</v>
      </c>
      <c r="LZ718" s="27" t="s">
        <v>7</v>
      </c>
      <c r="MA718" s="27" t="s">
        <v>8</v>
      </c>
      <c r="MB718" s="27" t="s">
        <v>7</v>
      </c>
      <c r="MC718" s="27" t="s">
        <v>8</v>
      </c>
      <c r="NZ718" s="27" t="s">
        <v>7</v>
      </c>
    </row>
    <row r="719" spans="1:393" x14ac:dyDescent="0.25">
      <c r="A719" s="7">
        <v>7.3244889378503E-2</v>
      </c>
      <c r="B719"/>
      <c r="C719"/>
      <c r="D719"/>
      <c r="E719"/>
      <c r="F719" s="27" t="s">
        <v>7</v>
      </c>
      <c r="HO719" s="27" t="s">
        <v>8</v>
      </c>
      <c r="HP719" s="27" t="s">
        <v>7</v>
      </c>
      <c r="HQ719" s="27" t="s">
        <v>8</v>
      </c>
      <c r="HR719" s="27" t="s">
        <v>7</v>
      </c>
      <c r="IP719" s="27" t="s">
        <v>7</v>
      </c>
      <c r="IQ719" s="27" t="s">
        <v>8</v>
      </c>
      <c r="IR719" s="27" t="s">
        <v>7</v>
      </c>
      <c r="IS719" s="27" t="s">
        <v>8</v>
      </c>
      <c r="JF719" s="27" t="s">
        <v>7</v>
      </c>
      <c r="JG719" s="27" t="s">
        <v>8</v>
      </c>
      <c r="JH719" s="27" t="s">
        <v>7</v>
      </c>
      <c r="LC719" s="27" t="s">
        <v>8</v>
      </c>
      <c r="LD719" s="27" t="s">
        <v>7</v>
      </c>
      <c r="LE719" s="27" t="s">
        <v>8</v>
      </c>
      <c r="LF719" s="27" t="s">
        <v>7</v>
      </c>
      <c r="LG719" s="27" t="s">
        <v>8</v>
      </c>
      <c r="LH719" s="27" t="s">
        <v>7</v>
      </c>
      <c r="LI719" s="27" t="s">
        <v>8</v>
      </c>
      <c r="LJ719" s="27" t="s">
        <v>7</v>
      </c>
      <c r="LK719" s="27" t="s">
        <v>8</v>
      </c>
      <c r="LL719" s="27" t="s">
        <v>7</v>
      </c>
      <c r="LM719" s="27" t="s">
        <v>8</v>
      </c>
      <c r="LP719" s="27" t="s">
        <v>7</v>
      </c>
      <c r="LQ719" s="27" t="s">
        <v>8</v>
      </c>
      <c r="LS719" s="27" t="s">
        <v>8</v>
      </c>
      <c r="LW719" s="27" t="s">
        <v>8</v>
      </c>
      <c r="LX719" s="27" t="s">
        <v>7</v>
      </c>
      <c r="LZ719" s="27" t="s">
        <v>7</v>
      </c>
      <c r="MA719" s="27" t="s">
        <v>8</v>
      </c>
      <c r="MB719" s="27" t="s">
        <v>7</v>
      </c>
      <c r="MC719" s="27" t="s">
        <v>8</v>
      </c>
      <c r="NZ719" s="27" t="s">
        <v>7</v>
      </c>
      <c r="OC719" s="27" t="s">
        <v>8</v>
      </c>
    </row>
    <row r="720" spans="1:393" x14ac:dyDescent="0.25">
      <c r="A720" s="7">
        <v>7.1808715076963722E-2</v>
      </c>
      <c r="B720"/>
      <c r="C720"/>
      <c r="D720"/>
      <c r="E720"/>
      <c r="F720" s="27" t="s">
        <v>7</v>
      </c>
      <c r="HO720" s="27" t="s">
        <v>8</v>
      </c>
      <c r="HP720" s="27" t="s">
        <v>7</v>
      </c>
      <c r="HQ720" s="27" t="s">
        <v>8</v>
      </c>
      <c r="IP720" s="27" t="s">
        <v>7</v>
      </c>
      <c r="IQ720" s="27" t="s">
        <v>8</v>
      </c>
      <c r="IR720" s="27" t="s">
        <v>7</v>
      </c>
      <c r="IS720" s="27" t="s">
        <v>8</v>
      </c>
      <c r="JF720" s="27" t="s">
        <v>7</v>
      </c>
      <c r="JG720" s="27" t="s">
        <v>8</v>
      </c>
      <c r="JH720" s="27" t="s">
        <v>7</v>
      </c>
      <c r="LC720" s="27" t="s">
        <v>8</v>
      </c>
      <c r="LD720" s="27" t="s">
        <v>7</v>
      </c>
      <c r="LF720" s="27" t="s">
        <v>7</v>
      </c>
      <c r="LG720" s="27" t="s">
        <v>8</v>
      </c>
      <c r="LH720" s="27" t="s">
        <v>7</v>
      </c>
      <c r="LJ720" s="27" t="s">
        <v>7</v>
      </c>
      <c r="LK720" s="27" t="s">
        <v>8</v>
      </c>
      <c r="LL720" s="27" t="s">
        <v>7</v>
      </c>
      <c r="LM720" s="27" t="s">
        <v>8</v>
      </c>
      <c r="LP720" s="27" t="s">
        <v>7</v>
      </c>
      <c r="LQ720" s="27" t="s">
        <v>8</v>
      </c>
      <c r="LR720" s="27" t="s">
        <v>7</v>
      </c>
      <c r="LS720" s="27" t="s">
        <v>8</v>
      </c>
      <c r="LT720" s="27" t="s">
        <v>7</v>
      </c>
      <c r="LU720" s="27" t="s">
        <v>8</v>
      </c>
      <c r="LW720" s="27" t="s">
        <v>8</v>
      </c>
      <c r="LZ720" s="27" t="s">
        <v>7</v>
      </c>
      <c r="MA720" s="27" t="s">
        <v>8</v>
      </c>
      <c r="MB720" s="27" t="s">
        <v>7</v>
      </c>
      <c r="MC720" s="27" t="s">
        <v>8</v>
      </c>
      <c r="NZ720" s="27" t="s">
        <v>7</v>
      </c>
      <c r="OC720" s="27" t="s">
        <v>8</v>
      </c>
    </row>
    <row r="721" spans="1:393" x14ac:dyDescent="0.25">
      <c r="A721" s="7">
        <v>7.0400701055846782E-2</v>
      </c>
      <c r="B721"/>
      <c r="C721"/>
      <c r="D721"/>
      <c r="E721"/>
      <c r="F721" s="27" t="s">
        <v>7</v>
      </c>
      <c r="HO721" s="27" t="s">
        <v>8</v>
      </c>
      <c r="HP721" s="27" t="s">
        <v>7</v>
      </c>
      <c r="HQ721" s="27" t="s">
        <v>8</v>
      </c>
      <c r="IP721" s="27" t="s">
        <v>7</v>
      </c>
      <c r="IR721" s="27" t="s">
        <v>7</v>
      </c>
      <c r="JF721" s="27" t="s">
        <v>7</v>
      </c>
      <c r="JG721" s="27" t="s">
        <v>8</v>
      </c>
      <c r="JH721" s="27" t="s">
        <v>7</v>
      </c>
      <c r="LC721" s="27" t="s">
        <v>8</v>
      </c>
      <c r="LF721" s="27" t="s">
        <v>7</v>
      </c>
      <c r="LG721" s="27" t="s">
        <v>8</v>
      </c>
      <c r="LJ721" s="27" t="s">
        <v>7</v>
      </c>
      <c r="LK721" s="27" t="s">
        <v>8</v>
      </c>
      <c r="LL721" s="27" t="s">
        <v>7</v>
      </c>
      <c r="LM721" s="27" t="s">
        <v>8</v>
      </c>
      <c r="LP721" s="27" t="s">
        <v>7</v>
      </c>
      <c r="LQ721" s="27" t="s">
        <v>8</v>
      </c>
      <c r="LR721" s="27" t="s">
        <v>7</v>
      </c>
      <c r="LS721" s="27" t="s">
        <v>8</v>
      </c>
      <c r="LT721" s="27" t="s">
        <v>7</v>
      </c>
      <c r="LU721" s="27" t="s">
        <v>8</v>
      </c>
      <c r="LV721" s="27" t="s">
        <v>7</v>
      </c>
      <c r="LW721" s="27" t="s">
        <v>8</v>
      </c>
      <c r="LZ721" s="27" t="s">
        <v>7</v>
      </c>
      <c r="MB721" s="27" t="s">
        <v>7</v>
      </c>
      <c r="NZ721" s="27" t="s">
        <v>7</v>
      </c>
      <c r="OC721" s="27" t="s">
        <v>8</v>
      </c>
    </row>
    <row r="722" spans="1:393" x14ac:dyDescent="0.25">
      <c r="A722" s="7">
        <v>6.9020295152790956E-2</v>
      </c>
      <c r="B722"/>
      <c r="C722"/>
      <c r="D722"/>
      <c r="E722"/>
      <c r="F722" s="27" t="s">
        <v>7</v>
      </c>
      <c r="HO722" s="27" t="s">
        <v>8</v>
      </c>
      <c r="HP722" s="27" t="s">
        <v>7</v>
      </c>
      <c r="HQ722" s="27" t="s">
        <v>8</v>
      </c>
      <c r="JF722" s="27" t="s">
        <v>7</v>
      </c>
      <c r="JH722" s="27" t="s">
        <v>7</v>
      </c>
      <c r="LC722" s="27" t="s">
        <v>8</v>
      </c>
      <c r="LF722" s="27" t="s">
        <v>7</v>
      </c>
      <c r="LG722" s="27" t="s">
        <v>8</v>
      </c>
      <c r="LJ722" s="27" t="s">
        <v>7</v>
      </c>
      <c r="LK722" s="27" t="s">
        <v>8</v>
      </c>
      <c r="LL722" s="27" t="s">
        <v>7</v>
      </c>
      <c r="LM722" s="27" t="s">
        <v>8</v>
      </c>
      <c r="LP722" s="27" t="s">
        <v>7</v>
      </c>
      <c r="LQ722" s="27" t="s">
        <v>8</v>
      </c>
      <c r="LR722" s="27" t="s">
        <v>7</v>
      </c>
      <c r="LS722" s="27" t="s">
        <v>8</v>
      </c>
      <c r="LT722" s="27" t="s">
        <v>7</v>
      </c>
      <c r="LU722" s="27" t="s">
        <v>8</v>
      </c>
      <c r="LV722" s="27" t="s">
        <v>7</v>
      </c>
      <c r="LW722" s="27" t="s">
        <v>8</v>
      </c>
      <c r="NZ722" s="27" t="s">
        <v>7</v>
      </c>
      <c r="OC722" s="27" t="s">
        <v>8</v>
      </c>
    </row>
    <row r="723" spans="1:393" x14ac:dyDescent="0.25">
      <c r="A723" s="7">
        <v>6.7666956032147993E-2</v>
      </c>
      <c r="B723"/>
      <c r="C723"/>
      <c r="D723"/>
      <c r="E723"/>
      <c r="F723" s="27" t="s">
        <v>7</v>
      </c>
      <c r="HO723" s="27" t="s">
        <v>8</v>
      </c>
      <c r="HP723" s="27" t="s">
        <v>7</v>
      </c>
      <c r="HQ723" s="27" t="s">
        <v>8</v>
      </c>
      <c r="JH723" s="27" t="s">
        <v>7</v>
      </c>
      <c r="LA723" s="27" t="s">
        <v>8</v>
      </c>
      <c r="LC723" s="27" t="s">
        <v>8</v>
      </c>
      <c r="LF723" s="27" t="s">
        <v>7</v>
      </c>
      <c r="LG723" s="27" t="s">
        <v>8</v>
      </c>
      <c r="LJ723" s="27" t="s">
        <v>7</v>
      </c>
      <c r="LK723" s="27" t="s">
        <v>8</v>
      </c>
      <c r="LL723" s="27" t="s">
        <v>7</v>
      </c>
      <c r="LP723" s="27" t="s">
        <v>7</v>
      </c>
      <c r="LQ723" s="27" t="s">
        <v>8</v>
      </c>
      <c r="LR723" s="27" t="s">
        <v>7</v>
      </c>
      <c r="LS723" s="27" t="s">
        <v>8</v>
      </c>
      <c r="LT723" s="27" t="s">
        <v>7</v>
      </c>
      <c r="LU723" s="27" t="s">
        <v>8</v>
      </c>
      <c r="LV723" s="27" t="s">
        <v>7</v>
      </c>
      <c r="NZ723" s="27" t="s">
        <v>7</v>
      </c>
      <c r="OC723" s="27" t="s">
        <v>8</v>
      </c>
    </row>
    <row r="724" spans="1:393" x14ac:dyDescent="0.25">
      <c r="A724" s="7">
        <v>6.6340152972694105E-2</v>
      </c>
      <c r="B724"/>
      <c r="C724"/>
      <c r="D724"/>
      <c r="E724"/>
      <c r="F724" s="27" t="s">
        <v>7</v>
      </c>
      <c r="HO724" s="27" t="s">
        <v>8</v>
      </c>
      <c r="HP724" s="27" t="s">
        <v>7</v>
      </c>
      <c r="HQ724" s="27" t="s">
        <v>8</v>
      </c>
      <c r="JH724" s="27" t="s">
        <v>7</v>
      </c>
      <c r="KY724" s="27" t="s">
        <v>8</v>
      </c>
      <c r="LA724" s="27" t="s">
        <v>8</v>
      </c>
      <c r="LB724" s="27" t="s">
        <v>7</v>
      </c>
      <c r="LC724" s="27" t="s">
        <v>8</v>
      </c>
      <c r="LF724" s="27" t="s">
        <v>7</v>
      </c>
      <c r="LJ724" s="27" t="s">
        <v>7</v>
      </c>
      <c r="LK724" s="27" t="s">
        <v>8</v>
      </c>
      <c r="LP724" s="27" t="s">
        <v>7</v>
      </c>
      <c r="LQ724" s="27" t="s">
        <v>8</v>
      </c>
      <c r="LR724" s="27" t="s">
        <v>7</v>
      </c>
      <c r="LS724" s="27" t="s">
        <v>8</v>
      </c>
      <c r="LT724" s="27" t="s">
        <v>7</v>
      </c>
      <c r="NZ724" s="27" t="s">
        <v>7</v>
      </c>
      <c r="OC724" s="27" t="s">
        <v>8</v>
      </c>
    </row>
    <row r="725" spans="1:393" x14ac:dyDescent="0.25">
      <c r="A725" s="7">
        <v>6.5039365659504023E-2</v>
      </c>
      <c r="B725"/>
      <c r="C725"/>
      <c r="D725"/>
      <c r="E725"/>
      <c r="F725" s="27" t="s">
        <v>7</v>
      </c>
      <c r="HO725" s="27" t="s">
        <v>8</v>
      </c>
      <c r="HP725" s="27" t="s">
        <v>7</v>
      </c>
      <c r="HQ725" s="27" t="s">
        <v>8</v>
      </c>
      <c r="JH725" s="27" t="s">
        <v>7</v>
      </c>
      <c r="KY725" s="27" t="s">
        <v>8</v>
      </c>
      <c r="KZ725" s="27" t="s">
        <v>7</v>
      </c>
      <c r="LA725" s="27" t="s">
        <v>8</v>
      </c>
      <c r="LB725" s="27" t="s">
        <v>7</v>
      </c>
      <c r="LC725" s="27" t="s">
        <v>8</v>
      </c>
      <c r="LJ725" s="27" t="s">
        <v>7</v>
      </c>
      <c r="LK725" s="27" t="s">
        <v>8</v>
      </c>
      <c r="LP725" s="27" t="s">
        <v>7</v>
      </c>
      <c r="LQ725" s="27" t="s">
        <v>8</v>
      </c>
      <c r="LR725" s="27" t="s">
        <v>7</v>
      </c>
      <c r="LS725" s="27" t="s">
        <v>8</v>
      </c>
      <c r="NZ725" s="27" t="s">
        <v>7</v>
      </c>
      <c r="OC725" s="27" t="s">
        <v>8</v>
      </c>
    </row>
    <row r="726" spans="1:393" x14ac:dyDescent="0.25">
      <c r="A726" s="7">
        <v>6.3764083979905906E-2</v>
      </c>
      <c r="B726"/>
      <c r="C726"/>
      <c r="D726"/>
      <c r="E726"/>
      <c r="F726" s="27" t="s">
        <v>7</v>
      </c>
      <c r="HO726" s="27" t="s">
        <v>8</v>
      </c>
      <c r="HP726" s="27" t="s">
        <v>7</v>
      </c>
      <c r="HQ726" s="27" t="s">
        <v>8</v>
      </c>
      <c r="JH726" s="27" t="s">
        <v>7</v>
      </c>
      <c r="KY726" s="27" t="s">
        <v>8</v>
      </c>
      <c r="KZ726" s="27" t="s">
        <v>7</v>
      </c>
      <c r="LA726" s="27" t="s">
        <v>8</v>
      </c>
      <c r="LB726" s="27" t="s">
        <v>7</v>
      </c>
      <c r="LC726" s="27" t="s">
        <v>8</v>
      </c>
      <c r="LJ726" s="27" t="s">
        <v>7</v>
      </c>
      <c r="LP726" s="27" t="s">
        <v>7</v>
      </c>
      <c r="LQ726" s="27" t="s">
        <v>8</v>
      </c>
      <c r="LR726" s="27" t="s">
        <v>7</v>
      </c>
      <c r="LS726" s="27" t="s">
        <v>8</v>
      </c>
      <c r="NZ726" s="27" t="s">
        <v>7</v>
      </c>
      <c r="OC726" s="27" t="s">
        <v>8</v>
      </c>
    </row>
    <row r="727" spans="1:393" x14ac:dyDescent="0.25">
      <c r="A727" s="7">
        <v>6.251380782343717E-2</v>
      </c>
      <c r="B727"/>
      <c r="C727"/>
      <c r="D727"/>
      <c r="E727"/>
      <c r="F727" s="27" t="s">
        <v>7</v>
      </c>
      <c r="HO727" s="27" t="s">
        <v>8</v>
      </c>
      <c r="HP727" s="27" t="s">
        <v>7</v>
      </c>
      <c r="JH727" s="27" t="s">
        <v>7</v>
      </c>
      <c r="KY727" s="27" t="s">
        <v>8</v>
      </c>
      <c r="KZ727" s="27" t="s">
        <v>7</v>
      </c>
      <c r="LA727" s="27" t="s">
        <v>8</v>
      </c>
      <c r="LB727" s="27" t="s">
        <v>7</v>
      </c>
      <c r="LC727" s="27" t="s">
        <v>8</v>
      </c>
      <c r="LP727" s="27" t="s">
        <v>7</v>
      </c>
      <c r="LQ727" s="27" t="s">
        <v>8</v>
      </c>
      <c r="LR727" s="27" t="s">
        <v>7</v>
      </c>
      <c r="LS727" s="27" t="s">
        <v>8</v>
      </c>
      <c r="NZ727" s="27" t="s">
        <v>7</v>
      </c>
      <c r="OC727" s="27" t="s">
        <v>8</v>
      </c>
    </row>
    <row r="728" spans="1:393" x14ac:dyDescent="0.25">
      <c r="A728" s="7">
        <v>6.1288046885722716E-2</v>
      </c>
      <c r="B728"/>
      <c r="C728"/>
      <c r="D728"/>
      <c r="E728"/>
      <c r="F728" s="27" t="s">
        <v>7</v>
      </c>
      <c r="HO728" s="27" t="s">
        <v>8</v>
      </c>
      <c r="JH728" s="27" t="s">
        <v>7</v>
      </c>
      <c r="KY728" s="27" t="s">
        <v>8</v>
      </c>
      <c r="KZ728" s="27" t="s">
        <v>7</v>
      </c>
      <c r="LA728" s="27" t="s">
        <v>8</v>
      </c>
      <c r="LB728" s="27" t="s">
        <v>7</v>
      </c>
      <c r="LC728" s="27" t="s">
        <v>8</v>
      </c>
      <c r="LP728" s="27" t="s">
        <v>7</v>
      </c>
      <c r="LQ728" s="27" t="s">
        <v>8</v>
      </c>
      <c r="LR728" s="27" t="s">
        <v>7</v>
      </c>
      <c r="NZ728" s="27" t="s">
        <v>7</v>
      </c>
      <c r="OC728" s="27" t="s">
        <v>8</v>
      </c>
    </row>
    <row r="729" spans="1:393" x14ac:dyDescent="0.25">
      <c r="A729" s="7">
        <v>6.0086320476198739E-2</v>
      </c>
      <c r="B729"/>
      <c r="C729"/>
      <c r="D729"/>
      <c r="E729"/>
      <c r="F729" s="27" t="s">
        <v>7</v>
      </c>
      <c r="HO729" s="27" t="s">
        <v>8</v>
      </c>
      <c r="JH729" s="27" t="s">
        <v>7</v>
      </c>
      <c r="KY729" s="27" t="s">
        <v>8</v>
      </c>
      <c r="KZ729" s="27" t="s">
        <v>7</v>
      </c>
      <c r="LA729" s="27" t="s">
        <v>8</v>
      </c>
      <c r="LB729" s="27" t="s">
        <v>7</v>
      </c>
      <c r="LC729" s="27" t="s">
        <v>8</v>
      </c>
      <c r="LP729" s="27" t="s">
        <v>7</v>
      </c>
      <c r="LQ729" s="27" t="s">
        <v>8</v>
      </c>
      <c r="NZ729" s="27" t="s">
        <v>7</v>
      </c>
      <c r="OC729" s="27" t="s">
        <v>8</v>
      </c>
    </row>
    <row r="730" spans="1:393" x14ac:dyDescent="0.25">
      <c r="A730" s="7">
        <v>5.8908157329606609E-2</v>
      </c>
      <c r="B730"/>
      <c r="C730"/>
      <c r="D730"/>
      <c r="E730"/>
      <c r="F730" s="27" t="s">
        <v>7</v>
      </c>
      <c r="HO730" s="27" t="s">
        <v>8</v>
      </c>
      <c r="JH730" s="27" t="s">
        <v>7</v>
      </c>
      <c r="KY730" s="27" t="s">
        <v>8</v>
      </c>
      <c r="KZ730" s="27" t="s">
        <v>7</v>
      </c>
      <c r="LA730" s="27" t="s">
        <v>8</v>
      </c>
      <c r="LB730" s="27" t="s">
        <v>7</v>
      </c>
      <c r="LC730" s="27" t="s">
        <v>8</v>
      </c>
      <c r="LP730" s="27" t="s">
        <v>7</v>
      </c>
      <c r="NZ730" s="27" t="s">
        <v>7</v>
      </c>
      <c r="OA730" s="27" t="s">
        <v>8</v>
      </c>
      <c r="OC730" s="27" t="s">
        <v>8</v>
      </c>
    </row>
    <row r="731" spans="1:393" x14ac:dyDescent="0.25">
      <c r="A731" s="7">
        <v>5.7753095421182947E-2</v>
      </c>
      <c r="B731"/>
      <c r="C731"/>
      <c r="D731"/>
      <c r="E731"/>
      <c r="F731" s="27" t="s">
        <v>7</v>
      </c>
      <c r="DK731" s="27" t="s">
        <v>8</v>
      </c>
      <c r="HO731" s="27" t="s">
        <v>8</v>
      </c>
      <c r="JH731" s="27" t="s">
        <v>7</v>
      </c>
      <c r="JI731" s="27" t="s">
        <v>8</v>
      </c>
      <c r="KY731" s="27" t="s">
        <v>8</v>
      </c>
      <c r="KZ731" s="27" t="s">
        <v>7</v>
      </c>
      <c r="LA731" s="27" t="s">
        <v>8</v>
      </c>
      <c r="LB731" s="27" t="s">
        <v>7</v>
      </c>
      <c r="NZ731" s="27" t="s">
        <v>7</v>
      </c>
      <c r="OA731" s="27" t="s">
        <v>8</v>
      </c>
      <c r="OB731" s="27" t="s">
        <v>7</v>
      </c>
      <c r="OC731" s="27" t="s">
        <v>8</v>
      </c>
    </row>
    <row r="732" spans="1:393" x14ac:dyDescent="0.25">
      <c r="A732" s="7">
        <v>5.6620681785473484E-2</v>
      </c>
      <c r="B732"/>
      <c r="C732"/>
      <c r="D732"/>
      <c r="E732"/>
      <c r="F732" s="27" t="s">
        <v>7</v>
      </c>
      <c r="DK732" s="27" t="s">
        <v>8</v>
      </c>
      <c r="DL732" s="27" t="s">
        <v>7</v>
      </c>
      <c r="HO732" s="27" t="s">
        <v>8</v>
      </c>
      <c r="JH732" s="27" t="s">
        <v>7</v>
      </c>
      <c r="JI732" s="27" t="s">
        <v>8</v>
      </c>
      <c r="JJ732" s="27" t="s">
        <v>7</v>
      </c>
      <c r="KY732" s="27" t="s">
        <v>8</v>
      </c>
      <c r="KZ732" s="27" t="s">
        <v>7</v>
      </c>
      <c r="LA732" s="27" t="s">
        <v>8</v>
      </c>
      <c r="NZ732" s="27" t="s">
        <v>7</v>
      </c>
      <c r="OA732" s="27" t="s">
        <v>8</v>
      </c>
      <c r="OB732" s="27" t="s">
        <v>7</v>
      </c>
      <c r="OC732" s="27" t="s">
        <v>8</v>
      </c>
    </row>
    <row r="733" spans="1:393" x14ac:dyDescent="0.25">
      <c r="A733" s="7">
        <v>5.5510472338699497E-2</v>
      </c>
      <c r="B733"/>
      <c r="C733"/>
      <c r="D733"/>
      <c r="E733"/>
      <c r="F733" s="27" t="s">
        <v>7</v>
      </c>
      <c r="DK733" s="27" t="s">
        <v>8</v>
      </c>
      <c r="DL733" s="27" t="s">
        <v>7</v>
      </c>
      <c r="HO733" s="27" t="s">
        <v>8</v>
      </c>
      <c r="JH733" s="27" t="s">
        <v>7</v>
      </c>
      <c r="JI733" s="27" t="s">
        <v>8</v>
      </c>
      <c r="JJ733" s="27" t="s">
        <v>7</v>
      </c>
      <c r="KY733" s="27" t="s">
        <v>8</v>
      </c>
      <c r="KZ733" s="27" t="s">
        <v>7</v>
      </c>
      <c r="LA733" s="27" t="s">
        <v>8</v>
      </c>
      <c r="NZ733" s="27" t="s">
        <v>7</v>
      </c>
      <c r="OA733" s="27" t="s">
        <v>8</v>
      </c>
      <c r="OB733" s="27" t="s">
        <v>7</v>
      </c>
      <c r="OC733" s="27" t="s">
        <v>8</v>
      </c>
    </row>
    <row r="734" spans="1:393" x14ac:dyDescent="0.25">
      <c r="A734" s="7">
        <v>5.4422031704607354E-2</v>
      </c>
      <c r="B734"/>
      <c r="C734"/>
      <c r="D734"/>
      <c r="E734"/>
      <c r="F734" s="27" t="s">
        <v>7</v>
      </c>
      <c r="DK734" s="27" t="s">
        <v>8</v>
      </c>
      <c r="DL734" s="27" t="s">
        <v>7</v>
      </c>
      <c r="HO734" s="27" t="s">
        <v>8</v>
      </c>
      <c r="JH734" s="27" t="s">
        <v>7</v>
      </c>
      <c r="JI734" s="27" t="s">
        <v>8</v>
      </c>
      <c r="JJ734" s="27" t="s">
        <v>7</v>
      </c>
      <c r="JQ734" s="27" t="s">
        <v>8</v>
      </c>
      <c r="JS734" s="27" t="s">
        <v>8</v>
      </c>
      <c r="KY734" s="27" t="s">
        <v>8</v>
      </c>
      <c r="KZ734" s="27" t="s">
        <v>7</v>
      </c>
      <c r="NZ734" s="27" t="s">
        <v>7</v>
      </c>
      <c r="OA734" s="27" t="s">
        <v>8</v>
      </c>
      <c r="OB734" s="27" t="s">
        <v>7</v>
      </c>
      <c r="OC734" s="27" t="s">
        <v>8</v>
      </c>
    </row>
    <row r="735" spans="1:393" x14ac:dyDescent="0.25">
      <c r="A735" s="7">
        <v>5.3354933043732705E-2</v>
      </c>
      <c r="B735"/>
      <c r="C735"/>
      <c r="D735"/>
      <c r="E735"/>
      <c r="F735" s="27" t="s">
        <v>7</v>
      </c>
      <c r="DK735" s="27" t="s">
        <v>8</v>
      </c>
      <c r="DL735" s="27" t="s">
        <v>7</v>
      </c>
      <c r="HO735" s="27" t="s">
        <v>8</v>
      </c>
      <c r="JH735" s="27" t="s">
        <v>7</v>
      </c>
      <c r="JI735" s="27" t="s">
        <v>8</v>
      </c>
      <c r="JJ735" s="27" t="s">
        <v>7</v>
      </c>
      <c r="JQ735" s="27" t="s">
        <v>8</v>
      </c>
      <c r="JR735" s="27" t="s">
        <v>7</v>
      </c>
      <c r="JS735" s="27" t="s">
        <v>8</v>
      </c>
      <c r="JT735" s="27" t="s">
        <v>7</v>
      </c>
      <c r="KY735" s="27" t="s">
        <v>8</v>
      </c>
      <c r="NZ735" s="27" t="s">
        <v>7</v>
      </c>
      <c r="OA735" s="27" t="s">
        <v>8</v>
      </c>
      <c r="OB735" s="27" t="s">
        <v>7</v>
      </c>
      <c r="OC735" s="27" t="s">
        <v>8</v>
      </c>
    </row>
    <row r="736" spans="1:393" x14ac:dyDescent="0.25">
      <c r="A736" s="7">
        <v>5.2308757886012455E-2</v>
      </c>
      <c r="B736"/>
      <c r="C736"/>
      <c r="D736"/>
      <c r="E736"/>
      <c r="F736" s="27" t="s">
        <v>7</v>
      </c>
      <c r="DK736" s="27" t="s">
        <v>8</v>
      </c>
      <c r="DL736" s="27" t="s">
        <v>7</v>
      </c>
      <c r="DM736" s="27" t="s">
        <v>8</v>
      </c>
      <c r="HM736" s="27" t="s">
        <v>8</v>
      </c>
      <c r="HO736" s="27" t="s">
        <v>8</v>
      </c>
      <c r="JH736" s="27" t="s">
        <v>7</v>
      </c>
      <c r="JI736" s="27" t="s">
        <v>8</v>
      </c>
      <c r="JJ736" s="27" t="s">
        <v>7</v>
      </c>
      <c r="JQ736" s="27" t="s">
        <v>8</v>
      </c>
      <c r="JR736" s="27" t="s">
        <v>7</v>
      </c>
      <c r="JS736" s="27" t="s">
        <v>8</v>
      </c>
      <c r="JT736" s="27" t="s">
        <v>7</v>
      </c>
      <c r="KY736" s="27" t="s">
        <v>8</v>
      </c>
      <c r="NZ736" s="27" t="s">
        <v>7</v>
      </c>
      <c r="OA736" s="27" t="s">
        <v>8</v>
      </c>
      <c r="OB736" s="27" t="s">
        <v>7</v>
      </c>
      <c r="OC736" s="27" t="s">
        <v>8</v>
      </c>
    </row>
    <row r="737" spans="1:393" x14ac:dyDescent="0.25">
      <c r="A737" s="7">
        <v>5.1283095966678877E-2</v>
      </c>
      <c r="B737"/>
      <c r="C737"/>
      <c r="D737"/>
      <c r="E737"/>
      <c r="F737" s="27" t="s">
        <v>7</v>
      </c>
      <c r="DK737" s="27" t="s">
        <v>8</v>
      </c>
      <c r="DL737" s="27" t="s">
        <v>7</v>
      </c>
      <c r="DM737" s="27" t="s">
        <v>8</v>
      </c>
      <c r="DN737" s="27" t="s">
        <v>7</v>
      </c>
      <c r="HM737" s="27" t="s">
        <v>8</v>
      </c>
      <c r="HN737" s="27" t="s">
        <v>7</v>
      </c>
      <c r="HO737" s="27" t="s">
        <v>8</v>
      </c>
      <c r="JH737" s="27" t="s">
        <v>7</v>
      </c>
      <c r="JI737" s="27" t="s">
        <v>8</v>
      </c>
      <c r="JJ737" s="27" t="s">
        <v>7</v>
      </c>
      <c r="JM737" s="27" t="s">
        <v>8</v>
      </c>
      <c r="JQ737" s="27" t="s">
        <v>8</v>
      </c>
      <c r="JR737" s="27" t="s">
        <v>7</v>
      </c>
      <c r="JS737" s="27" t="s">
        <v>8</v>
      </c>
      <c r="JT737" s="27" t="s">
        <v>7</v>
      </c>
      <c r="KY737" s="27" t="s">
        <v>8</v>
      </c>
      <c r="NZ737" s="27" t="s">
        <v>7</v>
      </c>
      <c r="OA737" s="27" t="s">
        <v>8</v>
      </c>
      <c r="OB737" s="27" t="s">
        <v>7</v>
      </c>
      <c r="OC737" s="27" t="s">
        <v>8</v>
      </c>
    </row>
    <row r="738" spans="1:393" x14ac:dyDescent="0.25">
      <c r="A738" s="7">
        <v>5.0277545065371444E-2</v>
      </c>
      <c r="B738"/>
      <c r="C738"/>
      <c r="D738"/>
      <c r="E738"/>
      <c r="F738" s="27" t="s">
        <v>7</v>
      </c>
      <c r="DK738" s="27" t="s">
        <v>8</v>
      </c>
      <c r="DL738" s="27" t="s">
        <v>7</v>
      </c>
      <c r="DM738" s="27" t="s">
        <v>8</v>
      </c>
      <c r="DN738" s="27" t="s">
        <v>7</v>
      </c>
      <c r="HM738" s="27" t="s">
        <v>8</v>
      </c>
      <c r="HN738" s="27" t="s">
        <v>7</v>
      </c>
      <c r="HO738" s="27" t="s">
        <v>8</v>
      </c>
      <c r="JH738" s="27" t="s">
        <v>7</v>
      </c>
      <c r="JI738" s="27" t="s">
        <v>8</v>
      </c>
      <c r="JJ738" s="27" t="s">
        <v>7</v>
      </c>
      <c r="JM738" s="27" t="s">
        <v>8</v>
      </c>
      <c r="JN738" s="27" t="s">
        <v>7</v>
      </c>
      <c r="JQ738" s="27" t="s">
        <v>8</v>
      </c>
      <c r="JR738" s="27" t="s">
        <v>7</v>
      </c>
      <c r="JS738" s="27" t="s">
        <v>8</v>
      </c>
      <c r="JT738" s="27" t="s">
        <v>7</v>
      </c>
      <c r="KY738" s="27" t="s">
        <v>8</v>
      </c>
      <c r="NZ738" s="27" t="s">
        <v>7</v>
      </c>
      <c r="OB738" s="27" t="s">
        <v>7</v>
      </c>
      <c r="OC738" s="27" t="s">
        <v>8</v>
      </c>
    </row>
    <row r="739" spans="1:393" x14ac:dyDescent="0.25">
      <c r="A739" s="7">
        <v>4.9291710848403378E-2</v>
      </c>
      <c r="B739"/>
      <c r="C739"/>
      <c r="D739"/>
      <c r="E739"/>
      <c r="F739" s="27" t="s">
        <v>7</v>
      </c>
      <c r="DK739" s="27" t="s">
        <v>8</v>
      </c>
      <c r="DL739" s="27" t="s">
        <v>7</v>
      </c>
      <c r="DM739" s="27" t="s">
        <v>8</v>
      </c>
      <c r="DN739" s="27" t="s">
        <v>7</v>
      </c>
      <c r="HE739" s="27" t="s">
        <v>8</v>
      </c>
      <c r="HM739" s="27" t="s">
        <v>8</v>
      </c>
      <c r="HN739" s="27" t="s">
        <v>7</v>
      </c>
      <c r="HO739" s="27" t="s">
        <v>8</v>
      </c>
      <c r="JH739" s="27" t="s">
        <v>7</v>
      </c>
      <c r="JI739" s="27" t="s">
        <v>8</v>
      </c>
      <c r="JJ739" s="27" t="s">
        <v>7</v>
      </c>
      <c r="JM739" s="27" t="s">
        <v>8</v>
      </c>
      <c r="JN739" s="27" t="s">
        <v>7</v>
      </c>
      <c r="JQ739" s="27" t="s">
        <v>8</v>
      </c>
      <c r="JR739" s="27" t="s">
        <v>7</v>
      </c>
      <c r="JS739" s="27" t="s">
        <v>8</v>
      </c>
      <c r="JT739" s="27" t="s">
        <v>7</v>
      </c>
      <c r="KY739" s="27" t="s">
        <v>8</v>
      </c>
      <c r="OB739" s="27" t="s">
        <v>7</v>
      </c>
    </row>
    <row r="740" spans="1:393" x14ac:dyDescent="0.25">
      <c r="A740" s="7">
        <v>4.8325206714120959E-2</v>
      </c>
      <c r="B740"/>
      <c r="C740"/>
      <c r="D740"/>
      <c r="E740"/>
      <c r="F740" s="27" t="s">
        <v>7</v>
      </c>
      <c r="DK740" s="27" t="s">
        <v>8</v>
      </c>
      <c r="DL740" s="27" t="s">
        <v>7</v>
      </c>
      <c r="DM740" s="27" t="s">
        <v>8</v>
      </c>
      <c r="DN740" s="27" t="s">
        <v>7</v>
      </c>
      <c r="HE740" s="27" t="s">
        <v>8</v>
      </c>
      <c r="HF740" s="27" t="s">
        <v>7</v>
      </c>
      <c r="HM740" s="27" t="s">
        <v>8</v>
      </c>
      <c r="HN740" s="27" t="s">
        <v>7</v>
      </c>
      <c r="HO740" s="27" t="s">
        <v>8</v>
      </c>
      <c r="JH740" s="27" t="s">
        <v>7</v>
      </c>
      <c r="JI740" s="27" t="s">
        <v>8</v>
      </c>
      <c r="JJ740" s="27" t="s">
        <v>7</v>
      </c>
      <c r="JM740" s="27" t="s">
        <v>8</v>
      </c>
      <c r="JN740" s="27" t="s">
        <v>7</v>
      </c>
      <c r="JO740" s="27" t="s">
        <v>8</v>
      </c>
      <c r="JQ740" s="27" t="s">
        <v>8</v>
      </c>
      <c r="JR740" s="27" t="s">
        <v>7</v>
      </c>
      <c r="JS740" s="27" t="s">
        <v>8</v>
      </c>
      <c r="JT740" s="27" t="s">
        <v>7</v>
      </c>
      <c r="KY740" s="27" t="s">
        <v>8</v>
      </c>
    </row>
    <row r="741" spans="1:393" x14ac:dyDescent="0.25">
      <c r="A741" s="7">
        <v>4.7377653641295057E-2</v>
      </c>
      <c r="B741"/>
      <c r="C741"/>
      <c r="D741"/>
      <c r="E741"/>
      <c r="F741" s="27" t="s">
        <v>7</v>
      </c>
      <c r="DK741" s="27" t="s">
        <v>8</v>
      </c>
      <c r="DL741" s="27" t="s">
        <v>7</v>
      </c>
      <c r="DM741" s="27" t="s">
        <v>8</v>
      </c>
      <c r="DN741" s="27" t="s">
        <v>7</v>
      </c>
      <c r="HE741" s="27" t="s">
        <v>8</v>
      </c>
      <c r="HF741" s="27" t="s">
        <v>7</v>
      </c>
      <c r="HM741" s="27" t="s">
        <v>8</v>
      </c>
      <c r="HN741" s="27" t="s">
        <v>7</v>
      </c>
      <c r="HO741" s="27" t="s">
        <v>8</v>
      </c>
      <c r="JH741" s="27" t="s">
        <v>7</v>
      </c>
      <c r="JI741" s="27" t="s">
        <v>8</v>
      </c>
      <c r="JJ741" s="27" t="s">
        <v>7</v>
      </c>
      <c r="JM741" s="27" t="s">
        <v>8</v>
      </c>
      <c r="JN741" s="27" t="s">
        <v>7</v>
      </c>
      <c r="JO741" s="27" t="s">
        <v>8</v>
      </c>
      <c r="JP741" s="27" t="s">
        <v>7</v>
      </c>
      <c r="JQ741" s="27" t="s">
        <v>8</v>
      </c>
      <c r="JR741" s="27" t="s">
        <v>7</v>
      </c>
      <c r="JS741" s="27" t="s">
        <v>8</v>
      </c>
      <c r="JT741" s="27" t="s">
        <v>7</v>
      </c>
      <c r="JU741" s="27" t="s">
        <v>8</v>
      </c>
      <c r="KY741" s="27" t="s">
        <v>8</v>
      </c>
    </row>
    <row r="742" spans="1:393" x14ac:dyDescent="0.25">
      <c r="A742" s="7">
        <v>4.644868004048535E-2</v>
      </c>
      <c r="B742"/>
      <c r="C742"/>
      <c r="D742"/>
      <c r="E742"/>
      <c r="F742" s="27" t="s">
        <v>7</v>
      </c>
      <c r="DK742" s="27" t="s">
        <v>8</v>
      </c>
      <c r="DL742" s="27" t="s">
        <v>7</v>
      </c>
      <c r="DM742" s="27" t="s">
        <v>8</v>
      </c>
      <c r="DN742" s="27" t="s">
        <v>7</v>
      </c>
      <c r="DW742" s="27" t="s">
        <v>8</v>
      </c>
      <c r="HE742" s="27" t="s">
        <v>8</v>
      </c>
      <c r="HF742" s="27" t="s">
        <v>7</v>
      </c>
      <c r="HM742" s="27" t="s">
        <v>8</v>
      </c>
      <c r="HN742" s="27" t="s">
        <v>7</v>
      </c>
      <c r="HO742" s="27" t="s">
        <v>8</v>
      </c>
      <c r="JH742" s="27" t="s">
        <v>7</v>
      </c>
      <c r="JI742" s="27" t="s">
        <v>8</v>
      </c>
      <c r="JJ742" s="27" t="s">
        <v>7</v>
      </c>
      <c r="JM742" s="27" t="s">
        <v>8</v>
      </c>
      <c r="JN742" s="27" t="s">
        <v>7</v>
      </c>
      <c r="JO742" s="27" t="s">
        <v>8</v>
      </c>
      <c r="JP742" s="27" t="s">
        <v>7</v>
      </c>
      <c r="JQ742" s="27" t="s">
        <v>8</v>
      </c>
      <c r="JR742" s="27" t="s">
        <v>7</v>
      </c>
      <c r="JS742" s="27" t="s">
        <v>8</v>
      </c>
      <c r="JT742" s="27" t="s">
        <v>7</v>
      </c>
      <c r="JU742" s="27" t="s">
        <v>8</v>
      </c>
      <c r="JV742" s="27" t="s">
        <v>7</v>
      </c>
      <c r="KW742" s="27" t="s">
        <v>8</v>
      </c>
      <c r="KY742" s="27" t="s">
        <v>8</v>
      </c>
    </row>
    <row r="743" spans="1:393" x14ac:dyDescent="0.25">
      <c r="A743" s="7">
        <v>4.5537921608318974E-2</v>
      </c>
      <c r="B743"/>
      <c r="C743"/>
      <c r="D743"/>
      <c r="E743"/>
      <c r="F743" s="27" t="s">
        <v>7</v>
      </c>
      <c r="DK743" s="27" t="s">
        <v>8</v>
      </c>
      <c r="DL743" s="27" t="s">
        <v>7</v>
      </c>
      <c r="DM743" s="27" t="s">
        <v>8</v>
      </c>
      <c r="DN743" s="27" t="s">
        <v>7</v>
      </c>
      <c r="DU743" s="27" t="s">
        <v>8</v>
      </c>
      <c r="DW743" s="27" t="s">
        <v>8</v>
      </c>
      <c r="DX743" s="27" t="s">
        <v>7</v>
      </c>
      <c r="HA743" s="27" t="s">
        <v>8</v>
      </c>
      <c r="HE743" s="27" t="s">
        <v>8</v>
      </c>
      <c r="HF743" s="27" t="s">
        <v>7</v>
      </c>
      <c r="HM743" s="27" t="s">
        <v>8</v>
      </c>
      <c r="HN743" s="27" t="s">
        <v>7</v>
      </c>
      <c r="HO743" s="27" t="s">
        <v>8</v>
      </c>
      <c r="JH743" s="27" t="s">
        <v>7</v>
      </c>
      <c r="JI743" s="27" t="s">
        <v>8</v>
      </c>
      <c r="JJ743" s="27" t="s">
        <v>7</v>
      </c>
      <c r="JM743" s="27" t="s">
        <v>8</v>
      </c>
      <c r="JN743" s="27" t="s">
        <v>7</v>
      </c>
      <c r="JO743" s="27" t="s">
        <v>8</v>
      </c>
      <c r="JP743" s="27" t="s">
        <v>7</v>
      </c>
      <c r="JQ743" s="27" t="s">
        <v>8</v>
      </c>
      <c r="JR743" s="27" t="s">
        <v>7</v>
      </c>
      <c r="JS743" s="27" t="s">
        <v>8</v>
      </c>
      <c r="JT743" s="27" t="s">
        <v>7</v>
      </c>
      <c r="JU743" s="27" t="s">
        <v>8</v>
      </c>
      <c r="JV743" s="27" t="s">
        <v>7</v>
      </c>
      <c r="JW743" s="27" t="s">
        <v>8</v>
      </c>
      <c r="KW743" s="27" t="s">
        <v>8</v>
      </c>
      <c r="KX743" s="27" t="s">
        <v>7</v>
      </c>
      <c r="KY743" s="27" t="s">
        <v>8</v>
      </c>
    </row>
    <row r="744" spans="1:393" x14ac:dyDescent="0.25">
      <c r="A744" s="7">
        <v>4.4645021184626446E-2</v>
      </c>
      <c r="B744"/>
      <c r="C744"/>
      <c r="D744"/>
      <c r="E744"/>
      <c r="F744" s="27" t="s">
        <v>7</v>
      </c>
      <c r="DK744" s="27" t="s">
        <v>8</v>
      </c>
      <c r="DL744" s="27" t="s">
        <v>7</v>
      </c>
      <c r="DN744" s="27" t="s">
        <v>7</v>
      </c>
      <c r="DU744" s="27" t="s">
        <v>8</v>
      </c>
      <c r="DV744" s="27" t="s">
        <v>7</v>
      </c>
      <c r="DW744" s="27" t="s">
        <v>8</v>
      </c>
      <c r="DX744" s="27" t="s">
        <v>7</v>
      </c>
      <c r="DY744" s="27" t="s">
        <v>8</v>
      </c>
      <c r="HA744" s="27" t="s">
        <v>8</v>
      </c>
      <c r="HB744" s="27" t="s">
        <v>7</v>
      </c>
      <c r="HE744" s="27" t="s">
        <v>8</v>
      </c>
      <c r="HF744" s="27" t="s">
        <v>7</v>
      </c>
      <c r="HM744" s="27" t="s">
        <v>8</v>
      </c>
      <c r="HN744" s="27" t="s">
        <v>7</v>
      </c>
      <c r="HO744" s="27" t="s">
        <v>8</v>
      </c>
      <c r="JH744" s="27" t="s">
        <v>7</v>
      </c>
      <c r="JI744" s="27" t="s">
        <v>8</v>
      </c>
      <c r="JJ744" s="27" t="s">
        <v>7</v>
      </c>
      <c r="JM744" s="27" t="s">
        <v>8</v>
      </c>
      <c r="JN744" s="27" t="s">
        <v>7</v>
      </c>
      <c r="JO744" s="27" t="s">
        <v>8</v>
      </c>
      <c r="JP744" s="27" t="s">
        <v>7</v>
      </c>
      <c r="JQ744" s="27" t="s">
        <v>8</v>
      </c>
      <c r="JR744" s="27" t="s">
        <v>7</v>
      </c>
      <c r="JS744" s="27" t="s">
        <v>8</v>
      </c>
      <c r="JT744" s="27" t="s">
        <v>7</v>
      </c>
      <c r="JU744" s="27" t="s">
        <v>8</v>
      </c>
      <c r="JV744" s="27" t="s">
        <v>7</v>
      </c>
      <c r="JW744" s="27" t="s">
        <v>8</v>
      </c>
      <c r="JX744" s="27" t="s">
        <v>7</v>
      </c>
      <c r="KU744" s="27" t="s">
        <v>8</v>
      </c>
      <c r="KW744" s="27" t="s">
        <v>8</v>
      </c>
      <c r="KX744" s="27" t="s">
        <v>7</v>
      </c>
      <c r="KY744" s="27" t="s">
        <v>8</v>
      </c>
    </row>
    <row r="745" spans="1:393" x14ac:dyDescent="0.25">
      <c r="A745" s="7">
        <v>4.3769628612378868E-2</v>
      </c>
      <c r="B745"/>
      <c r="C745"/>
      <c r="D745"/>
      <c r="E745"/>
      <c r="F745" s="27" t="s">
        <v>7</v>
      </c>
      <c r="DK745" s="27" t="s">
        <v>8</v>
      </c>
      <c r="DN745" s="27" t="s">
        <v>7</v>
      </c>
      <c r="DO745" s="27" t="s">
        <v>8</v>
      </c>
      <c r="DS745" s="27" t="s">
        <v>8</v>
      </c>
      <c r="DU745" s="27" t="s">
        <v>8</v>
      </c>
      <c r="DV745" s="27" t="s">
        <v>7</v>
      </c>
      <c r="DW745" s="27" t="s">
        <v>8</v>
      </c>
      <c r="DX745" s="27" t="s">
        <v>7</v>
      </c>
      <c r="DY745" s="27" t="s">
        <v>8</v>
      </c>
      <c r="DZ745" s="27" t="s">
        <v>7</v>
      </c>
      <c r="EA745" s="27" t="s">
        <v>8</v>
      </c>
      <c r="HA745" s="27" t="s">
        <v>8</v>
      </c>
      <c r="HB745" s="27" t="s">
        <v>7</v>
      </c>
      <c r="HE745" s="27" t="s">
        <v>8</v>
      </c>
      <c r="HF745" s="27" t="s">
        <v>7</v>
      </c>
      <c r="HM745" s="27" t="s">
        <v>8</v>
      </c>
      <c r="HN745" s="27" t="s">
        <v>7</v>
      </c>
      <c r="HO745" s="27" t="s">
        <v>8</v>
      </c>
      <c r="JH745" s="27" t="s">
        <v>7</v>
      </c>
      <c r="JI745" s="27" t="s">
        <v>8</v>
      </c>
      <c r="JJ745" s="27" t="s">
        <v>7</v>
      </c>
      <c r="JM745" s="27" t="s">
        <v>8</v>
      </c>
      <c r="JN745" s="27" t="s">
        <v>7</v>
      </c>
      <c r="JO745" s="27" t="s">
        <v>8</v>
      </c>
      <c r="JP745" s="27" t="s">
        <v>7</v>
      </c>
      <c r="JQ745" s="27" t="s">
        <v>8</v>
      </c>
      <c r="JR745" s="27" t="s">
        <v>7</v>
      </c>
      <c r="JS745" s="27" t="s">
        <v>8</v>
      </c>
      <c r="JT745" s="27" t="s">
        <v>7</v>
      </c>
      <c r="JU745" s="27" t="s">
        <v>8</v>
      </c>
      <c r="JV745" s="27" t="s">
        <v>7</v>
      </c>
      <c r="JW745" s="27" t="s">
        <v>8</v>
      </c>
      <c r="JX745" s="27" t="s">
        <v>7</v>
      </c>
      <c r="KS745" s="27" t="s">
        <v>8</v>
      </c>
      <c r="KU745" s="27" t="s">
        <v>8</v>
      </c>
      <c r="KV745" s="27" t="s">
        <v>7</v>
      </c>
      <c r="KW745" s="27" t="s">
        <v>8</v>
      </c>
      <c r="KX745" s="27" t="s">
        <v>7</v>
      </c>
      <c r="KY745" s="27" t="s">
        <v>8</v>
      </c>
    </row>
    <row r="746" spans="1:393" x14ac:dyDescent="0.25">
      <c r="A746" s="7">
        <v>4.2911400600371442E-2</v>
      </c>
      <c r="B746"/>
      <c r="C746"/>
      <c r="D746"/>
      <c r="E746"/>
      <c r="F746" s="27" t="s">
        <v>7</v>
      </c>
      <c r="DK746" s="27" t="s">
        <v>8</v>
      </c>
      <c r="DN746" s="27" t="s">
        <v>7</v>
      </c>
      <c r="DO746" s="27" t="s">
        <v>8</v>
      </c>
      <c r="DP746" s="27" t="s">
        <v>7</v>
      </c>
      <c r="DS746" s="27" t="s">
        <v>8</v>
      </c>
      <c r="DT746" s="27" t="s">
        <v>7</v>
      </c>
      <c r="DU746" s="27" t="s">
        <v>8</v>
      </c>
      <c r="DV746" s="27" t="s">
        <v>7</v>
      </c>
      <c r="DW746" s="27" t="s">
        <v>8</v>
      </c>
      <c r="DX746" s="27" t="s">
        <v>7</v>
      </c>
      <c r="DY746" s="27" t="s">
        <v>8</v>
      </c>
      <c r="DZ746" s="27" t="s">
        <v>7</v>
      </c>
      <c r="EA746" s="27" t="s">
        <v>8</v>
      </c>
      <c r="EB746" s="27" t="s">
        <v>7</v>
      </c>
      <c r="HA746" s="27" t="s">
        <v>8</v>
      </c>
      <c r="HB746" s="27" t="s">
        <v>7</v>
      </c>
      <c r="HC746" s="27" t="s">
        <v>8</v>
      </c>
      <c r="HE746" s="27" t="s">
        <v>8</v>
      </c>
      <c r="HF746" s="27" t="s">
        <v>7</v>
      </c>
      <c r="HM746" s="27" t="s">
        <v>8</v>
      </c>
      <c r="HN746" s="27" t="s">
        <v>7</v>
      </c>
      <c r="HO746" s="27" t="s">
        <v>8</v>
      </c>
      <c r="JH746" s="27" t="s">
        <v>7</v>
      </c>
      <c r="JI746" s="27" t="s">
        <v>8</v>
      </c>
      <c r="JJ746" s="27" t="s">
        <v>7</v>
      </c>
      <c r="JK746" s="27" t="s">
        <v>8</v>
      </c>
      <c r="JM746" s="27" t="s">
        <v>8</v>
      </c>
      <c r="JN746" s="27" t="s">
        <v>7</v>
      </c>
      <c r="JO746" s="27" t="s">
        <v>8</v>
      </c>
      <c r="JP746" s="27" t="s">
        <v>7</v>
      </c>
      <c r="JQ746" s="27" t="s">
        <v>8</v>
      </c>
      <c r="JR746" s="27" t="s">
        <v>7</v>
      </c>
      <c r="JS746" s="27" t="s">
        <v>8</v>
      </c>
      <c r="JT746" s="27" t="s">
        <v>7</v>
      </c>
      <c r="JU746" s="27" t="s">
        <v>8</v>
      </c>
      <c r="JV746" s="27" t="s">
        <v>7</v>
      </c>
      <c r="JW746" s="27" t="s">
        <v>8</v>
      </c>
      <c r="JX746" s="27" t="s">
        <v>7</v>
      </c>
      <c r="KS746" s="27" t="s">
        <v>8</v>
      </c>
      <c r="KT746" s="27" t="s">
        <v>7</v>
      </c>
      <c r="KU746" s="27" t="s">
        <v>8</v>
      </c>
      <c r="KV746" s="27" t="s">
        <v>7</v>
      </c>
      <c r="KW746" s="27" t="s">
        <v>8</v>
      </c>
      <c r="KX746" s="27" t="s">
        <v>7</v>
      </c>
      <c r="KY746" s="27" t="s">
        <v>8</v>
      </c>
    </row>
    <row r="747" spans="1:393" x14ac:dyDescent="0.25">
      <c r="A747" s="7">
        <v>4.2070000588599457E-2</v>
      </c>
      <c r="B747"/>
      <c r="C747"/>
      <c r="D747"/>
      <c r="E747"/>
      <c r="F747" s="27" t="s">
        <v>7</v>
      </c>
      <c r="DK747" s="27" t="s">
        <v>8</v>
      </c>
      <c r="DN747" s="27" t="s">
        <v>7</v>
      </c>
      <c r="DO747" s="27" t="s">
        <v>8</v>
      </c>
      <c r="DP747" s="27" t="s">
        <v>7</v>
      </c>
      <c r="DS747" s="27" t="s">
        <v>8</v>
      </c>
      <c r="DT747" s="27" t="s">
        <v>7</v>
      </c>
      <c r="DU747" s="27" t="s">
        <v>8</v>
      </c>
      <c r="DV747" s="27" t="s">
        <v>7</v>
      </c>
      <c r="DW747" s="27" t="s">
        <v>8</v>
      </c>
      <c r="DX747" s="27" t="s">
        <v>7</v>
      </c>
      <c r="DY747" s="27" t="s">
        <v>8</v>
      </c>
      <c r="DZ747" s="27" t="s">
        <v>7</v>
      </c>
      <c r="EA747" s="27" t="s">
        <v>8</v>
      </c>
      <c r="EB747" s="27" t="s">
        <v>7</v>
      </c>
      <c r="HA747" s="27" t="s">
        <v>8</v>
      </c>
      <c r="HB747" s="27" t="s">
        <v>7</v>
      </c>
      <c r="HC747" s="27" t="s">
        <v>8</v>
      </c>
      <c r="HD747" s="27" t="s">
        <v>7</v>
      </c>
      <c r="HE747" s="27" t="s">
        <v>8</v>
      </c>
      <c r="HF747" s="27" t="s">
        <v>7</v>
      </c>
      <c r="HM747" s="27" t="s">
        <v>8</v>
      </c>
      <c r="HN747" s="27" t="s">
        <v>7</v>
      </c>
      <c r="HO747" s="27" t="s">
        <v>8</v>
      </c>
      <c r="JH747" s="27" t="s">
        <v>7</v>
      </c>
      <c r="JI747" s="27" t="s">
        <v>8</v>
      </c>
      <c r="JJ747" s="27" t="s">
        <v>7</v>
      </c>
      <c r="JK747" s="27" t="s">
        <v>8</v>
      </c>
      <c r="JL747" s="27" t="s">
        <v>7</v>
      </c>
      <c r="JM747" s="27" t="s">
        <v>8</v>
      </c>
      <c r="JN747" s="27" t="s">
        <v>7</v>
      </c>
      <c r="JO747" s="27" t="s">
        <v>8</v>
      </c>
      <c r="JP747" s="27" t="s">
        <v>7</v>
      </c>
      <c r="JQ747" s="27" t="s">
        <v>8</v>
      </c>
      <c r="JR747" s="27" t="s">
        <v>7</v>
      </c>
      <c r="JS747" s="27" t="s">
        <v>8</v>
      </c>
      <c r="JT747" s="27" t="s">
        <v>7</v>
      </c>
      <c r="JU747" s="27" t="s">
        <v>8</v>
      </c>
      <c r="JV747" s="27" t="s">
        <v>7</v>
      </c>
      <c r="JX747" s="27" t="s">
        <v>7</v>
      </c>
      <c r="KS747" s="27" t="s">
        <v>8</v>
      </c>
      <c r="KT747" s="27" t="s">
        <v>7</v>
      </c>
      <c r="KU747" s="27" t="s">
        <v>8</v>
      </c>
      <c r="KV747" s="27" t="s">
        <v>7</v>
      </c>
      <c r="KW747" s="27" t="s">
        <v>8</v>
      </c>
      <c r="KX747" s="27" t="s">
        <v>7</v>
      </c>
      <c r="KY747" s="27" t="s">
        <v>8</v>
      </c>
    </row>
    <row r="748" spans="1:393" x14ac:dyDescent="0.25">
      <c r="A748" s="7">
        <v>4.1245098616273977E-2</v>
      </c>
      <c r="B748"/>
      <c r="C748"/>
      <c r="D748"/>
      <c r="E748"/>
      <c r="F748" s="27" t="s">
        <v>7</v>
      </c>
      <c r="DK748" s="27" t="s">
        <v>8</v>
      </c>
      <c r="DN748" s="27" t="s">
        <v>7</v>
      </c>
      <c r="DO748" s="27" t="s">
        <v>8</v>
      </c>
      <c r="DP748" s="27" t="s">
        <v>7</v>
      </c>
      <c r="DQ748" s="27" t="s">
        <v>8</v>
      </c>
      <c r="DS748" s="27" t="s">
        <v>8</v>
      </c>
      <c r="DT748" s="27" t="s">
        <v>7</v>
      </c>
      <c r="DU748" s="27" t="s">
        <v>8</v>
      </c>
      <c r="DV748" s="27" t="s">
        <v>7</v>
      </c>
      <c r="DW748" s="27" t="s">
        <v>8</v>
      </c>
      <c r="DX748" s="27" t="s">
        <v>7</v>
      </c>
      <c r="DY748" s="27" t="s">
        <v>8</v>
      </c>
      <c r="DZ748" s="27" t="s">
        <v>7</v>
      </c>
      <c r="EA748" s="27" t="s">
        <v>8</v>
      </c>
      <c r="EB748" s="27" t="s">
        <v>7</v>
      </c>
      <c r="EC748" s="27" t="s">
        <v>8</v>
      </c>
      <c r="HA748" s="27" t="s">
        <v>8</v>
      </c>
      <c r="HB748" s="27" t="s">
        <v>7</v>
      </c>
      <c r="HC748" s="27" t="s">
        <v>8</v>
      </c>
      <c r="HD748" s="27" t="s">
        <v>7</v>
      </c>
      <c r="HE748" s="27" t="s">
        <v>8</v>
      </c>
      <c r="HF748" s="27" t="s">
        <v>7</v>
      </c>
      <c r="HI748" s="27" t="s">
        <v>8</v>
      </c>
      <c r="HM748" s="27" t="s">
        <v>8</v>
      </c>
      <c r="HN748" s="27" t="s">
        <v>7</v>
      </c>
      <c r="JH748" s="27" t="s">
        <v>7</v>
      </c>
      <c r="JI748" s="27" t="s">
        <v>8</v>
      </c>
      <c r="JJ748" s="27" t="s">
        <v>7</v>
      </c>
      <c r="JK748" s="27" t="s">
        <v>8</v>
      </c>
      <c r="JL748" s="27" t="s">
        <v>7</v>
      </c>
      <c r="JM748" s="27" t="s">
        <v>8</v>
      </c>
      <c r="JN748" s="27" t="s">
        <v>7</v>
      </c>
      <c r="JO748" s="27" t="s">
        <v>8</v>
      </c>
      <c r="JP748" s="27" t="s">
        <v>7</v>
      </c>
      <c r="JQ748" s="27" t="s">
        <v>8</v>
      </c>
      <c r="JR748" s="27" t="s">
        <v>7</v>
      </c>
      <c r="JS748" s="27" t="s">
        <v>8</v>
      </c>
      <c r="JT748" s="27" t="s">
        <v>7</v>
      </c>
      <c r="JU748" s="27" t="s">
        <v>8</v>
      </c>
      <c r="JX748" s="27" t="s">
        <v>7</v>
      </c>
      <c r="KS748" s="27" t="s">
        <v>8</v>
      </c>
      <c r="KT748" s="27" t="s">
        <v>7</v>
      </c>
      <c r="KU748" s="27" t="s">
        <v>8</v>
      </c>
      <c r="KV748" s="27" t="s">
        <v>7</v>
      </c>
      <c r="KW748" s="27" t="s">
        <v>8</v>
      </c>
      <c r="KX748" s="27" t="s">
        <v>7</v>
      </c>
    </row>
    <row r="749" spans="1:393" x14ac:dyDescent="0.25">
      <c r="A749" s="7">
        <v>4.043637119242547E-2</v>
      </c>
      <c r="B749"/>
      <c r="C749"/>
      <c r="D749"/>
      <c r="E749"/>
      <c r="F749" s="27" t="s">
        <v>7</v>
      </c>
      <c r="DI749" s="27" t="s">
        <v>8</v>
      </c>
      <c r="DK749" s="27" t="s">
        <v>8</v>
      </c>
      <c r="DN749" s="27" t="s">
        <v>7</v>
      </c>
      <c r="DO749" s="27" t="s">
        <v>8</v>
      </c>
      <c r="DP749" s="27" t="s">
        <v>7</v>
      </c>
      <c r="DQ749" s="27" t="s">
        <v>8</v>
      </c>
      <c r="DR749" s="27" t="s">
        <v>7</v>
      </c>
      <c r="DS749" s="27" t="s">
        <v>8</v>
      </c>
      <c r="DT749" s="27" t="s">
        <v>7</v>
      </c>
      <c r="DV749" s="27" t="s">
        <v>7</v>
      </c>
      <c r="DW749" s="27" t="s">
        <v>8</v>
      </c>
      <c r="DX749" s="27" t="s">
        <v>7</v>
      </c>
      <c r="DY749" s="27" t="s">
        <v>8</v>
      </c>
      <c r="DZ749" s="27" t="s">
        <v>7</v>
      </c>
      <c r="EA749" s="27" t="s">
        <v>8</v>
      </c>
      <c r="EB749" s="27" t="s">
        <v>7</v>
      </c>
      <c r="EC749" s="27" t="s">
        <v>8</v>
      </c>
      <c r="ED749" s="27" t="s">
        <v>7</v>
      </c>
      <c r="HA749" s="27" t="s">
        <v>8</v>
      </c>
      <c r="HB749" s="27" t="s">
        <v>7</v>
      </c>
      <c r="HC749" s="27" t="s">
        <v>8</v>
      </c>
      <c r="HD749" s="27" t="s">
        <v>7</v>
      </c>
      <c r="HE749" s="27" t="s">
        <v>8</v>
      </c>
      <c r="HF749" s="27" t="s">
        <v>7</v>
      </c>
      <c r="HI749" s="27" t="s">
        <v>8</v>
      </c>
      <c r="HJ749" s="27" t="s">
        <v>7</v>
      </c>
      <c r="HM749" s="27" t="s">
        <v>8</v>
      </c>
      <c r="JH749" s="27" t="s">
        <v>7</v>
      </c>
      <c r="JI749" s="27" t="s">
        <v>8</v>
      </c>
      <c r="JJ749" s="27" t="s">
        <v>7</v>
      </c>
      <c r="JK749" s="27" t="s">
        <v>8</v>
      </c>
      <c r="JL749" s="27" t="s">
        <v>7</v>
      </c>
      <c r="JM749" s="27" t="s">
        <v>8</v>
      </c>
      <c r="JN749" s="27" t="s">
        <v>7</v>
      </c>
      <c r="JO749" s="27" t="s">
        <v>8</v>
      </c>
      <c r="JP749" s="27" t="s">
        <v>7</v>
      </c>
      <c r="JQ749" s="27" t="s">
        <v>8</v>
      </c>
      <c r="JR749" s="27" t="s">
        <v>7</v>
      </c>
      <c r="JS749" s="27" t="s">
        <v>8</v>
      </c>
      <c r="JT749" s="27" t="s">
        <v>7</v>
      </c>
      <c r="JU749" s="27" t="s">
        <v>8</v>
      </c>
      <c r="JX749" s="27" t="s">
        <v>7</v>
      </c>
      <c r="KS749" s="27" t="s">
        <v>8</v>
      </c>
      <c r="KT749" s="27" t="s">
        <v>7</v>
      </c>
      <c r="KU749" s="27" t="s">
        <v>8</v>
      </c>
      <c r="KV749" s="27" t="s">
        <v>7</v>
      </c>
    </row>
    <row r="750" spans="1:393" x14ac:dyDescent="0.25">
      <c r="A750" s="7">
        <v>3.9643501169044582E-2</v>
      </c>
      <c r="B750"/>
      <c r="C750"/>
      <c r="D750"/>
      <c r="E750"/>
      <c r="F750" s="27" t="s">
        <v>7</v>
      </c>
      <c r="CQ750" s="27" t="s">
        <v>8</v>
      </c>
      <c r="DI750" s="27" t="s">
        <v>8</v>
      </c>
      <c r="DJ750" s="27" t="s">
        <v>7</v>
      </c>
      <c r="DK750" s="27" t="s">
        <v>8</v>
      </c>
      <c r="DN750" s="27" t="s">
        <v>7</v>
      </c>
      <c r="DO750" s="27" t="s">
        <v>8</v>
      </c>
      <c r="DP750" s="27" t="s">
        <v>7</v>
      </c>
      <c r="DQ750" s="27" t="s">
        <v>8</v>
      </c>
      <c r="DR750" s="27" t="s">
        <v>7</v>
      </c>
      <c r="DS750" s="27" t="s">
        <v>8</v>
      </c>
      <c r="DV750" s="27" t="s">
        <v>7</v>
      </c>
      <c r="DW750" s="27" t="s">
        <v>8</v>
      </c>
      <c r="DX750" s="27" t="s">
        <v>7</v>
      </c>
      <c r="DY750" s="27" t="s">
        <v>8</v>
      </c>
      <c r="DZ750" s="27" t="s">
        <v>7</v>
      </c>
      <c r="EA750" s="27" t="s">
        <v>8</v>
      </c>
      <c r="EB750" s="27" t="s">
        <v>7</v>
      </c>
      <c r="EC750" s="27" t="s">
        <v>8</v>
      </c>
      <c r="ED750" s="27" t="s">
        <v>7</v>
      </c>
      <c r="HA750" s="27" t="s">
        <v>8</v>
      </c>
      <c r="HB750" s="27" t="s">
        <v>7</v>
      </c>
      <c r="HC750" s="27" t="s">
        <v>8</v>
      </c>
      <c r="HD750" s="27" t="s">
        <v>7</v>
      </c>
      <c r="HE750" s="27" t="s">
        <v>8</v>
      </c>
      <c r="HF750" s="27" t="s">
        <v>7</v>
      </c>
      <c r="HI750" s="27" t="s">
        <v>8</v>
      </c>
      <c r="HJ750" s="27" t="s">
        <v>7</v>
      </c>
      <c r="HM750" s="27" t="s">
        <v>8</v>
      </c>
      <c r="JH750" s="27" t="s">
        <v>7</v>
      </c>
      <c r="JI750" s="27" t="s">
        <v>8</v>
      </c>
      <c r="JJ750" s="27" t="s">
        <v>7</v>
      </c>
      <c r="JK750" s="27" t="s">
        <v>8</v>
      </c>
      <c r="JL750" s="27" t="s">
        <v>7</v>
      </c>
      <c r="JM750" s="27" t="s">
        <v>8</v>
      </c>
      <c r="JN750" s="27" t="s">
        <v>7</v>
      </c>
      <c r="JO750" s="27" t="s">
        <v>8</v>
      </c>
      <c r="JP750" s="27" t="s">
        <v>7</v>
      </c>
      <c r="JR750" s="27" t="s">
        <v>7</v>
      </c>
      <c r="JS750" s="27" t="s">
        <v>8</v>
      </c>
      <c r="JT750" s="27" t="s">
        <v>7</v>
      </c>
      <c r="JU750" s="27" t="s">
        <v>8</v>
      </c>
      <c r="JX750" s="27" t="s">
        <v>7</v>
      </c>
      <c r="KS750" s="27" t="s">
        <v>8</v>
      </c>
      <c r="KT750" s="27" t="s">
        <v>7</v>
      </c>
    </row>
    <row r="751" spans="1:393" x14ac:dyDescent="0.25">
      <c r="A751" s="7">
        <v>3.8866177616710372E-2</v>
      </c>
      <c r="B751"/>
      <c r="C751"/>
      <c r="D751"/>
      <c r="E751"/>
      <c r="F751" s="27" t="s">
        <v>7</v>
      </c>
      <c r="CQ751" s="27" t="s">
        <v>8</v>
      </c>
      <c r="CR751" s="27" t="s">
        <v>7</v>
      </c>
      <c r="DI751" s="27" t="s">
        <v>8</v>
      </c>
      <c r="DJ751" s="27" t="s">
        <v>7</v>
      </c>
      <c r="DK751" s="27" t="s">
        <v>8</v>
      </c>
      <c r="DN751" s="27" t="s">
        <v>7</v>
      </c>
      <c r="DO751" s="27" t="s">
        <v>8</v>
      </c>
      <c r="DP751" s="27" t="s">
        <v>7</v>
      </c>
      <c r="DQ751" s="27" t="s">
        <v>8</v>
      </c>
      <c r="DR751" s="27" t="s">
        <v>7</v>
      </c>
      <c r="DS751" s="27" t="s">
        <v>8</v>
      </c>
      <c r="DV751" s="27" t="s">
        <v>7</v>
      </c>
      <c r="DW751" s="27" t="s">
        <v>8</v>
      </c>
      <c r="DX751" s="27" t="s">
        <v>7</v>
      </c>
      <c r="DY751" s="27" t="s">
        <v>8</v>
      </c>
      <c r="DZ751" s="27" t="s">
        <v>7</v>
      </c>
      <c r="EA751" s="27" t="s">
        <v>8</v>
      </c>
      <c r="EB751" s="27" t="s">
        <v>7</v>
      </c>
      <c r="EC751" s="27" t="s">
        <v>8</v>
      </c>
      <c r="ED751" s="27" t="s">
        <v>7</v>
      </c>
      <c r="HA751" s="27" t="s">
        <v>8</v>
      </c>
      <c r="HB751" s="27" t="s">
        <v>7</v>
      </c>
      <c r="HC751" s="27" t="s">
        <v>8</v>
      </c>
      <c r="HD751" s="27" t="s">
        <v>7</v>
      </c>
      <c r="HE751" s="27" t="s">
        <v>8</v>
      </c>
      <c r="HF751" s="27" t="s">
        <v>7</v>
      </c>
      <c r="HI751" s="27" t="s">
        <v>8</v>
      </c>
      <c r="HJ751" s="27" t="s">
        <v>7</v>
      </c>
      <c r="HM751" s="27" t="s">
        <v>8</v>
      </c>
      <c r="JH751" s="27" t="s">
        <v>7</v>
      </c>
      <c r="JI751" s="27" t="s">
        <v>8</v>
      </c>
      <c r="JJ751" s="27" t="s">
        <v>7</v>
      </c>
      <c r="JK751" s="27" t="s">
        <v>8</v>
      </c>
      <c r="JL751" s="27" t="s">
        <v>7</v>
      </c>
      <c r="JM751" s="27" t="s">
        <v>8</v>
      </c>
      <c r="JN751" s="27" t="s">
        <v>7</v>
      </c>
      <c r="JO751" s="27" t="s">
        <v>8</v>
      </c>
      <c r="JR751" s="27" t="s">
        <v>7</v>
      </c>
      <c r="JS751" s="27" t="s">
        <v>8</v>
      </c>
      <c r="JT751" s="27" t="s">
        <v>7</v>
      </c>
      <c r="JX751" s="27" t="s">
        <v>7</v>
      </c>
      <c r="KS751" s="27" t="s">
        <v>8</v>
      </c>
    </row>
    <row r="752" spans="1:393" x14ac:dyDescent="0.25">
      <c r="A752" s="7">
        <v>3.8104095702657229E-2</v>
      </c>
      <c r="B752"/>
      <c r="C752"/>
      <c r="D752"/>
      <c r="E752"/>
      <c r="F752" s="27" t="s">
        <v>7</v>
      </c>
      <c r="CQ752" s="27" t="s">
        <v>8</v>
      </c>
      <c r="CR752" s="27" t="s">
        <v>7</v>
      </c>
      <c r="DI752" s="27" t="s">
        <v>8</v>
      </c>
      <c r="DJ752" s="27" t="s">
        <v>7</v>
      </c>
      <c r="DK752" s="27" t="s">
        <v>8</v>
      </c>
      <c r="DN752" s="27" t="s">
        <v>7</v>
      </c>
      <c r="DO752" s="27" t="s">
        <v>8</v>
      </c>
      <c r="DP752" s="27" t="s">
        <v>7</v>
      </c>
      <c r="DQ752" s="27" t="s">
        <v>8</v>
      </c>
      <c r="DR752" s="27" t="s">
        <v>7</v>
      </c>
      <c r="DS752" s="27" t="s">
        <v>8</v>
      </c>
      <c r="DV752" s="27" t="s">
        <v>7</v>
      </c>
      <c r="DW752" s="27" t="s">
        <v>8</v>
      </c>
      <c r="DX752" s="27" t="s">
        <v>7</v>
      </c>
      <c r="DY752" s="27" t="s">
        <v>8</v>
      </c>
      <c r="DZ752" s="27" t="s">
        <v>7</v>
      </c>
      <c r="EA752" s="27" t="s">
        <v>8</v>
      </c>
      <c r="EB752" s="27" t="s">
        <v>7</v>
      </c>
      <c r="EC752" s="27" t="s">
        <v>8</v>
      </c>
      <c r="ED752" s="27" t="s">
        <v>7</v>
      </c>
      <c r="HA752" s="27" t="s">
        <v>8</v>
      </c>
      <c r="HB752" s="27" t="s">
        <v>7</v>
      </c>
      <c r="HC752" s="27" t="s">
        <v>8</v>
      </c>
      <c r="HD752" s="27" t="s">
        <v>7</v>
      </c>
      <c r="HE752" s="27" t="s">
        <v>8</v>
      </c>
      <c r="HF752" s="27" t="s">
        <v>7</v>
      </c>
      <c r="HI752" s="27" t="s">
        <v>8</v>
      </c>
      <c r="HJ752" s="27" t="s">
        <v>7</v>
      </c>
      <c r="HM752" s="27" t="s">
        <v>8</v>
      </c>
      <c r="JH752" s="27" t="s">
        <v>7</v>
      </c>
      <c r="JI752" s="27" t="s">
        <v>8</v>
      </c>
      <c r="JJ752" s="27" t="s">
        <v>7</v>
      </c>
      <c r="JK752" s="27" t="s">
        <v>8</v>
      </c>
      <c r="JL752" s="27" t="s">
        <v>7</v>
      </c>
      <c r="JM752" s="27" t="s">
        <v>8</v>
      </c>
      <c r="JN752" s="27" t="s">
        <v>7</v>
      </c>
      <c r="JO752" s="27" t="s">
        <v>8</v>
      </c>
      <c r="JR752" s="27" t="s">
        <v>7</v>
      </c>
      <c r="JS752" s="27" t="s">
        <v>8</v>
      </c>
      <c r="JX752" s="27" t="s">
        <v>7</v>
      </c>
      <c r="KS752" s="27" t="s">
        <v>8</v>
      </c>
    </row>
    <row r="753" spans="1:305" x14ac:dyDescent="0.25">
      <c r="A753" s="7">
        <v>3.7356956571232579E-2</v>
      </c>
      <c r="B753"/>
      <c r="C753"/>
      <c r="D753"/>
      <c r="E753"/>
      <c r="F753" s="27" t="s">
        <v>7</v>
      </c>
      <c r="CQ753" s="27" t="s">
        <v>8</v>
      </c>
      <c r="CR753" s="27" t="s">
        <v>7</v>
      </c>
      <c r="DI753" s="27" t="s">
        <v>8</v>
      </c>
      <c r="DJ753" s="27" t="s">
        <v>7</v>
      </c>
      <c r="DK753" s="27" t="s">
        <v>8</v>
      </c>
      <c r="DN753" s="27" t="s">
        <v>7</v>
      </c>
      <c r="DO753" s="27" t="s">
        <v>8</v>
      </c>
      <c r="DP753" s="27" t="s">
        <v>7</v>
      </c>
      <c r="DQ753" s="27" t="s">
        <v>8</v>
      </c>
      <c r="DR753" s="27" t="s">
        <v>7</v>
      </c>
      <c r="DS753" s="27" t="s">
        <v>8</v>
      </c>
      <c r="DV753" s="27" t="s">
        <v>7</v>
      </c>
      <c r="DW753" s="27" t="s">
        <v>8</v>
      </c>
      <c r="DX753" s="27" t="s">
        <v>7</v>
      </c>
      <c r="DY753" s="27" t="s">
        <v>8</v>
      </c>
      <c r="DZ753" s="27" t="s">
        <v>7</v>
      </c>
      <c r="EA753" s="27" t="s">
        <v>8</v>
      </c>
      <c r="EB753" s="27" t="s">
        <v>7</v>
      </c>
      <c r="EC753" s="27" t="s">
        <v>8</v>
      </c>
      <c r="ED753" s="27" t="s">
        <v>7</v>
      </c>
      <c r="HA753" s="27" t="s">
        <v>8</v>
      </c>
      <c r="HB753" s="27" t="s">
        <v>7</v>
      </c>
      <c r="HC753" s="27" t="s">
        <v>8</v>
      </c>
      <c r="HD753" s="27" t="s">
        <v>7</v>
      </c>
      <c r="HF753" s="27" t="s">
        <v>7</v>
      </c>
      <c r="HG753" s="27" t="s">
        <v>8</v>
      </c>
      <c r="HI753" s="27" t="s">
        <v>8</v>
      </c>
      <c r="HJ753" s="27" t="s">
        <v>7</v>
      </c>
      <c r="HM753" s="27" t="s">
        <v>8</v>
      </c>
      <c r="JH753" s="27" t="s">
        <v>7</v>
      </c>
      <c r="JI753" s="27" t="s">
        <v>8</v>
      </c>
      <c r="JJ753" s="27" t="s">
        <v>7</v>
      </c>
      <c r="JK753" s="27" t="s">
        <v>8</v>
      </c>
      <c r="JL753" s="27" t="s">
        <v>7</v>
      </c>
      <c r="JM753" s="27" t="s">
        <v>8</v>
      </c>
      <c r="JN753" s="27" t="s">
        <v>7</v>
      </c>
      <c r="JO753" s="27" t="s">
        <v>8</v>
      </c>
      <c r="JR753" s="27" t="s">
        <v>7</v>
      </c>
      <c r="JX753" s="27" t="s">
        <v>7</v>
      </c>
      <c r="KQ753" s="27" t="s">
        <v>8</v>
      </c>
      <c r="KS753" s="27" t="s">
        <v>8</v>
      </c>
    </row>
    <row r="754" spans="1:305" x14ac:dyDescent="0.25">
      <c r="A754" s="7">
        <v>3.6624467226698605E-2</v>
      </c>
      <c r="B754"/>
      <c r="C754"/>
      <c r="D754"/>
      <c r="E754"/>
      <c r="F754" s="27" t="s">
        <v>7</v>
      </c>
      <c r="CQ754" s="27" t="s">
        <v>8</v>
      </c>
      <c r="CR754" s="27" t="s">
        <v>7</v>
      </c>
      <c r="DI754" s="27" t="s">
        <v>8</v>
      </c>
      <c r="DJ754" s="27" t="s">
        <v>7</v>
      </c>
      <c r="DK754" s="27" t="s">
        <v>8</v>
      </c>
      <c r="DN754" s="27" t="s">
        <v>7</v>
      </c>
      <c r="DO754" s="27" t="s">
        <v>8</v>
      </c>
      <c r="DP754" s="27" t="s">
        <v>7</v>
      </c>
      <c r="DQ754" s="27" t="s">
        <v>8</v>
      </c>
      <c r="DR754" s="27" t="s">
        <v>7</v>
      </c>
      <c r="DS754" s="27" t="s">
        <v>8</v>
      </c>
      <c r="DV754" s="27" t="s">
        <v>7</v>
      </c>
      <c r="DX754" s="27" t="s">
        <v>7</v>
      </c>
      <c r="DY754" s="27" t="s">
        <v>8</v>
      </c>
      <c r="DZ754" s="27" t="s">
        <v>7</v>
      </c>
      <c r="EA754" s="27" t="s">
        <v>8</v>
      </c>
      <c r="EB754" s="27" t="s">
        <v>7</v>
      </c>
      <c r="ED754" s="27" t="s">
        <v>7</v>
      </c>
      <c r="HA754" s="27" t="s">
        <v>8</v>
      </c>
      <c r="HB754" s="27" t="s">
        <v>7</v>
      </c>
      <c r="HC754" s="27" t="s">
        <v>8</v>
      </c>
      <c r="HF754" s="27" t="s">
        <v>7</v>
      </c>
      <c r="HG754" s="27" t="s">
        <v>8</v>
      </c>
      <c r="HH754" s="27" t="s">
        <v>7</v>
      </c>
      <c r="HI754" s="27" t="s">
        <v>8</v>
      </c>
      <c r="HJ754" s="27" t="s">
        <v>7</v>
      </c>
      <c r="HK754" s="27" t="s">
        <v>8</v>
      </c>
      <c r="HM754" s="27" t="s">
        <v>8</v>
      </c>
      <c r="JH754" s="27" t="s">
        <v>7</v>
      </c>
      <c r="JI754" s="27" t="s">
        <v>8</v>
      </c>
      <c r="JJ754" s="27" t="s">
        <v>7</v>
      </c>
      <c r="JL754" s="27" t="s">
        <v>7</v>
      </c>
      <c r="JM754" s="27" t="s">
        <v>8</v>
      </c>
      <c r="JN754" s="27" t="s">
        <v>7</v>
      </c>
      <c r="JO754" s="27" t="s">
        <v>8</v>
      </c>
      <c r="JX754" s="27" t="s">
        <v>7</v>
      </c>
      <c r="KG754" s="27" t="s">
        <v>8</v>
      </c>
      <c r="KQ754" s="27" t="s">
        <v>8</v>
      </c>
      <c r="KR754" s="27" t="s">
        <v>7</v>
      </c>
      <c r="KS754" s="27" t="s">
        <v>8</v>
      </c>
    </row>
    <row r="755" spans="1:305" x14ac:dyDescent="0.25">
      <c r="A755" s="7">
        <v>3.5906340418331961E-2</v>
      </c>
      <c r="B755"/>
      <c r="C755"/>
      <c r="D755"/>
      <c r="E755"/>
      <c r="F755" s="27" t="s">
        <v>7</v>
      </c>
      <c r="CQ755" s="27" t="s">
        <v>8</v>
      </c>
      <c r="CR755" s="27" t="s">
        <v>7</v>
      </c>
      <c r="DI755" s="27" t="s">
        <v>8</v>
      </c>
      <c r="DJ755" s="27" t="s">
        <v>7</v>
      </c>
      <c r="DK755" s="27" t="s">
        <v>8</v>
      </c>
      <c r="DN755" s="27" t="s">
        <v>7</v>
      </c>
      <c r="DO755" s="27" t="s">
        <v>8</v>
      </c>
      <c r="DP755" s="27" t="s">
        <v>7</v>
      </c>
      <c r="DQ755" s="27" t="s">
        <v>8</v>
      </c>
      <c r="DR755" s="27" t="s">
        <v>7</v>
      </c>
      <c r="DS755" s="27" t="s">
        <v>8</v>
      </c>
      <c r="DX755" s="27" t="s">
        <v>7</v>
      </c>
      <c r="DY755" s="27" t="s">
        <v>8</v>
      </c>
      <c r="DZ755" s="27" t="s">
        <v>7</v>
      </c>
      <c r="ED755" s="27" t="s">
        <v>7</v>
      </c>
      <c r="EE755" s="27" t="s">
        <v>8</v>
      </c>
      <c r="HA755" s="27" t="s">
        <v>8</v>
      </c>
      <c r="HB755" s="27" t="s">
        <v>7</v>
      </c>
      <c r="HC755" s="27" t="s">
        <v>8</v>
      </c>
      <c r="HF755" s="27" t="s">
        <v>7</v>
      </c>
      <c r="HG755" s="27" t="s">
        <v>8</v>
      </c>
      <c r="HH755" s="27" t="s">
        <v>7</v>
      </c>
      <c r="HI755" s="27" t="s">
        <v>8</v>
      </c>
      <c r="HJ755" s="27" t="s">
        <v>7</v>
      </c>
      <c r="HK755" s="27" t="s">
        <v>8</v>
      </c>
      <c r="HL755" s="27" t="s">
        <v>7</v>
      </c>
      <c r="HM755" s="27" t="s">
        <v>8</v>
      </c>
      <c r="JH755" s="27" t="s">
        <v>7</v>
      </c>
      <c r="JI755" s="27" t="s">
        <v>8</v>
      </c>
      <c r="JL755" s="27" t="s">
        <v>7</v>
      </c>
      <c r="JM755" s="27" t="s">
        <v>8</v>
      </c>
      <c r="JN755" s="27" t="s">
        <v>7</v>
      </c>
      <c r="JO755" s="27" t="s">
        <v>8</v>
      </c>
      <c r="JX755" s="27" t="s">
        <v>7</v>
      </c>
      <c r="KG755" s="27" t="s">
        <v>8</v>
      </c>
      <c r="KH755" s="27" t="s">
        <v>7</v>
      </c>
      <c r="KQ755" s="27" t="s">
        <v>8</v>
      </c>
      <c r="KR755" s="27" t="s">
        <v>7</v>
      </c>
      <c r="KS755" s="27" t="s">
        <v>8</v>
      </c>
    </row>
    <row r="756" spans="1:305" x14ac:dyDescent="0.25">
      <c r="A756" s="7">
        <v>3.5202294527776436E-2</v>
      </c>
      <c r="B756"/>
      <c r="C756"/>
      <c r="D756"/>
      <c r="E756"/>
      <c r="F756" s="27" t="s">
        <v>7</v>
      </c>
      <c r="CQ756" s="27" t="s">
        <v>8</v>
      </c>
      <c r="CR756" s="27" t="s">
        <v>7</v>
      </c>
      <c r="DI756" s="27" t="s">
        <v>8</v>
      </c>
      <c r="DJ756" s="27" t="s">
        <v>7</v>
      </c>
      <c r="DK756" s="27" t="s">
        <v>8</v>
      </c>
      <c r="DN756" s="27" t="s">
        <v>7</v>
      </c>
      <c r="DO756" s="27" t="s">
        <v>8</v>
      </c>
      <c r="DP756" s="27" t="s">
        <v>7</v>
      </c>
      <c r="DQ756" s="27" t="s">
        <v>8</v>
      </c>
      <c r="DR756" s="27" t="s">
        <v>7</v>
      </c>
      <c r="DX756" s="27" t="s">
        <v>7</v>
      </c>
      <c r="DY756" s="27" t="s">
        <v>8</v>
      </c>
      <c r="ED756" s="27" t="s">
        <v>7</v>
      </c>
      <c r="EE756" s="27" t="s">
        <v>8</v>
      </c>
      <c r="EF756" s="27" t="s">
        <v>7</v>
      </c>
      <c r="HA756" s="27" t="s">
        <v>8</v>
      </c>
      <c r="HB756" s="27" t="s">
        <v>7</v>
      </c>
      <c r="HF756" s="27" t="s">
        <v>7</v>
      </c>
      <c r="HG756" s="27" t="s">
        <v>8</v>
      </c>
      <c r="HH756" s="27" t="s">
        <v>7</v>
      </c>
      <c r="HI756" s="27" t="s">
        <v>8</v>
      </c>
      <c r="HJ756" s="27" t="s">
        <v>7</v>
      </c>
      <c r="HK756" s="27" t="s">
        <v>8</v>
      </c>
      <c r="HL756" s="27" t="s">
        <v>7</v>
      </c>
      <c r="HM756" s="27" t="s">
        <v>8</v>
      </c>
      <c r="JH756" s="27" t="s">
        <v>7</v>
      </c>
      <c r="JL756" s="27" t="s">
        <v>7</v>
      </c>
      <c r="JM756" s="27" t="s">
        <v>8</v>
      </c>
      <c r="JN756" s="27" t="s">
        <v>7</v>
      </c>
      <c r="JX756" s="27" t="s">
        <v>7</v>
      </c>
      <c r="KG756" s="27" t="s">
        <v>8</v>
      </c>
      <c r="KH756" s="27" t="s">
        <v>7</v>
      </c>
      <c r="KQ756" s="27" t="s">
        <v>8</v>
      </c>
      <c r="KR756" s="27" t="s">
        <v>7</v>
      </c>
    </row>
    <row r="757" spans="1:305" x14ac:dyDescent="0.25">
      <c r="A757" s="7">
        <v>3.451205345860435E-2</v>
      </c>
      <c r="B757"/>
      <c r="C757"/>
      <c r="D757"/>
      <c r="E757"/>
      <c r="F757" s="27" t="s">
        <v>7</v>
      </c>
      <c r="CQ757" s="27" t="s">
        <v>8</v>
      </c>
      <c r="CR757" s="27" t="s">
        <v>7</v>
      </c>
      <c r="DI757" s="27" t="s">
        <v>8</v>
      </c>
      <c r="DJ757" s="27" t="s">
        <v>7</v>
      </c>
      <c r="DK757" s="27" t="s">
        <v>8</v>
      </c>
      <c r="DN757" s="27" t="s">
        <v>7</v>
      </c>
      <c r="DO757" s="27" t="s">
        <v>8</v>
      </c>
      <c r="DP757" s="27" t="s">
        <v>7</v>
      </c>
      <c r="DQ757" s="27" t="s">
        <v>8</v>
      </c>
      <c r="DX757" s="27" t="s">
        <v>7</v>
      </c>
      <c r="DY757" s="27" t="s">
        <v>8</v>
      </c>
      <c r="ED757" s="27" t="s">
        <v>7</v>
      </c>
      <c r="EE757" s="27" t="s">
        <v>8</v>
      </c>
      <c r="EF757" s="27" t="s">
        <v>7</v>
      </c>
      <c r="HA757" s="27" t="s">
        <v>8</v>
      </c>
      <c r="HF757" s="27" t="s">
        <v>7</v>
      </c>
      <c r="HG757" s="27" t="s">
        <v>8</v>
      </c>
      <c r="HH757" s="27" t="s">
        <v>7</v>
      </c>
      <c r="HI757" s="27" t="s">
        <v>8</v>
      </c>
      <c r="HJ757" s="27" t="s">
        <v>7</v>
      </c>
      <c r="HK757" s="27" t="s">
        <v>8</v>
      </c>
      <c r="HL757" s="27" t="s">
        <v>7</v>
      </c>
      <c r="HM757" s="27" t="s">
        <v>8</v>
      </c>
      <c r="JL757" s="27" t="s">
        <v>7</v>
      </c>
      <c r="JM757" s="27" t="s">
        <v>8</v>
      </c>
      <c r="JX757" s="27" t="s">
        <v>7</v>
      </c>
      <c r="KA757" s="27" t="s">
        <v>8</v>
      </c>
      <c r="KE757" s="27" t="s">
        <v>8</v>
      </c>
      <c r="KG757" s="27" t="s">
        <v>8</v>
      </c>
      <c r="KH757" s="27" t="s">
        <v>7</v>
      </c>
      <c r="KI757" s="27" t="s">
        <v>8</v>
      </c>
      <c r="KQ757" s="27" t="s">
        <v>8</v>
      </c>
    </row>
    <row r="758" spans="1:305" x14ac:dyDescent="0.25">
      <c r="A758" s="7">
        <v>3.3835346528043479E-2</v>
      </c>
      <c r="B758"/>
      <c r="C758"/>
      <c r="D758"/>
      <c r="E758"/>
      <c r="F758" s="27" t="s">
        <v>7</v>
      </c>
      <c r="CQ758" s="27" t="s">
        <v>8</v>
      </c>
      <c r="CR758" s="27" t="s">
        <v>7</v>
      </c>
      <c r="DI758" s="27" t="s">
        <v>8</v>
      </c>
      <c r="DJ758" s="27" t="s">
        <v>7</v>
      </c>
      <c r="DK758" s="27" t="s">
        <v>8</v>
      </c>
      <c r="DN758" s="27" t="s">
        <v>7</v>
      </c>
      <c r="DO758" s="27" t="s">
        <v>8</v>
      </c>
      <c r="DP758" s="27" t="s">
        <v>7</v>
      </c>
      <c r="DQ758" s="27" t="s">
        <v>8</v>
      </c>
      <c r="DX758" s="27" t="s">
        <v>7</v>
      </c>
      <c r="DY758" s="27" t="s">
        <v>8</v>
      </c>
      <c r="ED758" s="27" t="s">
        <v>7</v>
      </c>
      <c r="EE758" s="27" t="s">
        <v>8</v>
      </c>
      <c r="EF758" s="27" t="s">
        <v>7</v>
      </c>
      <c r="HA758" s="27" t="s">
        <v>8</v>
      </c>
      <c r="HF758" s="27" t="s">
        <v>7</v>
      </c>
      <c r="HG758" s="27" t="s">
        <v>8</v>
      </c>
      <c r="HH758" s="27" t="s">
        <v>7</v>
      </c>
      <c r="HI758" s="27" t="s">
        <v>8</v>
      </c>
      <c r="HJ758" s="27" t="s">
        <v>7</v>
      </c>
      <c r="HK758" s="27" t="s">
        <v>8</v>
      </c>
      <c r="HL758" s="27" t="s">
        <v>7</v>
      </c>
      <c r="JL758" s="27" t="s">
        <v>7</v>
      </c>
      <c r="JM758" s="27" t="s">
        <v>8</v>
      </c>
      <c r="JX758" s="27" t="s">
        <v>7</v>
      </c>
      <c r="KA758" s="27" t="s">
        <v>8</v>
      </c>
      <c r="KB758" s="27" t="s">
        <v>7</v>
      </c>
      <c r="KE758" s="27" t="s">
        <v>8</v>
      </c>
      <c r="KF758" s="27" t="s">
        <v>7</v>
      </c>
      <c r="KG758" s="27" t="s">
        <v>8</v>
      </c>
      <c r="KH758" s="27" t="s">
        <v>7</v>
      </c>
      <c r="KI758" s="27" t="s">
        <v>8</v>
      </c>
      <c r="KJ758" s="27" t="s">
        <v>7</v>
      </c>
      <c r="KQ758" s="27" t="s">
        <v>8</v>
      </c>
    </row>
    <row r="759" spans="1:305" x14ac:dyDescent="0.25">
      <c r="A759" s="7">
        <v>3.3171908360826938E-2</v>
      </c>
      <c r="B759"/>
      <c r="C759"/>
      <c r="D759"/>
      <c r="E759"/>
      <c r="F759" s="27" t="s">
        <v>7</v>
      </c>
      <c r="CQ759" s="27" t="s">
        <v>8</v>
      </c>
      <c r="CR759" s="27" t="s">
        <v>7</v>
      </c>
      <c r="DI759" s="27" t="s">
        <v>8</v>
      </c>
      <c r="DJ759" s="27" t="s">
        <v>7</v>
      </c>
      <c r="DK759" s="27" t="s">
        <v>8</v>
      </c>
      <c r="DN759" s="27" t="s">
        <v>7</v>
      </c>
      <c r="DO759" s="27" t="s">
        <v>8</v>
      </c>
      <c r="DP759" s="27" t="s">
        <v>7</v>
      </c>
      <c r="DX759" s="27" t="s">
        <v>7</v>
      </c>
      <c r="DY759" s="27" t="s">
        <v>8</v>
      </c>
      <c r="ED759" s="27" t="s">
        <v>7</v>
      </c>
      <c r="EE759" s="27" t="s">
        <v>8</v>
      </c>
      <c r="EF759" s="27" t="s">
        <v>7</v>
      </c>
      <c r="EG759" s="27" t="s">
        <v>8</v>
      </c>
      <c r="HA759" s="27" t="s">
        <v>8</v>
      </c>
      <c r="HF759" s="27" t="s">
        <v>7</v>
      </c>
      <c r="HG759" s="27" t="s">
        <v>8</v>
      </c>
      <c r="HH759" s="27" t="s">
        <v>7</v>
      </c>
      <c r="HI759" s="27" t="s">
        <v>8</v>
      </c>
      <c r="HJ759" s="27" t="s">
        <v>7</v>
      </c>
      <c r="HK759" s="27" t="s">
        <v>8</v>
      </c>
      <c r="JL759" s="27" t="s">
        <v>7</v>
      </c>
      <c r="JM759" s="27" t="s">
        <v>8</v>
      </c>
      <c r="JX759" s="27" t="s">
        <v>7</v>
      </c>
      <c r="JY759" s="27" t="s">
        <v>8</v>
      </c>
      <c r="KA759" s="27" t="s">
        <v>8</v>
      </c>
      <c r="KB759" s="27" t="s">
        <v>7</v>
      </c>
      <c r="KC759" s="27" t="s">
        <v>8</v>
      </c>
      <c r="KE759" s="27" t="s">
        <v>8</v>
      </c>
      <c r="KF759" s="27" t="s">
        <v>7</v>
      </c>
      <c r="KG759" s="27" t="s">
        <v>8</v>
      </c>
      <c r="KH759" s="27" t="s">
        <v>7</v>
      </c>
      <c r="KI759" s="27" t="s">
        <v>8</v>
      </c>
      <c r="KJ759" s="27" t="s">
        <v>7</v>
      </c>
      <c r="KQ759" s="27" t="s">
        <v>8</v>
      </c>
    </row>
    <row r="760" spans="1:305" x14ac:dyDescent="0.25">
      <c r="A760" s="7">
        <v>3.2521478785124451E-2</v>
      </c>
      <c r="B760"/>
      <c r="C760"/>
      <c r="D760"/>
      <c r="E760"/>
      <c r="F760" s="27" t="s">
        <v>7</v>
      </c>
      <c r="CQ760" s="27" t="s">
        <v>8</v>
      </c>
      <c r="CR760" s="27" t="s">
        <v>7</v>
      </c>
      <c r="DI760" s="27" t="s">
        <v>8</v>
      </c>
      <c r="DJ760" s="27" t="s">
        <v>7</v>
      </c>
      <c r="DK760" s="27" t="s">
        <v>8</v>
      </c>
      <c r="DN760" s="27" t="s">
        <v>7</v>
      </c>
      <c r="DO760" s="27" t="s">
        <v>8</v>
      </c>
      <c r="DX760" s="27" t="s">
        <v>7</v>
      </c>
      <c r="DY760" s="27" t="s">
        <v>8</v>
      </c>
      <c r="ED760" s="27" t="s">
        <v>7</v>
      </c>
      <c r="EE760" s="27" t="s">
        <v>8</v>
      </c>
      <c r="EF760" s="27" t="s">
        <v>7</v>
      </c>
      <c r="EG760" s="27" t="s">
        <v>8</v>
      </c>
      <c r="EH760" s="27" t="s">
        <v>7</v>
      </c>
      <c r="HA760" s="27" t="s">
        <v>8</v>
      </c>
      <c r="HF760" s="27" t="s">
        <v>7</v>
      </c>
      <c r="HG760" s="27" t="s">
        <v>8</v>
      </c>
      <c r="HH760" s="27" t="s">
        <v>7</v>
      </c>
      <c r="HI760" s="27" t="s">
        <v>8</v>
      </c>
      <c r="HJ760" s="27" t="s">
        <v>7</v>
      </c>
      <c r="HK760" s="27" t="s">
        <v>8</v>
      </c>
      <c r="JL760" s="27" t="s">
        <v>7</v>
      </c>
      <c r="JM760" s="27" t="s">
        <v>8</v>
      </c>
      <c r="JX760" s="27" t="s">
        <v>7</v>
      </c>
      <c r="JY760" s="27" t="s">
        <v>8</v>
      </c>
      <c r="JZ760" s="27" t="s">
        <v>7</v>
      </c>
      <c r="KA760" s="27" t="s">
        <v>8</v>
      </c>
      <c r="KB760" s="27" t="s">
        <v>7</v>
      </c>
      <c r="KC760" s="27" t="s">
        <v>8</v>
      </c>
      <c r="KD760" s="27" t="s">
        <v>7</v>
      </c>
      <c r="KE760" s="27" t="s">
        <v>8</v>
      </c>
      <c r="KF760" s="27" t="s">
        <v>7</v>
      </c>
      <c r="KG760" s="27" t="s">
        <v>8</v>
      </c>
      <c r="KH760" s="27" t="s">
        <v>7</v>
      </c>
      <c r="KI760" s="27" t="s">
        <v>8</v>
      </c>
      <c r="KJ760" s="27" t="s">
        <v>7</v>
      </c>
      <c r="KO760" s="27" t="s">
        <v>8</v>
      </c>
      <c r="KQ760" s="27" t="s">
        <v>8</v>
      </c>
    </row>
    <row r="761" spans="1:305" x14ac:dyDescent="0.25">
      <c r="A761" s="7">
        <v>3.1883802730514173E-2</v>
      </c>
      <c r="B761"/>
      <c r="C761"/>
      <c r="D761"/>
      <c r="E761"/>
      <c r="F761" s="27" t="s">
        <v>7</v>
      </c>
      <c r="CQ761" s="27" t="s">
        <v>8</v>
      </c>
      <c r="CR761" s="27" t="s">
        <v>7</v>
      </c>
      <c r="DI761" s="27" t="s">
        <v>8</v>
      </c>
      <c r="DJ761" s="27" t="s">
        <v>7</v>
      </c>
      <c r="DK761" s="27" t="s">
        <v>8</v>
      </c>
      <c r="DN761" s="27" t="s">
        <v>7</v>
      </c>
      <c r="DO761" s="27" t="s">
        <v>8</v>
      </c>
      <c r="DX761" s="27" t="s">
        <v>7</v>
      </c>
      <c r="DY761" s="27" t="s">
        <v>8</v>
      </c>
      <c r="ED761" s="27" t="s">
        <v>7</v>
      </c>
      <c r="EE761" s="27" t="s">
        <v>8</v>
      </c>
      <c r="EF761" s="27" t="s">
        <v>7</v>
      </c>
      <c r="EG761" s="27" t="s">
        <v>8</v>
      </c>
      <c r="EH761" s="27" t="s">
        <v>7</v>
      </c>
      <c r="GA761" s="27" t="s">
        <v>8</v>
      </c>
      <c r="GY761" s="27" t="s">
        <v>8</v>
      </c>
      <c r="HA761" s="27" t="s">
        <v>8</v>
      </c>
      <c r="HF761" s="27" t="s">
        <v>7</v>
      </c>
      <c r="HG761" s="27" t="s">
        <v>8</v>
      </c>
      <c r="HH761" s="27" t="s">
        <v>7</v>
      </c>
      <c r="HI761" s="27" t="s">
        <v>8</v>
      </c>
      <c r="HJ761" s="27" t="s">
        <v>7</v>
      </c>
      <c r="HK761" s="27" t="s">
        <v>8</v>
      </c>
      <c r="JL761" s="27" t="s">
        <v>7</v>
      </c>
      <c r="JM761" s="27" t="s">
        <v>8</v>
      </c>
      <c r="JX761" s="27" t="s">
        <v>7</v>
      </c>
      <c r="JY761" s="27" t="s">
        <v>8</v>
      </c>
      <c r="JZ761" s="27" t="s">
        <v>7</v>
      </c>
      <c r="KA761" s="27" t="s">
        <v>8</v>
      </c>
      <c r="KB761" s="27" t="s">
        <v>7</v>
      </c>
      <c r="KC761" s="27" t="s">
        <v>8</v>
      </c>
      <c r="KD761" s="27" t="s">
        <v>7</v>
      </c>
      <c r="KE761" s="27" t="s">
        <v>8</v>
      </c>
      <c r="KF761" s="27" t="s">
        <v>7</v>
      </c>
      <c r="KG761" s="27" t="s">
        <v>8</v>
      </c>
      <c r="KH761" s="27" t="s">
        <v>7</v>
      </c>
      <c r="KI761" s="27" t="s">
        <v>8</v>
      </c>
      <c r="KJ761" s="27" t="s">
        <v>7</v>
      </c>
      <c r="KK761" s="27" t="s">
        <v>8</v>
      </c>
      <c r="KO761" s="27" t="s">
        <v>8</v>
      </c>
      <c r="KP761" s="27" t="s">
        <v>7</v>
      </c>
      <c r="KQ761" s="27" t="s">
        <v>8</v>
      </c>
    </row>
    <row r="762" spans="1:305" x14ac:dyDescent="0.25">
      <c r="A762" s="7">
        <v>3.1258630127955073E-2</v>
      </c>
      <c r="B762"/>
      <c r="C762"/>
      <c r="D762"/>
      <c r="E762"/>
      <c r="F762" s="27" t="s">
        <v>7</v>
      </c>
      <c r="CQ762" s="27" t="s">
        <v>8</v>
      </c>
      <c r="CR762" s="27" t="s">
        <v>7</v>
      </c>
      <c r="DI762" s="27" t="s">
        <v>8</v>
      </c>
      <c r="DJ762" s="27" t="s">
        <v>7</v>
      </c>
      <c r="DK762" s="27" t="s">
        <v>8</v>
      </c>
      <c r="DN762" s="27" t="s">
        <v>7</v>
      </c>
      <c r="DO762" s="27" t="s">
        <v>8</v>
      </c>
      <c r="DX762" s="27" t="s">
        <v>7</v>
      </c>
      <c r="DY762" s="27" t="s">
        <v>8</v>
      </c>
      <c r="ED762" s="27" t="s">
        <v>7</v>
      </c>
      <c r="EE762" s="27" t="s">
        <v>8</v>
      </c>
      <c r="EF762" s="27" t="s">
        <v>7</v>
      </c>
      <c r="EG762" s="27" t="s">
        <v>8</v>
      </c>
      <c r="EH762" s="27" t="s">
        <v>7</v>
      </c>
      <c r="GA762" s="27" t="s">
        <v>8</v>
      </c>
      <c r="GB762" s="27" t="s">
        <v>7</v>
      </c>
      <c r="GU762" s="27" t="s">
        <v>8</v>
      </c>
      <c r="GY762" s="27" t="s">
        <v>8</v>
      </c>
      <c r="GZ762" s="27" t="s">
        <v>7</v>
      </c>
      <c r="HA762" s="27" t="s">
        <v>8</v>
      </c>
      <c r="HF762" s="27" t="s">
        <v>7</v>
      </c>
      <c r="HG762" s="27" t="s">
        <v>8</v>
      </c>
      <c r="HH762" s="27" t="s">
        <v>7</v>
      </c>
      <c r="HI762" s="27" t="s">
        <v>8</v>
      </c>
      <c r="HJ762" s="27" t="s">
        <v>7</v>
      </c>
      <c r="JL762" s="27" t="s">
        <v>7</v>
      </c>
      <c r="JM762" s="27" t="s">
        <v>8</v>
      </c>
      <c r="JX762" s="27" t="s">
        <v>7</v>
      </c>
      <c r="JY762" s="27" t="s">
        <v>8</v>
      </c>
      <c r="JZ762" s="27" t="s">
        <v>7</v>
      </c>
      <c r="KA762" s="27" t="s">
        <v>8</v>
      </c>
      <c r="KB762" s="27" t="s">
        <v>7</v>
      </c>
      <c r="KC762" s="27" t="s">
        <v>8</v>
      </c>
      <c r="KD762" s="27" t="s">
        <v>7</v>
      </c>
      <c r="KE762" s="27" t="s">
        <v>8</v>
      </c>
      <c r="KF762" s="27" t="s">
        <v>7</v>
      </c>
      <c r="KG762" s="27" t="s">
        <v>8</v>
      </c>
      <c r="KH762" s="27" t="s">
        <v>7</v>
      </c>
      <c r="KI762" s="27" t="s">
        <v>8</v>
      </c>
      <c r="KJ762" s="27" t="s">
        <v>7</v>
      </c>
      <c r="KK762" s="27" t="s">
        <v>8</v>
      </c>
      <c r="KL762" s="27" t="s">
        <v>7</v>
      </c>
      <c r="KM762" s="27" t="s">
        <v>8</v>
      </c>
      <c r="KO762" s="27" t="s">
        <v>8</v>
      </c>
      <c r="KP762" s="27" t="s">
        <v>7</v>
      </c>
      <c r="KQ762" s="27" t="s">
        <v>8</v>
      </c>
    </row>
    <row r="763" spans="1:305" x14ac:dyDescent="0.25">
      <c r="A763" s="7">
        <v>3.064571581172066E-2</v>
      </c>
      <c r="B763"/>
      <c r="C763"/>
      <c r="D763"/>
      <c r="E763"/>
      <c r="F763" s="27" t="s">
        <v>7</v>
      </c>
      <c r="CQ763" s="27" t="s">
        <v>8</v>
      </c>
      <c r="CR763" s="27" t="s">
        <v>7</v>
      </c>
      <c r="DI763" s="27" t="s">
        <v>8</v>
      </c>
      <c r="DJ763" s="27" t="s">
        <v>7</v>
      </c>
      <c r="DK763" s="27" t="s">
        <v>8</v>
      </c>
      <c r="DN763" s="27" t="s">
        <v>7</v>
      </c>
      <c r="DO763" s="27" t="s">
        <v>8</v>
      </c>
      <c r="DX763" s="27" t="s">
        <v>7</v>
      </c>
      <c r="ED763" s="27" t="s">
        <v>7</v>
      </c>
      <c r="EE763" s="27" t="s">
        <v>8</v>
      </c>
      <c r="EF763" s="27" t="s">
        <v>7</v>
      </c>
      <c r="EG763" s="27" t="s">
        <v>8</v>
      </c>
      <c r="EH763" s="27" t="s">
        <v>7</v>
      </c>
      <c r="GA763" s="27" t="s">
        <v>8</v>
      </c>
      <c r="GB763" s="27" t="s">
        <v>7</v>
      </c>
      <c r="GU763" s="27" t="s">
        <v>8</v>
      </c>
      <c r="GV763" s="27" t="s">
        <v>7</v>
      </c>
      <c r="GY763" s="27" t="s">
        <v>8</v>
      </c>
      <c r="GZ763" s="27" t="s">
        <v>7</v>
      </c>
      <c r="HA763" s="27" t="s">
        <v>8</v>
      </c>
      <c r="HF763" s="27" t="s">
        <v>7</v>
      </c>
      <c r="HG763" s="27" t="s">
        <v>8</v>
      </c>
      <c r="HH763" s="27" t="s">
        <v>7</v>
      </c>
      <c r="JL763" s="27" t="s">
        <v>7</v>
      </c>
      <c r="JM763" s="27" t="s">
        <v>8</v>
      </c>
      <c r="JX763" s="27" t="s">
        <v>7</v>
      </c>
      <c r="JY763" s="27" t="s">
        <v>8</v>
      </c>
      <c r="JZ763" s="27" t="s">
        <v>7</v>
      </c>
      <c r="KA763" s="27" t="s">
        <v>8</v>
      </c>
      <c r="KB763" s="27" t="s">
        <v>7</v>
      </c>
      <c r="KC763" s="27" t="s">
        <v>8</v>
      </c>
      <c r="KD763" s="27" t="s">
        <v>7</v>
      </c>
      <c r="KE763" s="27" t="s">
        <v>8</v>
      </c>
      <c r="KF763" s="27" t="s">
        <v>7</v>
      </c>
      <c r="KG763" s="27" t="s">
        <v>8</v>
      </c>
      <c r="KH763" s="27" t="s">
        <v>7</v>
      </c>
      <c r="KJ763" s="27" t="s">
        <v>7</v>
      </c>
      <c r="KK763" s="27" t="s">
        <v>8</v>
      </c>
      <c r="KL763" s="27" t="s">
        <v>7</v>
      </c>
      <c r="KM763" s="27" t="s">
        <v>8</v>
      </c>
      <c r="KN763" s="27" t="s">
        <v>7</v>
      </c>
      <c r="KO763" s="27" t="s">
        <v>8</v>
      </c>
      <c r="KP763" s="27" t="s">
        <v>7</v>
      </c>
    </row>
    <row r="764" spans="1:305" x14ac:dyDescent="0.25">
      <c r="A764" s="7">
        <v>3.0044819423255549E-2</v>
      </c>
      <c r="B764"/>
      <c r="C764"/>
      <c r="D764"/>
      <c r="E764"/>
      <c r="F764" s="27" t="s">
        <v>7</v>
      </c>
      <c r="CQ764" s="27" t="s">
        <v>8</v>
      </c>
      <c r="CR764" s="27" t="s">
        <v>7</v>
      </c>
      <c r="DI764" s="27" t="s">
        <v>8</v>
      </c>
      <c r="DJ764" s="27" t="s">
        <v>7</v>
      </c>
      <c r="DK764" s="27" t="s">
        <v>8</v>
      </c>
      <c r="DN764" s="27" t="s">
        <v>7</v>
      </c>
      <c r="DO764" s="27" t="s">
        <v>8</v>
      </c>
      <c r="ED764" s="27" t="s">
        <v>7</v>
      </c>
      <c r="EE764" s="27" t="s">
        <v>8</v>
      </c>
      <c r="EF764" s="27" t="s">
        <v>7</v>
      </c>
      <c r="EH764" s="27" t="s">
        <v>7</v>
      </c>
      <c r="GA764" s="27" t="s">
        <v>8</v>
      </c>
      <c r="GB764" s="27" t="s">
        <v>7</v>
      </c>
      <c r="GU764" s="27" t="s">
        <v>8</v>
      </c>
      <c r="GV764" s="27" t="s">
        <v>7</v>
      </c>
      <c r="GW764" s="27" t="s">
        <v>8</v>
      </c>
      <c r="GY764" s="27" t="s">
        <v>8</v>
      </c>
      <c r="GZ764" s="27" t="s">
        <v>7</v>
      </c>
      <c r="HA764" s="27" t="s">
        <v>8</v>
      </c>
      <c r="HF764" s="27" t="s">
        <v>7</v>
      </c>
      <c r="HG764" s="27" t="s">
        <v>8</v>
      </c>
      <c r="JL764" s="27" t="s">
        <v>7</v>
      </c>
      <c r="JM764" s="27" t="s">
        <v>8</v>
      </c>
      <c r="JX764" s="27" t="s">
        <v>7</v>
      </c>
      <c r="JY764" s="27" t="s">
        <v>8</v>
      </c>
      <c r="JZ764" s="27" t="s">
        <v>7</v>
      </c>
      <c r="KA764" s="27" t="s">
        <v>8</v>
      </c>
      <c r="KB764" s="27" t="s">
        <v>7</v>
      </c>
      <c r="KC764" s="27" t="s">
        <v>8</v>
      </c>
      <c r="KD764" s="27" t="s">
        <v>7</v>
      </c>
      <c r="KF764" s="27" t="s">
        <v>7</v>
      </c>
      <c r="KG764" s="27" t="s">
        <v>8</v>
      </c>
      <c r="KJ764" s="27" t="s">
        <v>7</v>
      </c>
      <c r="KK764" s="27" t="s">
        <v>8</v>
      </c>
      <c r="KL764" s="27" t="s">
        <v>7</v>
      </c>
      <c r="KM764" s="27" t="s">
        <v>8</v>
      </c>
      <c r="KN764" s="27" t="s">
        <v>7</v>
      </c>
      <c r="KO764" s="27" t="s">
        <v>8</v>
      </c>
    </row>
    <row r="765" spans="1:305" x14ac:dyDescent="0.25">
      <c r="A765" s="7">
        <v>2.9455705316917203E-2</v>
      </c>
      <c r="B765"/>
      <c r="C765"/>
      <c r="D765"/>
      <c r="E765"/>
      <c r="F765" s="27" t="s">
        <v>7</v>
      </c>
      <c r="CQ765" s="27" t="s">
        <v>8</v>
      </c>
      <c r="CR765" s="27" t="s">
        <v>7</v>
      </c>
      <c r="DG765" s="27" t="s">
        <v>8</v>
      </c>
      <c r="DI765" s="27" t="s">
        <v>8</v>
      </c>
      <c r="DJ765" s="27" t="s">
        <v>7</v>
      </c>
      <c r="DK765" s="27" t="s">
        <v>8</v>
      </c>
      <c r="DN765" s="27" t="s">
        <v>7</v>
      </c>
      <c r="DO765" s="27" t="s">
        <v>8</v>
      </c>
      <c r="ED765" s="27" t="s">
        <v>7</v>
      </c>
      <c r="EE765" s="27" t="s">
        <v>8</v>
      </c>
      <c r="EH765" s="27" t="s">
        <v>7</v>
      </c>
      <c r="GA765" s="27" t="s">
        <v>8</v>
      </c>
      <c r="GB765" s="27" t="s">
        <v>7</v>
      </c>
      <c r="GU765" s="27" t="s">
        <v>8</v>
      </c>
      <c r="GV765" s="27" t="s">
        <v>7</v>
      </c>
      <c r="GW765" s="27" t="s">
        <v>8</v>
      </c>
      <c r="GX765" s="27" t="s">
        <v>7</v>
      </c>
      <c r="GY765" s="27" t="s">
        <v>8</v>
      </c>
      <c r="GZ765" s="27" t="s">
        <v>7</v>
      </c>
      <c r="HA765" s="27" t="s">
        <v>8</v>
      </c>
      <c r="HF765" s="27" t="s">
        <v>7</v>
      </c>
      <c r="HG765" s="27" t="s">
        <v>8</v>
      </c>
      <c r="JL765" s="27" t="s">
        <v>7</v>
      </c>
      <c r="JM765" s="27" t="s">
        <v>8</v>
      </c>
      <c r="JX765" s="27" t="s">
        <v>7</v>
      </c>
      <c r="JY765" s="27" t="s">
        <v>8</v>
      </c>
      <c r="JZ765" s="27" t="s">
        <v>7</v>
      </c>
      <c r="KA765" s="27" t="s">
        <v>8</v>
      </c>
      <c r="KB765" s="27" t="s">
        <v>7</v>
      </c>
      <c r="KC765" s="27" t="s">
        <v>8</v>
      </c>
      <c r="KF765" s="27" t="s">
        <v>7</v>
      </c>
      <c r="KJ765" s="27" t="s">
        <v>7</v>
      </c>
      <c r="KL765" s="27" t="s">
        <v>7</v>
      </c>
      <c r="KM765" s="27" t="s">
        <v>8</v>
      </c>
      <c r="KN765" s="27" t="s">
        <v>7</v>
      </c>
    </row>
    <row r="766" spans="1:305" x14ac:dyDescent="0.25">
      <c r="A766" s="7">
        <v>2.8878142467565884E-2</v>
      </c>
      <c r="B766"/>
      <c r="C766"/>
      <c r="D766"/>
      <c r="E766"/>
      <c r="F766" s="27" t="s">
        <v>7</v>
      </c>
      <c r="CQ766" s="27" t="s">
        <v>8</v>
      </c>
      <c r="CR766" s="27" t="s">
        <v>7</v>
      </c>
      <c r="DG766" s="27" t="s">
        <v>8</v>
      </c>
      <c r="DH766" s="27" t="s">
        <v>7</v>
      </c>
      <c r="DI766" s="27" t="s">
        <v>8</v>
      </c>
      <c r="DJ766" s="27" t="s">
        <v>7</v>
      </c>
      <c r="DN766" s="27" t="s">
        <v>7</v>
      </c>
      <c r="DO766" s="27" t="s">
        <v>8</v>
      </c>
      <c r="ED766" s="27" t="s">
        <v>7</v>
      </c>
      <c r="EH766" s="27" t="s">
        <v>7</v>
      </c>
      <c r="GA766" s="27" t="s">
        <v>8</v>
      </c>
      <c r="GB766" s="27" t="s">
        <v>7</v>
      </c>
      <c r="GU766" s="27" t="s">
        <v>8</v>
      </c>
      <c r="GV766" s="27" t="s">
        <v>7</v>
      </c>
      <c r="GW766" s="27" t="s">
        <v>8</v>
      </c>
      <c r="GX766" s="27" t="s">
        <v>7</v>
      </c>
      <c r="GY766" s="27" t="s">
        <v>8</v>
      </c>
      <c r="GZ766" s="27" t="s">
        <v>7</v>
      </c>
      <c r="HA766" s="27" t="s">
        <v>8</v>
      </c>
      <c r="HF766" s="27" t="s">
        <v>7</v>
      </c>
      <c r="HG766" s="27" t="s">
        <v>8</v>
      </c>
      <c r="JL766" s="27" t="s">
        <v>7</v>
      </c>
      <c r="JM766" s="27" t="s">
        <v>8</v>
      </c>
      <c r="JX766" s="27" t="s">
        <v>7</v>
      </c>
      <c r="JY766" s="27" t="s">
        <v>8</v>
      </c>
      <c r="JZ766" s="27" t="s">
        <v>7</v>
      </c>
      <c r="KA766" s="27" t="s">
        <v>8</v>
      </c>
      <c r="KB766" s="27" t="s">
        <v>7</v>
      </c>
      <c r="KC766" s="27" t="s">
        <v>8</v>
      </c>
      <c r="KL766" s="18" t="s">
        <v>7</v>
      </c>
      <c r="KM766" s="27" t="s">
        <v>8</v>
      </c>
    </row>
    <row r="767" spans="1:305" x14ac:dyDescent="0.25">
      <c r="A767" s="7">
        <v>2.8311904379966554E-2</v>
      </c>
      <c r="B767"/>
      <c r="C767"/>
      <c r="D767"/>
      <c r="E767"/>
      <c r="F767" s="27" t="s">
        <v>7</v>
      </c>
      <c r="CQ767" s="27" t="s">
        <v>8</v>
      </c>
      <c r="CR767" s="27" t="s">
        <v>7</v>
      </c>
      <c r="DG767" s="27" t="s">
        <v>8</v>
      </c>
      <c r="DH767" s="27" t="s">
        <v>7</v>
      </c>
      <c r="DI767" s="27" t="s">
        <v>8</v>
      </c>
      <c r="DN767" s="27" t="s">
        <v>7</v>
      </c>
      <c r="DO767" s="27" t="s">
        <v>8</v>
      </c>
      <c r="EH767" s="27" t="s">
        <v>7</v>
      </c>
      <c r="EM767" s="27" t="s">
        <v>8</v>
      </c>
      <c r="GA767" s="27" t="s">
        <v>8</v>
      </c>
      <c r="GB767" s="27" t="s">
        <v>7</v>
      </c>
      <c r="GS767" s="27" t="s">
        <v>8</v>
      </c>
      <c r="GU767" s="27" t="s">
        <v>8</v>
      </c>
      <c r="GV767" s="27" t="s">
        <v>7</v>
      </c>
      <c r="GW767" s="27" t="s">
        <v>8</v>
      </c>
      <c r="GX767" s="27" t="s">
        <v>7</v>
      </c>
      <c r="GY767" s="27" t="s">
        <v>8</v>
      </c>
      <c r="GZ767" s="27" t="s">
        <v>7</v>
      </c>
      <c r="HA767" s="27" t="s">
        <v>8</v>
      </c>
      <c r="HF767" s="27" t="s">
        <v>7</v>
      </c>
      <c r="HG767" s="27" t="s">
        <v>8</v>
      </c>
      <c r="JL767" s="27" t="s">
        <v>7</v>
      </c>
      <c r="JM767" s="27" t="s">
        <v>8</v>
      </c>
      <c r="JX767" s="27" t="s">
        <v>7</v>
      </c>
      <c r="JY767" s="27" t="s">
        <v>8</v>
      </c>
      <c r="JZ767" s="27" t="s">
        <v>7</v>
      </c>
      <c r="KA767" s="27" t="s">
        <v>8</v>
      </c>
      <c r="KB767" s="27" t="s">
        <v>7</v>
      </c>
      <c r="KL767" s="27" t="s">
        <v>7</v>
      </c>
      <c r="KM767" s="27" t="s">
        <v>8</v>
      </c>
    </row>
    <row r="768" spans="1:305" x14ac:dyDescent="0.25">
      <c r="A768" s="7">
        <v>2.7756768999967207E-2</v>
      </c>
      <c r="B768"/>
      <c r="C768"/>
      <c r="D768"/>
      <c r="E768"/>
      <c r="F768" s="27" t="s">
        <v>7</v>
      </c>
      <c r="CQ768" s="27" t="s">
        <v>8</v>
      </c>
      <c r="CR768" s="27" t="s">
        <v>7</v>
      </c>
      <c r="DA768" s="27" t="s">
        <v>8</v>
      </c>
      <c r="DG768" s="27" t="s">
        <v>8</v>
      </c>
      <c r="DH768" s="27" t="s">
        <v>7</v>
      </c>
      <c r="DI768" s="27" t="s">
        <v>8</v>
      </c>
      <c r="DN768" s="27" t="s">
        <v>7</v>
      </c>
      <c r="DO768" s="27" t="s">
        <v>8</v>
      </c>
      <c r="EH768" s="27" t="s">
        <v>7</v>
      </c>
      <c r="EM768" s="27" t="s">
        <v>8</v>
      </c>
      <c r="EN768" s="27" t="s">
        <v>7</v>
      </c>
      <c r="GA768" s="27" t="s">
        <v>8</v>
      </c>
      <c r="GB768" s="27" t="s">
        <v>7</v>
      </c>
      <c r="GO768" s="27" t="s">
        <v>8</v>
      </c>
      <c r="GS768" s="27" t="s">
        <v>8</v>
      </c>
      <c r="GT768" s="27" t="s">
        <v>7</v>
      </c>
      <c r="GU768" s="27" t="s">
        <v>8</v>
      </c>
      <c r="GV768" s="27" t="s">
        <v>7</v>
      </c>
      <c r="GW768" s="27" t="s">
        <v>8</v>
      </c>
      <c r="GX768" s="27" t="s">
        <v>7</v>
      </c>
      <c r="GZ768" s="27" t="s">
        <v>7</v>
      </c>
      <c r="HF768" s="27" t="s">
        <v>7</v>
      </c>
      <c r="HG768" s="27" t="s">
        <v>8</v>
      </c>
      <c r="JL768" s="27" t="s">
        <v>7</v>
      </c>
      <c r="JM768" s="27" t="s">
        <v>8</v>
      </c>
      <c r="JX768" s="27" t="s">
        <v>7</v>
      </c>
      <c r="JY768" s="27" t="s">
        <v>8</v>
      </c>
      <c r="JZ768" s="27" t="s">
        <v>7</v>
      </c>
      <c r="KA768" s="27" t="s">
        <v>8</v>
      </c>
      <c r="KL768" s="27" t="s">
        <v>7</v>
      </c>
      <c r="KM768" s="27" t="s">
        <v>8</v>
      </c>
    </row>
    <row r="769" spans="1:299" x14ac:dyDescent="0.25">
      <c r="A769" s="7">
        <v>2.7212518627418834E-2</v>
      </c>
      <c r="B769"/>
      <c r="C769"/>
      <c r="D769"/>
      <c r="E769"/>
      <c r="F769" s="27" t="s">
        <v>7</v>
      </c>
      <c r="CQ769" s="27" t="s">
        <v>8</v>
      </c>
      <c r="CR769" s="27" t="s">
        <v>7</v>
      </c>
      <c r="DA769" s="27" t="s">
        <v>8</v>
      </c>
      <c r="DB769" s="27" t="s">
        <v>7</v>
      </c>
      <c r="DG769" s="27" t="s">
        <v>8</v>
      </c>
      <c r="DH769" s="27" t="s">
        <v>7</v>
      </c>
      <c r="DN769" s="27" t="s">
        <v>7</v>
      </c>
      <c r="DO769" s="27" t="s">
        <v>8</v>
      </c>
      <c r="EH769" s="27" t="s">
        <v>7</v>
      </c>
      <c r="EM769" s="27" t="s">
        <v>8</v>
      </c>
      <c r="EN769" s="27" t="s">
        <v>7</v>
      </c>
      <c r="GA769" s="27" t="s">
        <v>8</v>
      </c>
      <c r="GB769" s="27" t="s">
        <v>7</v>
      </c>
      <c r="GO769" s="27" t="s">
        <v>8</v>
      </c>
      <c r="GP769" s="27" t="s">
        <v>7</v>
      </c>
      <c r="GS769" s="27" t="s">
        <v>8</v>
      </c>
      <c r="GT769" s="27" t="s">
        <v>7</v>
      </c>
      <c r="GU769" s="27" t="s">
        <v>8</v>
      </c>
      <c r="GV769" s="27" t="s">
        <v>7</v>
      </c>
      <c r="GW769" s="27" t="s">
        <v>8</v>
      </c>
      <c r="HF769" s="27" t="s">
        <v>7</v>
      </c>
      <c r="HG769" s="27" t="s">
        <v>8</v>
      </c>
      <c r="JL769" s="27" t="s">
        <v>7</v>
      </c>
      <c r="JM769" s="27" t="s">
        <v>8</v>
      </c>
      <c r="JX769" s="27" t="s">
        <v>7</v>
      </c>
      <c r="JY769" s="27" t="s">
        <v>8</v>
      </c>
      <c r="JZ769" s="27" t="s">
        <v>7</v>
      </c>
      <c r="KL769" s="27" t="s">
        <v>7</v>
      </c>
      <c r="KM769" s="27" t="s">
        <v>8</v>
      </c>
    </row>
    <row r="770" spans="1:299" x14ac:dyDescent="0.25">
      <c r="A770" s="7">
        <v>2.6678939830802779E-2</v>
      </c>
      <c r="B770"/>
      <c r="C770"/>
      <c r="D770"/>
      <c r="E770"/>
      <c r="F770" s="27" t="s">
        <v>7</v>
      </c>
      <c r="CQ770" s="27" t="s">
        <v>8</v>
      </c>
      <c r="CR770" s="27" t="s">
        <v>7</v>
      </c>
      <c r="DA770" s="27" t="s">
        <v>8</v>
      </c>
      <c r="DB770" s="27" t="s">
        <v>7</v>
      </c>
      <c r="DG770" s="27" t="s">
        <v>8</v>
      </c>
      <c r="DN770" s="27" t="s">
        <v>7</v>
      </c>
      <c r="DO770" s="27" t="s">
        <v>8</v>
      </c>
      <c r="EH770" s="27" t="s">
        <v>7</v>
      </c>
      <c r="EM770" s="27" t="s">
        <v>8</v>
      </c>
      <c r="EN770" s="27" t="s">
        <v>7</v>
      </c>
      <c r="FI770" s="27" t="s">
        <v>8</v>
      </c>
      <c r="GA770" s="27" t="s">
        <v>8</v>
      </c>
      <c r="GB770" s="27" t="s">
        <v>7</v>
      </c>
      <c r="GO770" s="27" t="s">
        <v>8</v>
      </c>
      <c r="GP770" s="27" t="s">
        <v>7</v>
      </c>
      <c r="GQ770" s="27" t="s">
        <v>8</v>
      </c>
      <c r="GS770" s="27" t="s">
        <v>8</v>
      </c>
      <c r="GT770" s="27" t="s">
        <v>7</v>
      </c>
      <c r="GU770" s="27" t="s">
        <v>8</v>
      </c>
      <c r="GV770" s="27" t="s">
        <v>7</v>
      </c>
      <c r="GW770" s="27" t="s">
        <v>8</v>
      </c>
      <c r="HF770" s="27" t="s">
        <v>7</v>
      </c>
      <c r="HG770" s="27" t="s">
        <v>8</v>
      </c>
      <c r="JL770" s="27" t="s">
        <v>7</v>
      </c>
      <c r="JX770" s="27" t="s">
        <v>7</v>
      </c>
      <c r="JY770" s="27" t="s">
        <v>8</v>
      </c>
      <c r="KL770" s="27" t="s">
        <v>7</v>
      </c>
    </row>
    <row r="771" spans="1:299" x14ac:dyDescent="0.25">
      <c r="A771" s="7">
        <v>2.615582336353214E-2</v>
      </c>
      <c r="B771"/>
      <c r="C771"/>
      <c r="D771"/>
      <c r="E771"/>
      <c r="F771" s="27" t="s">
        <v>7</v>
      </c>
      <c r="CQ771" s="27" t="s">
        <v>8</v>
      </c>
      <c r="CR771" s="27" t="s">
        <v>7</v>
      </c>
      <c r="CU771" s="27" t="s">
        <v>8</v>
      </c>
      <c r="DA771" s="27" t="s">
        <v>8</v>
      </c>
      <c r="DB771" s="27" t="s">
        <v>7</v>
      </c>
      <c r="DG771" s="27" t="s">
        <v>8</v>
      </c>
      <c r="DN771" s="27" t="s">
        <v>7</v>
      </c>
      <c r="DO771" s="27" t="s">
        <v>8</v>
      </c>
      <c r="EH771" s="27" t="s">
        <v>7</v>
      </c>
      <c r="EM771" s="27" t="s">
        <v>8</v>
      </c>
      <c r="EN771" s="27" t="s">
        <v>7</v>
      </c>
      <c r="FI771" s="27" t="s">
        <v>8</v>
      </c>
      <c r="FJ771" s="27" t="s">
        <v>7</v>
      </c>
      <c r="FW771" s="27" t="s">
        <v>8</v>
      </c>
      <c r="GA771" s="27" t="s">
        <v>8</v>
      </c>
      <c r="GB771" s="27" t="s">
        <v>7</v>
      </c>
      <c r="GO771" s="27" t="s">
        <v>8</v>
      </c>
      <c r="GP771" s="27" t="s">
        <v>7</v>
      </c>
      <c r="GQ771" s="27" t="s">
        <v>8</v>
      </c>
      <c r="GR771" s="27" t="s">
        <v>7</v>
      </c>
      <c r="GS771" s="27" t="s">
        <v>8</v>
      </c>
      <c r="GT771" s="27" t="s">
        <v>7</v>
      </c>
      <c r="GU771" s="27" t="s">
        <v>8</v>
      </c>
      <c r="GV771" s="27" t="s">
        <v>7</v>
      </c>
      <c r="GW771" s="27" t="s">
        <v>8</v>
      </c>
      <c r="HF771" s="27" t="s">
        <v>7</v>
      </c>
      <c r="JX771" s="27" t="s">
        <v>7</v>
      </c>
      <c r="JY771" s="27" t="s">
        <v>8</v>
      </c>
    </row>
    <row r="772" spans="1:299" x14ac:dyDescent="0.25">
      <c r="A772" s="7">
        <v>2.5642964081894253E-2</v>
      </c>
      <c r="B772"/>
      <c r="C772"/>
      <c r="D772"/>
      <c r="E772"/>
      <c r="F772" s="27" t="s">
        <v>7</v>
      </c>
      <c r="CQ772" s="27" t="s">
        <v>8</v>
      </c>
      <c r="CR772" s="27" t="s">
        <v>7</v>
      </c>
      <c r="CU772" s="27" t="s">
        <v>8</v>
      </c>
      <c r="CV772" s="27" t="s">
        <v>7</v>
      </c>
      <c r="DA772" s="27" t="s">
        <v>8</v>
      </c>
      <c r="DB772" s="27" t="s">
        <v>7</v>
      </c>
      <c r="DG772" s="27" t="s">
        <v>8</v>
      </c>
      <c r="DN772" s="27" t="s">
        <v>7</v>
      </c>
      <c r="DO772" s="27" t="s">
        <v>8</v>
      </c>
      <c r="EH772" s="27" t="s">
        <v>7</v>
      </c>
      <c r="EM772" s="27" t="s">
        <v>8</v>
      </c>
      <c r="EN772" s="27" t="s">
        <v>7</v>
      </c>
      <c r="FI772" s="27" t="s">
        <v>8</v>
      </c>
      <c r="FJ772" s="27" t="s">
        <v>7</v>
      </c>
      <c r="FK772" s="27" t="s">
        <v>8</v>
      </c>
      <c r="FM772" s="27" t="s">
        <v>8</v>
      </c>
      <c r="FW772" s="27" t="s">
        <v>8</v>
      </c>
      <c r="FX772" s="27" t="s">
        <v>7</v>
      </c>
      <c r="GA772" s="27" t="s">
        <v>8</v>
      </c>
      <c r="GB772" s="27" t="s">
        <v>7</v>
      </c>
      <c r="GI772" s="27" t="s">
        <v>8</v>
      </c>
      <c r="GO772" s="27" t="s">
        <v>8</v>
      </c>
      <c r="GP772" s="27" t="s">
        <v>7</v>
      </c>
      <c r="GQ772" s="27" t="s">
        <v>8</v>
      </c>
      <c r="GR772" s="27" t="s">
        <v>7</v>
      </c>
      <c r="GS772" s="27" t="s">
        <v>8</v>
      </c>
      <c r="GT772" s="27" t="s">
        <v>7</v>
      </c>
      <c r="GU772" s="27" t="s">
        <v>8</v>
      </c>
      <c r="GV772" s="27" t="s">
        <v>7</v>
      </c>
      <c r="GW772" s="27" t="s">
        <v>8</v>
      </c>
      <c r="JX772" s="27" t="s">
        <v>7</v>
      </c>
      <c r="JY772" s="27" t="s">
        <v>8</v>
      </c>
    </row>
    <row r="773" spans="1:299" x14ac:dyDescent="0.25">
      <c r="A773" s="7">
        <v>2.5140160864602207E-2</v>
      </c>
      <c r="B773"/>
      <c r="C773"/>
      <c r="D773"/>
      <c r="E773"/>
      <c r="F773" s="27" t="s">
        <v>7</v>
      </c>
      <c r="CQ773" s="27" t="s">
        <v>8</v>
      </c>
      <c r="CR773" s="27" t="s">
        <v>7</v>
      </c>
      <c r="CU773" s="27" t="s">
        <v>8</v>
      </c>
      <c r="CV773" s="27" t="s">
        <v>7</v>
      </c>
      <c r="DA773" s="27" t="s">
        <v>8</v>
      </c>
      <c r="DB773" s="27" t="s">
        <v>7</v>
      </c>
      <c r="DG773" s="27" t="s">
        <v>8</v>
      </c>
      <c r="DN773" s="27" t="s">
        <v>7</v>
      </c>
      <c r="DO773" s="27" t="s">
        <v>8</v>
      </c>
      <c r="EH773" s="27" t="s">
        <v>7</v>
      </c>
      <c r="EM773" s="27" t="s">
        <v>8</v>
      </c>
      <c r="EN773" s="27" t="s">
        <v>7</v>
      </c>
      <c r="FI773" s="27" t="s">
        <v>8</v>
      </c>
      <c r="FJ773" s="27" t="s">
        <v>7</v>
      </c>
      <c r="FK773" s="27" t="s">
        <v>8</v>
      </c>
      <c r="FL773" s="27" t="s">
        <v>7</v>
      </c>
      <c r="FM773" s="27" t="s">
        <v>8</v>
      </c>
      <c r="FN773" s="27" t="s">
        <v>7</v>
      </c>
      <c r="FW773" s="27" t="s">
        <v>8</v>
      </c>
      <c r="FX773" s="27" t="s">
        <v>7</v>
      </c>
      <c r="GA773" s="27" t="s">
        <v>8</v>
      </c>
      <c r="GB773" s="27" t="s">
        <v>7</v>
      </c>
      <c r="GG773" s="27" t="s">
        <v>8</v>
      </c>
      <c r="GI773" s="27" t="s">
        <v>8</v>
      </c>
      <c r="GJ773" s="27" t="s">
        <v>7</v>
      </c>
      <c r="GO773" s="27" t="s">
        <v>8</v>
      </c>
      <c r="GP773" s="27" t="s">
        <v>7</v>
      </c>
      <c r="GQ773" s="27" t="s">
        <v>8</v>
      </c>
      <c r="GR773" s="27" t="s">
        <v>7</v>
      </c>
      <c r="GS773" s="27" t="s">
        <v>8</v>
      </c>
      <c r="GT773" s="27" t="s">
        <v>7</v>
      </c>
      <c r="GU773" s="27" t="s">
        <v>8</v>
      </c>
      <c r="GV773" s="27" t="s">
        <v>7</v>
      </c>
      <c r="JX773" s="27" t="s">
        <v>7</v>
      </c>
      <c r="JY773" s="27" t="s">
        <v>8</v>
      </c>
    </row>
    <row r="774" spans="1:299" x14ac:dyDescent="0.25">
      <c r="A774" s="7">
        <v>2.4647216533923735E-2</v>
      </c>
      <c r="B774"/>
      <c r="C774"/>
      <c r="D774"/>
      <c r="E774"/>
      <c r="F774" s="27" t="s">
        <v>7</v>
      </c>
      <c r="CQ774" s="27" t="s">
        <v>8</v>
      </c>
      <c r="CR774" s="27" t="s">
        <v>7</v>
      </c>
      <c r="CU774" s="27" t="s">
        <v>8</v>
      </c>
      <c r="CV774" s="27" t="s">
        <v>7</v>
      </c>
      <c r="DA774" s="27" t="s">
        <v>8</v>
      </c>
      <c r="DB774" s="27" t="s">
        <v>7</v>
      </c>
      <c r="DG774" s="27" t="s">
        <v>8</v>
      </c>
      <c r="DN774" s="27" t="s">
        <v>7</v>
      </c>
      <c r="DO774" s="27" t="s">
        <v>8</v>
      </c>
      <c r="EH774" s="27" t="s">
        <v>7</v>
      </c>
      <c r="EM774" s="27" t="s">
        <v>8</v>
      </c>
      <c r="EN774" s="27" t="s">
        <v>7</v>
      </c>
      <c r="FI774" s="27" t="s">
        <v>8</v>
      </c>
      <c r="FJ774" s="27" t="s">
        <v>7</v>
      </c>
      <c r="FK774" s="27" t="s">
        <v>8</v>
      </c>
      <c r="FL774" s="27" t="s">
        <v>7</v>
      </c>
      <c r="FM774" s="27" t="s">
        <v>8</v>
      </c>
      <c r="FN774" s="27" t="s">
        <v>7</v>
      </c>
      <c r="FU774" s="27" t="s">
        <v>8</v>
      </c>
      <c r="FW774" s="27" t="s">
        <v>8</v>
      </c>
      <c r="FX774" s="27" t="s">
        <v>7</v>
      </c>
      <c r="GA774" s="27" t="s">
        <v>8</v>
      </c>
      <c r="GB774" s="27" t="s">
        <v>7</v>
      </c>
      <c r="GC774" s="27" t="s">
        <v>8</v>
      </c>
      <c r="GG774" s="27" t="s">
        <v>8</v>
      </c>
      <c r="GH774" s="27" t="s">
        <v>7</v>
      </c>
      <c r="GI774" s="27" t="s">
        <v>8</v>
      </c>
      <c r="GJ774" s="27" t="s">
        <v>7</v>
      </c>
      <c r="GM774" s="27" t="s">
        <v>8</v>
      </c>
      <c r="GO774" s="27" t="s">
        <v>8</v>
      </c>
      <c r="GP774" s="27" t="s">
        <v>7</v>
      </c>
      <c r="GQ774" s="27" t="s">
        <v>8</v>
      </c>
      <c r="GR774" s="27" t="s">
        <v>7</v>
      </c>
      <c r="GS774" s="27" t="s">
        <v>8</v>
      </c>
      <c r="GT774" s="27" t="s">
        <v>7</v>
      </c>
      <c r="GU774" s="27" t="s">
        <v>8</v>
      </c>
      <c r="JX774" s="27" t="s">
        <v>7</v>
      </c>
      <c r="JY774" s="27" t="s">
        <v>8</v>
      </c>
    </row>
    <row r="775" spans="1:299" x14ac:dyDescent="0.25">
      <c r="A775" s="7">
        <v>2.4163937778356601E-2</v>
      </c>
      <c r="B775"/>
      <c r="C775"/>
      <c r="D775"/>
      <c r="E775"/>
      <c r="F775" s="27" t="s">
        <v>7</v>
      </c>
      <c r="CQ775" s="27" t="s">
        <v>8</v>
      </c>
      <c r="CR775" s="27" t="s">
        <v>7</v>
      </c>
      <c r="CS775" s="27" t="s">
        <v>8</v>
      </c>
      <c r="CU775" s="27" t="s">
        <v>8</v>
      </c>
      <c r="CV775" s="27" t="s">
        <v>7</v>
      </c>
      <c r="CY775" s="27" t="s">
        <v>8</v>
      </c>
      <c r="DA775" s="27" t="s">
        <v>8</v>
      </c>
      <c r="DB775" s="27" t="s">
        <v>7</v>
      </c>
      <c r="DE775" s="27" t="s">
        <v>8</v>
      </c>
      <c r="DG775" s="27" t="s">
        <v>8</v>
      </c>
      <c r="DN775" s="27" t="s">
        <v>7</v>
      </c>
      <c r="DO775" s="27" t="s">
        <v>8</v>
      </c>
      <c r="EH775" s="27" t="s">
        <v>7</v>
      </c>
      <c r="EM775" s="27" t="s">
        <v>8</v>
      </c>
      <c r="EN775" s="27" t="s">
        <v>7</v>
      </c>
      <c r="FI775" s="27" t="s">
        <v>8</v>
      </c>
      <c r="FJ775" s="27" t="s">
        <v>7</v>
      </c>
      <c r="FK775" s="27" t="s">
        <v>8</v>
      </c>
      <c r="FL775" s="27" t="s">
        <v>7</v>
      </c>
      <c r="FM775" s="27" t="s">
        <v>8</v>
      </c>
      <c r="FN775" s="27" t="s">
        <v>7</v>
      </c>
      <c r="FU775" s="27" t="s">
        <v>8</v>
      </c>
      <c r="FV775" s="27" t="s">
        <v>7</v>
      </c>
      <c r="FW775" s="27" t="s">
        <v>8</v>
      </c>
      <c r="FX775" s="27" t="s">
        <v>7</v>
      </c>
      <c r="GA775" s="27" t="s">
        <v>8</v>
      </c>
      <c r="GB775" s="27" t="s">
        <v>7</v>
      </c>
      <c r="GC775" s="27" t="s">
        <v>8</v>
      </c>
      <c r="GD775" s="27" t="s">
        <v>7</v>
      </c>
      <c r="GG775" s="27" t="s">
        <v>8</v>
      </c>
      <c r="GH775" s="27" t="s">
        <v>7</v>
      </c>
      <c r="GI775" s="27" t="s">
        <v>8</v>
      </c>
      <c r="GJ775" s="27" t="s">
        <v>7</v>
      </c>
      <c r="GM775" s="27" t="s">
        <v>8</v>
      </c>
      <c r="GN775" s="27" t="s">
        <v>7</v>
      </c>
      <c r="GO775" s="27" t="s">
        <v>8</v>
      </c>
      <c r="GP775" s="27" t="s">
        <v>7</v>
      </c>
      <c r="GQ775" s="27" t="s">
        <v>8</v>
      </c>
      <c r="GR775" s="27" t="s">
        <v>7</v>
      </c>
      <c r="GS775" s="27" t="s">
        <v>8</v>
      </c>
      <c r="GT775" s="27" t="s">
        <v>7</v>
      </c>
      <c r="GU775" s="27" t="s">
        <v>8</v>
      </c>
      <c r="JX775" s="27" t="s">
        <v>7</v>
      </c>
      <c r="JY775" s="27" t="s">
        <v>8</v>
      </c>
    </row>
    <row r="776" spans="1:299" x14ac:dyDescent="0.25">
      <c r="A776" s="7">
        <v>2.3690135076820197E-2</v>
      </c>
      <c r="B776"/>
      <c r="C776"/>
      <c r="D776"/>
      <c r="E776"/>
      <c r="F776" s="27" t="s">
        <v>7</v>
      </c>
      <c r="CQ776" s="27" t="s">
        <v>8</v>
      </c>
      <c r="CR776" s="27" t="s">
        <v>7</v>
      </c>
      <c r="CS776" s="27" t="s">
        <v>8</v>
      </c>
      <c r="CT776" s="27" t="s">
        <v>7</v>
      </c>
      <c r="CU776" s="27" t="s">
        <v>8</v>
      </c>
      <c r="CV776" s="27" t="s">
        <v>7</v>
      </c>
      <c r="CW776" s="27" t="s">
        <v>8</v>
      </c>
      <c r="CY776" s="27" t="s">
        <v>8</v>
      </c>
      <c r="CZ776" s="27" t="s">
        <v>7</v>
      </c>
      <c r="DA776" s="27" t="s">
        <v>8</v>
      </c>
      <c r="DB776" s="27" t="s">
        <v>7</v>
      </c>
      <c r="DC776" s="27" t="s">
        <v>8</v>
      </c>
      <c r="DE776" s="27" t="s">
        <v>8</v>
      </c>
      <c r="DF776" s="27" t="s">
        <v>7</v>
      </c>
      <c r="DG776" s="27" t="s">
        <v>8</v>
      </c>
      <c r="DN776" s="27" t="s">
        <v>7</v>
      </c>
      <c r="DO776" s="27" t="s">
        <v>8</v>
      </c>
      <c r="EH776" s="27" t="s">
        <v>7</v>
      </c>
      <c r="EI776" s="27" t="s">
        <v>8</v>
      </c>
      <c r="EK776" s="27" t="s">
        <v>8</v>
      </c>
      <c r="EM776" s="27" t="s">
        <v>8</v>
      </c>
      <c r="EN776" s="27" t="s">
        <v>7</v>
      </c>
      <c r="FI776" s="27" t="s">
        <v>8</v>
      </c>
      <c r="FJ776" s="27" t="s">
        <v>7</v>
      </c>
      <c r="FK776" s="27" t="s">
        <v>8</v>
      </c>
      <c r="FL776" s="27" t="s">
        <v>7</v>
      </c>
      <c r="FM776" s="27" t="s">
        <v>8</v>
      </c>
      <c r="FN776" s="27" t="s">
        <v>7</v>
      </c>
      <c r="FO776" s="27" t="s">
        <v>8</v>
      </c>
      <c r="FS776" s="27" t="s">
        <v>8</v>
      </c>
      <c r="FU776" s="27" t="s">
        <v>8</v>
      </c>
      <c r="FV776" s="27" t="s">
        <v>7</v>
      </c>
      <c r="FW776" s="27" t="s">
        <v>8</v>
      </c>
      <c r="FX776" s="27" t="s">
        <v>7</v>
      </c>
      <c r="GA776" s="27" t="s">
        <v>8</v>
      </c>
      <c r="GB776" s="27" t="s">
        <v>7</v>
      </c>
      <c r="GC776" s="27" t="s">
        <v>8</v>
      </c>
      <c r="GD776" s="27" t="s">
        <v>7</v>
      </c>
      <c r="GE776" s="27" t="s">
        <v>8</v>
      </c>
      <c r="GG776" s="27" t="s">
        <v>8</v>
      </c>
      <c r="GH776" s="27" t="s">
        <v>7</v>
      </c>
      <c r="GI776" s="27" t="s">
        <v>8</v>
      </c>
      <c r="GJ776" s="27" t="s">
        <v>7</v>
      </c>
      <c r="GM776" s="27" t="s">
        <v>8</v>
      </c>
      <c r="GN776" s="27" t="s">
        <v>7</v>
      </c>
      <c r="GO776" s="27" t="s">
        <v>8</v>
      </c>
      <c r="GP776" s="27" t="s">
        <v>7</v>
      </c>
      <c r="GR776" s="27" t="s">
        <v>7</v>
      </c>
      <c r="GS776" s="27" t="s">
        <v>8</v>
      </c>
      <c r="GT776" s="27" t="s">
        <v>7</v>
      </c>
      <c r="GU776" s="27" t="s">
        <v>8</v>
      </c>
      <c r="JX776" s="27" t="s">
        <v>7</v>
      </c>
      <c r="JY776" s="27" t="s">
        <v>8</v>
      </c>
    </row>
    <row r="777" spans="1:299" x14ac:dyDescent="0.25">
      <c r="A777" s="7">
        <v>2.3225622624333527E-2</v>
      </c>
      <c r="B777"/>
      <c r="C777"/>
      <c r="D777"/>
      <c r="E777"/>
      <c r="F777" s="27" t="s">
        <v>7</v>
      </c>
      <c r="CQ777" s="27" t="s">
        <v>8</v>
      </c>
      <c r="CR777" s="27" t="s">
        <v>7</v>
      </c>
      <c r="CS777" s="27" t="s">
        <v>8</v>
      </c>
      <c r="CT777" s="27" t="s">
        <v>7</v>
      </c>
      <c r="CU777" s="27" t="s">
        <v>8</v>
      </c>
      <c r="CV777" s="27" t="s">
        <v>7</v>
      </c>
      <c r="CW777" s="27" t="s">
        <v>8</v>
      </c>
      <c r="CX777" s="27" t="s">
        <v>7</v>
      </c>
      <c r="CY777" s="27" t="s">
        <v>8</v>
      </c>
      <c r="CZ777" s="27" t="s">
        <v>7</v>
      </c>
      <c r="DA777" s="27" t="s">
        <v>8</v>
      </c>
      <c r="DB777" s="27" t="s">
        <v>7</v>
      </c>
      <c r="DC777" s="27" t="s">
        <v>8</v>
      </c>
      <c r="DD777" s="27" t="s">
        <v>7</v>
      </c>
      <c r="DE777" s="27" t="s">
        <v>8</v>
      </c>
      <c r="DF777" s="27" t="s">
        <v>7</v>
      </c>
      <c r="DG777" s="27" t="s">
        <v>8</v>
      </c>
      <c r="DN777" s="27" t="s">
        <v>7</v>
      </c>
      <c r="DO777" s="27" t="s">
        <v>8</v>
      </c>
      <c r="EH777" s="27" t="s">
        <v>7</v>
      </c>
      <c r="EI777" s="27" t="s">
        <v>8</v>
      </c>
      <c r="EJ777" s="27" t="s">
        <v>7</v>
      </c>
      <c r="EK777" s="27" t="s">
        <v>8</v>
      </c>
      <c r="EL777" s="27" t="s">
        <v>7</v>
      </c>
      <c r="EM777" s="27" t="s">
        <v>8</v>
      </c>
      <c r="EN777" s="27" t="s">
        <v>7</v>
      </c>
      <c r="EO777" s="27" t="s">
        <v>8</v>
      </c>
      <c r="FI777" s="27" t="s">
        <v>8</v>
      </c>
      <c r="FJ777" s="27" t="s">
        <v>7</v>
      </c>
      <c r="FK777" s="27" t="s">
        <v>8</v>
      </c>
      <c r="FL777" s="27" t="s">
        <v>7</v>
      </c>
      <c r="FM777" s="27" t="s">
        <v>8</v>
      </c>
      <c r="FN777" s="27" t="s">
        <v>7</v>
      </c>
      <c r="FO777" s="27" t="s">
        <v>8</v>
      </c>
      <c r="FP777" s="27" t="s">
        <v>7</v>
      </c>
      <c r="FS777" s="27" t="s">
        <v>8</v>
      </c>
      <c r="FT777" s="27" t="s">
        <v>7</v>
      </c>
      <c r="FU777" s="27" t="s">
        <v>8</v>
      </c>
      <c r="FV777" s="27" t="s">
        <v>7</v>
      </c>
      <c r="FW777" s="27" t="s">
        <v>8</v>
      </c>
      <c r="FX777" s="27" t="s">
        <v>7</v>
      </c>
      <c r="GA777" s="27" t="s">
        <v>8</v>
      </c>
      <c r="GB777" s="27" t="s">
        <v>7</v>
      </c>
      <c r="GD777" s="27" t="s">
        <v>7</v>
      </c>
      <c r="GE777" s="27" t="s">
        <v>8</v>
      </c>
      <c r="GF777" s="27" t="s">
        <v>7</v>
      </c>
      <c r="GG777" s="27" t="s">
        <v>8</v>
      </c>
      <c r="GH777" s="27" t="s">
        <v>7</v>
      </c>
      <c r="GI777" s="27" t="s">
        <v>8</v>
      </c>
      <c r="GJ777" s="27" t="s">
        <v>7</v>
      </c>
      <c r="GM777" s="27" t="s">
        <v>8</v>
      </c>
      <c r="GN777" s="27" t="s">
        <v>7</v>
      </c>
      <c r="GO777" s="27" t="s">
        <v>8</v>
      </c>
      <c r="GR777" s="27" t="s">
        <v>7</v>
      </c>
      <c r="GS777" s="27" t="s">
        <v>8</v>
      </c>
      <c r="GT777" s="27" t="s">
        <v>7</v>
      </c>
      <c r="GU777" s="27" t="s">
        <v>8</v>
      </c>
      <c r="JX777" s="27" t="s">
        <v>7</v>
      </c>
      <c r="JY777" s="27" t="s">
        <v>8</v>
      </c>
    </row>
    <row r="778" spans="1:299" x14ac:dyDescent="0.25">
      <c r="A778" s="7">
        <v>2.2770218259150519E-2</v>
      </c>
      <c r="B778"/>
      <c r="C778"/>
      <c r="D778"/>
      <c r="E778"/>
      <c r="F778" s="27" t="s">
        <v>7</v>
      </c>
      <c r="Y778" s="27" t="s">
        <v>8</v>
      </c>
      <c r="CQ778" s="27" t="s">
        <v>8</v>
      </c>
      <c r="CR778" s="27" t="s">
        <v>7</v>
      </c>
      <c r="CS778" s="27" t="s">
        <v>8</v>
      </c>
      <c r="CT778" s="27" t="s">
        <v>7</v>
      </c>
      <c r="CU778" s="27" t="s">
        <v>8</v>
      </c>
      <c r="CV778" s="27" t="s">
        <v>7</v>
      </c>
      <c r="CW778" s="27" t="s">
        <v>8</v>
      </c>
      <c r="CX778" s="27" t="s">
        <v>7</v>
      </c>
      <c r="CY778" s="27" t="s">
        <v>8</v>
      </c>
      <c r="CZ778" s="27" t="s">
        <v>7</v>
      </c>
      <c r="DA778" s="27" t="s">
        <v>8</v>
      </c>
      <c r="DB778" s="27" t="s">
        <v>7</v>
      </c>
      <c r="DC778" s="27" t="s">
        <v>8</v>
      </c>
      <c r="DD778" s="27" t="s">
        <v>7</v>
      </c>
      <c r="DE778" s="27" t="s">
        <v>8</v>
      </c>
      <c r="DF778" s="27" t="s">
        <v>7</v>
      </c>
      <c r="DG778" s="27" t="s">
        <v>8</v>
      </c>
      <c r="DN778" s="27" t="s">
        <v>7</v>
      </c>
      <c r="DO778" s="27" t="s">
        <v>8</v>
      </c>
      <c r="EH778" s="27" t="s">
        <v>7</v>
      </c>
      <c r="EI778" s="27" t="s">
        <v>8</v>
      </c>
      <c r="EJ778" s="27" t="s">
        <v>7</v>
      </c>
      <c r="EK778" s="27" t="s">
        <v>8</v>
      </c>
      <c r="EL778" s="27" t="s">
        <v>7</v>
      </c>
      <c r="EM778" s="27" t="s">
        <v>8</v>
      </c>
      <c r="EN778" s="27" t="s">
        <v>7</v>
      </c>
      <c r="EO778" s="27" t="s">
        <v>8</v>
      </c>
      <c r="EP778" s="27" t="s">
        <v>7</v>
      </c>
      <c r="FI778" s="27" t="s">
        <v>8</v>
      </c>
      <c r="FJ778" s="27" t="s">
        <v>7</v>
      </c>
      <c r="FK778" s="27" t="s">
        <v>8</v>
      </c>
      <c r="FL778" s="27" t="s">
        <v>7</v>
      </c>
      <c r="FM778" s="27" t="s">
        <v>8</v>
      </c>
      <c r="FN778" s="27" t="s">
        <v>7</v>
      </c>
      <c r="FO778" s="27" t="s">
        <v>8</v>
      </c>
      <c r="FP778" s="27" t="s">
        <v>7</v>
      </c>
      <c r="FS778" s="27" t="s">
        <v>8</v>
      </c>
      <c r="FT778" s="27" t="s">
        <v>7</v>
      </c>
      <c r="FU778" s="27" t="s">
        <v>8</v>
      </c>
      <c r="FV778" s="27" t="s">
        <v>7</v>
      </c>
      <c r="FX778" s="27" t="s">
        <v>7</v>
      </c>
      <c r="GA778" s="27" t="s">
        <v>8</v>
      </c>
      <c r="GD778" s="27" t="s">
        <v>7</v>
      </c>
      <c r="GE778" s="27" t="s">
        <v>8</v>
      </c>
      <c r="GF778" s="27" t="s">
        <v>7</v>
      </c>
      <c r="GG778" s="27" t="s">
        <v>8</v>
      </c>
      <c r="GH778" s="27" t="s">
        <v>7</v>
      </c>
      <c r="GI778" s="27" t="s">
        <v>8</v>
      </c>
      <c r="GJ778" s="27" t="s">
        <v>7</v>
      </c>
      <c r="GM778" s="27" t="s">
        <v>8</v>
      </c>
      <c r="GN778" s="27" t="s">
        <v>7</v>
      </c>
      <c r="GO778" s="27" t="s">
        <v>8</v>
      </c>
      <c r="GR778" s="27" t="s">
        <v>7</v>
      </c>
      <c r="GS778" s="27" t="s">
        <v>8</v>
      </c>
      <c r="GT778" s="27" t="s">
        <v>7</v>
      </c>
      <c r="JX778" s="27" t="s">
        <v>7</v>
      </c>
    </row>
    <row r="779" spans="1:299" x14ac:dyDescent="0.25">
      <c r="A779" s="7">
        <v>2.2323743391324039E-2</v>
      </c>
      <c r="B779"/>
      <c r="C779"/>
      <c r="D779"/>
      <c r="E779"/>
      <c r="F779" s="27" t="s">
        <v>7</v>
      </c>
      <c r="Y779" s="27" t="s">
        <v>8</v>
      </c>
      <c r="Z779" s="27" t="s">
        <v>7</v>
      </c>
      <c r="CQ779" s="27" t="s">
        <v>8</v>
      </c>
      <c r="CR779" s="27" t="s">
        <v>7</v>
      </c>
      <c r="CS779" s="27" t="s">
        <v>8</v>
      </c>
      <c r="CT779" s="27" t="s">
        <v>7</v>
      </c>
      <c r="CU779" s="27" t="s">
        <v>8</v>
      </c>
      <c r="CV779" s="27" t="s">
        <v>7</v>
      </c>
      <c r="CW779" s="27" t="s">
        <v>8</v>
      </c>
      <c r="CX779" s="27" t="s">
        <v>7</v>
      </c>
      <c r="CY779" s="27" t="s">
        <v>8</v>
      </c>
      <c r="CZ779" s="27" t="s">
        <v>7</v>
      </c>
      <c r="DA779" s="27" t="s">
        <v>8</v>
      </c>
      <c r="DB779" s="27" t="s">
        <v>7</v>
      </c>
      <c r="DC779" s="27" t="s">
        <v>8</v>
      </c>
      <c r="DD779" s="27" t="s">
        <v>7</v>
      </c>
      <c r="DE779" s="27" t="s">
        <v>8</v>
      </c>
      <c r="DF779" s="27" t="s">
        <v>7</v>
      </c>
      <c r="DG779" s="27" t="s">
        <v>8</v>
      </c>
      <c r="DN779" s="27" t="s">
        <v>7</v>
      </c>
      <c r="EH779" s="27" t="s">
        <v>7</v>
      </c>
      <c r="EI779" s="27" t="s">
        <v>8</v>
      </c>
      <c r="EJ779" s="27" t="s">
        <v>7</v>
      </c>
      <c r="EK779" s="27" t="s">
        <v>8</v>
      </c>
      <c r="EL779" s="27" t="s">
        <v>7</v>
      </c>
      <c r="EM779" s="27" t="s">
        <v>8</v>
      </c>
      <c r="EN779" s="27" t="s">
        <v>7</v>
      </c>
      <c r="EO779" s="27" t="s">
        <v>8</v>
      </c>
      <c r="EP779" s="27" t="s">
        <v>7</v>
      </c>
      <c r="FG779" s="27" t="s">
        <v>8</v>
      </c>
      <c r="FI779" s="27" t="s">
        <v>8</v>
      </c>
      <c r="FJ779" s="27" t="s">
        <v>7</v>
      </c>
      <c r="FK779" s="27" t="s">
        <v>8</v>
      </c>
      <c r="FL779" s="27" t="s">
        <v>7</v>
      </c>
      <c r="FN779" s="27" t="s">
        <v>7</v>
      </c>
      <c r="FP779" s="27" t="s">
        <v>7</v>
      </c>
      <c r="FQ779" s="27" t="s">
        <v>8</v>
      </c>
      <c r="FS779" s="27" t="s">
        <v>8</v>
      </c>
      <c r="FT779" s="27" t="s">
        <v>7</v>
      </c>
      <c r="FX779" s="27" t="s">
        <v>7</v>
      </c>
      <c r="GA779" s="27" t="s">
        <v>8</v>
      </c>
      <c r="GD779" s="27" t="s">
        <v>7</v>
      </c>
      <c r="GE779" s="27" t="s">
        <v>8</v>
      </c>
      <c r="GF779" s="27" t="s">
        <v>7</v>
      </c>
      <c r="GG779" s="27" t="s">
        <v>8</v>
      </c>
      <c r="GH779" s="27" t="s">
        <v>7</v>
      </c>
      <c r="GI779" s="27" t="s">
        <v>8</v>
      </c>
      <c r="GJ779" s="27" t="s">
        <v>7</v>
      </c>
      <c r="GM779" s="27" t="s">
        <v>8</v>
      </c>
      <c r="GN779" s="27" t="s">
        <v>7</v>
      </c>
      <c r="GR779" s="27" t="s">
        <v>7</v>
      </c>
    </row>
    <row r="780" spans="1:299" x14ac:dyDescent="0.25">
      <c r="A780" s="7">
        <v>2.188602293267063E-2</v>
      </c>
      <c r="B780"/>
      <c r="C780"/>
      <c r="D780"/>
      <c r="E780"/>
      <c r="F780" s="27" t="s">
        <v>7</v>
      </c>
      <c r="Y780" s="27" t="s">
        <v>8</v>
      </c>
      <c r="Z780" s="27" t="s">
        <v>7</v>
      </c>
      <c r="CQ780" s="27" t="s">
        <v>8</v>
      </c>
      <c r="CR780" s="27" t="s">
        <v>7</v>
      </c>
      <c r="CT780" s="27" t="s">
        <v>7</v>
      </c>
      <c r="CU780" s="27" t="s">
        <v>8</v>
      </c>
      <c r="CV780" s="27" t="s">
        <v>7</v>
      </c>
      <c r="CW780" s="27" t="s">
        <v>8</v>
      </c>
      <c r="CX780" s="27" t="s">
        <v>7</v>
      </c>
      <c r="CZ780" s="27" t="s">
        <v>7</v>
      </c>
      <c r="DB780" s="27" t="s">
        <v>7</v>
      </c>
      <c r="DC780" s="27" t="s">
        <v>8</v>
      </c>
      <c r="DD780" s="27" t="s">
        <v>7</v>
      </c>
      <c r="DE780" s="27" t="s">
        <v>8</v>
      </c>
      <c r="DF780" s="27" t="s">
        <v>7</v>
      </c>
      <c r="DG780" s="27" t="s">
        <v>8</v>
      </c>
      <c r="EH780" s="27" t="s">
        <v>7</v>
      </c>
      <c r="EI780" s="27" t="s">
        <v>8</v>
      </c>
      <c r="EJ780" s="27" t="s">
        <v>7</v>
      </c>
      <c r="EK780" s="27" t="s">
        <v>8</v>
      </c>
      <c r="EL780" s="27" t="s">
        <v>7</v>
      </c>
      <c r="EM780" s="27" t="s">
        <v>8</v>
      </c>
      <c r="EN780" s="27" t="s">
        <v>7</v>
      </c>
      <c r="EO780" s="27" t="s">
        <v>8</v>
      </c>
      <c r="EP780" s="27" t="s">
        <v>7</v>
      </c>
      <c r="ES780" s="27" t="s">
        <v>8</v>
      </c>
      <c r="FG780" s="27" t="s">
        <v>8</v>
      </c>
      <c r="FH780" s="27" t="s">
        <v>7</v>
      </c>
      <c r="FI780" s="27" t="s">
        <v>8</v>
      </c>
      <c r="FJ780" s="27" t="s">
        <v>7</v>
      </c>
      <c r="FK780" s="27" t="s">
        <v>8</v>
      </c>
      <c r="FP780" s="27" t="s">
        <v>7</v>
      </c>
      <c r="FQ780" s="27" t="s">
        <v>8</v>
      </c>
      <c r="FR780" s="27" t="s">
        <v>7</v>
      </c>
      <c r="FS780" s="27" t="s">
        <v>8</v>
      </c>
      <c r="FX780" s="27" t="s">
        <v>7</v>
      </c>
      <c r="GA780" s="27" t="s">
        <v>8</v>
      </c>
      <c r="GD780" s="27" t="s">
        <v>7</v>
      </c>
      <c r="GE780" s="27" t="s">
        <v>8</v>
      </c>
      <c r="GF780" s="27" t="s">
        <v>7</v>
      </c>
      <c r="GG780" s="27" t="s">
        <v>8</v>
      </c>
      <c r="GH780" s="27" t="s">
        <v>7</v>
      </c>
      <c r="GI780" s="27" t="s">
        <v>8</v>
      </c>
      <c r="GJ780" s="27" t="s">
        <v>7</v>
      </c>
      <c r="GK780" s="27" t="s">
        <v>8</v>
      </c>
      <c r="GM780" s="27" t="s">
        <v>8</v>
      </c>
    </row>
    <row r="781" spans="1:299" x14ac:dyDescent="0.25">
      <c r="A781" s="7">
        <v>2.1456885228108461E-2</v>
      </c>
      <c r="B781"/>
      <c r="C781"/>
      <c r="D781"/>
      <c r="E781"/>
      <c r="F781" s="27" t="s">
        <v>7</v>
      </c>
      <c r="Y781" s="27" t="s">
        <v>8</v>
      </c>
      <c r="Z781" s="27" t="s">
        <v>7</v>
      </c>
      <c r="CQ781" s="27" t="s">
        <v>8</v>
      </c>
      <c r="CT781" s="27" t="s">
        <v>7</v>
      </c>
      <c r="CU781" s="27" t="s">
        <v>8</v>
      </c>
      <c r="CV781" s="27" t="s">
        <v>7</v>
      </c>
      <c r="DB781" s="27" t="s">
        <v>7</v>
      </c>
      <c r="DC781" s="27" t="s">
        <v>8</v>
      </c>
      <c r="DD781" s="27" t="s">
        <v>7</v>
      </c>
      <c r="DF781" s="27" t="s">
        <v>7</v>
      </c>
      <c r="DG781" s="27" t="s">
        <v>8</v>
      </c>
      <c r="EH781" s="27" t="s">
        <v>7</v>
      </c>
      <c r="EI781" s="27" t="s">
        <v>8</v>
      </c>
      <c r="EJ781" s="27" t="s">
        <v>7</v>
      </c>
      <c r="EK781" s="27" t="s">
        <v>8</v>
      </c>
      <c r="EL781" s="27" t="s">
        <v>7</v>
      </c>
      <c r="EN781" s="27" t="s">
        <v>7</v>
      </c>
      <c r="EO781" s="27" t="s">
        <v>8</v>
      </c>
      <c r="EP781" s="27" t="s">
        <v>7</v>
      </c>
      <c r="ES781" s="27" t="s">
        <v>8</v>
      </c>
      <c r="ET781" s="27" t="s">
        <v>7</v>
      </c>
      <c r="FG781" s="27" t="s">
        <v>8</v>
      </c>
      <c r="FH781" s="27" t="s">
        <v>7</v>
      </c>
      <c r="FI781" s="27" t="s">
        <v>8</v>
      </c>
      <c r="FJ781" s="27" t="s">
        <v>7</v>
      </c>
      <c r="FK781" s="27" t="s">
        <v>8</v>
      </c>
      <c r="FP781" s="27" t="s">
        <v>7</v>
      </c>
      <c r="FQ781" s="27" t="s">
        <v>8</v>
      </c>
      <c r="FR781" s="27" t="s">
        <v>7</v>
      </c>
      <c r="FS781" s="27" t="s">
        <v>8</v>
      </c>
      <c r="FX781" s="27" t="s">
        <v>7</v>
      </c>
      <c r="GA781" s="27" t="s">
        <v>8</v>
      </c>
      <c r="GD781" s="27" t="s">
        <v>7</v>
      </c>
      <c r="GE781" s="27" t="s">
        <v>8</v>
      </c>
      <c r="GF781" s="27" t="s">
        <v>7</v>
      </c>
      <c r="GG781" s="27" t="s">
        <v>8</v>
      </c>
      <c r="GH781" s="27" t="s">
        <v>7</v>
      </c>
      <c r="GJ781" s="27" t="s">
        <v>7</v>
      </c>
      <c r="GK781" s="27" t="s">
        <v>8</v>
      </c>
      <c r="GL781" s="27" t="s">
        <v>7</v>
      </c>
      <c r="GM781" s="27" t="s">
        <v>8</v>
      </c>
    </row>
    <row r="782" spans="1:299" x14ac:dyDescent="0.25">
      <c r="A782" s="7">
        <v>2.1036161988341632E-2</v>
      </c>
      <c r="B782"/>
      <c r="C782"/>
      <c r="D782"/>
      <c r="E782"/>
      <c r="F782" s="27" t="s">
        <v>7</v>
      </c>
      <c r="Y782" s="27" t="s">
        <v>8</v>
      </c>
      <c r="Z782" s="27" t="s">
        <v>7</v>
      </c>
      <c r="CQ782" s="27" t="s">
        <v>8</v>
      </c>
      <c r="CT782" s="27" t="s">
        <v>7</v>
      </c>
      <c r="CU782" s="27" t="s">
        <v>8</v>
      </c>
      <c r="DB782" s="27" t="s">
        <v>7</v>
      </c>
      <c r="DC782" s="27" t="s">
        <v>8</v>
      </c>
      <c r="DF782" s="27" t="s">
        <v>7</v>
      </c>
      <c r="EH782" s="27" t="s">
        <v>7</v>
      </c>
      <c r="EI782" s="27" t="s">
        <v>8</v>
      </c>
      <c r="EJ782" s="27" t="s">
        <v>7</v>
      </c>
      <c r="EK782" s="27" t="s">
        <v>8</v>
      </c>
      <c r="EN782" s="27" t="s">
        <v>7</v>
      </c>
      <c r="EO782" s="27" t="s">
        <v>8</v>
      </c>
      <c r="EP782" s="27" t="s">
        <v>7</v>
      </c>
      <c r="EQ782" s="27" t="s">
        <v>8</v>
      </c>
      <c r="ES782" s="27" t="s">
        <v>8</v>
      </c>
      <c r="ET782" s="27" t="s">
        <v>7</v>
      </c>
      <c r="FG782" s="27" t="s">
        <v>8</v>
      </c>
      <c r="FH782" s="27" t="s">
        <v>7</v>
      </c>
      <c r="FI782" s="27" t="s">
        <v>8</v>
      </c>
      <c r="FJ782" s="27" t="s">
        <v>7</v>
      </c>
      <c r="FK782" s="27" t="s">
        <v>8</v>
      </c>
      <c r="FP782" s="27" t="s">
        <v>7</v>
      </c>
      <c r="FQ782" s="27" t="s">
        <v>8</v>
      </c>
      <c r="FR782" s="27" t="s">
        <v>7</v>
      </c>
      <c r="FS782" s="27" t="s">
        <v>8</v>
      </c>
      <c r="FX782" s="27" t="s">
        <v>7</v>
      </c>
      <c r="GA782" s="27" t="s">
        <v>8</v>
      </c>
      <c r="GD782" s="27" t="s">
        <v>7</v>
      </c>
      <c r="GF782" s="27" t="s">
        <v>7</v>
      </c>
      <c r="GJ782" s="27" t="s">
        <v>7</v>
      </c>
      <c r="GK782" s="27" t="s">
        <v>8</v>
      </c>
      <c r="GL782" s="27" t="s">
        <v>7</v>
      </c>
      <c r="GM782" s="27" t="s">
        <v>8</v>
      </c>
    </row>
    <row r="783" spans="1:299" x14ac:dyDescent="0.25">
      <c r="A783" s="7">
        <v>2.0623688223864345E-2</v>
      </c>
      <c r="B783"/>
      <c r="C783"/>
      <c r="D783"/>
      <c r="E783"/>
      <c r="F783" s="27" t="s">
        <v>7</v>
      </c>
      <c r="Y783" s="27" t="s">
        <v>8</v>
      </c>
      <c r="Z783" s="27" t="s">
        <v>7</v>
      </c>
      <c r="CQ783" s="27" t="s">
        <v>8</v>
      </c>
      <c r="CT783" s="27" t="s">
        <v>7</v>
      </c>
      <c r="CU783" s="27" t="s">
        <v>8</v>
      </c>
      <c r="DB783" s="27" t="s">
        <v>7</v>
      </c>
      <c r="EH783" s="27" t="s">
        <v>7</v>
      </c>
      <c r="EJ783" s="27" t="s">
        <v>7</v>
      </c>
      <c r="EK783" s="27" t="s">
        <v>8</v>
      </c>
      <c r="EN783" s="27" t="s">
        <v>7</v>
      </c>
      <c r="EO783" s="27" t="s">
        <v>8</v>
      </c>
      <c r="EP783" s="27" t="s">
        <v>7</v>
      </c>
      <c r="EQ783" s="27" t="s">
        <v>8</v>
      </c>
      <c r="ER783" s="27" t="s">
        <v>7</v>
      </c>
      <c r="ES783" s="27" t="s">
        <v>8</v>
      </c>
      <c r="ET783" s="27" t="s">
        <v>7</v>
      </c>
      <c r="FG783" s="27" t="s">
        <v>8</v>
      </c>
      <c r="FH783" s="27" t="s">
        <v>7</v>
      </c>
      <c r="FI783" s="27" t="s">
        <v>8</v>
      </c>
      <c r="FJ783" s="27" t="s">
        <v>7</v>
      </c>
      <c r="FK783" s="27" t="s">
        <v>8</v>
      </c>
      <c r="FP783" s="27" t="s">
        <v>7</v>
      </c>
      <c r="FQ783" s="27" t="s">
        <v>8</v>
      </c>
      <c r="FR783" s="27" t="s">
        <v>7</v>
      </c>
      <c r="FS783" s="27" t="s">
        <v>8</v>
      </c>
      <c r="FX783" s="27" t="s">
        <v>7</v>
      </c>
      <c r="GA783" s="27" t="s">
        <v>8</v>
      </c>
      <c r="GJ783" s="27" t="s">
        <v>7</v>
      </c>
      <c r="GK783" s="27" t="s">
        <v>8</v>
      </c>
      <c r="GL783" s="27" t="s">
        <v>7</v>
      </c>
      <c r="GM783" s="27" t="s">
        <v>8</v>
      </c>
    </row>
    <row r="784" spans="1:299" x14ac:dyDescent="0.25">
      <c r="A784" s="7">
        <v>2.021930218025916E-2</v>
      </c>
      <c r="B784"/>
      <c r="C784"/>
      <c r="D784"/>
      <c r="E784"/>
      <c r="F784" s="27" t="s">
        <v>7</v>
      </c>
      <c r="U784" s="27" t="s">
        <v>8</v>
      </c>
      <c r="Y784" s="27" t="s">
        <v>8</v>
      </c>
      <c r="Z784" s="27" t="s">
        <v>7</v>
      </c>
      <c r="CQ784" s="27" t="s">
        <v>8</v>
      </c>
      <c r="CT784" s="27" t="s">
        <v>7</v>
      </c>
      <c r="EJ784" s="27" t="s">
        <v>7</v>
      </c>
      <c r="EN784" s="27" t="s">
        <v>7</v>
      </c>
      <c r="EP784" s="27" t="s">
        <v>7</v>
      </c>
      <c r="EQ784" s="27" t="s">
        <v>8</v>
      </c>
      <c r="ER784" s="27" t="s">
        <v>7</v>
      </c>
      <c r="ES784" s="27" t="s">
        <v>8</v>
      </c>
      <c r="ET784" s="27" t="s">
        <v>7</v>
      </c>
      <c r="FG784" s="27" t="s">
        <v>8</v>
      </c>
      <c r="FH784" s="27" t="s">
        <v>7</v>
      </c>
      <c r="FI784" s="27" t="s">
        <v>8</v>
      </c>
      <c r="FJ784" s="27" t="s">
        <v>7</v>
      </c>
      <c r="FK784" s="27" t="s">
        <v>8</v>
      </c>
      <c r="FP784" s="27" t="s">
        <v>7</v>
      </c>
      <c r="FQ784" s="27" t="s">
        <v>8</v>
      </c>
      <c r="FR784" s="27" t="s">
        <v>7</v>
      </c>
      <c r="FS784" s="27" t="s">
        <v>8</v>
      </c>
      <c r="FX784" s="27" t="s">
        <v>7</v>
      </c>
      <c r="GA784" s="27" t="s">
        <v>8</v>
      </c>
      <c r="GJ784" s="27" t="s">
        <v>7</v>
      </c>
      <c r="GK784" s="27" t="s">
        <v>8</v>
      </c>
      <c r="GL784" s="27" t="s">
        <v>7</v>
      </c>
    </row>
    <row r="785" spans="1:193" x14ac:dyDescent="0.25">
      <c r="A785" s="7">
        <v>1.9822845274763884E-2</v>
      </c>
      <c r="B785"/>
      <c r="C785"/>
      <c r="D785"/>
      <c r="E785"/>
      <c r="F785" s="27" t="s">
        <v>7</v>
      </c>
      <c r="U785" s="27" t="s">
        <v>8</v>
      </c>
      <c r="V785" s="27" t="s">
        <v>7</v>
      </c>
      <c r="W785" s="27" t="s">
        <v>8</v>
      </c>
      <c r="Y785" s="27" t="s">
        <v>8</v>
      </c>
      <c r="Z785" s="27" t="s">
        <v>7</v>
      </c>
      <c r="CQ785" s="27" t="s">
        <v>8</v>
      </c>
      <c r="EP785" s="27" t="s">
        <v>7</v>
      </c>
      <c r="EQ785" s="27" t="s">
        <v>8</v>
      </c>
      <c r="ER785" s="27" t="s">
        <v>7</v>
      </c>
      <c r="ES785" s="27" t="s">
        <v>8</v>
      </c>
      <c r="ET785" s="27" t="s">
        <v>7</v>
      </c>
      <c r="EU785" s="27" t="s">
        <v>8</v>
      </c>
      <c r="FC785" s="27" t="s">
        <v>8</v>
      </c>
      <c r="FG785" s="27" t="s">
        <v>8</v>
      </c>
      <c r="FH785" s="27" t="s">
        <v>7</v>
      </c>
      <c r="FI785" s="27" t="s">
        <v>8</v>
      </c>
      <c r="FJ785" s="27" t="s">
        <v>7</v>
      </c>
      <c r="FK785" s="27" t="s">
        <v>8</v>
      </c>
      <c r="FP785" s="27" t="s">
        <v>7</v>
      </c>
      <c r="FQ785" s="27" t="s">
        <v>8</v>
      </c>
      <c r="FR785" s="27" t="s">
        <v>7</v>
      </c>
      <c r="FS785" s="27" t="s">
        <v>8</v>
      </c>
      <c r="FX785" s="27" t="s">
        <v>7</v>
      </c>
      <c r="FY785" s="27" t="s">
        <v>8</v>
      </c>
      <c r="GA785" s="27" t="s">
        <v>8</v>
      </c>
      <c r="GJ785" s="27" t="s">
        <v>7</v>
      </c>
      <c r="GK785" s="27" t="s">
        <v>8</v>
      </c>
    </row>
    <row r="786" spans="1:193" x14ac:dyDescent="0.25">
      <c r="A786" s="7">
        <v>1.9434162034082238E-2</v>
      </c>
      <c r="B786"/>
      <c r="C786"/>
      <c r="D786"/>
      <c r="E786"/>
      <c r="F786" s="27" t="s">
        <v>7</v>
      </c>
      <c r="U786" s="27" t="s">
        <v>8</v>
      </c>
      <c r="V786" s="27" t="s">
        <v>7</v>
      </c>
      <c r="W786" s="27" t="s">
        <v>8</v>
      </c>
      <c r="X786" s="27" t="s">
        <v>7</v>
      </c>
      <c r="Y786" s="27" t="s">
        <v>8</v>
      </c>
      <c r="Z786" s="27" t="s">
        <v>7</v>
      </c>
      <c r="CQ786" s="27" t="s">
        <v>8</v>
      </c>
      <c r="EP786" s="27" t="s">
        <v>7</v>
      </c>
      <c r="EQ786" s="27" t="s">
        <v>8</v>
      </c>
      <c r="ER786" s="27" t="s">
        <v>7</v>
      </c>
      <c r="ET786" s="27" t="s">
        <v>7</v>
      </c>
      <c r="EU786" s="27" t="s">
        <v>8</v>
      </c>
      <c r="EV786" s="27" t="s">
        <v>7</v>
      </c>
      <c r="FC786" s="27" t="s">
        <v>8</v>
      </c>
      <c r="FD786" s="27" t="s">
        <v>7</v>
      </c>
      <c r="FG786" s="27" t="s">
        <v>8</v>
      </c>
      <c r="FH786" s="27" t="s">
        <v>7</v>
      </c>
      <c r="FI786" s="27" t="s">
        <v>8</v>
      </c>
      <c r="FJ786" s="27" t="s">
        <v>7</v>
      </c>
      <c r="FK786" s="27" t="s">
        <v>8</v>
      </c>
      <c r="FP786" s="27" t="s">
        <v>7</v>
      </c>
      <c r="FR786" s="27" t="s">
        <v>7</v>
      </c>
      <c r="FS786" s="27" t="s">
        <v>8</v>
      </c>
      <c r="FX786" s="27" t="s">
        <v>7</v>
      </c>
      <c r="FY786" s="27" t="s">
        <v>8</v>
      </c>
      <c r="FZ786" s="27" t="s">
        <v>7</v>
      </c>
      <c r="GA786" s="27" t="s">
        <v>8</v>
      </c>
      <c r="GJ786" s="27" t="s">
        <v>7</v>
      </c>
      <c r="GK786" s="27" t="s">
        <v>8</v>
      </c>
    </row>
    <row r="787" spans="1:193" x14ac:dyDescent="0.25">
      <c r="A787" s="7">
        <v>1.9053100033413959E-2</v>
      </c>
      <c r="B787"/>
      <c r="C787"/>
      <c r="D787"/>
      <c r="E787"/>
      <c r="F787" s="27" t="s">
        <v>7</v>
      </c>
      <c r="U787" s="27" t="s">
        <v>8</v>
      </c>
      <c r="V787" s="27" t="s">
        <v>7</v>
      </c>
      <c r="W787" s="27" t="s">
        <v>8</v>
      </c>
      <c r="X787" s="27" t="s">
        <v>7</v>
      </c>
      <c r="Y787" s="27" t="s">
        <v>8</v>
      </c>
      <c r="Z787" s="27" t="s">
        <v>7</v>
      </c>
      <c r="CQ787" s="27" t="s">
        <v>8</v>
      </c>
      <c r="EP787" s="27" t="s">
        <v>7</v>
      </c>
      <c r="EQ787" s="27" t="s">
        <v>8</v>
      </c>
      <c r="ET787" s="27" t="s">
        <v>7</v>
      </c>
      <c r="EU787" s="27" t="s">
        <v>8</v>
      </c>
      <c r="EV787" s="27" t="s">
        <v>7</v>
      </c>
      <c r="FC787" s="27" t="s">
        <v>8</v>
      </c>
      <c r="FD787" s="27" t="s">
        <v>7</v>
      </c>
      <c r="FG787" s="27" t="s">
        <v>8</v>
      </c>
      <c r="FH787" s="27" t="s">
        <v>7</v>
      </c>
      <c r="FI787" s="27" t="s">
        <v>8</v>
      </c>
      <c r="FJ787" s="27" t="s">
        <v>7</v>
      </c>
      <c r="FK787" s="27" t="s">
        <v>8</v>
      </c>
      <c r="FR787" s="27" t="s">
        <v>7</v>
      </c>
      <c r="FS787" s="27" t="s">
        <v>8</v>
      </c>
      <c r="FX787" s="27" t="s">
        <v>7</v>
      </c>
      <c r="FY787" s="27" t="s">
        <v>8</v>
      </c>
      <c r="FZ787" s="27" t="s">
        <v>7</v>
      </c>
      <c r="GA787" s="27" t="s">
        <v>8</v>
      </c>
      <c r="GJ787" s="27" t="s">
        <v>7</v>
      </c>
    </row>
    <row r="788" spans="1:193" x14ac:dyDescent="0.25">
      <c r="A788" s="7">
        <v>1.867950983668035E-2</v>
      </c>
      <c r="B788"/>
      <c r="C788"/>
      <c r="D788"/>
      <c r="E788"/>
      <c r="F788" s="27" t="s">
        <v>7</v>
      </c>
      <c r="Q788" s="27" t="s">
        <v>8</v>
      </c>
      <c r="U788" s="27" t="s">
        <v>8</v>
      </c>
      <c r="V788" s="27" t="s">
        <v>7</v>
      </c>
      <c r="W788" s="27" t="s">
        <v>8</v>
      </c>
      <c r="X788" s="27" t="s">
        <v>7</v>
      </c>
      <c r="Y788" s="27" t="s">
        <v>8</v>
      </c>
      <c r="Z788" s="27" t="s">
        <v>7</v>
      </c>
      <c r="CQ788" s="27" t="s">
        <v>8</v>
      </c>
      <c r="EP788" s="27" t="s">
        <v>7</v>
      </c>
      <c r="EQ788" s="27" t="s">
        <v>8</v>
      </c>
      <c r="ET788" s="27" t="s">
        <v>7</v>
      </c>
      <c r="EU788" s="27" t="s">
        <v>8</v>
      </c>
      <c r="EV788" s="27" t="s">
        <v>7</v>
      </c>
      <c r="FA788" s="27" t="s">
        <v>8</v>
      </c>
      <c r="FC788" s="27" t="s">
        <v>8</v>
      </c>
      <c r="FD788" s="27" t="s">
        <v>7</v>
      </c>
      <c r="FG788" s="27" t="s">
        <v>8</v>
      </c>
      <c r="FH788" s="27" t="s">
        <v>7</v>
      </c>
      <c r="FJ788" s="27" t="s">
        <v>7</v>
      </c>
      <c r="FR788" s="27" t="s">
        <v>7</v>
      </c>
      <c r="FX788" s="27" t="s">
        <v>7</v>
      </c>
      <c r="FY788" s="27" t="s">
        <v>8</v>
      </c>
      <c r="FZ788" s="27" t="s">
        <v>7</v>
      </c>
      <c r="GA788" s="27" t="s">
        <v>8</v>
      </c>
    </row>
    <row r="789" spans="1:193" x14ac:dyDescent="0.25">
      <c r="A789" s="7">
        <v>1.8313244937921913E-2</v>
      </c>
      <c r="B789"/>
      <c r="C789"/>
      <c r="D789"/>
      <c r="E789"/>
      <c r="F789" s="27" t="s">
        <v>7</v>
      </c>
      <c r="Q789" s="27" t="s">
        <v>8</v>
      </c>
      <c r="R789" s="27" t="s">
        <v>7</v>
      </c>
      <c r="U789" s="27" t="s">
        <v>8</v>
      </c>
      <c r="V789" s="27" t="s">
        <v>7</v>
      </c>
      <c r="W789" s="27" t="s">
        <v>8</v>
      </c>
      <c r="X789" s="27" t="s">
        <v>7</v>
      </c>
      <c r="Y789" s="27" t="s">
        <v>8</v>
      </c>
      <c r="Z789" s="27" t="s">
        <v>7</v>
      </c>
      <c r="CQ789" s="27" t="s">
        <v>8</v>
      </c>
      <c r="EP789" s="27" t="s">
        <v>7</v>
      </c>
      <c r="EQ789" s="27" t="s">
        <v>8</v>
      </c>
      <c r="ET789" s="27" t="s">
        <v>7</v>
      </c>
      <c r="EU789" s="27" t="s">
        <v>8</v>
      </c>
      <c r="EV789" s="27" t="s">
        <v>7</v>
      </c>
      <c r="EW789" s="27" t="s">
        <v>8</v>
      </c>
      <c r="FA789" s="27" t="s">
        <v>8</v>
      </c>
      <c r="FB789" s="27" t="s">
        <v>7</v>
      </c>
      <c r="FC789" s="27" t="s">
        <v>8</v>
      </c>
      <c r="FD789" s="27" t="s">
        <v>7</v>
      </c>
      <c r="FG789" s="27" t="s">
        <v>8</v>
      </c>
      <c r="FX789" s="27" t="s">
        <v>7</v>
      </c>
      <c r="FY789" s="27" t="s">
        <v>8</v>
      </c>
      <c r="FZ789" s="27" t="s">
        <v>7</v>
      </c>
    </row>
    <row r="790" spans="1:193" x14ac:dyDescent="0.25">
      <c r="A790" s="7">
        <v>1.7954161703845013E-2</v>
      </c>
      <c r="B790"/>
      <c r="C790"/>
      <c r="D790"/>
      <c r="E790"/>
      <c r="F790" s="27" t="s">
        <v>7</v>
      </c>
      <c r="Q790" s="27" t="s">
        <v>8</v>
      </c>
      <c r="R790" s="27" t="s">
        <v>7</v>
      </c>
      <c r="U790" s="27" t="s">
        <v>8</v>
      </c>
      <c r="V790" s="27" t="s">
        <v>7</v>
      </c>
      <c r="W790" s="27" t="s">
        <v>8</v>
      </c>
      <c r="X790" s="27" t="s">
        <v>7</v>
      </c>
      <c r="Y790" s="27" t="s">
        <v>8</v>
      </c>
      <c r="Z790" s="27" t="s">
        <v>7</v>
      </c>
      <c r="CQ790" s="27" t="s">
        <v>8</v>
      </c>
      <c r="EP790" s="27" t="s">
        <v>7</v>
      </c>
      <c r="EQ790" s="27" t="s">
        <v>8</v>
      </c>
      <c r="ET790" s="27" t="s">
        <v>7</v>
      </c>
      <c r="EV790" s="27" t="s">
        <v>7</v>
      </c>
      <c r="EW790" s="27" t="s">
        <v>8</v>
      </c>
      <c r="EX790" s="27" t="s">
        <v>7</v>
      </c>
      <c r="FA790" s="27" t="s">
        <v>8</v>
      </c>
      <c r="FB790" s="27" t="s">
        <v>7</v>
      </c>
      <c r="FC790" s="27" t="s">
        <v>8</v>
      </c>
      <c r="FD790" s="27" t="s">
        <v>7</v>
      </c>
      <c r="FE790" s="27" t="s">
        <v>8</v>
      </c>
      <c r="FG790" s="27" t="s">
        <v>8</v>
      </c>
      <c r="FX790" s="27" t="s">
        <v>7</v>
      </c>
      <c r="FY790" s="27" t="s">
        <v>8</v>
      </c>
    </row>
    <row r="791" spans="1:193" x14ac:dyDescent="0.25">
      <c r="A791" s="7">
        <v>1.7602119317495109E-2</v>
      </c>
      <c r="B791"/>
      <c r="C791"/>
      <c r="D791"/>
      <c r="E791"/>
      <c r="F791" s="27" t="s">
        <v>7</v>
      </c>
      <c r="Q791" s="27" t="s">
        <v>8</v>
      </c>
      <c r="R791" s="27" t="s">
        <v>7</v>
      </c>
      <c r="U791" s="27" t="s">
        <v>8</v>
      </c>
      <c r="V791" s="27" t="s">
        <v>7</v>
      </c>
      <c r="X791" s="27" t="s">
        <v>7</v>
      </c>
      <c r="Y791" s="27" t="s">
        <v>8</v>
      </c>
      <c r="Z791" s="27" t="s">
        <v>7</v>
      </c>
      <c r="CQ791" s="27" t="s">
        <v>8</v>
      </c>
      <c r="EP791" s="27" t="s">
        <v>7</v>
      </c>
      <c r="EV791" s="27" t="s">
        <v>7</v>
      </c>
      <c r="EW791" s="27" t="s">
        <v>8</v>
      </c>
      <c r="EX791" s="27" t="s">
        <v>7</v>
      </c>
      <c r="FA791" s="27" t="s">
        <v>8</v>
      </c>
      <c r="FB791" s="27" t="s">
        <v>7</v>
      </c>
      <c r="FC791" s="27" t="s">
        <v>8</v>
      </c>
      <c r="FD791" s="27" t="s">
        <v>7</v>
      </c>
      <c r="FE791" s="27" t="s">
        <v>8</v>
      </c>
      <c r="FF791" s="27" t="s">
        <v>7</v>
      </c>
      <c r="FG791" s="27" t="s">
        <v>8</v>
      </c>
      <c r="FX791" s="27" t="s">
        <v>7</v>
      </c>
      <c r="FY791" s="27" t="s">
        <v>8</v>
      </c>
    </row>
    <row r="792" spans="1:193" x14ac:dyDescent="0.25">
      <c r="A792" s="7">
        <v>1.7256979723034419E-2</v>
      </c>
      <c r="B792"/>
      <c r="C792"/>
      <c r="D792"/>
      <c r="E792"/>
      <c r="F792" s="27" t="s">
        <v>7</v>
      </c>
      <c r="Q792" s="27" t="s">
        <v>8</v>
      </c>
      <c r="R792" s="27" t="s">
        <v>7</v>
      </c>
      <c r="U792" s="27" t="s">
        <v>8</v>
      </c>
      <c r="X792" s="27" t="s">
        <v>7</v>
      </c>
      <c r="Y792" s="27" t="s">
        <v>8</v>
      </c>
      <c r="Z792" s="27" t="s">
        <v>7</v>
      </c>
      <c r="CQ792" s="27" t="s">
        <v>8</v>
      </c>
      <c r="EV792" s="27" t="s">
        <v>7</v>
      </c>
      <c r="EW792" s="27" t="s">
        <v>8</v>
      </c>
      <c r="EX792" s="27" t="s">
        <v>7</v>
      </c>
      <c r="EY792" s="27" t="s">
        <v>8</v>
      </c>
      <c r="FA792" s="27" t="s">
        <v>8</v>
      </c>
      <c r="FB792" s="27" t="s">
        <v>7</v>
      </c>
      <c r="FC792" s="27" t="s">
        <v>8</v>
      </c>
      <c r="FD792" s="27" t="s">
        <v>7</v>
      </c>
      <c r="FE792" s="27" t="s">
        <v>8</v>
      </c>
      <c r="FF792" s="27" t="s">
        <v>7</v>
      </c>
      <c r="FG792" s="27" t="s">
        <v>8</v>
      </c>
      <c r="FX792" s="27" t="s">
        <v>7</v>
      </c>
      <c r="FY792" s="27" t="s">
        <v>8</v>
      </c>
    </row>
    <row r="793" spans="1:193" x14ac:dyDescent="0.25">
      <c r="A793" s="7">
        <v>1.6918607571602372E-2</v>
      </c>
      <c r="B793"/>
      <c r="C793"/>
      <c r="D793"/>
      <c r="E793"/>
      <c r="F793" s="27" t="s">
        <v>7</v>
      </c>
      <c r="Q793" s="27" t="s">
        <v>8</v>
      </c>
      <c r="R793" s="27" t="s">
        <v>7</v>
      </c>
      <c r="S793" s="27" t="s">
        <v>8</v>
      </c>
      <c r="U793" s="27" t="s">
        <v>8</v>
      </c>
      <c r="X793" s="27" t="s">
        <v>7</v>
      </c>
      <c r="Y793" s="27" t="s">
        <v>8</v>
      </c>
      <c r="Z793" s="27" t="s">
        <v>7</v>
      </c>
      <c r="CQ793" s="27" t="s">
        <v>8</v>
      </c>
      <c r="EV793" s="27" t="s">
        <v>7</v>
      </c>
      <c r="EX793" s="27" t="s">
        <v>7</v>
      </c>
      <c r="EY793" s="27" t="s">
        <v>8</v>
      </c>
      <c r="EZ793" s="27" t="s">
        <v>7</v>
      </c>
      <c r="FA793" s="27" t="s">
        <v>8</v>
      </c>
      <c r="FB793" s="27" t="s">
        <v>7</v>
      </c>
      <c r="FC793" s="27" t="s">
        <v>8</v>
      </c>
      <c r="FD793" s="27" t="s">
        <v>7</v>
      </c>
      <c r="FE793" s="27" t="s">
        <v>8</v>
      </c>
      <c r="FF793" s="27" t="s">
        <v>7</v>
      </c>
      <c r="FG793" s="27" t="s">
        <v>8</v>
      </c>
      <c r="FX793" s="27" t="s">
        <v>7</v>
      </c>
      <c r="FY793" s="27" t="s">
        <v>8</v>
      </c>
    </row>
    <row r="794" spans="1:193" x14ac:dyDescent="0.25">
      <c r="A794" s="7">
        <v>1.6586870168237622E-2</v>
      </c>
      <c r="B794"/>
      <c r="C794"/>
      <c r="D794"/>
      <c r="E794"/>
      <c r="F794" s="27" t="s">
        <v>7</v>
      </c>
      <c r="Q794" s="27" t="s">
        <v>8</v>
      </c>
      <c r="R794" s="27" t="s">
        <v>7</v>
      </c>
      <c r="S794" s="27" t="s">
        <v>8</v>
      </c>
      <c r="T794" s="27" t="s">
        <v>7</v>
      </c>
      <c r="U794" s="27" t="s">
        <v>8</v>
      </c>
      <c r="X794" s="27" t="s">
        <v>7</v>
      </c>
      <c r="Z794" s="27" t="s">
        <v>7</v>
      </c>
      <c r="CQ794" s="27" t="s">
        <v>8</v>
      </c>
      <c r="EX794" s="27" t="s">
        <v>7</v>
      </c>
      <c r="EY794" s="27" t="s">
        <v>8</v>
      </c>
      <c r="EZ794" s="27" t="s">
        <v>7</v>
      </c>
      <c r="FA794" s="27" t="s">
        <v>8</v>
      </c>
      <c r="FB794" s="27" t="s">
        <v>7</v>
      </c>
      <c r="FD794" s="27" t="s">
        <v>7</v>
      </c>
      <c r="FF794" s="27" t="s">
        <v>7</v>
      </c>
      <c r="FX794" s="27" t="s">
        <v>7</v>
      </c>
      <c r="FY794" s="27" t="s">
        <v>8</v>
      </c>
    </row>
    <row r="795" spans="1:193" x14ac:dyDescent="0.25">
      <c r="A795" s="7">
        <v>1.6261637419840807E-2</v>
      </c>
      <c r="B795"/>
      <c r="C795"/>
      <c r="D795"/>
      <c r="E795"/>
      <c r="F795" s="27" t="s">
        <v>7</v>
      </c>
      <c r="Q795" s="27" t="s">
        <v>8</v>
      </c>
      <c r="R795" s="27" t="s">
        <v>7</v>
      </c>
      <c r="S795" s="27" t="s">
        <v>8</v>
      </c>
      <c r="T795" s="27" t="s">
        <v>7</v>
      </c>
      <c r="U795" s="27" t="s">
        <v>8</v>
      </c>
      <c r="Z795" s="27" t="s">
        <v>7</v>
      </c>
      <c r="CQ795" s="27" t="s">
        <v>8</v>
      </c>
      <c r="EX795" s="27" t="s">
        <v>7</v>
      </c>
      <c r="EY795" s="27" t="s">
        <v>8</v>
      </c>
      <c r="EZ795" s="27" t="s">
        <v>7</v>
      </c>
      <c r="FA795" s="27" t="s">
        <v>8</v>
      </c>
      <c r="FX795" s="27" t="s">
        <v>7</v>
      </c>
      <c r="FY795" s="27" t="s">
        <v>8</v>
      </c>
    </row>
    <row r="796" spans="1:193" x14ac:dyDescent="0.25">
      <c r="A796" s="7">
        <v>1.5942781784157655E-2</v>
      </c>
      <c r="B796"/>
      <c r="C796"/>
      <c r="D796"/>
      <c r="E796"/>
      <c r="F796" s="27" t="s">
        <v>7</v>
      </c>
      <c r="Q796" s="27" t="s">
        <v>8</v>
      </c>
      <c r="R796" s="27" t="s">
        <v>7</v>
      </c>
      <c r="S796" s="27" t="s">
        <v>8</v>
      </c>
      <c r="T796" s="27" t="s">
        <v>7</v>
      </c>
      <c r="U796" s="27" t="s">
        <v>8</v>
      </c>
      <c r="Z796" s="27" t="s">
        <v>7</v>
      </c>
      <c r="CQ796" s="27" t="s">
        <v>8</v>
      </c>
      <c r="EX796" s="27" t="s">
        <v>7</v>
      </c>
      <c r="EY796" s="27" t="s">
        <v>8</v>
      </c>
      <c r="EZ796" s="27" t="s">
        <v>7</v>
      </c>
      <c r="FA796" s="27" t="s">
        <v>8</v>
      </c>
      <c r="FX796" s="27" t="s">
        <v>7</v>
      </c>
    </row>
    <row r="797" spans="1:193" x14ac:dyDescent="0.25">
      <c r="A797" s="7">
        <v>1.5630178219762408E-2</v>
      </c>
      <c r="B797"/>
      <c r="C797"/>
      <c r="D797"/>
      <c r="E797"/>
      <c r="F797" s="27" t="s">
        <v>7</v>
      </c>
      <c r="Q797" s="27" t="s">
        <v>8</v>
      </c>
      <c r="R797" s="27" t="s">
        <v>7</v>
      </c>
      <c r="T797" s="27" t="s">
        <v>7</v>
      </c>
      <c r="U797" s="27" t="s">
        <v>8</v>
      </c>
      <c r="Z797" s="27" t="s">
        <v>7</v>
      </c>
      <c r="CQ797" s="27" t="s">
        <v>8</v>
      </c>
      <c r="EX797" s="27" t="s">
        <v>7</v>
      </c>
      <c r="EY797" s="27" t="s">
        <v>8</v>
      </c>
      <c r="EZ797" s="27" t="s">
        <v>7</v>
      </c>
      <c r="FA797" s="27" t="s">
        <v>8</v>
      </c>
    </row>
    <row r="798" spans="1:193" x14ac:dyDescent="0.25">
      <c r="A798" s="7">
        <v>1.5323704137021967E-2</v>
      </c>
      <c r="B798"/>
      <c r="C798"/>
      <c r="D798"/>
      <c r="E798"/>
      <c r="F798" s="27" t="s">
        <v>7</v>
      </c>
      <c r="Q798" s="27" t="s">
        <v>8</v>
      </c>
      <c r="T798" s="27" t="s">
        <v>7</v>
      </c>
      <c r="Z798" s="27" t="s">
        <v>7</v>
      </c>
      <c r="CQ798" s="27" t="s">
        <v>8</v>
      </c>
      <c r="EX798" s="27" t="s">
        <v>7</v>
      </c>
      <c r="EY798" s="27" t="s">
        <v>8</v>
      </c>
      <c r="EZ798" s="27" t="s">
        <v>7</v>
      </c>
      <c r="FA798" s="27" t="s">
        <v>8</v>
      </c>
    </row>
    <row r="799" spans="1:193" x14ac:dyDescent="0.25">
      <c r="A799" s="7">
        <v>1.5023239350021535E-2</v>
      </c>
      <c r="B799"/>
      <c r="C799"/>
      <c r="D799"/>
      <c r="E799"/>
      <c r="F799" s="27" t="s">
        <v>7</v>
      </c>
      <c r="Q799" s="27" t="s">
        <v>8</v>
      </c>
      <c r="Z799" s="27" t="s">
        <v>7</v>
      </c>
      <c r="CG799" s="27" t="s">
        <v>8</v>
      </c>
      <c r="CQ799" s="27" t="s">
        <v>8</v>
      </c>
      <c r="EX799" s="27" t="s">
        <v>7</v>
      </c>
      <c r="EY799" s="27" t="s">
        <v>8</v>
      </c>
      <c r="EZ799" s="27" t="s">
        <v>7</v>
      </c>
      <c r="FA799" s="27" t="s">
        <v>8</v>
      </c>
    </row>
    <row r="800" spans="1:193" x14ac:dyDescent="0.25">
      <c r="A800" s="7">
        <v>1.4728666029432878E-2</v>
      </c>
      <c r="B800"/>
      <c r="C800"/>
      <c r="D800"/>
      <c r="E800"/>
      <c r="F800" s="27" t="s">
        <v>7</v>
      </c>
      <c r="Q800" s="27" t="s">
        <v>8</v>
      </c>
      <c r="Z800" s="27" t="s">
        <v>7</v>
      </c>
      <c r="CG800" s="27" t="s">
        <v>8</v>
      </c>
      <c r="CH800" s="27" t="s">
        <v>7</v>
      </c>
      <c r="CI800" s="27" t="s">
        <v>8</v>
      </c>
      <c r="CQ800" s="27" t="s">
        <v>8</v>
      </c>
      <c r="EX800" s="27" t="s">
        <v>7</v>
      </c>
      <c r="EY800" s="27" t="s">
        <v>8</v>
      </c>
      <c r="EZ800" s="27" t="s">
        <v>7</v>
      </c>
      <c r="FA800" s="27" t="s">
        <v>8</v>
      </c>
    </row>
    <row r="801" spans="1:157" x14ac:dyDescent="0.25">
      <c r="A801" s="7">
        <v>1.4439868656306743E-2</v>
      </c>
      <c r="B801"/>
      <c r="C801"/>
      <c r="D801"/>
      <c r="E801"/>
      <c r="F801" s="27" t="s">
        <v>7</v>
      </c>
      <c r="Q801" s="27" t="s">
        <v>8</v>
      </c>
      <c r="Z801" s="27" t="s">
        <v>7</v>
      </c>
      <c r="CA801" s="27" t="s">
        <v>8</v>
      </c>
      <c r="CG801" s="27" t="s">
        <v>8</v>
      </c>
      <c r="CH801" s="27" t="s">
        <v>7</v>
      </c>
      <c r="CI801" s="27" t="s">
        <v>8</v>
      </c>
      <c r="CJ801" s="27" t="s">
        <v>7</v>
      </c>
      <c r="CQ801" s="27" t="s">
        <v>8</v>
      </c>
      <c r="EX801" s="27" t="s">
        <v>7</v>
      </c>
      <c r="EY801" s="27" t="s">
        <v>8</v>
      </c>
      <c r="EZ801" s="27" t="s">
        <v>7</v>
      </c>
      <c r="FA801" s="27" t="s">
        <v>8</v>
      </c>
    </row>
    <row r="802" spans="1:157" x14ac:dyDescent="0.25">
      <c r="A802" s="7">
        <v>1.4156733976771318E-2</v>
      </c>
      <c r="B802"/>
      <c r="C802"/>
      <c r="D802"/>
      <c r="E802"/>
      <c r="F802" s="27" t="s">
        <v>7</v>
      </c>
      <c r="Q802" s="27" t="s">
        <v>8</v>
      </c>
      <c r="Z802" s="27" t="s">
        <v>7</v>
      </c>
      <c r="CA802" s="27" t="s">
        <v>8</v>
      </c>
      <c r="CB802" s="27" t="s">
        <v>7</v>
      </c>
      <c r="CC802" s="27" t="s">
        <v>8</v>
      </c>
      <c r="CG802" s="27" t="s">
        <v>8</v>
      </c>
      <c r="CH802" s="27" t="s">
        <v>7</v>
      </c>
      <c r="CI802" s="27" t="s">
        <v>8</v>
      </c>
      <c r="CJ802" s="27" t="s">
        <v>7</v>
      </c>
      <c r="CM802" s="27" t="s">
        <v>8</v>
      </c>
      <c r="CQ802" s="27" t="s">
        <v>8</v>
      </c>
      <c r="EX802" s="27" t="s">
        <v>7</v>
      </c>
      <c r="EY802" s="27" t="s">
        <v>8</v>
      </c>
      <c r="EZ802" s="27" t="s">
        <v>7</v>
      </c>
      <c r="FA802" s="27" t="s">
        <v>8</v>
      </c>
    </row>
    <row r="803" spans="1:157" x14ac:dyDescent="0.25">
      <c r="A803" s="7">
        <v>1.3879150957618939E-2</v>
      </c>
      <c r="B803"/>
      <c r="C803"/>
      <c r="D803"/>
      <c r="E803"/>
      <c r="F803" s="27" t="s">
        <v>7</v>
      </c>
      <c r="Q803" s="27" t="s">
        <v>8</v>
      </c>
      <c r="Z803" s="27" t="s">
        <v>7</v>
      </c>
      <c r="CA803" s="27" t="s">
        <v>8</v>
      </c>
      <c r="CB803" s="27" t="s">
        <v>7</v>
      </c>
      <c r="CC803" s="27" t="s">
        <v>8</v>
      </c>
      <c r="CD803" s="27" t="s">
        <v>7</v>
      </c>
      <c r="CG803" s="27" t="s">
        <v>8</v>
      </c>
      <c r="CH803" s="27" t="s">
        <v>7</v>
      </c>
      <c r="CI803" s="27" t="s">
        <v>8</v>
      </c>
      <c r="CJ803" s="27" t="s">
        <v>7</v>
      </c>
      <c r="CM803" s="27" t="s">
        <v>8</v>
      </c>
      <c r="CN803" s="27" t="s">
        <v>7</v>
      </c>
      <c r="CO803" s="27" t="s">
        <v>8</v>
      </c>
      <c r="CQ803" s="27" t="s">
        <v>8</v>
      </c>
      <c r="EX803" s="27" t="s">
        <v>7</v>
      </c>
      <c r="EY803" s="27" t="s">
        <v>8</v>
      </c>
      <c r="EZ803" s="27" t="s">
        <v>7</v>
      </c>
      <c r="FA803" s="27" t="s">
        <v>8</v>
      </c>
    </row>
    <row r="804" spans="1:157" x14ac:dyDescent="0.25">
      <c r="A804" s="7">
        <v>1.3607010742763666E-2</v>
      </c>
      <c r="B804"/>
      <c r="C804"/>
      <c r="D804"/>
      <c r="E804"/>
      <c r="F804" s="27" t="s">
        <v>7</v>
      </c>
      <c r="Q804" s="27" t="s">
        <v>8</v>
      </c>
      <c r="Z804" s="27" t="s">
        <v>7</v>
      </c>
      <c r="AA804" s="27" t="s">
        <v>8</v>
      </c>
      <c r="CA804" s="27" t="s">
        <v>8</v>
      </c>
      <c r="CB804" s="27" t="s">
        <v>7</v>
      </c>
      <c r="CC804" s="27" t="s">
        <v>8</v>
      </c>
      <c r="CD804" s="27" t="s">
        <v>7</v>
      </c>
      <c r="CG804" s="27" t="s">
        <v>8</v>
      </c>
      <c r="CH804" s="27" t="s">
        <v>7</v>
      </c>
      <c r="CI804" s="27" t="s">
        <v>8</v>
      </c>
      <c r="CJ804" s="27" t="s">
        <v>7</v>
      </c>
      <c r="CM804" s="27" t="s">
        <v>8</v>
      </c>
      <c r="CN804" s="27" t="s">
        <v>7</v>
      </c>
      <c r="CO804" s="27" t="s">
        <v>8</v>
      </c>
      <c r="CP804" s="27" t="s">
        <v>7</v>
      </c>
      <c r="CQ804" s="27" t="s">
        <v>8</v>
      </c>
      <c r="EX804" s="27" t="s">
        <v>7</v>
      </c>
      <c r="EY804" s="27" t="s">
        <v>8</v>
      </c>
      <c r="EZ804" s="27" t="s">
        <v>7</v>
      </c>
      <c r="FA804" s="27" t="s">
        <v>8</v>
      </c>
    </row>
    <row r="805" spans="1:157" x14ac:dyDescent="0.25">
      <c r="A805" s="7">
        <v>1.3340206610552614E-2</v>
      </c>
      <c r="B805"/>
      <c r="C805"/>
      <c r="D805"/>
      <c r="E805"/>
      <c r="F805" s="27" t="s">
        <v>7</v>
      </c>
      <c r="Q805" s="27" t="s">
        <v>8</v>
      </c>
      <c r="Z805" s="27" t="s">
        <v>7</v>
      </c>
      <c r="AA805" s="27" t="s">
        <v>8</v>
      </c>
      <c r="AB805" s="27" t="s">
        <v>7</v>
      </c>
      <c r="AC805" s="27" t="s">
        <v>8</v>
      </c>
      <c r="BS805" s="27" t="s">
        <v>8</v>
      </c>
      <c r="CA805" s="27" t="s">
        <v>8</v>
      </c>
      <c r="CB805" s="27" t="s">
        <v>7</v>
      </c>
      <c r="CC805" s="27" t="s">
        <v>8</v>
      </c>
      <c r="CD805" s="27" t="s">
        <v>7</v>
      </c>
      <c r="CG805" s="27" t="s">
        <v>8</v>
      </c>
      <c r="CH805" s="27" t="s">
        <v>7</v>
      </c>
      <c r="CJ805" s="27" t="s">
        <v>7</v>
      </c>
      <c r="CK805" s="27" t="s">
        <v>8</v>
      </c>
      <c r="CM805" s="27" t="s">
        <v>8</v>
      </c>
      <c r="CN805" s="27" t="s">
        <v>7</v>
      </c>
      <c r="CO805" s="27" t="s">
        <v>8</v>
      </c>
      <c r="CP805" s="27" t="s">
        <v>7</v>
      </c>
      <c r="CQ805" s="27" t="s">
        <v>8</v>
      </c>
      <c r="EX805" s="27" t="s">
        <v>7</v>
      </c>
      <c r="EY805" s="27" t="s">
        <v>8</v>
      </c>
      <c r="EZ805" s="27" t="s">
        <v>7</v>
      </c>
      <c r="FA805" s="27" t="s">
        <v>8</v>
      </c>
    </row>
    <row r="806" spans="1:157" x14ac:dyDescent="0.25">
      <c r="A806" s="7">
        <v>1.3078633931914328E-2</v>
      </c>
      <c r="B806"/>
      <c r="C806"/>
      <c r="D806"/>
      <c r="E806"/>
      <c r="F806" s="27" t="s">
        <v>7</v>
      </c>
      <c r="Q806" s="27" t="s">
        <v>8</v>
      </c>
      <c r="Z806" s="27" t="s">
        <v>7</v>
      </c>
      <c r="AA806" s="27" t="s">
        <v>8</v>
      </c>
      <c r="AB806" s="27" t="s">
        <v>7</v>
      </c>
      <c r="AC806" s="27" t="s">
        <v>8</v>
      </c>
      <c r="AD806" s="27" t="s">
        <v>7</v>
      </c>
      <c r="BS806" s="27" t="s">
        <v>8</v>
      </c>
      <c r="BT806" s="27" t="s">
        <v>7</v>
      </c>
      <c r="CA806" s="27" t="s">
        <v>8</v>
      </c>
      <c r="CB806" s="27" t="s">
        <v>7</v>
      </c>
      <c r="CC806" s="27" t="s">
        <v>8</v>
      </c>
      <c r="CD806" s="27" t="s">
        <v>7</v>
      </c>
      <c r="CE806" s="27" t="s">
        <v>8</v>
      </c>
      <c r="CG806" s="27" t="s">
        <v>8</v>
      </c>
      <c r="CJ806" s="27" t="s">
        <v>7</v>
      </c>
      <c r="CK806" s="27" t="s">
        <v>8</v>
      </c>
      <c r="CL806" s="27" t="s">
        <v>7</v>
      </c>
      <c r="CM806" s="27" t="s">
        <v>8</v>
      </c>
      <c r="CN806" s="27" t="s">
        <v>7</v>
      </c>
      <c r="CO806" s="27" t="s">
        <v>8</v>
      </c>
      <c r="CP806" s="27" t="s">
        <v>7</v>
      </c>
      <c r="EX806" s="27" t="s">
        <v>7</v>
      </c>
      <c r="EY806" s="27" t="s">
        <v>8</v>
      </c>
      <c r="EZ806" s="27" t="s">
        <v>7</v>
      </c>
    </row>
    <row r="807" spans="1:157" x14ac:dyDescent="0.25">
      <c r="A807" s="7">
        <v>1.2822190129327771E-2</v>
      </c>
      <c r="B807"/>
      <c r="C807"/>
      <c r="D807"/>
      <c r="E807"/>
      <c r="F807" s="27" t="s">
        <v>7</v>
      </c>
      <c r="Q807" s="27" t="s">
        <v>8</v>
      </c>
      <c r="Z807" s="27" t="s">
        <v>7</v>
      </c>
      <c r="AA807" s="27" t="s">
        <v>8</v>
      </c>
      <c r="AB807" s="27" t="s">
        <v>7</v>
      </c>
      <c r="AC807" s="27" t="s">
        <v>8</v>
      </c>
      <c r="AD807" s="27" t="s">
        <v>7</v>
      </c>
      <c r="BS807" s="27" t="s">
        <v>8</v>
      </c>
      <c r="BT807" s="27" t="s">
        <v>7</v>
      </c>
      <c r="BU807" s="27" t="s">
        <v>8</v>
      </c>
      <c r="CA807" s="27" t="s">
        <v>8</v>
      </c>
      <c r="CB807" s="27" t="s">
        <v>7</v>
      </c>
      <c r="CC807" s="27" t="s">
        <v>8</v>
      </c>
      <c r="CD807" s="27" t="s">
        <v>7</v>
      </c>
      <c r="CE807" s="27" t="s">
        <v>8</v>
      </c>
      <c r="CF807" s="27" t="s">
        <v>7</v>
      </c>
      <c r="CG807" s="27" t="s">
        <v>8</v>
      </c>
      <c r="CJ807" s="27" t="s">
        <v>7</v>
      </c>
      <c r="CK807" s="27" t="s">
        <v>8</v>
      </c>
      <c r="CL807" s="27" t="s">
        <v>7</v>
      </c>
      <c r="CM807" s="27" t="s">
        <v>8</v>
      </c>
      <c r="CN807" s="27" t="s">
        <v>7</v>
      </c>
      <c r="EX807" s="27" t="s">
        <v>7</v>
      </c>
      <c r="EY807" s="27" t="s">
        <v>8</v>
      </c>
    </row>
    <row r="808" spans="1:157" x14ac:dyDescent="0.25">
      <c r="A808" s="7">
        <v>1.2570774636595854E-2</v>
      </c>
      <c r="B808"/>
      <c r="C808"/>
      <c r="D808"/>
      <c r="E808"/>
      <c r="F808" s="27" t="s">
        <v>7</v>
      </c>
      <c r="Q808" s="27" t="s">
        <v>8</v>
      </c>
      <c r="Z808" s="27" t="s">
        <v>7</v>
      </c>
      <c r="AA808" s="27" t="s">
        <v>8</v>
      </c>
      <c r="AB808" s="27" t="s">
        <v>7</v>
      </c>
      <c r="AC808" s="27" t="s">
        <v>8</v>
      </c>
      <c r="AD808" s="27" t="s">
        <v>7</v>
      </c>
      <c r="AK808" s="27" t="s">
        <v>8</v>
      </c>
      <c r="BQ808" s="27" t="s">
        <v>8</v>
      </c>
      <c r="BS808" s="27" t="s">
        <v>8</v>
      </c>
      <c r="BT808" s="27" t="s">
        <v>7</v>
      </c>
      <c r="BU808" s="27" t="s">
        <v>8</v>
      </c>
      <c r="BV808" s="27" t="s">
        <v>7</v>
      </c>
      <c r="CA808" s="27" t="s">
        <v>8</v>
      </c>
      <c r="CB808" s="27" t="s">
        <v>7</v>
      </c>
      <c r="CD808" s="27" t="s">
        <v>7</v>
      </c>
      <c r="CE808" s="27" t="s">
        <v>8</v>
      </c>
      <c r="CF808" s="27" t="s">
        <v>7</v>
      </c>
      <c r="CG808" s="27" t="s">
        <v>8</v>
      </c>
      <c r="CJ808" s="27" t="s">
        <v>7</v>
      </c>
      <c r="CK808" s="27" t="s">
        <v>8</v>
      </c>
      <c r="CL808" s="27" t="s">
        <v>7</v>
      </c>
      <c r="CM808" s="27" t="s">
        <v>8</v>
      </c>
      <c r="EX808" s="27" t="s">
        <v>7</v>
      </c>
    </row>
    <row r="809" spans="1:157" x14ac:dyDescent="0.25">
      <c r="A809" s="7">
        <v>1.23242888594077E-2</v>
      </c>
      <c r="B809"/>
      <c r="C809"/>
      <c r="D809"/>
      <c r="E809"/>
      <c r="F809" s="27" t="s">
        <v>7</v>
      </c>
      <c r="Q809" s="27" t="s">
        <v>8</v>
      </c>
      <c r="Z809" s="27" t="s">
        <v>7</v>
      </c>
      <c r="AB809" s="27" t="s">
        <v>7</v>
      </c>
      <c r="AC809" s="27" t="s">
        <v>8</v>
      </c>
      <c r="AD809" s="27" t="s">
        <v>7</v>
      </c>
      <c r="AK809" s="27" t="s">
        <v>8</v>
      </c>
      <c r="AL809" s="27" t="s">
        <v>7</v>
      </c>
      <c r="BQ809" s="27" t="s">
        <v>8</v>
      </c>
      <c r="BR809" s="27" t="s">
        <v>7</v>
      </c>
      <c r="BS809" s="27" t="s">
        <v>8</v>
      </c>
      <c r="BT809" s="27" t="s">
        <v>7</v>
      </c>
      <c r="BU809" s="27" t="s">
        <v>8</v>
      </c>
      <c r="BV809" s="27" t="s">
        <v>7</v>
      </c>
      <c r="CA809" s="27" t="s">
        <v>8</v>
      </c>
      <c r="CD809" s="27" t="s">
        <v>7</v>
      </c>
      <c r="CE809" s="27" t="s">
        <v>8</v>
      </c>
      <c r="CF809" s="27" t="s">
        <v>7</v>
      </c>
      <c r="CG809" s="27" t="s">
        <v>8</v>
      </c>
      <c r="CJ809" s="27" t="s">
        <v>7</v>
      </c>
      <c r="CL809" s="27" t="s">
        <v>7</v>
      </c>
      <c r="CM809" s="27" t="s">
        <v>8</v>
      </c>
    </row>
    <row r="810" spans="1:157" x14ac:dyDescent="0.25">
      <c r="A810" s="7">
        <v>1.2082636136674216E-2</v>
      </c>
      <c r="B810"/>
      <c r="C810"/>
      <c r="D810"/>
      <c r="E810"/>
      <c r="F810" s="27" t="s">
        <v>7</v>
      </c>
      <c r="Q810" s="27" t="s">
        <v>8</v>
      </c>
      <c r="AB810" s="27" t="s">
        <v>7</v>
      </c>
      <c r="AC810" s="27" t="s">
        <v>8</v>
      </c>
      <c r="AD810" s="27" t="s">
        <v>7</v>
      </c>
      <c r="AK810" s="27" t="s">
        <v>8</v>
      </c>
      <c r="AL810" s="27" t="s">
        <v>7</v>
      </c>
      <c r="BQ810" s="27" t="s">
        <v>8</v>
      </c>
      <c r="BR810" s="27" t="s">
        <v>7</v>
      </c>
      <c r="BS810" s="27" t="s">
        <v>8</v>
      </c>
      <c r="BT810" s="27" t="s">
        <v>7</v>
      </c>
      <c r="BU810" s="27" t="s">
        <v>8</v>
      </c>
      <c r="BV810" s="27" t="s">
        <v>7</v>
      </c>
      <c r="BW810" s="27" t="s">
        <v>8</v>
      </c>
      <c r="CA810" s="27" t="s">
        <v>8</v>
      </c>
      <c r="CD810" s="27" t="s">
        <v>7</v>
      </c>
      <c r="CF810" s="27" t="s">
        <v>7</v>
      </c>
      <c r="CG810" s="27" t="s">
        <v>8</v>
      </c>
      <c r="CL810" s="27" t="s">
        <v>7</v>
      </c>
      <c r="CM810" s="27" t="s">
        <v>8</v>
      </c>
    </row>
    <row r="811" spans="1:157" x14ac:dyDescent="0.25">
      <c r="A811" s="7">
        <v>1.184572170262178E-2</v>
      </c>
      <c r="B811"/>
      <c r="C811"/>
      <c r="D811"/>
      <c r="E811"/>
      <c r="F811" s="27" t="s">
        <v>7</v>
      </c>
      <c r="O811" s="27" t="s">
        <v>8</v>
      </c>
      <c r="Q811" s="27" t="s">
        <v>8</v>
      </c>
      <c r="AB811" s="27" t="s">
        <v>7</v>
      </c>
      <c r="AC811" s="27" t="s">
        <v>8</v>
      </c>
      <c r="AD811" s="27" t="s">
        <v>7</v>
      </c>
      <c r="AK811" s="27" t="s">
        <v>8</v>
      </c>
      <c r="AL811" s="27" t="s">
        <v>7</v>
      </c>
      <c r="BQ811" s="27" t="s">
        <v>8</v>
      </c>
      <c r="BR811" s="27" t="s">
        <v>7</v>
      </c>
      <c r="BS811" s="27" t="s">
        <v>8</v>
      </c>
      <c r="BT811" s="27" t="s">
        <v>7</v>
      </c>
      <c r="BU811" s="27" t="s">
        <v>8</v>
      </c>
      <c r="BV811" s="27" t="s">
        <v>7</v>
      </c>
      <c r="BW811" s="27" t="s">
        <v>8</v>
      </c>
      <c r="BX811" s="27" t="s">
        <v>7</v>
      </c>
      <c r="CA811" s="27" t="s">
        <v>8</v>
      </c>
      <c r="CF811" s="27" t="s">
        <v>7</v>
      </c>
      <c r="CG811" s="27" t="s">
        <v>8</v>
      </c>
      <c r="CL811" s="27" t="s">
        <v>7</v>
      </c>
      <c r="CM811" s="27" t="s">
        <v>8</v>
      </c>
    </row>
    <row r="812" spans="1:157" x14ac:dyDescent="0.25">
      <c r="A812" s="7">
        <v>1.1613452649629196E-2</v>
      </c>
      <c r="B812"/>
      <c r="C812"/>
      <c r="D812"/>
      <c r="E812"/>
      <c r="F812" s="27" t="s">
        <v>7</v>
      </c>
      <c r="O812" s="27" t="s">
        <v>8</v>
      </c>
      <c r="P812" s="27" t="s">
        <v>7</v>
      </c>
      <c r="Q812" s="27" t="s">
        <v>8</v>
      </c>
      <c r="AB812" s="27" t="s">
        <v>7</v>
      </c>
      <c r="AC812" s="27" t="s">
        <v>8</v>
      </c>
      <c r="AD812" s="27" t="s">
        <v>7</v>
      </c>
      <c r="AI812" s="27" t="s">
        <v>8</v>
      </c>
      <c r="AK812" s="27" t="s">
        <v>8</v>
      </c>
      <c r="AL812" s="27" t="s">
        <v>7</v>
      </c>
      <c r="BQ812" s="27" t="s">
        <v>8</v>
      </c>
      <c r="BR812" s="27" t="s">
        <v>7</v>
      </c>
      <c r="BS812" s="27" t="s">
        <v>8</v>
      </c>
      <c r="BT812" s="27" t="s">
        <v>7</v>
      </c>
      <c r="BU812" s="27" t="s">
        <v>8</v>
      </c>
      <c r="BV812" s="27" t="s">
        <v>7</v>
      </c>
      <c r="BW812" s="27" t="s">
        <v>8</v>
      </c>
      <c r="BX812" s="27" t="s">
        <v>7</v>
      </c>
      <c r="BY812" s="27" t="s">
        <v>8</v>
      </c>
      <c r="CA812" s="27" t="s">
        <v>8</v>
      </c>
      <c r="CF812" s="27" t="s">
        <v>7</v>
      </c>
      <c r="CG812" s="27" t="s">
        <v>8</v>
      </c>
      <c r="CL812" s="27" t="s">
        <v>7</v>
      </c>
      <c r="CM812" s="27" t="s">
        <v>8</v>
      </c>
    </row>
    <row r="813" spans="1:157" x14ac:dyDescent="0.25">
      <c r="A813" s="7">
        <v>1.138573789179333E-2</v>
      </c>
      <c r="B813"/>
      <c r="C813"/>
      <c r="D813"/>
      <c r="E813"/>
      <c r="F813" s="27" t="s">
        <v>7</v>
      </c>
      <c r="O813" s="27" t="s">
        <v>8</v>
      </c>
      <c r="P813" s="27" t="s">
        <v>7</v>
      </c>
      <c r="Q813" s="27" t="s">
        <v>8</v>
      </c>
      <c r="AB813" s="27" t="s">
        <v>7</v>
      </c>
      <c r="AC813" s="27" t="s">
        <v>8</v>
      </c>
      <c r="AD813" s="27" t="s">
        <v>7</v>
      </c>
      <c r="AI813" s="27" t="s">
        <v>8</v>
      </c>
      <c r="AJ813" s="27" t="s">
        <v>7</v>
      </c>
      <c r="AK813" s="27" t="s">
        <v>8</v>
      </c>
      <c r="AL813" s="27" t="s">
        <v>7</v>
      </c>
      <c r="BO813" s="27" t="s">
        <v>8</v>
      </c>
      <c r="BQ813" s="27" t="s">
        <v>8</v>
      </c>
      <c r="BR813" s="27" t="s">
        <v>7</v>
      </c>
      <c r="BS813" s="27" t="s">
        <v>8</v>
      </c>
      <c r="BT813" s="27" t="s">
        <v>7</v>
      </c>
      <c r="BU813" s="27" t="s">
        <v>8</v>
      </c>
      <c r="BV813" s="27" t="s">
        <v>7</v>
      </c>
      <c r="BW813" s="27" t="s">
        <v>8</v>
      </c>
      <c r="BX813" s="27" t="s">
        <v>7</v>
      </c>
      <c r="BY813" s="27" t="s">
        <v>8</v>
      </c>
      <c r="BZ813" s="27" t="s">
        <v>7</v>
      </c>
      <c r="CA813" s="27" t="s">
        <v>8</v>
      </c>
      <c r="CF813" s="27" t="s">
        <v>7</v>
      </c>
      <c r="CG813" s="27" t="s">
        <v>8</v>
      </c>
      <c r="CL813" s="27" t="s">
        <v>7</v>
      </c>
    </row>
    <row r="814" spans="1:157" x14ac:dyDescent="0.25">
      <c r="A814" s="7">
        <v>1.1162488129209149E-2</v>
      </c>
      <c r="B814"/>
      <c r="C814"/>
      <c r="D814"/>
      <c r="E814"/>
      <c r="F814" s="27" t="s">
        <v>7</v>
      </c>
      <c r="O814" s="27" t="s">
        <v>8</v>
      </c>
      <c r="P814" s="27" t="s">
        <v>7</v>
      </c>
      <c r="Q814" s="27" t="s">
        <v>8</v>
      </c>
      <c r="AB814" s="27" t="s">
        <v>7</v>
      </c>
      <c r="AC814" s="27" t="s">
        <v>8</v>
      </c>
      <c r="AD814" s="27" t="s">
        <v>7</v>
      </c>
      <c r="AI814" s="27" t="s">
        <v>8</v>
      </c>
      <c r="AJ814" s="27" t="s">
        <v>7</v>
      </c>
      <c r="AK814" s="27" t="s">
        <v>8</v>
      </c>
      <c r="AL814" s="27" t="s">
        <v>7</v>
      </c>
      <c r="BO814" s="27" t="s">
        <v>8</v>
      </c>
      <c r="BP814" s="27" t="s">
        <v>7</v>
      </c>
      <c r="BQ814" s="27" t="s">
        <v>8</v>
      </c>
      <c r="BR814" s="27" t="s">
        <v>7</v>
      </c>
      <c r="BS814" s="27" t="s">
        <v>8</v>
      </c>
      <c r="BT814" s="27" t="s">
        <v>7</v>
      </c>
      <c r="BU814" s="27" t="s">
        <v>8</v>
      </c>
      <c r="BV814" s="27" t="s">
        <v>7</v>
      </c>
      <c r="BW814" s="27" t="s">
        <v>8</v>
      </c>
      <c r="BX814" s="27" t="s">
        <v>7</v>
      </c>
      <c r="BY814" s="27" t="s">
        <v>8</v>
      </c>
      <c r="BZ814" s="27" t="s">
        <v>7</v>
      </c>
      <c r="CA814" s="27" t="s">
        <v>8</v>
      </c>
      <c r="CF814" s="27" t="s">
        <v>7</v>
      </c>
    </row>
    <row r="815" spans="1:157" x14ac:dyDescent="0.25">
      <c r="A815" s="7">
        <v>1.0943615812950145E-2</v>
      </c>
      <c r="B815"/>
      <c r="C815"/>
      <c r="D815"/>
      <c r="E815"/>
      <c r="F815" s="27" t="s">
        <v>7</v>
      </c>
      <c r="O815" s="27" t="s">
        <v>8</v>
      </c>
      <c r="P815" s="27" t="s">
        <v>7</v>
      </c>
      <c r="Q815" s="27" t="s">
        <v>8</v>
      </c>
      <c r="AB815" s="27" t="s">
        <v>7</v>
      </c>
      <c r="AD815" s="27" t="s">
        <v>7</v>
      </c>
      <c r="AI815" s="27" t="s">
        <v>8</v>
      </c>
      <c r="AJ815" s="27" t="s">
        <v>7</v>
      </c>
      <c r="AL815" s="27" t="s">
        <v>7</v>
      </c>
      <c r="BO815" s="27" t="s">
        <v>8</v>
      </c>
      <c r="BP815" s="27" t="s">
        <v>7</v>
      </c>
      <c r="BQ815" s="27" t="s">
        <v>8</v>
      </c>
      <c r="BR815" s="27" t="s">
        <v>7</v>
      </c>
      <c r="BS815" s="27" t="s">
        <v>8</v>
      </c>
      <c r="BT815" s="27" t="s">
        <v>7</v>
      </c>
      <c r="BU815" s="27" t="s">
        <v>8</v>
      </c>
      <c r="BV815" s="27" t="s">
        <v>7</v>
      </c>
      <c r="BW815" s="27" t="s">
        <v>8</v>
      </c>
      <c r="BX815" s="27" t="s">
        <v>7</v>
      </c>
      <c r="BZ815" s="27" t="s">
        <v>7</v>
      </c>
      <c r="CA815" s="27" t="s">
        <v>8</v>
      </c>
    </row>
    <row r="816" spans="1:157" x14ac:dyDescent="0.25">
      <c r="A816" s="7">
        <v>1.0729035110735436E-2</v>
      </c>
      <c r="B816"/>
      <c r="C816"/>
      <c r="D816"/>
      <c r="E816"/>
      <c r="F816" s="27" t="s">
        <v>7</v>
      </c>
      <c r="O816" s="27" t="s">
        <v>8</v>
      </c>
      <c r="P816" s="27" t="s">
        <v>7</v>
      </c>
      <c r="AD816" s="27" t="s">
        <v>7</v>
      </c>
      <c r="AI816" s="27" t="s">
        <v>8</v>
      </c>
      <c r="AL816" s="27" t="s">
        <v>7</v>
      </c>
      <c r="BK816" s="27" t="s">
        <v>8</v>
      </c>
      <c r="BO816" s="27" t="s">
        <v>8</v>
      </c>
      <c r="BP816" s="27" t="s">
        <v>7</v>
      </c>
      <c r="BQ816" s="27" t="s">
        <v>8</v>
      </c>
      <c r="BR816" s="27" t="s">
        <v>7</v>
      </c>
      <c r="BS816" s="27" t="s">
        <v>8</v>
      </c>
      <c r="BT816" s="27" t="s">
        <v>7</v>
      </c>
      <c r="BU816" s="27" t="s">
        <v>8</v>
      </c>
      <c r="BV816" s="27" t="s">
        <v>7</v>
      </c>
      <c r="BW816" s="27" t="s">
        <v>8</v>
      </c>
      <c r="BZ816" s="27" t="s">
        <v>7</v>
      </c>
      <c r="CA816" s="27" t="s">
        <v>8</v>
      </c>
    </row>
    <row r="817" spans="1:78" x14ac:dyDescent="0.25">
      <c r="A817" s="7">
        <v>1.0518661873270036E-2</v>
      </c>
      <c r="B817"/>
      <c r="C817"/>
      <c r="D817"/>
      <c r="E817"/>
      <c r="F817" s="27" t="s">
        <v>7</v>
      </c>
      <c r="G817" s="27" t="s">
        <v>8</v>
      </c>
      <c r="O817" s="27" t="s">
        <v>8</v>
      </c>
      <c r="AD817" s="27" t="s">
        <v>7</v>
      </c>
      <c r="AI817" s="27" t="s">
        <v>8</v>
      </c>
      <c r="AL817" s="27" t="s">
        <v>7</v>
      </c>
      <c r="BK817" s="27" t="s">
        <v>8</v>
      </c>
      <c r="BL817" s="27" t="s">
        <v>7</v>
      </c>
      <c r="BM817" s="27" t="s">
        <v>8</v>
      </c>
      <c r="BO817" s="27" t="s">
        <v>8</v>
      </c>
      <c r="BP817" s="27" t="s">
        <v>7</v>
      </c>
      <c r="BQ817" s="27" t="s">
        <v>8</v>
      </c>
      <c r="BR817" s="27" t="s">
        <v>7</v>
      </c>
      <c r="BS817" s="27" t="s">
        <v>8</v>
      </c>
      <c r="BT817" s="27" t="s">
        <v>7</v>
      </c>
      <c r="BU817" s="27" t="s">
        <v>8</v>
      </c>
      <c r="BV817" s="27" t="s">
        <v>7</v>
      </c>
      <c r="BW817" s="27" t="s">
        <v>8</v>
      </c>
      <c r="BZ817" s="27" t="s">
        <v>7</v>
      </c>
    </row>
    <row r="818" spans="1:78" x14ac:dyDescent="0.25">
      <c r="A818" s="7">
        <v>1.0312413601245135E-2</v>
      </c>
      <c r="B818"/>
      <c r="C818"/>
      <c r="D818"/>
      <c r="E818"/>
      <c r="F818" s="27" t="s">
        <v>7</v>
      </c>
      <c r="G818" s="27" t="s">
        <v>8</v>
      </c>
      <c r="H818" s="27" t="s">
        <v>7</v>
      </c>
      <c r="O818" s="27" t="s">
        <v>8</v>
      </c>
      <c r="AD818" s="27" t="s">
        <v>7</v>
      </c>
      <c r="AG818" s="27" t="s">
        <v>8</v>
      </c>
      <c r="AI818" s="27" t="s">
        <v>8</v>
      </c>
      <c r="AL818" s="27" t="s">
        <v>7</v>
      </c>
      <c r="BK818" s="27" t="s">
        <v>8</v>
      </c>
      <c r="BL818" s="27" t="s">
        <v>7</v>
      </c>
      <c r="BM818" s="27" t="s">
        <v>8</v>
      </c>
      <c r="BN818" s="27" t="s">
        <v>7</v>
      </c>
      <c r="BO818" s="27" t="s">
        <v>8</v>
      </c>
      <c r="BP818" s="27" t="s">
        <v>7</v>
      </c>
      <c r="BQ818" s="27" t="s">
        <v>8</v>
      </c>
      <c r="BR818" s="27" t="s">
        <v>7</v>
      </c>
      <c r="BT818" s="27" t="s">
        <v>7</v>
      </c>
      <c r="BU818" s="27" t="s">
        <v>8</v>
      </c>
      <c r="BV818" s="27" t="s">
        <v>7</v>
      </c>
      <c r="BW818" s="27" t="s">
        <v>8</v>
      </c>
    </row>
    <row r="819" spans="1:78" x14ac:dyDescent="0.25">
      <c r="A819" s="7">
        <v>1.0110209412985426E-2</v>
      </c>
      <c r="B819"/>
      <c r="C819"/>
      <c r="D819"/>
      <c r="E819"/>
      <c r="F819" s="27" t="s">
        <v>7</v>
      </c>
      <c r="G819" s="27" t="s">
        <v>8</v>
      </c>
      <c r="H819" s="27" t="s">
        <v>7</v>
      </c>
      <c r="O819" s="27" t="s">
        <v>8</v>
      </c>
      <c r="AD819" s="27" t="s">
        <v>7</v>
      </c>
      <c r="AE819" s="27" t="s">
        <v>8</v>
      </c>
      <c r="AG819" s="27" t="s">
        <v>8</v>
      </c>
      <c r="AH819" s="27" t="s">
        <v>7</v>
      </c>
      <c r="AI819" s="27" t="s">
        <v>8</v>
      </c>
      <c r="AL819" s="27" t="s">
        <v>7</v>
      </c>
      <c r="AM819" s="27" t="s">
        <v>8</v>
      </c>
      <c r="BI819" s="27" t="s">
        <v>8</v>
      </c>
      <c r="BK819" s="27" t="s">
        <v>8</v>
      </c>
      <c r="BL819" s="27" t="s">
        <v>7</v>
      </c>
      <c r="BM819" s="27" t="s">
        <v>8</v>
      </c>
      <c r="BN819" s="27" t="s">
        <v>7</v>
      </c>
      <c r="BO819" s="27" t="s">
        <v>8</v>
      </c>
      <c r="BP819" s="27" t="s">
        <v>7</v>
      </c>
      <c r="BQ819" s="27" t="s">
        <v>8</v>
      </c>
      <c r="BT819" s="27" t="s">
        <v>7</v>
      </c>
      <c r="BV819" s="27" t="s">
        <v>7</v>
      </c>
    </row>
    <row r="820" spans="1:78" x14ac:dyDescent="0.25">
      <c r="A820" s="7">
        <v>9.9119700127308103E-3</v>
      </c>
      <c r="B820"/>
      <c r="C820"/>
      <c r="D820"/>
      <c r="E820"/>
      <c r="F820" s="27" t="s">
        <v>7</v>
      </c>
      <c r="G820" s="27" t="s">
        <v>8</v>
      </c>
      <c r="H820" s="27" t="s">
        <v>7</v>
      </c>
      <c r="O820" s="27" t="s">
        <v>8</v>
      </c>
      <c r="AD820" s="27" t="s">
        <v>7</v>
      </c>
      <c r="AE820" s="27" t="s">
        <v>8</v>
      </c>
      <c r="AF820" s="27" t="s">
        <v>7</v>
      </c>
      <c r="AG820" s="27" t="s">
        <v>8</v>
      </c>
      <c r="AH820" s="27" t="s">
        <v>7</v>
      </c>
      <c r="AI820" s="27" t="s">
        <v>8</v>
      </c>
      <c r="AL820" s="27" t="s">
        <v>7</v>
      </c>
      <c r="AM820" s="27" t="s">
        <v>8</v>
      </c>
      <c r="AN820" s="27" t="s">
        <v>7</v>
      </c>
      <c r="BI820" s="27" t="s">
        <v>8</v>
      </c>
      <c r="BJ820" s="27" t="s">
        <v>7</v>
      </c>
      <c r="BK820" s="27" t="s">
        <v>8</v>
      </c>
      <c r="BL820" s="27" t="s">
        <v>7</v>
      </c>
      <c r="BM820" s="27" t="s">
        <v>8</v>
      </c>
      <c r="BN820" s="27" t="s">
        <v>7</v>
      </c>
      <c r="BO820" s="27" t="s">
        <v>8</v>
      </c>
      <c r="BP820" s="27" t="s">
        <v>7</v>
      </c>
      <c r="BQ820" s="27" t="s">
        <v>8</v>
      </c>
    </row>
    <row r="821" spans="1:78" x14ac:dyDescent="0.25">
      <c r="A821" s="7">
        <v>9.717617659540009E-3</v>
      </c>
      <c r="B821"/>
      <c r="C821"/>
      <c r="D821"/>
      <c r="E821"/>
      <c r="F821" s="27" t="s">
        <v>7</v>
      </c>
      <c r="H821" s="27" t="s">
        <v>7</v>
      </c>
      <c r="K821" s="27" t="s">
        <v>8</v>
      </c>
      <c r="M821" s="27" t="s">
        <v>8</v>
      </c>
      <c r="O821" s="27" t="s">
        <v>8</v>
      </c>
      <c r="AD821" s="27" t="s">
        <v>7</v>
      </c>
      <c r="AE821" s="27" t="s">
        <v>8</v>
      </c>
      <c r="AF821" s="27" t="s">
        <v>7</v>
      </c>
      <c r="AG821" s="27" t="s">
        <v>8</v>
      </c>
      <c r="AH821" s="27" t="s">
        <v>7</v>
      </c>
      <c r="AI821" s="27" t="s">
        <v>8</v>
      </c>
      <c r="AL821" s="27" t="s">
        <v>7</v>
      </c>
      <c r="AM821" s="27" t="s">
        <v>8</v>
      </c>
      <c r="AN821" s="27" t="s">
        <v>7</v>
      </c>
      <c r="BI821" s="27" t="s">
        <v>8</v>
      </c>
      <c r="BJ821" s="27" t="s">
        <v>7</v>
      </c>
      <c r="BK821" s="27" t="s">
        <v>8</v>
      </c>
      <c r="BL821" s="27" t="s">
        <v>7</v>
      </c>
      <c r="BM821" s="27" t="s">
        <v>8</v>
      </c>
      <c r="BN821" s="27" t="s">
        <v>7</v>
      </c>
      <c r="BP821" s="27" t="s">
        <v>7</v>
      </c>
      <c r="BQ821" s="27" t="s">
        <v>8</v>
      </c>
    </row>
    <row r="822" spans="1:78" x14ac:dyDescent="0.25">
      <c r="A822" s="7">
        <v>9.5270761368039299E-3</v>
      </c>
      <c r="B822"/>
      <c r="C822"/>
      <c r="D822"/>
      <c r="E822"/>
      <c r="H822" s="27" t="s">
        <v>7</v>
      </c>
      <c r="K822" s="27" t="s">
        <v>8</v>
      </c>
      <c r="L822" s="27" t="s">
        <v>7</v>
      </c>
      <c r="M822" s="27" t="s">
        <v>8</v>
      </c>
      <c r="N822" s="27" t="s">
        <v>7</v>
      </c>
      <c r="O822" s="27" t="s">
        <v>8</v>
      </c>
      <c r="AD822" s="27" t="s">
        <v>7</v>
      </c>
      <c r="AE822" s="27" t="s">
        <v>8</v>
      </c>
      <c r="AF822" s="27" t="s">
        <v>7</v>
      </c>
      <c r="AG822" s="27" t="s">
        <v>8</v>
      </c>
      <c r="AH822" s="27" t="s">
        <v>7</v>
      </c>
      <c r="AI822" s="27" t="s">
        <v>8</v>
      </c>
      <c r="AL822" s="27" t="s">
        <v>7</v>
      </c>
      <c r="AM822" s="27" t="s">
        <v>8</v>
      </c>
      <c r="AN822" s="27" t="s">
        <v>7</v>
      </c>
      <c r="BI822" s="27" t="s">
        <v>8</v>
      </c>
      <c r="BJ822" s="27" t="s">
        <v>7</v>
      </c>
      <c r="BK822" s="27" t="s">
        <v>8</v>
      </c>
      <c r="BL822" s="27" t="s">
        <v>7</v>
      </c>
      <c r="BP822" s="27" t="s">
        <v>7</v>
      </c>
      <c r="BQ822" s="27" t="s">
        <v>8</v>
      </c>
    </row>
    <row r="823" spans="1:78" x14ac:dyDescent="0.25">
      <c r="A823" s="7">
        <v>9.3402707223567936E-3</v>
      </c>
      <c r="B823"/>
      <c r="C823"/>
      <c r="D823"/>
      <c r="E823"/>
      <c r="H823" s="27" t="s">
        <v>7</v>
      </c>
      <c r="I823" s="27" t="s">
        <v>8</v>
      </c>
      <c r="K823" s="27" t="s">
        <v>8</v>
      </c>
      <c r="L823" s="27" t="s">
        <v>7</v>
      </c>
      <c r="M823" s="27" t="s">
        <v>8</v>
      </c>
      <c r="N823" s="27" t="s">
        <v>7</v>
      </c>
      <c r="O823" s="27" t="s">
        <v>8</v>
      </c>
      <c r="AD823" s="27" t="s">
        <v>7</v>
      </c>
      <c r="AE823" s="27" t="s">
        <v>8</v>
      </c>
      <c r="AF823" s="27" t="s">
        <v>7</v>
      </c>
      <c r="AG823" s="27" t="s">
        <v>8</v>
      </c>
      <c r="AH823" s="27" t="s">
        <v>7</v>
      </c>
      <c r="AL823" s="27" t="s">
        <v>7</v>
      </c>
      <c r="AM823" s="27" t="s">
        <v>8</v>
      </c>
      <c r="AN823" s="27" t="s">
        <v>7</v>
      </c>
      <c r="BI823" s="27" t="s">
        <v>8</v>
      </c>
      <c r="BJ823" s="27" t="s">
        <v>7</v>
      </c>
      <c r="BK823" s="27" t="s">
        <v>8</v>
      </c>
      <c r="BP823" s="27" t="s">
        <v>7</v>
      </c>
    </row>
    <row r="824" spans="1:78" x14ac:dyDescent="0.25">
      <c r="A824" s="7">
        <v>9.1571281591733261E-3</v>
      </c>
      <c r="B824"/>
      <c r="C824"/>
      <c r="D824"/>
      <c r="E824"/>
      <c r="H824" s="27" t="s">
        <v>7</v>
      </c>
      <c r="I824" s="27" t="s">
        <v>8</v>
      </c>
      <c r="J824" s="27" t="s">
        <v>7</v>
      </c>
      <c r="K824" s="27" t="s">
        <v>8</v>
      </c>
      <c r="L824" s="27" t="s">
        <v>7</v>
      </c>
      <c r="M824" s="27" t="s">
        <v>8</v>
      </c>
      <c r="N824" s="27" t="s">
        <v>7</v>
      </c>
      <c r="AD824" s="27" t="s">
        <v>7</v>
      </c>
      <c r="AF824" s="27" t="s">
        <v>7</v>
      </c>
      <c r="AL824" s="27" t="s">
        <v>7</v>
      </c>
      <c r="AM824" s="27" t="s">
        <v>8</v>
      </c>
      <c r="AN824" s="27" t="s">
        <v>7</v>
      </c>
      <c r="BI824" s="27" t="s">
        <v>8</v>
      </c>
      <c r="BJ824" s="27" t="s">
        <v>7</v>
      </c>
      <c r="BK824" s="27" t="s">
        <v>8</v>
      </c>
    </row>
    <row r="825" spans="1:78" x14ac:dyDescent="0.25">
      <c r="A825" s="7">
        <v>8.9775766266405148E-3</v>
      </c>
      <c r="B825"/>
      <c r="C825"/>
      <c r="D825"/>
      <c r="E825"/>
      <c r="H825" s="27" t="s">
        <v>7</v>
      </c>
      <c r="I825" s="27" t="s">
        <v>8</v>
      </c>
      <c r="J825" s="27" t="s">
        <v>7</v>
      </c>
      <c r="K825" s="27" t="s">
        <v>8</v>
      </c>
      <c r="L825" s="27" t="s">
        <v>7</v>
      </c>
      <c r="M825" s="27" t="s">
        <v>8</v>
      </c>
      <c r="AL825" s="27" t="s">
        <v>7</v>
      </c>
      <c r="AM825" s="27" t="s">
        <v>8</v>
      </c>
      <c r="AN825" s="27" t="s">
        <v>7</v>
      </c>
      <c r="BI825" s="27" t="s">
        <v>8</v>
      </c>
      <c r="BJ825" s="27" t="s">
        <v>7</v>
      </c>
    </row>
    <row r="826" spans="1:78" x14ac:dyDescent="0.25">
      <c r="A826" s="7">
        <v>8.8015457123926614E-3</v>
      </c>
      <c r="B826"/>
      <c r="C826"/>
      <c r="D826"/>
      <c r="E826"/>
      <c r="H826" s="27" t="s">
        <v>7</v>
      </c>
      <c r="I826" s="27" t="s">
        <v>8</v>
      </c>
      <c r="J826" s="27" t="s">
        <v>7</v>
      </c>
      <c r="K826" s="27" t="s">
        <v>8</v>
      </c>
      <c r="L826" s="27" t="s">
        <v>7</v>
      </c>
      <c r="M826" s="27" t="s">
        <v>8</v>
      </c>
      <c r="AL826" s="27" t="s">
        <v>7</v>
      </c>
      <c r="AM826" s="27" t="s">
        <v>8</v>
      </c>
      <c r="AN826" s="27" t="s">
        <v>7</v>
      </c>
      <c r="BI826" s="27" t="s">
        <v>8</v>
      </c>
    </row>
    <row r="827" spans="1:78" x14ac:dyDescent="0.25">
      <c r="A827" s="7">
        <v>8.6289663846986879E-3</v>
      </c>
      <c r="B827"/>
      <c r="C827"/>
      <c r="D827"/>
      <c r="E827"/>
      <c r="H827" s="27" t="s">
        <v>7</v>
      </c>
      <c r="J827" s="27" t="s">
        <v>7</v>
      </c>
      <c r="K827" s="27" t="s">
        <v>8</v>
      </c>
      <c r="L827" s="27" t="s">
        <v>7</v>
      </c>
      <c r="AL827" s="27" t="s">
        <v>7</v>
      </c>
      <c r="AM827" s="27" t="s">
        <v>8</v>
      </c>
      <c r="AN827" s="27" t="s">
        <v>7</v>
      </c>
      <c r="BI827" s="27" t="s">
        <v>8</v>
      </c>
    </row>
    <row r="828" spans="1:78" x14ac:dyDescent="0.25">
      <c r="A828" s="7">
        <v>8.4597709653908715E-3</v>
      </c>
      <c r="B828"/>
      <c r="C828"/>
      <c r="D828"/>
      <c r="E828"/>
      <c r="J828" s="27" t="s">
        <v>7</v>
      </c>
      <c r="K828" s="27" t="s">
        <v>8</v>
      </c>
      <c r="AL828" s="27" t="s">
        <v>7</v>
      </c>
      <c r="AM828" s="27" t="s">
        <v>8</v>
      </c>
      <c r="AN828" s="27" t="s">
        <v>7</v>
      </c>
      <c r="BE828" s="27" t="s">
        <v>8</v>
      </c>
      <c r="BG828" s="27" t="s">
        <v>8</v>
      </c>
      <c r="BI828" s="27" t="s">
        <v>8</v>
      </c>
    </row>
    <row r="829" spans="1:78" x14ac:dyDescent="0.25">
      <c r="A829" s="7">
        <v>8.2938931033243839E-3</v>
      </c>
      <c r="B829"/>
      <c r="C829"/>
      <c r="D829"/>
      <c r="E829"/>
      <c r="J829" s="27" t="s">
        <v>7</v>
      </c>
      <c r="K829" s="27" t="s">
        <v>8</v>
      </c>
      <c r="AL829" s="27" t="s">
        <v>7</v>
      </c>
      <c r="AN829" s="27" t="s">
        <v>7</v>
      </c>
      <c r="BE829" s="27" t="s">
        <v>8</v>
      </c>
      <c r="BF829" s="27" t="s">
        <v>7</v>
      </c>
      <c r="BG829" s="27" t="s">
        <v>8</v>
      </c>
      <c r="BH829" s="27" t="s">
        <v>7</v>
      </c>
      <c r="BI829" s="27" t="s">
        <v>8</v>
      </c>
    </row>
    <row r="830" spans="1:78" x14ac:dyDescent="0.25">
      <c r="A830" s="7">
        <v>8.1312677483572383E-3</v>
      </c>
      <c r="B830"/>
      <c r="C830"/>
      <c r="D830"/>
      <c r="E830"/>
      <c r="J830" s="27" t="s">
        <v>7</v>
      </c>
      <c r="K830" s="27" t="s">
        <v>8</v>
      </c>
      <c r="AN830" s="27" t="s">
        <v>7</v>
      </c>
      <c r="BE830" s="27" t="s">
        <v>8</v>
      </c>
      <c r="BF830" s="27" t="s">
        <v>7</v>
      </c>
      <c r="BG830" s="27" t="s">
        <v>8</v>
      </c>
      <c r="BH830" s="27" t="s">
        <v>7</v>
      </c>
      <c r="BI830" s="27" t="s">
        <v>8</v>
      </c>
    </row>
    <row r="831" spans="1:78" x14ac:dyDescent="0.25">
      <c r="A831" s="7">
        <v>7.9718311258404305E-3</v>
      </c>
      <c r="B831"/>
      <c r="C831"/>
      <c r="D831"/>
      <c r="E831"/>
      <c r="J831" s="27" t="s">
        <v>7</v>
      </c>
      <c r="AN831" s="27" t="s">
        <v>7</v>
      </c>
      <c r="AY831" s="27" t="s">
        <v>8</v>
      </c>
      <c r="BA831" s="27" t="s">
        <v>8</v>
      </c>
      <c r="BC831" s="27" t="s">
        <v>8</v>
      </c>
      <c r="BE831" s="27" t="s">
        <v>8</v>
      </c>
      <c r="BF831" s="27" t="s">
        <v>7</v>
      </c>
      <c r="BG831" s="27" t="s">
        <v>8</v>
      </c>
      <c r="BH831" s="27" t="s">
        <v>7</v>
      </c>
      <c r="BI831" s="27" t="s">
        <v>8</v>
      </c>
    </row>
    <row r="832" spans="1:78" x14ac:dyDescent="0.25">
      <c r="A832" s="7">
        <v>7.8155207116082648E-3</v>
      </c>
      <c r="B832"/>
      <c r="C832"/>
      <c r="D832"/>
      <c r="E832"/>
      <c r="AN832" s="27" t="s">
        <v>7</v>
      </c>
      <c r="AY832" s="27" t="s">
        <v>8</v>
      </c>
      <c r="AZ832" s="27" t="s">
        <v>7</v>
      </c>
      <c r="BA832" s="27" t="s">
        <v>8</v>
      </c>
      <c r="BB832" s="27" t="s">
        <v>7</v>
      </c>
      <c r="BC832" s="27" t="s">
        <v>8</v>
      </c>
      <c r="BD832" s="27" t="s">
        <v>7</v>
      </c>
      <c r="BE832" s="27" t="s">
        <v>8</v>
      </c>
      <c r="BF832" s="27" t="s">
        <v>7</v>
      </c>
      <c r="BG832" s="27" t="s">
        <v>8</v>
      </c>
      <c r="BH832" s="27" t="s">
        <v>7</v>
      </c>
      <c r="BI832" s="27" t="s">
        <v>8</v>
      </c>
    </row>
    <row r="833" spans="1:60" x14ac:dyDescent="0.25">
      <c r="A833" s="7">
        <v>7.6622752074590825E-3</v>
      </c>
      <c r="B833"/>
      <c r="C833"/>
      <c r="D833"/>
      <c r="E833"/>
      <c r="AN833" s="27" t="s">
        <v>7</v>
      </c>
      <c r="AY833" s="27" t="s">
        <v>8</v>
      </c>
      <c r="AZ833" s="27" t="s">
        <v>7</v>
      </c>
      <c r="BA833" s="27" t="s">
        <v>8</v>
      </c>
      <c r="BB833" s="27" t="s">
        <v>7</v>
      </c>
      <c r="BC833" s="27" t="s">
        <v>8</v>
      </c>
      <c r="BD833" s="27" t="s">
        <v>7</v>
      </c>
      <c r="BE833" s="27" t="s">
        <v>8</v>
      </c>
      <c r="BF833" s="27" t="s">
        <v>7</v>
      </c>
      <c r="BH833" s="27" t="s">
        <v>7</v>
      </c>
    </row>
    <row r="834" spans="1:60" x14ac:dyDescent="0.25">
      <c r="A834" s="7">
        <v>7.5120345171167469E-3</v>
      </c>
      <c r="B834"/>
      <c r="C834"/>
      <c r="D834"/>
      <c r="E834"/>
      <c r="AN834" s="27" t="s">
        <v>7</v>
      </c>
      <c r="AY834" s="27" t="s">
        <v>8</v>
      </c>
      <c r="AZ834" s="27" t="s">
        <v>7</v>
      </c>
      <c r="BB834" s="27" t="s">
        <v>7</v>
      </c>
      <c r="BD834" s="27" t="s">
        <v>7</v>
      </c>
      <c r="BE834" s="27" t="s">
        <v>8</v>
      </c>
    </row>
    <row r="835" spans="1:60" x14ac:dyDescent="0.25">
      <c r="A835" s="7">
        <v>7.3647397226634772E-3</v>
      </c>
      <c r="B835"/>
      <c r="C835"/>
      <c r="D835"/>
      <c r="E835"/>
      <c r="AN835" s="27" t="s">
        <v>7</v>
      </c>
      <c r="AY835" s="27" t="s">
        <v>8</v>
      </c>
      <c r="BD835" s="27" t="s">
        <v>7</v>
      </c>
      <c r="BE835" s="27" t="s">
        <v>8</v>
      </c>
    </row>
    <row r="836" spans="1:60" x14ac:dyDescent="0.25">
      <c r="A836" s="7">
        <v>7.2203330614347815E-3</v>
      </c>
      <c r="B836"/>
      <c r="C836"/>
      <c r="D836"/>
      <c r="E836"/>
      <c r="AN836" s="27" t="s">
        <v>7</v>
      </c>
      <c r="AS836" s="27" t="s">
        <v>8</v>
      </c>
      <c r="AY836" s="27" t="s">
        <v>8</v>
      </c>
      <c r="BD836" s="27" t="s">
        <v>7</v>
      </c>
      <c r="BE836" s="27" t="s">
        <v>8</v>
      </c>
    </row>
    <row r="837" spans="1:60" x14ac:dyDescent="0.25">
      <c r="A837" s="7">
        <v>7.0787579033674327E-3</v>
      </c>
      <c r="B837"/>
      <c r="C837"/>
      <c r="D837"/>
      <c r="E837"/>
      <c r="AN837" s="27" t="s">
        <v>7</v>
      </c>
      <c r="AQ837" s="27" t="s">
        <v>8</v>
      </c>
      <c r="AS837" s="27" t="s">
        <v>8</v>
      </c>
      <c r="AT837" s="27" t="s">
        <v>7</v>
      </c>
      <c r="AU837" s="27" t="s">
        <v>8</v>
      </c>
      <c r="AY837" s="27" t="s">
        <v>8</v>
      </c>
      <c r="BD837" s="27" t="s">
        <v>7</v>
      </c>
      <c r="BE837" s="27" t="s">
        <v>8</v>
      </c>
    </row>
    <row r="838" spans="1:60" x14ac:dyDescent="0.25">
      <c r="A838" s="7">
        <v>6.9399587287916013E-3</v>
      </c>
      <c r="B838"/>
      <c r="C838"/>
      <c r="D838"/>
      <c r="E838"/>
      <c r="AN838" s="27" t="s">
        <v>7</v>
      </c>
      <c r="AQ838" s="27" t="s">
        <v>8</v>
      </c>
      <c r="AR838" s="27" t="s">
        <v>7</v>
      </c>
      <c r="AS838" s="27" t="s">
        <v>8</v>
      </c>
      <c r="AT838" s="27" t="s">
        <v>7</v>
      </c>
      <c r="AU838" s="27" t="s">
        <v>8</v>
      </c>
      <c r="AV838" s="27" t="s">
        <v>7</v>
      </c>
      <c r="AY838" s="27" t="s">
        <v>8</v>
      </c>
      <c r="BD838" s="27" t="s">
        <v>7</v>
      </c>
      <c r="BE838" s="27" t="s">
        <v>8</v>
      </c>
    </row>
    <row r="839" spans="1:60" x14ac:dyDescent="0.25">
      <c r="A839" s="7">
        <v>6.8038811066584333E-3</v>
      </c>
      <c r="B839"/>
      <c r="C839"/>
      <c r="D839"/>
      <c r="E839"/>
      <c r="AN839" s="27" t="s">
        <v>7</v>
      </c>
      <c r="AQ839" s="27" t="s">
        <v>8</v>
      </c>
      <c r="AR839" s="27" t="s">
        <v>7</v>
      </c>
      <c r="AS839" s="27" t="s">
        <v>8</v>
      </c>
      <c r="AT839" s="27" t="s">
        <v>7</v>
      </c>
      <c r="AU839" s="27" t="s">
        <v>8</v>
      </c>
      <c r="AV839" s="27" t="s">
        <v>7</v>
      </c>
      <c r="AY839" s="27" t="s">
        <v>8</v>
      </c>
      <c r="BD839" s="27" t="s">
        <v>7</v>
      </c>
    </row>
    <row r="840" spans="1:60" x14ac:dyDescent="0.25">
      <c r="A840" s="7">
        <v>6.6704716731945425E-3</v>
      </c>
      <c r="B840"/>
      <c r="C840"/>
      <c r="D840"/>
      <c r="E840"/>
      <c r="AN840" s="27" t="s">
        <v>7</v>
      </c>
      <c r="AQ840" s="27" t="s">
        <v>8</v>
      </c>
      <c r="AR840" s="27" t="s">
        <v>7</v>
      </c>
      <c r="AS840" s="27" t="s">
        <v>8</v>
      </c>
      <c r="AT840" s="27" t="s">
        <v>7</v>
      </c>
      <c r="AU840" s="27" t="s">
        <v>8</v>
      </c>
      <c r="AV840" s="27" t="s">
        <v>7</v>
      </c>
      <c r="AY840" s="27" t="s">
        <v>8</v>
      </c>
    </row>
    <row r="841" spans="1:60" x14ac:dyDescent="0.25">
      <c r="A841" s="7">
        <v>6.5396781109750427E-3</v>
      </c>
      <c r="B841"/>
      <c r="C841"/>
      <c r="D841"/>
      <c r="E841"/>
      <c r="AN841" s="27" t="s">
        <v>7</v>
      </c>
      <c r="AQ841" s="27" t="s">
        <v>8</v>
      </c>
      <c r="AR841" s="27" t="s">
        <v>7</v>
      </c>
      <c r="AS841" s="27" t="s">
        <v>8</v>
      </c>
      <c r="AT841" s="27" t="s">
        <v>7</v>
      </c>
      <c r="AU841" s="27" t="s">
        <v>8</v>
      </c>
      <c r="AV841" s="27" t="s">
        <v>7</v>
      </c>
      <c r="AW841" s="27" t="s">
        <v>8</v>
      </c>
      <c r="AY841" s="27" t="s">
        <v>8</v>
      </c>
    </row>
    <row r="842" spans="1:60" x14ac:dyDescent="0.25">
      <c r="A842" s="7">
        <v>6.4114491284069045E-3</v>
      </c>
      <c r="B842"/>
      <c r="C842"/>
      <c r="D842"/>
      <c r="E842"/>
      <c r="AN842" s="27" t="s">
        <v>7</v>
      </c>
      <c r="AQ842" s="27" t="s">
        <v>8</v>
      </c>
      <c r="AR842" s="27" t="s">
        <v>7</v>
      </c>
      <c r="AS842" s="27" t="s">
        <v>8</v>
      </c>
      <c r="AT842" s="27" t="s">
        <v>7</v>
      </c>
      <c r="AV842" s="27" t="s">
        <v>7</v>
      </c>
      <c r="AW842" s="27" t="s">
        <v>8</v>
      </c>
      <c r="AX842" s="27" t="s">
        <v>7</v>
      </c>
      <c r="AY842" s="27" t="s">
        <v>8</v>
      </c>
    </row>
    <row r="843" spans="1:60" x14ac:dyDescent="0.25">
      <c r="A843" s="7">
        <v>6.2857344396146115E-3</v>
      </c>
      <c r="B843"/>
      <c r="C843"/>
      <c r="D843"/>
      <c r="E843"/>
      <c r="AN843" s="27" t="s">
        <v>7</v>
      </c>
      <c r="AQ843" s="27" t="s">
        <v>8</v>
      </c>
      <c r="AR843" s="27" t="s">
        <v>7</v>
      </c>
      <c r="AS843" s="27" t="s">
        <v>8</v>
      </c>
      <c r="AV843" s="27" t="s">
        <v>7</v>
      </c>
      <c r="AW843" s="27" t="s">
        <v>8</v>
      </c>
      <c r="AX843" s="27" t="s">
        <v>7</v>
      </c>
      <c r="AY843" s="27" t="s">
        <v>8</v>
      </c>
    </row>
    <row r="844" spans="1:60" x14ac:dyDescent="0.25">
      <c r="A844" s="7">
        <v>6.1624847447202076E-3</v>
      </c>
      <c r="B844"/>
      <c r="C844"/>
      <c r="D844"/>
      <c r="E844"/>
      <c r="AN844" s="27" t="s">
        <v>7</v>
      </c>
      <c r="AQ844" s="27" t="s">
        <v>8</v>
      </c>
      <c r="AR844" s="27" t="s">
        <v>7</v>
      </c>
      <c r="AS844" s="27" t="s">
        <v>8</v>
      </c>
      <c r="AV844" s="27" t="s">
        <v>7</v>
      </c>
      <c r="AW844" s="27" t="s">
        <v>8</v>
      </c>
      <c r="AX844" s="27" t="s">
        <v>7</v>
      </c>
      <c r="AY844" s="27" t="s">
        <v>8</v>
      </c>
    </row>
    <row r="845" spans="1:60" x14ac:dyDescent="0.25">
      <c r="A845" s="7">
        <v>6.0416517105100079E-3</v>
      </c>
      <c r="B845"/>
      <c r="C845"/>
      <c r="D845"/>
      <c r="E845"/>
      <c r="AN845" s="27" t="s">
        <v>7</v>
      </c>
      <c r="AQ845" s="27" t="s">
        <v>8</v>
      </c>
      <c r="AR845" s="27" t="s">
        <v>7</v>
      </c>
      <c r="AS845" s="27" t="s">
        <v>8</v>
      </c>
      <c r="AV845" s="27" t="s">
        <v>7</v>
      </c>
      <c r="AX845" s="27" t="s">
        <v>7</v>
      </c>
      <c r="AY845" s="27" t="s">
        <v>8</v>
      </c>
    </row>
    <row r="846" spans="1:60" x14ac:dyDescent="0.25">
      <c r="A846" s="7">
        <v>5.9231879514803996E-3</v>
      </c>
      <c r="B846"/>
      <c r="C846"/>
      <c r="D846"/>
      <c r="E846"/>
      <c r="AN846" s="27" t="s">
        <v>7</v>
      </c>
      <c r="AQ846" s="27" t="s">
        <v>8</v>
      </c>
      <c r="AR846" s="27" t="s">
        <v>7</v>
      </c>
      <c r="AS846" s="27" t="s">
        <v>8</v>
      </c>
      <c r="AX846" s="27" t="s">
        <v>7</v>
      </c>
    </row>
    <row r="847" spans="1:60" x14ac:dyDescent="0.25">
      <c r="A847" s="7">
        <v>5.8070470112552936E-3</v>
      </c>
      <c r="B847"/>
      <c r="C847"/>
      <c r="D847"/>
      <c r="E847"/>
      <c r="AN847" s="27" t="s">
        <v>7</v>
      </c>
      <c r="AQ847" s="27" t="s">
        <v>8</v>
      </c>
      <c r="AR847" s="27" t="s">
        <v>7</v>
      </c>
      <c r="AS847" s="27" t="s">
        <v>8</v>
      </c>
    </row>
    <row r="848" spans="1:60" x14ac:dyDescent="0.25">
      <c r="A848" s="7">
        <v>5.6931833443679353E-3</v>
      </c>
      <c r="B848"/>
      <c r="C848"/>
      <c r="D848"/>
      <c r="E848"/>
      <c r="AN848" s="27" t="s">
        <v>7</v>
      </c>
      <c r="AO848" s="27" t="s">
        <v>8</v>
      </c>
      <c r="AQ848" s="27" t="s">
        <v>8</v>
      </c>
      <c r="AR848" s="27" t="s">
        <v>7</v>
      </c>
    </row>
    <row r="849" spans="1:43" x14ac:dyDescent="0.25">
      <c r="A849" s="7">
        <v>5.5815522983999367E-3</v>
      </c>
      <c r="B849"/>
      <c r="C849"/>
      <c r="D849"/>
      <c r="E849"/>
      <c r="AN849" s="27" t="s">
        <v>7</v>
      </c>
      <c r="AO849" s="27" t="s">
        <v>8</v>
      </c>
      <c r="AP849" s="27" t="s">
        <v>7</v>
      </c>
      <c r="AQ849" s="27" t="s">
        <v>8</v>
      </c>
    </row>
    <row r="850" spans="1:43" x14ac:dyDescent="0.25">
      <c r="A850" s="7">
        <v>5.4721100964705257E-3</v>
      </c>
      <c r="B850"/>
      <c r="C850"/>
      <c r="D850"/>
      <c r="E850"/>
      <c r="AN850" s="27" t="s">
        <v>7</v>
      </c>
      <c r="AO850" s="27" t="s">
        <v>8</v>
      </c>
      <c r="AP850" s="27" t="s">
        <v>7</v>
      </c>
      <c r="AQ850" s="27" t="s">
        <v>8</v>
      </c>
    </row>
    <row r="851" spans="1:43" x14ac:dyDescent="0.25">
      <c r="A851" s="7">
        <v>5.3648138200691423E-3</v>
      </c>
      <c r="B851"/>
      <c r="C851"/>
      <c r="D851"/>
      <c r="E851"/>
      <c r="AN851" s="27" t="s">
        <v>7</v>
      </c>
      <c r="AO851" s="27" t="s">
        <v>8</v>
      </c>
      <c r="AP851" s="27" t="s">
        <v>7</v>
      </c>
      <c r="AQ851" s="27" t="s">
        <v>8</v>
      </c>
    </row>
    <row r="852" spans="1:43" x14ac:dyDescent="0.25">
      <c r="A852" s="7">
        <v>5.2596213922246494E-3</v>
      </c>
      <c r="B852"/>
      <c r="C852"/>
      <c r="D852"/>
      <c r="E852"/>
      <c r="AN852" s="27" t="s">
        <v>7</v>
      </c>
      <c r="AO852" s="27" t="s">
        <v>8</v>
      </c>
      <c r="AP852" s="27" t="s">
        <v>7</v>
      </c>
      <c r="AQ852" s="27" t="s">
        <v>8</v>
      </c>
    </row>
    <row r="853" spans="1:43" x14ac:dyDescent="0.25">
      <c r="A853" s="7">
        <v>5.1564915610045588E-3</v>
      </c>
      <c r="B853"/>
      <c r="C853"/>
      <c r="D853"/>
      <c r="E853"/>
      <c r="AN853" s="27" t="s">
        <v>7</v>
      </c>
      <c r="AO853" s="27" t="s">
        <v>8</v>
      </c>
      <c r="AP853" s="27" t="s">
        <v>7</v>
      </c>
      <c r="AQ853" s="27" t="s">
        <v>8</v>
      </c>
    </row>
    <row r="854" spans="1:43" x14ac:dyDescent="0.25">
      <c r="A854" s="7">
        <v>5.0553838833378023E-3</v>
      </c>
      <c r="B854"/>
      <c r="C854"/>
      <c r="D854"/>
      <c r="E854"/>
      <c r="AN854" s="27" t="s">
        <v>7</v>
      </c>
      <c r="AO854" s="27" t="s">
        <v>8</v>
      </c>
      <c r="AP854" s="27" t="s">
        <v>7</v>
      </c>
      <c r="AQ854" s="27" t="s">
        <v>8</v>
      </c>
    </row>
    <row r="855" spans="1:43" x14ac:dyDescent="0.25">
      <c r="A855" s="7">
        <v>4.9562587091547079E-3</v>
      </c>
      <c r="B855"/>
      <c r="C855"/>
      <c r="D855"/>
      <c r="E855"/>
      <c r="AN855" s="27" t="s">
        <v>7</v>
      </c>
      <c r="AO855" s="27" t="s">
        <v>8</v>
      </c>
      <c r="AP855" s="27" t="s">
        <v>7</v>
      </c>
      <c r="AQ855" s="27" t="s">
        <v>8</v>
      </c>
    </row>
    <row r="856" spans="1:43" x14ac:dyDescent="0.25">
      <c r="A856" s="7">
        <v>4.8590771658379491E-3</v>
      </c>
      <c r="B856"/>
      <c r="C856"/>
      <c r="D856"/>
      <c r="E856"/>
      <c r="AN856" s="27" t="s">
        <v>7</v>
      </c>
      <c r="AO856" s="27" t="s">
        <v>8</v>
      </c>
      <c r="AP856" s="27" t="s">
        <v>7</v>
      </c>
      <c r="AQ856" s="27" t="s">
        <v>8</v>
      </c>
    </row>
    <row r="857" spans="1:43" x14ac:dyDescent="0.25">
      <c r="A857" s="7">
        <v>4.7638011429783815E-3</v>
      </c>
      <c r="B857"/>
      <c r="C857"/>
      <c r="D857"/>
      <c r="E857"/>
      <c r="AN857" s="27" t="s">
        <v>7</v>
      </c>
      <c r="AO857" s="27" t="s">
        <v>8</v>
      </c>
      <c r="AP857" s="27" t="s">
        <v>7</v>
      </c>
      <c r="AQ857" s="27" t="s">
        <v>8</v>
      </c>
    </row>
    <row r="858" spans="1:43" x14ac:dyDescent="0.25">
      <c r="A858" s="7">
        <v>4.6703932774297859E-3</v>
      </c>
      <c r="B858"/>
      <c r="C858"/>
      <c r="D858"/>
      <c r="E858"/>
      <c r="AN858" s="27" t="s">
        <v>7</v>
      </c>
      <c r="AO858" s="27" t="s">
        <v>8</v>
      </c>
      <c r="AP858" s="27" t="s">
        <v>7</v>
      </c>
      <c r="AQ858" s="27" t="s">
        <v>8</v>
      </c>
    </row>
    <row r="859" spans="1:43" x14ac:dyDescent="0.25">
      <c r="A859" s="7">
        <v>4.5788169386566527E-3</v>
      </c>
      <c r="B859"/>
      <c r="C859"/>
      <c r="D859"/>
      <c r="E859"/>
      <c r="AN859" s="27" t="s">
        <v>7</v>
      </c>
      <c r="AO859" s="27" t="s">
        <v>8</v>
      </c>
      <c r="AP859" s="27" t="s">
        <v>7</v>
      </c>
      <c r="AQ859" s="27" t="s">
        <v>8</v>
      </c>
    </row>
    <row r="860" spans="1:43" x14ac:dyDescent="0.25">
      <c r="A860" s="7">
        <v>4.4890362143692672E-3</v>
      </c>
      <c r="B860"/>
      <c r="C860"/>
      <c r="D860"/>
      <c r="E860"/>
      <c r="AN860" s="27" t="s">
        <v>7</v>
      </c>
      <c r="AO860" s="27" t="s">
        <v>8</v>
      </c>
      <c r="AP860" s="27" t="s">
        <v>7</v>
      </c>
      <c r="AQ860" s="27" t="s">
        <v>8</v>
      </c>
    </row>
    <row r="861" spans="1:43" x14ac:dyDescent="0.25">
      <c r="A861" s="7">
        <v>4.4010158964404578E-3</v>
      </c>
      <c r="B861"/>
      <c r="C861"/>
      <c r="D861"/>
      <c r="E861"/>
      <c r="AN861" s="27" t="s">
        <v>7</v>
      </c>
      <c r="AO861" s="27" t="s">
        <v>8</v>
      </c>
      <c r="AP861" s="27" t="s">
        <v>7</v>
      </c>
      <c r="AQ861" s="27" t="s">
        <v>8</v>
      </c>
    </row>
    <row r="862" spans="1:43" x14ac:dyDescent="0.25">
      <c r="A862" s="7">
        <v>4.314721467098488E-3</v>
      </c>
      <c r="B862"/>
      <c r="C862"/>
      <c r="D862"/>
      <c r="E862"/>
      <c r="AN862" s="27" t="s">
        <v>7</v>
      </c>
      <c r="AO862" s="27" t="s">
        <v>8</v>
      </c>
      <c r="AP862" s="27" t="s">
        <v>7</v>
      </c>
      <c r="AQ862" s="27" t="s">
        <v>8</v>
      </c>
    </row>
    <row r="863" spans="1:43" x14ac:dyDescent="0.25">
      <c r="A863" s="7">
        <v>4.2301190853906746E-3</v>
      </c>
      <c r="B863"/>
      <c r="C863"/>
      <c r="D863"/>
      <c r="E863"/>
      <c r="AN863" s="27" t="s">
        <v>7</v>
      </c>
      <c r="AO863" s="27" t="s">
        <v>8</v>
      </c>
      <c r="AP863" s="27" t="s">
        <v>7</v>
      </c>
      <c r="AQ863" s="27" t="s">
        <v>8</v>
      </c>
    </row>
    <row r="864" spans="1:43" x14ac:dyDescent="0.25">
      <c r="A864" s="7">
        <v>4.1471755739124266E-3</v>
      </c>
      <c r="B864"/>
      <c r="C864"/>
      <c r="D864"/>
      <c r="E864"/>
      <c r="AN864" s="27" t="s">
        <v>7</v>
      </c>
      <c r="AO864" s="27" t="s">
        <v>8</v>
      </c>
      <c r="AP864" s="27" t="s">
        <v>7</v>
      </c>
      <c r="AQ864" s="27" t="s">
        <v>8</v>
      </c>
    </row>
    <row r="865" spans="1:42" x14ac:dyDescent="0.25">
      <c r="A865" s="7">
        <v>4.0658584057964966E-3</v>
      </c>
      <c r="B865"/>
      <c r="C865"/>
      <c r="D865"/>
      <c r="E865"/>
      <c r="AN865" s="27" t="s">
        <v>7</v>
      </c>
      <c r="AO865" s="27" t="s">
        <v>8</v>
      </c>
      <c r="AP865" s="27" t="s">
        <v>7</v>
      </c>
    </row>
    <row r="866" spans="1:42" x14ac:dyDescent="0.25">
      <c r="A866" s="7">
        <v>3.9861356919573491E-3</v>
      </c>
      <c r="B866"/>
      <c r="C866"/>
      <c r="D866"/>
      <c r="E866"/>
      <c r="AN866" s="27" t="s">
        <v>7</v>
      </c>
      <c r="AO866" s="27" t="s">
        <v>8</v>
      </c>
    </row>
    <row r="867" spans="1:42" x14ac:dyDescent="0.25">
      <c r="A867" s="7">
        <v>3.9079761685856364E-3</v>
      </c>
      <c r="B867"/>
      <c r="C867"/>
      <c r="D867"/>
      <c r="E867"/>
      <c r="AN867" s="27" t="s">
        <v>7</v>
      </c>
      <c r="AO867" s="27" t="s">
        <v>8</v>
      </c>
    </row>
    <row r="868" spans="1:42" x14ac:dyDescent="0.25">
      <c r="A868" s="7">
        <v>3.8313491848878793E-3</v>
      </c>
      <c r="B868"/>
      <c r="C868"/>
      <c r="D868"/>
      <c r="E868"/>
      <c r="AN868" s="27" t="s">
        <v>7</v>
      </c>
      <c r="AO868" s="27" t="s">
        <v>8</v>
      </c>
    </row>
    <row r="869" spans="1:42" x14ac:dyDescent="0.25">
      <c r="A869" s="7">
        <v>3.7562246910665485E-3</v>
      </c>
      <c r="B869"/>
      <c r="C869"/>
      <c r="D869"/>
      <c r="E869"/>
      <c r="AN869" s="27" t="s">
        <v>7</v>
      </c>
      <c r="AO869" s="27" t="s">
        <v>8</v>
      </c>
    </row>
    <row r="870" spans="1:42" x14ac:dyDescent="0.25">
      <c r="A870" s="7">
        <v>3.6825732265358315E-3</v>
      </c>
      <c r="B870"/>
      <c r="C870"/>
      <c r="D870"/>
      <c r="E870"/>
      <c r="AN870" s="27" t="s">
        <v>7</v>
      </c>
      <c r="AO870" s="27" t="s">
        <v>8</v>
      </c>
    </row>
    <row r="871" spans="1:42" x14ac:dyDescent="0.25">
      <c r="A871" s="7">
        <v>3.6103659083684624E-3</v>
      </c>
      <c r="B871"/>
      <c r="C871"/>
      <c r="D871"/>
      <c r="E871"/>
      <c r="AN871" s="27" t="s">
        <v>7</v>
      </c>
      <c r="AO871" s="27" t="s">
        <v>8</v>
      </c>
    </row>
    <row r="872" spans="1:42" x14ac:dyDescent="0.25">
      <c r="A872" s="7">
        <v>3.539574419969081E-3</v>
      </c>
      <c r="B872"/>
      <c r="C872"/>
      <c r="D872"/>
      <c r="E872"/>
      <c r="AN872" s="27" t="s">
        <v>7</v>
      </c>
      <c r="AO872" s="27" t="s">
        <v>8</v>
      </c>
    </row>
    <row r="873" spans="1:42" x14ac:dyDescent="0.25">
      <c r="A873" s="7">
        <v>3.4701709999696872E-3</v>
      </c>
      <c r="B873"/>
      <c r="C873"/>
      <c r="D873"/>
      <c r="E873"/>
      <c r="AN873" s="27" t="s">
        <v>7</v>
      </c>
      <c r="AO873" s="27" t="s">
        <v>8</v>
      </c>
    </row>
    <row r="874" spans="1:42" x14ac:dyDescent="0.25">
      <c r="A874" s="7">
        <v>3.4021284313428307E-3</v>
      </c>
      <c r="B874"/>
      <c r="C874"/>
      <c r="D874"/>
      <c r="E874"/>
      <c r="AN874" s="27" t="s">
        <v>7</v>
      </c>
      <c r="AO874" s="27" t="s">
        <v>8</v>
      </c>
    </row>
    <row r="875" spans="1:42" x14ac:dyDescent="0.25">
      <c r="A875" s="7">
        <v>3.3354200307282654E-3</v>
      </c>
      <c r="B875"/>
      <c r="C875"/>
      <c r="D875"/>
      <c r="E875"/>
      <c r="AN875" s="27" t="s">
        <v>7</v>
      </c>
      <c r="AO875" s="27" t="s">
        <v>8</v>
      </c>
    </row>
    <row r="876" spans="1:42" x14ac:dyDescent="0.25">
      <c r="A876" s="7">
        <v>3.2700196379688881E-3</v>
      </c>
      <c r="B876"/>
      <c r="C876"/>
      <c r="D876"/>
      <c r="E876"/>
      <c r="AN876" s="27" t="s">
        <v>7</v>
      </c>
    </row>
    <row r="877" spans="1:42" x14ac:dyDescent="0.25">
      <c r="A877" s="7">
        <v>3.205901605851851E-3</v>
      </c>
      <c r="B877"/>
      <c r="C877"/>
      <c r="D877"/>
      <c r="E877"/>
    </row>
    <row r="878" spans="1:42" x14ac:dyDescent="0.25">
      <c r="A878" s="7">
        <v>3.1430407900508344E-3</v>
      </c>
      <c r="B878"/>
      <c r="C878"/>
      <c r="D878"/>
      <c r="E878"/>
    </row>
    <row r="879" spans="1:42" x14ac:dyDescent="0.25">
      <c r="A879" s="7">
        <v>3.0814125392655241E-3</v>
      </c>
      <c r="B879"/>
      <c r="C879"/>
      <c r="D879"/>
      <c r="E879"/>
    </row>
    <row r="880" spans="1:42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163" operator="equal">
      <formula>$U$1</formula>
    </cfRule>
    <cfRule type="cellIs" dxfId="89" priority="1164" operator="equal">
      <formula>$S$1</formula>
    </cfRule>
  </conditionalFormatting>
  <conditionalFormatting sqref="D27">
    <cfRule type="cellIs" dxfId="88" priority="1161" operator="equal">
      <formula>$S$1</formula>
    </cfRule>
    <cfRule type="cellIs" dxfId="87" priority="1162" operator="equal">
      <formula>$U$1</formula>
    </cfRule>
  </conditionalFormatting>
  <conditionalFormatting sqref="C164">
    <cfRule type="cellIs" dxfId="86" priority="1159" operator="equal">
      <formula>$U$1</formula>
    </cfRule>
    <cfRule type="cellIs" dxfId="85" priority="1160" operator="equal">
      <formula>$S$1</formula>
    </cfRule>
  </conditionalFormatting>
  <conditionalFormatting sqref="D164">
    <cfRule type="cellIs" dxfId="84" priority="1157" operator="equal">
      <formula>$S$1</formula>
    </cfRule>
    <cfRule type="cellIs" dxfId="83" priority="1158" operator="equal">
      <formula>$U$1</formula>
    </cfRule>
  </conditionalFormatting>
  <conditionalFormatting sqref="C55">
    <cfRule type="cellIs" dxfId="82" priority="1155" operator="equal">
      <formula>$U$1</formula>
    </cfRule>
    <cfRule type="cellIs" dxfId="81" priority="1156" operator="equal">
      <formula>$S$1</formula>
    </cfRule>
  </conditionalFormatting>
  <conditionalFormatting sqref="D55">
    <cfRule type="cellIs" dxfId="80" priority="1153" operator="equal">
      <formula>$S$1</formula>
    </cfRule>
    <cfRule type="cellIs" dxfId="79" priority="1154" operator="equal">
      <formula>$U$1</formula>
    </cfRule>
  </conditionalFormatting>
  <conditionalFormatting sqref="C89">
    <cfRule type="cellIs" dxfId="78" priority="1151" operator="equal">
      <formula>$U$1</formula>
    </cfRule>
    <cfRule type="cellIs" dxfId="77" priority="1152" operator="equal">
      <formula>$S$1</formula>
    </cfRule>
  </conditionalFormatting>
  <conditionalFormatting sqref="D89">
    <cfRule type="cellIs" dxfId="76" priority="1149" operator="equal">
      <formula>$S$1</formula>
    </cfRule>
    <cfRule type="cellIs" dxfId="75" priority="1150" operator="equal">
      <formula>$U$1</formula>
    </cfRule>
  </conditionalFormatting>
  <conditionalFormatting sqref="C136">
    <cfRule type="cellIs" dxfId="74" priority="1147" operator="equal">
      <formula>$U$1</formula>
    </cfRule>
    <cfRule type="cellIs" dxfId="73" priority="1148" operator="equal">
      <formula>$S$1</formula>
    </cfRule>
  </conditionalFormatting>
  <conditionalFormatting sqref="D136">
    <cfRule type="cellIs" dxfId="72" priority="1145" operator="equal">
      <formula>$S$1</formula>
    </cfRule>
    <cfRule type="cellIs" dxfId="71" priority="1146" operator="equal">
      <formula>$U$1</formula>
    </cfRule>
  </conditionalFormatting>
  <conditionalFormatting sqref="C1">
    <cfRule type="cellIs" dxfId="70" priority="114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61" zoomScale="90" zoomScaleNormal="90" workbookViewId="0">
      <pane xSplit="4" topLeftCell="DQ1" activePane="topRight" state="frozen"/>
      <selection activeCell="A109" sqref="A109"/>
      <selection pane="topRight" activeCell="GQ294" sqref="GQ294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$A$293</v>
      </c>
      <c r="D111" s="1" t="str">
        <f>ADDRESS(C121-1,D121,1,1)</f>
        <v>$GQ$293</v>
      </c>
      <c r="E111"/>
    </row>
    <row r="112" spans="1:5" x14ac:dyDescent="0.25">
      <c r="A112" s="30">
        <v>515.50191262726139</v>
      </c>
      <c r="C112" s="1" t="str">
        <f>ADDRESS(C121,1,1,1)</f>
        <v>$A$294</v>
      </c>
      <c r="D112" s="1" t="str">
        <f>ADDRESS(C121,D121-1,1,1)</f>
        <v>$GP$294</v>
      </c>
      <c r="E112"/>
    </row>
    <row r="113" spans="1:5" x14ac:dyDescent="0.25">
      <c r="A113" s="30">
        <v>490.95420250215363</v>
      </c>
      <c r="C113" s="1" t="str">
        <f>ADDRESS(C121+1,1,1,1)</f>
        <v>$A$295</v>
      </c>
      <c r="D113" s="1" t="str">
        <f>ADDRESS(C121-1,D121+1,1,1)</f>
        <v>$GR$293</v>
      </c>
    </row>
    <row r="114" spans="1:5" x14ac:dyDescent="0.25">
      <c r="A114" s="30">
        <v>467.57543095443202</v>
      </c>
      <c r="C114" s="1" t="str">
        <f>ADDRESS(C121,D121,1,1)</f>
        <v>$GQ$294</v>
      </c>
      <c r="D114" s="1" t="str">
        <f>ADDRESS(C121+1,D121+1,1,1)</f>
        <v>$GR$295</v>
      </c>
    </row>
    <row r="115" spans="1:5" x14ac:dyDescent="0.25">
      <c r="A115" s="30">
        <v>445.30993424231622</v>
      </c>
      <c r="C115" s="1" t="str">
        <f>ADDRESS(C121+1,D121,1,1)</f>
        <v>$GQ$295</v>
      </c>
    </row>
    <row r="116" spans="1:5" x14ac:dyDescent="0.25">
      <c r="A116" s="30">
        <v>424.10469927839637</v>
      </c>
      <c r="C116" s="1">
        <f>C117-1</f>
        <v>293</v>
      </c>
    </row>
    <row r="117" spans="1:5" x14ac:dyDescent="0.25">
      <c r="A117" s="30">
        <v>403.9092374079965</v>
      </c>
      <c r="C117" s="1">
        <f>C121</f>
        <v>294</v>
      </c>
      <c r="D117" s="1">
        <f>D121</f>
        <v>199</v>
      </c>
    </row>
    <row r="118" spans="1:5" x14ac:dyDescent="0.25">
      <c r="A118" s="30">
        <v>384.6754641980919</v>
      </c>
      <c r="C118" s="1">
        <f>C117+1</f>
        <v>295</v>
      </c>
      <c r="D118" s="1">
        <f>D117+1</f>
        <v>200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294</v>
      </c>
      <c r="D121" s="19">
        <v>199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R294</v>
      </c>
      <c r="D123" s="1" t="str">
        <f>"C"&amp;D121</f>
        <v>C199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7.1742721991251604E-2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186" x14ac:dyDescent="0.25">
      <c r="A257" s="30">
        <v>0.43629668761085438</v>
      </c>
      <c r="B257"/>
      <c r="C257"/>
      <c r="D257"/>
      <c r="E257"/>
      <c r="F257" s="27" t="s">
        <v>7</v>
      </c>
    </row>
    <row r="258" spans="1:186" x14ac:dyDescent="0.25">
      <c r="A258" s="30">
        <v>0.41552065486748019</v>
      </c>
      <c r="B258"/>
      <c r="C258"/>
      <c r="D258"/>
      <c r="E258"/>
      <c r="F258" s="27" t="s">
        <v>7</v>
      </c>
    </row>
    <row r="259" spans="1:186" x14ac:dyDescent="0.25">
      <c r="A259" s="30">
        <v>0.39573395701664765</v>
      </c>
      <c r="B259"/>
      <c r="C259"/>
      <c r="D259"/>
      <c r="E259"/>
      <c r="F259" s="27" t="s">
        <v>7</v>
      </c>
    </row>
    <row r="260" spans="1:186" x14ac:dyDescent="0.25">
      <c r="A260" s="30">
        <v>0.37688948287299762</v>
      </c>
      <c r="B260"/>
      <c r="C260"/>
      <c r="D260"/>
      <c r="E260"/>
      <c r="F260" s="27" t="s">
        <v>7</v>
      </c>
    </row>
    <row r="261" spans="1:186" x14ac:dyDescent="0.25">
      <c r="A261" s="30">
        <v>0.35894236464094997</v>
      </c>
      <c r="B261"/>
      <c r="C261"/>
      <c r="D261"/>
      <c r="E261"/>
      <c r="F261" s="27" t="s">
        <v>7</v>
      </c>
    </row>
    <row r="262" spans="1:186" x14ac:dyDescent="0.25">
      <c r="A262" s="30">
        <v>0.34184987108661891</v>
      </c>
      <c r="B262"/>
      <c r="C262"/>
      <c r="D262"/>
      <c r="E262"/>
      <c r="F262" s="27" t="s">
        <v>7</v>
      </c>
    </row>
    <row r="263" spans="1:186" x14ac:dyDescent="0.25">
      <c r="A263" s="30">
        <v>0.32557130579677979</v>
      </c>
      <c r="B263"/>
      <c r="C263"/>
      <c r="D263"/>
      <c r="E263"/>
      <c r="F263" s="27" t="s">
        <v>7</v>
      </c>
    </row>
    <row r="264" spans="1:186" x14ac:dyDescent="0.25">
      <c r="A264" s="30">
        <v>0.3100679102826473</v>
      </c>
      <c r="B264"/>
      <c r="C264"/>
      <c r="D264"/>
      <c r="E264"/>
      <c r="F264" s="27" t="s">
        <v>7</v>
      </c>
    </row>
    <row r="265" spans="1:186" x14ac:dyDescent="0.25">
      <c r="A265" s="30">
        <v>0.2953027716977592</v>
      </c>
      <c r="B265"/>
      <c r="C265"/>
      <c r="D265"/>
      <c r="E265"/>
      <c r="F265" s="27" t="s">
        <v>7</v>
      </c>
    </row>
    <row r="266" spans="1:186" x14ac:dyDescent="0.25">
      <c r="A266" s="30">
        <v>0.28124073495024676</v>
      </c>
      <c r="B266"/>
      <c r="C266"/>
      <c r="D266"/>
      <c r="E266"/>
      <c r="F266" s="27" t="s">
        <v>7</v>
      </c>
    </row>
    <row r="267" spans="1:186" x14ac:dyDescent="0.25">
      <c r="A267" s="30">
        <v>0.26784831900023492</v>
      </c>
      <c r="B267"/>
      <c r="C267"/>
      <c r="D267"/>
      <c r="E267"/>
      <c r="F267" s="27" t="s">
        <v>7</v>
      </c>
      <c r="FY267" s="27" t="s">
        <v>8</v>
      </c>
    </row>
    <row r="268" spans="1:186" x14ac:dyDescent="0.25">
      <c r="A268" s="30">
        <v>0.25509363714308075</v>
      </c>
      <c r="B268"/>
      <c r="C268"/>
      <c r="D268"/>
      <c r="E268"/>
      <c r="F268" s="27" t="s">
        <v>7</v>
      </c>
      <c r="FY268" s="27" t="s">
        <v>8</v>
      </c>
      <c r="FZ268" s="27" t="s">
        <v>7</v>
      </c>
    </row>
    <row r="269" spans="1:186" x14ac:dyDescent="0.25">
      <c r="A269" s="30">
        <v>0.24294632108864825</v>
      </c>
      <c r="B269"/>
      <c r="C269"/>
      <c r="D269"/>
      <c r="E269"/>
      <c r="F269" s="27" t="s">
        <v>7</v>
      </c>
      <c r="FY269" s="27" t="s">
        <v>8</v>
      </c>
      <c r="FZ269" s="27" t="s">
        <v>7</v>
      </c>
    </row>
    <row r="270" spans="1:186" x14ac:dyDescent="0.25">
      <c r="A270" s="30">
        <v>0.23137744865585538</v>
      </c>
      <c r="B270"/>
      <c r="C270"/>
      <c r="D270"/>
      <c r="E270"/>
      <c r="F270" s="27" t="s">
        <v>7</v>
      </c>
      <c r="FY270" s="27" t="s">
        <v>8</v>
      </c>
      <c r="FZ270" s="27" t="s">
        <v>7</v>
      </c>
      <c r="GC270" s="27" t="s">
        <v>8</v>
      </c>
    </row>
    <row r="271" spans="1:186" x14ac:dyDescent="0.25">
      <c r="A271" s="30">
        <v>0.22035947491033836</v>
      </c>
      <c r="B271"/>
      <c r="C271"/>
      <c r="D271"/>
      <c r="E271"/>
      <c r="F271" s="27" t="s">
        <v>7</v>
      </c>
      <c r="FY271" s="27" t="s">
        <v>8</v>
      </c>
      <c r="FZ271" s="27" t="s">
        <v>7</v>
      </c>
      <c r="GC271" s="27" t="s">
        <v>8</v>
      </c>
      <c r="GD271" s="27" t="s">
        <v>7</v>
      </c>
    </row>
    <row r="272" spans="1:186" x14ac:dyDescent="0.25">
      <c r="A272" s="30">
        <v>0.20986616658127455</v>
      </c>
      <c r="B272"/>
      <c r="C272"/>
      <c r="D272"/>
      <c r="E272"/>
      <c r="F272" s="27" t="s">
        <v>7</v>
      </c>
      <c r="FY272" s="27" t="s">
        <v>8</v>
      </c>
      <c r="FZ272" s="27" t="s">
        <v>7</v>
      </c>
      <c r="GA272" s="27" t="s">
        <v>8</v>
      </c>
      <c r="GC272" s="27" t="s">
        <v>8</v>
      </c>
      <c r="GD272" s="27" t="s">
        <v>7</v>
      </c>
    </row>
    <row r="273" spans="1:198" x14ac:dyDescent="0.25">
      <c r="A273" s="30">
        <v>0.19987253960121379</v>
      </c>
      <c r="B273"/>
      <c r="C273"/>
      <c r="D273"/>
      <c r="E273"/>
      <c r="F273" s="27" t="s">
        <v>7</v>
      </c>
      <c r="FY273" s="27" t="s">
        <v>8</v>
      </c>
      <c r="FZ273" s="27" t="s">
        <v>7</v>
      </c>
      <c r="GA273" s="27" t="s">
        <v>8</v>
      </c>
      <c r="GB273" s="27" t="s">
        <v>7</v>
      </c>
      <c r="GC273" s="27" t="s">
        <v>8</v>
      </c>
      <c r="GD273" s="27" t="s">
        <v>7</v>
      </c>
    </row>
    <row r="274" spans="1:198" x14ac:dyDescent="0.25">
      <c r="A274" s="30">
        <v>0.19035479962020352</v>
      </c>
      <c r="B274"/>
      <c r="C274"/>
      <c r="D274"/>
      <c r="E274"/>
      <c r="F274" s="27" t="s">
        <v>7</v>
      </c>
      <c r="FU274" s="27" t="s">
        <v>8</v>
      </c>
      <c r="FY274" s="27" t="s">
        <v>8</v>
      </c>
      <c r="FZ274" s="27" t="s">
        <v>7</v>
      </c>
      <c r="GA274" s="27" t="s">
        <v>8</v>
      </c>
      <c r="GB274" s="27" t="s">
        <v>7</v>
      </c>
      <c r="GC274" s="27" t="s">
        <v>8</v>
      </c>
      <c r="GD274" s="27" t="s">
        <v>7</v>
      </c>
      <c r="GE274" s="27" t="s">
        <v>8</v>
      </c>
    </row>
    <row r="275" spans="1:198" x14ac:dyDescent="0.25">
      <c r="A275" s="30">
        <v>0.18129028535257471</v>
      </c>
      <c r="B275"/>
      <c r="C275"/>
      <c r="D275"/>
      <c r="E275"/>
      <c r="F275" s="27" t="s">
        <v>7</v>
      </c>
      <c r="FU275" s="27" t="s">
        <v>8</v>
      </c>
      <c r="FV275" s="27" t="s">
        <v>7</v>
      </c>
      <c r="FY275" s="27" t="s">
        <v>8</v>
      </c>
      <c r="FZ275" s="27" t="s">
        <v>7</v>
      </c>
      <c r="GB275" s="27" t="s">
        <v>7</v>
      </c>
      <c r="GC275" s="27" t="s">
        <v>8</v>
      </c>
      <c r="GD275" s="27" t="s">
        <v>7</v>
      </c>
      <c r="GE275" s="27" t="s">
        <v>8</v>
      </c>
      <c r="GF275" s="27" t="s">
        <v>7</v>
      </c>
    </row>
    <row r="276" spans="1:198" x14ac:dyDescent="0.25">
      <c r="A276" s="30">
        <v>0.17265741462149967</v>
      </c>
      <c r="B276"/>
      <c r="C276"/>
      <c r="D276"/>
      <c r="E276"/>
      <c r="F276" s="27" t="s">
        <v>7</v>
      </c>
      <c r="FU276" s="27" t="s">
        <v>8</v>
      </c>
      <c r="FV276" s="27" t="s">
        <v>7</v>
      </c>
      <c r="FY276" s="27" t="s">
        <v>8</v>
      </c>
      <c r="GB276" s="27" t="s">
        <v>7</v>
      </c>
      <c r="GD276" s="27" t="s">
        <v>7</v>
      </c>
      <c r="GE276" s="27" t="s">
        <v>8</v>
      </c>
      <c r="GF276" s="27" t="s">
        <v>7</v>
      </c>
    </row>
    <row r="277" spans="1:198" x14ac:dyDescent="0.25">
      <c r="A277" s="30">
        <v>0.16443563297285677</v>
      </c>
      <c r="B277"/>
      <c r="C277"/>
      <c r="D277"/>
      <c r="E277"/>
      <c r="F277" s="27" t="s">
        <v>7</v>
      </c>
      <c r="FQ277" s="27" t="s">
        <v>8</v>
      </c>
      <c r="FU277" s="27" t="s">
        <v>8</v>
      </c>
      <c r="FV277" s="27" t="s">
        <v>7</v>
      </c>
      <c r="FY277" s="27" t="s">
        <v>8</v>
      </c>
      <c r="GD277" s="27" t="s">
        <v>7</v>
      </c>
      <c r="GE277" s="27" t="s">
        <v>8</v>
      </c>
      <c r="GF277" s="27" t="s">
        <v>7</v>
      </c>
    </row>
    <row r="278" spans="1:198" x14ac:dyDescent="0.25">
      <c r="A278" s="30">
        <v>0.15660536473605399</v>
      </c>
      <c r="B278"/>
      <c r="C278"/>
      <c r="D278"/>
      <c r="E278"/>
      <c r="F278" s="27" t="s">
        <v>7</v>
      </c>
      <c r="FQ278" s="27" t="s">
        <v>8</v>
      </c>
      <c r="FR278" s="27" t="s">
        <v>7</v>
      </c>
      <c r="FU278" s="27" t="s">
        <v>8</v>
      </c>
      <c r="FV278" s="27" t="s">
        <v>7</v>
      </c>
      <c r="FW278" s="27" t="s">
        <v>8</v>
      </c>
      <c r="FY278" s="27" t="s">
        <v>8</v>
      </c>
      <c r="GD278" s="27" t="s">
        <v>7</v>
      </c>
      <c r="GE278" s="27" t="s">
        <v>8</v>
      </c>
      <c r="GF278" s="27" t="s">
        <v>7</v>
      </c>
      <c r="GG278" s="27" t="s">
        <v>8</v>
      </c>
    </row>
    <row r="279" spans="1:198" x14ac:dyDescent="0.25">
      <c r="A279" s="30">
        <v>0.14914796641528946</v>
      </c>
      <c r="B279"/>
      <c r="C279"/>
      <c r="D279"/>
      <c r="E279"/>
      <c r="F279" s="27" t="s">
        <v>7</v>
      </c>
      <c r="FQ279" s="27" t="s">
        <v>8</v>
      </c>
      <c r="FR279" s="27" t="s">
        <v>7</v>
      </c>
      <c r="FU279" s="27" t="s">
        <v>8</v>
      </c>
      <c r="FV279" s="27" t="s">
        <v>7</v>
      </c>
      <c r="FW279" s="27" t="s">
        <v>8</v>
      </c>
      <c r="FX279" s="27" t="s">
        <v>7</v>
      </c>
      <c r="FY279" s="27" t="s">
        <v>8</v>
      </c>
      <c r="GD279" s="27" t="s">
        <v>7</v>
      </c>
      <c r="GF279" s="27" t="s">
        <v>7</v>
      </c>
      <c r="GG279" s="27" t="s">
        <v>8</v>
      </c>
      <c r="GH279" s="27" t="s">
        <v>7</v>
      </c>
    </row>
    <row r="280" spans="1:198" x14ac:dyDescent="0.25">
      <c r="A280" s="30">
        <v>0.14204568230027562</v>
      </c>
      <c r="B280"/>
      <c r="C280"/>
      <c r="D280"/>
      <c r="E280"/>
      <c r="F280" s="27" t="s">
        <v>7</v>
      </c>
      <c r="DO280" s="27" t="s">
        <v>8</v>
      </c>
      <c r="FQ280" s="27" t="s">
        <v>8</v>
      </c>
      <c r="FR280" s="27" t="s">
        <v>7</v>
      </c>
      <c r="FS280" s="27" t="s">
        <v>8</v>
      </c>
      <c r="FU280" s="27" t="s">
        <v>8</v>
      </c>
      <c r="FV280" s="27" t="s">
        <v>7</v>
      </c>
      <c r="FW280" s="27" t="s">
        <v>8</v>
      </c>
      <c r="FX280" s="27" t="s">
        <v>7</v>
      </c>
      <c r="FY280" s="27" t="s">
        <v>8</v>
      </c>
      <c r="GF280" s="27" t="s">
        <v>7</v>
      </c>
      <c r="GG280" s="27" t="s">
        <v>8</v>
      </c>
      <c r="GH280" s="27" t="s">
        <v>7</v>
      </c>
    </row>
    <row r="281" spans="1:198" x14ac:dyDescent="0.25">
      <c r="A281" s="30">
        <v>0.13528160219073862</v>
      </c>
      <c r="B281"/>
      <c r="C281"/>
      <c r="D281"/>
      <c r="E281"/>
      <c r="F281" s="27" t="s">
        <v>7</v>
      </c>
      <c r="DM281" s="27" t="s">
        <v>8</v>
      </c>
      <c r="DO281" s="27" t="s">
        <v>8</v>
      </c>
      <c r="DP281" s="27" t="s">
        <v>7</v>
      </c>
      <c r="FQ281" s="27" t="s">
        <v>8</v>
      </c>
      <c r="FR281" s="27" t="s">
        <v>7</v>
      </c>
      <c r="FS281" s="27" t="s">
        <v>8</v>
      </c>
      <c r="FT281" s="27" t="s">
        <v>7</v>
      </c>
      <c r="FU281" s="27" t="s">
        <v>8</v>
      </c>
      <c r="FV281" s="27" t="s">
        <v>7</v>
      </c>
      <c r="FW281" s="27" t="s">
        <v>8</v>
      </c>
      <c r="FX281" s="27" t="s">
        <v>7</v>
      </c>
      <c r="GF281" s="27" t="s">
        <v>7</v>
      </c>
      <c r="GH281" s="27" t="s">
        <v>7</v>
      </c>
    </row>
    <row r="282" spans="1:198" x14ac:dyDescent="0.25">
      <c r="A282" s="30">
        <v>0.12883962113403674</v>
      </c>
      <c r="B282"/>
      <c r="C282"/>
      <c r="D282"/>
      <c r="E282"/>
      <c r="F282" s="27" t="s">
        <v>7</v>
      </c>
      <c r="DK282" s="27" t="s">
        <v>8</v>
      </c>
      <c r="DM282" s="27" t="s">
        <v>8</v>
      </c>
      <c r="DN282" s="27" t="s">
        <v>7</v>
      </c>
      <c r="DO282" s="27" t="s">
        <v>8</v>
      </c>
      <c r="DP282" s="27" t="s">
        <v>7</v>
      </c>
      <c r="DQ282" s="27" t="s">
        <v>8</v>
      </c>
      <c r="FQ282" s="27" t="s">
        <v>8</v>
      </c>
      <c r="FR282" s="27" t="s">
        <v>7</v>
      </c>
      <c r="FS282" s="27" t="s">
        <v>8</v>
      </c>
      <c r="FT282" s="27" t="s">
        <v>7</v>
      </c>
      <c r="FU282" s="27" t="s">
        <v>8</v>
      </c>
      <c r="FV282" s="27" t="s">
        <v>7</v>
      </c>
      <c r="FW282" s="27" t="s">
        <v>8</v>
      </c>
      <c r="GD282" s="31"/>
      <c r="GH282" s="27" t="s">
        <v>7</v>
      </c>
    </row>
    <row r="283" spans="1:198" x14ac:dyDescent="0.25">
      <c r="A283" s="30">
        <v>0.12270440108003494</v>
      </c>
      <c r="B283"/>
      <c r="C283"/>
      <c r="D283"/>
      <c r="E283"/>
      <c r="F283" s="27" t="s">
        <v>7</v>
      </c>
      <c r="DK283" s="27" t="s">
        <v>8</v>
      </c>
      <c r="DL283" s="27" t="s">
        <v>7</v>
      </c>
      <c r="DM283" s="27" t="s">
        <v>8</v>
      </c>
      <c r="DN283" s="27" t="s">
        <v>7</v>
      </c>
      <c r="DO283" s="27" t="s">
        <v>8</v>
      </c>
      <c r="DP283" s="27" t="s">
        <v>7</v>
      </c>
      <c r="DQ283" s="27" t="s">
        <v>8</v>
      </c>
      <c r="DR283" s="27" t="s">
        <v>7</v>
      </c>
      <c r="DS283" s="27" t="s">
        <v>8</v>
      </c>
      <c r="DW283" s="27" t="s">
        <v>8</v>
      </c>
      <c r="FQ283" s="27" t="s">
        <v>8</v>
      </c>
      <c r="FR283" s="27" t="s">
        <v>7</v>
      </c>
      <c r="FT283" s="27" t="s">
        <v>7</v>
      </c>
      <c r="FU283" s="27" t="s">
        <v>8</v>
      </c>
      <c r="FV283" s="27" t="s">
        <v>7</v>
      </c>
      <c r="FW283" s="27" t="s">
        <v>8</v>
      </c>
      <c r="GC283" s="31"/>
      <c r="GH283" s="27" t="s">
        <v>7</v>
      </c>
      <c r="GO283" s="27" t="s">
        <v>8</v>
      </c>
    </row>
    <row r="284" spans="1:198" x14ac:dyDescent="0.25">
      <c r="A284" s="30">
        <v>0.11686133436193799</v>
      </c>
      <c r="B284"/>
      <c r="C284"/>
      <c r="D284"/>
      <c r="E284"/>
      <c r="F284" s="27" t="s">
        <v>7</v>
      </c>
      <c r="DK284" s="27" t="s">
        <v>8</v>
      </c>
      <c r="DL284" s="27" t="s">
        <v>7</v>
      </c>
      <c r="DM284" s="27" t="s">
        <v>8</v>
      </c>
      <c r="DN284" s="27" t="s">
        <v>7</v>
      </c>
      <c r="DO284" s="27" t="s">
        <v>8</v>
      </c>
      <c r="DP284" s="27" t="s">
        <v>7</v>
      </c>
      <c r="DQ284" s="27" t="s">
        <v>8</v>
      </c>
      <c r="DR284" s="27" t="s">
        <v>7</v>
      </c>
      <c r="DS284" s="27" t="s">
        <v>8</v>
      </c>
      <c r="DT284" s="27" t="s">
        <v>7</v>
      </c>
      <c r="DW284" s="27" t="s">
        <v>8</v>
      </c>
      <c r="DX284" s="27" t="s">
        <v>7</v>
      </c>
      <c r="DY284" s="31" t="s">
        <v>8</v>
      </c>
      <c r="FO284" s="27" t="s">
        <v>8</v>
      </c>
      <c r="FQ284" s="27" t="s">
        <v>8</v>
      </c>
      <c r="FT284" s="27" t="s">
        <v>7</v>
      </c>
      <c r="FV284" s="27" t="s">
        <v>7</v>
      </c>
      <c r="GB284" s="31"/>
      <c r="GH284" s="27" t="s">
        <v>7</v>
      </c>
      <c r="GI284" s="27" t="s">
        <v>8</v>
      </c>
      <c r="GK284" s="27" t="s">
        <v>8</v>
      </c>
      <c r="GM284" s="27" t="s">
        <v>8</v>
      </c>
      <c r="GO284" s="27" t="s">
        <v>8</v>
      </c>
      <c r="GP284" s="27" t="s">
        <v>7</v>
      </c>
    </row>
    <row r="285" spans="1:198" x14ac:dyDescent="0.25">
      <c r="A285" s="30">
        <v>0.11129650891613138</v>
      </c>
      <c r="B285"/>
      <c r="C285"/>
      <c r="D285"/>
      <c r="E285"/>
      <c r="F285" s="27" t="s">
        <v>7</v>
      </c>
      <c r="DI285" s="27" t="s">
        <v>8</v>
      </c>
      <c r="DK285" s="27" t="s">
        <v>8</v>
      </c>
      <c r="DL285" s="27" t="s">
        <v>7</v>
      </c>
      <c r="DM285" s="27" t="s">
        <v>8</v>
      </c>
      <c r="DN285" s="27" t="s">
        <v>7</v>
      </c>
      <c r="DO285" s="27" t="s">
        <v>8</v>
      </c>
      <c r="DP285" s="27" t="s">
        <v>7</v>
      </c>
      <c r="DQ285" s="27" t="s">
        <v>8</v>
      </c>
      <c r="DR285" s="27" t="s">
        <v>7</v>
      </c>
      <c r="DS285" s="27" t="s">
        <v>8</v>
      </c>
      <c r="DT285" s="27" t="s">
        <v>7</v>
      </c>
      <c r="DW285" s="27" t="s">
        <v>8</v>
      </c>
      <c r="DX285" s="27" t="s">
        <v>7</v>
      </c>
      <c r="DY285" s="27" t="s">
        <v>8</v>
      </c>
      <c r="DZ285" s="31" t="s">
        <v>7</v>
      </c>
      <c r="FO285" s="27" t="s">
        <v>8</v>
      </c>
      <c r="FP285" s="27" t="s">
        <v>7</v>
      </c>
      <c r="FQ285" s="27" t="s">
        <v>8</v>
      </c>
      <c r="GA285" s="31"/>
      <c r="GH285" s="27" t="s">
        <v>7</v>
      </c>
      <c r="GI285" s="27" t="s">
        <v>8</v>
      </c>
      <c r="GJ285" s="27" t="s">
        <v>7</v>
      </c>
      <c r="GK285" s="27" t="s">
        <v>8</v>
      </c>
      <c r="GL285" s="27" t="s">
        <v>7</v>
      </c>
      <c r="GM285" s="27" t="s">
        <v>8</v>
      </c>
      <c r="GN285" s="27" t="s">
        <v>7</v>
      </c>
      <c r="GO285" s="27" t="s">
        <v>8</v>
      </c>
      <c r="GP285" s="27" t="s">
        <v>7</v>
      </c>
    </row>
    <row r="286" spans="1:198" x14ac:dyDescent="0.25">
      <c r="A286" s="30">
        <v>0.10599667515822032</v>
      </c>
      <c r="B286"/>
      <c r="C286"/>
      <c r="D286"/>
      <c r="E286"/>
      <c r="F286" s="27" t="s">
        <v>7</v>
      </c>
      <c r="DI286" s="27" t="s">
        <v>8</v>
      </c>
      <c r="DJ286" s="27" t="s">
        <v>7</v>
      </c>
      <c r="DK286" s="27" t="s">
        <v>8</v>
      </c>
      <c r="DL286" s="27" t="s">
        <v>7</v>
      </c>
      <c r="DM286" s="27" t="s">
        <v>8</v>
      </c>
      <c r="DN286" s="27" t="s">
        <v>7</v>
      </c>
      <c r="DO286" s="27" t="s">
        <v>8</v>
      </c>
      <c r="DP286" s="27" t="s">
        <v>7</v>
      </c>
      <c r="DR286" s="27" t="s">
        <v>7</v>
      </c>
      <c r="DS286" s="27" t="s">
        <v>8</v>
      </c>
      <c r="DT286" s="27" t="s">
        <v>7</v>
      </c>
      <c r="DW286" s="27" t="s">
        <v>8</v>
      </c>
      <c r="DX286" s="27" t="s">
        <v>7</v>
      </c>
      <c r="DY286" s="27" t="s">
        <v>8</v>
      </c>
      <c r="DZ286" s="27" t="s">
        <v>7</v>
      </c>
      <c r="EA286" s="31"/>
      <c r="FO286" s="27" t="s">
        <v>8</v>
      </c>
      <c r="FP286" s="27" t="s">
        <v>7</v>
      </c>
      <c r="FQ286" s="27" t="s">
        <v>8</v>
      </c>
      <c r="FZ286" s="31"/>
      <c r="GH286" s="27" t="s">
        <v>7</v>
      </c>
      <c r="GI286" s="27" t="s">
        <v>8</v>
      </c>
      <c r="GJ286" s="27" t="s">
        <v>7</v>
      </c>
      <c r="GK286" s="27" t="s">
        <v>8</v>
      </c>
      <c r="GL286" s="27" t="s">
        <v>7</v>
      </c>
      <c r="GM286" s="27" t="s">
        <v>8</v>
      </c>
      <c r="GN286" s="27" t="s">
        <v>7</v>
      </c>
      <c r="GO286" s="27" t="s">
        <v>8</v>
      </c>
      <c r="GP286" s="27" t="s">
        <v>7</v>
      </c>
    </row>
    <row r="287" spans="1:198" x14ac:dyDescent="0.25">
      <c r="A287" s="30">
        <v>0.10094921443640027</v>
      </c>
      <c r="B287"/>
      <c r="C287"/>
      <c r="D287"/>
      <c r="E287"/>
      <c r="F287" s="27" t="s">
        <v>7</v>
      </c>
      <c r="DI287" s="27" t="s">
        <v>8</v>
      </c>
      <c r="DJ287" s="27" t="s">
        <v>7</v>
      </c>
      <c r="DK287" s="27" t="s">
        <v>8</v>
      </c>
      <c r="DL287" s="32" t="s">
        <v>7</v>
      </c>
      <c r="DN287" s="32" t="s">
        <v>7</v>
      </c>
      <c r="DR287" s="33" t="s">
        <v>7</v>
      </c>
      <c r="DS287" s="27" t="s">
        <v>8</v>
      </c>
      <c r="DT287" s="27" t="s">
        <v>7</v>
      </c>
      <c r="DW287" s="27" t="s">
        <v>8</v>
      </c>
      <c r="DX287" s="27" t="s">
        <v>7</v>
      </c>
      <c r="DZ287" s="27" t="s">
        <v>7</v>
      </c>
      <c r="EB287" s="31"/>
      <c r="FO287" s="27" t="s">
        <v>8</v>
      </c>
      <c r="FP287" s="27" t="s">
        <v>7</v>
      </c>
      <c r="FQ287" s="27" t="s">
        <v>8</v>
      </c>
      <c r="FY287" s="31"/>
      <c r="GH287" s="27" t="s">
        <v>7</v>
      </c>
      <c r="GI287" s="27" t="s">
        <v>8</v>
      </c>
      <c r="GJ287" s="27" t="s">
        <v>7</v>
      </c>
      <c r="GL287" s="27" t="s">
        <v>7</v>
      </c>
      <c r="GM287" s="27" t="s">
        <v>8</v>
      </c>
      <c r="GN287" s="27" t="s">
        <v>7</v>
      </c>
      <c r="GO287" s="27" t="s">
        <v>8</v>
      </c>
      <c r="GP287" s="27" t="s">
        <v>7</v>
      </c>
    </row>
    <row r="288" spans="1:198" x14ac:dyDescent="0.25">
      <c r="A288" s="30">
        <v>9.6142108987047836E-2</v>
      </c>
      <c r="B288"/>
      <c r="C288"/>
      <c r="D288"/>
      <c r="E288"/>
      <c r="F288" s="27" t="s">
        <v>7</v>
      </c>
      <c r="DC288" s="27" t="s">
        <v>8</v>
      </c>
      <c r="DI288" s="27" t="s">
        <v>8</v>
      </c>
      <c r="DJ288" s="27" t="s">
        <v>7</v>
      </c>
      <c r="DR288" s="27" t="s">
        <v>7</v>
      </c>
      <c r="DT288" s="27" t="s">
        <v>7</v>
      </c>
      <c r="DW288" s="27" t="s">
        <v>8</v>
      </c>
      <c r="DZ288" s="33" t="s">
        <v>7</v>
      </c>
      <c r="EC288" s="31"/>
      <c r="FG288" s="27" t="s">
        <v>8</v>
      </c>
      <c r="FO288" s="27" t="s">
        <v>8</v>
      </c>
      <c r="FP288" s="27" t="s">
        <v>7</v>
      </c>
      <c r="FQ288" s="27" t="s">
        <v>8</v>
      </c>
      <c r="FX288" s="31"/>
      <c r="GH288" s="27" t="s">
        <v>7</v>
      </c>
      <c r="GI288" s="27" t="s">
        <v>8</v>
      </c>
      <c r="GL288" s="27" t="s">
        <v>7</v>
      </c>
      <c r="GM288" s="27" t="s">
        <v>8</v>
      </c>
      <c r="GN288" s="27" t="s">
        <v>7</v>
      </c>
      <c r="GO288" s="27" t="s">
        <v>8</v>
      </c>
      <c r="GP288" s="27" t="s">
        <v>7</v>
      </c>
    </row>
    <row r="289" spans="1:199" x14ac:dyDescent="0.25">
      <c r="A289" s="30">
        <v>9.1563913320997906E-2</v>
      </c>
      <c r="B289"/>
      <c r="C289"/>
      <c r="D289"/>
      <c r="E289"/>
      <c r="F289" s="27" t="s">
        <v>7</v>
      </c>
      <c r="DC289" s="27" t="s">
        <v>8</v>
      </c>
      <c r="DD289" s="27" t="s">
        <v>7</v>
      </c>
      <c r="DE289" s="32" t="s">
        <v>8</v>
      </c>
      <c r="DG289" s="32" t="s">
        <v>8</v>
      </c>
      <c r="DI289" s="27" t="s">
        <v>8</v>
      </c>
      <c r="DT289" s="31" t="s">
        <v>7</v>
      </c>
      <c r="DW289" s="27" t="s">
        <v>8</v>
      </c>
      <c r="DZ289" s="27" t="s">
        <v>7</v>
      </c>
      <c r="ED289" s="31"/>
      <c r="FG289" s="27" t="s">
        <v>8</v>
      </c>
      <c r="FH289" s="27" t="s">
        <v>7</v>
      </c>
      <c r="FO289" s="27" t="s">
        <v>8</v>
      </c>
      <c r="FP289" s="27" t="s">
        <v>7</v>
      </c>
      <c r="FQ289" s="27" t="s">
        <v>8</v>
      </c>
      <c r="FW289" s="31"/>
      <c r="GH289" s="27" t="s">
        <v>7</v>
      </c>
      <c r="GI289" s="27" t="s">
        <v>8</v>
      </c>
      <c r="GL289" s="27" t="s">
        <v>7</v>
      </c>
      <c r="GM289" s="27" t="s">
        <v>8</v>
      </c>
      <c r="GN289" s="27" t="s">
        <v>7</v>
      </c>
      <c r="GP289" s="27" t="s">
        <v>7</v>
      </c>
    </row>
    <row r="290" spans="1:199" x14ac:dyDescent="0.25">
      <c r="A290" s="30">
        <v>8.7203726972378923E-2</v>
      </c>
      <c r="B290"/>
      <c r="C290"/>
      <c r="D290"/>
      <c r="E290"/>
      <c r="F290" s="27" t="s">
        <v>7</v>
      </c>
      <c r="DC290" s="27" t="s">
        <v>8</v>
      </c>
      <c r="DD290" s="27" t="s">
        <v>7</v>
      </c>
      <c r="DE290" s="27" t="s">
        <v>8</v>
      </c>
      <c r="DF290" s="27" t="s">
        <v>7</v>
      </c>
      <c r="DG290" s="27" t="s">
        <v>8</v>
      </c>
      <c r="DH290" s="27" t="s">
        <v>7</v>
      </c>
      <c r="DI290" s="27" t="s">
        <v>8</v>
      </c>
      <c r="DS290" s="31"/>
      <c r="DT290" s="27" t="s">
        <v>7</v>
      </c>
      <c r="DW290" s="34" t="s">
        <v>8</v>
      </c>
      <c r="DZ290" s="27" t="s">
        <v>7</v>
      </c>
      <c r="EA290" s="27" t="s">
        <v>8</v>
      </c>
      <c r="EE290" s="31"/>
      <c r="FG290" s="27" t="s">
        <v>8</v>
      </c>
      <c r="FH290" s="27" t="s">
        <v>7</v>
      </c>
      <c r="FK290" s="27" t="s">
        <v>8</v>
      </c>
      <c r="FO290" s="27" t="s">
        <v>8</v>
      </c>
      <c r="FP290" s="27" t="s">
        <v>7</v>
      </c>
      <c r="FV290" s="31"/>
      <c r="GH290" s="27" t="s">
        <v>7</v>
      </c>
      <c r="GL290" s="27" t="s">
        <v>7</v>
      </c>
      <c r="GP290" s="27" t="s">
        <v>7</v>
      </c>
    </row>
    <row r="291" spans="1:199" x14ac:dyDescent="0.25">
      <c r="A291" s="30">
        <v>8.3051168545122747E-2</v>
      </c>
      <c r="B291"/>
      <c r="C291"/>
      <c r="D291"/>
      <c r="E291"/>
      <c r="F291" s="27" t="s">
        <v>7</v>
      </c>
      <c r="DA291" s="27" t="s">
        <v>8</v>
      </c>
      <c r="DC291" s="27" t="s">
        <v>8</v>
      </c>
      <c r="DD291" s="27" t="s">
        <v>7</v>
      </c>
      <c r="DE291" s="27" t="s">
        <v>8</v>
      </c>
      <c r="DF291" s="27" t="s">
        <v>7</v>
      </c>
      <c r="DG291" s="27" t="s">
        <v>8</v>
      </c>
      <c r="DH291" s="27" t="s">
        <v>7</v>
      </c>
      <c r="DI291" s="27" t="s">
        <v>8</v>
      </c>
      <c r="DR291" s="31"/>
      <c r="DT291" s="27" t="s">
        <v>7</v>
      </c>
      <c r="DU291" s="27" t="s">
        <v>8</v>
      </c>
      <c r="DW291" s="27" t="s">
        <v>8</v>
      </c>
      <c r="DZ291" s="27" t="s">
        <v>7</v>
      </c>
      <c r="EA291" s="27" t="s">
        <v>8</v>
      </c>
      <c r="EB291" s="27" t="s">
        <v>7</v>
      </c>
      <c r="EF291" s="31"/>
      <c r="FC291" s="27" t="s">
        <v>8</v>
      </c>
      <c r="FE291" s="27" t="s">
        <v>8</v>
      </c>
      <c r="FG291" s="27" t="s">
        <v>8</v>
      </c>
      <c r="FH291" s="27" t="s">
        <v>7</v>
      </c>
      <c r="FK291" s="27" t="s">
        <v>8</v>
      </c>
      <c r="FL291" s="27" t="s">
        <v>7</v>
      </c>
      <c r="FO291" s="27" t="s">
        <v>8</v>
      </c>
      <c r="FU291" s="31"/>
      <c r="GP291" s="27" t="s">
        <v>7</v>
      </c>
    </row>
    <row r="292" spans="1:199" x14ac:dyDescent="0.25">
      <c r="A292" s="30">
        <v>7.9096350995354961E-2</v>
      </c>
      <c r="B292"/>
      <c r="C292"/>
      <c r="D292"/>
      <c r="E292"/>
      <c r="F292" s="27" t="s">
        <v>7</v>
      </c>
      <c r="DA292" s="27" t="s">
        <v>8</v>
      </c>
      <c r="DB292" s="27" t="s">
        <v>7</v>
      </c>
      <c r="DC292" s="27" t="s">
        <v>8</v>
      </c>
      <c r="DD292" s="27" t="s">
        <v>7</v>
      </c>
      <c r="DE292" s="27" t="s">
        <v>8</v>
      </c>
      <c r="DF292" s="32" t="s">
        <v>7</v>
      </c>
      <c r="DH292" s="32" t="s">
        <v>7</v>
      </c>
      <c r="DQ292" s="31"/>
      <c r="DT292" s="27" t="s">
        <v>7</v>
      </c>
      <c r="DU292" s="27" t="s">
        <v>8</v>
      </c>
      <c r="DV292" s="27" t="s">
        <v>7</v>
      </c>
      <c r="DW292" s="27" t="s">
        <v>8</v>
      </c>
      <c r="DZ292" s="27" t="s">
        <v>7</v>
      </c>
      <c r="EA292" s="27" t="s">
        <v>8</v>
      </c>
      <c r="EB292" s="27" t="s">
        <v>7</v>
      </c>
      <c r="EG292" s="31"/>
      <c r="FC292" s="27" t="s">
        <v>8</v>
      </c>
      <c r="FD292" s="27" t="s">
        <v>7</v>
      </c>
      <c r="FE292" s="27" t="s">
        <v>8</v>
      </c>
      <c r="FF292" s="27" t="s">
        <v>7</v>
      </c>
      <c r="FG292" s="27" t="s">
        <v>8</v>
      </c>
      <c r="FH292" s="27" t="s">
        <v>7</v>
      </c>
      <c r="FI292" s="27" t="s">
        <v>8</v>
      </c>
      <c r="FK292" s="27" t="s">
        <v>8</v>
      </c>
      <c r="FL292" s="27" t="s">
        <v>7</v>
      </c>
      <c r="FO292" s="27" t="s">
        <v>8</v>
      </c>
      <c r="FT292" s="31"/>
      <c r="GP292" s="27" t="s">
        <v>7</v>
      </c>
    </row>
    <row r="293" spans="1:199" x14ac:dyDescent="0.25">
      <c r="A293" s="30">
        <v>7.5329858090814217E-2</v>
      </c>
      <c r="B293"/>
      <c r="C293"/>
      <c r="D293"/>
      <c r="E293"/>
      <c r="F293" s="27" t="s">
        <v>7</v>
      </c>
      <c r="DA293" s="27" t="s">
        <v>8</v>
      </c>
      <c r="DB293" s="27" t="s">
        <v>7</v>
      </c>
      <c r="DC293" s="27" t="s">
        <v>8</v>
      </c>
      <c r="DD293" s="27" t="s">
        <v>7</v>
      </c>
      <c r="DP293" s="31"/>
      <c r="DT293" s="27" t="s">
        <v>7</v>
      </c>
      <c r="DU293" s="27" t="s">
        <v>8</v>
      </c>
      <c r="DV293" s="27" t="s">
        <v>7</v>
      </c>
      <c r="DW293" s="27" t="s">
        <v>8</v>
      </c>
      <c r="DZ293" s="27" t="s">
        <v>7</v>
      </c>
      <c r="EB293" s="27" t="s">
        <v>7</v>
      </c>
      <c r="EH293" s="31"/>
      <c r="FC293" s="27" t="s">
        <v>8</v>
      </c>
      <c r="FD293" s="27" t="s">
        <v>7</v>
      </c>
      <c r="FE293" s="27" t="s">
        <v>8</v>
      </c>
      <c r="FF293" s="27" t="s">
        <v>7</v>
      </c>
      <c r="FG293" s="27" t="s">
        <v>8</v>
      </c>
      <c r="FH293" s="27" t="s">
        <v>7</v>
      </c>
      <c r="FI293" s="27" t="s">
        <v>8</v>
      </c>
      <c r="FJ293" s="27" t="s">
        <v>7</v>
      </c>
      <c r="FK293" s="27" t="s">
        <v>8</v>
      </c>
      <c r="FL293" s="27" t="s">
        <v>7</v>
      </c>
      <c r="FO293" s="27" t="s">
        <v>8</v>
      </c>
      <c r="FS293" s="31"/>
      <c r="GP293" s="27" t="s">
        <v>7</v>
      </c>
    </row>
    <row r="294" spans="1:199" x14ac:dyDescent="0.25">
      <c r="A294" s="30">
        <v>7.1742721991251604E-2</v>
      </c>
      <c r="B294"/>
      <c r="C294"/>
      <c r="D294"/>
      <c r="E294"/>
      <c r="F294" s="27" t="s">
        <v>7</v>
      </c>
      <c r="DA294" s="27" t="s">
        <v>8</v>
      </c>
      <c r="DB294" s="27" t="s">
        <v>7</v>
      </c>
      <c r="DC294" s="27" t="s">
        <v>8</v>
      </c>
      <c r="DO294" s="31"/>
      <c r="DT294" s="32" t="s">
        <v>7</v>
      </c>
      <c r="DV294" s="32" t="s">
        <v>7</v>
      </c>
      <c r="EB294" s="27" t="s">
        <v>7</v>
      </c>
      <c r="EI294" s="31"/>
      <c r="FC294" s="27" t="s">
        <v>8</v>
      </c>
      <c r="FD294" s="27" t="s">
        <v>7</v>
      </c>
      <c r="FF294" s="27" t="s">
        <v>7</v>
      </c>
      <c r="FG294" s="27" t="s">
        <v>8</v>
      </c>
      <c r="FH294" s="27" t="s">
        <v>7</v>
      </c>
      <c r="FI294" s="27" t="s">
        <v>8</v>
      </c>
      <c r="FJ294" s="27" t="s">
        <v>7</v>
      </c>
      <c r="FK294" s="27" t="s">
        <v>8</v>
      </c>
      <c r="FL294" s="27" t="s">
        <v>7</v>
      </c>
      <c r="FM294" s="27" t="s">
        <v>8</v>
      </c>
      <c r="FO294" s="27" t="s">
        <v>8</v>
      </c>
      <c r="FR294" s="31"/>
      <c r="GP294" s="27" t="s">
        <v>7</v>
      </c>
      <c r="GQ294" s="27" t="s">
        <v>8</v>
      </c>
    </row>
    <row r="295" spans="1:199" x14ac:dyDescent="0.25">
      <c r="A295" s="30">
        <v>6.8326401896430078E-2</v>
      </c>
      <c r="B295"/>
      <c r="C295"/>
      <c r="D295"/>
      <c r="E295"/>
      <c r="F295" s="27" t="s">
        <v>7</v>
      </c>
      <c r="DA295" s="27" t="s">
        <v>8</v>
      </c>
      <c r="DB295" s="27" t="s">
        <v>7</v>
      </c>
      <c r="DC295" s="27" t="s">
        <v>8</v>
      </c>
      <c r="DN295" s="31"/>
      <c r="EB295" s="27" t="s">
        <v>7</v>
      </c>
      <c r="EJ295" s="31"/>
      <c r="FA295" s="27" t="s">
        <v>8</v>
      </c>
      <c r="FC295" s="27" t="s">
        <v>8</v>
      </c>
      <c r="FF295" s="27" t="s">
        <v>7</v>
      </c>
      <c r="FH295" s="27" t="s">
        <v>7</v>
      </c>
      <c r="FI295" s="27" t="s">
        <v>8</v>
      </c>
      <c r="FJ295" s="27" t="s">
        <v>7</v>
      </c>
      <c r="FL295" s="27" t="s">
        <v>7</v>
      </c>
      <c r="FM295" s="27" t="s">
        <v>8</v>
      </c>
      <c r="FN295" s="27" t="s">
        <v>7</v>
      </c>
      <c r="FO295" s="27" t="s">
        <v>8</v>
      </c>
      <c r="FQ295" s="31"/>
      <c r="GP295" s="27" t="s">
        <v>7</v>
      </c>
      <c r="GQ295" s="27" t="s">
        <v>8</v>
      </c>
    </row>
    <row r="296" spans="1:199" x14ac:dyDescent="0.25">
      <c r="A296" s="30">
        <v>6.5072763710885759E-2</v>
      </c>
      <c r="B296"/>
      <c r="C296"/>
      <c r="D296"/>
      <c r="E296"/>
      <c r="F296" s="27" t="s">
        <v>7</v>
      </c>
      <c r="DA296" s="27" t="s">
        <v>8</v>
      </c>
      <c r="DB296" s="27" t="s">
        <v>7</v>
      </c>
      <c r="DM296" s="31"/>
      <c r="EB296" s="27" t="s">
        <v>7</v>
      </c>
      <c r="EK296" s="31"/>
      <c r="EY296" s="27" t="s">
        <v>8</v>
      </c>
      <c r="FA296" s="27" t="s">
        <v>8</v>
      </c>
      <c r="FB296" s="27" t="s">
        <v>7</v>
      </c>
      <c r="FC296" s="27" t="s">
        <v>8</v>
      </c>
      <c r="FH296" s="27" t="s">
        <v>7</v>
      </c>
      <c r="FL296" s="27" t="s">
        <v>7</v>
      </c>
      <c r="FM296" s="27" t="s">
        <v>8</v>
      </c>
      <c r="FN296" s="27" t="s">
        <v>7</v>
      </c>
      <c r="FO296" s="27" t="s">
        <v>8</v>
      </c>
      <c r="FP296" s="31"/>
      <c r="GP296" s="27" t="s">
        <v>7</v>
      </c>
      <c r="GQ296" s="27" t="s">
        <v>8</v>
      </c>
    </row>
    <row r="297" spans="1:199" x14ac:dyDescent="0.25">
      <c r="A297" s="30">
        <v>6.197406067703403E-2</v>
      </c>
      <c r="B297"/>
      <c r="C297"/>
      <c r="D297"/>
      <c r="E297"/>
      <c r="F297" s="27" t="s">
        <v>7</v>
      </c>
      <c r="DA297" s="27" t="s">
        <v>8</v>
      </c>
      <c r="DL297" s="31"/>
      <c r="EB297" s="27" t="s">
        <v>7</v>
      </c>
      <c r="EL297" s="31"/>
      <c r="EY297" s="27" t="s">
        <v>8</v>
      </c>
      <c r="EZ297" s="27" t="s">
        <v>7</v>
      </c>
      <c r="FA297" s="27" t="s">
        <v>8</v>
      </c>
      <c r="FB297" s="27" t="s">
        <v>7</v>
      </c>
      <c r="FC297" s="27" t="s">
        <v>8</v>
      </c>
      <c r="FL297" s="27" t="s">
        <v>7</v>
      </c>
      <c r="FM297" s="27" t="s">
        <v>8</v>
      </c>
      <c r="FN297" s="27" t="s">
        <v>7</v>
      </c>
      <c r="FO297" s="31"/>
      <c r="GP297" s="27" t="s">
        <v>7</v>
      </c>
      <c r="GQ297" s="27" t="s">
        <v>8</v>
      </c>
    </row>
    <row r="298" spans="1:199" x14ac:dyDescent="0.25">
      <c r="A298" s="30">
        <v>5.9022914930508576E-2</v>
      </c>
      <c r="B298"/>
      <c r="C298"/>
      <c r="D298"/>
      <c r="E298"/>
      <c r="F298" s="27" t="s">
        <v>7</v>
      </c>
      <c r="DA298" s="27" t="s">
        <v>8</v>
      </c>
      <c r="DK298" s="31"/>
      <c r="EB298" s="27" t="s">
        <v>7</v>
      </c>
      <c r="EM298" s="31"/>
      <c r="EY298" s="27" t="s">
        <v>8</v>
      </c>
      <c r="EZ298" s="27" t="s">
        <v>7</v>
      </c>
      <c r="FA298" s="27" t="s">
        <v>8</v>
      </c>
      <c r="FB298" s="27" t="s">
        <v>7</v>
      </c>
      <c r="FL298" s="27" t="s">
        <v>7</v>
      </c>
      <c r="FN298" s="31"/>
      <c r="GP298" s="27" t="s">
        <v>7</v>
      </c>
      <c r="GQ298" s="27" t="s">
        <v>8</v>
      </c>
    </row>
    <row r="299" spans="1:199" x14ac:dyDescent="0.25">
      <c r="A299" s="30">
        <v>5.6212299933817669E-2</v>
      </c>
      <c r="B299"/>
      <c r="C299"/>
      <c r="D299"/>
      <c r="E299"/>
      <c r="F299" s="27" t="s">
        <v>7</v>
      </c>
      <c r="AW299" s="27" t="s">
        <v>8</v>
      </c>
      <c r="DA299" s="27" t="s">
        <v>8</v>
      </c>
      <c r="DJ299" s="31"/>
      <c r="EB299" s="27" t="s">
        <v>7</v>
      </c>
      <c r="EC299" s="27" t="s">
        <v>8</v>
      </c>
      <c r="EN299" s="31"/>
      <c r="EY299" s="27" t="s">
        <v>8</v>
      </c>
      <c r="EZ299" s="27" t="s">
        <v>7</v>
      </c>
      <c r="FA299" s="27" t="s">
        <v>8</v>
      </c>
      <c r="FM299" s="31"/>
      <c r="GP299" s="27" t="s">
        <v>7</v>
      </c>
      <c r="GQ299" s="27" t="s">
        <v>8</v>
      </c>
    </row>
    <row r="300" spans="1:199" x14ac:dyDescent="0.25">
      <c r="A300" s="30">
        <v>5.3535523746492994E-2</v>
      </c>
      <c r="B300"/>
      <c r="C300"/>
      <c r="D300"/>
      <c r="E300"/>
      <c r="F300" s="27" t="s">
        <v>7</v>
      </c>
      <c r="AW300" s="27" t="s">
        <v>8</v>
      </c>
      <c r="AX300" s="27" t="s">
        <v>7</v>
      </c>
      <c r="DA300" s="27" t="s">
        <v>8</v>
      </c>
      <c r="DI300" s="31"/>
      <c r="EB300" s="27" t="s">
        <v>7</v>
      </c>
      <c r="EC300" s="27" t="s">
        <v>8</v>
      </c>
      <c r="ED300" s="27" t="s">
        <v>7</v>
      </c>
      <c r="EK300" s="32" t="s">
        <v>8</v>
      </c>
      <c r="EM300" s="32" t="s">
        <v>8</v>
      </c>
      <c r="EO300" s="31"/>
      <c r="EY300" s="27" t="s">
        <v>8</v>
      </c>
      <c r="EZ300" s="27" t="s">
        <v>7</v>
      </c>
      <c r="FL300" s="31"/>
      <c r="GP300" s="27" t="s">
        <v>7</v>
      </c>
      <c r="GQ300" s="27" t="s">
        <v>8</v>
      </c>
    </row>
    <row r="301" spans="1:199" x14ac:dyDescent="0.25">
      <c r="A301" s="30">
        <v>5.0986213091898068E-2</v>
      </c>
      <c r="B301"/>
      <c r="C301"/>
      <c r="D301"/>
      <c r="E301"/>
      <c r="F301" s="27" t="s">
        <v>7</v>
      </c>
      <c r="AW301" s="27" t="s">
        <v>8</v>
      </c>
      <c r="AX301" s="27" t="s">
        <v>7</v>
      </c>
      <c r="AY301" s="27" t="s">
        <v>8</v>
      </c>
      <c r="CY301" s="27" t="s">
        <v>8</v>
      </c>
      <c r="DA301" s="27" t="s">
        <v>8</v>
      </c>
      <c r="DH301" s="31"/>
      <c r="EB301" s="27" t="s">
        <v>7</v>
      </c>
      <c r="EC301" s="27" t="s">
        <v>8</v>
      </c>
      <c r="ED301" s="27" t="s">
        <v>7</v>
      </c>
      <c r="EG301" s="27" t="s">
        <v>8</v>
      </c>
      <c r="EK301" s="27" t="s">
        <v>8</v>
      </c>
      <c r="EL301" s="27" t="s">
        <v>7</v>
      </c>
      <c r="EM301" s="27" t="s">
        <v>8</v>
      </c>
      <c r="EN301" s="27" t="s">
        <v>7</v>
      </c>
      <c r="EP301" s="31"/>
      <c r="EY301" s="27" t="s">
        <v>8</v>
      </c>
      <c r="FK301" s="31"/>
      <c r="GP301" s="27" t="s">
        <v>7</v>
      </c>
    </row>
    <row r="302" spans="1:199" x14ac:dyDescent="0.25">
      <c r="A302" s="30">
        <v>4.8558298182760043E-2</v>
      </c>
      <c r="B302"/>
      <c r="C302"/>
      <c r="D302"/>
      <c r="E302"/>
      <c r="F302" s="27" t="s">
        <v>7</v>
      </c>
      <c r="AW302" s="27" t="s">
        <v>8</v>
      </c>
      <c r="AX302" s="27" t="s">
        <v>7</v>
      </c>
      <c r="AY302" s="27" t="s">
        <v>8</v>
      </c>
      <c r="AZ302" s="27" t="s">
        <v>7</v>
      </c>
      <c r="CS302" s="27" t="s">
        <v>8</v>
      </c>
      <c r="CY302" s="27" t="s">
        <v>8</v>
      </c>
      <c r="CZ302" s="27" t="s">
        <v>7</v>
      </c>
      <c r="DA302" s="27" t="s">
        <v>8</v>
      </c>
      <c r="DG302" s="31"/>
      <c r="EB302" s="27" t="s">
        <v>7</v>
      </c>
      <c r="EC302" s="27" t="s">
        <v>8</v>
      </c>
      <c r="ED302" s="27" t="s">
        <v>7</v>
      </c>
      <c r="EG302" s="27" t="s">
        <v>8</v>
      </c>
      <c r="EH302" s="27" t="s">
        <v>7</v>
      </c>
      <c r="EI302" s="27" t="s">
        <v>8</v>
      </c>
      <c r="EK302" s="27" t="s">
        <v>8</v>
      </c>
      <c r="EL302" s="27" t="s">
        <v>7</v>
      </c>
      <c r="EM302" s="27" t="s">
        <v>8</v>
      </c>
      <c r="EN302" s="27" t="s">
        <v>7</v>
      </c>
      <c r="EQ302" s="31"/>
      <c r="EY302" s="27" t="s">
        <v>8</v>
      </c>
      <c r="FJ302" s="31"/>
    </row>
    <row r="303" spans="1:199" x14ac:dyDescent="0.25">
      <c r="A303" s="30">
        <v>4.6245998269295263E-2</v>
      </c>
      <c r="B303"/>
      <c r="C303"/>
      <c r="D303"/>
      <c r="E303"/>
      <c r="F303" s="27" t="s">
        <v>7</v>
      </c>
      <c r="AW303" s="27" t="s">
        <v>8</v>
      </c>
      <c r="AX303" s="27" t="s">
        <v>7</v>
      </c>
      <c r="AY303" s="27" t="s">
        <v>8</v>
      </c>
      <c r="AZ303" s="27" t="s">
        <v>7</v>
      </c>
      <c r="BC303" s="27" t="s">
        <v>8</v>
      </c>
      <c r="BE303" s="27" t="s">
        <v>8</v>
      </c>
      <c r="CS303" s="27" t="s">
        <v>8</v>
      </c>
      <c r="CT303" s="27" t="s">
        <v>7</v>
      </c>
      <c r="CY303" s="27" t="s">
        <v>8</v>
      </c>
      <c r="CZ303" s="27" t="s">
        <v>7</v>
      </c>
      <c r="DA303" s="27" t="s">
        <v>8</v>
      </c>
      <c r="DF303" s="31"/>
      <c r="EB303" s="27" t="s">
        <v>7</v>
      </c>
      <c r="EC303" s="27" t="s">
        <v>8</v>
      </c>
      <c r="ED303" s="27" t="s">
        <v>7</v>
      </c>
      <c r="EG303" s="27" t="s">
        <v>8</v>
      </c>
      <c r="EH303" s="27" t="s">
        <v>7</v>
      </c>
      <c r="EI303" s="27" t="s">
        <v>8</v>
      </c>
      <c r="EJ303" s="27" t="s">
        <v>7</v>
      </c>
      <c r="EK303" s="27" t="s">
        <v>8</v>
      </c>
      <c r="EL303" s="27" t="s">
        <v>7</v>
      </c>
      <c r="EM303" s="27" t="s">
        <v>8</v>
      </c>
      <c r="EN303" s="27" t="s">
        <v>7</v>
      </c>
      <c r="EO303" s="27" t="s">
        <v>8</v>
      </c>
      <c r="ER303" s="31"/>
      <c r="EY303" s="27" t="s">
        <v>8</v>
      </c>
      <c r="FI303" s="31"/>
    </row>
    <row r="304" spans="1:199" x14ac:dyDescent="0.25">
      <c r="A304" s="30">
        <v>4.4043807875519279E-2</v>
      </c>
      <c r="B304"/>
      <c r="C304"/>
      <c r="D304"/>
      <c r="E304"/>
      <c r="F304" s="27" t="s">
        <v>7</v>
      </c>
      <c r="AW304" s="27" t="s">
        <v>8</v>
      </c>
      <c r="AX304" s="27" t="s">
        <v>7</v>
      </c>
      <c r="AZ304" s="27" t="s">
        <v>7</v>
      </c>
      <c r="BA304" s="27" t="s">
        <v>8</v>
      </c>
      <c r="BC304" s="27" t="s">
        <v>8</v>
      </c>
      <c r="BD304" s="27" t="s">
        <v>7</v>
      </c>
      <c r="BE304" s="27" t="s">
        <v>8</v>
      </c>
      <c r="BF304" s="27" t="s">
        <v>7</v>
      </c>
      <c r="BG304" s="27" t="s">
        <v>8</v>
      </c>
      <c r="CQ304" s="27" t="s">
        <v>8</v>
      </c>
      <c r="CS304" s="27" t="s">
        <v>8</v>
      </c>
      <c r="CT304" s="27" t="s">
        <v>7</v>
      </c>
      <c r="CY304" s="27" t="s">
        <v>8</v>
      </c>
      <c r="CZ304" s="27" t="s">
        <v>7</v>
      </c>
      <c r="DA304" s="27" t="s">
        <v>8</v>
      </c>
      <c r="DE304" s="31"/>
      <c r="EB304" s="27" t="s">
        <v>7</v>
      </c>
      <c r="EC304" s="27" t="s">
        <v>8</v>
      </c>
      <c r="ED304" s="27" t="s">
        <v>7</v>
      </c>
      <c r="EG304" s="34" t="s">
        <v>8</v>
      </c>
      <c r="EH304" s="27" t="s">
        <v>7</v>
      </c>
      <c r="EI304" s="27" t="s">
        <v>8</v>
      </c>
      <c r="EJ304" s="27" t="s">
        <v>7</v>
      </c>
      <c r="EK304" s="27" t="s">
        <v>8</v>
      </c>
      <c r="EL304" s="27" t="s">
        <v>7</v>
      </c>
      <c r="EM304" s="27" t="s">
        <v>8</v>
      </c>
      <c r="EN304" s="27" t="s">
        <v>7</v>
      </c>
      <c r="EO304" s="27" t="s">
        <v>8</v>
      </c>
      <c r="EP304" s="27" t="s">
        <v>7</v>
      </c>
      <c r="ES304" s="31"/>
      <c r="EY304" s="27" t="s">
        <v>8</v>
      </c>
      <c r="FH304" s="31"/>
    </row>
    <row r="305" spans="1:163" x14ac:dyDescent="0.25">
      <c r="A305" s="30">
        <v>4.1946483690970725E-2</v>
      </c>
      <c r="B305"/>
      <c r="C305"/>
      <c r="D305"/>
      <c r="E305"/>
      <c r="F305" s="27" t="s">
        <v>7</v>
      </c>
      <c r="AW305" s="27" t="s">
        <v>8</v>
      </c>
      <c r="AZ305" s="27" t="s">
        <v>7</v>
      </c>
      <c r="BA305" s="27" t="s">
        <v>8</v>
      </c>
      <c r="BB305" s="27" t="s">
        <v>7</v>
      </c>
      <c r="BC305" s="27" t="s">
        <v>8</v>
      </c>
      <c r="BD305" s="27" t="s">
        <v>7</v>
      </c>
      <c r="BE305" s="27" t="s">
        <v>8</v>
      </c>
      <c r="BF305" s="27" t="s">
        <v>7</v>
      </c>
      <c r="BG305" s="27" t="s">
        <v>8</v>
      </c>
      <c r="BH305" s="27" t="s">
        <v>7</v>
      </c>
      <c r="BI305" s="31" t="s">
        <v>8</v>
      </c>
      <c r="CQ305" s="27" t="s">
        <v>8</v>
      </c>
      <c r="CR305" s="27" t="s">
        <v>7</v>
      </c>
      <c r="CS305" s="27" t="s">
        <v>8</v>
      </c>
      <c r="CT305" s="27" t="s">
        <v>7</v>
      </c>
      <c r="CW305" s="27" t="s">
        <v>8</v>
      </c>
      <c r="CY305" s="27" t="s">
        <v>8</v>
      </c>
      <c r="CZ305" s="27" t="s">
        <v>7</v>
      </c>
      <c r="DD305" s="31"/>
      <c r="EB305" s="27" t="s">
        <v>7</v>
      </c>
      <c r="EC305" s="27" t="s">
        <v>8</v>
      </c>
      <c r="ED305" s="27" t="s">
        <v>7</v>
      </c>
      <c r="EE305" s="27" t="s">
        <v>8</v>
      </c>
      <c r="EG305" s="27" t="s">
        <v>8</v>
      </c>
      <c r="EH305" s="27" t="s">
        <v>7</v>
      </c>
      <c r="EI305" s="27" t="s">
        <v>8</v>
      </c>
      <c r="EJ305" s="27" t="s">
        <v>7</v>
      </c>
      <c r="EK305" s="27" t="s">
        <v>8</v>
      </c>
      <c r="EL305" s="27" t="s">
        <v>7</v>
      </c>
      <c r="EM305" s="27" t="s">
        <v>8</v>
      </c>
      <c r="EN305" s="27" t="s">
        <v>7</v>
      </c>
      <c r="EO305" s="27" t="s">
        <v>8</v>
      </c>
      <c r="EP305" s="27" t="s">
        <v>7</v>
      </c>
      <c r="ET305" s="31"/>
      <c r="EY305" s="27" t="s">
        <v>8</v>
      </c>
      <c r="FG305" s="31"/>
    </row>
    <row r="306" spans="1:163" x14ac:dyDescent="0.25">
      <c r="A306" s="30">
        <v>3.9949032086638768E-2</v>
      </c>
      <c r="B306"/>
      <c r="C306"/>
      <c r="D306"/>
      <c r="E306"/>
      <c r="F306" s="27" t="s">
        <v>7</v>
      </c>
      <c r="AU306" s="27" t="s">
        <v>8</v>
      </c>
      <c r="AW306" s="27" t="s">
        <v>8</v>
      </c>
      <c r="AZ306" s="27" t="s">
        <v>7</v>
      </c>
      <c r="BA306" s="27" t="s">
        <v>8</v>
      </c>
      <c r="BB306" s="27" t="s">
        <v>7</v>
      </c>
      <c r="BC306" s="27" t="s">
        <v>8</v>
      </c>
      <c r="BD306" s="27" t="s">
        <v>7</v>
      </c>
      <c r="BE306" s="27" t="s">
        <v>8</v>
      </c>
      <c r="BF306" s="27" t="s">
        <v>7</v>
      </c>
      <c r="BG306" s="27" t="s">
        <v>8</v>
      </c>
      <c r="BH306" s="27" t="s">
        <v>7</v>
      </c>
      <c r="BI306" s="27" t="s">
        <v>8</v>
      </c>
      <c r="BJ306" s="31" t="s">
        <v>7</v>
      </c>
      <c r="CQ306" s="27" t="s">
        <v>8</v>
      </c>
      <c r="CR306" s="27" t="s">
        <v>7</v>
      </c>
      <c r="CS306" s="27" t="s">
        <v>8</v>
      </c>
      <c r="CT306" s="27" t="s">
        <v>7</v>
      </c>
      <c r="CW306" s="27" t="s">
        <v>8</v>
      </c>
      <c r="CX306" s="27" t="s">
        <v>7</v>
      </c>
      <c r="CY306" s="27" t="s">
        <v>8</v>
      </c>
      <c r="DC306" s="31"/>
      <c r="EB306" s="27" t="s">
        <v>7</v>
      </c>
      <c r="EC306" s="27" t="s">
        <v>8</v>
      </c>
      <c r="ED306" s="27" t="s">
        <v>7</v>
      </c>
      <c r="EE306" s="27" t="s">
        <v>8</v>
      </c>
      <c r="EF306" s="27" t="s">
        <v>7</v>
      </c>
      <c r="EG306" s="27" t="s">
        <v>8</v>
      </c>
      <c r="EH306" s="27" t="s">
        <v>7</v>
      </c>
      <c r="EI306" s="27" t="s">
        <v>8</v>
      </c>
      <c r="EJ306" s="27" t="s">
        <v>7</v>
      </c>
      <c r="EL306" s="27" t="s">
        <v>7</v>
      </c>
      <c r="EM306" s="27" t="s">
        <v>8</v>
      </c>
      <c r="EN306" s="27" t="s">
        <v>7</v>
      </c>
      <c r="EP306" s="27" t="s">
        <v>7</v>
      </c>
      <c r="EU306" s="31"/>
      <c r="EY306" s="27" t="s">
        <v>8</v>
      </c>
      <c r="FF306" s="31"/>
    </row>
    <row r="307" spans="1:163" x14ac:dyDescent="0.25">
      <c r="A307" s="30">
        <v>3.8046697225370241E-2</v>
      </c>
      <c r="B307"/>
      <c r="C307"/>
      <c r="D307"/>
      <c r="E307"/>
      <c r="F307" s="27" t="s">
        <v>7</v>
      </c>
      <c r="AO307" s="27" t="s">
        <v>8</v>
      </c>
      <c r="AU307" s="27" t="s">
        <v>8</v>
      </c>
      <c r="AV307" s="27" t="s">
        <v>7</v>
      </c>
      <c r="AW307" s="27" t="s">
        <v>8</v>
      </c>
      <c r="AZ307" s="27" t="s">
        <v>7</v>
      </c>
      <c r="BA307" s="27" t="s">
        <v>8</v>
      </c>
      <c r="BB307" s="27" t="s">
        <v>7</v>
      </c>
      <c r="BC307" s="27" t="s">
        <v>8</v>
      </c>
      <c r="BD307" s="27" t="s">
        <v>7</v>
      </c>
      <c r="BF307" s="27" t="s">
        <v>7</v>
      </c>
      <c r="BG307" s="27" t="s">
        <v>8</v>
      </c>
      <c r="BH307" s="27" t="s">
        <v>7</v>
      </c>
      <c r="BI307" s="27" t="s">
        <v>8</v>
      </c>
      <c r="BJ307" s="27" t="s">
        <v>7</v>
      </c>
      <c r="BK307" s="31"/>
      <c r="CQ307" s="27" t="s">
        <v>8</v>
      </c>
      <c r="CR307" s="27" t="s">
        <v>7</v>
      </c>
      <c r="CS307" s="27" t="s">
        <v>8</v>
      </c>
      <c r="CT307" s="27" t="s">
        <v>7</v>
      </c>
      <c r="CW307" s="27" t="s">
        <v>8</v>
      </c>
      <c r="CX307" s="27" t="s">
        <v>7</v>
      </c>
      <c r="CY307" s="27" t="s">
        <v>8</v>
      </c>
      <c r="DB307" s="31"/>
      <c r="EB307" s="27" t="s">
        <v>7</v>
      </c>
      <c r="EC307" s="27" t="s">
        <v>8</v>
      </c>
      <c r="ED307" s="27" t="s">
        <v>7</v>
      </c>
      <c r="EE307" s="27" t="s">
        <v>8</v>
      </c>
      <c r="EF307" s="27" t="s">
        <v>7</v>
      </c>
      <c r="EG307" s="27" t="s">
        <v>8</v>
      </c>
      <c r="EH307" s="27" t="s">
        <v>7</v>
      </c>
      <c r="EI307" s="27" t="s">
        <v>8</v>
      </c>
      <c r="EL307" s="33" t="s">
        <v>7</v>
      </c>
      <c r="EP307" s="27" t="s">
        <v>7</v>
      </c>
      <c r="EV307" s="31"/>
      <c r="EY307" s="34" t="s">
        <v>8</v>
      </c>
      <c r="FE307" s="31"/>
    </row>
    <row r="308" spans="1:163" x14ac:dyDescent="0.25">
      <c r="A308" s="30">
        <v>3.6234949738447833E-2</v>
      </c>
      <c r="B308"/>
      <c r="C308"/>
      <c r="D308"/>
      <c r="E308"/>
      <c r="F308" s="27" t="s">
        <v>7</v>
      </c>
      <c r="AO308" s="27" t="s">
        <v>8</v>
      </c>
      <c r="AP308" s="27" t="s">
        <v>7</v>
      </c>
      <c r="AU308" s="27" t="s">
        <v>8</v>
      </c>
      <c r="AV308" s="27" t="s">
        <v>7</v>
      </c>
      <c r="AW308" s="27" t="s">
        <v>8</v>
      </c>
      <c r="AZ308" s="27" t="s">
        <v>7</v>
      </c>
      <c r="BA308" s="27" t="s">
        <v>8</v>
      </c>
      <c r="BB308" s="27" t="s">
        <v>7</v>
      </c>
      <c r="BC308" s="27" t="s">
        <v>8</v>
      </c>
      <c r="BF308" s="27" t="s">
        <v>7</v>
      </c>
      <c r="BG308" s="27" t="s">
        <v>8</v>
      </c>
      <c r="BH308" s="27" t="s">
        <v>7</v>
      </c>
      <c r="BJ308" s="27" t="s">
        <v>7</v>
      </c>
      <c r="BL308" s="31"/>
      <c r="CQ308" s="27" t="s">
        <v>8</v>
      </c>
      <c r="CR308" s="27" t="s">
        <v>7</v>
      </c>
      <c r="CT308" s="27" t="s">
        <v>7</v>
      </c>
      <c r="CU308" s="27" t="s">
        <v>8</v>
      </c>
      <c r="CW308" s="27" t="s">
        <v>8</v>
      </c>
      <c r="CX308" s="27" t="s">
        <v>7</v>
      </c>
      <c r="CY308" s="27" t="s">
        <v>8</v>
      </c>
      <c r="DA308" s="31"/>
      <c r="EB308" s="32" t="s">
        <v>7</v>
      </c>
      <c r="ED308" s="32" t="s">
        <v>7</v>
      </c>
      <c r="EF308" s="27" t="s">
        <v>7</v>
      </c>
      <c r="EG308" s="27" t="s">
        <v>8</v>
      </c>
      <c r="EH308" s="27" t="s">
        <v>7</v>
      </c>
      <c r="EP308" s="27" t="s">
        <v>7</v>
      </c>
      <c r="EW308" s="31" t="s">
        <v>8</v>
      </c>
      <c r="EY308" s="27" t="s">
        <v>8</v>
      </c>
      <c r="FD308" s="31"/>
    </row>
    <row r="309" spans="1:163" x14ac:dyDescent="0.25">
      <c r="A309" s="30">
        <v>3.4509475941378875E-2</v>
      </c>
      <c r="B309"/>
      <c r="C309"/>
      <c r="D309"/>
      <c r="E309"/>
      <c r="F309" s="27" t="s">
        <v>7</v>
      </c>
      <c r="AO309" s="27" t="s">
        <v>8</v>
      </c>
      <c r="AP309" s="27" t="s">
        <v>7</v>
      </c>
      <c r="AU309" s="27" t="s">
        <v>8</v>
      </c>
      <c r="AV309" s="27" t="s">
        <v>7</v>
      </c>
      <c r="AW309" s="27" t="s">
        <v>8</v>
      </c>
      <c r="AZ309" s="27" t="s">
        <v>7</v>
      </c>
      <c r="BA309" s="27" t="s">
        <v>8</v>
      </c>
      <c r="BB309" s="27" t="s">
        <v>7</v>
      </c>
      <c r="BC309" s="27" t="s">
        <v>8</v>
      </c>
      <c r="BF309" s="27" t="s">
        <v>7</v>
      </c>
      <c r="BG309" s="27" t="s">
        <v>8</v>
      </c>
      <c r="BJ309" s="27" t="s">
        <v>7</v>
      </c>
      <c r="BK309" s="27" t="s">
        <v>8</v>
      </c>
      <c r="BM309" s="31"/>
      <c r="CQ309" s="27" t="s">
        <v>8</v>
      </c>
      <c r="CT309" s="27" t="s">
        <v>7</v>
      </c>
      <c r="CU309" s="27" t="s">
        <v>8</v>
      </c>
      <c r="CV309" s="27" t="s">
        <v>7</v>
      </c>
      <c r="CW309" s="27" t="s">
        <v>8</v>
      </c>
      <c r="CX309" s="27" t="s">
        <v>7</v>
      </c>
      <c r="CY309" s="27" t="s">
        <v>8</v>
      </c>
      <c r="CZ309" s="31"/>
      <c r="EF309" s="27" t="s">
        <v>7</v>
      </c>
      <c r="EG309" s="27" t="s">
        <v>8</v>
      </c>
      <c r="EP309" s="27" t="s">
        <v>7</v>
      </c>
      <c r="ES309" s="35" t="s">
        <v>8</v>
      </c>
      <c r="EU309" s="36" t="s">
        <v>8</v>
      </c>
      <c r="EW309" s="27" t="s">
        <v>8</v>
      </c>
      <c r="EX309" s="31" t="s">
        <v>7</v>
      </c>
      <c r="EY309" s="27" t="s">
        <v>8</v>
      </c>
      <c r="FC309" s="31"/>
    </row>
    <row r="310" spans="1:163" x14ac:dyDescent="0.25">
      <c r="A310" s="30">
        <v>3.286616756321796E-2</v>
      </c>
      <c r="B310"/>
      <c r="C310"/>
      <c r="D310"/>
      <c r="E310"/>
      <c r="F310" s="27" t="s">
        <v>7</v>
      </c>
      <c r="AO310" s="27" t="s">
        <v>8</v>
      </c>
      <c r="AP310" s="27" t="s">
        <v>7</v>
      </c>
      <c r="AU310" s="27" t="s">
        <v>8</v>
      </c>
      <c r="AV310" s="27" t="s">
        <v>7</v>
      </c>
      <c r="AW310" s="27" t="s">
        <v>8</v>
      </c>
      <c r="AZ310" s="27" t="s">
        <v>7</v>
      </c>
      <c r="BA310" s="27" t="s">
        <v>8</v>
      </c>
      <c r="BB310" s="27" t="s">
        <v>7</v>
      </c>
      <c r="BF310" s="27" t="s">
        <v>7</v>
      </c>
      <c r="BG310" s="27" t="s">
        <v>8</v>
      </c>
      <c r="BJ310" s="27" t="s">
        <v>7</v>
      </c>
      <c r="BK310" s="27" t="s">
        <v>8</v>
      </c>
      <c r="BL310" s="27" t="s">
        <v>7</v>
      </c>
      <c r="BN310" s="31"/>
      <c r="CQ310" s="27" t="s">
        <v>8</v>
      </c>
      <c r="CT310" s="27" t="s">
        <v>7</v>
      </c>
      <c r="CU310" s="27" t="s">
        <v>8</v>
      </c>
      <c r="CV310" s="27" t="s">
        <v>7</v>
      </c>
      <c r="CW310" s="27" t="s">
        <v>8</v>
      </c>
      <c r="CX310" s="27" t="s">
        <v>7</v>
      </c>
      <c r="CY310" s="31" t="s">
        <v>8</v>
      </c>
      <c r="EF310" s="27" t="s">
        <v>7</v>
      </c>
      <c r="EG310" s="27" t="s">
        <v>8</v>
      </c>
      <c r="EP310" s="27" t="s">
        <v>7</v>
      </c>
      <c r="EQ310" s="27" t="s">
        <v>8</v>
      </c>
      <c r="ES310" s="27" t="s">
        <v>8</v>
      </c>
      <c r="ET310" s="27" t="s">
        <v>7</v>
      </c>
      <c r="EU310" s="27" t="s">
        <v>8</v>
      </c>
      <c r="EV310" s="27" t="s">
        <v>7</v>
      </c>
      <c r="EW310" s="27" t="s">
        <v>8</v>
      </c>
      <c r="EX310" s="27" t="s">
        <v>7</v>
      </c>
      <c r="EY310" s="27" t="s">
        <v>8</v>
      </c>
      <c r="FB310" s="31"/>
    </row>
    <row r="311" spans="1:163" x14ac:dyDescent="0.25">
      <c r="A311" s="30">
        <v>3.1301111964969472E-2</v>
      </c>
      <c r="B311"/>
      <c r="C311"/>
      <c r="D311"/>
      <c r="E311"/>
      <c r="F311" s="27" t="s">
        <v>7</v>
      </c>
      <c r="AO311" s="27" t="s">
        <v>8</v>
      </c>
      <c r="AP311" s="27" t="s">
        <v>7</v>
      </c>
      <c r="AU311" s="27" t="s">
        <v>8</v>
      </c>
      <c r="AV311" s="27" t="s">
        <v>7</v>
      </c>
      <c r="AW311" s="27" t="s">
        <v>8</v>
      </c>
      <c r="AZ311" s="27" t="s">
        <v>7</v>
      </c>
      <c r="BA311" s="27" t="s">
        <v>8</v>
      </c>
      <c r="BF311" s="27" t="s">
        <v>7</v>
      </c>
      <c r="BJ311" s="27" t="s">
        <v>7</v>
      </c>
      <c r="BK311" s="27" t="s">
        <v>8</v>
      </c>
      <c r="BL311" s="31" t="s">
        <v>7</v>
      </c>
      <c r="BO311" s="31"/>
      <c r="CE311" s="27" t="s">
        <v>8</v>
      </c>
      <c r="CO311" s="27" t="s">
        <v>8</v>
      </c>
      <c r="CQ311" s="27" t="s">
        <v>8</v>
      </c>
      <c r="CT311" s="27" t="s">
        <v>7</v>
      </c>
      <c r="CU311" s="27" t="s">
        <v>8</v>
      </c>
      <c r="CV311" s="32" t="s">
        <v>7</v>
      </c>
      <c r="CX311" s="32" t="s">
        <v>7</v>
      </c>
      <c r="EF311" s="27" t="s">
        <v>7</v>
      </c>
      <c r="EG311" s="27" t="s">
        <v>8</v>
      </c>
      <c r="EP311" s="27" t="s">
        <v>7</v>
      </c>
      <c r="EQ311" s="27" t="s">
        <v>8</v>
      </c>
      <c r="ER311" s="27" t="s">
        <v>7</v>
      </c>
      <c r="ES311" s="27" t="s">
        <v>8</v>
      </c>
      <c r="ET311" s="27" t="s">
        <v>7</v>
      </c>
      <c r="EU311" s="27" t="s">
        <v>8</v>
      </c>
      <c r="EV311" s="27" t="s">
        <v>7</v>
      </c>
      <c r="EW311" s="27" t="s">
        <v>8</v>
      </c>
      <c r="EX311" s="27" t="s">
        <v>7</v>
      </c>
      <c r="EY311" s="27" t="s">
        <v>8</v>
      </c>
      <c r="FA311" s="31"/>
    </row>
    <row r="312" spans="1:163" x14ac:dyDescent="0.25">
      <c r="A312" s="30">
        <v>2.9810582823780438E-2</v>
      </c>
      <c r="B312"/>
      <c r="C312"/>
      <c r="D312"/>
      <c r="E312"/>
      <c r="F312" s="27" t="s">
        <v>7</v>
      </c>
      <c r="AO312" s="27" t="s">
        <v>8</v>
      </c>
      <c r="AP312" s="27" t="s">
        <v>7</v>
      </c>
      <c r="AU312" s="27" t="s">
        <v>8</v>
      </c>
      <c r="AV312" s="27" t="s">
        <v>7</v>
      </c>
      <c r="AW312" s="27" t="s">
        <v>8</v>
      </c>
      <c r="AZ312" s="27" t="s">
        <v>7</v>
      </c>
      <c r="BA312" s="27" t="s">
        <v>8</v>
      </c>
      <c r="BJ312" s="27" t="s">
        <v>7</v>
      </c>
      <c r="BK312" s="31"/>
      <c r="BL312" s="27" t="s">
        <v>7</v>
      </c>
      <c r="BP312" s="31"/>
      <c r="CE312" s="27" t="s">
        <v>8</v>
      </c>
      <c r="CF312" s="27" t="s">
        <v>7</v>
      </c>
      <c r="CO312" s="27" t="s">
        <v>8</v>
      </c>
      <c r="CP312" s="27" t="s">
        <v>7</v>
      </c>
      <c r="CQ312" s="27" t="s">
        <v>8</v>
      </c>
      <c r="CT312" s="27" t="s">
        <v>7</v>
      </c>
      <c r="CU312" s="27" t="s">
        <v>8</v>
      </c>
      <c r="CW312" s="31"/>
      <c r="EF312" s="27" t="s">
        <v>7</v>
      </c>
      <c r="EG312" s="27" t="s">
        <v>8</v>
      </c>
      <c r="EP312" s="27" t="s">
        <v>7</v>
      </c>
      <c r="EQ312" s="27" t="s">
        <v>8</v>
      </c>
      <c r="ER312" s="27" t="s">
        <v>7</v>
      </c>
      <c r="ES312" s="27" t="s">
        <v>8</v>
      </c>
      <c r="ET312" s="27" t="s">
        <v>7</v>
      </c>
      <c r="EU312" s="27" t="s">
        <v>8</v>
      </c>
      <c r="EV312" s="27" t="s">
        <v>7</v>
      </c>
      <c r="EX312" s="18" t="s">
        <v>7</v>
      </c>
      <c r="EY312" s="27" t="s">
        <v>8</v>
      </c>
      <c r="EZ312" s="31"/>
    </row>
    <row r="313" spans="1:163" x14ac:dyDescent="0.25">
      <c r="A313" s="30">
        <v>2.8391031260743264E-2</v>
      </c>
      <c r="B313"/>
      <c r="C313"/>
      <c r="D313"/>
      <c r="E313"/>
      <c r="F313" s="27" t="s">
        <v>7</v>
      </c>
      <c r="AO313" s="27" t="s">
        <v>8</v>
      </c>
      <c r="AP313" s="27" t="s">
        <v>7</v>
      </c>
      <c r="AU313" s="27" t="s">
        <v>8</v>
      </c>
      <c r="AV313" s="27" t="s">
        <v>7</v>
      </c>
      <c r="AZ313" s="27" t="s">
        <v>7</v>
      </c>
      <c r="BA313" s="27" t="s">
        <v>8</v>
      </c>
      <c r="BJ313" s="31"/>
      <c r="BL313" s="27" t="s">
        <v>7</v>
      </c>
      <c r="BM313" s="27" t="s">
        <v>8</v>
      </c>
      <c r="BQ313" s="31"/>
      <c r="CE313" s="27" t="s">
        <v>8</v>
      </c>
      <c r="CF313" s="27" t="s">
        <v>7</v>
      </c>
      <c r="CM313" s="27" t="s">
        <v>8</v>
      </c>
      <c r="CO313" s="27" t="s">
        <v>8</v>
      </c>
      <c r="CP313" s="27" t="s">
        <v>7</v>
      </c>
      <c r="CQ313" s="27" t="s">
        <v>8</v>
      </c>
      <c r="CT313" s="27" t="s">
        <v>7</v>
      </c>
      <c r="CU313" s="27" t="s">
        <v>8</v>
      </c>
      <c r="CV313" s="31"/>
      <c r="EF313" s="27" t="s">
        <v>7</v>
      </c>
      <c r="EG313" s="27" t="s">
        <v>8</v>
      </c>
      <c r="EP313" s="27" t="s">
        <v>7</v>
      </c>
      <c r="EQ313" s="27" t="s">
        <v>8</v>
      </c>
      <c r="ER313" s="27" t="s">
        <v>7</v>
      </c>
      <c r="ES313" s="27" t="s">
        <v>8</v>
      </c>
      <c r="ET313" s="27" t="s">
        <v>7</v>
      </c>
      <c r="EX313" s="33" t="s">
        <v>7</v>
      </c>
      <c r="EY313" s="31" t="s">
        <v>8</v>
      </c>
    </row>
    <row r="314" spans="1:163" x14ac:dyDescent="0.25">
      <c r="A314" s="30">
        <v>2.7039077391184052E-2</v>
      </c>
      <c r="B314"/>
      <c r="C314"/>
      <c r="D314"/>
      <c r="E314"/>
      <c r="F314" s="27" t="s">
        <v>7</v>
      </c>
      <c r="AO314" s="27" t="s">
        <v>8</v>
      </c>
      <c r="AP314" s="27" t="s">
        <v>7</v>
      </c>
      <c r="AS314" s="27" t="s">
        <v>8</v>
      </c>
      <c r="AU314" s="27" t="s">
        <v>8</v>
      </c>
      <c r="AZ314" s="27" t="s">
        <v>7</v>
      </c>
      <c r="BA314" s="27" t="s">
        <v>8</v>
      </c>
      <c r="BI314" s="31"/>
      <c r="BL314" s="27" t="s">
        <v>7</v>
      </c>
      <c r="BM314" s="27" t="s">
        <v>8</v>
      </c>
      <c r="BN314" s="27" t="s">
        <v>7</v>
      </c>
      <c r="BR314" s="31"/>
      <c r="BW314" s="27" t="s">
        <v>8</v>
      </c>
      <c r="CE314" s="27" t="s">
        <v>8</v>
      </c>
      <c r="CF314" s="27" t="s">
        <v>7</v>
      </c>
      <c r="CK314" s="27" t="s">
        <v>8</v>
      </c>
      <c r="CM314" s="27" t="s">
        <v>8</v>
      </c>
      <c r="CN314" s="27" t="s">
        <v>7</v>
      </c>
      <c r="CO314" s="27" t="s">
        <v>8</v>
      </c>
      <c r="CP314" s="27" t="s">
        <v>7</v>
      </c>
      <c r="CQ314" s="27" t="s">
        <v>8</v>
      </c>
      <c r="CT314" s="27" t="s">
        <v>7</v>
      </c>
      <c r="CU314" s="31" t="s">
        <v>8</v>
      </c>
      <c r="EF314" s="27" t="s">
        <v>7</v>
      </c>
      <c r="EP314" s="27" t="s">
        <v>7</v>
      </c>
      <c r="EQ314" s="27" t="s">
        <v>8</v>
      </c>
      <c r="ER314" s="27" t="s">
        <v>7</v>
      </c>
      <c r="EX314" s="31" t="s">
        <v>7</v>
      </c>
    </row>
    <row r="315" spans="1:163" x14ac:dyDescent="0.25">
      <c r="A315" s="30">
        <v>2.5751502277318133E-2</v>
      </c>
      <c r="B315"/>
      <c r="C315"/>
      <c r="D315"/>
      <c r="E315"/>
      <c r="F315" s="27" t="s">
        <v>7</v>
      </c>
      <c r="AO315" s="27" t="s">
        <v>8</v>
      </c>
      <c r="AP315" s="27" t="s">
        <v>7</v>
      </c>
      <c r="AQ315" s="27" t="s">
        <v>8</v>
      </c>
      <c r="AS315" s="27" t="s">
        <v>8</v>
      </c>
      <c r="AT315" s="27" t="s">
        <v>7</v>
      </c>
      <c r="AU315" s="27" t="s">
        <v>8</v>
      </c>
      <c r="AZ315" s="27" t="s">
        <v>7</v>
      </c>
      <c r="BA315" s="27" t="s">
        <v>8</v>
      </c>
      <c r="BH315" s="31"/>
      <c r="BL315" s="27" t="s">
        <v>7</v>
      </c>
      <c r="BM315" s="27" t="s">
        <v>8</v>
      </c>
      <c r="BN315" s="27" t="s">
        <v>7</v>
      </c>
      <c r="BS315" s="31"/>
      <c r="BW315" s="27" t="s">
        <v>8</v>
      </c>
      <c r="BX315" s="27" t="s">
        <v>7</v>
      </c>
      <c r="BY315" s="27" t="s">
        <v>8</v>
      </c>
      <c r="CC315" s="27" t="s">
        <v>8</v>
      </c>
      <c r="CE315" s="27" t="s">
        <v>8</v>
      </c>
      <c r="CF315" s="27" t="s">
        <v>7</v>
      </c>
      <c r="CI315" s="27" t="s">
        <v>8</v>
      </c>
      <c r="CK315" s="27" t="s">
        <v>8</v>
      </c>
      <c r="CL315" s="27" t="s">
        <v>7</v>
      </c>
      <c r="CM315" s="27" t="s">
        <v>8</v>
      </c>
      <c r="CN315" s="27" t="s">
        <v>7</v>
      </c>
      <c r="CO315" s="27" t="s">
        <v>8</v>
      </c>
      <c r="CP315" s="27" t="s">
        <v>7</v>
      </c>
      <c r="CT315" s="31" t="s">
        <v>7</v>
      </c>
      <c r="EP315" s="27" t="s">
        <v>7</v>
      </c>
      <c r="EQ315" s="27" t="s">
        <v>8</v>
      </c>
    </row>
    <row r="316" spans="1:163" x14ac:dyDescent="0.25">
      <c r="A316" s="30">
        <v>2.4525240264112496E-2</v>
      </c>
      <c r="B316"/>
      <c r="C316"/>
      <c r="D316"/>
      <c r="E316"/>
      <c r="F316" s="27" t="s">
        <v>7</v>
      </c>
      <c r="AO316" s="27" t="s">
        <v>8</v>
      </c>
      <c r="AP316" s="27" t="s">
        <v>7</v>
      </c>
      <c r="AQ316" s="27" t="s">
        <v>8</v>
      </c>
      <c r="AR316" s="27" t="s">
        <v>7</v>
      </c>
      <c r="AS316" s="27" t="s">
        <v>8</v>
      </c>
      <c r="AT316" s="27" t="s">
        <v>7</v>
      </c>
      <c r="AU316" s="27" t="s">
        <v>8</v>
      </c>
      <c r="AZ316" s="27" t="s">
        <v>7</v>
      </c>
      <c r="BA316" s="27" t="s">
        <v>8</v>
      </c>
      <c r="BG316" s="31"/>
      <c r="BL316" s="27" t="s">
        <v>7</v>
      </c>
      <c r="BM316" s="27" t="s">
        <v>8</v>
      </c>
      <c r="BN316" s="27" t="s">
        <v>7</v>
      </c>
      <c r="BT316" s="31"/>
      <c r="BW316" s="27" t="s">
        <v>8</v>
      </c>
      <c r="BX316" s="27" t="s">
        <v>7</v>
      </c>
      <c r="BY316" s="27" t="s">
        <v>8</v>
      </c>
      <c r="BZ316" s="27" t="s">
        <v>7</v>
      </c>
      <c r="CC316" s="27" t="s">
        <v>8</v>
      </c>
      <c r="CD316" s="27" t="s">
        <v>7</v>
      </c>
      <c r="CE316" s="27" t="s">
        <v>8</v>
      </c>
      <c r="CF316" s="27" t="s">
        <v>7</v>
      </c>
      <c r="CG316" s="27" t="s">
        <v>8</v>
      </c>
      <c r="CI316" s="27" t="s">
        <v>8</v>
      </c>
      <c r="CJ316" s="27" t="s">
        <v>7</v>
      </c>
      <c r="CK316" s="27" t="s">
        <v>8</v>
      </c>
      <c r="CL316" s="27" t="s">
        <v>7</v>
      </c>
      <c r="CM316" s="27" t="s">
        <v>8</v>
      </c>
      <c r="CN316" s="27" t="s">
        <v>7</v>
      </c>
      <c r="CO316" s="27" t="s">
        <v>8</v>
      </c>
      <c r="EP316" s="27" t="s">
        <v>7</v>
      </c>
      <c r="EQ316" s="27" t="s">
        <v>8</v>
      </c>
    </row>
    <row r="317" spans="1:163" x14ac:dyDescent="0.25">
      <c r="A317" s="30">
        <v>2.3357371680107129E-2</v>
      </c>
      <c r="B317"/>
      <c r="C317"/>
      <c r="D317"/>
      <c r="E317"/>
      <c r="F317" s="27" t="s">
        <v>7</v>
      </c>
      <c r="AO317" s="27" t="s">
        <v>8</v>
      </c>
      <c r="AP317" s="27" t="s">
        <v>7</v>
      </c>
      <c r="AQ317" s="27" t="s">
        <v>8</v>
      </c>
      <c r="AR317" s="27" t="s">
        <v>7</v>
      </c>
      <c r="AS317" s="27" t="s">
        <v>8</v>
      </c>
      <c r="AT317" s="27" t="s">
        <v>7</v>
      </c>
      <c r="AU317" s="27" t="s">
        <v>8</v>
      </c>
      <c r="AZ317" s="27" t="s">
        <v>7</v>
      </c>
      <c r="BA317" s="27" t="s">
        <v>8</v>
      </c>
      <c r="BF317" s="31"/>
      <c r="BL317" s="27" t="s">
        <v>7</v>
      </c>
      <c r="BM317" s="27" t="s">
        <v>8</v>
      </c>
      <c r="BN317" s="27" t="s">
        <v>7</v>
      </c>
      <c r="BU317" s="31"/>
      <c r="BW317" s="27" t="s">
        <v>8</v>
      </c>
      <c r="BX317" s="27" t="s">
        <v>7</v>
      </c>
      <c r="BY317" s="27" t="s">
        <v>8</v>
      </c>
      <c r="BZ317" s="27" t="s">
        <v>7</v>
      </c>
      <c r="CC317" s="27" t="s">
        <v>8</v>
      </c>
      <c r="CD317" s="27" t="s">
        <v>7</v>
      </c>
      <c r="CE317" s="27" t="s">
        <v>8</v>
      </c>
      <c r="CF317" s="27" t="s">
        <v>7</v>
      </c>
      <c r="CG317" s="27" t="s">
        <v>8</v>
      </c>
      <c r="CH317" s="27" t="s">
        <v>7</v>
      </c>
      <c r="CI317" s="27" t="s">
        <v>8</v>
      </c>
      <c r="CJ317" s="27" t="s">
        <v>7</v>
      </c>
      <c r="CK317" s="27" t="s">
        <v>8</v>
      </c>
      <c r="CL317" s="27" t="s">
        <v>7</v>
      </c>
      <c r="CM317" s="27" t="s">
        <v>8</v>
      </c>
      <c r="CN317" s="27" t="s">
        <v>7</v>
      </c>
      <c r="EP317" s="27" t="s">
        <v>7</v>
      </c>
    </row>
    <row r="318" spans="1:163" x14ac:dyDescent="0.25">
      <c r="A318" s="30">
        <v>2.2245115885816305E-2</v>
      </c>
      <c r="B318"/>
      <c r="C318"/>
      <c r="D318"/>
      <c r="E318"/>
      <c r="F318" s="27" t="s">
        <v>7</v>
      </c>
      <c r="K318" s="27" t="s">
        <v>8</v>
      </c>
      <c r="AO318" s="27" t="s">
        <v>8</v>
      </c>
      <c r="AP318" s="27" t="s">
        <v>7</v>
      </c>
      <c r="AQ318" s="27" t="s">
        <v>8</v>
      </c>
      <c r="AR318" s="27" t="s">
        <v>7</v>
      </c>
      <c r="AS318" s="27" t="s">
        <v>8</v>
      </c>
      <c r="AT318" s="27" t="s">
        <v>7</v>
      </c>
      <c r="AU318" s="27" t="s">
        <v>8</v>
      </c>
      <c r="AZ318" s="27" t="s">
        <v>7</v>
      </c>
      <c r="BE318" s="31"/>
      <c r="BL318" s="27" t="s">
        <v>7</v>
      </c>
      <c r="BM318" s="27" t="s">
        <v>8</v>
      </c>
      <c r="BN318" s="27" t="s">
        <v>7</v>
      </c>
      <c r="BO318" s="27" t="s">
        <v>8</v>
      </c>
      <c r="BU318" s="27" t="s">
        <v>8</v>
      </c>
      <c r="BV318" s="31"/>
      <c r="BW318" s="27" t="s">
        <v>8</v>
      </c>
      <c r="BX318" s="27" t="s">
        <v>7</v>
      </c>
      <c r="BY318" s="27" t="s">
        <v>8</v>
      </c>
      <c r="BZ318" s="27" t="s">
        <v>7</v>
      </c>
      <c r="CA318" s="27" t="s">
        <v>8</v>
      </c>
      <c r="CC318" s="27" t="s">
        <v>8</v>
      </c>
      <c r="CD318" s="27" t="s">
        <v>7</v>
      </c>
      <c r="CE318" s="27" t="s">
        <v>8</v>
      </c>
      <c r="CF318" s="27" t="s">
        <v>7</v>
      </c>
      <c r="CG318" s="27" t="s">
        <v>8</v>
      </c>
      <c r="CH318" s="27" t="s">
        <v>7</v>
      </c>
      <c r="CI318" s="27" t="s">
        <v>8</v>
      </c>
      <c r="CJ318" s="27" t="s">
        <v>7</v>
      </c>
      <c r="CK318" s="27" t="s">
        <v>8</v>
      </c>
      <c r="CL318" s="27" t="s">
        <v>7</v>
      </c>
    </row>
    <row r="319" spans="1:163" x14ac:dyDescent="0.25">
      <c r="A319" s="30">
        <v>2.1185824653158377E-2</v>
      </c>
      <c r="B319"/>
      <c r="C319"/>
      <c r="D319"/>
      <c r="E319"/>
      <c r="F319" s="27" t="s">
        <v>7</v>
      </c>
      <c r="K319" s="27" t="s">
        <v>8</v>
      </c>
      <c r="L319" s="27" t="s">
        <v>7</v>
      </c>
      <c r="AO319" s="27" t="s">
        <v>8</v>
      </c>
      <c r="AP319" s="27" t="s">
        <v>7</v>
      </c>
      <c r="AQ319" s="27" t="s">
        <v>8</v>
      </c>
      <c r="AR319" s="27" t="s">
        <v>7</v>
      </c>
      <c r="AT319" s="27" t="s">
        <v>7</v>
      </c>
      <c r="BD319" s="31"/>
      <c r="BL319" s="27" t="s">
        <v>7</v>
      </c>
      <c r="BM319" s="27" t="s">
        <v>8</v>
      </c>
      <c r="BN319" s="27" t="s">
        <v>7</v>
      </c>
      <c r="BO319" s="27" t="s">
        <v>8</v>
      </c>
      <c r="BP319" s="27" t="s">
        <v>7</v>
      </c>
      <c r="BU319" s="27" t="s">
        <v>8</v>
      </c>
      <c r="BV319" s="27" t="s">
        <v>7</v>
      </c>
      <c r="BW319" s="31" t="s">
        <v>8</v>
      </c>
      <c r="BX319" s="27" t="s">
        <v>7</v>
      </c>
      <c r="BY319" s="27" t="s">
        <v>8</v>
      </c>
      <c r="BZ319" s="27" t="s">
        <v>7</v>
      </c>
      <c r="CA319" s="27" t="s">
        <v>8</v>
      </c>
      <c r="CB319" s="27" t="s">
        <v>7</v>
      </c>
      <c r="CC319" s="27" t="s">
        <v>8</v>
      </c>
      <c r="CD319" s="27" t="s">
        <v>7</v>
      </c>
      <c r="CE319" s="27" t="s">
        <v>8</v>
      </c>
      <c r="CF319" s="27" t="s">
        <v>7</v>
      </c>
      <c r="CG319" s="27" t="s">
        <v>8</v>
      </c>
      <c r="CH319" s="27" t="s">
        <v>7</v>
      </c>
      <c r="CJ319" s="27" t="s">
        <v>7</v>
      </c>
      <c r="CK319" s="27" t="s">
        <v>8</v>
      </c>
    </row>
    <row r="320" spans="1:163" x14ac:dyDescent="0.25">
      <c r="A320" s="30">
        <v>2.0176975860150829E-2</v>
      </c>
      <c r="B320"/>
      <c r="C320"/>
      <c r="D320"/>
      <c r="E320"/>
      <c r="F320" s="27" t="s">
        <v>7</v>
      </c>
      <c r="I320" s="27" t="s">
        <v>8</v>
      </c>
      <c r="K320" s="27" t="s">
        <v>8</v>
      </c>
      <c r="L320" s="27" t="s">
        <v>7</v>
      </c>
      <c r="AO320" s="27" t="s">
        <v>8</v>
      </c>
      <c r="AP320" s="27" t="s">
        <v>7</v>
      </c>
      <c r="BC320" s="31"/>
      <c r="BL320" s="27" t="s">
        <v>7</v>
      </c>
      <c r="BN320" s="27" t="s">
        <v>7</v>
      </c>
      <c r="BO320" s="27" t="s">
        <v>8</v>
      </c>
      <c r="BP320" s="27" t="s">
        <v>7</v>
      </c>
      <c r="BU320" s="27" t="s">
        <v>8</v>
      </c>
      <c r="BV320" s="27" t="s">
        <v>7</v>
      </c>
      <c r="BW320" s="27" t="s">
        <v>8</v>
      </c>
      <c r="BX320" s="27" t="s">
        <v>7</v>
      </c>
      <c r="BY320" s="27" t="s">
        <v>8</v>
      </c>
      <c r="BZ320" s="27" t="s">
        <v>7</v>
      </c>
      <c r="CA320" s="27" t="s">
        <v>8</v>
      </c>
      <c r="CB320" s="27" t="s">
        <v>7</v>
      </c>
      <c r="CC320" s="27" t="s">
        <v>8</v>
      </c>
      <c r="CD320" s="27" t="s">
        <v>7</v>
      </c>
      <c r="CE320" s="27" t="s">
        <v>8</v>
      </c>
      <c r="CF320" s="27" t="s">
        <v>7</v>
      </c>
      <c r="CG320" s="27" t="s">
        <v>8</v>
      </c>
      <c r="CJ320" s="27" t="s">
        <v>7</v>
      </c>
      <c r="CK320" s="27" t="s">
        <v>8</v>
      </c>
    </row>
    <row r="321" spans="1:88" x14ac:dyDescent="0.25">
      <c r="A321" s="30">
        <v>1.9216167485857926E-2</v>
      </c>
      <c r="B321"/>
      <c r="C321"/>
      <c r="D321"/>
      <c r="E321"/>
      <c r="F321" s="27" t="s">
        <v>7</v>
      </c>
      <c r="I321" s="27" t="s">
        <v>8</v>
      </c>
      <c r="J321" s="27" t="s">
        <v>7</v>
      </c>
      <c r="K321" s="27" t="s">
        <v>8</v>
      </c>
      <c r="L321" s="27" t="s">
        <v>7</v>
      </c>
      <c r="AO321" s="27" t="s">
        <v>8</v>
      </c>
      <c r="BB321" s="31"/>
      <c r="BN321" s="27" t="s">
        <v>7</v>
      </c>
      <c r="BO321" s="27" t="s">
        <v>8</v>
      </c>
      <c r="BP321" s="27" t="s">
        <v>7</v>
      </c>
      <c r="BS321" s="27" t="s">
        <v>8</v>
      </c>
      <c r="BU321" s="27" t="s">
        <v>8</v>
      </c>
      <c r="BV321" s="27" t="s">
        <v>7</v>
      </c>
      <c r="BX321" s="27" t="s">
        <v>7</v>
      </c>
      <c r="BZ321" s="27" t="s">
        <v>7</v>
      </c>
      <c r="CB321" s="27" t="s">
        <v>7</v>
      </c>
      <c r="CD321" s="27" t="s">
        <v>7</v>
      </c>
      <c r="CE321" s="27" t="s">
        <v>8</v>
      </c>
      <c r="CF321" s="27" t="s">
        <v>7</v>
      </c>
      <c r="CJ321" s="27" t="s">
        <v>7</v>
      </c>
    </row>
    <row r="322" spans="1:88" x14ac:dyDescent="0.25">
      <c r="A322" s="30">
        <v>1.8301111891293256E-2</v>
      </c>
      <c r="B322"/>
      <c r="C322"/>
      <c r="D322"/>
      <c r="E322"/>
      <c r="F322" s="27" t="s">
        <v>7</v>
      </c>
      <c r="G322" s="27" t="s">
        <v>8</v>
      </c>
      <c r="I322" s="27" t="s">
        <v>8</v>
      </c>
      <c r="J322" s="27" t="s">
        <v>7</v>
      </c>
      <c r="K322" s="27" t="s">
        <v>8</v>
      </c>
      <c r="L322" s="27" t="s">
        <v>7</v>
      </c>
      <c r="AO322" s="27" t="s">
        <v>8</v>
      </c>
      <c r="BA322" s="31"/>
      <c r="BN322" s="27" t="s">
        <v>7</v>
      </c>
      <c r="BO322" s="27" t="s">
        <v>8</v>
      </c>
      <c r="BP322" s="27" t="s">
        <v>7</v>
      </c>
      <c r="BS322" s="27" t="s">
        <v>8</v>
      </c>
      <c r="BT322" s="27" t="s">
        <v>7</v>
      </c>
      <c r="BU322" s="27" t="s">
        <v>8</v>
      </c>
      <c r="CD322" s="27" t="s">
        <v>7</v>
      </c>
      <c r="CE322" s="27" t="s">
        <v>8</v>
      </c>
    </row>
    <row r="323" spans="1:88" x14ac:dyDescent="0.25">
      <c r="A323" s="30">
        <v>1.7429630372660238E-2</v>
      </c>
      <c r="B323"/>
      <c r="C323"/>
      <c r="D323"/>
      <c r="E323"/>
      <c r="F323" s="27" t="s">
        <v>7</v>
      </c>
      <c r="G323" s="27" t="s">
        <v>8</v>
      </c>
      <c r="H323" s="27" t="s">
        <v>7</v>
      </c>
      <c r="I323" s="27" t="s">
        <v>8</v>
      </c>
      <c r="J323" s="27" t="s">
        <v>7</v>
      </c>
      <c r="K323" s="27" t="s">
        <v>8</v>
      </c>
      <c r="L323" s="27" t="s">
        <v>7</v>
      </c>
      <c r="AO323" s="27" t="s">
        <v>8</v>
      </c>
      <c r="AZ323" s="31"/>
      <c r="BN323" s="27" t="s">
        <v>7</v>
      </c>
      <c r="BP323" s="27" t="s">
        <v>7</v>
      </c>
      <c r="BQ323" s="27" t="s">
        <v>8</v>
      </c>
      <c r="BS323" s="27" t="s">
        <v>8</v>
      </c>
      <c r="BT323" s="27" t="s">
        <v>7</v>
      </c>
      <c r="BU323" s="27" t="s">
        <v>8</v>
      </c>
      <c r="CD323" s="27" t="s">
        <v>7</v>
      </c>
      <c r="CE323" s="27" t="s">
        <v>8</v>
      </c>
    </row>
    <row r="324" spans="1:88" x14ac:dyDescent="0.25">
      <c r="A324" s="30">
        <v>1.6599647973962125E-2</v>
      </c>
      <c r="B324"/>
      <c r="C324"/>
      <c r="D324"/>
      <c r="E324"/>
      <c r="F324" s="27" t="s">
        <v>7</v>
      </c>
      <c r="G324" s="27" t="s">
        <v>8</v>
      </c>
      <c r="H324" s="27" t="s">
        <v>7</v>
      </c>
      <c r="I324" s="27" t="s">
        <v>8</v>
      </c>
      <c r="J324" s="27" t="s">
        <v>7</v>
      </c>
      <c r="L324" s="27" t="s">
        <v>7</v>
      </c>
      <c r="AO324" s="27" t="s">
        <v>8</v>
      </c>
      <c r="AY324" s="31"/>
      <c r="BP324" s="27" t="s">
        <v>7</v>
      </c>
      <c r="BQ324" s="27" t="s">
        <v>8</v>
      </c>
      <c r="BR324" s="27" t="s">
        <v>7</v>
      </c>
      <c r="BS324" s="27" t="s">
        <v>8</v>
      </c>
      <c r="BT324" s="27" t="s">
        <v>7</v>
      </c>
      <c r="CD324" s="27" t="s">
        <v>7</v>
      </c>
      <c r="CE324" s="27" t="s">
        <v>8</v>
      </c>
    </row>
    <row r="325" spans="1:88" x14ac:dyDescent="0.25">
      <c r="A325" s="30">
        <v>1.580918854663059E-2</v>
      </c>
      <c r="B325"/>
      <c r="C325"/>
      <c r="D325"/>
      <c r="E325"/>
      <c r="F325" s="27" t="s">
        <v>7</v>
      </c>
      <c r="G325" s="27" t="s">
        <v>8</v>
      </c>
      <c r="H325" s="27" t="s">
        <v>7</v>
      </c>
      <c r="L325" s="27" t="s">
        <v>7</v>
      </c>
      <c r="AO325" s="27" t="s">
        <v>8</v>
      </c>
      <c r="AX325" s="31"/>
      <c r="BP325" s="27" t="s">
        <v>7</v>
      </c>
      <c r="BQ325" s="27" t="s">
        <v>8</v>
      </c>
      <c r="BR325" s="27" t="s">
        <v>7</v>
      </c>
      <c r="BS325" s="27" t="s">
        <v>8</v>
      </c>
      <c r="CD325" s="27" t="s">
        <v>7</v>
      </c>
    </row>
    <row r="326" spans="1:88" x14ac:dyDescent="0.25">
      <c r="A326" s="30">
        <v>1.5056370044410079E-2</v>
      </c>
      <c r="B326"/>
      <c r="C326"/>
      <c r="D326"/>
      <c r="E326"/>
      <c r="F326" s="27" t="s">
        <v>7</v>
      </c>
      <c r="G326" s="27" t="s">
        <v>8</v>
      </c>
      <c r="L326" s="27" t="s">
        <v>7</v>
      </c>
      <c r="AM326" s="27" t="s">
        <v>8</v>
      </c>
      <c r="AO326" s="27" t="s">
        <v>8</v>
      </c>
      <c r="AW326" s="31"/>
      <c r="BP326" s="27" t="s">
        <v>7</v>
      </c>
      <c r="BQ326" s="27" t="s">
        <v>8</v>
      </c>
      <c r="BR326" s="27" t="s">
        <v>7</v>
      </c>
      <c r="BS326" s="27" t="s">
        <v>8</v>
      </c>
    </row>
    <row r="327" spans="1:88" x14ac:dyDescent="0.25">
      <c r="A327" s="30">
        <v>1.4339400042295308E-2</v>
      </c>
      <c r="B327"/>
      <c r="C327"/>
      <c r="D327"/>
      <c r="E327"/>
      <c r="F327" s="27" t="s">
        <v>7</v>
      </c>
      <c r="G327" s="27" t="s">
        <v>8</v>
      </c>
      <c r="L327" s="27" t="s">
        <v>7</v>
      </c>
      <c r="AK327" s="27" t="s">
        <v>8</v>
      </c>
      <c r="AM327" s="27" t="s">
        <v>8</v>
      </c>
      <c r="AN327" s="27" t="s">
        <v>7</v>
      </c>
      <c r="AO327" s="27" t="s">
        <v>8</v>
      </c>
      <c r="AV327" s="31"/>
      <c r="BP327" s="27" t="s">
        <v>7</v>
      </c>
      <c r="BQ327" s="27" t="s">
        <v>8</v>
      </c>
      <c r="BR327" s="27" t="s">
        <v>7</v>
      </c>
      <c r="BS327" s="27" t="s">
        <v>8</v>
      </c>
    </row>
    <row r="328" spans="1:88" x14ac:dyDescent="0.25">
      <c r="A328" s="30">
        <v>1.365657146885267E-2</v>
      </c>
      <c r="B328"/>
      <c r="C328"/>
      <c r="D328"/>
      <c r="E328"/>
      <c r="F328" s="27" t="s">
        <v>7</v>
      </c>
      <c r="G328" s="27" t="s">
        <v>8</v>
      </c>
      <c r="L328" s="27" t="s">
        <v>7</v>
      </c>
      <c r="AK328" s="27" t="s">
        <v>8</v>
      </c>
      <c r="AL328" s="27" t="s">
        <v>7</v>
      </c>
      <c r="AM328" s="27" t="s">
        <v>8</v>
      </c>
      <c r="AN328" s="27" t="s">
        <v>7</v>
      </c>
      <c r="AO328" s="27" t="s">
        <v>8</v>
      </c>
      <c r="AU328" s="31"/>
      <c r="BP328" s="27" t="s">
        <v>7</v>
      </c>
      <c r="BQ328" s="27" t="s">
        <v>8</v>
      </c>
      <c r="BR328" s="27" t="s">
        <v>7</v>
      </c>
      <c r="BS328" s="27" t="s">
        <v>8</v>
      </c>
    </row>
    <row r="329" spans="1:88" x14ac:dyDescent="0.25">
      <c r="A329" s="30">
        <v>1.3006258541764442E-2</v>
      </c>
      <c r="B329"/>
      <c r="C329"/>
      <c r="D329"/>
      <c r="E329"/>
      <c r="F329" s="27" t="s">
        <v>7</v>
      </c>
      <c r="G329" s="27" t="s">
        <v>8</v>
      </c>
      <c r="L329" s="27" t="s">
        <v>7</v>
      </c>
      <c r="M329" s="27" t="s">
        <v>8</v>
      </c>
      <c r="AG329" s="27" t="s">
        <v>8</v>
      </c>
      <c r="AI329" s="27" t="s">
        <v>8</v>
      </c>
      <c r="AK329" s="27" t="s">
        <v>8</v>
      </c>
      <c r="AL329" s="27" t="s">
        <v>7</v>
      </c>
      <c r="AM329" s="27" t="s">
        <v>8</v>
      </c>
      <c r="AN329" s="27" t="s">
        <v>7</v>
      </c>
      <c r="AO329" s="27" t="s">
        <v>8</v>
      </c>
      <c r="AT329" s="31"/>
      <c r="BP329" s="27" t="s">
        <v>7</v>
      </c>
      <c r="BR329" s="27" t="s">
        <v>7</v>
      </c>
    </row>
    <row r="330" spans="1:88" x14ac:dyDescent="0.25">
      <c r="A330" s="30">
        <v>1.2386912896918512E-2</v>
      </c>
      <c r="B330"/>
      <c r="C330"/>
      <c r="D330"/>
      <c r="E330"/>
      <c r="F330" s="27" t="s">
        <v>7</v>
      </c>
      <c r="G330" s="27" t="s">
        <v>8</v>
      </c>
      <c r="L330" s="27" t="s">
        <v>7</v>
      </c>
      <c r="M330" s="27" t="s">
        <v>8</v>
      </c>
      <c r="N330" s="27" t="s">
        <v>7</v>
      </c>
      <c r="O330" s="27" t="s">
        <v>8</v>
      </c>
      <c r="AE330" s="27" t="s">
        <v>8</v>
      </c>
      <c r="AG330" s="27" t="s">
        <v>8</v>
      </c>
      <c r="AH330" s="27" t="s">
        <v>7</v>
      </c>
      <c r="AI330" s="27" t="s">
        <v>8</v>
      </c>
      <c r="AJ330" s="27" t="s">
        <v>7</v>
      </c>
      <c r="AK330" s="27" t="s">
        <v>8</v>
      </c>
      <c r="AL330" s="27" t="s">
        <v>7</v>
      </c>
      <c r="AM330" s="27" t="s">
        <v>8</v>
      </c>
      <c r="AN330" s="27" t="s">
        <v>7</v>
      </c>
      <c r="AO330" s="27" t="s">
        <v>8</v>
      </c>
      <c r="AS330" s="31"/>
    </row>
    <row r="331" spans="1:88" x14ac:dyDescent="0.25">
      <c r="A331" s="30">
        <v>1.179705990182715E-2</v>
      </c>
      <c r="B331"/>
      <c r="C331"/>
      <c r="D331"/>
      <c r="E331"/>
      <c r="F331" s="27" t="s">
        <v>7</v>
      </c>
      <c r="G331" s="27" t="s">
        <v>8</v>
      </c>
      <c r="L331" s="27" t="s">
        <v>7</v>
      </c>
      <c r="M331" s="27" t="s">
        <v>8</v>
      </c>
      <c r="N331" s="27" t="s">
        <v>7</v>
      </c>
      <c r="O331" s="27" t="s">
        <v>8</v>
      </c>
      <c r="P331" s="27" t="s">
        <v>7</v>
      </c>
      <c r="AE331" s="27" t="s">
        <v>8</v>
      </c>
      <c r="AF331" s="27" t="s">
        <v>7</v>
      </c>
      <c r="AG331" s="27" t="s">
        <v>8</v>
      </c>
      <c r="AH331" s="27" t="s">
        <v>7</v>
      </c>
      <c r="AI331" s="27" t="s">
        <v>8</v>
      </c>
      <c r="AJ331" s="27" t="s">
        <v>7</v>
      </c>
      <c r="AK331" s="27" t="s">
        <v>8</v>
      </c>
      <c r="AL331" s="27" t="s">
        <v>7</v>
      </c>
      <c r="AM331" s="27" t="s">
        <v>8</v>
      </c>
      <c r="AN331" s="27" t="s">
        <v>7</v>
      </c>
      <c r="AR331" s="31"/>
    </row>
    <row r="332" spans="1:88" x14ac:dyDescent="0.25">
      <c r="A332" s="30">
        <v>1.1235295144597281E-2</v>
      </c>
      <c r="B332"/>
      <c r="C332"/>
      <c r="D332"/>
      <c r="E332"/>
      <c r="F332" s="27" t="s">
        <v>7</v>
      </c>
      <c r="G332" s="27" t="s">
        <v>8</v>
      </c>
      <c r="L332" s="27" t="s">
        <v>7</v>
      </c>
      <c r="N332" s="27" t="s">
        <v>7</v>
      </c>
      <c r="O332" s="27" t="s">
        <v>8</v>
      </c>
      <c r="P332" s="27" t="s">
        <v>7</v>
      </c>
      <c r="AC332" s="27" t="s">
        <v>8</v>
      </c>
      <c r="AE332" s="27" t="s">
        <v>8</v>
      </c>
      <c r="AF332" s="27" t="s">
        <v>7</v>
      </c>
      <c r="AG332" s="27" t="s">
        <v>8</v>
      </c>
      <c r="AH332" s="27" t="s">
        <v>7</v>
      </c>
      <c r="AI332" s="27" t="s">
        <v>8</v>
      </c>
      <c r="AJ332" s="27" t="s">
        <v>7</v>
      </c>
      <c r="AK332" s="27" t="s">
        <v>8</v>
      </c>
      <c r="AL332" s="27" t="s">
        <v>7</v>
      </c>
      <c r="AQ332" s="31"/>
    </row>
    <row r="333" spans="1:88" x14ac:dyDescent="0.25">
      <c r="A333" s="30">
        <v>1.0700281090092644E-2</v>
      </c>
      <c r="B333"/>
      <c r="C333"/>
      <c r="D333"/>
      <c r="E333"/>
      <c r="F333" s="27" t="s">
        <v>7</v>
      </c>
      <c r="G333" s="27" t="s">
        <v>8</v>
      </c>
      <c r="N333" s="27" t="s">
        <v>7</v>
      </c>
      <c r="O333" s="27" t="s">
        <v>8</v>
      </c>
      <c r="P333" s="27" t="s">
        <v>7</v>
      </c>
      <c r="AC333" s="27" t="s">
        <v>8</v>
      </c>
      <c r="AD333" s="27" t="s">
        <v>7</v>
      </c>
      <c r="AE333" s="27" t="s">
        <v>8</v>
      </c>
      <c r="AF333" s="27" t="s">
        <v>7</v>
      </c>
      <c r="AH333" s="27" t="s">
        <v>7</v>
      </c>
      <c r="AI333" s="27" t="s">
        <v>8</v>
      </c>
      <c r="AJ333" s="27" t="s">
        <v>7</v>
      </c>
      <c r="AK333" s="27" t="s">
        <v>8</v>
      </c>
      <c r="AP333" s="31"/>
    </row>
    <row r="334" spans="1:88" x14ac:dyDescent="0.25">
      <c r="A334" s="30">
        <v>1.0190743895326324E-2</v>
      </c>
      <c r="B334"/>
      <c r="C334"/>
      <c r="D334"/>
      <c r="E334"/>
      <c r="F334" s="27" t="s">
        <v>7</v>
      </c>
      <c r="G334" s="27" t="s">
        <v>8</v>
      </c>
      <c r="N334" s="27" t="s">
        <v>7</v>
      </c>
      <c r="O334" s="27" t="s">
        <v>8</v>
      </c>
      <c r="P334" s="27" t="s">
        <v>7</v>
      </c>
      <c r="AC334" s="27" t="s">
        <v>8</v>
      </c>
      <c r="AD334" s="27" t="s">
        <v>7</v>
      </c>
      <c r="AE334" s="27" t="s">
        <v>8</v>
      </c>
      <c r="AH334" s="27" t="s">
        <v>7</v>
      </c>
      <c r="AJ334" s="27" t="s">
        <v>7</v>
      </c>
      <c r="AO334" s="31"/>
    </row>
    <row r="335" spans="1:88" x14ac:dyDescent="0.25">
      <c r="A335" s="30">
        <v>9.7054703765012563E-3</v>
      </c>
      <c r="B335"/>
      <c r="C335"/>
      <c r="D335"/>
      <c r="E335"/>
      <c r="F335" s="27" t="s">
        <v>7</v>
      </c>
      <c r="G335" s="27" t="s">
        <v>8</v>
      </c>
      <c r="N335" s="27" t="s">
        <v>7</v>
      </c>
      <c r="O335" s="27" t="s">
        <v>8</v>
      </c>
      <c r="P335" s="27" t="s">
        <v>7</v>
      </c>
      <c r="Q335" s="27" t="s">
        <v>8</v>
      </c>
      <c r="AC335" s="27" t="s">
        <v>8</v>
      </c>
      <c r="AD335" s="27" t="s">
        <v>7</v>
      </c>
      <c r="AE335" s="27" t="s">
        <v>8</v>
      </c>
      <c r="AN335" s="31"/>
    </row>
    <row r="336" spans="1:88" x14ac:dyDescent="0.25">
      <c r="A336" s="30">
        <v>9.2433051204773835E-3</v>
      </c>
      <c r="B336"/>
      <c r="C336"/>
      <c r="D336"/>
      <c r="E336"/>
      <c r="F336" s="27" t="s">
        <v>7</v>
      </c>
      <c r="G336" s="27" t="s">
        <v>8</v>
      </c>
      <c r="N336" s="27" t="s">
        <v>7</v>
      </c>
      <c r="P336" s="27" t="s">
        <v>7</v>
      </c>
      <c r="Q336" s="27" t="s">
        <v>8</v>
      </c>
      <c r="R336" s="27" t="s">
        <v>7</v>
      </c>
      <c r="AC336" s="27" t="s">
        <v>8</v>
      </c>
      <c r="AD336" s="27" t="s">
        <v>7</v>
      </c>
      <c r="AM336" s="31"/>
    </row>
    <row r="337" spans="1:38" x14ac:dyDescent="0.25">
      <c r="A337" s="30">
        <v>8.8031477337879808E-3</v>
      </c>
      <c r="B337"/>
      <c r="C337"/>
      <c r="D337"/>
      <c r="E337"/>
      <c r="F337" s="27" t="s">
        <v>7</v>
      </c>
      <c r="G337" s="27" t="s">
        <v>8</v>
      </c>
      <c r="P337" s="27" t="s">
        <v>7</v>
      </c>
      <c r="Q337" s="27" t="s">
        <v>8</v>
      </c>
      <c r="R337" s="27" t="s">
        <v>7</v>
      </c>
      <c r="AC337" s="27" t="s">
        <v>8</v>
      </c>
      <c r="AL337" s="31"/>
    </row>
    <row r="338" spans="1:38" x14ac:dyDescent="0.25">
      <c r="A338" s="30">
        <v>8.3839502226552166E-3</v>
      </c>
      <c r="B338"/>
      <c r="C338"/>
      <c r="D338"/>
      <c r="E338"/>
      <c r="F338" s="27" t="s">
        <v>7</v>
      </c>
      <c r="G338" s="27" t="s">
        <v>8</v>
      </c>
      <c r="P338" s="27" t="s">
        <v>7</v>
      </c>
      <c r="R338" s="27" t="s">
        <v>7</v>
      </c>
      <c r="AC338" s="27" t="s">
        <v>8</v>
      </c>
      <c r="AK338" s="31"/>
    </row>
    <row r="339" spans="1:38" x14ac:dyDescent="0.25">
      <c r="A339" s="30">
        <v>7.9847144977668698E-3</v>
      </c>
      <c r="B339"/>
      <c r="C339"/>
      <c r="D339"/>
      <c r="E339"/>
      <c r="F339" s="27" t="s">
        <v>7</v>
      </c>
      <c r="R339" s="27" t="s">
        <v>7</v>
      </c>
      <c r="AA339" s="27" t="s">
        <v>8</v>
      </c>
      <c r="AC339" s="27" t="s">
        <v>8</v>
      </c>
      <c r="AJ339" s="31"/>
    </row>
    <row r="340" spans="1:38" x14ac:dyDescent="0.25">
      <c r="A340" s="30">
        <v>7.6044899978732058E-3</v>
      </c>
      <c r="B340"/>
      <c r="C340"/>
      <c r="D340"/>
      <c r="E340"/>
      <c r="R340" s="27" t="s">
        <v>7</v>
      </c>
      <c r="AA340" s="27" t="s">
        <v>8</v>
      </c>
      <c r="AB340" s="27" t="s">
        <v>7</v>
      </c>
      <c r="AC340" s="27" t="s">
        <v>8</v>
      </c>
      <c r="AI340" s="31"/>
    </row>
    <row r="341" spans="1:38" x14ac:dyDescent="0.25">
      <c r="A341" s="30">
        <v>7.2423714265459072E-3</v>
      </c>
      <c r="B341"/>
      <c r="C341"/>
      <c r="D341"/>
      <c r="E341"/>
      <c r="R341" s="27" t="s">
        <v>7</v>
      </c>
      <c r="Y341" s="27" t="s">
        <v>8</v>
      </c>
      <c r="AA341" s="27" t="s">
        <v>8</v>
      </c>
      <c r="AB341" s="27" t="s">
        <v>7</v>
      </c>
      <c r="AC341" s="27" t="s">
        <v>8</v>
      </c>
      <c r="AH341" s="31"/>
    </row>
    <row r="342" spans="1:38" x14ac:dyDescent="0.25">
      <c r="A342" s="30">
        <v>6.8974965967103846E-3</v>
      </c>
      <c r="B342"/>
      <c r="C342"/>
      <c r="D342"/>
      <c r="E342"/>
      <c r="R342" s="27" t="s">
        <v>7</v>
      </c>
      <c r="U342" s="27" t="s">
        <v>8</v>
      </c>
      <c r="W342" s="27" t="s">
        <v>8</v>
      </c>
      <c r="Y342" s="27" t="s">
        <v>8</v>
      </c>
      <c r="Z342" s="27" t="s">
        <v>7</v>
      </c>
      <c r="AA342" s="27" t="s">
        <v>8</v>
      </c>
      <c r="AB342" s="27" t="s">
        <v>7</v>
      </c>
      <c r="AG342" s="31"/>
    </row>
    <row r="343" spans="1:38" x14ac:dyDescent="0.25">
      <c r="A343" s="30">
        <v>6.5690443778194116E-3</v>
      </c>
      <c r="B343"/>
      <c r="C343"/>
      <c r="D343"/>
      <c r="E343"/>
      <c r="R343" s="27" t="s">
        <v>7</v>
      </c>
      <c r="U343" s="27" t="s">
        <v>8</v>
      </c>
      <c r="V343" s="27" t="s">
        <v>7</v>
      </c>
      <c r="W343" s="27" t="s">
        <v>8</v>
      </c>
      <c r="X343" s="27" t="s">
        <v>7</v>
      </c>
      <c r="Y343" s="27" t="s">
        <v>8</v>
      </c>
      <c r="Z343" s="27" t="s">
        <v>7</v>
      </c>
      <c r="AA343" s="27" t="s">
        <v>8</v>
      </c>
      <c r="AF343" s="31"/>
    </row>
    <row r="344" spans="1:38" x14ac:dyDescent="0.25">
      <c r="A344" s="30">
        <v>6.2562327407803897E-3</v>
      </c>
      <c r="B344"/>
      <c r="C344"/>
      <c r="D344"/>
      <c r="E344"/>
      <c r="R344" s="27" t="s">
        <v>7</v>
      </c>
      <c r="U344" s="27" t="s">
        <v>8</v>
      </c>
      <c r="V344" s="27" t="s">
        <v>7</v>
      </c>
      <c r="W344" s="27" t="s">
        <v>8</v>
      </c>
      <c r="X344" s="27" t="s">
        <v>7</v>
      </c>
      <c r="Y344" s="27" t="s">
        <v>8</v>
      </c>
      <c r="Z344" s="27" t="s">
        <v>7</v>
      </c>
      <c r="AA344" s="27" t="s">
        <v>8</v>
      </c>
      <c r="AE344" s="31"/>
    </row>
    <row r="345" spans="1:38" x14ac:dyDescent="0.25">
      <c r="A345" s="30">
        <v>5.9583168959813212E-3</v>
      </c>
      <c r="B345"/>
      <c r="C345"/>
      <c r="D345"/>
      <c r="E345"/>
      <c r="R345" s="27" t="s">
        <v>7</v>
      </c>
      <c r="U345" s="27" t="s">
        <v>8</v>
      </c>
      <c r="V345" s="27" t="s">
        <v>7</v>
      </c>
      <c r="X345" s="27" t="s">
        <v>7</v>
      </c>
      <c r="Y345" s="27" t="s">
        <v>8</v>
      </c>
      <c r="Z345" s="27" t="s">
        <v>7</v>
      </c>
      <c r="AD345" s="31"/>
    </row>
    <row r="346" spans="1:38" x14ac:dyDescent="0.25">
      <c r="A346" s="30">
        <v>5.6745875199822084E-3</v>
      </c>
      <c r="B346"/>
      <c r="C346"/>
      <c r="D346"/>
      <c r="E346"/>
      <c r="R346" s="27" t="s">
        <v>7</v>
      </c>
      <c r="S346" s="27" t="s">
        <v>8</v>
      </c>
      <c r="U346" s="27" t="s">
        <v>8</v>
      </c>
      <c r="X346" s="27" t="s">
        <v>7</v>
      </c>
      <c r="AC346" s="31"/>
    </row>
    <row r="347" spans="1:38" x14ac:dyDescent="0.25">
      <c r="A347" s="30">
        <v>5.4043690666497205E-3</v>
      </c>
      <c r="B347"/>
      <c r="C347"/>
      <c r="D347"/>
      <c r="E347"/>
      <c r="R347" s="27" t="s">
        <v>7</v>
      </c>
      <c r="S347" s="27" t="s">
        <v>8</v>
      </c>
      <c r="T347" s="27" t="s">
        <v>7</v>
      </c>
      <c r="U347" s="27" t="s">
        <v>8</v>
      </c>
      <c r="AB347" s="31"/>
    </row>
    <row r="348" spans="1:38" x14ac:dyDescent="0.25">
      <c r="A348" s="30">
        <v>5.1470181587140174E-3</v>
      </c>
      <c r="B348"/>
      <c r="C348"/>
      <c r="D348"/>
      <c r="E348"/>
      <c r="R348" s="27" t="s">
        <v>7</v>
      </c>
      <c r="S348" s="27" t="s">
        <v>8</v>
      </c>
      <c r="T348" s="27" t="s">
        <v>7</v>
      </c>
      <c r="U348" s="27" t="s">
        <v>8</v>
      </c>
      <c r="AA348" s="31"/>
    </row>
    <row r="349" spans="1:38" x14ac:dyDescent="0.25">
      <c r="A349" s="30">
        <v>4.9019220559181099E-3</v>
      </c>
      <c r="B349"/>
      <c r="C349"/>
      <c r="D349"/>
      <c r="E349"/>
      <c r="R349" s="27" t="s">
        <v>7</v>
      </c>
      <c r="S349" s="27" t="s">
        <v>8</v>
      </c>
      <c r="T349" s="27" t="s">
        <v>7</v>
      </c>
      <c r="U349" s="27" t="s">
        <v>8</v>
      </c>
      <c r="Z349" s="31"/>
    </row>
    <row r="350" spans="1:38" x14ac:dyDescent="0.25">
      <c r="A350" s="30">
        <v>4.6684971961124836E-3</v>
      </c>
      <c r="B350"/>
      <c r="C350"/>
      <c r="D350"/>
      <c r="E350"/>
      <c r="R350" s="27" t="s">
        <v>7</v>
      </c>
      <c r="S350" s="27" t="s">
        <v>8</v>
      </c>
      <c r="T350" s="27" t="s">
        <v>7</v>
      </c>
      <c r="U350" s="27" t="s">
        <v>8</v>
      </c>
      <c r="Y350" s="31"/>
    </row>
    <row r="351" spans="1:38" x14ac:dyDescent="0.25">
      <c r="A351" s="30">
        <v>4.4461878058214112E-3</v>
      </c>
      <c r="B351"/>
      <c r="C351"/>
      <c r="D351"/>
      <c r="E351"/>
      <c r="R351" s="27" t="s">
        <v>7</v>
      </c>
      <c r="S351" s="27" t="s">
        <v>8</v>
      </c>
      <c r="T351" s="27" t="s">
        <v>7</v>
      </c>
      <c r="U351" s="27" t="s">
        <v>8</v>
      </c>
      <c r="X351" s="31"/>
    </row>
    <row r="352" spans="1:38" x14ac:dyDescent="0.25">
      <c r="A352" s="30">
        <v>4.2344645769727711E-3</v>
      </c>
      <c r="B352"/>
      <c r="C352"/>
      <c r="D352"/>
      <c r="E352"/>
      <c r="R352" s="27" t="s">
        <v>7</v>
      </c>
      <c r="S352" s="27" t="s">
        <v>8</v>
      </c>
      <c r="T352" s="27" t="s">
        <v>7</v>
      </c>
      <c r="U352" s="27" t="s">
        <v>8</v>
      </c>
      <c r="W352" s="31"/>
    </row>
    <row r="353" spans="1:22" x14ac:dyDescent="0.25">
      <c r="A353" s="30">
        <v>4.0328234066407329E-3</v>
      </c>
      <c r="B353"/>
      <c r="C353"/>
      <c r="D353"/>
      <c r="E353"/>
      <c r="R353" s="27" t="s">
        <v>7</v>
      </c>
      <c r="S353" s="27" t="s">
        <v>8</v>
      </c>
      <c r="T353" s="27" t="s">
        <v>7</v>
      </c>
      <c r="V353" s="31"/>
    </row>
    <row r="354" spans="1:22" x14ac:dyDescent="0.25">
      <c r="A354" s="30">
        <v>3.8407841968006963E-3</v>
      </c>
      <c r="B354"/>
      <c r="C354"/>
      <c r="D354"/>
      <c r="E354"/>
      <c r="R354" s="27" t="s">
        <v>7</v>
      </c>
      <c r="S354" s="27" t="s">
        <v>8</v>
      </c>
      <c r="U354" s="31"/>
    </row>
    <row r="355" spans="1:22" x14ac:dyDescent="0.25">
      <c r="A355" s="30">
        <v>3.6578897112387568E-3</v>
      </c>
      <c r="B355"/>
      <c r="C355"/>
      <c r="D355"/>
      <c r="E355"/>
      <c r="R355" s="27" t="s">
        <v>7</v>
      </c>
      <c r="S355" s="27" t="s">
        <v>8</v>
      </c>
      <c r="T355" s="31"/>
    </row>
    <row r="356" spans="1:22" x14ac:dyDescent="0.25">
      <c r="A356" s="30">
        <v>3.4837044868940526E-3</v>
      </c>
      <c r="B356"/>
      <c r="C356"/>
      <c r="D356"/>
      <c r="E356"/>
      <c r="R356" s="27" t="s">
        <v>7</v>
      </c>
      <c r="S356" s="31" t="s">
        <v>8</v>
      </c>
    </row>
    <row r="357" spans="1:22" x14ac:dyDescent="0.25">
      <c r="A357" s="30">
        <v>3.3178137970419535E-3</v>
      </c>
      <c r="B357"/>
      <c r="C357"/>
      <c r="D357"/>
      <c r="E357"/>
      <c r="R357" s="31" t="s">
        <v>7</v>
      </c>
    </row>
    <row r="358" spans="1:22" x14ac:dyDescent="0.25">
      <c r="A358" s="30">
        <v>3.1598226638494781E-3</v>
      </c>
      <c r="B358"/>
      <c r="C358"/>
      <c r="D358"/>
      <c r="E358"/>
    </row>
    <row r="359" spans="1:22" x14ac:dyDescent="0.25">
      <c r="A359" s="30">
        <v>3.0093549179518826E-3</v>
      </c>
      <c r="B359"/>
      <c r="C359"/>
      <c r="D359"/>
      <c r="E359"/>
    </row>
    <row r="360" spans="1:22" x14ac:dyDescent="0.25">
      <c r="A360" s="30">
        <v>2.8660523028113155E-3</v>
      </c>
      <c r="B360"/>
      <c r="C360"/>
      <c r="D360"/>
      <c r="E360"/>
    </row>
    <row r="361" spans="1:22" x14ac:dyDescent="0.25">
      <c r="A361" s="30">
        <v>2.7295736217250611E-3</v>
      </c>
      <c r="B361"/>
      <c r="C361"/>
      <c r="D361"/>
      <c r="E361"/>
    </row>
    <row r="362" spans="1:22" x14ac:dyDescent="0.25">
      <c r="A362" s="30">
        <v>2.5995939254524381E-3</v>
      </c>
      <c r="B362"/>
      <c r="C362"/>
      <c r="D362"/>
      <c r="E362"/>
    </row>
    <row r="363" spans="1:22" x14ac:dyDescent="0.25">
      <c r="A363" s="30">
        <v>2.4758037385261304E-3</v>
      </c>
      <c r="B363"/>
      <c r="C363"/>
      <c r="D363"/>
      <c r="E363"/>
    </row>
    <row r="364" spans="1:22" x14ac:dyDescent="0.25">
      <c r="A364" s="30">
        <v>2.3579083224058374E-3</v>
      </c>
      <c r="B364"/>
      <c r="C364"/>
      <c r="D364"/>
      <c r="E364"/>
    </row>
    <row r="365" spans="1:22" x14ac:dyDescent="0.25">
      <c r="A365" s="30">
        <v>2.245626973719844E-3</v>
      </c>
      <c r="B365"/>
      <c r="C365"/>
      <c r="D365"/>
      <c r="E365"/>
    </row>
    <row r="366" spans="1:22" x14ac:dyDescent="0.25">
      <c r="A366" s="30">
        <v>2.1386923559236601E-3</v>
      </c>
      <c r="B366"/>
      <c r="C366"/>
      <c r="D366"/>
      <c r="E366"/>
    </row>
    <row r="367" spans="1:22" x14ac:dyDescent="0.25">
      <c r="A367" s="30">
        <v>2.0368498627844375E-3</v>
      </c>
      <c r="B367"/>
      <c r="C367"/>
      <c r="D367"/>
      <c r="E367"/>
    </row>
    <row r="368" spans="1:22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178" operator="equal">
      <formula>$U$1</formula>
    </cfRule>
    <cfRule type="cellIs" dxfId="67" priority="1179" operator="equal">
      <formula>$S$1</formula>
    </cfRule>
  </conditionalFormatting>
  <conditionalFormatting sqref="D136">
    <cfRule type="cellIs" dxfId="66" priority="1176" operator="equal">
      <formula>$S$1</formula>
    </cfRule>
    <cfRule type="cellIs" dxfId="65" priority="1177" operator="equal">
      <formula>$U$1</formula>
    </cfRule>
  </conditionalFormatting>
  <conditionalFormatting sqref="C162">
    <cfRule type="cellIs" dxfId="64" priority="1174" operator="equal">
      <formula>$U$1</formula>
    </cfRule>
    <cfRule type="cellIs" dxfId="63" priority="1175" operator="equal">
      <formula>$S$1</formula>
    </cfRule>
  </conditionalFormatting>
  <conditionalFormatting sqref="D162">
    <cfRule type="cellIs" dxfId="62" priority="1172" operator="equal">
      <formula>$S$1</formula>
    </cfRule>
    <cfRule type="cellIs" dxfId="61" priority="1173" operator="equal">
      <formula>$U$1</formula>
    </cfRule>
  </conditionalFormatting>
  <conditionalFormatting sqref="C187">
    <cfRule type="cellIs" dxfId="60" priority="1170" operator="equal">
      <formula>$U$1</formula>
    </cfRule>
    <cfRule type="cellIs" dxfId="59" priority="1171" operator="equal">
      <formula>$S$1</formula>
    </cfRule>
  </conditionalFormatting>
  <conditionalFormatting sqref="D187">
    <cfRule type="cellIs" dxfId="58" priority="1168" operator="equal">
      <formula>$S$1</formula>
    </cfRule>
    <cfRule type="cellIs" dxfId="57" priority="1169" operator="equal">
      <formula>$U$1</formula>
    </cfRule>
  </conditionalFormatting>
  <conditionalFormatting sqref="C212">
    <cfRule type="cellIs" dxfId="56" priority="1166" operator="equal">
      <formula>$U$1</formula>
    </cfRule>
    <cfRule type="cellIs" dxfId="55" priority="1167" operator="equal">
      <formula>$S$1</formula>
    </cfRule>
  </conditionalFormatting>
  <conditionalFormatting sqref="D212">
    <cfRule type="cellIs" dxfId="54" priority="1164" operator="equal">
      <formula>$S$1</formula>
    </cfRule>
    <cfRule type="cellIs" dxfId="53" priority="1165" operator="equal">
      <formula>$U$1</formula>
    </cfRule>
  </conditionalFormatting>
  <conditionalFormatting sqref="C237">
    <cfRule type="cellIs" dxfId="52" priority="1162" operator="equal">
      <formula>$U$1</formula>
    </cfRule>
    <cfRule type="cellIs" dxfId="51" priority="1163" operator="equal">
      <formula>$S$1</formula>
    </cfRule>
  </conditionalFormatting>
  <conditionalFormatting sqref="D237">
    <cfRule type="cellIs" dxfId="50" priority="1160" operator="equal">
      <formula>$S$1</formula>
    </cfRule>
    <cfRule type="cellIs" dxfId="49" priority="1161" operator="equal">
      <formula>$U$1</formula>
    </cfRule>
  </conditionalFormatting>
  <conditionalFormatting sqref="C106">
    <cfRule type="cellIs" dxfId="48" priority="1158" operator="equal">
      <formula>$U$1</formula>
    </cfRule>
    <cfRule type="cellIs" dxfId="47" priority="1159" operator="equal">
      <formula>$S$1</formula>
    </cfRule>
  </conditionalFormatting>
  <conditionalFormatting sqref="D106">
    <cfRule type="cellIs" dxfId="46" priority="1156" operator="equal">
      <formula>$S$1</formula>
    </cfRule>
    <cfRule type="cellIs" dxfId="45" priority="1157" operator="equal">
      <formula>$U$1</formula>
    </cfRule>
  </conditionalFormatting>
  <conditionalFormatting sqref="C81">
    <cfRule type="cellIs" dxfId="44" priority="1154" operator="equal">
      <formula>$U$1</formula>
    </cfRule>
    <cfRule type="cellIs" dxfId="43" priority="1155" operator="equal">
      <formula>$S$1</formula>
    </cfRule>
  </conditionalFormatting>
  <conditionalFormatting sqref="D81">
    <cfRule type="cellIs" dxfId="42" priority="1152" operator="equal">
      <formula>$S$1</formula>
    </cfRule>
    <cfRule type="cellIs" dxfId="41" priority="1153" operator="equal">
      <formula>$U$1</formula>
    </cfRule>
  </conditionalFormatting>
  <conditionalFormatting sqref="C56">
    <cfRule type="cellIs" dxfId="40" priority="1150" operator="equal">
      <formula>$U$1</formula>
    </cfRule>
    <cfRule type="cellIs" dxfId="39" priority="1151" operator="equal">
      <formula>$S$1</formula>
    </cfRule>
  </conditionalFormatting>
  <conditionalFormatting sqref="D56">
    <cfRule type="cellIs" dxfId="38" priority="1148" operator="equal">
      <formula>$S$1</formula>
    </cfRule>
    <cfRule type="cellIs" dxfId="37" priority="1149" operator="equal">
      <formula>$U$1</formula>
    </cfRule>
  </conditionalFormatting>
  <conditionalFormatting sqref="C31">
    <cfRule type="cellIs" dxfId="36" priority="1146" operator="equal">
      <formula>$U$1</formula>
    </cfRule>
    <cfRule type="cellIs" dxfId="35" priority="1147" operator="equal">
      <formula>$S$1</formula>
    </cfRule>
  </conditionalFormatting>
  <conditionalFormatting sqref="D31">
    <cfRule type="cellIs" dxfId="34" priority="1144" operator="equal">
      <formula>$S$1</formula>
    </cfRule>
    <cfRule type="cellIs" dxfId="33" priority="114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43" zoomScale="90" zoomScaleNormal="90" workbookViewId="0">
      <pane xSplit="4" topLeftCell="G1" activePane="topRight" state="frozen"/>
      <selection activeCell="A109" sqref="A109"/>
      <selection pane="topRight" activeCell="BC149" sqref="BC149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$A$148</v>
      </c>
      <c r="D111" s="1" t="str">
        <f>ADDRESS(C121-1,D121,1,1)</f>
        <v>$BC$148</v>
      </c>
      <c r="E111"/>
    </row>
    <row r="112" spans="1:5" x14ac:dyDescent="0.25">
      <c r="A112" s="30">
        <v>2.3579476910000019</v>
      </c>
      <c r="C112" s="1" t="str">
        <f>ADDRESS(C121,1,1,1)</f>
        <v>$A$149</v>
      </c>
      <c r="D112" s="1" t="str">
        <f>ADDRESS(C121,D121-1,1,1)</f>
        <v>$BB$149</v>
      </c>
      <c r="E112"/>
    </row>
    <row r="113" spans="1:6" x14ac:dyDescent="0.25">
      <c r="A113" s="30">
        <v>2.1435888100000016</v>
      </c>
      <c r="C113" s="1" t="str">
        <f>ADDRESS(C121+1,1,1,1)</f>
        <v>$A$150</v>
      </c>
      <c r="D113" s="1" t="str">
        <f>ADDRESS(C121-1,D121+1,1,1)</f>
        <v>$BD$148</v>
      </c>
    </row>
    <row r="114" spans="1:6" x14ac:dyDescent="0.25">
      <c r="A114" s="30">
        <v>1.9487171000000014</v>
      </c>
      <c r="C114" s="1" t="str">
        <f>ADDRESS(C121,D121,1,1)</f>
        <v>$BC$149</v>
      </c>
      <c r="D114" s="1" t="str">
        <f>ADDRESS(C121+1,D121+1,1,1)</f>
        <v>$BD$150</v>
      </c>
    </row>
    <row r="115" spans="1:6" x14ac:dyDescent="0.25">
      <c r="A115" s="30">
        <v>1.7715610000000011</v>
      </c>
      <c r="C115" s="1" t="str">
        <f>ADDRESS(C121+1,D121,1,1)</f>
        <v>$BC$150</v>
      </c>
    </row>
    <row r="116" spans="1:6" x14ac:dyDescent="0.25">
      <c r="A116" s="30">
        <v>1.6105100000000008</v>
      </c>
      <c r="C116" s="1">
        <f>C117-1</f>
        <v>148</v>
      </c>
    </row>
    <row r="117" spans="1:6" x14ac:dyDescent="0.25">
      <c r="A117" s="30">
        <v>1.4641000000000006</v>
      </c>
      <c r="C117" s="1">
        <f>C121</f>
        <v>149</v>
      </c>
      <c r="D117" s="1">
        <f>D121</f>
        <v>55</v>
      </c>
    </row>
    <row r="118" spans="1:6" x14ac:dyDescent="0.25">
      <c r="A118" s="30">
        <v>1.3310000000000004</v>
      </c>
      <c r="C118" s="1">
        <f>C117+1</f>
        <v>150</v>
      </c>
      <c r="D118" s="1">
        <f>D117+1</f>
        <v>56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149</v>
      </c>
      <c r="D121" s="19">
        <v>55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X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R149</v>
      </c>
      <c r="D123" s="1" t="str">
        <f>"C"&amp;D121</f>
        <v>C55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6.9343349494413078E-2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54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54" x14ac:dyDescent="0.25">
      <c r="A130" s="30">
        <v>0.42409761837248428</v>
      </c>
      <c r="C130" s="6"/>
      <c r="D130" s="6"/>
      <c r="E130"/>
      <c r="F130" s="27" t="s">
        <v>7</v>
      </c>
    </row>
    <row r="131" spans="1:54" x14ac:dyDescent="0.25">
      <c r="A131" s="30">
        <v>0.38554328942953109</v>
      </c>
      <c r="E131"/>
      <c r="F131" s="27" t="s">
        <v>7</v>
      </c>
    </row>
    <row r="132" spans="1:54" x14ac:dyDescent="0.25">
      <c r="A132" s="30">
        <v>0.35049389948139187</v>
      </c>
      <c r="C132" s="1" t="s">
        <v>13</v>
      </c>
      <c r="E132"/>
      <c r="F132" s="27" t="s">
        <v>7</v>
      </c>
    </row>
    <row r="133" spans="1:54" x14ac:dyDescent="0.25">
      <c r="A133" s="30">
        <v>0.31863081771035617</v>
      </c>
      <c r="C133" s="1" t="str">
        <f>C122</f>
        <v>X</v>
      </c>
      <c r="E133"/>
      <c r="F133" s="27" t="s">
        <v>7</v>
      </c>
    </row>
    <row r="134" spans="1:54" x14ac:dyDescent="0.25">
      <c r="A134" s="30">
        <v>0.28966437973668741</v>
      </c>
      <c r="C134"/>
      <c r="D134"/>
      <c r="E134"/>
      <c r="F134" s="27" t="s">
        <v>7</v>
      </c>
    </row>
    <row r="135" spans="1:54" x14ac:dyDescent="0.25">
      <c r="A135" s="30">
        <v>0.2633312543060794</v>
      </c>
      <c r="C135" s="1" t="s">
        <v>14</v>
      </c>
      <c r="E135"/>
      <c r="F135" s="27" t="s">
        <v>7</v>
      </c>
      <c r="AY135" s="27" t="s">
        <v>8</v>
      </c>
    </row>
    <row r="136" spans="1:54" x14ac:dyDescent="0.25">
      <c r="A136" s="30">
        <v>0.23939204936916306</v>
      </c>
      <c r="C136" s="1" t="str">
        <f>IF(C133=$S$1,IF(D130&lt;(C127*0.909090909090909),$S$1,IF(C130&gt;(C127*1.331),$U$1,"")),"")</f>
        <v/>
      </c>
      <c r="D136" s="1" t="str">
        <f>IF(C133=$U$1,IF(C130&gt;(C127*1.1),$U$1,IF(D130&lt;(C127*0.751314800901578),$S$1,"")),"")</f>
        <v>O</v>
      </c>
      <c r="E136"/>
      <c r="F136" s="27" t="s">
        <v>7</v>
      </c>
      <c r="AY136" s="27" t="s">
        <v>8</v>
      </c>
      <c r="AZ136" s="27" t="s">
        <v>7</v>
      </c>
    </row>
    <row r="137" spans="1:54" x14ac:dyDescent="0.25">
      <c r="A137" s="30">
        <v>0.2176291357901482</v>
      </c>
      <c r="E137"/>
      <c r="F137" s="27" t="s">
        <v>7</v>
      </c>
      <c r="AY137" s="27" t="s">
        <v>8</v>
      </c>
      <c r="AZ137" s="27" t="s">
        <v>7</v>
      </c>
    </row>
    <row r="138" spans="1:54" x14ac:dyDescent="0.25">
      <c r="A138" s="30">
        <v>0.19784466890013469</v>
      </c>
      <c r="C138" s="1">
        <f>IF(AND(C136="",D136=""),0,IF(AND(C133="X",D136="X"),1,IF(AND(C133="O",C136="O"),2,(IF(AND(C133="X",D136="O"),3,4)))))</f>
        <v>3</v>
      </c>
      <c r="E138"/>
      <c r="F138" s="27" t="s">
        <v>7</v>
      </c>
      <c r="AY138" s="27" t="s">
        <v>8</v>
      </c>
      <c r="AZ138" s="27" t="s">
        <v>7</v>
      </c>
    </row>
    <row r="139" spans="1:54" x14ac:dyDescent="0.25">
      <c r="A139" s="30">
        <v>0.17985878990921333</v>
      </c>
      <c r="E139"/>
      <c r="F139" s="27" t="s">
        <v>7</v>
      </c>
      <c r="AW139" s="27" t="s">
        <v>8</v>
      </c>
      <c r="AY139" s="27" t="s">
        <v>8</v>
      </c>
      <c r="AZ139" s="27" t="s">
        <v>7</v>
      </c>
    </row>
    <row r="140" spans="1:54" x14ac:dyDescent="0.25">
      <c r="A140" s="30">
        <v>0.16350799082655756</v>
      </c>
      <c r="C140" s="1">
        <v>0</v>
      </c>
      <c r="E140"/>
      <c r="F140" s="27" t="s">
        <v>7</v>
      </c>
      <c r="AU140" s="27" t="s">
        <v>8</v>
      </c>
      <c r="AW140" s="27" t="s">
        <v>8</v>
      </c>
      <c r="AX140" s="27" t="s">
        <v>7</v>
      </c>
      <c r="AY140" s="27" t="s">
        <v>8</v>
      </c>
      <c r="AZ140" s="27" t="s">
        <v>7</v>
      </c>
    </row>
    <row r="141" spans="1:54" x14ac:dyDescent="0.25">
      <c r="A141" s="30">
        <v>0.14864362802414322</v>
      </c>
      <c r="C141" s="1">
        <v>1</v>
      </c>
      <c r="E141"/>
      <c r="F141" s="27" t="s">
        <v>7</v>
      </c>
      <c r="AU141" s="27" t="s">
        <v>8</v>
      </c>
      <c r="AV141" s="27" t="s">
        <v>7</v>
      </c>
      <c r="AW141" s="27" t="s">
        <v>8</v>
      </c>
      <c r="AX141" s="27" t="s">
        <v>7</v>
      </c>
      <c r="AY141" s="27" t="s">
        <v>8</v>
      </c>
      <c r="AZ141" s="27" t="s">
        <v>7</v>
      </c>
    </row>
    <row r="142" spans="1:54" x14ac:dyDescent="0.25">
      <c r="A142" s="30">
        <v>0.13513057093103928</v>
      </c>
      <c r="C142" s="1">
        <v>2</v>
      </c>
      <c r="E142"/>
      <c r="F142" s="27" t="s">
        <v>7</v>
      </c>
      <c r="AA142" s="32" t="s">
        <v>8</v>
      </c>
      <c r="AC142" s="32" t="s">
        <v>8</v>
      </c>
      <c r="AU142" s="27" t="s">
        <v>8</v>
      </c>
      <c r="AV142" s="27" t="s">
        <v>7</v>
      </c>
      <c r="AW142" s="27" t="s">
        <v>8</v>
      </c>
      <c r="AX142" s="27" t="s">
        <v>7</v>
      </c>
      <c r="AY142" s="27" t="s">
        <v>8</v>
      </c>
      <c r="AZ142" s="27" t="s">
        <v>7</v>
      </c>
    </row>
    <row r="143" spans="1:54" x14ac:dyDescent="0.25">
      <c r="A143" s="30">
        <v>0.12284597357367205</v>
      </c>
      <c r="C143" s="1">
        <v>3</v>
      </c>
      <c r="E143"/>
      <c r="F143" s="27" t="s">
        <v>7</v>
      </c>
      <c r="AA143" s="27" t="s">
        <v>8</v>
      </c>
      <c r="AB143" s="27" t="s">
        <v>7</v>
      </c>
      <c r="AC143" s="27" t="s">
        <v>8</v>
      </c>
      <c r="AD143" s="27" t="s">
        <v>7</v>
      </c>
      <c r="AE143" s="31" t="s">
        <v>8</v>
      </c>
      <c r="AU143" s="27" t="s">
        <v>8</v>
      </c>
      <c r="AV143" s="27" t="s">
        <v>7</v>
      </c>
      <c r="AX143" s="27" t="s">
        <v>7</v>
      </c>
      <c r="AZ143" s="27" t="s">
        <v>7</v>
      </c>
      <c r="BA143" s="27" t="s">
        <v>8</v>
      </c>
    </row>
    <row r="144" spans="1:54" x14ac:dyDescent="0.25">
      <c r="A144" s="30">
        <v>0.11167815779424731</v>
      </c>
      <c r="C144" s="1">
        <v>4</v>
      </c>
      <c r="E144"/>
      <c r="F144" s="27" t="s">
        <v>7</v>
      </c>
      <c r="AA144" s="27" t="s">
        <v>8</v>
      </c>
      <c r="AB144" s="27" t="s">
        <v>7</v>
      </c>
      <c r="AC144" s="27" t="s">
        <v>8</v>
      </c>
      <c r="AD144" s="27" t="s">
        <v>7</v>
      </c>
      <c r="AE144" s="27" t="s">
        <v>8</v>
      </c>
      <c r="AF144" s="31" t="s">
        <v>7</v>
      </c>
      <c r="AU144" s="27" t="s">
        <v>8</v>
      </c>
      <c r="AZ144" s="27" t="s">
        <v>7</v>
      </c>
      <c r="BA144" s="27" t="s">
        <v>8</v>
      </c>
      <c r="BB144" s="27" t="s">
        <v>7</v>
      </c>
    </row>
    <row r="145" spans="1:55" x14ac:dyDescent="0.25">
      <c r="A145" s="30">
        <v>0.10152559799477026</v>
      </c>
      <c r="B145"/>
      <c r="C145"/>
      <c r="D145"/>
      <c r="E145"/>
      <c r="F145" s="27" t="s">
        <v>7</v>
      </c>
      <c r="AA145" s="27" t="s">
        <v>8</v>
      </c>
      <c r="AB145" s="27" t="s">
        <v>7</v>
      </c>
      <c r="AD145" s="27" t="s">
        <v>7</v>
      </c>
      <c r="AE145" s="27" t="s">
        <v>8</v>
      </c>
      <c r="AF145" s="27" t="s">
        <v>7</v>
      </c>
      <c r="AG145" s="31"/>
      <c r="AU145" s="27" t="s">
        <v>8</v>
      </c>
      <c r="AZ145" s="27" t="s">
        <v>7</v>
      </c>
      <c r="BA145" s="27" t="s">
        <v>8</v>
      </c>
      <c r="BB145" s="27" t="s">
        <v>7</v>
      </c>
    </row>
    <row r="146" spans="1:55" x14ac:dyDescent="0.25">
      <c r="A146" s="30">
        <v>9.2295998177063854E-2</v>
      </c>
      <c r="B146"/>
      <c r="C146"/>
      <c r="D146"/>
      <c r="E146"/>
      <c r="F146" s="27" t="s">
        <v>7</v>
      </c>
      <c r="AA146" s="27" t="s">
        <v>8</v>
      </c>
      <c r="AD146" s="33" t="s">
        <v>7</v>
      </c>
      <c r="AE146" s="27" t="s">
        <v>8</v>
      </c>
      <c r="AF146" s="27" t="s">
        <v>7</v>
      </c>
      <c r="AH146" s="31"/>
      <c r="AQ146" s="27" t="s">
        <v>8</v>
      </c>
      <c r="AU146" s="27" t="s">
        <v>8</v>
      </c>
      <c r="AZ146" s="27" t="s">
        <v>7</v>
      </c>
      <c r="BB146" s="27" t="s">
        <v>7</v>
      </c>
    </row>
    <row r="147" spans="1:55" x14ac:dyDescent="0.25">
      <c r="A147" s="30">
        <v>8.3905452888239848E-2</v>
      </c>
      <c r="B147"/>
      <c r="C147"/>
      <c r="D147"/>
      <c r="E147"/>
      <c r="F147" s="27" t="s">
        <v>7</v>
      </c>
      <c r="AA147" s="27" t="s">
        <v>8</v>
      </c>
      <c r="AD147" s="27" t="s">
        <v>7</v>
      </c>
      <c r="AE147" s="27" t="s">
        <v>8</v>
      </c>
      <c r="AF147" s="27" t="s">
        <v>7</v>
      </c>
      <c r="AI147" s="31"/>
      <c r="AQ147" s="27" t="s">
        <v>8</v>
      </c>
      <c r="AR147" s="27" t="s">
        <v>7</v>
      </c>
      <c r="AS147" s="27" t="s">
        <v>8</v>
      </c>
      <c r="AU147" s="27" t="s">
        <v>8</v>
      </c>
      <c r="BB147" s="27" t="s">
        <v>7</v>
      </c>
    </row>
    <row r="148" spans="1:55" x14ac:dyDescent="0.25">
      <c r="A148" s="30">
        <v>7.6277684443854396E-2</v>
      </c>
      <c r="B148"/>
      <c r="C148"/>
      <c r="D148"/>
      <c r="E148"/>
      <c r="F148" s="27" t="s">
        <v>7</v>
      </c>
      <c r="AA148" s="27" t="s">
        <v>8</v>
      </c>
      <c r="AD148" s="27" t="s">
        <v>7</v>
      </c>
      <c r="AE148" s="27" t="s">
        <v>8</v>
      </c>
      <c r="AF148" s="27" t="s">
        <v>7</v>
      </c>
      <c r="AJ148" s="31"/>
      <c r="AQ148" s="27" t="s">
        <v>8</v>
      </c>
      <c r="AR148" s="27" t="s">
        <v>7</v>
      </c>
      <c r="AS148" s="27" t="s">
        <v>8</v>
      </c>
      <c r="AT148" s="27" t="s">
        <v>7</v>
      </c>
      <c r="AU148" s="27" t="s">
        <v>8</v>
      </c>
      <c r="BB148" s="27" t="s">
        <v>7</v>
      </c>
    </row>
    <row r="149" spans="1:55" x14ac:dyDescent="0.25">
      <c r="A149" s="30">
        <v>6.9343349494413078E-2</v>
      </c>
      <c r="B149"/>
      <c r="C149"/>
      <c r="D149"/>
      <c r="E149"/>
      <c r="F149" s="27" t="s">
        <v>7</v>
      </c>
      <c r="AA149" s="27" t="s">
        <v>8</v>
      </c>
      <c r="AD149" s="27" t="s">
        <v>7</v>
      </c>
      <c r="AF149" s="27" t="s">
        <v>7</v>
      </c>
      <c r="AK149" s="31"/>
      <c r="AQ149" s="27" t="s">
        <v>8</v>
      </c>
      <c r="AR149" s="27" t="s">
        <v>7</v>
      </c>
      <c r="AS149" s="27" t="s">
        <v>8</v>
      </c>
      <c r="AT149" s="27" t="s">
        <v>7</v>
      </c>
      <c r="AU149" s="27" t="s">
        <v>8</v>
      </c>
      <c r="BB149" s="27" t="s">
        <v>7</v>
      </c>
      <c r="BC149" s="27" t="s">
        <v>8</v>
      </c>
    </row>
    <row r="150" spans="1:55" x14ac:dyDescent="0.25">
      <c r="A150" s="30">
        <v>6.3039408631284613E-2</v>
      </c>
      <c r="B150"/>
      <c r="C150"/>
      <c r="D150"/>
      <c r="E150"/>
      <c r="F150" s="27" t="s">
        <v>7</v>
      </c>
      <c r="AA150" s="27" t="s">
        <v>8</v>
      </c>
      <c r="AF150" s="27" t="s">
        <v>7</v>
      </c>
      <c r="AL150" s="31"/>
      <c r="AQ150" s="27" t="s">
        <v>8</v>
      </c>
      <c r="AR150" s="27" t="s">
        <v>7</v>
      </c>
      <c r="AT150" s="27" t="s">
        <v>7</v>
      </c>
      <c r="BB150" s="27" t="s">
        <v>7</v>
      </c>
      <c r="BC150" s="27" t="s">
        <v>8</v>
      </c>
    </row>
    <row r="151" spans="1:55" x14ac:dyDescent="0.25">
      <c r="A151" s="30">
        <v>5.7308553301167818E-2</v>
      </c>
      <c r="B151"/>
      <c r="C151"/>
      <c r="D151"/>
      <c r="E151"/>
      <c r="F151" s="27" t="s">
        <v>7</v>
      </c>
      <c r="O151" s="27" t="s">
        <v>8</v>
      </c>
      <c r="AA151" s="27" t="s">
        <v>8</v>
      </c>
      <c r="AF151" s="27" t="s">
        <v>7</v>
      </c>
      <c r="AG151" s="27" t="s">
        <v>8</v>
      </c>
      <c r="AM151" s="31"/>
      <c r="AQ151" s="27" t="s">
        <v>8</v>
      </c>
      <c r="BB151" s="27" t="s">
        <v>7</v>
      </c>
      <c r="BC151" s="27" t="s">
        <v>8</v>
      </c>
    </row>
    <row r="152" spans="1:55" x14ac:dyDescent="0.25">
      <c r="A152" s="30">
        <v>5.2098684819243464E-2</v>
      </c>
      <c r="B152"/>
      <c r="C152"/>
      <c r="D152"/>
      <c r="E152"/>
      <c r="F152" s="27" t="s">
        <v>7</v>
      </c>
      <c r="O152" s="27" t="s">
        <v>8</v>
      </c>
      <c r="P152" s="27" t="s">
        <v>7</v>
      </c>
      <c r="AA152" s="27" t="s">
        <v>8</v>
      </c>
      <c r="AF152" s="27" t="s">
        <v>7</v>
      </c>
      <c r="AG152" s="27" t="s">
        <v>8</v>
      </c>
      <c r="AH152" s="27" t="s">
        <v>7</v>
      </c>
      <c r="AK152" s="34" t="s">
        <v>8</v>
      </c>
      <c r="AM152" s="32" t="s">
        <v>8</v>
      </c>
      <c r="AN152" s="31"/>
      <c r="AQ152" s="27" t="s">
        <v>8</v>
      </c>
      <c r="BB152" s="27" t="s">
        <v>7</v>
      </c>
    </row>
    <row r="153" spans="1:55" x14ac:dyDescent="0.25">
      <c r="A153" s="30">
        <v>4.7362440744766775E-2</v>
      </c>
      <c r="B153"/>
      <c r="C153"/>
      <c r="D153"/>
      <c r="E153"/>
      <c r="F153" s="27" t="s">
        <v>7</v>
      </c>
      <c r="O153" s="27" t="s">
        <v>8</v>
      </c>
      <c r="P153" s="27" t="s">
        <v>7</v>
      </c>
      <c r="Y153" s="27" t="s">
        <v>8</v>
      </c>
      <c r="AA153" s="27" t="s">
        <v>8</v>
      </c>
      <c r="AF153" s="27" t="s">
        <v>7</v>
      </c>
      <c r="AG153" s="27" t="s">
        <v>8</v>
      </c>
      <c r="AH153" s="27" t="s">
        <v>7</v>
      </c>
      <c r="AI153" s="27" t="s">
        <v>8</v>
      </c>
      <c r="AK153" s="27" t="s">
        <v>8</v>
      </c>
      <c r="AL153" s="27" t="s">
        <v>7</v>
      </c>
      <c r="AM153" s="27" t="s">
        <v>8</v>
      </c>
      <c r="AN153" s="27" t="s">
        <v>7</v>
      </c>
      <c r="AO153" s="31"/>
      <c r="AQ153" s="27" t="s">
        <v>8</v>
      </c>
    </row>
    <row r="154" spans="1:55" x14ac:dyDescent="0.25">
      <c r="A154" s="30">
        <v>4.3056764313424332E-2</v>
      </c>
      <c r="B154"/>
      <c r="C154"/>
      <c r="D154"/>
      <c r="E154"/>
      <c r="F154" s="27" t="s">
        <v>7</v>
      </c>
      <c r="O154" s="27" t="s">
        <v>8</v>
      </c>
      <c r="P154" s="27" t="s">
        <v>7</v>
      </c>
      <c r="Q154" s="32" t="s">
        <v>8</v>
      </c>
      <c r="S154" s="32" t="s">
        <v>8</v>
      </c>
      <c r="Y154" s="27" t="s">
        <v>8</v>
      </c>
      <c r="Z154" s="27" t="s">
        <v>7</v>
      </c>
      <c r="AA154" s="27" t="s">
        <v>8</v>
      </c>
      <c r="AF154" s="27" t="s">
        <v>7</v>
      </c>
      <c r="AG154" s="27" t="s">
        <v>8</v>
      </c>
      <c r="AH154" s="27" t="s">
        <v>7</v>
      </c>
      <c r="AI154" s="27" t="s">
        <v>8</v>
      </c>
      <c r="AJ154" s="27" t="s">
        <v>7</v>
      </c>
      <c r="AK154" s="27" t="s">
        <v>8</v>
      </c>
      <c r="AL154" s="27" t="s">
        <v>7</v>
      </c>
      <c r="AM154" s="27" t="s">
        <v>8</v>
      </c>
      <c r="AN154" s="27" t="s">
        <v>7</v>
      </c>
      <c r="AP154" s="31"/>
      <c r="AQ154" s="27" t="s">
        <v>8</v>
      </c>
    </row>
    <row r="155" spans="1:55" x14ac:dyDescent="0.25">
      <c r="A155" s="30">
        <v>3.9142513012203929E-2</v>
      </c>
      <c r="B155"/>
      <c r="C155"/>
      <c r="D155"/>
      <c r="E155"/>
      <c r="F155" s="27" t="s">
        <v>7</v>
      </c>
      <c r="K155" s="32" t="s">
        <v>8</v>
      </c>
      <c r="M155" s="32" t="s">
        <v>8</v>
      </c>
      <c r="O155" s="27" t="s">
        <v>8</v>
      </c>
      <c r="P155" s="27" t="s">
        <v>7</v>
      </c>
      <c r="Q155" s="27" t="s">
        <v>8</v>
      </c>
      <c r="R155" s="27" t="s">
        <v>7</v>
      </c>
      <c r="S155" s="27" t="s">
        <v>8</v>
      </c>
      <c r="T155" s="27" t="s">
        <v>7</v>
      </c>
      <c r="Y155" s="27" t="s">
        <v>8</v>
      </c>
      <c r="Z155" s="27" t="s">
        <v>7</v>
      </c>
      <c r="AA155" s="27" t="s">
        <v>8</v>
      </c>
      <c r="AF155" s="27" t="s">
        <v>7</v>
      </c>
      <c r="AG155" s="27" t="s">
        <v>8</v>
      </c>
      <c r="AH155" s="27" t="s">
        <v>7</v>
      </c>
      <c r="AI155" s="27" t="s">
        <v>8</v>
      </c>
      <c r="AJ155" s="27" t="s">
        <v>7</v>
      </c>
      <c r="AK155" s="27" t="s">
        <v>8</v>
      </c>
      <c r="AL155" s="27" t="s">
        <v>7</v>
      </c>
      <c r="AN155" s="27" t="s">
        <v>7</v>
      </c>
      <c r="AQ155" s="34" t="s">
        <v>8</v>
      </c>
      <c r="AT155" s="31"/>
    </row>
    <row r="156" spans="1:55" x14ac:dyDescent="0.25">
      <c r="A156" s="30">
        <v>3.55841027383672E-2</v>
      </c>
      <c r="B156"/>
      <c r="C156"/>
      <c r="D156"/>
      <c r="E156"/>
      <c r="F156" s="27" t="s">
        <v>7</v>
      </c>
      <c r="K156" s="27" t="s">
        <v>8</v>
      </c>
      <c r="L156" s="27" t="s">
        <v>7</v>
      </c>
      <c r="M156" s="27" t="s">
        <v>8</v>
      </c>
      <c r="N156" s="27" t="s">
        <v>7</v>
      </c>
      <c r="O156" s="27" t="s">
        <v>8</v>
      </c>
      <c r="P156" s="27" t="s">
        <v>7</v>
      </c>
      <c r="Q156" s="27" t="s">
        <v>8</v>
      </c>
      <c r="R156" s="27" t="s">
        <v>7</v>
      </c>
      <c r="S156" s="27" t="s">
        <v>8</v>
      </c>
      <c r="T156" s="27" t="s">
        <v>7</v>
      </c>
      <c r="Y156" s="27" t="s">
        <v>8</v>
      </c>
      <c r="Z156" s="27" t="s">
        <v>7</v>
      </c>
      <c r="AA156" s="27" t="s">
        <v>8</v>
      </c>
      <c r="AF156" s="27" t="s">
        <v>7</v>
      </c>
      <c r="AH156" s="27" t="s">
        <v>7</v>
      </c>
      <c r="AI156" s="27" t="s">
        <v>8</v>
      </c>
      <c r="AJ156" s="27" t="s">
        <v>7</v>
      </c>
      <c r="AN156" s="33" t="s">
        <v>7</v>
      </c>
      <c r="AO156" s="18" t="s">
        <v>8</v>
      </c>
      <c r="AQ156" s="27" t="s">
        <v>8</v>
      </c>
      <c r="AS156" s="31"/>
    </row>
    <row r="157" spans="1:55" x14ac:dyDescent="0.25">
      <c r="A157" s="30">
        <v>3.2349184307606541E-2</v>
      </c>
      <c r="B157"/>
      <c r="C157"/>
      <c r="D157"/>
      <c r="E157"/>
      <c r="F157" s="27" t="s">
        <v>7</v>
      </c>
      <c r="K157" s="27" t="s">
        <v>8</v>
      </c>
      <c r="L157" s="27" t="s">
        <v>7</v>
      </c>
      <c r="M157" s="27" t="s">
        <v>8</v>
      </c>
      <c r="N157" s="27" t="s">
        <v>7</v>
      </c>
      <c r="O157" s="27" t="s">
        <v>8</v>
      </c>
      <c r="P157" s="27" t="s">
        <v>7</v>
      </c>
      <c r="Q157" s="27" t="s">
        <v>8</v>
      </c>
      <c r="R157" s="27" t="s">
        <v>7</v>
      </c>
      <c r="T157" s="27" t="s">
        <v>7</v>
      </c>
      <c r="Y157" s="27" t="s">
        <v>8</v>
      </c>
      <c r="Z157" s="27" t="s">
        <v>7</v>
      </c>
      <c r="AA157" s="27" t="s">
        <v>8</v>
      </c>
      <c r="AH157" s="31" t="s">
        <v>7</v>
      </c>
      <c r="AI157" s="27" t="s">
        <v>8</v>
      </c>
      <c r="AN157" s="27" t="s">
        <v>7</v>
      </c>
      <c r="AO157" s="27" t="s">
        <v>8</v>
      </c>
      <c r="AP157" s="27" t="s">
        <v>7</v>
      </c>
      <c r="AQ157" s="27" t="s">
        <v>8</v>
      </c>
      <c r="AR157" s="31"/>
    </row>
    <row r="158" spans="1:55" x14ac:dyDescent="0.25">
      <c r="A158" s="30">
        <v>2.9408349370551395E-2</v>
      </c>
      <c r="B158"/>
      <c r="C158"/>
      <c r="D158"/>
      <c r="E158"/>
      <c r="F158" s="27" t="s">
        <v>7</v>
      </c>
      <c r="K158" s="27" t="s">
        <v>8</v>
      </c>
      <c r="L158" s="27" t="s">
        <v>7</v>
      </c>
      <c r="M158" s="27" t="s">
        <v>8</v>
      </c>
      <c r="N158" s="27" t="s">
        <v>7</v>
      </c>
      <c r="P158" s="27" t="s">
        <v>7</v>
      </c>
      <c r="Q158" s="27" t="s">
        <v>8</v>
      </c>
      <c r="T158" s="27" t="s">
        <v>7</v>
      </c>
      <c r="W158" s="34" t="s">
        <v>8</v>
      </c>
      <c r="Y158" s="27" t="s">
        <v>8</v>
      </c>
      <c r="Z158" s="27" t="s">
        <v>7</v>
      </c>
      <c r="AA158" s="27" t="s">
        <v>8</v>
      </c>
      <c r="AG158" s="31"/>
      <c r="AH158" s="27" t="s">
        <v>7</v>
      </c>
      <c r="AI158" s="27" t="s">
        <v>8</v>
      </c>
      <c r="AN158" s="27" t="s">
        <v>7</v>
      </c>
      <c r="AO158" s="27" t="s">
        <v>8</v>
      </c>
      <c r="AP158" s="27" t="s">
        <v>7</v>
      </c>
      <c r="AQ158" s="31" t="s">
        <v>8</v>
      </c>
    </row>
    <row r="159" spans="1:55" x14ac:dyDescent="0.25">
      <c r="A159" s="30">
        <v>2.6734863064137627E-2</v>
      </c>
      <c r="B159"/>
      <c r="C159"/>
      <c r="D159"/>
      <c r="E159"/>
      <c r="F159" s="27" t="s">
        <v>7</v>
      </c>
      <c r="K159" s="27" t="s">
        <v>8</v>
      </c>
      <c r="L159" s="27" t="s">
        <v>7</v>
      </c>
      <c r="M159" s="27" t="s">
        <v>8</v>
      </c>
      <c r="P159" s="33" t="s">
        <v>7</v>
      </c>
      <c r="Q159" s="27" t="s">
        <v>8</v>
      </c>
      <c r="T159" s="27" t="s">
        <v>7</v>
      </c>
      <c r="U159" s="27" t="s">
        <v>8</v>
      </c>
      <c r="W159" s="27" t="s">
        <v>8</v>
      </c>
      <c r="X159" s="27" t="s">
        <v>7</v>
      </c>
      <c r="Y159" s="27" t="s">
        <v>8</v>
      </c>
      <c r="Z159" s="27" t="s">
        <v>7</v>
      </c>
      <c r="AF159" s="31"/>
      <c r="AH159" s="27" t="s">
        <v>7</v>
      </c>
      <c r="AN159" s="27" t="s">
        <v>7</v>
      </c>
      <c r="AO159" s="27" t="s">
        <v>8</v>
      </c>
      <c r="AP159" s="31" t="s">
        <v>7</v>
      </c>
    </row>
    <row r="160" spans="1:55" x14ac:dyDescent="0.25">
      <c r="A160" s="30">
        <v>2.4304420967397839E-2</v>
      </c>
      <c r="B160"/>
      <c r="C160"/>
      <c r="D160"/>
      <c r="E160"/>
      <c r="F160" s="27" t="s">
        <v>7</v>
      </c>
      <c r="K160" s="27" t="s">
        <v>8</v>
      </c>
      <c r="L160" s="27" t="s">
        <v>7</v>
      </c>
      <c r="M160" s="27" t="s">
        <v>8</v>
      </c>
      <c r="P160" s="27" t="s">
        <v>7</v>
      </c>
      <c r="Q160" s="27" t="s">
        <v>8</v>
      </c>
      <c r="T160" s="27" t="s">
        <v>7</v>
      </c>
      <c r="U160" s="27" t="s">
        <v>8</v>
      </c>
      <c r="V160" s="27" t="s">
        <v>7</v>
      </c>
      <c r="W160" s="27" t="s">
        <v>8</v>
      </c>
      <c r="X160" s="27" t="s">
        <v>7</v>
      </c>
      <c r="Y160" s="27" t="s">
        <v>8</v>
      </c>
      <c r="AE160" s="31"/>
      <c r="AN160" s="27" t="s">
        <v>7</v>
      </c>
    </row>
    <row r="161" spans="1:30" x14ac:dyDescent="0.25">
      <c r="A161" s="30">
        <v>2.2094928152179852E-2</v>
      </c>
      <c r="B161"/>
      <c r="C161"/>
      <c r="D161"/>
      <c r="E161"/>
      <c r="F161" s="27" t="s">
        <v>7</v>
      </c>
      <c r="G161" s="27" t="s">
        <v>8</v>
      </c>
      <c r="K161" s="27" t="s">
        <v>8</v>
      </c>
      <c r="L161" s="27" t="s">
        <v>7</v>
      </c>
      <c r="M161" s="27" t="s">
        <v>8</v>
      </c>
      <c r="P161" s="27" t="s">
        <v>7</v>
      </c>
      <c r="T161" s="27" t="s">
        <v>7</v>
      </c>
      <c r="U161" s="27" t="s">
        <v>8</v>
      </c>
      <c r="V161" s="27" t="s">
        <v>7</v>
      </c>
      <c r="W161" s="27" t="s">
        <v>8</v>
      </c>
      <c r="X161" s="27" t="s">
        <v>7</v>
      </c>
      <c r="Y161" s="27" t="s">
        <v>8</v>
      </c>
      <c r="AD161" s="31"/>
    </row>
    <row r="162" spans="1:30" x14ac:dyDescent="0.25">
      <c r="A162" s="30">
        <v>2.0086298320163499E-2</v>
      </c>
      <c r="B162"/>
      <c r="C162"/>
      <c r="D162"/>
      <c r="E162"/>
      <c r="F162" s="27" t="s">
        <v>7</v>
      </c>
      <c r="G162" s="27" t="s">
        <v>8</v>
      </c>
      <c r="H162" s="27" t="s">
        <v>7</v>
      </c>
      <c r="K162" s="27" t="s">
        <v>8</v>
      </c>
      <c r="L162" s="27" t="s">
        <v>7</v>
      </c>
      <c r="T162" s="27" t="s">
        <v>7</v>
      </c>
      <c r="U162" s="27" t="s">
        <v>8</v>
      </c>
      <c r="V162" s="27" t="s">
        <v>7</v>
      </c>
      <c r="W162" s="27" t="s">
        <v>8</v>
      </c>
      <c r="X162" s="27" t="s">
        <v>7</v>
      </c>
      <c r="AC162" s="31"/>
    </row>
    <row r="163" spans="1:30" x14ac:dyDescent="0.25">
      <c r="A163" s="30">
        <v>1.8260271200148632E-2</v>
      </c>
      <c r="B163"/>
      <c r="C163"/>
      <c r="D163"/>
      <c r="E163"/>
      <c r="F163" s="27" t="s">
        <v>7</v>
      </c>
      <c r="G163" s="27" t="s">
        <v>8</v>
      </c>
      <c r="H163" s="27" t="s">
        <v>7</v>
      </c>
      <c r="K163" s="27" t="s">
        <v>8</v>
      </c>
      <c r="T163" s="27" t="s">
        <v>7</v>
      </c>
      <c r="U163" s="27" t="s">
        <v>8</v>
      </c>
      <c r="V163" s="27" t="s">
        <v>7</v>
      </c>
      <c r="W163" s="27" t="s">
        <v>8</v>
      </c>
      <c r="AB163" s="31"/>
    </row>
    <row r="164" spans="1:30" x14ac:dyDescent="0.25">
      <c r="A164" s="30">
        <v>1.6600246545589663E-2</v>
      </c>
      <c r="B164"/>
      <c r="C164"/>
      <c r="D164"/>
      <c r="E164"/>
      <c r="F164" s="27" t="s">
        <v>7</v>
      </c>
      <c r="G164" s="27" t="s">
        <v>8</v>
      </c>
      <c r="H164" s="27" t="s">
        <v>7</v>
      </c>
      <c r="K164" s="27" t="s">
        <v>8</v>
      </c>
      <c r="T164" s="27" t="s">
        <v>7</v>
      </c>
      <c r="U164" s="27" t="s">
        <v>8</v>
      </c>
      <c r="V164" s="27" t="s">
        <v>7</v>
      </c>
      <c r="AA164" s="31"/>
    </row>
    <row r="165" spans="1:30" x14ac:dyDescent="0.25">
      <c r="A165" s="30">
        <v>1.5091133223263328E-2</v>
      </c>
      <c r="B165"/>
      <c r="C165"/>
      <c r="D165"/>
      <c r="E165"/>
      <c r="F165" s="27" t="s">
        <v>7</v>
      </c>
      <c r="G165" s="27" t="s">
        <v>8</v>
      </c>
      <c r="H165" s="27" t="s">
        <v>7</v>
      </c>
      <c r="K165" s="27" t="s">
        <v>8</v>
      </c>
      <c r="T165" s="27" t="s">
        <v>7</v>
      </c>
      <c r="U165" s="27" t="s">
        <v>8</v>
      </c>
      <c r="Z165" s="31"/>
    </row>
    <row r="166" spans="1:30" x14ac:dyDescent="0.25">
      <c r="A166" s="30">
        <v>1.3719212021148477E-2</v>
      </c>
      <c r="B166"/>
      <c r="C166"/>
      <c r="D166"/>
      <c r="E166"/>
      <c r="F166" s="27" t="s">
        <v>7</v>
      </c>
      <c r="G166" s="27" t="s">
        <v>8</v>
      </c>
      <c r="H166" s="27" t="s">
        <v>7</v>
      </c>
      <c r="K166" s="34" t="s">
        <v>8</v>
      </c>
      <c r="T166" s="27" t="s">
        <v>7</v>
      </c>
      <c r="Y166" s="31"/>
    </row>
    <row r="167" spans="1:30" x14ac:dyDescent="0.25">
      <c r="A167" s="30">
        <v>1.2472010928316795E-2</v>
      </c>
      <c r="B167"/>
      <c r="C167"/>
      <c r="D167"/>
      <c r="E167"/>
      <c r="F167" s="27" t="s">
        <v>7</v>
      </c>
      <c r="G167" s="27" t="s">
        <v>8</v>
      </c>
      <c r="H167" s="27" t="s">
        <v>7</v>
      </c>
      <c r="I167" s="27" t="s">
        <v>8</v>
      </c>
      <c r="K167" s="27" t="s">
        <v>8</v>
      </c>
      <c r="X167" s="31"/>
    </row>
    <row r="168" spans="1:30" x14ac:dyDescent="0.25">
      <c r="A168" s="30">
        <v>1.1338191753015267E-2</v>
      </c>
      <c r="B168"/>
      <c r="C168"/>
      <c r="D168"/>
      <c r="E168"/>
      <c r="F168" s="27" t="s">
        <v>7</v>
      </c>
      <c r="G168" s="27" t="s">
        <v>8</v>
      </c>
      <c r="H168" s="27" t="s">
        <v>7</v>
      </c>
      <c r="I168" s="27" t="s">
        <v>8</v>
      </c>
      <c r="J168" s="27" t="s">
        <v>7</v>
      </c>
      <c r="K168" s="27" t="s">
        <v>8</v>
      </c>
      <c r="W168" s="31"/>
    </row>
    <row r="169" spans="1:30" x14ac:dyDescent="0.25">
      <c r="A169" s="30">
        <v>1.0307447048195697E-2</v>
      </c>
      <c r="B169"/>
      <c r="C169"/>
      <c r="D169"/>
      <c r="E169"/>
      <c r="F169" s="27" t="s">
        <v>7</v>
      </c>
      <c r="G169" s="27" t="s">
        <v>8</v>
      </c>
      <c r="H169" s="27" t="s">
        <v>7</v>
      </c>
      <c r="I169" s="27" t="s">
        <v>8</v>
      </c>
      <c r="J169" s="27" t="s">
        <v>7</v>
      </c>
      <c r="K169" s="27" t="s">
        <v>8</v>
      </c>
      <c r="V169" s="31"/>
    </row>
    <row r="170" spans="1:30" x14ac:dyDescent="0.25">
      <c r="A170" s="30">
        <v>9.3704064074506318E-3</v>
      </c>
      <c r="B170"/>
      <c r="C170"/>
      <c r="D170"/>
      <c r="E170"/>
      <c r="F170" s="27" t="s">
        <v>7</v>
      </c>
      <c r="G170" s="27" t="s">
        <v>8</v>
      </c>
      <c r="H170" s="27" t="s">
        <v>7</v>
      </c>
      <c r="J170" s="27" t="s">
        <v>7</v>
      </c>
      <c r="K170" s="27" t="s">
        <v>8</v>
      </c>
      <c r="U170" s="31"/>
    </row>
    <row r="171" spans="1:30" x14ac:dyDescent="0.25">
      <c r="A171" s="30">
        <v>8.5185512795005747E-3</v>
      </c>
      <c r="F171" s="27" t="s">
        <v>7</v>
      </c>
      <c r="J171" s="27" t="s">
        <v>7</v>
      </c>
      <c r="K171" s="27" t="s">
        <v>8</v>
      </c>
      <c r="T171" s="31"/>
    </row>
    <row r="172" spans="1:30" x14ac:dyDescent="0.25">
      <c r="A172" s="30">
        <v>7.744137526818704E-3</v>
      </c>
      <c r="J172" s="27" t="s">
        <v>7</v>
      </c>
      <c r="K172" s="27" t="s">
        <v>8</v>
      </c>
      <c r="S172" s="31"/>
    </row>
    <row r="173" spans="1:30" x14ac:dyDescent="0.25">
      <c r="A173" s="30">
        <v>7.0401250243806394E-3</v>
      </c>
      <c r="J173" s="27" t="s">
        <v>7</v>
      </c>
      <c r="K173" s="27" t="s">
        <v>8</v>
      </c>
      <c r="R173" s="31"/>
    </row>
    <row r="174" spans="1:30" x14ac:dyDescent="0.25">
      <c r="A174" s="30">
        <v>6.4001136585278536E-3</v>
      </c>
      <c r="J174" s="27" t="s">
        <v>7</v>
      </c>
      <c r="K174" s="27" t="s">
        <v>8</v>
      </c>
      <c r="Q174" s="31"/>
    </row>
    <row r="175" spans="1:30" x14ac:dyDescent="0.25">
      <c r="A175" s="30">
        <v>5.8182851441162305E-3</v>
      </c>
      <c r="J175" s="27" t="s">
        <v>7</v>
      </c>
      <c r="K175" s="27" t="s">
        <v>8</v>
      </c>
      <c r="P175" s="31"/>
    </row>
    <row r="176" spans="1:30" x14ac:dyDescent="0.25">
      <c r="A176" s="30">
        <v>5.2893501310147546E-3</v>
      </c>
      <c r="J176" s="27" t="s">
        <v>7</v>
      </c>
      <c r="K176" s="27" t="s">
        <v>8</v>
      </c>
      <c r="O176" s="31"/>
    </row>
    <row r="177" spans="1:14" x14ac:dyDescent="0.25">
      <c r="A177" s="30">
        <v>4.8085001191043222E-3</v>
      </c>
      <c r="J177" s="27" t="s">
        <v>7</v>
      </c>
      <c r="K177" s="27" t="s">
        <v>8</v>
      </c>
      <c r="N177" s="31"/>
    </row>
    <row r="178" spans="1:14" x14ac:dyDescent="0.25">
      <c r="A178" s="30">
        <v>4.3713637446402926E-3</v>
      </c>
      <c r="J178" s="27" t="s">
        <v>7</v>
      </c>
      <c r="K178" s="27" t="s">
        <v>8</v>
      </c>
      <c r="M178" s="31"/>
    </row>
    <row r="179" spans="1:14" x14ac:dyDescent="0.25">
      <c r="A179" s="30">
        <v>3.9739670405820838E-3</v>
      </c>
      <c r="J179" s="27" t="s">
        <v>7</v>
      </c>
      <c r="K179" s="27" t="s">
        <v>8</v>
      </c>
      <c r="L179" s="31"/>
    </row>
    <row r="180" spans="1:14" x14ac:dyDescent="0.25">
      <c r="A180" s="30">
        <v>3.6126973096200759E-3</v>
      </c>
      <c r="J180" s="27" t="s">
        <v>7</v>
      </c>
      <c r="K180" s="31" t="s">
        <v>8</v>
      </c>
    </row>
    <row r="181" spans="1:14" x14ac:dyDescent="0.25">
      <c r="A181" s="30">
        <v>3.2842702814727962E-3</v>
      </c>
      <c r="J181" s="31" t="s">
        <v>7</v>
      </c>
    </row>
    <row r="182" spans="1:14" x14ac:dyDescent="0.25">
      <c r="A182" s="30">
        <v>2.9857002558843601E-3</v>
      </c>
    </row>
    <row r="183" spans="1:14" x14ac:dyDescent="0.25">
      <c r="A183" s="30">
        <v>2.7142729598948726E-3</v>
      </c>
    </row>
    <row r="184" spans="1:14" x14ac:dyDescent="0.25">
      <c r="A184" s="30">
        <v>2.4675208726317021E-3</v>
      </c>
    </row>
    <row r="185" spans="1:14" x14ac:dyDescent="0.25">
      <c r="A185" s="30">
        <v>2.2432007933015472E-3</v>
      </c>
    </row>
    <row r="186" spans="1:14" x14ac:dyDescent="0.25">
      <c r="A186" s="30">
        <v>2.0392734484559519E-3</v>
      </c>
    </row>
    <row r="187" spans="1:14" x14ac:dyDescent="0.25">
      <c r="A187" s="30">
        <v>1.8538849531417744E-3</v>
      </c>
    </row>
    <row r="188" spans="1:14" x14ac:dyDescent="0.25">
      <c r="A188" s="30">
        <v>1.6853499574016129E-3</v>
      </c>
    </row>
    <row r="189" spans="1:14" x14ac:dyDescent="0.25">
      <c r="A189" s="30">
        <v>1.5321363249105571E-3</v>
      </c>
    </row>
    <row r="190" spans="1:14" x14ac:dyDescent="0.25">
      <c r="A190" s="30">
        <v>1.3928512044641427E-3</v>
      </c>
    </row>
    <row r="191" spans="1:14" x14ac:dyDescent="0.25">
      <c r="A191" s="30">
        <v>1.2662283676946752E-3</v>
      </c>
    </row>
    <row r="192" spans="1:14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162" operator="equal">
      <formula>$U$1</formula>
    </cfRule>
    <cfRule type="cellIs" dxfId="30" priority="1163" operator="equal">
      <formula>$S$1</formula>
    </cfRule>
  </conditionalFormatting>
  <conditionalFormatting sqref="D136">
    <cfRule type="cellIs" dxfId="29" priority="1160" operator="equal">
      <formula>$S$1</formula>
    </cfRule>
    <cfRule type="cellIs" dxfId="28" priority="1161" operator="equal">
      <formula>$U$1</formula>
    </cfRule>
  </conditionalFormatting>
  <conditionalFormatting sqref="C102">
    <cfRule type="cellIs" dxfId="27" priority="1158" operator="equal">
      <formula>$U$1</formula>
    </cfRule>
    <cfRule type="cellIs" dxfId="26" priority="1159" operator="equal">
      <formula>$S$1</formula>
    </cfRule>
  </conditionalFormatting>
  <conditionalFormatting sqref="D102">
    <cfRule type="cellIs" dxfId="25" priority="1156" operator="equal">
      <formula>$S$1</formula>
    </cfRule>
    <cfRule type="cellIs" dxfId="24" priority="1157" operator="equal">
      <formula>$U$1</formula>
    </cfRule>
  </conditionalFormatting>
  <conditionalFormatting sqref="C77">
    <cfRule type="cellIs" dxfId="23" priority="1154" operator="equal">
      <formula>$U$1</formula>
    </cfRule>
    <cfRule type="cellIs" dxfId="22" priority="1155" operator="equal">
      <formula>$S$1</formula>
    </cfRule>
  </conditionalFormatting>
  <conditionalFormatting sqref="D77">
    <cfRule type="cellIs" dxfId="21" priority="1152" operator="equal">
      <formula>$S$1</formula>
    </cfRule>
    <cfRule type="cellIs" dxfId="20" priority="1153" operator="equal">
      <formula>$U$1</formula>
    </cfRule>
  </conditionalFormatting>
  <conditionalFormatting sqref="C52">
    <cfRule type="cellIs" dxfId="19" priority="1150" operator="equal">
      <formula>$U$1</formula>
    </cfRule>
    <cfRule type="cellIs" dxfId="18" priority="1151" operator="equal">
      <formula>$S$1</formula>
    </cfRule>
  </conditionalFormatting>
  <conditionalFormatting sqref="D52">
    <cfRule type="cellIs" dxfId="17" priority="1148" operator="equal">
      <formula>$S$1</formula>
    </cfRule>
    <cfRule type="cellIs" dxfId="16" priority="1149" operator="equal">
      <formula>$U$1</formula>
    </cfRule>
  </conditionalFormatting>
  <conditionalFormatting sqref="C26">
    <cfRule type="cellIs" dxfId="15" priority="1146" operator="equal">
      <formula>$U$1</formula>
    </cfRule>
    <cfRule type="cellIs" dxfId="14" priority="1147" operator="equal">
      <formula>$S$1</formula>
    </cfRule>
  </conditionalFormatting>
  <conditionalFormatting sqref="D26">
    <cfRule type="cellIs" dxfId="13" priority="1144" operator="equal">
      <formula>$S$1</formula>
    </cfRule>
    <cfRule type="cellIs" dxfId="12" priority="114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7" t="s">
        <v>17</v>
      </c>
      <c r="C1" s="37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2022-01-28T01:13:41Z</dcterms:modified>
</cp:coreProperties>
</file>